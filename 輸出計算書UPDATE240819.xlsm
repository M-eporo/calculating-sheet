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hibe\Desktop\"/>
    </mc:Choice>
  </mc:AlternateContent>
  <xr:revisionPtr revIDLastSave="0" documentId="13_ncr:1_{D6E7C48C-0CFB-4B80-83BE-5008AADBAD2E}" xr6:coauthVersionLast="47" xr6:coauthVersionMax="47" xr10:uidLastSave="{00000000-0000-0000-0000-000000000000}"/>
  <bookViews>
    <workbookView xWindow="-120" yWindow="-120" windowWidth="29040" windowHeight="15840" xr2:uid="{C5A9B84A-FDF3-4B62-8110-65A4ABC687C5}"/>
  </bookViews>
  <sheets>
    <sheet name="Sheet1" sheetId="1" r:id="rId1"/>
    <sheet name="Sheet2" sheetId="2" r:id="rId2"/>
    <sheet name="Sheet3" sheetId="4" r:id="rId3"/>
    <sheet name="Sheet5" sheetId="6" r:id="rId4"/>
    <sheet name="Sheet4" sheetId="5" r:id="rId5"/>
    <sheet name="確認申告書" sheetId="10" r:id="rId6"/>
    <sheet name="iatalocode" sheetId="7" r:id="rId7"/>
  </sheets>
  <functionGroups builtInGroupCount="19"/>
  <definedNames>
    <definedName name="_xlnm.Print_Area" localSheetId="0">Sheet1!$L$1:$V$483</definedName>
    <definedName name="_xlnm.Print_Area" localSheetId="1">Sheet2!$D$3:$L$4</definedName>
    <definedName name="_xlnm.Print_Area" localSheetId="5">確認申告書!$A$1:$G$56</definedName>
    <definedName name="_xlnm.Print_Titles" localSheetId="0">Sheet1!$1:$1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X423" i="1"/>
  <c r="Z423" i="1" s="1"/>
  <c r="X424" i="1"/>
  <c r="Z424" i="1" s="1"/>
  <c r="X425" i="1"/>
  <c r="X426" i="1"/>
  <c r="X427" i="1"/>
  <c r="Z427" i="1" s="1"/>
  <c r="X428" i="1"/>
  <c r="Z428" i="1" s="1"/>
  <c r="X429" i="1"/>
  <c r="X430" i="1"/>
  <c r="X431" i="1"/>
  <c r="Z431" i="1" s="1"/>
  <c r="X432" i="1"/>
  <c r="Z432" i="1" s="1"/>
  <c r="X433" i="1"/>
  <c r="X434" i="1"/>
  <c r="X435" i="1"/>
  <c r="Z435" i="1" s="1"/>
  <c r="X436" i="1"/>
  <c r="Z436" i="1" s="1"/>
  <c r="X437" i="1"/>
  <c r="X438" i="1"/>
  <c r="X439" i="1"/>
  <c r="Z439" i="1" s="1"/>
  <c r="X440" i="1"/>
  <c r="Z440" i="1" s="1"/>
  <c r="X441" i="1"/>
  <c r="X442" i="1"/>
  <c r="X443" i="1"/>
  <c r="Z443" i="1" s="1"/>
  <c r="X444" i="1"/>
  <c r="Z444" i="1" s="1"/>
  <c r="X445" i="1"/>
  <c r="X446" i="1"/>
  <c r="X447" i="1"/>
  <c r="Z447" i="1" s="1"/>
  <c r="X448" i="1"/>
  <c r="Z448" i="1" s="1"/>
  <c r="X449" i="1"/>
  <c r="X450" i="1"/>
  <c r="X451" i="1"/>
  <c r="Z451" i="1" s="1"/>
  <c r="X452" i="1"/>
  <c r="Z452" i="1" s="1"/>
  <c r="Z425" i="1"/>
  <c r="Z426" i="1"/>
  <c r="Z429" i="1"/>
  <c r="Z430" i="1"/>
  <c r="Z433" i="1"/>
  <c r="Z434" i="1"/>
  <c r="Z437" i="1"/>
  <c r="Z438" i="1"/>
  <c r="Z441" i="1"/>
  <c r="Z442" i="1"/>
  <c r="Z445" i="1"/>
  <c r="Z446" i="1"/>
  <c r="Z449" i="1"/>
  <c r="Z450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X453" i="1"/>
  <c r="Z453" i="1" s="1"/>
  <c r="X454" i="1"/>
  <c r="Z454" i="1" s="1"/>
  <c r="X455" i="1"/>
  <c r="Z455" i="1" s="1"/>
  <c r="X456" i="1"/>
  <c r="X457" i="1"/>
  <c r="Z457" i="1" s="1"/>
  <c r="X458" i="1"/>
  <c r="Z458" i="1" s="1"/>
  <c r="X459" i="1"/>
  <c r="Z459" i="1" s="1"/>
  <c r="X460" i="1"/>
  <c r="X461" i="1"/>
  <c r="Z461" i="1" s="1"/>
  <c r="X462" i="1"/>
  <c r="Z462" i="1" s="1"/>
  <c r="X463" i="1"/>
  <c r="Z463" i="1" s="1"/>
  <c r="X464" i="1"/>
  <c r="X465" i="1"/>
  <c r="Z465" i="1" s="1"/>
  <c r="X466" i="1"/>
  <c r="Z466" i="1" s="1"/>
  <c r="X467" i="1"/>
  <c r="Z467" i="1" s="1"/>
  <c r="Z456" i="1"/>
  <c r="Z460" i="1"/>
  <c r="Z464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O468" i="1"/>
  <c r="O469" i="1"/>
  <c r="O470" i="1"/>
  <c r="O471" i="1"/>
  <c r="O472" i="1"/>
  <c r="O473" i="1"/>
  <c r="O474" i="1"/>
  <c r="V468" i="1"/>
  <c r="V469" i="1"/>
  <c r="V470" i="1"/>
  <c r="V471" i="1"/>
  <c r="V472" i="1"/>
  <c r="V473" i="1"/>
  <c r="V474" i="1"/>
  <c r="W468" i="1"/>
  <c r="W469" i="1"/>
  <c r="W470" i="1"/>
  <c r="W471" i="1"/>
  <c r="W472" i="1"/>
  <c r="W473" i="1"/>
  <c r="W474" i="1"/>
  <c r="X468" i="1"/>
  <c r="Z468" i="1" s="1"/>
  <c r="X469" i="1"/>
  <c r="Z469" i="1" s="1"/>
  <c r="X470" i="1"/>
  <c r="Z470" i="1" s="1"/>
  <c r="X471" i="1"/>
  <c r="X472" i="1"/>
  <c r="Z472" i="1" s="1"/>
  <c r="X473" i="1"/>
  <c r="Z473" i="1" s="1"/>
  <c r="X474" i="1"/>
  <c r="Z474" i="1" s="1"/>
  <c r="Z471" i="1"/>
  <c r="AC468" i="1"/>
  <c r="AC469" i="1"/>
  <c r="AC470" i="1"/>
  <c r="AC471" i="1"/>
  <c r="AC472" i="1"/>
  <c r="AC473" i="1"/>
  <c r="AC474" i="1"/>
  <c r="O475" i="1"/>
  <c r="O476" i="1"/>
  <c r="O477" i="1"/>
  <c r="O478" i="1"/>
  <c r="V475" i="1"/>
  <c r="V476" i="1"/>
  <c r="V477" i="1"/>
  <c r="V478" i="1"/>
  <c r="W475" i="1"/>
  <c r="W476" i="1"/>
  <c r="W477" i="1"/>
  <c r="W478" i="1"/>
  <c r="X475" i="1"/>
  <c r="Z475" i="1" s="1"/>
  <c r="X476" i="1"/>
  <c r="Z476" i="1" s="1"/>
  <c r="X477" i="1"/>
  <c r="Z477" i="1" s="1"/>
  <c r="X478" i="1"/>
  <c r="Z478" i="1" s="1"/>
  <c r="AC475" i="1"/>
  <c r="AC476" i="1"/>
  <c r="AC477" i="1"/>
  <c r="AC478" i="1"/>
  <c r="O479" i="1"/>
  <c r="O480" i="1"/>
  <c r="O481" i="1"/>
  <c r="O482" i="1"/>
  <c r="V479" i="1"/>
  <c r="V480" i="1"/>
  <c r="V481" i="1"/>
  <c r="V482" i="1"/>
  <c r="W479" i="1"/>
  <c r="W480" i="1"/>
  <c r="W481" i="1"/>
  <c r="W482" i="1"/>
  <c r="X479" i="1"/>
  <c r="Z479" i="1" s="1"/>
  <c r="X480" i="1"/>
  <c r="Z480" i="1" s="1"/>
  <c r="X481" i="1"/>
  <c r="Z481" i="1" s="1"/>
  <c r="X482" i="1"/>
  <c r="Z482" i="1" s="1"/>
  <c r="AC479" i="1"/>
  <c r="AC480" i="1"/>
  <c r="AC481" i="1"/>
  <c r="AC482" i="1"/>
  <c r="O2" i="1"/>
  <c r="V2" i="1"/>
  <c r="X2" i="1"/>
  <c r="Z2" i="1" s="1"/>
  <c r="W2" i="1" s="1"/>
  <c r="AC2" i="1"/>
  <c r="R483" i="1"/>
  <c r="S483" i="1"/>
  <c r="AB483" i="1"/>
  <c r="T5" i="2" l="1"/>
  <c r="V483" i="1"/>
  <c r="AC483" i="1"/>
  <c r="Z483" i="1"/>
  <c r="G9" i="1" l="1"/>
  <c r="H5" i="1" l="1"/>
  <c r="H1" i="1"/>
  <c r="H4" i="1"/>
  <c r="H3" i="1"/>
  <c r="H2" i="1"/>
  <c r="X5" i="2"/>
</calcChain>
</file>

<file path=xl/sharedStrings.xml><?xml version="1.0" encoding="utf-8"?>
<sst xmlns="http://schemas.openxmlformats.org/spreadsheetml/2006/main" count="108941" uniqueCount="39049">
  <si>
    <t>H</t>
    <phoneticPr fontId="2"/>
  </si>
  <si>
    <t>-</t>
    <phoneticPr fontId="2"/>
  </si>
  <si>
    <t>+</t>
    <phoneticPr fontId="2"/>
  </si>
  <si>
    <t>F</t>
  </si>
  <si>
    <t>C</t>
  </si>
  <si>
    <t>O</t>
  </si>
  <si>
    <t>B21</t>
    <phoneticPr fontId="2"/>
  </si>
  <si>
    <t>B22</t>
    <phoneticPr fontId="2"/>
  </si>
  <si>
    <t>B29</t>
    <phoneticPr fontId="2"/>
  </si>
  <si>
    <t>B</t>
    <phoneticPr fontId="2"/>
  </si>
  <si>
    <t>Z19</t>
    <phoneticPr fontId="2"/>
  </si>
  <si>
    <t>Z11</t>
    <phoneticPr fontId="2"/>
  </si>
  <si>
    <t>Z20</t>
    <phoneticPr fontId="2"/>
  </si>
  <si>
    <t>C&amp;F</t>
    <phoneticPr fontId="2"/>
  </si>
  <si>
    <t>CIF</t>
    <phoneticPr fontId="2"/>
  </si>
  <si>
    <t>円換算率</t>
    <rPh sb="0" eb="4">
      <t>エンカンサンリツ</t>
    </rPh>
    <phoneticPr fontId="2"/>
  </si>
  <si>
    <t>FOB換算率</t>
    <rPh sb="3" eb="6">
      <t>カンサンリツ</t>
    </rPh>
    <phoneticPr fontId="2"/>
  </si>
  <si>
    <t>番号</t>
    <rPh sb="0" eb="2">
      <t>バンゴウ</t>
    </rPh>
    <phoneticPr fontId="1"/>
  </si>
  <si>
    <t>記号</t>
    <rPh sb="0" eb="2">
      <t>キゴウ</t>
    </rPh>
    <phoneticPr fontId="1"/>
  </si>
  <si>
    <t>欄</t>
    <rPh sb="0" eb="1">
      <t>ラン</t>
    </rPh>
    <phoneticPr fontId="1"/>
  </si>
  <si>
    <t>HS</t>
  </si>
  <si>
    <t>末尾</t>
    <rPh sb="0" eb="2">
      <t>マツビ</t>
    </rPh>
    <phoneticPr fontId="1"/>
  </si>
  <si>
    <t>減免他法令</t>
    <rPh sb="0" eb="2">
      <t>ゲンメン</t>
    </rPh>
    <rPh sb="2" eb="5">
      <t>タホウレイ</t>
    </rPh>
    <phoneticPr fontId="1"/>
  </si>
  <si>
    <t>単価</t>
    <rPh sb="0" eb="2">
      <t>タンカ</t>
    </rPh>
    <phoneticPr fontId="1"/>
  </si>
  <si>
    <t>NO</t>
  </si>
  <si>
    <t>幅</t>
    <rPh sb="0" eb="1">
      <t>ハバ</t>
    </rPh>
    <phoneticPr fontId="1"/>
  </si>
  <si>
    <t>長さ</t>
    <rPh sb="0" eb="1">
      <t>ナガ</t>
    </rPh>
    <phoneticPr fontId="1"/>
  </si>
  <si>
    <t>SM</t>
  </si>
  <si>
    <t>目付</t>
    <rPh sb="0" eb="2">
      <t>メツケ</t>
    </rPh>
    <phoneticPr fontId="1"/>
  </si>
  <si>
    <t>KG(目付)</t>
    <rPh sb="3" eb="5">
      <t>メツケ</t>
    </rPh>
    <phoneticPr fontId="1"/>
  </si>
  <si>
    <t>KG</t>
  </si>
  <si>
    <t>KG合計</t>
    <rPh sb="2" eb="4">
      <t>ゴウケイ</t>
    </rPh>
    <phoneticPr fontId="1"/>
  </si>
  <si>
    <t>g/SM</t>
  </si>
  <si>
    <t>g/M</t>
  </si>
  <si>
    <t>集計</t>
  </si>
  <si>
    <t>C&amp;I</t>
    <phoneticPr fontId="2"/>
  </si>
  <si>
    <t>DDU</t>
    <phoneticPr fontId="2"/>
  </si>
  <si>
    <t>EXW</t>
    <phoneticPr fontId="2"/>
  </si>
  <si>
    <t>末尾</t>
    <rPh sb="0" eb="2">
      <t>マツビ</t>
    </rPh>
    <phoneticPr fontId="2"/>
  </si>
  <si>
    <t>減免他法令</t>
    <rPh sb="0" eb="2">
      <t>ゲンメン</t>
    </rPh>
    <rPh sb="2" eb="5">
      <t>タホウレイ</t>
    </rPh>
    <phoneticPr fontId="2"/>
  </si>
  <si>
    <t>FOB</t>
    <phoneticPr fontId="1"/>
  </si>
  <si>
    <t>FOB</t>
    <phoneticPr fontId="2"/>
  </si>
  <si>
    <t>金額</t>
    <rPh sb="0" eb="2">
      <t>キンガク</t>
    </rPh>
    <phoneticPr fontId="1"/>
  </si>
  <si>
    <t>金額</t>
    <rPh sb="0" eb="2">
      <t>キンガク</t>
    </rPh>
    <phoneticPr fontId="2"/>
  </si>
  <si>
    <t>番号</t>
    <rPh sb="0" eb="2">
      <t>バンゴウ</t>
    </rPh>
    <phoneticPr fontId="2"/>
  </si>
  <si>
    <t>欄</t>
    <rPh sb="0" eb="1">
      <t>ラン</t>
    </rPh>
    <phoneticPr fontId="2"/>
  </si>
  <si>
    <t>欄</t>
    <rPh sb="0" eb="1">
      <t>ラン</t>
    </rPh>
    <phoneticPr fontId="2"/>
  </si>
  <si>
    <t>SM計算指数</t>
    <rPh sb="2" eb="6">
      <t>ケイサンシスウ</t>
    </rPh>
    <phoneticPr fontId="2"/>
  </si>
  <si>
    <t>合計</t>
    <rPh sb="0" eb="2">
      <t>ゴウケイ</t>
    </rPh>
    <phoneticPr fontId="2"/>
  </si>
  <si>
    <t>LL</t>
    <phoneticPr fontId="2"/>
  </si>
  <si>
    <t>WH POLY PLAIN</t>
  </si>
  <si>
    <t>WH POLY PLAIN</t>
    <phoneticPr fontId="2"/>
  </si>
  <si>
    <t>WH POLY TWILL</t>
  </si>
  <si>
    <t>WH POLY TWILL</t>
    <phoneticPr fontId="2"/>
  </si>
  <si>
    <t>WH OT</t>
  </si>
  <si>
    <t>WH OT</t>
    <phoneticPr fontId="2"/>
  </si>
  <si>
    <t>DY POLY PLAIN</t>
  </si>
  <si>
    <t>DY POLY PLAIN</t>
    <phoneticPr fontId="2"/>
  </si>
  <si>
    <t>DY POLY TWILL</t>
  </si>
  <si>
    <t>DY POLY TWILL</t>
    <phoneticPr fontId="2"/>
  </si>
  <si>
    <t>DY POLY OT</t>
  </si>
  <si>
    <t>DY POLY OT</t>
    <phoneticPr fontId="2"/>
  </si>
  <si>
    <t>DY OT</t>
  </si>
  <si>
    <t>DY OT</t>
    <phoneticPr fontId="2"/>
  </si>
  <si>
    <t>YD</t>
  </si>
  <si>
    <t>YD</t>
    <phoneticPr fontId="2"/>
  </si>
  <si>
    <t>PR POLY PLAIN</t>
  </si>
  <si>
    <t>PR POLY PLAIN</t>
    <phoneticPr fontId="2"/>
  </si>
  <si>
    <t>PR POLY TWILL</t>
  </si>
  <si>
    <t>PR POLY TWILL</t>
    <phoneticPr fontId="2"/>
  </si>
  <si>
    <t>PR POLY OT</t>
  </si>
  <si>
    <t>PR POLY OT</t>
    <phoneticPr fontId="2"/>
  </si>
  <si>
    <t>PR OT</t>
  </si>
  <si>
    <t>PR OT</t>
    <phoneticPr fontId="2"/>
  </si>
  <si>
    <t>WH POLY OT</t>
  </si>
  <si>
    <t>WH POLY OT</t>
    <phoneticPr fontId="2"/>
  </si>
  <si>
    <t>YD POLY OT</t>
  </si>
  <si>
    <t>YD POLY OT</t>
    <phoneticPr fontId="2"/>
  </si>
  <si>
    <t>YD OT</t>
  </si>
  <si>
    <t>YD OT</t>
    <phoneticPr fontId="2"/>
  </si>
  <si>
    <t>合繊　経</t>
    <rPh sb="0" eb="2">
      <t>ゴウセン</t>
    </rPh>
    <rPh sb="3" eb="4">
      <t>タ</t>
    </rPh>
    <phoneticPr fontId="2"/>
  </si>
  <si>
    <t>合繊　OT</t>
    <rPh sb="0" eb="2">
      <t>ゴウセン</t>
    </rPh>
    <phoneticPr fontId="2"/>
  </si>
  <si>
    <t>WOOL</t>
  </si>
  <si>
    <t>WOOL</t>
    <phoneticPr fontId="2"/>
  </si>
  <si>
    <t>COTTON</t>
  </si>
  <si>
    <t>COTTON</t>
    <phoneticPr fontId="2"/>
  </si>
  <si>
    <t>合繊 経</t>
    <rPh sb="0" eb="2">
      <t>ゴウセン</t>
    </rPh>
    <rPh sb="3" eb="4">
      <t>タ</t>
    </rPh>
    <phoneticPr fontId="2"/>
  </si>
  <si>
    <t>合繊 OT</t>
    <rPh sb="0" eb="2">
      <t>ゴウセン</t>
    </rPh>
    <phoneticPr fontId="2"/>
  </si>
  <si>
    <t>ARTIFICIAL</t>
  </si>
  <si>
    <t>ARTIFICIAL</t>
    <phoneticPr fontId="2"/>
  </si>
  <si>
    <t>人造繊維</t>
    <rPh sb="0" eb="4">
      <t>ジンゾウセンイ</t>
    </rPh>
    <phoneticPr fontId="2"/>
  </si>
  <si>
    <t>その他</t>
    <rPh sb="2" eb="3">
      <t>タ</t>
    </rPh>
    <phoneticPr fontId="2"/>
  </si>
  <si>
    <t xml:space="preserve">S/I NO ： </t>
    <phoneticPr fontId="2"/>
  </si>
  <si>
    <t>25POLY</t>
    <phoneticPr fontId="2"/>
  </si>
  <si>
    <t>70NY</t>
    <phoneticPr fontId="2"/>
  </si>
  <si>
    <t>70POLY</t>
    <phoneticPr fontId="2"/>
  </si>
  <si>
    <t>25OT</t>
    <phoneticPr fontId="2"/>
  </si>
  <si>
    <t>70PP</t>
    <phoneticPr fontId="2"/>
  </si>
  <si>
    <t>70OT</t>
    <phoneticPr fontId="2"/>
  </si>
  <si>
    <t>150NY</t>
    <phoneticPr fontId="2"/>
  </si>
  <si>
    <t>150POLY</t>
    <phoneticPr fontId="2"/>
  </si>
  <si>
    <t>150OT</t>
    <phoneticPr fontId="2"/>
  </si>
  <si>
    <t>NY</t>
    <phoneticPr fontId="2"/>
  </si>
  <si>
    <t>POLY</t>
    <phoneticPr fontId="2"/>
  </si>
  <si>
    <t>OT</t>
    <phoneticPr fontId="2"/>
  </si>
  <si>
    <t>150PP</t>
    <phoneticPr fontId="2"/>
  </si>
  <si>
    <t>25PP</t>
    <phoneticPr fontId="2"/>
  </si>
  <si>
    <t>L</t>
  </si>
  <si>
    <t>E</t>
  </si>
  <si>
    <t xml:space="preserve"> </t>
  </si>
  <si>
    <t>大額・少額</t>
    <rPh sb="0" eb="2">
      <t>ダイガク</t>
    </rPh>
    <rPh sb="3" eb="5">
      <t>ショウガク</t>
    </rPh>
    <phoneticPr fontId="2"/>
  </si>
  <si>
    <t>申告種別</t>
    <rPh sb="0" eb="4">
      <t>シンコクシュベツ</t>
    </rPh>
    <phoneticPr fontId="2"/>
  </si>
  <si>
    <t>輸出者符号</t>
    <rPh sb="0" eb="2">
      <t>ユシュツ</t>
    </rPh>
    <rPh sb="2" eb="3">
      <t>シャ</t>
    </rPh>
    <rPh sb="3" eb="5">
      <t>フゴウ</t>
    </rPh>
    <phoneticPr fontId="2"/>
  </si>
  <si>
    <t>輸出者名</t>
    <rPh sb="0" eb="4">
      <t>ユシュツシャメイ</t>
    </rPh>
    <phoneticPr fontId="2"/>
  </si>
  <si>
    <t>〒</t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</si>
  <si>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</si>
  <si>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</si>
  <si>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住所3</t>
    <rPh sb="0" eb="2">
      <t>ジュウショ</t>
    </rPh>
    <phoneticPr fontId="2"/>
  </si>
  <si>
    <t>Tel</t>
    <phoneticPr fontId="2"/>
  </si>
  <si>
    <t>仕向人</t>
    <rPh sb="0" eb="3">
      <t>シムケニン</t>
    </rPh>
    <phoneticPr fontId="2"/>
  </si>
  <si>
    <t>仕向人住所1</t>
    <rPh sb="0" eb="3">
      <t>シムケニン</t>
    </rPh>
    <rPh sb="3" eb="5">
      <t>ジュウショ</t>
    </rPh>
    <phoneticPr fontId="2"/>
  </si>
  <si>
    <t>仕向人住所2</t>
    <rPh sb="0" eb="3">
      <t>シムケニン</t>
    </rPh>
    <rPh sb="3" eb="5">
      <t>ジュウショ</t>
    </rPh>
    <phoneticPr fontId="2"/>
  </si>
  <si>
    <t>仕向人住所3</t>
    <rPh sb="0" eb="3">
      <t>シムケニン</t>
    </rPh>
    <rPh sb="3" eb="5">
      <t>ジュウショ</t>
    </rPh>
    <phoneticPr fontId="2"/>
  </si>
  <si>
    <t>仕向人住所4</t>
    <rPh sb="0" eb="3">
      <t>シムケニン</t>
    </rPh>
    <rPh sb="3" eb="5">
      <t>ジュウショ</t>
    </rPh>
    <phoneticPr fontId="2"/>
  </si>
  <si>
    <t>国コード</t>
    <rPh sb="0" eb="1">
      <t>クニ</t>
    </rPh>
    <phoneticPr fontId="2"/>
  </si>
  <si>
    <t>管理番号</t>
    <rPh sb="0" eb="4">
      <t>カンリバンゴウ</t>
    </rPh>
    <phoneticPr fontId="2"/>
  </si>
  <si>
    <t>最終仕向け地コード</t>
    <rPh sb="0" eb="4">
      <t>サイシュウシム</t>
    </rPh>
    <rPh sb="5" eb="6">
      <t>チ</t>
    </rPh>
    <phoneticPr fontId="2"/>
  </si>
  <si>
    <t>貿易形態別符号</t>
    <rPh sb="0" eb="2">
      <t>ボウエキ</t>
    </rPh>
    <rPh sb="2" eb="4">
      <t>ケイタイ</t>
    </rPh>
    <rPh sb="4" eb="5">
      <t>ベツ</t>
    </rPh>
    <rPh sb="5" eb="7">
      <t>フゴウ</t>
    </rPh>
    <phoneticPr fontId="2"/>
  </si>
  <si>
    <t>輸出承認証等区分</t>
    <rPh sb="0" eb="8">
      <t>ユシュツショウニンショウトウクブン</t>
    </rPh>
    <phoneticPr fontId="2"/>
  </si>
  <si>
    <t>インボイス識別</t>
    <rPh sb="5" eb="7">
      <t>シキベツ</t>
    </rPh>
    <phoneticPr fontId="2"/>
  </si>
  <si>
    <t>インボイス番号</t>
    <rPh sb="5" eb="7">
      <t>バンゴウ</t>
    </rPh>
    <phoneticPr fontId="2"/>
  </si>
  <si>
    <t>建値</t>
    <rPh sb="0" eb="2">
      <t>タテネ</t>
    </rPh>
    <phoneticPr fontId="2"/>
  </si>
  <si>
    <t>通貨</t>
    <rPh sb="0" eb="2">
      <t>ツウカ</t>
    </rPh>
    <phoneticPr fontId="2"/>
  </si>
  <si>
    <t>仕入書価格</t>
    <rPh sb="0" eb="5">
      <t>シイレショカカク</t>
    </rPh>
    <phoneticPr fontId="2"/>
  </si>
  <si>
    <t>有償・無償</t>
    <rPh sb="0" eb="2">
      <t>ユウショウ</t>
    </rPh>
    <rPh sb="3" eb="5">
      <t>ムショウ</t>
    </rPh>
    <phoneticPr fontId="2"/>
  </si>
  <si>
    <t>FOB金額</t>
    <rPh sb="3" eb="5">
      <t>キンガク</t>
    </rPh>
    <phoneticPr fontId="2"/>
  </si>
  <si>
    <t>税関記事欄</t>
    <rPh sb="0" eb="5">
      <t>ゼイカンキジラン</t>
    </rPh>
    <phoneticPr fontId="2"/>
  </si>
  <si>
    <t>通関記事欄</t>
    <rPh sb="0" eb="2">
      <t>ツウカン</t>
    </rPh>
    <rPh sb="2" eb="4">
      <t>キジ</t>
    </rPh>
    <rPh sb="4" eb="5">
      <t>ラン</t>
    </rPh>
    <phoneticPr fontId="2"/>
  </si>
  <si>
    <t>荷主記事欄</t>
    <rPh sb="0" eb="5">
      <t>ニヌシキジラン</t>
    </rPh>
    <phoneticPr fontId="2"/>
  </si>
  <si>
    <t>荷主セクションコード</t>
    <rPh sb="0" eb="2">
      <t>ニヌシ</t>
    </rPh>
    <phoneticPr fontId="2"/>
  </si>
  <si>
    <t>荷主REF NO.</t>
    <rPh sb="0" eb="2">
      <t>ニヌシ</t>
    </rPh>
    <phoneticPr fontId="2"/>
  </si>
  <si>
    <t>社内整理番号</t>
    <rPh sb="0" eb="6">
      <t>シャナイセイリバンゴウ</t>
    </rPh>
    <phoneticPr fontId="2"/>
  </si>
  <si>
    <t>統計1</t>
    <rPh sb="0" eb="2">
      <t>トウケイ</t>
    </rPh>
    <phoneticPr fontId="2"/>
  </si>
  <si>
    <t>統計2</t>
    <rPh sb="0" eb="2">
      <t>トウケイ</t>
    </rPh>
    <phoneticPr fontId="2"/>
  </si>
  <si>
    <t>ROW 31</t>
  </si>
  <si>
    <t>ROW 32</t>
  </si>
  <si>
    <t>ROW 33</t>
  </si>
  <si>
    <t>ROW 34</t>
  </si>
  <si>
    <t>ROW 35</t>
  </si>
  <si>
    <t>ROW 36</t>
  </si>
  <si>
    <t>ROW 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</si>
  <si>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</si>
  <si>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</si>
  <si>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</si>
  <si>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</si>
  <si>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</si>
  <si>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</si>
  <si>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</si>
  <si>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</si>
  <si>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</si>
  <si>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</si>
  <si>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</si>
  <si>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</si>
  <si>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</si>
  <si>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</si>
  <si>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</si>
  <si>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</si>
  <si>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</si>
  <si>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</si>
  <si>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</si>
  <si>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</si>
  <si>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</si>
  <si>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</si>
  <si>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</si>
  <si>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</si>
  <si>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</si>
  <si>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</si>
  <si>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</si>
  <si>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37</t>
  </si>
  <si>
    <t>ROW 38</t>
  </si>
  <si>
    <t>ROW 39</t>
  </si>
  <si>
    <t>ROW 40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</si>
  <si>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</si>
  <si>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</si>
  <si>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</si>
  <si>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</si>
  <si>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</si>
  <si>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</si>
  <si>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</si>
  <si>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</si>
  <si>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</si>
  <si>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</si>
  <si>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</si>
  <si>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</si>
  <si>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</si>
  <si>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</si>
  <si>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</si>
  <si>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</si>
  <si>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</si>
  <si>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</si>
  <si>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</si>
  <si>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</si>
  <si>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</si>
  <si>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</si>
  <si>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ROW 64</t>
  </si>
  <si>
    <t>ROW 65</t>
  </si>
  <si>
    <t>ROW 66</t>
  </si>
  <si>
    <t>ROW 67</t>
  </si>
  <si>
    <t>ROW 68</t>
  </si>
  <si>
    <t>ROW 69</t>
  </si>
  <si>
    <t>ROW 70</t>
  </si>
  <si>
    <t>ROW 71</t>
  </si>
  <si>
    <t>ROW 72</t>
  </si>
  <si>
    <t>ROW 73</t>
  </si>
  <si>
    <t>ROW 74</t>
  </si>
  <si>
    <t>ROW 75</t>
  </si>
  <si>
    <t>ROW 76</t>
  </si>
  <si>
    <t>ROW 77</t>
  </si>
  <si>
    <t>ROW 78</t>
  </si>
  <si>
    <t>ROW 79</t>
  </si>
  <si>
    <t>ROW 80</t>
  </si>
  <si>
    <t>ROW 81</t>
  </si>
  <si>
    <t>ROW 82</t>
  </si>
  <si>
    <t>ROW 83</t>
  </si>
  <si>
    <t>ROW 84</t>
  </si>
  <si>
    <t>ROW 85</t>
  </si>
  <si>
    <t>ROW 86</t>
  </si>
  <si>
    <t>ROW 87</t>
  </si>
  <si>
    <t>ROW 88</t>
  </si>
  <si>
    <t>ROW 89</t>
  </si>
  <si>
    <t>ROW 90</t>
  </si>
  <si>
    <t>ROW 91</t>
  </si>
  <si>
    <t>ROW 92</t>
  </si>
  <si>
    <t>ROW 93</t>
  </si>
  <si>
    <t>ROW 94</t>
  </si>
  <si>
    <t>ROW 95</t>
  </si>
  <si>
    <t>ROW 96</t>
  </si>
  <si>
    <t>ROW 97</t>
  </si>
  <si>
    <t>ROW 98</t>
  </si>
  <si>
    <t>ROW 99</t>
  </si>
  <si>
    <t>ROW 100</t>
  </si>
  <si>
    <t>ROW 101</t>
  </si>
  <si>
    <t>ROW 102</t>
  </si>
  <si>
    <t>ROW 103</t>
  </si>
  <si>
    <t>ROW 104</t>
  </si>
  <si>
    <t>ROW 105</t>
  </si>
  <si>
    <t>ROW 106</t>
  </si>
  <si>
    <t>ROW 107</t>
  </si>
  <si>
    <t>ROW 108</t>
  </si>
  <si>
    <t>ROW 109</t>
  </si>
  <si>
    <t>ROW 110</t>
  </si>
  <si>
    <t>ROW 111</t>
  </si>
  <si>
    <t>ROW 112</t>
  </si>
  <si>
    <t>ROW 113</t>
  </si>
  <si>
    <t>ROW 114</t>
  </si>
  <si>
    <t>ROW 115</t>
  </si>
  <si>
    <t>ROW 116</t>
  </si>
  <si>
    <t>ROW 117</t>
  </si>
  <si>
    <t>ROW 118</t>
  </si>
  <si>
    <t>ROW 119</t>
  </si>
  <si>
    <t>ROW 120</t>
  </si>
  <si>
    <t>ROW 121</t>
  </si>
  <si>
    <t>ROW 122</t>
  </si>
  <si>
    <t>ROW 123</t>
  </si>
  <si>
    <t>ROW 1</t>
  </si>
  <si>
    <t>ROW 2</t>
  </si>
  <si>
    <t>ROW 30</t>
  </si>
  <si>
    <t>住所4</t>
    <rPh sb="0" eb="2">
      <t>ジュウショ</t>
    </rPh>
    <phoneticPr fontId="2"/>
  </si>
  <si>
    <t xml:space="preserve">   EDA                                                                                                                                                                                                                                                                                                                                                                      2SEL                        004113</t>
  </si>
  <si>
    <t>HS</t>
    <phoneticPr fontId="2"/>
  </si>
  <si>
    <t>統計１単位</t>
    <rPh sb="0" eb="2">
      <t>トウケイ</t>
    </rPh>
    <rPh sb="3" eb="5">
      <t>タンイ</t>
    </rPh>
    <phoneticPr fontId="2"/>
  </si>
  <si>
    <t>統計2単位</t>
    <rPh sb="0" eb="2">
      <t>トウケイ</t>
    </rPh>
    <rPh sb="3" eb="5">
      <t>タンイ</t>
    </rPh>
    <phoneticPr fontId="2"/>
  </si>
  <si>
    <t>BPR</t>
    <phoneticPr fontId="2"/>
  </si>
  <si>
    <t>別表コード</t>
    <rPh sb="0" eb="2">
      <t>ベッピョウ</t>
    </rPh>
    <phoneticPr fontId="2"/>
  </si>
  <si>
    <t>48条識別</t>
    <rPh sb="2" eb="3">
      <t>ジョウ</t>
    </rPh>
    <rPh sb="3" eb="5">
      <t>シキベツ</t>
    </rPh>
    <phoneticPr fontId="2"/>
  </si>
  <si>
    <t>減免コード</t>
    <rPh sb="0" eb="2">
      <t>ゲンメン</t>
    </rPh>
    <phoneticPr fontId="2"/>
  </si>
  <si>
    <t xml:space="preserve">NOMURA THANH HOA GARMENT CO.,LTD. </t>
  </si>
  <si>
    <t>LE MON INDUSTRIAL ZONE,QUANG HUNG W</t>
  </si>
  <si>
    <t>ARD,THANH HOA CITY,THANH HOA PROVIN</t>
  </si>
  <si>
    <t xml:space="preserve">CE VIETNAM </t>
    <phoneticPr fontId="2"/>
  </si>
  <si>
    <t xml:space="preserve">NOMURA FOTRANCO CO.,LTD. </t>
  </si>
  <si>
    <t>174 LE LAI STREET,NGO QUYEN DISTRIC</t>
  </si>
  <si>
    <t xml:space="preserve">T,HAIPHONG CITY,S.R.VIETNAM </t>
  </si>
  <si>
    <t>PHAN THIET GARMENT IMPORT-EXPORT JOINT STOCK COMPANY</t>
    <phoneticPr fontId="2"/>
  </si>
  <si>
    <t xml:space="preserve">282 NGUYEN HOI STREET, </t>
  </si>
  <si>
    <t>XUAN AN WARD,PHAN THIET CITY,</t>
  </si>
  <si>
    <t xml:space="preserve">BINH THUAN PROVINCE,VIETNAM </t>
  </si>
  <si>
    <t xml:space="preserve">HAOTAN CO.,LTD. </t>
  </si>
  <si>
    <t>232HOANG QUOC VIET,AN BINH WARD,NIN</t>
  </si>
  <si>
    <t>H KIEU DISTRICT,CANTHO CITY,VIETNAM</t>
  </si>
  <si>
    <t>JP MART</t>
    <phoneticPr fontId="2"/>
  </si>
  <si>
    <t>GARMENT GREAT WAY CO.,LTD.</t>
  </si>
  <si>
    <t>NGUYEN THIEN THUAT STREET,PHAN DINH</t>
  </si>
  <si>
    <t xml:space="preserve"> PHUNG WARD,MY HAO TOWN,HUNG YEN PR</t>
  </si>
  <si>
    <t>OVINCE,VIETNAM</t>
  </si>
  <si>
    <t>SHOWA(VIETNAM)CO.,LTD</t>
  </si>
  <si>
    <t>ROAD 14,TAN THUAN EXPORT PROCESSING</t>
  </si>
  <si>
    <t xml:space="preserve"> ZONE,DISTRICT 7,HOCHIMINH CITY,VIE</t>
  </si>
  <si>
    <t>TNAM</t>
  </si>
  <si>
    <t>DIN SEN VIETNAM ENTERPRISE CO.,LTD</t>
  </si>
  <si>
    <t>NO.03,HO VAN TANG ROAD,HAMLET 1A,TA</t>
  </si>
  <si>
    <t>N THANH TAY COMMUNE,CU CHI DISTRICT</t>
  </si>
  <si>
    <t>,HOCHIMINH CITY,VIETNAM</t>
  </si>
  <si>
    <t>SUITSTAR GARMENT CO.,LTD.</t>
    <phoneticPr fontId="2"/>
  </si>
  <si>
    <t>NO.2 NYUNG INN JUNCTION,WARD 9,</t>
    <phoneticPr fontId="2"/>
  </si>
  <si>
    <t>BAGO TOWNSHIP,BAGO DIVISION,MYANMAR</t>
    <phoneticPr fontId="2"/>
  </si>
  <si>
    <t>MITSUBOSHI</t>
    <phoneticPr fontId="2"/>
  </si>
  <si>
    <t xml:space="preserve">GIATOC GARMENT EXPORT JOINT STOCK COMPANY </t>
  </si>
  <si>
    <t>TRAN XA QUARTER,NGUYEN LY VILLAGE,L</t>
  </si>
  <si>
    <t>Y NHAN DISTRICT,HANAM PROVINCE,VIET</t>
  </si>
  <si>
    <t>NAM</t>
    <phoneticPr fontId="2"/>
  </si>
  <si>
    <t>HANA KOVI INC.</t>
    <phoneticPr fontId="2"/>
  </si>
  <si>
    <t>DONG DINH INDUSTRIAL ZONE,CAO THUON</t>
  </si>
  <si>
    <t>G COMMUNE,TAN YEN DISTRICT,BAC GIAN</t>
  </si>
  <si>
    <t>G PROVINCE,VIETNAM</t>
  </si>
  <si>
    <t>DONG LONG(MYANMAR)GARMENT CO.,LTD.</t>
  </si>
  <si>
    <t>L7,L8,L9 A NAW YA HTAR STREET,A NAW</t>
  </si>
  <si>
    <t xml:space="preserve"> YA HTAR INDUSTRIAL ZONE,HLAING THA</t>
  </si>
  <si>
    <t>R YAR TOWNSHIP,YANGON,MYANMAR</t>
  </si>
  <si>
    <t>PT.RICKY GARMEN EXPORTINDO</t>
  </si>
  <si>
    <t>JL.INDUSTRI NO.54,TARIKOLOT-CITEURE</t>
  </si>
  <si>
    <t>UP,BOGOR-INDONESIA 16810</t>
  </si>
  <si>
    <t>PT.MATARAM TUNGGAL GARMENT</t>
  </si>
  <si>
    <t>BALONG,DONOHARJO,NGAGLIK,SLEMAN,D.I</t>
  </si>
  <si>
    <t>.YOGYAKARTA 55581 INDONESIA</t>
  </si>
  <si>
    <t>JIANGSU PURSUIT APPAREL CO.,LTD</t>
  </si>
  <si>
    <t>NO58 ZHONGXING ROAD,JINTAN,DISTRICT</t>
  </si>
  <si>
    <t xml:space="preserve"> CHANGZHOU CITY</t>
  </si>
  <si>
    <t>DUC GIANG CORP(DUGARCO)</t>
  </si>
  <si>
    <t>CT HANOI VIETNAM</t>
  </si>
  <si>
    <t>DALIAN SHENGYING FASHION CO.,LTD.</t>
  </si>
  <si>
    <t>LIGUAN VILLAGE LIGUAN CALM WAFANDIA</t>
  </si>
  <si>
    <t>N,DALIAN CHINA</t>
  </si>
  <si>
    <t>SHANDONG ZHONGDI I&amp;E CO.,LTD</t>
  </si>
  <si>
    <t>CHUANGYE MANSION LAOSHAN DISTRICT Q</t>
  </si>
  <si>
    <t>INGDAO SHANDONG CHINA</t>
  </si>
  <si>
    <t>TOMOE</t>
    <phoneticPr fontId="2"/>
  </si>
  <si>
    <t>NEW EASY(SHANGHAI)SUPPLY CHAIN MANAGEMENT CO.,LTD.</t>
  </si>
  <si>
    <t>2/F,BUILDING 2,NO.989 SONGHUA ROAD,</t>
  </si>
  <si>
    <t>ZHAOXIANG TOWN,QINGPU DISTRICT SHAN</t>
  </si>
  <si>
    <t>GHAI 201706 CHINA</t>
  </si>
  <si>
    <t>QUALITY AND BEAUTY GARMENTS CO.,LTD</t>
  </si>
  <si>
    <t>NO.1 YARD 1319 LIQUAN AVENUE,GAOMI,</t>
  </si>
  <si>
    <t>WEIFANG,SHANDONG,CHINA</t>
    <phoneticPr fontId="2"/>
  </si>
  <si>
    <t>NANTONG SHANGGENG DRESS &amp; ADORNMENT CO.,LTD</t>
  </si>
  <si>
    <t>NO.18,GROUP 9,HELIU VILLAGE WUYAO T</t>
  </si>
  <si>
    <t>OWN,RUGAO,JIANGSU,CHINA</t>
  </si>
  <si>
    <t>LONGQUAN DRESS &amp; ADORNMENT(NANTONG)CO.,LTD.</t>
  </si>
  <si>
    <t>NO.68 TAINING ROAD,ECONOMIC DEVELOP</t>
  </si>
  <si>
    <t>MENT ZONE,RUGAO CITY,JIANGSU PROVIN</t>
  </si>
  <si>
    <t>CE,CHINA</t>
  </si>
  <si>
    <t>PT.UDAKA INDONESIA</t>
  </si>
  <si>
    <t>CUPUWATU I,RT,004 RW002,PURWOMARTAN</t>
  </si>
  <si>
    <t>I,KALASAN,SLEMAN,YOGYAKARTA,INDONES</t>
  </si>
  <si>
    <t>IA</t>
  </si>
  <si>
    <t>COUNTRY BRIGHT INTERNATIONAL COMPANY LIMITED</t>
  </si>
  <si>
    <t>ROOM.1,10/F,FOOK YIP BUILDING,53-57</t>
  </si>
  <si>
    <t xml:space="preserve"> KWAI FUNG CRESCENT,KWAI CHUNG,N.T.</t>
  </si>
  <si>
    <t>,HONG KONG</t>
  </si>
  <si>
    <t xml:space="preserve">PT.SHINKO TOYOBO GARMENT </t>
  </si>
  <si>
    <t>JL.PANYAWUNGAN KM.19,DESA CILEUNYI</t>
  </si>
  <si>
    <t>WETAN,CILEUNYI,KAB.BANDUNG JAWA BAR</t>
  </si>
  <si>
    <t xml:space="preserve">AT,40622 INDONESIA </t>
    <phoneticPr fontId="2"/>
  </si>
  <si>
    <t>PT.PERDANA FIRSTA GARMENT</t>
  </si>
  <si>
    <t>JL.RAYA BATUJAJAR NO.156 KM 1,2 DS.</t>
  </si>
  <si>
    <t>LAKSANAMEKAR KEC.PADALARANG BANDUNG</t>
  </si>
  <si>
    <t xml:space="preserve"> BARAT-40553 JAWA BARAT-INDONESIA  </t>
  </si>
  <si>
    <t xml:space="preserve">PT.TOYOBO MANUFACTURING INDONESIA </t>
  </si>
  <si>
    <t xml:space="preserve">LOT B-3,KARAWANG 41361,JAWA BARAT, </t>
  </si>
  <si>
    <t xml:space="preserve">INDONESIA                          </t>
  </si>
  <si>
    <t xml:space="preserve">QINGDAO RONGLESEGA INTERNATIONAL TRADE CO.,LTD. </t>
  </si>
  <si>
    <t>ROOM 602,UNIT 2,BUILDING 6,NO.129</t>
  </si>
  <si>
    <t xml:space="preserve">FUZHOUBEI ROAD,QINGDAO,CHINA </t>
  </si>
  <si>
    <t xml:space="preserve">TOYOBO BINH DUONG CO.,LTD. </t>
  </si>
  <si>
    <t>LOT 03,VIET HUONG INDUSTRIAL PARK,T</t>
  </si>
  <si>
    <t>HUAN GIAO WARD,THUAN AN CITY BINH D</t>
  </si>
  <si>
    <t>UONG PROVINCE,VIETNAM</t>
  </si>
  <si>
    <t xml:space="preserve">HOP THINH CO.,LTD.  </t>
  </si>
  <si>
    <t>#LOT E4 JAPAN-HAIPHONG INDUSTRIAL</t>
  </si>
  <si>
    <t xml:space="preserve">ZONE TAN TIEN COMMUNE,AN DUONG </t>
  </si>
  <si>
    <t xml:space="preserve">DISTRICT,HAIPHONG CITY,VIETNAM </t>
  </si>
  <si>
    <t>HOP THINH CO.,LTD.</t>
  </si>
  <si>
    <t>#E4 IN NOMURA-HAIPHONG INDUSTRIAL Z</t>
  </si>
  <si>
    <t>ONE ANDUONG DISTRICT,HAIPHONG CITY,</t>
  </si>
  <si>
    <t xml:space="preserve">VIETNAM                            </t>
  </si>
  <si>
    <t>TECHNO ASSOCIE SHANGHAI CO.,LTD.</t>
    <phoneticPr fontId="2"/>
  </si>
  <si>
    <t xml:space="preserve">NANTONG WEIFU FOREIGN TRADE CO.,LTD </t>
  </si>
  <si>
    <t>7/F YINXING BUILDING NO.228 GONGNON</t>
  </si>
  <si>
    <t>G RD,NANTONG,JIANGSU,CHINA</t>
  </si>
  <si>
    <t xml:space="preserve">SHANGHAI SHUIYUAN FASHION CO.,LTD </t>
  </si>
  <si>
    <t>NO.78 SECOND AVENUE WUSHE OLD STREE</t>
  </si>
  <si>
    <t>T MAOGANGTOWN,SONGJIANG DISTRICT,SH</t>
  </si>
  <si>
    <t xml:space="preserve">ANGHAI                             </t>
  </si>
  <si>
    <t>VERDE</t>
    <phoneticPr fontId="2"/>
  </si>
  <si>
    <t>SAO VIET - HA NAM GARMENT COMPANY LIMITED</t>
  </si>
  <si>
    <t>NHAT TAN INDUSTRIAL ZONE,KIM BANG D</t>
  </si>
  <si>
    <t>IST,HA NAM,VIETNAM</t>
  </si>
  <si>
    <t>NIDEC OKK</t>
    <phoneticPr fontId="2"/>
  </si>
  <si>
    <t>METHODS MACHINE TOOLS,INC.</t>
  </si>
  <si>
    <t>TECNOR MACCHINE SPA,</t>
  </si>
  <si>
    <t>MILANOFIORI,STRADA 3A-B4,20090</t>
  </si>
  <si>
    <t>ASSAGO(MI) ITALY</t>
  </si>
  <si>
    <t xml:space="preserve">DALIAN HECHENGFU GARMENT CO.,LTD </t>
  </si>
  <si>
    <t>NO.7 FUXI STREET PIKOU SUB-DISTRICT</t>
  </si>
  <si>
    <t>OFFICE PULANDIAN DISTRICT DALIAN C</t>
  </si>
  <si>
    <t>ITY LIAONING PROVINCE CHINA</t>
  </si>
  <si>
    <t>LONGYU VIETNAM CO.,LTD.</t>
  </si>
  <si>
    <t>KM9,TAN THINH WARD,NAM TRUC DISTRIC</t>
  </si>
  <si>
    <t>T NAM DINH,S.R.VIETNAM</t>
  </si>
  <si>
    <t xml:space="preserve">TOMIYA SUMMIT GARMENT EXPORT CO.,LTD </t>
  </si>
  <si>
    <t>LOT B1 LONG BINH TECHNO PARK(LOTECO</t>
  </si>
  <si>
    <t>)EPZ BIEN HOA CITY-DONG NAI PROVINC</t>
  </si>
  <si>
    <t>E-VIETNAM</t>
  </si>
  <si>
    <t>CONTINENTAL REIFEN DEUTSCHLAND GMBH</t>
  </si>
  <si>
    <t>WERK KORBACH,HANNOVERSCHE STR.TOR 3</t>
  </si>
  <si>
    <t>34497 KORBACH,GERMANY</t>
  </si>
  <si>
    <t>SUNRICH MODE</t>
  </si>
  <si>
    <t xml:space="preserve">KINH BAC-THANH NAM.,JSC </t>
  </si>
  <si>
    <t>488 ROAD,BINH MINH COMMUNE,NAM TRUC</t>
  </si>
  <si>
    <t>DISTRICT,NAM DINH PROVINCE,VIETNAM</t>
  </si>
  <si>
    <t>TEIJIN FRONTIER SHONAI CO.,LTD.</t>
  </si>
  <si>
    <t>PHU THO PROVINCE,VIETNAM</t>
  </si>
  <si>
    <t>DAIMOND VIETNAM CO.,LTD.</t>
  </si>
  <si>
    <t>LOT J3,MY PHUOC 1 INDUSTRIAL PARK,</t>
  </si>
  <si>
    <t>BEN CAT TOWN,BINH DUONG PROVINCE</t>
  </si>
  <si>
    <t>VIETNAM</t>
    <phoneticPr fontId="2"/>
  </si>
  <si>
    <t>P.T.DAESE GARMIN</t>
  </si>
  <si>
    <t>JL.H.IBRAHIM, ADJIE NO.90</t>
  </si>
  <si>
    <t>(D/H JL,KIARACONDONG NO.90)</t>
  </si>
  <si>
    <t>BANDUNG 40272 INDONESIA</t>
  </si>
  <si>
    <t>PANEL</t>
    <phoneticPr fontId="2"/>
  </si>
  <si>
    <t>WING FUNG H.K.TRADING CO.,LTD.</t>
    <phoneticPr fontId="2"/>
  </si>
  <si>
    <t>DALIAN DERT GARMENT CO.,LTD.</t>
    <phoneticPr fontId="2"/>
  </si>
  <si>
    <t>NO.23 HARBIN ROAD DDA, DALIAN CHINA</t>
    <phoneticPr fontId="2"/>
  </si>
  <si>
    <t>ANSA DECOGLASS PVT.LTD.</t>
  </si>
  <si>
    <t>BLOCK-52,KHARACH ROAD,KUNVARDA VILL</t>
  </si>
  <si>
    <t>AGE KOSAMBA 394120 INDIA</t>
  </si>
  <si>
    <t>PT.BENGAWAN SOLO GARMENT INDONESIA</t>
  </si>
  <si>
    <t>DK,BUTUH RT.04 RW II DS.BUTUH,KEC.M</t>
  </si>
  <si>
    <t>OJOSONGO,KAB.BOYOLALI 57371 JAWA TE</t>
  </si>
  <si>
    <t>NGAH INDONESIA</t>
  </si>
  <si>
    <t>DONG LONG(PATHEIN)GARMENT CO.,LTD.</t>
    <phoneticPr fontId="2"/>
  </si>
  <si>
    <t>NO.17,18,19,20,BLOCK NO.13,PLOT NO.</t>
  </si>
  <si>
    <t>P-3,52 INDUSTRIAL ZONE,PATHEIN TOWN</t>
  </si>
  <si>
    <t>SHIP,PATHEIN DISTRICT AYEYARWADDY R</t>
  </si>
  <si>
    <t>EGION,MYANMAR</t>
  </si>
  <si>
    <t>SHANGHAI,CHINA</t>
    <phoneticPr fontId="2"/>
  </si>
  <si>
    <t xml:space="preserve">C/21F,EAST TOWER,NEW HUA LIAN </t>
    <phoneticPr fontId="2"/>
  </si>
  <si>
    <t>UNIT A,G/FL.,BLOCK-A,MARVEL INDUSTR</t>
  </si>
  <si>
    <t>IAL BUILDING,25-31,KWAI FUNG CRESCE</t>
  </si>
  <si>
    <t>NT,KWAI CHUNG,N.T.HONG KONG</t>
  </si>
  <si>
    <t>JP MART</t>
  </si>
  <si>
    <t>VIT GARMENT CO.LTD</t>
  </si>
  <si>
    <t>QUANG MINH INDUSTRIAL PARK,</t>
  </si>
  <si>
    <t>ME LINH,HANOI CITY,215437 VIETNAM</t>
  </si>
  <si>
    <t>NANTONG ONJUST GARMENT CO.,LTD.</t>
    <phoneticPr fontId="2"/>
  </si>
  <si>
    <t>GROUP2,ZHONGSHI VILLAGE,WANG</t>
    <phoneticPr fontId="2"/>
  </si>
  <si>
    <t>BAO TOWN,QIDONG CITY,JIANGSU</t>
    <phoneticPr fontId="2"/>
  </si>
  <si>
    <t>PROVINCE P.R.OF CHINA</t>
    <phoneticPr fontId="2"/>
  </si>
  <si>
    <t>TEIJIN FRONTIER EUROPE GMBH.</t>
  </si>
  <si>
    <t>MAX-BRAUER-ALLEE,50,22765 HAMBURG,G</t>
  </si>
  <si>
    <t>ERMANY</t>
  </si>
  <si>
    <t>CORTINA SIAM SPORTS CO.,LTD.</t>
  </si>
  <si>
    <t>NG CHACHOENGSAO,24000 THAILAND</t>
  </si>
  <si>
    <t>NANTONG SANHAI GARMENT CO.,LTD.</t>
  </si>
  <si>
    <t>18 XITING INDUSTRIAL ZONE,TANGZHOU,</t>
  </si>
  <si>
    <t>JIANGSU,CHINA</t>
  </si>
  <si>
    <t>88 MOO 2 THUMBUL BAN MAI AMPHUR MAU</t>
    <phoneticPr fontId="2"/>
  </si>
  <si>
    <t>JIANGSU SOLAMODA GARMENTS GROUP CO.,LTD.</t>
  </si>
  <si>
    <t>NO.496 YONGHE ROAD,GANGZHA ZONE,NAN</t>
  </si>
  <si>
    <t>TONG CITY,CHINA P.C:226011</t>
  </si>
  <si>
    <t>TAICANG SHENJIN FASHION CO.,LTD.</t>
  </si>
  <si>
    <t>PAILOU ZHEN,TAICANG CITY,JIANGSU</t>
  </si>
  <si>
    <t>215499 P.R.OF CHINA</t>
  </si>
  <si>
    <t>NANTONG ZHONGCHAO FASHION CO.,LTD</t>
  </si>
  <si>
    <t>WITH 2 ROOMS,2STORES,FAIRVIEW PARK,</t>
  </si>
  <si>
    <t>CHONGCHUAN DISTRICT,NANTONG CITY,JI</t>
  </si>
  <si>
    <t>ANGSU,CHINA</t>
  </si>
  <si>
    <t>CHANGZHOU JINLEI GARMENT CO.,LTD</t>
    <phoneticPr fontId="2"/>
  </si>
  <si>
    <t>NO.18 YINGCHUN ROAD,SHUIBEI TOWN,</t>
    <phoneticPr fontId="2"/>
  </si>
  <si>
    <t>JINTAN CITY,JIANGSU CHINA</t>
    <phoneticPr fontId="2"/>
  </si>
  <si>
    <t>65 UNION AVE SUDBURY,MA 01776 USA</t>
    <phoneticPr fontId="2"/>
  </si>
  <si>
    <t>BRANCH OF PHOENIX JOINT STOCK COMPANY</t>
  </si>
  <si>
    <t>3 DANG TAT STREET,TAN DINH WARD,</t>
  </si>
  <si>
    <t>DISTRICT 1,HOCHIMINH CITY,VIETNAM</t>
  </si>
  <si>
    <t>VIET THINH GARMENT JOINT STOCK COMPANY</t>
    <phoneticPr fontId="2"/>
  </si>
  <si>
    <t>58 THOAI NGOC HAU ST.,HOA THANH WAR</t>
  </si>
  <si>
    <t>D,TAN PHU DISTRICT,HOCHIMINH CITY,V</t>
  </si>
  <si>
    <t>IETNAM</t>
  </si>
  <si>
    <t>HUNG VIET GARMENT JOINT STOCK COMPANY</t>
  </si>
  <si>
    <t>NGUYEN VAN LINH STREET,DI SU WARD,M</t>
  </si>
  <si>
    <t>Y HAO TOWN,HUNGYEN PROVINCE,VIETNAM</t>
  </si>
  <si>
    <t>ROAD 206, E SECTION, PHONOI A INDUS</t>
  </si>
  <si>
    <t>TRIAL PARK,LACDAO COMMUNE,VAN LAM D</t>
  </si>
  <si>
    <t>ISTRICT, HUNG YEN PROVINCE,VIETNAM</t>
  </si>
  <si>
    <t>BX SHINSEI VIETNAM CO.,LTD.</t>
  </si>
  <si>
    <t>SHINATOMO</t>
    <phoneticPr fontId="2"/>
  </si>
  <si>
    <t>JL.PANYAWUNGAN KM.19 BANDUNG,</t>
  </si>
  <si>
    <t>DALIAN XING WANG GARMENTS CO.,LTD.</t>
  </si>
  <si>
    <t>SAN SHILIPU JINZHOU DISTRICT</t>
  </si>
  <si>
    <t>DALIAN CHINA</t>
  </si>
  <si>
    <t>MYANMAR HONG YUAN INTERNATIONAL GARMENT CO.,LTD.</t>
    <phoneticPr fontId="2"/>
  </si>
  <si>
    <t>NO.33/A/1,33/B/1,N/4 BANT BWAY</t>
    <phoneticPr fontId="2"/>
  </si>
  <si>
    <t>KONE VILLAGE GROUP,MAYANTALIN</t>
    <phoneticPr fontId="2"/>
  </si>
  <si>
    <t>KWIN,NO.(589-A)HMAWBI TOWNSHIP,</t>
    <phoneticPr fontId="2"/>
  </si>
  <si>
    <t>YANGON REGION,MYANMAR</t>
    <phoneticPr fontId="2"/>
  </si>
  <si>
    <t>NANTONG COSCO KHI SHIP ENGINEERING CO.,LTD.</t>
  </si>
  <si>
    <t>NO.901,CHANGJIANG MIDDLE ROAD,</t>
  </si>
  <si>
    <t>NANTONG CITY,CHINA</t>
  </si>
  <si>
    <t>DALIAN JIUAI GARMENT CO.,LTD.</t>
    <phoneticPr fontId="2"/>
  </si>
  <si>
    <t xml:space="preserve">B E,35F,ANHO BUILDING,NO.87 RENMIN </t>
    <phoneticPr fontId="2"/>
  </si>
  <si>
    <t>ROAD ZHONGSHAN DISTRICT</t>
    <phoneticPr fontId="2"/>
  </si>
  <si>
    <t>,DALIAN CHINA</t>
  </si>
  <si>
    <t>DALIAN ZUILAN-FASHION CO.,LTD</t>
    <phoneticPr fontId="2"/>
  </si>
  <si>
    <t>NO.157-8,YANJIA VILLAGE,MINHE</t>
    <phoneticPr fontId="2"/>
  </si>
  <si>
    <t>TOWNSHIP,ZHANQIAN SUBDISTRICT,</t>
    <phoneticPr fontId="2"/>
  </si>
  <si>
    <t>JINZHOU DISTRICT,DALIAN,</t>
    <phoneticPr fontId="2"/>
  </si>
  <si>
    <t>LIAONING PROVINCE,CHINA</t>
    <phoneticPr fontId="2"/>
  </si>
  <si>
    <t>S</t>
  </si>
  <si>
    <t xml:space="preserve">  </t>
  </si>
  <si>
    <t xml:space="preserve">     </t>
  </si>
  <si>
    <t>B</t>
  </si>
  <si>
    <t xml:space="preserve">   EDA                                                                                                                                                                                                                                                                                                                                                                      2SES                        002887</t>
  </si>
  <si>
    <t>〒</t>
  </si>
  <si>
    <t>Tel</t>
  </si>
  <si>
    <t>BPR</t>
  </si>
  <si>
    <t>20057 ASSAGO,MILANOFIORI-STRADA</t>
    <phoneticPr fontId="2"/>
  </si>
  <si>
    <t>3A PALAZZO B4 ITALY</t>
  </si>
  <si>
    <t>LE PONT EUROPE SAS</t>
    <phoneticPr fontId="2"/>
  </si>
  <si>
    <t>128 BIS AVENUE JEAN JAURES BUILDING</t>
    <phoneticPr fontId="2"/>
  </si>
  <si>
    <t>O-9 94200 IVRY SUR SEINE FRANCE</t>
    <phoneticPr fontId="2"/>
  </si>
  <si>
    <t>PT.LEADING GARMENT INDUSTRIES</t>
    <phoneticPr fontId="2"/>
  </si>
  <si>
    <t>JL.MENGGER NO.97(MOH.TOHA KM.5,6)</t>
    <phoneticPr fontId="2"/>
  </si>
  <si>
    <t>CIGERELENG,BANDUNG 40256-INDONESIA</t>
    <phoneticPr fontId="2"/>
  </si>
  <si>
    <t>GOODLINK SHIPPING SERVICES PTE LTD</t>
    <phoneticPr fontId="2"/>
  </si>
  <si>
    <t>2 BUKIT BATOK STREET 23 #02-08,BUKI</t>
  </si>
  <si>
    <t>T BATOK CONNECTION,SINGAPORE,659554</t>
  </si>
  <si>
    <t>蔵置場所</t>
    <rPh sb="0" eb="4">
      <t>ゾウチバショ</t>
    </rPh>
    <phoneticPr fontId="2"/>
  </si>
  <si>
    <t>バンニング場所</t>
    <rPh sb="5" eb="7">
      <t>バショ</t>
    </rPh>
    <phoneticPr fontId="2"/>
  </si>
  <si>
    <t>名称</t>
    <rPh sb="0" eb="2">
      <t>メイショウ</t>
    </rPh>
    <phoneticPr fontId="2"/>
  </si>
  <si>
    <t>品名</t>
    <rPh sb="0" eb="2">
      <t>ヒンメイ</t>
    </rPh>
    <phoneticPr fontId="2"/>
  </si>
  <si>
    <t>他法令コード</t>
    <rPh sb="0" eb="3">
      <t>タホウレイ</t>
    </rPh>
    <phoneticPr fontId="2"/>
  </si>
  <si>
    <t>SUZHOU STARTEX APPAREL CO.,LTD.</t>
  </si>
  <si>
    <t xml:space="preserve">CHENGXI NORTH ROAD,URBAN INDUSTRY </t>
  </si>
  <si>
    <t>GARDEN,TAICANG,JIANGSU,CHINA</t>
  </si>
  <si>
    <t>PINGHU XINYE FASHION CO.,LTD.</t>
    <phoneticPr fontId="2"/>
  </si>
  <si>
    <t>NO08 JINCHANG ROAD XICANG INDUSTRI</t>
    <phoneticPr fontId="2"/>
  </si>
  <si>
    <t>AL PARK,PINGHU CITY,ZHEJIANG,CHINA</t>
    <phoneticPr fontId="2"/>
  </si>
  <si>
    <t>SUZHOU SMILE FASHION CO.,LTD.</t>
  </si>
  <si>
    <t>NO288 SHANAN ROAD,SHAXI TOWN TAICAN</t>
  </si>
  <si>
    <t>G,JIANGSU,CHINA</t>
  </si>
  <si>
    <t>LEATHERWARE(PVT)LTD</t>
  </si>
  <si>
    <t>19KM,DASKA ROAD,SIALKOT PAKISTAN</t>
  </si>
  <si>
    <t>KINH BAC GARMENT JOINT STOCK COMPANY</t>
    <phoneticPr fontId="2"/>
  </si>
  <si>
    <t>CAU GIAT INDUSTRIAL ZONE DUY TIEN</t>
    <phoneticPr fontId="2"/>
  </si>
  <si>
    <t>DIST HANAM PROVINCE</t>
    <phoneticPr fontId="2"/>
  </si>
  <si>
    <t>BAO NGOC INVESTMENT SERVICE JOINT STOCK COMPANY</t>
    <phoneticPr fontId="2"/>
  </si>
  <si>
    <t>AN LOC THUONG,YEN HONG,Y YEN,</t>
    <phoneticPr fontId="2"/>
  </si>
  <si>
    <t>NAM DINH,VIETNAM</t>
    <phoneticPr fontId="2"/>
  </si>
  <si>
    <t>AZUMA KRARAY</t>
    <phoneticPr fontId="2"/>
  </si>
  <si>
    <t>36 ONG ICH DUONG ST.DANANG VIETNAM</t>
    <phoneticPr fontId="2"/>
  </si>
  <si>
    <t>申告予定年月日</t>
    <rPh sb="0" eb="2">
      <t>シンコク</t>
    </rPh>
    <rPh sb="2" eb="7">
      <t>ヨテイネンガッピ</t>
    </rPh>
    <phoneticPr fontId="2"/>
  </si>
  <si>
    <t>VIVA GARMENT PRODUCTS,LTD</t>
    <phoneticPr fontId="2"/>
  </si>
  <si>
    <t>DONG SOC AREA,VU DI COMMUNE,</t>
    <phoneticPr fontId="2"/>
  </si>
  <si>
    <t>VINH TUONG DISTRICT,VINH PHUC</t>
    <phoneticPr fontId="2"/>
  </si>
  <si>
    <t>PROVINCE,VIETNAM</t>
    <phoneticPr fontId="2"/>
  </si>
  <si>
    <t>DALIAN ANGEL BLUE FASHION CO.,LTD.</t>
    <phoneticPr fontId="2"/>
  </si>
  <si>
    <t>YINGCHENGZI FOREIGN-INVESTMENT</t>
    <phoneticPr fontId="2"/>
  </si>
  <si>
    <t>ZONE,GANJINGZI DIST,DALIAN CHINA</t>
    <phoneticPr fontId="2"/>
  </si>
  <si>
    <t>DALIAN SHENGYING FASHION CO.,LTD.</t>
    <phoneticPr fontId="2"/>
  </si>
  <si>
    <t>LIGUAN VILLAGE LIGUAN CALM</t>
    <phoneticPr fontId="2"/>
  </si>
  <si>
    <t>WAFNGDIAN DALIAN CHINA</t>
    <phoneticPr fontId="2"/>
  </si>
  <si>
    <t>TORANTEN</t>
    <phoneticPr fontId="2"/>
  </si>
  <si>
    <t>ZHANGJIAGANG CITY HUZHI IMP&amp;EXP CO.,LTD.</t>
    <phoneticPr fontId="2"/>
  </si>
  <si>
    <t>5F,NO30,ZHONGXING RD ZHANGJIAGANG</t>
    <phoneticPr fontId="2"/>
  </si>
  <si>
    <t>CITY,JIANGSU,CHINA</t>
    <phoneticPr fontId="2"/>
  </si>
  <si>
    <t>PT.SEIKOU SEAT COVER</t>
    <phoneticPr fontId="2"/>
  </si>
  <si>
    <t>JL.KOPO KATAPANG KM11,2NO90,DS</t>
    <phoneticPr fontId="2"/>
  </si>
  <si>
    <t>CILAMPENI KATAPANG,KAB.BANDUNG,</t>
    <phoneticPr fontId="2"/>
  </si>
  <si>
    <t>JAWA BARAT 40971 INDONESIA</t>
  </si>
  <si>
    <t>J.GERBER</t>
    <phoneticPr fontId="2"/>
  </si>
  <si>
    <t>TORRE HOLDINGS(PTY)LTD-LETABA DEWATERING</t>
  </si>
  <si>
    <t>11,MODDERFONTEIN SOUTH AFRICA</t>
  </si>
  <si>
    <t>PO BOX 3534,EDENVALE,1610RSA</t>
  </si>
  <si>
    <t>ZAJNB</t>
  </si>
  <si>
    <t>11 AVALON ROAD WEST LAKE VIEW EXT</t>
    <phoneticPr fontId="2"/>
  </si>
  <si>
    <t>NANTONG TIANYOU GARMENTS CO.,LTD.</t>
  </si>
  <si>
    <t>XI SHI STREET NO.18 TANGZHA NANTONG</t>
  </si>
  <si>
    <t>,CHINA</t>
  </si>
  <si>
    <t>PINGHU XINYE FASHION CO.,LTD.</t>
  </si>
  <si>
    <t>NO.08 JINCHANG ROAD XINCANG INDUSTR</t>
  </si>
  <si>
    <t>IAL PARK,PINGHU CITY,ZHEJIANG,CHINA</t>
  </si>
  <si>
    <t>T3 GARMENT CO.,LTD</t>
    <phoneticPr fontId="2"/>
  </si>
  <si>
    <t>35 ONG NNIEM STREET,HAMLET 2,</t>
    <phoneticPr fontId="2"/>
  </si>
  <si>
    <t>PHONG PHU COMMUNE,BINH CHANH</t>
    <phoneticPr fontId="2"/>
  </si>
  <si>
    <t>DISTRICT,HCM CITY,VIETNAM</t>
    <phoneticPr fontId="2"/>
  </si>
  <si>
    <t>HONG DUONG INTERNATIONAL CO.,LTD.</t>
    <phoneticPr fontId="2"/>
  </si>
  <si>
    <t>NO19 NATIONAL HIGHWAY 1A,</t>
    <phoneticPr fontId="2"/>
  </si>
  <si>
    <t>HAMLET5,MY YEN COMMUNE,BEN LUC</t>
    <phoneticPr fontId="2"/>
  </si>
  <si>
    <t>DISTRICT,LONGAN PROVINCE,VIETNAM</t>
    <phoneticPr fontId="2"/>
  </si>
  <si>
    <t>輸出承認証番号等</t>
    <rPh sb="0" eb="5">
      <t>ユシュツショウニンショウ</t>
    </rPh>
    <rPh sb="5" eb="7">
      <t>バンゴウ</t>
    </rPh>
    <rPh sb="7" eb="8">
      <t>トウ</t>
    </rPh>
    <phoneticPr fontId="2"/>
  </si>
  <si>
    <t>輸出承認証番号</t>
    <rPh sb="0" eb="5">
      <t>ユシュツショウニンショウ</t>
    </rPh>
    <rPh sb="5" eb="7">
      <t>バンゴウ</t>
    </rPh>
    <phoneticPr fontId="2"/>
  </si>
  <si>
    <t>UNITIKA</t>
    <phoneticPr fontId="2"/>
  </si>
  <si>
    <t>THANH DUC INDUSTRY EQUIPMENT TRADING LIMITED COMPANY</t>
    <phoneticPr fontId="2"/>
  </si>
  <si>
    <t>THE STREET(MR.DO THANH DUC),MINH DU</t>
  </si>
  <si>
    <t>C TOWN,THUY NGUYEN DISTRICT,</t>
  </si>
  <si>
    <t>HAIPHONG CITY,VIETNAM</t>
  </si>
  <si>
    <t>GUARDNER</t>
    <phoneticPr fontId="2"/>
  </si>
  <si>
    <t>G&amp;T IMPORT EXPORT TRADING PRODUCTION COMPANY LIMITED</t>
    <phoneticPr fontId="2"/>
  </si>
  <si>
    <t>1549/20/3 HUYNH TAN PHAT STREET,</t>
    <phoneticPr fontId="2"/>
  </si>
  <si>
    <t>PHU MY WARD,DISTRICT7,</t>
    <phoneticPr fontId="2"/>
  </si>
  <si>
    <t>HOCHIMINH CITY,VIETNAM</t>
    <phoneticPr fontId="2"/>
  </si>
  <si>
    <t>MAKISHINKO</t>
    <phoneticPr fontId="2"/>
  </si>
  <si>
    <t>SHANGHAI RIZJU MACHINERY EQUIPMENT CO.,LTD.</t>
  </si>
  <si>
    <t>BUILDING NO.200,388 DUSHI ROAD,MINH</t>
  </si>
  <si>
    <t>ANG DISTRICT SHANGAI,CHINA 201108</t>
  </si>
  <si>
    <t>DALIAN KOKKA FASHION CO.,LTD</t>
    <phoneticPr fontId="2"/>
  </si>
  <si>
    <t>399 JINWAN RD,ZHANQIAN STREET,</t>
    <phoneticPr fontId="2"/>
  </si>
  <si>
    <t>JINZHOU DISTRICT,DALIAN,CHINA</t>
    <phoneticPr fontId="2"/>
  </si>
  <si>
    <t>FKK</t>
    <phoneticPr fontId="2"/>
  </si>
  <si>
    <t>SUZHOU FKK CO.,LTD</t>
  </si>
  <si>
    <t>NO.39 WANHE ROAD,BIXI NEW DISTRICT,</t>
  </si>
  <si>
    <t>CHANGSHU ECONOMIC AND TECHNOLOGICAL</t>
  </si>
  <si>
    <t>DEVELOPMENT ZONE,JIANGSU PROVINCE</t>
    <phoneticPr fontId="2"/>
  </si>
  <si>
    <t>KAWADA FEATHER</t>
    <phoneticPr fontId="2"/>
  </si>
  <si>
    <t>SUZHOU KWD FEATHER PRODUCTS CO.LTD</t>
    <phoneticPr fontId="2"/>
  </si>
  <si>
    <t>QUZHONG ROAD,LUDU TOWN,ECONOMIC DEV</t>
  </si>
  <si>
    <t>ELOPMENT ZONE,TAICANG CITY,JIANGSU,</t>
  </si>
  <si>
    <t>CHINA</t>
  </si>
  <si>
    <t>HESHAN(MYANMAR)GARMENTS CO.,LTD</t>
  </si>
  <si>
    <t>PLOT NO.16,U PINE NO.P-3,52 INDUSTR</t>
  </si>
  <si>
    <t>IAL ZONE,13TH QUARTER,PATHEIN DISTR</t>
  </si>
  <si>
    <t>ICT PATHEIN TOWNSHIP AYEYARWADDY RE</t>
  </si>
  <si>
    <t>GION MYANMAR</t>
  </si>
  <si>
    <t>THIRI SANDAR GARMENT &amp; GENERAL TRADING CO-OP LTD</t>
  </si>
  <si>
    <t>LOWER MINGALARDON ROAD AUNG SAN WAR</t>
  </si>
  <si>
    <t>D,INSEIN T/S YANGON MYANMAR</t>
  </si>
  <si>
    <t>開港・不開港識別</t>
  </si>
  <si>
    <t>地域名（和名）</t>
  </si>
  <si>
    <t>国名（英名）</t>
  </si>
  <si>
    <t>国名（和名）</t>
  </si>
  <si>
    <t>国連LOCODE</t>
  </si>
  <si>
    <t>国名コード</t>
  </si>
  <si>
    <t>地域コード</t>
  </si>
  <si>
    <t>地域名（英名）</t>
  </si>
  <si>
    <t>都道府県名</t>
  </si>
  <si>
    <t>IATAコード</t>
  </si>
  <si>
    <t>国名略称</t>
  </si>
  <si>
    <t>仕向地域</t>
  </si>
  <si>
    <t>税関空港</t>
  </si>
  <si>
    <t>空港名（和名）</t>
  </si>
  <si>
    <t>ANDORRA</t>
  </si>
  <si>
    <t>アンドラ</t>
  </si>
  <si>
    <t>ADZZZ</t>
  </si>
  <si>
    <t>AD</t>
  </si>
  <si>
    <t>ZZZ</t>
  </si>
  <si>
    <t>OTHER</t>
  </si>
  <si>
    <t>UNITED ARAB EMIRATES</t>
  </si>
  <si>
    <t>アラブ首長国連邦</t>
  </si>
  <si>
    <t>AEAAN</t>
  </si>
  <si>
    <t>AE</t>
  </si>
  <si>
    <t>AAN</t>
  </si>
  <si>
    <t>AL AIN</t>
  </si>
  <si>
    <t>UAE</t>
  </si>
  <si>
    <t>T22</t>
  </si>
  <si>
    <t>AEABU</t>
  </si>
  <si>
    <t>ABU</t>
  </si>
  <si>
    <t>ABU AL BUKHOOSH</t>
  </si>
  <si>
    <t>AEAJM</t>
  </si>
  <si>
    <t>AJM</t>
  </si>
  <si>
    <t>AJMAN</t>
  </si>
  <si>
    <t>AEAUH</t>
  </si>
  <si>
    <t>AUH</t>
  </si>
  <si>
    <t>ABU DHABI</t>
  </si>
  <si>
    <t>AEDAS</t>
  </si>
  <si>
    <t>DAS</t>
  </si>
  <si>
    <t>DAS ISLAND</t>
  </si>
  <si>
    <t>AEDWC</t>
  </si>
  <si>
    <t>DWC</t>
  </si>
  <si>
    <t>AL MAKTOUM INTERNATIONAL AIRPORT</t>
  </si>
  <si>
    <t xml:space="preserve">UAE  </t>
  </si>
  <si>
    <t>AEDXB</t>
  </si>
  <si>
    <t>DXB</t>
  </si>
  <si>
    <t>DUBAI</t>
  </si>
  <si>
    <t>AEFAT</t>
  </si>
  <si>
    <t>FAT</t>
  </si>
  <si>
    <t>FATEH TERMINAL</t>
  </si>
  <si>
    <t>AEFJR</t>
  </si>
  <si>
    <t>FJR</t>
  </si>
  <si>
    <t>FUJAIRAH (AL-FUJAIRAH)</t>
  </si>
  <si>
    <t>AEJEA</t>
  </si>
  <si>
    <t>JEA</t>
  </si>
  <si>
    <t>JEBEL ALI</t>
  </si>
  <si>
    <t>AEJED</t>
  </si>
  <si>
    <t>JED</t>
  </si>
  <si>
    <t>JEBEL DHANNA</t>
  </si>
  <si>
    <t>AEKLF</t>
  </si>
  <si>
    <t>KLF</t>
  </si>
  <si>
    <t>KHOR AL FAKKAN</t>
  </si>
  <si>
    <t>AEMUB</t>
  </si>
  <si>
    <t>MUB</t>
  </si>
  <si>
    <t>MUBAREK TERMINAL</t>
  </si>
  <si>
    <t>AEMZD</t>
  </si>
  <si>
    <t>MZD</t>
  </si>
  <si>
    <t>MINA ZAYED</t>
  </si>
  <si>
    <t>AEPRA</t>
  </si>
  <si>
    <t>PRA</t>
  </si>
  <si>
    <t>PORT RASHID</t>
  </si>
  <si>
    <t>AERKT</t>
  </si>
  <si>
    <t>RKT</t>
  </si>
  <si>
    <t>RAS AL KHAIMAH</t>
  </si>
  <si>
    <t>AERUW</t>
  </si>
  <si>
    <t>RUW</t>
  </si>
  <si>
    <t>RUWAIS</t>
  </si>
  <si>
    <t>AESHJ</t>
  </si>
  <si>
    <t>SHJ</t>
  </si>
  <si>
    <t>SHARJAH</t>
  </si>
  <si>
    <t>AEZZZ</t>
  </si>
  <si>
    <t>AFGHANISTAN</t>
  </si>
  <si>
    <t>アフガニスタン</t>
  </si>
  <si>
    <t>AFBIN</t>
  </si>
  <si>
    <t>AF</t>
  </si>
  <si>
    <t>BIN</t>
  </si>
  <si>
    <t>BAMIAN</t>
  </si>
  <si>
    <t>AFG</t>
  </si>
  <si>
    <t>T33</t>
  </si>
  <si>
    <t>AFBST</t>
  </si>
  <si>
    <t>BST</t>
  </si>
  <si>
    <t>BOST</t>
  </si>
  <si>
    <t>AFCCN</t>
  </si>
  <si>
    <t>CCN</t>
  </si>
  <si>
    <t>CHAKCHARAN</t>
  </si>
  <si>
    <t>AFDAZ</t>
  </si>
  <si>
    <t>DAZ</t>
  </si>
  <si>
    <t>DARWAZ</t>
  </si>
  <si>
    <t>AFFAH</t>
  </si>
  <si>
    <t>FAH</t>
  </si>
  <si>
    <t>FARAH</t>
  </si>
  <si>
    <t>AFFBD</t>
  </si>
  <si>
    <t>FBD</t>
  </si>
  <si>
    <t>FAIZABAD</t>
  </si>
  <si>
    <t>AFGRG</t>
  </si>
  <si>
    <t>GRG</t>
  </si>
  <si>
    <t>GARDEZ</t>
  </si>
  <si>
    <t>AFGZI</t>
  </si>
  <si>
    <t>GZI</t>
  </si>
  <si>
    <t>GHAZNI</t>
  </si>
  <si>
    <t>AFHEA</t>
  </si>
  <si>
    <t>HEA</t>
  </si>
  <si>
    <t>HERAT</t>
  </si>
  <si>
    <t>AFIMZ</t>
  </si>
  <si>
    <t>IMZ</t>
  </si>
  <si>
    <t>NIMROZ</t>
  </si>
  <si>
    <t>AFJAA</t>
  </si>
  <si>
    <t>JAA</t>
  </si>
  <si>
    <t>JALALABAD</t>
  </si>
  <si>
    <t>AFKBL</t>
  </si>
  <si>
    <t>KBL</t>
  </si>
  <si>
    <t>KABUL</t>
  </si>
  <si>
    <t>AFKDH</t>
  </si>
  <si>
    <t>KDH</t>
  </si>
  <si>
    <t>KANDAHAR</t>
  </si>
  <si>
    <t>AFKHT</t>
  </si>
  <si>
    <t>KHT</t>
  </si>
  <si>
    <t>KHOST</t>
  </si>
  <si>
    <t>AFKUR</t>
  </si>
  <si>
    <t>KUR</t>
  </si>
  <si>
    <t>KURAN-O-MUNJAN</t>
  </si>
  <si>
    <t>AFKWH</t>
  </si>
  <si>
    <t>KWH</t>
  </si>
  <si>
    <t>KHWAHAN</t>
  </si>
  <si>
    <t>AFLQN</t>
  </si>
  <si>
    <t>LQN</t>
  </si>
  <si>
    <t>QALA NAU</t>
  </si>
  <si>
    <t>AFMMZ</t>
  </si>
  <si>
    <t>MMZ</t>
  </si>
  <si>
    <t>MAIMANA</t>
  </si>
  <si>
    <t>AFMZR</t>
  </si>
  <si>
    <t>MZR</t>
  </si>
  <si>
    <t>MAZAR-I-SHARIF</t>
  </si>
  <si>
    <t>AFSBF</t>
  </si>
  <si>
    <t>SBF</t>
  </si>
  <si>
    <t>SARDEH BAND</t>
  </si>
  <si>
    <t>AFSGA</t>
  </si>
  <si>
    <t>SGA</t>
  </si>
  <si>
    <t>SHEGHNAN</t>
  </si>
  <si>
    <t>AFTII</t>
  </si>
  <si>
    <t>TII</t>
  </si>
  <si>
    <t>TIRINKOT</t>
  </si>
  <si>
    <t>AFTQN</t>
  </si>
  <si>
    <t>TQN</t>
  </si>
  <si>
    <t>TALUQAN</t>
  </si>
  <si>
    <t>AFUND</t>
  </si>
  <si>
    <t>UND</t>
  </si>
  <si>
    <t>KUNDUZ</t>
  </si>
  <si>
    <t>AFURN</t>
  </si>
  <si>
    <t>URN</t>
  </si>
  <si>
    <t>URGOON</t>
  </si>
  <si>
    <t>AFURZ</t>
  </si>
  <si>
    <t>URZ</t>
  </si>
  <si>
    <t>UROOZGAN</t>
  </si>
  <si>
    <t>AFZAJ</t>
  </si>
  <si>
    <t>ZAJ</t>
  </si>
  <si>
    <t>ZARANJ</t>
  </si>
  <si>
    <t>AFZZZ</t>
  </si>
  <si>
    <t>BAGRAM</t>
  </si>
  <si>
    <t>OAI</t>
  </si>
  <si>
    <t>ANTIGUA AND BARBUDA</t>
  </si>
  <si>
    <t>アンティグア・バーブーダ</t>
  </si>
  <si>
    <t>AGANU</t>
  </si>
  <si>
    <t>AG</t>
  </si>
  <si>
    <t>ANU</t>
  </si>
  <si>
    <t>ANTIGUA</t>
  </si>
  <si>
    <t>ANTIG</t>
  </si>
  <si>
    <t>T13</t>
  </si>
  <si>
    <t>AGBBQ</t>
  </si>
  <si>
    <t>BBQ</t>
  </si>
  <si>
    <t>BARBUDA</t>
  </si>
  <si>
    <t>AGZZZ</t>
  </si>
  <si>
    <t>ANGUILLA</t>
  </si>
  <si>
    <t>英領アンギラ</t>
  </si>
  <si>
    <t>AIAXA</t>
  </si>
  <si>
    <t>AI</t>
  </si>
  <si>
    <t>AXA</t>
  </si>
  <si>
    <t>ANGUL</t>
  </si>
  <si>
    <t>AIBLP</t>
  </si>
  <si>
    <t>BLP</t>
  </si>
  <si>
    <t>BLOWING POINT</t>
  </si>
  <si>
    <t>AIFOR</t>
  </si>
  <si>
    <t>FOR</t>
  </si>
  <si>
    <t>THE FOREST</t>
  </si>
  <si>
    <t>AIROA</t>
  </si>
  <si>
    <t>ROA</t>
  </si>
  <si>
    <t>THE ROAD</t>
  </si>
  <si>
    <t>AIZZZ</t>
  </si>
  <si>
    <t>ALBANIA</t>
  </si>
  <si>
    <t>アルバニア</t>
  </si>
  <si>
    <t>ALDRZ</t>
  </si>
  <si>
    <t>AL</t>
  </si>
  <si>
    <t>DRZ</t>
  </si>
  <si>
    <t>DURRES (DURAZZO)</t>
  </si>
  <si>
    <t>ALSAR</t>
  </si>
  <si>
    <t>SAR</t>
  </si>
  <si>
    <t>SARANDE</t>
  </si>
  <si>
    <t>ALSHG</t>
  </si>
  <si>
    <t>SHG</t>
  </si>
  <si>
    <t>SHENGJIN</t>
  </si>
  <si>
    <t>ALTIA</t>
  </si>
  <si>
    <t>TIA</t>
  </si>
  <si>
    <t>TIRANA</t>
  </si>
  <si>
    <t>ALB</t>
  </si>
  <si>
    <t>T21</t>
  </si>
  <si>
    <t>ALZZZ</t>
  </si>
  <si>
    <t>REPUBLIC OF ARMENIA</t>
  </si>
  <si>
    <t>アルメニア</t>
  </si>
  <si>
    <t>AMAHU</t>
  </si>
  <si>
    <t>AM</t>
  </si>
  <si>
    <t>AHU</t>
  </si>
  <si>
    <t>AKHURYAN</t>
  </si>
  <si>
    <t>AMEVN</t>
  </si>
  <si>
    <t>EVN</t>
  </si>
  <si>
    <t>EREVAN</t>
  </si>
  <si>
    <t>ARMEN</t>
  </si>
  <si>
    <t>T24</t>
  </si>
  <si>
    <t>AMZZZ</t>
  </si>
  <si>
    <t>NETHERLANDS ANTILLES</t>
  </si>
  <si>
    <t>蘭領アンティール</t>
  </si>
  <si>
    <t>ANBON</t>
  </si>
  <si>
    <t>AN</t>
  </si>
  <si>
    <t>BON</t>
  </si>
  <si>
    <t>BONAIRE APT</t>
  </si>
  <si>
    <t>N ANT</t>
  </si>
  <si>
    <t>ANBUB</t>
  </si>
  <si>
    <t>BUB</t>
  </si>
  <si>
    <t>BULLEN BAY</t>
  </si>
  <si>
    <t>ANCRB</t>
  </si>
  <si>
    <t>CRB</t>
  </si>
  <si>
    <t>CARACAS BAY - CURACAO</t>
  </si>
  <si>
    <t>ANCUR</t>
  </si>
  <si>
    <t>CUR</t>
  </si>
  <si>
    <t>CURACAO</t>
  </si>
  <si>
    <t>ANEMM</t>
  </si>
  <si>
    <t>EMM</t>
  </si>
  <si>
    <t>EMMASTAD</t>
  </si>
  <si>
    <t>ANEUX</t>
  </si>
  <si>
    <t>EUX</t>
  </si>
  <si>
    <t>ST EUSTATIUS</t>
  </si>
  <si>
    <t>ANFUI</t>
  </si>
  <si>
    <t>FUI</t>
  </si>
  <si>
    <t>FUIK BAY</t>
  </si>
  <si>
    <t>ANKRA</t>
  </si>
  <si>
    <t>KRA</t>
  </si>
  <si>
    <t>KRALENDIJK - BONAIRE</t>
  </si>
  <si>
    <t>ANRIN</t>
  </si>
  <si>
    <t>RIN</t>
  </si>
  <si>
    <t>RINCON - BONAIRE</t>
  </si>
  <si>
    <t>ANSAB</t>
  </si>
  <si>
    <t>SAB</t>
  </si>
  <si>
    <t>SABA IS</t>
  </si>
  <si>
    <t>ANSMB</t>
  </si>
  <si>
    <t>SMB</t>
  </si>
  <si>
    <t>ST MICHIELS BAY</t>
  </si>
  <si>
    <t>ANSXM</t>
  </si>
  <si>
    <t>SXM</t>
  </si>
  <si>
    <t>ST MAARTEN</t>
  </si>
  <si>
    <t>ANWIL</t>
  </si>
  <si>
    <t>WIL</t>
  </si>
  <si>
    <t>WILLEMSTAD - CURACAO</t>
  </si>
  <si>
    <t>ANZZZ</t>
  </si>
  <si>
    <t>ANGOLA</t>
  </si>
  <si>
    <t>アンゴラ</t>
  </si>
  <si>
    <t>AOANL</t>
  </si>
  <si>
    <t>AO</t>
  </si>
  <si>
    <t>ANL</t>
  </si>
  <si>
    <t>ANDULO</t>
  </si>
  <si>
    <t>ANG</t>
  </si>
  <si>
    <t>T23</t>
  </si>
  <si>
    <t>AOARZ</t>
  </si>
  <si>
    <t>ARZ</t>
  </si>
  <si>
    <t>N'ZETO</t>
  </si>
  <si>
    <t>AOAZZ</t>
  </si>
  <si>
    <t>AZZ</t>
  </si>
  <si>
    <t>AMBRIZ</t>
  </si>
  <si>
    <t>AOBDD</t>
  </si>
  <si>
    <t>BDD</t>
  </si>
  <si>
    <t>BARRA DO DANCE</t>
  </si>
  <si>
    <t>AOBDT</t>
  </si>
  <si>
    <t>BDT</t>
  </si>
  <si>
    <t>BAIA DOS TIGRES</t>
  </si>
  <si>
    <t>AOBUG</t>
  </si>
  <si>
    <t>BUG</t>
  </si>
  <si>
    <t>BENGUELA</t>
  </si>
  <si>
    <t>AOCAB</t>
  </si>
  <si>
    <t>CAB</t>
  </si>
  <si>
    <t>CABINDA</t>
  </si>
  <si>
    <t>AOCAV</t>
  </si>
  <si>
    <t>CAV</t>
  </si>
  <si>
    <t>CAZOMBO</t>
  </si>
  <si>
    <t>AOCEO</t>
  </si>
  <si>
    <t>CEO</t>
  </si>
  <si>
    <t>WACO KUNGO</t>
  </si>
  <si>
    <t>AOCNZ</t>
  </si>
  <si>
    <t>CNZ</t>
  </si>
  <si>
    <t>CANGAMBA</t>
  </si>
  <si>
    <t>AOCTI</t>
  </si>
  <si>
    <t>CTI</t>
  </si>
  <si>
    <t>CUITO CUANAVA</t>
  </si>
  <si>
    <t>AODGR</t>
  </si>
  <si>
    <t>DGR</t>
  </si>
  <si>
    <t>DOMBE GRANDE</t>
  </si>
  <si>
    <t>AODRC</t>
  </si>
  <si>
    <t>DRC</t>
  </si>
  <si>
    <t>DIRICO</t>
  </si>
  <si>
    <t>AODUE</t>
  </si>
  <si>
    <t>DUE</t>
  </si>
  <si>
    <t>DUNDO</t>
  </si>
  <si>
    <t>AOGGC</t>
  </si>
  <si>
    <t>GGC</t>
  </si>
  <si>
    <t>LUMBALA</t>
  </si>
  <si>
    <t>AOGXG</t>
  </si>
  <si>
    <t>GXG</t>
  </si>
  <si>
    <t>NEGAGE</t>
  </si>
  <si>
    <t>AOJMB</t>
  </si>
  <si>
    <t>JMB</t>
  </si>
  <si>
    <t>JAMBA</t>
  </si>
  <si>
    <t>AOLAA</t>
  </si>
  <si>
    <t>LAA</t>
  </si>
  <si>
    <t>LANDANA</t>
  </si>
  <si>
    <t>AOLAD</t>
  </si>
  <si>
    <t>LAD</t>
  </si>
  <si>
    <t>LUANDA</t>
  </si>
  <si>
    <t>AOLIE</t>
  </si>
  <si>
    <t>LIE</t>
  </si>
  <si>
    <t>LIEURA</t>
  </si>
  <si>
    <t>AOLOB</t>
  </si>
  <si>
    <t>LOB</t>
  </si>
  <si>
    <t>LOBITO</t>
  </si>
  <si>
    <t>AOLUC</t>
  </si>
  <si>
    <t>LUC</t>
  </si>
  <si>
    <t>LUCIRA</t>
  </si>
  <si>
    <t>AOLUO</t>
  </si>
  <si>
    <t>LUO</t>
  </si>
  <si>
    <t>LUENA</t>
  </si>
  <si>
    <t>AOMEG</t>
  </si>
  <si>
    <t>MEG</t>
  </si>
  <si>
    <t>MALANGE</t>
  </si>
  <si>
    <t>AONDD</t>
  </si>
  <si>
    <t>NDD</t>
  </si>
  <si>
    <t>SUMBE</t>
  </si>
  <si>
    <t>AONGV</t>
  </si>
  <si>
    <t>NGV</t>
  </si>
  <si>
    <t>NGIVA</t>
  </si>
  <si>
    <t>AONOE</t>
  </si>
  <si>
    <t>NOE</t>
  </si>
  <si>
    <t>NOVO REDONDO</t>
  </si>
  <si>
    <t>AONOV</t>
  </si>
  <si>
    <t>NOV</t>
  </si>
  <si>
    <t>HUAMBO</t>
  </si>
  <si>
    <t>AONRQ</t>
  </si>
  <si>
    <t>NRQ</t>
  </si>
  <si>
    <t>N'RIQUINHA</t>
  </si>
  <si>
    <t>AOPBN</t>
  </si>
  <si>
    <t>PBN</t>
  </si>
  <si>
    <t>PORTO AMBOIM</t>
  </si>
  <si>
    <t>AOPGI</t>
  </si>
  <si>
    <t>PGI</t>
  </si>
  <si>
    <t>CHITATO</t>
  </si>
  <si>
    <t>AOPLE</t>
  </si>
  <si>
    <t>PLE</t>
  </si>
  <si>
    <t>PORTO ALEXANDRE</t>
  </si>
  <si>
    <t>AOSDD</t>
  </si>
  <si>
    <t>SDD</t>
  </si>
  <si>
    <t>LUBANGO</t>
  </si>
  <si>
    <t>AOSPP</t>
  </si>
  <si>
    <t>SPP</t>
  </si>
  <si>
    <t>MENONGUE</t>
  </si>
  <si>
    <t>AOSSY</t>
  </si>
  <si>
    <t>SSY</t>
  </si>
  <si>
    <t>M'BANZA CONGO</t>
  </si>
  <si>
    <t>AOSZA</t>
  </si>
  <si>
    <t>SZA</t>
  </si>
  <si>
    <t>SOYO</t>
  </si>
  <si>
    <t>AOUAL</t>
  </si>
  <si>
    <t>UAL</t>
  </si>
  <si>
    <t>LUAU</t>
  </si>
  <si>
    <t>AOUGO</t>
  </si>
  <si>
    <t>UGO</t>
  </si>
  <si>
    <t>UIGE</t>
  </si>
  <si>
    <t>AOVHC</t>
  </si>
  <si>
    <t>VHC</t>
  </si>
  <si>
    <t>SAURIMO</t>
  </si>
  <si>
    <t>AOVPE</t>
  </si>
  <si>
    <t>VPE</t>
  </si>
  <si>
    <t>ONGIVA</t>
  </si>
  <si>
    <t>AOZZZ</t>
  </si>
  <si>
    <t>AZORES</t>
  </si>
  <si>
    <t>アゾレス（葡）</t>
  </si>
  <si>
    <t>APFYL</t>
  </si>
  <si>
    <t>AP</t>
  </si>
  <si>
    <t>FYL</t>
  </si>
  <si>
    <t>FAIAL ISLAND</t>
  </si>
  <si>
    <t>APGRW</t>
  </si>
  <si>
    <t>GRW</t>
  </si>
  <si>
    <t>GRACIOSA ISLAND</t>
  </si>
  <si>
    <t>AZORS</t>
  </si>
  <si>
    <t>APSJZ</t>
  </si>
  <si>
    <t>SJZ</t>
  </si>
  <si>
    <t>SAO JORGE ISLAND</t>
  </si>
  <si>
    <t>APSMA</t>
  </si>
  <si>
    <t>SMA</t>
  </si>
  <si>
    <t>SANTA MARIA</t>
  </si>
  <si>
    <t>APSMI</t>
  </si>
  <si>
    <t>SMI</t>
  </si>
  <si>
    <t>SAO MIGUEL</t>
  </si>
  <si>
    <t>APTER</t>
  </si>
  <si>
    <t>TER</t>
  </si>
  <si>
    <t>TERCEIRA ISLAND</t>
  </si>
  <si>
    <t>APZZZ</t>
  </si>
  <si>
    <t>ARGENTINA</t>
  </si>
  <si>
    <t>アルゼンチン</t>
  </si>
  <si>
    <t>ARAEP</t>
  </si>
  <si>
    <t>AR</t>
  </si>
  <si>
    <t>AEP</t>
  </si>
  <si>
    <t>JORGE NEWBURY APT /BUENOS AIRES</t>
  </si>
  <si>
    <t>ARG</t>
  </si>
  <si>
    <t>ARAFA</t>
  </si>
  <si>
    <t>AFA</t>
  </si>
  <si>
    <t>SAN RAFAEL</t>
  </si>
  <si>
    <t>ARAOL</t>
  </si>
  <si>
    <t>AOL</t>
  </si>
  <si>
    <t>PASO DE LOS LIBRES</t>
  </si>
  <si>
    <t>ARAPZ</t>
  </si>
  <si>
    <t>APZ</t>
  </si>
  <si>
    <t>ZAPALA</t>
  </si>
  <si>
    <t>ARARR</t>
  </si>
  <si>
    <t>ARR</t>
  </si>
  <si>
    <t>ALTO RIO SENGUERR</t>
  </si>
  <si>
    <t>ARBHI</t>
  </si>
  <si>
    <t>BHI</t>
  </si>
  <si>
    <t>BAHIA BLANCA</t>
  </si>
  <si>
    <t>ARBQS</t>
  </si>
  <si>
    <t>BQS</t>
  </si>
  <si>
    <t>BARRANQUERAS</t>
  </si>
  <si>
    <t>ARBRC</t>
  </si>
  <si>
    <t>BRC</t>
  </si>
  <si>
    <t>SAN CARLOS DE BARILOCHE</t>
  </si>
  <si>
    <t>ARBUE</t>
  </si>
  <si>
    <t>BUE</t>
  </si>
  <si>
    <t>BUENOS AIRES</t>
  </si>
  <si>
    <t>ARCLC</t>
  </si>
  <si>
    <t>CLC</t>
  </si>
  <si>
    <t>CALETA CORDOBA</t>
  </si>
  <si>
    <t>ARCLX</t>
  </si>
  <si>
    <t>CLX</t>
  </si>
  <si>
    <t>CLORINDA</t>
  </si>
  <si>
    <t>ARCMP</t>
  </si>
  <si>
    <t>CMP</t>
  </si>
  <si>
    <t>CAMPANA</t>
  </si>
  <si>
    <t>ARCNQ</t>
  </si>
  <si>
    <t>CNQ</t>
  </si>
  <si>
    <t>CORRIENTES</t>
  </si>
  <si>
    <t>ARCNT</t>
  </si>
  <si>
    <t>CNT</t>
  </si>
  <si>
    <t>CHARATA</t>
  </si>
  <si>
    <t>ARCOC</t>
  </si>
  <si>
    <t>COC</t>
  </si>
  <si>
    <t>CONCORDIA</t>
  </si>
  <si>
    <t>ARCOL</t>
  </si>
  <si>
    <t>COL</t>
  </si>
  <si>
    <t>COLON</t>
  </si>
  <si>
    <t>ARCOR</t>
  </si>
  <si>
    <t>COR</t>
  </si>
  <si>
    <t>CORDOBA</t>
  </si>
  <si>
    <t>ARCOU</t>
  </si>
  <si>
    <t>COU</t>
  </si>
  <si>
    <t>CONCEPCION DEL URUGUAY</t>
  </si>
  <si>
    <t>ARCPG</t>
  </si>
  <si>
    <t>CPG</t>
  </si>
  <si>
    <t>CARMEN DE PAT</t>
  </si>
  <si>
    <t>ARCRD</t>
  </si>
  <si>
    <t>CRD</t>
  </si>
  <si>
    <t>COMODORO RIVADAVIA</t>
  </si>
  <si>
    <t>ARCRR</t>
  </si>
  <si>
    <t>CRR</t>
  </si>
  <si>
    <t>CERES</t>
  </si>
  <si>
    <t>ARCTC</t>
  </si>
  <si>
    <t>CTC</t>
  </si>
  <si>
    <t>CATAMARCA</t>
  </si>
  <si>
    <t>ARCUT</t>
  </si>
  <si>
    <t>CUT</t>
  </si>
  <si>
    <t>CUTRAL</t>
  </si>
  <si>
    <t>ARCVH</t>
  </si>
  <si>
    <t>CVH</t>
  </si>
  <si>
    <t>CAVIAHUE</t>
  </si>
  <si>
    <t>ARCVI</t>
  </si>
  <si>
    <t>CVI</t>
  </si>
  <si>
    <t>CALETA OLIVIA</t>
  </si>
  <si>
    <t>ARDME</t>
  </si>
  <si>
    <t>DME</t>
  </si>
  <si>
    <t>DIAMANTE</t>
  </si>
  <si>
    <t>AREHL</t>
  </si>
  <si>
    <t>EHL</t>
  </si>
  <si>
    <t>EL BOLSON</t>
  </si>
  <si>
    <t>ARELO</t>
  </si>
  <si>
    <t>ELO</t>
  </si>
  <si>
    <t>EL DORADO</t>
  </si>
  <si>
    <t>AREMX</t>
  </si>
  <si>
    <t>EMX</t>
  </si>
  <si>
    <t>EL MAITEN</t>
  </si>
  <si>
    <t>AREQS</t>
  </si>
  <si>
    <t>EQS</t>
  </si>
  <si>
    <t>ESQUEL</t>
  </si>
  <si>
    <t>AREZE</t>
  </si>
  <si>
    <t>EZE</t>
  </si>
  <si>
    <t>BUENOS AIRES-MINISTRO PISTARINI APT</t>
  </si>
  <si>
    <t>ARFMA</t>
  </si>
  <si>
    <t>FMA</t>
  </si>
  <si>
    <t>FORMOSA</t>
  </si>
  <si>
    <t>ARGGS</t>
  </si>
  <si>
    <t>GGS</t>
  </si>
  <si>
    <t>GOBERNADOR GREGORES</t>
  </si>
  <si>
    <t>ARGHU</t>
  </si>
  <si>
    <t>GHU</t>
  </si>
  <si>
    <t>GUALEGUAYCHU</t>
  </si>
  <si>
    <t>ARGNR</t>
  </si>
  <si>
    <t>GNR</t>
  </si>
  <si>
    <t>GENERAL ROCA</t>
  </si>
  <si>
    <t>ARGPO</t>
  </si>
  <si>
    <t>GPO</t>
  </si>
  <si>
    <t>GENERAL PICO</t>
  </si>
  <si>
    <t>ARIBY</t>
  </si>
  <si>
    <t>IBY</t>
  </si>
  <si>
    <t>IBICUY</t>
  </si>
  <si>
    <t>ARIGR</t>
  </si>
  <si>
    <t>IGR</t>
  </si>
  <si>
    <t>IGUAZU</t>
  </si>
  <si>
    <t>ARING</t>
  </si>
  <si>
    <t>ING</t>
  </si>
  <si>
    <t>LAGO ARGENTINO</t>
  </si>
  <si>
    <t>ARIRJ</t>
  </si>
  <si>
    <t>IRJ</t>
  </si>
  <si>
    <t>LA RIOJA</t>
  </si>
  <si>
    <t>ARJNI</t>
  </si>
  <si>
    <t>JNI</t>
  </si>
  <si>
    <t>JUNIN</t>
  </si>
  <si>
    <t>ARJSM</t>
  </si>
  <si>
    <t>JSM</t>
  </si>
  <si>
    <t>JOSE DE SAN MARTIN</t>
  </si>
  <si>
    <t>ARJUJ</t>
  </si>
  <si>
    <t>JUJ</t>
  </si>
  <si>
    <t>JUJUY</t>
  </si>
  <si>
    <t>ARLCM</t>
  </si>
  <si>
    <t>LCM</t>
  </si>
  <si>
    <t>LA CUMBRE</t>
  </si>
  <si>
    <t>ARLGS</t>
  </si>
  <si>
    <t>LGS</t>
  </si>
  <si>
    <t>MALARGUE</t>
  </si>
  <si>
    <t>ARLHS</t>
  </si>
  <si>
    <t>LHS</t>
  </si>
  <si>
    <t>LAS HERAS</t>
  </si>
  <si>
    <t>ARLLS</t>
  </si>
  <si>
    <t>LLS</t>
  </si>
  <si>
    <t>LAS LOMITAS</t>
  </si>
  <si>
    <t>ARLPG</t>
  </si>
  <si>
    <t>LPG</t>
  </si>
  <si>
    <t>LA PLATA</t>
  </si>
  <si>
    <t>ARLUQ</t>
  </si>
  <si>
    <t>LUQ</t>
  </si>
  <si>
    <t>SAN LUIS</t>
  </si>
  <si>
    <t>ARMCS</t>
  </si>
  <si>
    <t>MCS</t>
  </si>
  <si>
    <t>MONTE CASEROS</t>
  </si>
  <si>
    <t>ARMDQ</t>
  </si>
  <si>
    <t>MDQ</t>
  </si>
  <si>
    <t>MAR DEL PLATA</t>
  </si>
  <si>
    <t>ARMDX</t>
  </si>
  <si>
    <t>MDX</t>
  </si>
  <si>
    <t>MERCEDES</t>
  </si>
  <si>
    <t>ARMDZ</t>
  </si>
  <si>
    <t>MDZ</t>
  </si>
  <si>
    <t>MENDOZA</t>
  </si>
  <si>
    <t>ARMJR</t>
  </si>
  <si>
    <t>MJR</t>
  </si>
  <si>
    <t>MIRAMAR</t>
  </si>
  <si>
    <t>ARNEC</t>
  </si>
  <si>
    <t>NEC</t>
  </si>
  <si>
    <t>NECOCHEA</t>
  </si>
  <si>
    <t>ARNQN</t>
  </si>
  <si>
    <t>NQN</t>
  </si>
  <si>
    <t>NEUQUEN</t>
  </si>
  <si>
    <t>AROES</t>
  </si>
  <si>
    <t>OES</t>
  </si>
  <si>
    <t>SAN ANTONIO O</t>
  </si>
  <si>
    <t>AROLN</t>
  </si>
  <si>
    <t>OLN</t>
  </si>
  <si>
    <t>COLONIA SARMI</t>
  </si>
  <si>
    <t>ARORA</t>
  </si>
  <si>
    <t>ORA</t>
  </si>
  <si>
    <t>ORAN</t>
  </si>
  <si>
    <t>AROYA</t>
  </si>
  <si>
    <t>OYA</t>
  </si>
  <si>
    <t>GOYA</t>
  </si>
  <si>
    <t>AROYO</t>
  </si>
  <si>
    <t>OYO</t>
  </si>
  <si>
    <t>TRES ARROYOS</t>
  </si>
  <si>
    <t>ARPCY</t>
  </si>
  <si>
    <t>PCY</t>
  </si>
  <si>
    <t>PILCOMAYO</t>
  </si>
  <si>
    <t>ARPEH</t>
  </si>
  <si>
    <t>PEH</t>
  </si>
  <si>
    <t>PEHUAJO</t>
  </si>
  <si>
    <t>ARPGV</t>
  </si>
  <si>
    <t>PGV</t>
  </si>
  <si>
    <t>PUERTO GALVAN</t>
  </si>
  <si>
    <t>ARPMQ</t>
  </si>
  <si>
    <t>PMQ</t>
  </si>
  <si>
    <t>PERITO MORENO</t>
  </si>
  <si>
    <t>ARPMY</t>
  </si>
  <si>
    <t>PMY</t>
  </si>
  <si>
    <t>PUERTO MADRYN</t>
  </si>
  <si>
    <t>ARPQU</t>
  </si>
  <si>
    <t>PQU</t>
  </si>
  <si>
    <t>PUNTA QUILLA</t>
  </si>
  <si>
    <t>ARPRA</t>
  </si>
  <si>
    <t>PARANA</t>
  </si>
  <si>
    <t>ARPRQ</t>
  </si>
  <si>
    <t>PRQ</t>
  </si>
  <si>
    <t>PRES ROQUE SA</t>
  </si>
  <si>
    <t>ARPSS</t>
  </si>
  <si>
    <t>PSS</t>
  </si>
  <si>
    <t>POSADAS</t>
  </si>
  <si>
    <t>ARPUD</t>
  </si>
  <si>
    <t>PUD</t>
  </si>
  <si>
    <t>PUERTO DESEADO</t>
  </si>
  <si>
    <t>ARRCQ</t>
  </si>
  <si>
    <t>RCQ</t>
  </si>
  <si>
    <t>RECONQUISTA</t>
  </si>
  <si>
    <t>ARRCU</t>
  </si>
  <si>
    <t>RCU</t>
  </si>
  <si>
    <t>RIO CUARTO</t>
  </si>
  <si>
    <t>ARREL</t>
  </si>
  <si>
    <t>REL</t>
  </si>
  <si>
    <t>TRELEW</t>
  </si>
  <si>
    <t>ARRES</t>
  </si>
  <si>
    <t>RES</t>
  </si>
  <si>
    <t>RESISTENCIA</t>
  </si>
  <si>
    <t>ARRGA</t>
  </si>
  <si>
    <t>RGA</t>
  </si>
  <si>
    <t>RIO GRANDE</t>
  </si>
  <si>
    <t>ARRGL</t>
  </si>
  <si>
    <t>RGL</t>
  </si>
  <si>
    <t>RIO GALLEGOS</t>
  </si>
  <si>
    <t>ARRHD</t>
  </si>
  <si>
    <t>RHD</t>
  </si>
  <si>
    <t>RIO HONDO</t>
  </si>
  <si>
    <t>ARROS</t>
  </si>
  <si>
    <t>ROS</t>
  </si>
  <si>
    <t>ROSARIO</t>
  </si>
  <si>
    <t>ARROY</t>
  </si>
  <si>
    <t>ROY</t>
  </si>
  <si>
    <t>RIO MAYO</t>
  </si>
  <si>
    <t>ARRSA</t>
  </si>
  <si>
    <t>RSA</t>
  </si>
  <si>
    <t>SANTA ROSA</t>
  </si>
  <si>
    <t>ARRYO</t>
  </si>
  <si>
    <t>RYO</t>
  </si>
  <si>
    <t>RIO TURBIO</t>
  </si>
  <si>
    <t>ARRZA</t>
  </si>
  <si>
    <t>RZA</t>
  </si>
  <si>
    <t>SANTA CRUZ</t>
  </si>
  <si>
    <t>ARSDE</t>
  </si>
  <si>
    <t>SDE</t>
  </si>
  <si>
    <t>SANTIAGO DEL ESTERO</t>
  </si>
  <si>
    <t>ARSFN</t>
  </si>
  <si>
    <t>SFN</t>
  </si>
  <si>
    <t>SANTA FE</t>
  </si>
  <si>
    <t>ARSGV</t>
  </si>
  <si>
    <t>SGV</t>
  </si>
  <si>
    <t>SIERRA GRANDE</t>
  </si>
  <si>
    <t>ARSLA</t>
  </si>
  <si>
    <t>SLA</t>
  </si>
  <si>
    <t>SALTA</t>
  </si>
  <si>
    <t>ARSLO</t>
  </si>
  <si>
    <t>SLO</t>
  </si>
  <si>
    <t>SAN LORENZO</t>
  </si>
  <si>
    <t>ARSNS</t>
  </si>
  <si>
    <t>SNS</t>
  </si>
  <si>
    <t>SAN NICOLAS</t>
  </si>
  <si>
    <t>ARSPD</t>
  </si>
  <si>
    <t>SPD</t>
  </si>
  <si>
    <t>SAN PEDRO</t>
  </si>
  <si>
    <t>ARSSN</t>
  </si>
  <si>
    <t>SSN</t>
  </si>
  <si>
    <t>SAN SEBASTIAN</t>
  </si>
  <si>
    <t>ARSST</t>
  </si>
  <si>
    <t>SST</t>
  </si>
  <si>
    <t>SANTA TERESIT</t>
  </si>
  <si>
    <t>ARSZQ</t>
  </si>
  <si>
    <t>SZQ</t>
  </si>
  <si>
    <t>SAENZ PENA</t>
  </si>
  <si>
    <t>ARTDL</t>
  </si>
  <si>
    <t>TDL</t>
  </si>
  <si>
    <t>TANDIL</t>
  </si>
  <si>
    <t>ARTTG</t>
  </si>
  <si>
    <t>TTG</t>
  </si>
  <si>
    <t>TARTAGAL</t>
  </si>
  <si>
    <t>ARTUC</t>
  </si>
  <si>
    <t>TUC</t>
  </si>
  <si>
    <t>TUCUMAN</t>
  </si>
  <si>
    <t>ARUAQ</t>
  </si>
  <si>
    <t>UAQ</t>
  </si>
  <si>
    <t>SAN JUAN</t>
  </si>
  <si>
    <t>ARULA</t>
  </si>
  <si>
    <t>ULA</t>
  </si>
  <si>
    <t>SAN JULIAN</t>
  </si>
  <si>
    <t>ARUSH</t>
  </si>
  <si>
    <t>USH</t>
  </si>
  <si>
    <t>USHUAIA</t>
  </si>
  <si>
    <t>ARUZU</t>
  </si>
  <si>
    <t>UZU</t>
  </si>
  <si>
    <t>CURUZU CUATIA</t>
  </si>
  <si>
    <t>ARVCN</t>
  </si>
  <si>
    <t>VCN</t>
  </si>
  <si>
    <t>VILLA CONSTITUCION</t>
  </si>
  <si>
    <t>ARVDM</t>
  </si>
  <si>
    <t>VDM</t>
  </si>
  <si>
    <t>VIEDMA</t>
  </si>
  <si>
    <t>ARVDR</t>
  </si>
  <si>
    <t>VDR</t>
  </si>
  <si>
    <t>VILLA DOLORES</t>
  </si>
  <si>
    <t>ARVLG</t>
  </si>
  <si>
    <t>VLG</t>
  </si>
  <si>
    <t>VILLA GESELL</t>
  </si>
  <si>
    <t>ARVME</t>
  </si>
  <si>
    <t>VME</t>
  </si>
  <si>
    <t>VILLA MERCEDES</t>
  </si>
  <si>
    <t>ARZAE</t>
  </si>
  <si>
    <t>ZAE</t>
  </si>
  <si>
    <t>ZARATE</t>
  </si>
  <si>
    <t>ARZZZ</t>
  </si>
  <si>
    <t>EL CALAFATE</t>
  </si>
  <si>
    <t>FTE</t>
  </si>
  <si>
    <t>AMERICAN SAMOA</t>
  </si>
  <si>
    <t>米領サモア</t>
  </si>
  <si>
    <t>ASFTI</t>
  </si>
  <si>
    <t>AS</t>
  </si>
  <si>
    <t>FTI</t>
  </si>
  <si>
    <t>FITIUTA</t>
  </si>
  <si>
    <t>SAMOA</t>
  </si>
  <si>
    <t>T35</t>
  </si>
  <si>
    <t>ASOFU</t>
  </si>
  <si>
    <t>OFU</t>
  </si>
  <si>
    <t>ASPPG</t>
  </si>
  <si>
    <t>PPG</t>
  </si>
  <si>
    <t>PAGO PAGO</t>
  </si>
  <si>
    <t>ASTAV</t>
  </si>
  <si>
    <t>TAV</t>
  </si>
  <si>
    <t>TAU</t>
  </si>
  <si>
    <t>ASZZZ</t>
  </si>
  <si>
    <t>AUSTRIA</t>
  </si>
  <si>
    <t>オーストリア</t>
  </si>
  <si>
    <t>ATANT</t>
  </si>
  <si>
    <t>AT</t>
  </si>
  <si>
    <t>ANT</t>
  </si>
  <si>
    <t>ST ANTON</t>
  </si>
  <si>
    <t>AUSTR</t>
  </si>
  <si>
    <t>ATGRO</t>
  </si>
  <si>
    <t>GRO</t>
  </si>
  <si>
    <t>GROSSENZERSDORF</t>
  </si>
  <si>
    <t>ATGRZ</t>
  </si>
  <si>
    <t>GRZ</t>
  </si>
  <si>
    <t>GRAZ</t>
  </si>
  <si>
    <t>ATGUN</t>
  </si>
  <si>
    <t>GUN</t>
  </si>
  <si>
    <t>GUNTRAMSDORF</t>
  </si>
  <si>
    <t>ATHOH</t>
  </si>
  <si>
    <t>HOH</t>
  </si>
  <si>
    <t>HOHENEMS</t>
  </si>
  <si>
    <t>ATINN</t>
  </si>
  <si>
    <t>INN</t>
  </si>
  <si>
    <t>INNSBRUCK</t>
  </si>
  <si>
    <t>ATKLU</t>
  </si>
  <si>
    <t>KLU</t>
  </si>
  <si>
    <t>KLAGENFURT</t>
  </si>
  <si>
    <t>ATLNZ</t>
  </si>
  <si>
    <t>LNZ</t>
  </si>
  <si>
    <t>LINZ</t>
  </si>
  <si>
    <t>ATSVG</t>
  </si>
  <si>
    <t>SVG</t>
  </si>
  <si>
    <t>ST VEIT AN DER GLAN</t>
  </si>
  <si>
    <t>ATSZG</t>
  </si>
  <si>
    <t>SZG</t>
  </si>
  <si>
    <t>SALZBURG</t>
  </si>
  <si>
    <t>ATVIE</t>
  </si>
  <si>
    <t>VIE</t>
  </si>
  <si>
    <t>WIEN</t>
  </si>
  <si>
    <t>ATZRS</t>
  </si>
  <si>
    <t>ZRS</t>
  </si>
  <si>
    <t>ZURS/LECH</t>
  </si>
  <si>
    <t>ATZZZ</t>
  </si>
  <si>
    <t>AUSTRALIA</t>
  </si>
  <si>
    <t>オーストラリア</t>
  </si>
  <si>
    <t>AUAAB</t>
  </si>
  <si>
    <t>AU</t>
  </si>
  <si>
    <t>AAB</t>
  </si>
  <si>
    <t>ARRABURY QLD</t>
  </si>
  <si>
    <t>AUSTL</t>
  </si>
  <si>
    <t>AUABG</t>
  </si>
  <si>
    <t>ABG</t>
  </si>
  <si>
    <t>ABINGDON - QL</t>
  </si>
  <si>
    <t>AUABH</t>
  </si>
  <si>
    <t>ABH</t>
  </si>
  <si>
    <t>ALPHA - QL</t>
  </si>
  <si>
    <t>AUABM</t>
  </si>
  <si>
    <t>ABM</t>
  </si>
  <si>
    <t>BAMAGA - QL</t>
  </si>
  <si>
    <t>AUABP</t>
  </si>
  <si>
    <t>ABP</t>
  </si>
  <si>
    <t>ABBOT POINT</t>
  </si>
  <si>
    <t>AUABX</t>
  </si>
  <si>
    <t>ABX</t>
  </si>
  <si>
    <t>ALBURY - NS</t>
  </si>
  <si>
    <t>AUADL</t>
  </si>
  <si>
    <t>ADL</t>
  </si>
  <si>
    <t>ADELAIDE - SA</t>
  </si>
  <si>
    <t>AUADO</t>
  </si>
  <si>
    <t>ADO</t>
  </si>
  <si>
    <t>ANDAMOOKA - SA</t>
  </si>
  <si>
    <t>AUAGW</t>
  </si>
  <si>
    <t>AGW</t>
  </si>
  <si>
    <t>AGNEW - QL</t>
  </si>
  <si>
    <t>AUAGY</t>
  </si>
  <si>
    <t>AGY</t>
  </si>
  <si>
    <t>ARGYLE DWN WA</t>
  </si>
  <si>
    <t>AUALH</t>
  </si>
  <si>
    <t>ALH</t>
  </si>
  <si>
    <t>ALBANY - WA</t>
  </si>
  <si>
    <t>AUAMT</t>
  </si>
  <si>
    <t>AMT</t>
  </si>
  <si>
    <t>AMATA NT</t>
  </si>
  <si>
    <t>AUAMX</t>
  </si>
  <si>
    <t>AMX</t>
  </si>
  <si>
    <t>AMMAROO NT</t>
  </si>
  <si>
    <t>AUANZ</t>
  </si>
  <si>
    <t>ANZ</t>
  </si>
  <si>
    <t>ANGUS DOWN NT</t>
  </si>
  <si>
    <t>AUARD</t>
  </si>
  <si>
    <t>ARD</t>
  </si>
  <si>
    <t>ARDROSSAN - SA</t>
  </si>
  <si>
    <t>AUARM</t>
  </si>
  <si>
    <t>ARM</t>
  </si>
  <si>
    <t>ARMIDALE - NS</t>
  </si>
  <si>
    <t>AUARY</t>
  </si>
  <si>
    <t>ARY</t>
  </si>
  <si>
    <t>ARARAT VIC</t>
  </si>
  <si>
    <t>AUASP</t>
  </si>
  <si>
    <t>ASP</t>
  </si>
  <si>
    <t>ALICE SPRINGS - NT</t>
  </si>
  <si>
    <t>AUAUD</t>
  </si>
  <si>
    <t>AUD</t>
  </si>
  <si>
    <t>AUGSTS DWN QL</t>
  </si>
  <si>
    <t>AUAUU</t>
  </si>
  <si>
    <t>AUU</t>
  </si>
  <si>
    <t>AURUKUN QLD</t>
  </si>
  <si>
    <t>AUAVG</t>
  </si>
  <si>
    <t>AVG</t>
  </si>
  <si>
    <t>AUVERGNE NT</t>
  </si>
  <si>
    <t>AUAVV</t>
  </si>
  <si>
    <t>AVV</t>
  </si>
  <si>
    <t>AVALON NSW</t>
  </si>
  <si>
    <t>AUAWN</t>
  </si>
  <si>
    <t>AWN</t>
  </si>
  <si>
    <t>ALTON DOWN SA</t>
  </si>
  <si>
    <t>AUAWP</t>
  </si>
  <si>
    <t>AWP</t>
  </si>
  <si>
    <t>AUSTRAL DO NT</t>
  </si>
  <si>
    <t>AUAXC</t>
  </si>
  <si>
    <t>AXC</t>
  </si>
  <si>
    <t>ARAMAC - QL</t>
  </si>
  <si>
    <t>AUAXL</t>
  </si>
  <si>
    <t>AXL</t>
  </si>
  <si>
    <t>ALEXANDRIA - NT</t>
  </si>
  <si>
    <t>AUAYD</t>
  </si>
  <si>
    <t>AYD</t>
  </si>
  <si>
    <t>ALROY DOWN NT</t>
  </si>
  <si>
    <t>AUAYL</t>
  </si>
  <si>
    <t>AYL</t>
  </si>
  <si>
    <t>ANTHONY LA NT</t>
  </si>
  <si>
    <t>AUAYQ</t>
  </si>
  <si>
    <t>AYQ</t>
  </si>
  <si>
    <t>AYERS ROCK - NT</t>
  </si>
  <si>
    <t>AUAYR</t>
  </si>
  <si>
    <t>AYR</t>
  </si>
  <si>
    <t>AYR QLD</t>
  </si>
  <si>
    <t>AUBAH</t>
  </si>
  <si>
    <t>BAH</t>
  </si>
  <si>
    <t>BALLAST HEAD - SA</t>
  </si>
  <si>
    <t>AUBBE</t>
  </si>
  <si>
    <t>BBE</t>
  </si>
  <si>
    <t>BIG BELL WA</t>
  </si>
  <si>
    <t>AUBBG</t>
  </si>
  <si>
    <t>BBG</t>
  </si>
  <si>
    <t>BING BONG</t>
  </si>
  <si>
    <t>AUBCH</t>
  </si>
  <si>
    <t>BCH</t>
  </si>
  <si>
    <t>BEACHPORT - SA</t>
  </si>
  <si>
    <t>AUBCI</t>
  </si>
  <si>
    <t>BCI</t>
  </si>
  <si>
    <t>BARCALDINE - QL</t>
  </si>
  <si>
    <t>AUBCK</t>
  </si>
  <si>
    <t>BCK</t>
  </si>
  <si>
    <t>BOLWORRA QLD</t>
  </si>
  <si>
    <t>AUBDB</t>
  </si>
  <si>
    <t>BDB</t>
  </si>
  <si>
    <t>BUNDABERG - QL</t>
  </si>
  <si>
    <t>AUBDD</t>
  </si>
  <si>
    <t>BADU ISL QLD</t>
  </si>
  <si>
    <t>AUBDW</t>
  </si>
  <si>
    <t>BDW</t>
  </si>
  <si>
    <t>BEDFRD DWN WA</t>
  </si>
  <si>
    <t>AUBEE</t>
  </si>
  <si>
    <t>BEE</t>
  </si>
  <si>
    <t>BEAGLE BAY WA</t>
  </si>
  <si>
    <t>AUBEL</t>
  </si>
  <si>
    <t>BEL</t>
  </si>
  <si>
    <t>BELL BAY</t>
  </si>
  <si>
    <t>AUBEU</t>
  </si>
  <si>
    <t>BEU</t>
  </si>
  <si>
    <t>BEDOURIE QLD</t>
  </si>
  <si>
    <t>AUBHQ</t>
  </si>
  <si>
    <t>BHQ</t>
  </si>
  <si>
    <t>BROKEN HILL - NS</t>
  </si>
  <si>
    <t>AUBHS</t>
  </si>
  <si>
    <t>BHS</t>
  </si>
  <si>
    <t>BATHURST - NS</t>
  </si>
  <si>
    <t>AUBHT</t>
  </si>
  <si>
    <t>BHT</t>
  </si>
  <si>
    <t>BRIGHTON DOWNS QL</t>
  </si>
  <si>
    <t>AUBIP</t>
  </si>
  <si>
    <t>BIP</t>
  </si>
  <si>
    <t>BULIMBA - QL</t>
  </si>
  <si>
    <t>AUBIW</t>
  </si>
  <si>
    <t>BIW</t>
  </si>
  <si>
    <t>BILLILUNA WA</t>
  </si>
  <si>
    <t>AUBKP</t>
  </si>
  <si>
    <t>BKP</t>
  </si>
  <si>
    <t>BARKLEY D QLD</t>
  </si>
  <si>
    <t>AUBKQ</t>
  </si>
  <si>
    <t>BKQ</t>
  </si>
  <si>
    <t>BLACKALL - QL</t>
  </si>
  <si>
    <t>AUBLN</t>
  </si>
  <si>
    <t>BLN</t>
  </si>
  <si>
    <t>BENALLA VIC</t>
  </si>
  <si>
    <t>AUBLS</t>
  </si>
  <si>
    <t>BLS</t>
  </si>
  <si>
    <t>BOLLON - QL</t>
  </si>
  <si>
    <t>AUBLT</t>
  </si>
  <si>
    <t>BLT</t>
  </si>
  <si>
    <t>BLACKWATER - QL</t>
  </si>
  <si>
    <t>AUBME</t>
  </si>
  <si>
    <t>BME</t>
  </si>
  <si>
    <t>BROOME - WA</t>
  </si>
  <si>
    <t>AUBMP</t>
  </si>
  <si>
    <t>BMP</t>
  </si>
  <si>
    <t>BRAMPTON - QL</t>
  </si>
  <si>
    <t>AUBMW</t>
  </si>
  <si>
    <t>BMW</t>
  </si>
  <si>
    <t>BROADMEADOWS - VI</t>
  </si>
  <si>
    <t>AUBNE</t>
  </si>
  <si>
    <t>BNE</t>
  </si>
  <si>
    <t>BRISBANE - QL</t>
  </si>
  <si>
    <t>AUBOX</t>
  </si>
  <si>
    <t>BOX</t>
  </si>
  <si>
    <t>BORROLOOLA NT</t>
  </si>
  <si>
    <t>AUBQL</t>
  </si>
  <si>
    <t>BQL</t>
  </si>
  <si>
    <t>BOULIA QLD</t>
  </si>
  <si>
    <t>AUBQW</t>
  </si>
  <si>
    <t>BQW</t>
  </si>
  <si>
    <t>BALGO HILLS - WA</t>
  </si>
  <si>
    <t>AUBRJ</t>
  </si>
  <si>
    <t>BRJ</t>
  </si>
  <si>
    <t>BRIGHT VIC</t>
  </si>
  <si>
    <t>AUBRK</t>
  </si>
  <si>
    <t>BRK</t>
  </si>
  <si>
    <t>BOURKE - NS</t>
  </si>
  <si>
    <t>AUBRT</t>
  </si>
  <si>
    <t>BRT</t>
  </si>
  <si>
    <t>BATHURST ISLAND - NT</t>
  </si>
  <si>
    <t>AUBSJ</t>
  </si>
  <si>
    <t>BSJ</t>
  </si>
  <si>
    <t>BAIRNSDALE - VI</t>
  </si>
  <si>
    <t>AUBTB</t>
  </si>
  <si>
    <t>BTB</t>
  </si>
  <si>
    <t>BOTANY BAY - NS</t>
  </si>
  <si>
    <t>AUBTD</t>
  </si>
  <si>
    <t>BTD</t>
  </si>
  <si>
    <t>BRUNETTE D NT</t>
  </si>
  <si>
    <t>AUBTX</t>
  </si>
  <si>
    <t>BTX</t>
  </si>
  <si>
    <t>BETOOTA QLD</t>
  </si>
  <si>
    <t>AUBUC</t>
  </si>
  <si>
    <t>BUC</t>
  </si>
  <si>
    <t>BURKETOWN QLD</t>
  </si>
  <si>
    <t>AUBUS</t>
  </si>
  <si>
    <t>BUS</t>
  </si>
  <si>
    <t>BUSSELTON - WA</t>
  </si>
  <si>
    <t>AUBUY</t>
  </si>
  <si>
    <t>BUY</t>
  </si>
  <si>
    <t>BUNBURY - WA</t>
  </si>
  <si>
    <t>AUBVI</t>
  </si>
  <si>
    <t>BVI</t>
  </si>
  <si>
    <t>BIRDSVILLE - QL</t>
  </si>
  <si>
    <t>AUBVW</t>
  </si>
  <si>
    <t>BVW</t>
  </si>
  <si>
    <t>BATAVIA D QLD</t>
  </si>
  <si>
    <t>AUBVZ</t>
  </si>
  <si>
    <t>BVZ</t>
  </si>
  <si>
    <t>BEVERLEY WA</t>
  </si>
  <si>
    <t>AUBWB</t>
  </si>
  <si>
    <t>BWB</t>
  </si>
  <si>
    <t>BARROW ISLAND - WA</t>
  </si>
  <si>
    <t>AUBWQ</t>
  </si>
  <si>
    <t>BWQ</t>
  </si>
  <si>
    <t>BREWARRINA - NS</t>
  </si>
  <si>
    <t>AUBWT</t>
  </si>
  <si>
    <t>BWT</t>
  </si>
  <si>
    <t>BURNIE - TS</t>
  </si>
  <si>
    <t>AUBWU</t>
  </si>
  <si>
    <t>BWU</t>
  </si>
  <si>
    <t>BANKSTOWN NSW</t>
  </si>
  <si>
    <t>AUBYP</t>
  </si>
  <si>
    <t>BYP</t>
  </si>
  <si>
    <t>BEAUTY POINT - TG</t>
  </si>
  <si>
    <t>AUBZD</t>
  </si>
  <si>
    <t>BZD</t>
  </si>
  <si>
    <t>BALRANALD NSW</t>
  </si>
  <si>
    <t>AUBZP</t>
  </si>
  <si>
    <t>BZP</t>
  </si>
  <si>
    <t>BIZANT QLD</t>
  </si>
  <si>
    <t>AUCAZ</t>
  </si>
  <si>
    <t>CAZ</t>
  </si>
  <si>
    <t>COBAR - NS</t>
  </si>
  <si>
    <t>AUCBC</t>
  </si>
  <si>
    <t>CBC</t>
  </si>
  <si>
    <t>CHERRABUN - WA</t>
  </si>
  <si>
    <t>AUCBR</t>
  </si>
  <si>
    <t>CBR</t>
  </si>
  <si>
    <t>CANBERRA</t>
  </si>
  <si>
    <t>AUCBX</t>
  </si>
  <si>
    <t>CBX</t>
  </si>
  <si>
    <t>CONDOBOLIN - NS</t>
  </si>
  <si>
    <t>AUCBY</t>
  </si>
  <si>
    <t>CBY</t>
  </si>
  <si>
    <t>CANOBIE QLD</t>
  </si>
  <si>
    <t>AUCCL</t>
  </si>
  <si>
    <t>CCL</t>
  </si>
  <si>
    <t>CHINCHILL QLD</t>
  </si>
  <si>
    <t>AUCCU</t>
  </si>
  <si>
    <t>CCU</t>
  </si>
  <si>
    <t>CAPE CUVIER - WA</t>
  </si>
  <si>
    <t>AUCCW</t>
  </si>
  <si>
    <t>CCW</t>
  </si>
  <si>
    <t>COWELL SA</t>
  </si>
  <si>
    <t>AUCDA</t>
  </si>
  <si>
    <t>CDA</t>
  </si>
  <si>
    <t>COOINDA NT</t>
  </si>
  <si>
    <t>AUCDQ</t>
  </si>
  <si>
    <t>CDQ</t>
  </si>
  <si>
    <t>CROYDON QLD</t>
  </si>
  <si>
    <t>AUCDU</t>
  </si>
  <si>
    <t>CDU</t>
  </si>
  <si>
    <t>CAMDEN NSW</t>
  </si>
  <si>
    <t>AUCED</t>
  </si>
  <si>
    <t>CED</t>
  </si>
  <si>
    <t>CEDUNA - SA</t>
  </si>
  <si>
    <t>AUCES</t>
  </si>
  <si>
    <t>CES</t>
  </si>
  <si>
    <t>CESSNOCK NSW</t>
  </si>
  <si>
    <t>AUCFH</t>
  </si>
  <si>
    <t>CFH</t>
  </si>
  <si>
    <t>CLIFTON HI SA</t>
  </si>
  <si>
    <t>AUCFI</t>
  </si>
  <si>
    <t>CFI</t>
  </si>
  <si>
    <t>CAMFIELD NT</t>
  </si>
  <si>
    <t>AUCFP</t>
  </si>
  <si>
    <t>CFP</t>
  </si>
  <si>
    <t>CARPENTAR QLD</t>
  </si>
  <si>
    <t>AUCFS</t>
  </si>
  <si>
    <t>CFS</t>
  </si>
  <si>
    <t>COFFS HARBOUR - NS</t>
  </si>
  <si>
    <t>AUCHB</t>
  </si>
  <si>
    <t>CHB</t>
  </si>
  <si>
    <t>CATHERINE HILL BAY -NS</t>
  </si>
  <si>
    <t>AUCIE</t>
  </si>
  <si>
    <t>CIE</t>
  </si>
  <si>
    <t>COLLIE WA</t>
  </si>
  <si>
    <t>AUCKI</t>
  </si>
  <si>
    <t>CKI</t>
  </si>
  <si>
    <t>CROKER ISLAND - NT</t>
  </si>
  <si>
    <t>AUCLH</t>
  </si>
  <si>
    <t>CLH</t>
  </si>
  <si>
    <t>COOLAH NSW</t>
  </si>
  <si>
    <t>AUCLL</t>
  </si>
  <si>
    <t>CLL</t>
  </si>
  <si>
    <t>COLLAN ISLANDS</t>
  </si>
  <si>
    <t>AUCLR</t>
  </si>
  <si>
    <t>CLR</t>
  </si>
  <si>
    <t>CLARENCE RIVER - NS</t>
  </si>
  <si>
    <t>AUCLT</t>
  </si>
  <si>
    <t>CLT</t>
  </si>
  <si>
    <t>CAPE LAMBERT - WA</t>
  </si>
  <si>
    <t>AUCMA</t>
  </si>
  <si>
    <t>CMA</t>
  </si>
  <si>
    <t>CUNNAMULLA - QL</t>
  </si>
  <si>
    <t>AUCMD</t>
  </si>
  <si>
    <t>CMD</t>
  </si>
  <si>
    <t>COOTAMUNDRA - NS</t>
  </si>
  <si>
    <t>AUCML</t>
  </si>
  <si>
    <t>CML</t>
  </si>
  <si>
    <t>CAMOOWEAL - QL</t>
  </si>
  <si>
    <t>AUCMQ</t>
  </si>
  <si>
    <t>CMQ</t>
  </si>
  <si>
    <t>CLERMONT - QL</t>
  </si>
  <si>
    <t>AUCNB</t>
  </si>
  <si>
    <t>CNB</t>
  </si>
  <si>
    <t>COONAMBLE NSW</t>
  </si>
  <si>
    <t>AUCNJ</t>
  </si>
  <si>
    <t>CNJ</t>
  </si>
  <si>
    <t>CLONCURRY - QL</t>
  </si>
  <si>
    <t>AUCNS</t>
  </si>
  <si>
    <t>CNS</t>
  </si>
  <si>
    <t>CAIRNS - QL</t>
  </si>
  <si>
    <t>AUCOJ</t>
  </si>
  <si>
    <t>COJ</t>
  </si>
  <si>
    <t>COONABARA NSW</t>
  </si>
  <si>
    <t>AUCOM</t>
  </si>
  <si>
    <t>COM</t>
  </si>
  <si>
    <t>COOMA - NS</t>
  </si>
  <si>
    <t>AUCOP</t>
  </si>
  <si>
    <t>COP</t>
  </si>
  <si>
    <t>COSSACK PIONEER (OILTERMINAL)</t>
  </si>
  <si>
    <t>AUCOY</t>
  </si>
  <si>
    <t>COY</t>
  </si>
  <si>
    <t>COOLAWANYAH WA</t>
  </si>
  <si>
    <t>AUCPD</t>
  </si>
  <si>
    <t>CPD</t>
  </si>
  <si>
    <t>COOBER PEDY - SA</t>
  </si>
  <si>
    <t>AUCQP</t>
  </si>
  <si>
    <t>CQP</t>
  </si>
  <si>
    <t>CAPE FLATTERY - QL</t>
  </si>
  <si>
    <t>AUCRB</t>
  </si>
  <si>
    <t>COLLARENE NSW</t>
  </si>
  <si>
    <t>AUCRH</t>
  </si>
  <si>
    <t>CRH</t>
  </si>
  <si>
    <t>CHERRIBAH QLD</t>
  </si>
  <si>
    <t>AUCRJ</t>
  </si>
  <si>
    <t>CRJ</t>
  </si>
  <si>
    <t>COORABIE SA</t>
  </si>
  <si>
    <t>AUCRY</t>
  </si>
  <si>
    <t>CRY</t>
  </si>
  <si>
    <t>CARLTON WA</t>
  </si>
  <si>
    <t>AUCSD</t>
  </si>
  <si>
    <t>CSD</t>
  </si>
  <si>
    <t>CRESSWELL NT</t>
  </si>
  <si>
    <t>AUCSI</t>
  </si>
  <si>
    <t>CSI</t>
  </si>
  <si>
    <t>CASINO - NS</t>
  </si>
  <si>
    <t>AUCTL</t>
  </si>
  <si>
    <t>CTL</t>
  </si>
  <si>
    <t>CHARLEVILLE - QL</t>
  </si>
  <si>
    <t>AUCTN</t>
  </si>
  <si>
    <t>CTN</t>
  </si>
  <si>
    <t>COOKTOWN - QL</t>
  </si>
  <si>
    <t>AUCTR</t>
  </si>
  <si>
    <t>CTR</t>
  </si>
  <si>
    <t>CATTLE CRE NT</t>
  </si>
  <si>
    <t>AUCUD</t>
  </si>
  <si>
    <t>CUD</t>
  </si>
  <si>
    <t>CALOUNDRA - QL</t>
  </si>
  <si>
    <t>AUCUQ</t>
  </si>
  <si>
    <t>CUQ</t>
  </si>
  <si>
    <t>COEN QLD</t>
  </si>
  <si>
    <t>AUCUY</t>
  </si>
  <si>
    <t>CUY</t>
  </si>
  <si>
    <t>CUE - WA</t>
  </si>
  <si>
    <t>AUCVC</t>
  </si>
  <si>
    <t>CVC</t>
  </si>
  <si>
    <t>CLEVE - SA</t>
  </si>
  <si>
    <t>AUCVQ</t>
  </si>
  <si>
    <t>CVQ</t>
  </si>
  <si>
    <t>CARNARVON - WA</t>
  </si>
  <si>
    <t>AUCWR</t>
  </si>
  <si>
    <t>CWR</t>
  </si>
  <si>
    <t>COWARIE SA</t>
  </si>
  <si>
    <t>AUCWT</t>
  </si>
  <si>
    <t>CWT</t>
  </si>
  <si>
    <t>COWRA - NS</t>
  </si>
  <si>
    <t>AUCWW</t>
  </si>
  <si>
    <t>CWW</t>
  </si>
  <si>
    <t>COROWA - NS</t>
  </si>
  <si>
    <t>AUCXQ</t>
  </si>
  <si>
    <t>CXQ</t>
  </si>
  <si>
    <t>CHRISTMAS WA</t>
  </si>
  <si>
    <t>AUCXT</t>
  </si>
  <si>
    <t>CXT</t>
  </si>
  <si>
    <t>CHARTERS TOWERS - QL</t>
  </si>
  <si>
    <t>AUCZY</t>
  </si>
  <si>
    <t>CZY</t>
  </si>
  <si>
    <t>CLUNY QLD</t>
  </si>
  <si>
    <t>AUDAA</t>
  </si>
  <si>
    <t>DAA</t>
  </si>
  <si>
    <t>DARRA - QL</t>
  </si>
  <si>
    <t>AUDAM</t>
  </si>
  <si>
    <t>DAM</t>
  </si>
  <si>
    <t>DAMPIER - WA</t>
  </si>
  <si>
    <t>AUDBO</t>
  </si>
  <si>
    <t>DBO</t>
  </si>
  <si>
    <t>DUBBO - NS</t>
  </si>
  <si>
    <t>AUDBY</t>
  </si>
  <si>
    <t>DBY</t>
  </si>
  <si>
    <t>DALBY QLD</t>
  </si>
  <si>
    <t>AUDDI</t>
  </si>
  <si>
    <t>DDI</t>
  </si>
  <si>
    <t>DAYDREAM ISLAND - QL</t>
  </si>
  <si>
    <t>AUDDN</t>
  </si>
  <si>
    <t>DDN</t>
  </si>
  <si>
    <t>DELTA DOW QLD</t>
  </si>
  <si>
    <t>AUDFP</t>
  </si>
  <si>
    <t>DFP</t>
  </si>
  <si>
    <t>DRUMDUFF QLD</t>
  </si>
  <si>
    <t>AUDGE</t>
  </si>
  <si>
    <t>DGE</t>
  </si>
  <si>
    <t>MUDGEE - NS</t>
  </si>
  <si>
    <t>AUDHD</t>
  </si>
  <si>
    <t>DHD</t>
  </si>
  <si>
    <t>DURHAM DO QLD</t>
  </si>
  <si>
    <t>AUDKI</t>
  </si>
  <si>
    <t>DKI</t>
  </si>
  <si>
    <t>DUNK ISLAND - QL</t>
  </si>
  <si>
    <t>AUDKV</t>
  </si>
  <si>
    <t>DKV</t>
  </si>
  <si>
    <t>DOCKER RIV NT</t>
  </si>
  <si>
    <t>AUDLV</t>
  </si>
  <si>
    <t>DLV</t>
  </si>
  <si>
    <t>DELISSAVIL NT</t>
  </si>
  <si>
    <t>AUDMD</t>
  </si>
  <si>
    <t>DMD</t>
  </si>
  <si>
    <t>DOOMADGEE QLD</t>
  </si>
  <si>
    <t>AUDNB</t>
  </si>
  <si>
    <t>DNB</t>
  </si>
  <si>
    <t>DUNBAR QLD</t>
  </si>
  <si>
    <t>AUDNM</t>
  </si>
  <si>
    <t>DNM</t>
  </si>
  <si>
    <t>DENHAM - WA</t>
  </si>
  <si>
    <t>AUDNQ</t>
  </si>
  <si>
    <t>DNQ</t>
  </si>
  <si>
    <t>DENILIQUIN - NS</t>
  </si>
  <si>
    <t>AUDOX</t>
  </si>
  <si>
    <t>DOX</t>
  </si>
  <si>
    <t>DONGARA WA</t>
  </si>
  <si>
    <t>AUDPO</t>
  </si>
  <si>
    <t>DPO</t>
  </si>
  <si>
    <t>DEVONPORT - TA</t>
  </si>
  <si>
    <t>AUDRB</t>
  </si>
  <si>
    <t>DRB</t>
  </si>
  <si>
    <t>DERBY - WA</t>
  </si>
  <si>
    <t>AUDRD</t>
  </si>
  <si>
    <t>DRD</t>
  </si>
  <si>
    <t>DORUNDA S QLD</t>
  </si>
  <si>
    <t>AUDRN</t>
  </si>
  <si>
    <t>DRN</t>
  </si>
  <si>
    <t>DIRRANBANDI - QL</t>
  </si>
  <si>
    <t>AUDRR</t>
  </si>
  <si>
    <t>DRR</t>
  </si>
  <si>
    <t>DURRIE QLD</t>
  </si>
  <si>
    <t>AUDRW</t>
  </si>
  <si>
    <t>DRW</t>
  </si>
  <si>
    <t>DARWIN - NT</t>
  </si>
  <si>
    <t>AUDVP</t>
  </si>
  <si>
    <t>DVP</t>
  </si>
  <si>
    <t>DAVENPORT QLD</t>
  </si>
  <si>
    <t>AUDVR</t>
  </si>
  <si>
    <t>DVR</t>
  </si>
  <si>
    <t>DALY RIVER NT</t>
  </si>
  <si>
    <t>AUDXD</t>
  </si>
  <si>
    <t>DXD</t>
  </si>
  <si>
    <t>DIXIE QLD</t>
  </si>
  <si>
    <t>AUDYA</t>
  </si>
  <si>
    <t>DYA</t>
  </si>
  <si>
    <t>DYSART QLD</t>
  </si>
  <si>
    <t>AUDYM</t>
  </si>
  <si>
    <t>DYM</t>
  </si>
  <si>
    <t>DIAMANTIN QLD</t>
  </si>
  <si>
    <t>AUDYW</t>
  </si>
  <si>
    <t>DYW</t>
  </si>
  <si>
    <t>DALY WATER NT</t>
  </si>
  <si>
    <t>AUEDB</t>
  </si>
  <si>
    <t>EDB</t>
  </si>
  <si>
    <t>EDITHBURGH - SA</t>
  </si>
  <si>
    <t>AUEDD</t>
  </si>
  <si>
    <t>EDD</t>
  </si>
  <si>
    <t>ERLDUNDA NT</t>
  </si>
  <si>
    <t>AUEDR</t>
  </si>
  <si>
    <t>EDR</t>
  </si>
  <si>
    <t>EDWARD RI QLD</t>
  </si>
  <si>
    <t>AUEIH</t>
  </si>
  <si>
    <t>EIH</t>
  </si>
  <si>
    <t>EINASLEIG QLD</t>
  </si>
  <si>
    <t>AUEKD</t>
  </si>
  <si>
    <t>EKD</t>
  </si>
  <si>
    <t>ELKEDRA NT</t>
  </si>
  <si>
    <t>AUELC</t>
  </si>
  <si>
    <t>ELC</t>
  </si>
  <si>
    <t>ELCHO ISLAND - NT</t>
  </si>
  <si>
    <t>AUELE</t>
  </si>
  <si>
    <t>ELE</t>
  </si>
  <si>
    <t>ELECTRONA - TA</t>
  </si>
  <si>
    <t>AUEMD</t>
  </si>
  <si>
    <t>EMD</t>
  </si>
  <si>
    <t>EMERALD - QL</t>
  </si>
  <si>
    <t>AUENB</t>
  </si>
  <si>
    <t>ENB</t>
  </si>
  <si>
    <t>ENEABBA WE WA</t>
  </si>
  <si>
    <t>AUEPR</t>
  </si>
  <si>
    <t>EPR</t>
  </si>
  <si>
    <t>ESPERANCE - WA</t>
  </si>
  <si>
    <t>AUERB</t>
  </si>
  <si>
    <t>ERB</t>
  </si>
  <si>
    <t>ERNABELLA SA</t>
  </si>
  <si>
    <t>AUETD</t>
  </si>
  <si>
    <t>ETD</t>
  </si>
  <si>
    <t>ETADUNNA SA</t>
  </si>
  <si>
    <t>AUEVD</t>
  </si>
  <si>
    <t>EVD</t>
  </si>
  <si>
    <t>EVA DOWNS NT</t>
  </si>
  <si>
    <t>AUEXM</t>
  </si>
  <si>
    <t>EXM</t>
  </si>
  <si>
    <t>EXMOUTH GULF - WA</t>
  </si>
  <si>
    <t>AUFIK</t>
  </si>
  <si>
    <t>FIK</t>
  </si>
  <si>
    <t>FINKE NT</t>
  </si>
  <si>
    <t>AUFLC</t>
  </si>
  <si>
    <t>FLC</t>
  </si>
  <si>
    <t>FALLS CRE VIC</t>
  </si>
  <si>
    <t>AUFLS</t>
  </si>
  <si>
    <t>FLS</t>
  </si>
  <si>
    <t>FLINDERS ISLAND - TS</t>
  </si>
  <si>
    <t>AUFLY</t>
  </si>
  <si>
    <t>FLY</t>
  </si>
  <si>
    <t>FINLEY - NS</t>
  </si>
  <si>
    <t>AUFOS</t>
  </si>
  <si>
    <t>FOS</t>
  </si>
  <si>
    <t>FORREST WA</t>
  </si>
  <si>
    <t>AUFOT</t>
  </si>
  <si>
    <t>FOT</t>
  </si>
  <si>
    <t>FORSTER NSW</t>
  </si>
  <si>
    <t>AUFRB</t>
  </si>
  <si>
    <t>FRB</t>
  </si>
  <si>
    <t>FORBES NSW</t>
  </si>
  <si>
    <t>AUFRE</t>
  </si>
  <si>
    <t>FRE</t>
  </si>
  <si>
    <t>FREMANTLE - WA</t>
  </si>
  <si>
    <t>AUFSL</t>
  </si>
  <si>
    <t>FSL</t>
  </si>
  <si>
    <t>FOSSIL DOW WA</t>
  </si>
  <si>
    <t>AUGAH</t>
  </si>
  <si>
    <t>GAH</t>
  </si>
  <si>
    <t>GAYNDAH - QL</t>
  </si>
  <si>
    <t>AUGBL</t>
  </si>
  <si>
    <t>GBL</t>
  </si>
  <si>
    <t>GOULBURN ISLAND - NT</t>
  </si>
  <si>
    <t>AUGBP</t>
  </si>
  <si>
    <t>GBP</t>
  </si>
  <si>
    <t>GAMBOOLA QLD</t>
  </si>
  <si>
    <t>AUGBV</t>
  </si>
  <si>
    <t>GBV</t>
  </si>
  <si>
    <t>GIBB RIVER WA</t>
  </si>
  <si>
    <t>AUGDD</t>
  </si>
  <si>
    <t>GDD</t>
  </si>
  <si>
    <t>GORDON DOW WA</t>
  </si>
  <si>
    <t>AUGET</t>
  </si>
  <si>
    <t>GET</t>
  </si>
  <si>
    <t>GERALDTON - WA</t>
  </si>
  <si>
    <t>AUGEX</t>
  </si>
  <si>
    <t>GEX</t>
  </si>
  <si>
    <t>GEELONG - VI</t>
  </si>
  <si>
    <t>AUGFE</t>
  </si>
  <si>
    <t>GFE</t>
  </si>
  <si>
    <t>GRENFELL NSW</t>
  </si>
  <si>
    <t>AUGFF</t>
  </si>
  <si>
    <t>GFF</t>
  </si>
  <si>
    <t>GRIFFITH - NS</t>
  </si>
  <si>
    <t>AUGFN</t>
  </si>
  <si>
    <t>GFN</t>
  </si>
  <si>
    <t>GRAFTON - NS</t>
  </si>
  <si>
    <t>AUGGD</t>
  </si>
  <si>
    <t>GGD</t>
  </si>
  <si>
    <t>GREGORY QLD</t>
  </si>
  <si>
    <t>AUGKL</t>
  </si>
  <si>
    <t>GKL</t>
  </si>
  <si>
    <t>GREAT KEPPEL - QL</t>
  </si>
  <si>
    <t>AUGLG</t>
  </si>
  <si>
    <t>GLG</t>
  </si>
  <si>
    <t>GLENGYLE QLD</t>
  </si>
  <si>
    <t>AUGLI</t>
  </si>
  <si>
    <t>GLI</t>
  </si>
  <si>
    <t>GLEN INNES - NS</t>
  </si>
  <si>
    <t>AUGLM</t>
  </si>
  <si>
    <t>GLM</t>
  </si>
  <si>
    <t>GLENORMIS QLD</t>
  </si>
  <si>
    <t>AUGLT</t>
  </si>
  <si>
    <t>GLT</t>
  </si>
  <si>
    <t>GLADSTONE - QL</t>
  </si>
  <si>
    <t>AUGLY</t>
  </si>
  <si>
    <t>GLY</t>
  </si>
  <si>
    <t>GOLDSWORTHY - WA</t>
  </si>
  <si>
    <t>AUGOO</t>
  </si>
  <si>
    <t>GOO</t>
  </si>
  <si>
    <t>GOONDIWINDI - QL</t>
  </si>
  <si>
    <t>AUGOS</t>
  </si>
  <si>
    <t>GOS</t>
  </si>
  <si>
    <t>GOSFORD NSW</t>
  </si>
  <si>
    <t>AUGOV</t>
  </si>
  <si>
    <t>GOV</t>
  </si>
  <si>
    <t>GOVE - NT</t>
  </si>
  <si>
    <t>AUGPN</t>
  </si>
  <si>
    <t>GPN</t>
  </si>
  <si>
    <t>GARDEN POINT - NT</t>
  </si>
  <si>
    <t>AUGRH</t>
  </si>
  <si>
    <t>GRH</t>
  </si>
  <si>
    <t>GREENHEAD</t>
  </si>
  <si>
    <t>AUGSC</t>
  </si>
  <si>
    <t>GSC</t>
  </si>
  <si>
    <t>GASCOYNE JUNCTION -WA</t>
  </si>
  <si>
    <t>AUGSN</t>
  </si>
  <si>
    <t>GSN</t>
  </si>
  <si>
    <t>MOUNT GUNS SA</t>
  </si>
  <si>
    <t>AUGTE</t>
  </si>
  <si>
    <t>GTE</t>
  </si>
  <si>
    <t>GROOTE EYLANDT - NT</t>
  </si>
  <si>
    <t>AUGTS</t>
  </si>
  <si>
    <t>GTS</t>
  </si>
  <si>
    <t>GRANITES NT</t>
  </si>
  <si>
    <t>AUGTT</t>
  </si>
  <si>
    <t>GTT</t>
  </si>
  <si>
    <t>GEORGETOW QLD</t>
  </si>
  <si>
    <t>AUGUH</t>
  </si>
  <si>
    <t>GUH</t>
  </si>
  <si>
    <t>GUNNEDAH NSW</t>
  </si>
  <si>
    <t>AUGUL</t>
  </si>
  <si>
    <t>GUL</t>
  </si>
  <si>
    <t>GOULBURN NSW</t>
  </si>
  <si>
    <t>AUGVP</t>
  </si>
  <si>
    <t>GVP</t>
  </si>
  <si>
    <t>GREENVALE QL</t>
  </si>
  <si>
    <t>AUGYP</t>
  </si>
  <si>
    <t>GYP</t>
  </si>
  <si>
    <t>GYMPIE QLD</t>
  </si>
  <si>
    <t>AUHAP</t>
  </si>
  <si>
    <t>HAP</t>
  </si>
  <si>
    <t>LONG ISLAND - QL</t>
  </si>
  <si>
    <t>AUHAT</t>
  </si>
  <si>
    <t>HAT</t>
  </si>
  <si>
    <t>HEATHLAND QLD</t>
  </si>
  <si>
    <t>AUHBA</t>
  </si>
  <si>
    <t>HBA</t>
  </si>
  <si>
    <t>HOBART - TS</t>
  </si>
  <si>
    <t>AUHCQ</t>
  </si>
  <si>
    <t>HCQ</t>
  </si>
  <si>
    <t>HALLS CREE WA</t>
  </si>
  <si>
    <t>AUHGD</t>
  </si>
  <si>
    <t>HGD</t>
  </si>
  <si>
    <t>HUGHENDEN - QL</t>
  </si>
  <si>
    <t>AUHIG</t>
  </si>
  <si>
    <t>HIG</t>
  </si>
  <si>
    <t>HIGHBURY QLD</t>
  </si>
  <si>
    <t>AUHIP</t>
  </si>
  <si>
    <t>HIP</t>
  </si>
  <si>
    <t>HEADINGLY QLD</t>
  </si>
  <si>
    <t>AUHIS</t>
  </si>
  <si>
    <t>HIS</t>
  </si>
  <si>
    <t>HAYMAN ISLAND - QL</t>
  </si>
  <si>
    <t>AUHLL</t>
  </si>
  <si>
    <t>HLL</t>
  </si>
  <si>
    <t>HILLSIDE WA</t>
  </si>
  <si>
    <t>AUHLS</t>
  </si>
  <si>
    <t>HLS</t>
  </si>
  <si>
    <t>ST HELENS TAS</t>
  </si>
  <si>
    <t>AUHLT</t>
  </si>
  <si>
    <t>HLT</t>
  </si>
  <si>
    <t>HAMILTON - VI</t>
  </si>
  <si>
    <t>AUHMG</t>
  </si>
  <si>
    <t>HMG</t>
  </si>
  <si>
    <t>HERMANNSBU NT</t>
  </si>
  <si>
    <t>AUHNK</t>
  </si>
  <si>
    <t>HNK</t>
  </si>
  <si>
    <t>HINCHINBROOK ISLAND</t>
  </si>
  <si>
    <t>AUHOK</t>
  </si>
  <si>
    <t>HOK</t>
  </si>
  <si>
    <t>HOOKER CREEK - NT</t>
  </si>
  <si>
    <t>AUHOT</t>
  </si>
  <si>
    <t>HOT</t>
  </si>
  <si>
    <t>HOPE TOWN</t>
  </si>
  <si>
    <t>AUHPT</t>
  </si>
  <si>
    <t>HPT</t>
  </si>
  <si>
    <t>HAYPOINT - QL</t>
  </si>
  <si>
    <t>AUHRY</t>
  </si>
  <si>
    <t>HRY</t>
  </si>
  <si>
    <t>HENBURY NT</t>
  </si>
  <si>
    <t>AUHSM</t>
  </si>
  <si>
    <t>HSM</t>
  </si>
  <si>
    <t>HORSHAM VIC</t>
  </si>
  <si>
    <t>AUHUB</t>
  </si>
  <si>
    <t>HUB</t>
  </si>
  <si>
    <t>HUMBERT RI NT</t>
  </si>
  <si>
    <t>AUHVB</t>
  </si>
  <si>
    <t>HVB</t>
  </si>
  <si>
    <t>HERVEY BAY - QL</t>
  </si>
  <si>
    <t>AUHWK</t>
  </si>
  <si>
    <t>HWK</t>
  </si>
  <si>
    <t>HAWKER SA</t>
  </si>
  <si>
    <t>AUHXX</t>
  </si>
  <si>
    <t>HXX</t>
  </si>
  <si>
    <t>HAY - NS</t>
  </si>
  <si>
    <t>AUIDK</t>
  </si>
  <si>
    <t>IDK</t>
  </si>
  <si>
    <t>INDULKANA SA</t>
  </si>
  <si>
    <t>AUIFF</t>
  </si>
  <si>
    <t>IFF</t>
  </si>
  <si>
    <t>IFFLEY QLD</t>
  </si>
  <si>
    <t>AUIFL</t>
  </si>
  <si>
    <t>IFL</t>
  </si>
  <si>
    <t>INNISFAIL - QL</t>
  </si>
  <si>
    <t>AUIGH</t>
  </si>
  <si>
    <t>IGH</t>
  </si>
  <si>
    <t>INGHAM QLD</t>
  </si>
  <si>
    <t>AUIKP</t>
  </si>
  <si>
    <t>IKP</t>
  </si>
  <si>
    <t>INKERMAL QLD</t>
  </si>
  <si>
    <t>AUINJ</t>
  </si>
  <si>
    <t>INJ</t>
  </si>
  <si>
    <t>INJUNE QLD</t>
  </si>
  <si>
    <t>AUINM</t>
  </si>
  <si>
    <t>INM</t>
  </si>
  <si>
    <t>INNAMINCKA SA</t>
  </si>
  <si>
    <t>AUIPS</t>
  </si>
  <si>
    <t>IPS</t>
  </si>
  <si>
    <t>IPSWICH - QL</t>
  </si>
  <si>
    <t>AUIRG</t>
  </si>
  <si>
    <t>IRG</t>
  </si>
  <si>
    <t>LOCKHART QLD</t>
  </si>
  <si>
    <t>AUISA</t>
  </si>
  <si>
    <t>ISA</t>
  </si>
  <si>
    <t>MOUNT ISA - QL</t>
  </si>
  <si>
    <t>AUISI</t>
  </si>
  <si>
    <t>ISI</t>
  </si>
  <si>
    <t>ISISFORD - QL</t>
  </si>
  <si>
    <t>AUIVR</t>
  </si>
  <si>
    <t>IVR</t>
  </si>
  <si>
    <t>INVERELL NSW</t>
  </si>
  <si>
    <t>AUIVW</t>
  </si>
  <si>
    <t>IVW</t>
  </si>
  <si>
    <t>INVERWAY NT</t>
  </si>
  <si>
    <t>AUJAB</t>
  </si>
  <si>
    <t>JAB</t>
  </si>
  <si>
    <t>JABIRU - NT</t>
  </si>
  <si>
    <t>AUJAD</t>
  </si>
  <si>
    <t>JAD</t>
  </si>
  <si>
    <t>JANDAKOT WA</t>
  </si>
  <si>
    <t>AUJCK</t>
  </si>
  <si>
    <t>JCK</t>
  </si>
  <si>
    <t>JULIA CREEK - QL</t>
  </si>
  <si>
    <t>AUJUN</t>
  </si>
  <si>
    <t>JUN</t>
  </si>
  <si>
    <t>JUNDAH QLD</t>
  </si>
  <si>
    <t>AUJUR</t>
  </si>
  <si>
    <t>JUR</t>
  </si>
  <si>
    <t>JURIEN BAY WA</t>
  </si>
  <si>
    <t>AUKAH</t>
  </si>
  <si>
    <t>KAH</t>
  </si>
  <si>
    <t>MELBOURNE-CITY HELIPORT - VI</t>
  </si>
  <si>
    <t>AUKAX</t>
  </si>
  <si>
    <t>KAX</t>
  </si>
  <si>
    <t>KALBARRI WA</t>
  </si>
  <si>
    <t>AUKBB</t>
  </si>
  <si>
    <t>KBB</t>
  </si>
  <si>
    <t>KIRKIMBIE NT</t>
  </si>
  <si>
    <t>AUKBD</t>
  </si>
  <si>
    <t>KBD</t>
  </si>
  <si>
    <t>KIMBERLEY WA</t>
  </si>
  <si>
    <t>AUKCE</t>
  </si>
  <si>
    <t>KCE</t>
  </si>
  <si>
    <t>COLLINSVILLE - QL</t>
  </si>
  <si>
    <t>AUKDB</t>
  </si>
  <si>
    <t>KDB</t>
  </si>
  <si>
    <t>KAMBALDA WA</t>
  </si>
  <si>
    <t>AUKGC</t>
  </si>
  <si>
    <t>KGC</t>
  </si>
  <si>
    <t>KINGSCOTE - SA</t>
  </si>
  <si>
    <t>AUKGI</t>
  </si>
  <si>
    <t>KGI</t>
  </si>
  <si>
    <t>KALGOORLIE - WA</t>
  </si>
  <si>
    <t>AUKGR</t>
  </si>
  <si>
    <t>KGR</t>
  </si>
  <si>
    <t>KULGERA NT</t>
  </si>
  <si>
    <t>AUKGY</t>
  </si>
  <si>
    <t>KGY</t>
  </si>
  <si>
    <t>KINGAROY QLD</t>
  </si>
  <si>
    <t>AUKIT</t>
  </si>
  <si>
    <t>KIT</t>
  </si>
  <si>
    <t>KINGSTON - SA</t>
  </si>
  <si>
    <t>AUKKP</t>
  </si>
  <si>
    <t>KKP</t>
  </si>
  <si>
    <t>KOOLBURRA - QL</t>
  </si>
  <si>
    <t>AUKLP</t>
  </si>
  <si>
    <t>KLP</t>
  </si>
  <si>
    <t>KLEIN POINT</t>
  </si>
  <si>
    <t>AUKML</t>
  </si>
  <si>
    <t>KML</t>
  </si>
  <si>
    <t>KAMILEROI QLD</t>
  </si>
  <si>
    <t>AUKNI</t>
  </si>
  <si>
    <t>KNI</t>
  </si>
  <si>
    <t>KATANNING WA</t>
  </si>
  <si>
    <t>AUKNS</t>
  </si>
  <si>
    <t>KNS</t>
  </si>
  <si>
    <t>KING ISLAND - TS</t>
  </si>
  <si>
    <t>AUKNX</t>
  </si>
  <si>
    <t>KNX</t>
  </si>
  <si>
    <t>KUNUNURRA - WA</t>
  </si>
  <si>
    <t>AUKOH</t>
  </si>
  <si>
    <t>KOH</t>
  </si>
  <si>
    <t>KOOLATAH QLD</t>
  </si>
  <si>
    <t>AUKOI</t>
  </si>
  <si>
    <t>KOI</t>
  </si>
  <si>
    <t>KOOLAN ISLAND - WA</t>
  </si>
  <si>
    <t>AUKPP</t>
  </si>
  <si>
    <t>KPP</t>
  </si>
  <si>
    <t>KALPOWAR QLD</t>
  </si>
  <si>
    <t>AUKPS</t>
  </si>
  <si>
    <t>KPS</t>
  </si>
  <si>
    <t>KEMPSEY - NS</t>
  </si>
  <si>
    <t>AUKQB</t>
  </si>
  <si>
    <t>KQB</t>
  </si>
  <si>
    <t>KOONIBBA SA</t>
  </si>
  <si>
    <t>AUKRA</t>
  </si>
  <si>
    <t>KERANG VIC</t>
  </si>
  <si>
    <t>AUKRB</t>
  </si>
  <si>
    <t>KRB</t>
  </si>
  <si>
    <t>KARUMBA QLD</t>
  </si>
  <si>
    <t>AUKRD</t>
  </si>
  <si>
    <t>KRD</t>
  </si>
  <si>
    <t>KURUNDI NT</t>
  </si>
  <si>
    <t>AUKSV</t>
  </si>
  <si>
    <t>KSV</t>
  </si>
  <si>
    <t>SPRINGVAL QLD</t>
  </si>
  <si>
    <t>AUKTA</t>
  </si>
  <si>
    <t>KTA</t>
  </si>
  <si>
    <t>KARRATHA - WA</t>
  </si>
  <si>
    <t>AUKTR</t>
  </si>
  <si>
    <t>KTR</t>
  </si>
  <si>
    <t>KATHERINE - NT</t>
  </si>
  <si>
    <t>AUKUR</t>
  </si>
  <si>
    <t>KURNELL - NS</t>
  </si>
  <si>
    <t>AUKWI</t>
  </si>
  <si>
    <t>KWI</t>
  </si>
  <si>
    <t>KWINANA - WA</t>
  </si>
  <si>
    <t>AUKWM</t>
  </si>
  <si>
    <t>KWM</t>
  </si>
  <si>
    <t>KOWANYAMA QLD</t>
  </si>
  <si>
    <t>AUKYB</t>
  </si>
  <si>
    <t>KYB</t>
  </si>
  <si>
    <t>YANGOONABI SA</t>
  </si>
  <si>
    <t>AUKYF</t>
  </si>
  <si>
    <t>KYF</t>
  </si>
  <si>
    <t>YEELIRIE WA</t>
  </si>
  <si>
    <t>AUKYI</t>
  </si>
  <si>
    <t>KYI</t>
  </si>
  <si>
    <t>YALATA MIS SA</t>
  </si>
  <si>
    <t>AULAB</t>
  </si>
  <si>
    <t>LAB</t>
  </si>
  <si>
    <t>LADY BARRON - TS</t>
  </si>
  <si>
    <t>AULCN</t>
  </si>
  <si>
    <t>LCN</t>
  </si>
  <si>
    <t>BALCANOONA SA</t>
  </si>
  <si>
    <t>AULDH</t>
  </si>
  <si>
    <t>LDH</t>
  </si>
  <si>
    <t>LORD HOWE ISLAND - NS</t>
  </si>
  <si>
    <t>AULDW</t>
  </si>
  <si>
    <t>LDW</t>
  </si>
  <si>
    <t>LANSDOWN WA</t>
  </si>
  <si>
    <t>AULEA</t>
  </si>
  <si>
    <t>LEA</t>
  </si>
  <si>
    <t>LEARMONTH - WA</t>
  </si>
  <si>
    <t>AULEL</t>
  </si>
  <si>
    <t>LEL</t>
  </si>
  <si>
    <t>LAKE EVELLA - NT</t>
  </si>
  <si>
    <t>AULER</t>
  </si>
  <si>
    <t>LER</t>
  </si>
  <si>
    <t>LEINSTER WA</t>
  </si>
  <si>
    <t>AULFP</t>
  </si>
  <si>
    <t>LFP</t>
  </si>
  <si>
    <t>LAKEFIELD QLD</t>
  </si>
  <si>
    <t>AULGH</t>
  </si>
  <si>
    <t>LGH</t>
  </si>
  <si>
    <t>LEIGH CREEK - SA</t>
  </si>
  <si>
    <t>AULHG</t>
  </si>
  <si>
    <t>LHG</t>
  </si>
  <si>
    <t>LIGHTNING NSW</t>
  </si>
  <si>
    <t>AULIB</t>
  </si>
  <si>
    <t>LIB</t>
  </si>
  <si>
    <t>LIMBUNYA NT</t>
  </si>
  <si>
    <t>AULKD</t>
  </si>
  <si>
    <t>LKD</t>
  </si>
  <si>
    <t>LAKELAND QLD</t>
  </si>
  <si>
    <t>AULLG</t>
  </si>
  <si>
    <t>LLG</t>
  </si>
  <si>
    <t>CHILLAGOE QLD</t>
  </si>
  <si>
    <t>AULLL</t>
  </si>
  <si>
    <t>LLL</t>
  </si>
  <si>
    <t>LISSADELL - WA</t>
  </si>
  <si>
    <t>AULLP</t>
  </si>
  <si>
    <t>LLP</t>
  </si>
  <si>
    <t>LINDA DOW QLD</t>
  </si>
  <si>
    <t>AULNH</t>
  </si>
  <si>
    <t>LNH</t>
  </si>
  <si>
    <t>LAKE NASH NT</t>
  </si>
  <si>
    <t>AULNO</t>
  </si>
  <si>
    <t>LNO</t>
  </si>
  <si>
    <t>LEONORA - WA</t>
  </si>
  <si>
    <t>AULOA</t>
  </si>
  <si>
    <t>LOA</t>
  </si>
  <si>
    <t>LORRAINE QLD</t>
  </si>
  <si>
    <t>AULOC</t>
  </si>
  <si>
    <t>LOC</t>
  </si>
  <si>
    <t>LOCK SA</t>
  </si>
  <si>
    <t>AULRE</t>
  </si>
  <si>
    <t>LRE</t>
  </si>
  <si>
    <t>LONGREACH - QL</t>
  </si>
  <si>
    <t>AULST</t>
  </si>
  <si>
    <t>LST</t>
  </si>
  <si>
    <t>LAUNCESTON - TS</t>
  </si>
  <si>
    <t>AULSY</t>
  </si>
  <si>
    <t>LSY</t>
  </si>
  <si>
    <t>LISMORE NSW</t>
  </si>
  <si>
    <t>AULTP</t>
  </si>
  <si>
    <t>LTP</t>
  </si>
  <si>
    <t>LYNDHURST QLD</t>
  </si>
  <si>
    <t>AULTV</t>
  </si>
  <si>
    <t>LTV</t>
  </si>
  <si>
    <t>LOTUSVALE QLD</t>
  </si>
  <si>
    <t>AULUC</t>
  </si>
  <si>
    <t>LUCINDA</t>
  </si>
  <si>
    <t>AULUT</t>
  </si>
  <si>
    <t>LUT</t>
  </si>
  <si>
    <t>LAURA STA QLD</t>
  </si>
  <si>
    <t>AULUU</t>
  </si>
  <si>
    <t>LUU</t>
  </si>
  <si>
    <t>LAURA QLD</t>
  </si>
  <si>
    <t>AULVO</t>
  </si>
  <si>
    <t>LVO</t>
  </si>
  <si>
    <t>LAVERTON - WA</t>
  </si>
  <si>
    <t>AULWH</t>
  </si>
  <si>
    <t>LWH</t>
  </si>
  <si>
    <t>LAWN HILL QLD</t>
  </si>
  <si>
    <t>AULYT</t>
  </si>
  <si>
    <t>LYT</t>
  </si>
  <si>
    <t>LADY ELLI QLD</t>
  </si>
  <si>
    <t>AULZR</t>
  </si>
  <si>
    <t>LZR</t>
  </si>
  <si>
    <t>LIZARD IS QLD</t>
  </si>
  <si>
    <t>AUMBB</t>
  </si>
  <si>
    <t>MBB</t>
  </si>
  <si>
    <t>MARBLE BAR - WA</t>
  </si>
  <si>
    <t>AUMBF</t>
  </si>
  <si>
    <t>MBF</t>
  </si>
  <si>
    <t>MOUNT BUF VIC</t>
  </si>
  <si>
    <t>AUMBH</t>
  </si>
  <si>
    <t>MBH</t>
  </si>
  <si>
    <t>MARYBOROUGH - QL</t>
  </si>
  <si>
    <t>AUMBN</t>
  </si>
  <si>
    <t>MBN</t>
  </si>
  <si>
    <t>MT BARNETT WA</t>
  </si>
  <si>
    <t>AUMBW</t>
  </si>
  <si>
    <t>MBW</t>
  </si>
  <si>
    <t>MOORABBIN VIC</t>
  </si>
  <si>
    <t>AUMCV</t>
  </si>
  <si>
    <t>MCV</t>
  </si>
  <si>
    <t>MCARTHUR R NT</t>
  </si>
  <si>
    <t>AUMCY</t>
  </si>
  <si>
    <t>MCY</t>
  </si>
  <si>
    <t>MAROOCHYDORE APT/SUNSHINE COAST</t>
  </si>
  <si>
    <t>AUMEB</t>
  </si>
  <si>
    <t>MEB</t>
  </si>
  <si>
    <t>MELBOURNE-ESSENDON APT - VI</t>
  </si>
  <si>
    <t>AUMEL</t>
  </si>
  <si>
    <t>MEL</t>
  </si>
  <si>
    <t>MELBOURNE - VI</t>
  </si>
  <si>
    <t>AUMET</t>
  </si>
  <si>
    <t>MET</t>
  </si>
  <si>
    <t>MORETON QLD</t>
  </si>
  <si>
    <t>AUMFL</t>
  </si>
  <si>
    <t>MFL</t>
  </si>
  <si>
    <t>MOUNT FUL QLD</t>
  </si>
  <si>
    <t>AUMFP</t>
  </si>
  <si>
    <t>MFP</t>
  </si>
  <si>
    <t>MANNERS CR NT</t>
  </si>
  <si>
    <t>AUMGB</t>
  </si>
  <si>
    <t>MGB</t>
  </si>
  <si>
    <t>MOUNT GAMB SA</t>
  </si>
  <si>
    <t>AUMGT</t>
  </si>
  <si>
    <t>MGT</t>
  </si>
  <si>
    <t>MILLINGIMB NT</t>
  </si>
  <si>
    <t>AUMGV</t>
  </si>
  <si>
    <t>MGV</t>
  </si>
  <si>
    <t>MARGARET R WA</t>
  </si>
  <si>
    <t>AUMHC</t>
  </si>
  <si>
    <t>MHC</t>
  </si>
  <si>
    <t>MACMAHON C SA</t>
  </si>
  <si>
    <t>AUMHO</t>
  </si>
  <si>
    <t>MHO</t>
  </si>
  <si>
    <t>MOUNT HOUS WA</t>
  </si>
  <si>
    <t>AUMHU</t>
  </si>
  <si>
    <t>MHU</t>
  </si>
  <si>
    <t>MOUNT HOT VIC</t>
  </si>
  <si>
    <t>AUMIH</t>
  </si>
  <si>
    <t>MIH</t>
  </si>
  <si>
    <t>MITCHELL PLATEAU - WA</t>
  </si>
  <si>
    <t>AUMIM</t>
  </si>
  <si>
    <t>MIM</t>
  </si>
  <si>
    <t>MERIMBULA - NS</t>
  </si>
  <si>
    <t>AUMIN</t>
  </si>
  <si>
    <t>MIN</t>
  </si>
  <si>
    <t>MINNIPA - SA</t>
  </si>
  <si>
    <t>AUMIY</t>
  </si>
  <si>
    <t>MIY</t>
  </si>
  <si>
    <t>MITTIEBAH NT</t>
  </si>
  <si>
    <t>AUMIZ</t>
  </si>
  <si>
    <t>MIZ</t>
  </si>
  <si>
    <t>MAINORU - NT</t>
  </si>
  <si>
    <t>AUMJP</t>
  </si>
  <si>
    <t>MJP</t>
  </si>
  <si>
    <t>MANJIMUP WA</t>
  </si>
  <si>
    <t>AUMKR</t>
  </si>
  <si>
    <t>MKR</t>
  </si>
  <si>
    <t>MEEKATHARR WA</t>
  </si>
  <si>
    <t>AUMKV</t>
  </si>
  <si>
    <t>MKV</t>
  </si>
  <si>
    <t>MT CAVENAG NT</t>
  </si>
  <si>
    <t>AUMKY</t>
  </si>
  <si>
    <t>MKY</t>
  </si>
  <si>
    <t>MACKAY - QL</t>
  </si>
  <si>
    <t>AUMLR</t>
  </si>
  <si>
    <t>MLR</t>
  </si>
  <si>
    <t>MILLICENT - SA</t>
  </si>
  <si>
    <t>AUMLV</t>
  </si>
  <si>
    <t>MLV</t>
  </si>
  <si>
    <t>MERLUNA QLD</t>
  </si>
  <si>
    <t>AUMMG</t>
  </si>
  <si>
    <t>MMG</t>
  </si>
  <si>
    <t>MOUNT MAGNET - WA</t>
  </si>
  <si>
    <t>AUMNE</t>
  </si>
  <si>
    <t>MNE</t>
  </si>
  <si>
    <t>MUNGERANIE SA</t>
  </si>
  <si>
    <t>AUMNG</t>
  </si>
  <si>
    <t>MNG</t>
  </si>
  <si>
    <t>MANINGRIDA - NT</t>
  </si>
  <si>
    <t>AUMNQ</t>
  </si>
  <si>
    <t>MNQ</t>
  </si>
  <si>
    <t>MONTO QLD</t>
  </si>
  <si>
    <t>AUMNV</t>
  </si>
  <si>
    <t>MNV</t>
  </si>
  <si>
    <t>MOUNTAIN V NT</t>
  </si>
  <si>
    <t>AUMNW</t>
  </si>
  <si>
    <t>MNW</t>
  </si>
  <si>
    <t>MACDONALD NT</t>
  </si>
  <si>
    <t>AUMOV</t>
  </si>
  <si>
    <t>MOV</t>
  </si>
  <si>
    <t>MORANBAH - QL</t>
  </si>
  <si>
    <t>AUMQA</t>
  </si>
  <si>
    <t>MQA</t>
  </si>
  <si>
    <t>MANDORA WA</t>
  </si>
  <si>
    <t>AUMQE</t>
  </si>
  <si>
    <t>MQE</t>
  </si>
  <si>
    <t>MARQUA NT</t>
  </si>
  <si>
    <t>AUMQL</t>
  </si>
  <si>
    <t>MQL</t>
  </si>
  <si>
    <t>MILDURA - VI</t>
  </si>
  <si>
    <t>AUMRL</t>
  </si>
  <si>
    <t>MRL</t>
  </si>
  <si>
    <t>MINERS LA QLD</t>
  </si>
  <si>
    <t>AUMRP</t>
  </si>
  <si>
    <t>MRP</t>
  </si>
  <si>
    <t>MARLA SA</t>
  </si>
  <si>
    <t>AUMRS</t>
  </si>
  <si>
    <t>MRS</t>
  </si>
  <si>
    <t>MELROSE - SA</t>
  </si>
  <si>
    <t>AUMRT</t>
  </si>
  <si>
    <t>MRT</t>
  </si>
  <si>
    <t>MOROAK NT</t>
  </si>
  <si>
    <t>AUMRZ</t>
  </si>
  <si>
    <t>MRZ</t>
  </si>
  <si>
    <t>MOREE - NS</t>
  </si>
  <si>
    <t>AUMSF</t>
  </si>
  <si>
    <t>MSF</t>
  </si>
  <si>
    <t>MOUNT SWAN NT</t>
  </si>
  <si>
    <t>AUMTD</t>
  </si>
  <si>
    <t>MTD</t>
  </si>
  <si>
    <t>MT SANDFOR NT</t>
  </si>
  <si>
    <t>AUMTL</t>
  </si>
  <si>
    <t>MTL</t>
  </si>
  <si>
    <t>MAITLAND NSW</t>
  </si>
  <si>
    <t>AUMTQ</t>
  </si>
  <si>
    <t>MTQ</t>
  </si>
  <si>
    <t>MITCHELL - QL</t>
  </si>
  <si>
    <t>AUMUP</t>
  </si>
  <si>
    <t>MUP</t>
  </si>
  <si>
    <t>MULGA PARK NT</t>
  </si>
  <si>
    <t>AUMUQ</t>
  </si>
  <si>
    <t>MUQ</t>
  </si>
  <si>
    <t>MUCCAN WA</t>
  </si>
  <si>
    <t>AUMVK</t>
  </si>
  <si>
    <t>MVK</t>
  </si>
  <si>
    <t>MULKA SA</t>
  </si>
  <si>
    <t>AUMVU</t>
  </si>
  <si>
    <t>MVU</t>
  </si>
  <si>
    <t>MUSGRAVE QLD</t>
  </si>
  <si>
    <t>AUMWT</t>
  </si>
  <si>
    <t>MWT</t>
  </si>
  <si>
    <t>MOOLAWATAN SA</t>
  </si>
  <si>
    <t>AUMWY</t>
  </si>
  <si>
    <t>MWY</t>
  </si>
  <si>
    <t>MIRANDA D QLD</t>
  </si>
  <si>
    <t>AUMXD</t>
  </si>
  <si>
    <t>MXD</t>
  </si>
  <si>
    <t>MARION DO QLD</t>
  </si>
  <si>
    <t>AUMXQ</t>
  </si>
  <si>
    <t>MXQ</t>
  </si>
  <si>
    <t>MITCHELL QLD</t>
  </si>
  <si>
    <t>AUMXU</t>
  </si>
  <si>
    <t>MXU</t>
  </si>
  <si>
    <t>MULLEWA WA</t>
  </si>
  <si>
    <t>AUMYA</t>
  </si>
  <si>
    <t>MYA</t>
  </si>
  <si>
    <t>MORUYA NSW</t>
  </si>
  <si>
    <t>AUMYI</t>
  </si>
  <si>
    <t>MYI</t>
  </si>
  <si>
    <t>MURRAY IS QLD</t>
  </si>
  <si>
    <t>AUMYO</t>
  </si>
  <si>
    <t>MYO</t>
  </si>
  <si>
    <t>MYROODAH WA</t>
  </si>
  <si>
    <t>AUNAA</t>
  </si>
  <si>
    <t>NAA</t>
  </si>
  <si>
    <t>NARRABRI - NS</t>
  </si>
  <si>
    <t>AUNAC</t>
  </si>
  <si>
    <t>NAC</t>
  </si>
  <si>
    <t>NARACOORTE SA</t>
  </si>
  <si>
    <t>AUNDS</t>
  </si>
  <si>
    <t>NDS</t>
  </si>
  <si>
    <t>SANDSTONE WA</t>
  </si>
  <si>
    <t>AUNGA</t>
  </si>
  <si>
    <t>NGA</t>
  </si>
  <si>
    <t>YOUNG - NS</t>
  </si>
  <si>
    <t>AUNKB</t>
  </si>
  <si>
    <t>NKB</t>
  </si>
  <si>
    <t>NOONKANBAH WA</t>
  </si>
  <si>
    <t>AUNLL</t>
  </si>
  <si>
    <t>NLL</t>
  </si>
  <si>
    <t>NULLAGINE - WA</t>
  </si>
  <si>
    <t>AUNLS</t>
  </si>
  <si>
    <t>NLS</t>
  </si>
  <si>
    <t>NICHOLSON WA</t>
  </si>
  <si>
    <t>AUNMP</t>
  </si>
  <si>
    <t>NMP</t>
  </si>
  <si>
    <t>NEW MOON QLD</t>
  </si>
  <si>
    <t>AUNMR</t>
  </si>
  <si>
    <t>NMR</t>
  </si>
  <si>
    <t>NAPPAMERR QLD</t>
  </si>
  <si>
    <t>AUNOA</t>
  </si>
  <si>
    <t>NOA</t>
  </si>
  <si>
    <t>NOWRA - NS</t>
  </si>
  <si>
    <t>AUNPP</t>
  </si>
  <si>
    <t>NPP</t>
  </si>
  <si>
    <t>NAPPERBY NT</t>
  </si>
  <si>
    <t>AUNRA</t>
  </si>
  <si>
    <t>NRA</t>
  </si>
  <si>
    <t>NARRANDERA - NS</t>
  </si>
  <si>
    <t>AUNRG</t>
  </si>
  <si>
    <t>NRG</t>
  </si>
  <si>
    <t>NARROGIN WA</t>
  </si>
  <si>
    <t>AUNRY</t>
  </si>
  <si>
    <t>NRY</t>
  </si>
  <si>
    <t>NEWRY NT</t>
  </si>
  <si>
    <t>AUNSA</t>
  </si>
  <si>
    <t>NSA</t>
  </si>
  <si>
    <t>NOOSA QLD</t>
  </si>
  <si>
    <t>AUNSM</t>
  </si>
  <si>
    <t>NSM</t>
  </si>
  <si>
    <t>NORSEMAN - WA</t>
  </si>
  <si>
    <t>AUNSO</t>
  </si>
  <si>
    <t>NSO</t>
  </si>
  <si>
    <t>SCONE - NS</t>
  </si>
  <si>
    <t>AUNTL</t>
  </si>
  <si>
    <t>NTL</t>
  </si>
  <si>
    <t>NEWCASTLE - NS</t>
  </si>
  <si>
    <t>AUNTN</t>
  </si>
  <si>
    <t>NTN</t>
  </si>
  <si>
    <t>NORMANTON QLD</t>
  </si>
  <si>
    <t>AUNUB</t>
  </si>
  <si>
    <t>NUB</t>
  </si>
  <si>
    <t>NUMBULWAR - NT</t>
  </si>
  <si>
    <t>AUNUR</t>
  </si>
  <si>
    <t>NUR</t>
  </si>
  <si>
    <t>NULLARBOR SA</t>
  </si>
  <si>
    <t>AUNYN</t>
  </si>
  <si>
    <t>NYN</t>
  </si>
  <si>
    <t>NYNGAN - NS</t>
  </si>
  <si>
    <t>AUOAG</t>
  </si>
  <si>
    <t>OAG</t>
  </si>
  <si>
    <t>ORANGE NSW</t>
  </si>
  <si>
    <t>AUOBA</t>
  </si>
  <si>
    <t>OBA</t>
  </si>
  <si>
    <t>OBAN - QL</t>
  </si>
  <si>
    <t>AUODD</t>
  </si>
  <si>
    <t>ODD</t>
  </si>
  <si>
    <t>OODNADATTA - SA</t>
  </si>
  <si>
    <t>AUODL</t>
  </si>
  <si>
    <t>ODL</t>
  </si>
  <si>
    <t>CORDILLO D SA</t>
  </si>
  <si>
    <t>AUODR</t>
  </si>
  <si>
    <t>ODR</t>
  </si>
  <si>
    <t>ORD RIVER WA</t>
  </si>
  <si>
    <t>AUOKB</t>
  </si>
  <si>
    <t>OKB</t>
  </si>
  <si>
    <t>ORCHID BEACH - QL</t>
  </si>
  <si>
    <t>AUOKR</t>
  </si>
  <si>
    <t>OKR</t>
  </si>
  <si>
    <t>YORKE ISLAND - QL</t>
  </si>
  <si>
    <t>AUOKY</t>
  </si>
  <si>
    <t>OKY</t>
  </si>
  <si>
    <t>OAKEY - QL</t>
  </si>
  <si>
    <t>AUOLP</t>
  </si>
  <si>
    <t>OLP</t>
  </si>
  <si>
    <t>OLYMPIC DA SA</t>
  </si>
  <si>
    <t>AUONG</t>
  </si>
  <si>
    <t>ONG</t>
  </si>
  <si>
    <t>MORNINGTO QLD</t>
  </si>
  <si>
    <t>AUONR</t>
  </si>
  <si>
    <t>ONR</t>
  </si>
  <si>
    <t>MONKIRA QLD</t>
  </si>
  <si>
    <t>AUONS</t>
  </si>
  <si>
    <t>ONS</t>
  </si>
  <si>
    <t>ONSLOW - WA</t>
  </si>
  <si>
    <t>AUOOL</t>
  </si>
  <si>
    <t>OOL</t>
  </si>
  <si>
    <t>GOLD COAST NS</t>
  </si>
  <si>
    <t>AUOOR</t>
  </si>
  <si>
    <t>OOR</t>
  </si>
  <si>
    <t>MOORABERR QLD</t>
  </si>
  <si>
    <t>AUOPI</t>
  </si>
  <si>
    <t>OPI</t>
  </si>
  <si>
    <t>OENPELLI - NT</t>
  </si>
  <si>
    <t>AUORR</t>
  </si>
  <si>
    <t>ORR</t>
  </si>
  <si>
    <t>YORKETOWN SA</t>
  </si>
  <si>
    <t>AUOSB</t>
  </si>
  <si>
    <t>OSB</t>
  </si>
  <si>
    <t>OSBORNE ISLAND - WA</t>
  </si>
  <si>
    <t>AUOXO</t>
  </si>
  <si>
    <t>OXO</t>
  </si>
  <si>
    <t>ORIENTOS QLD</t>
  </si>
  <si>
    <t>AUOXY</t>
  </si>
  <si>
    <t>OXY</t>
  </si>
  <si>
    <t>MORNEY PL QLD</t>
  </si>
  <si>
    <t>AUPAE</t>
  </si>
  <si>
    <t>PAE</t>
  </si>
  <si>
    <t>PORT ADELAIDE</t>
  </si>
  <si>
    <t>AUPAU</t>
  </si>
  <si>
    <t>PAU</t>
  </si>
  <si>
    <t>PORT ARTHUR - TS</t>
  </si>
  <si>
    <t>AUPBO</t>
  </si>
  <si>
    <t>PBO</t>
  </si>
  <si>
    <t>PARABURDOO - WA</t>
  </si>
  <si>
    <t>AUPBT</t>
  </si>
  <si>
    <t>PBT</t>
  </si>
  <si>
    <t>PORT BOTANY</t>
  </si>
  <si>
    <t>AUPBY</t>
  </si>
  <si>
    <t>PBY</t>
  </si>
  <si>
    <t>PORT BONYTHON</t>
  </si>
  <si>
    <t>AUPCT</t>
  </si>
  <si>
    <t>PCT</t>
  </si>
  <si>
    <t>PORT CURTIS</t>
  </si>
  <si>
    <t>AUPDE</t>
  </si>
  <si>
    <t>PDE</t>
  </si>
  <si>
    <t>PANDIE PAN SA</t>
  </si>
  <si>
    <t>AUPEA</t>
  </si>
  <si>
    <t>PEA</t>
  </si>
  <si>
    <t>PENNESHAW - SA</t>
  </si>
  <si>
    <t>AUPER</t>
  </si>
  <si>
    <t>PER</t>
  </si>
  <si>
    <t>PERTH - WA</t>
  </si>
  <si>
    <t>AUPEX</t>
  </si>
  <si>
    <t>PEX</t>
  </si>
  <si>
    <t>PORT EXMOUTH</t>
  </si>
  <si>
    <t>AUPEY</t>
  </si>
  <si>
    <t>PEY</t>
  </si>
  <si>
    <t>PENONG SA</t>
  </si>
  <si>
    <t>AUPGI</t>
  </si>
  <si>
    <t>PORT GILES</t>
  </si>
  <si>
    <t>AUPHE</t>
  </si>
  <si>
    <t>PHE</t>
  </si>
  <si>
    <t>PORT HEDLAND - WA</t>
  </si>
  <si>
    <t>AUPHU</t>
  </si>
  <si>
    <t>PHU</t>
  </si>
  <si>
    <t>PORT HUON - TS</t>
  </si>
  <si>
    <t>AUPKE</t>
  </si>
  <si>
    <t>PKE</t>
  </si>
  <si>
    <t>PARKES - NS</t>
  </si>
  <si>
    <t>AUPKL</t>
  </si>
  <si>
    <t>PKL</t>
  </si>
  <si>
    <t>PORT KEMBLA - NS</t>
  </si>
  <si>
    <t>AUPKT</t>
  </si>
  <si>
    <t>PKT</t>
  </si>
  <si>
    <t>PORT KEATS NT</t>
  </si>
  <si>
    <t>AUPLA</t>
  </si>
  <si>
    <t>PLA</t>
  </si>
  <si>
    <t>PORT LATTA - TS</t>
  </si>
  <si>
    <t>AUPLO</t>
  </si>
  <si>
    <t>PLO</t>
  </si>
  <si>
    <t>PORT LINCOLN - SA</t>
  </si>
  <si>
    <t>AUPMK</t>
  </si>
  <si>
    <t>PMK</t>
  </si>
  <si>
    <t>PALM ISLA QLD</t>
  </si>
  <si>
    <t>AUPPI</t>
  </si>
  <si>
    <t>PPI</t>
  </si>
  <si>
    <t>PORT PIRIE - SA</t>
  </si>
  <si>
    <t>AUPPP</t>
  </si>
  <si>
    <t>PPP</t>
  </si>
  <si>
    <t>PROSERPINE - QL</t>
  </si>
  <si>
    <t>AUPQQ</t>
  </si>
  <si>
    <t>PQQ</t>
  </si>
  <si>
    <t>PORT MACQUARIE - NS</t>
  </si>
  <si>
    <t>AUPRB</t>
  </si>
  <si>
    <t>PRB</t>
  </si>
  <si>
    <t>PROPER BAY</t>
  </si>
  <si>
    <t>AUPRC</t>
  </si>
  <si>
    <t>PRC</t>
  </si>
  <si>
    <t>PRICE - SA</t>
  </si>
  <si>
    <t>AUPRD</t>
  </si>
  <si>
    <t>PRD</t>
  </si>
  <si>
    <t>PARDOO WA</t>
  </si>
  <si>
    <t>AUPST</t>
  </si>
  <si>
    <t>PST</t>
  </si>
  <si>
    <t>PORT STANVAC - SA</t>
  </si>
  <si>
    <t>AUPTE</t>
  </si>
  <si>
    <t>PTE</t>
  </si>
  <si>
    <t>PORT STEP NSW</t>
  </si>
  <si>
    <t>AUPTI</t>
  </si>
  <si>
    <t>PTI</t>
  </si>
  <si>
    <t>PORT DOUGLAS - QL</t>
  </si>
  <si>
    <t>AUPTJ</t>
  </si>
  <si>
    <t>PTJ</t>
  </si>
  <si>
    <t>PORT PORTLAND - VI</t>
  </si>
  <si>
    <t>AUPTL</t>
  </si>
  <si>
    <t>PTL</t>
  </si>
  <si>
    <t>PORT ALMA</t>
  </si>
  <si>
    <t>AUPUG</t>
  </si>
  <si>
    <t>PUG</t>
  </si>
  <si>
    <t>PORT AUGUSTA - SA</t>
  </si>
  <si>
    <t>AUPWI</t>
  </si>
  <si>
    <t>PWI</t>
  </si>
  <si>
    <t>POINT WILSON</t>
  </si>
  <si>
    <t>AUPWL</t>
  </si>
  <si>
    <t>PWL</t>
  </si>
  <si>
    <t>PORT WALCOTT - WA</t>
  </si>
  <si>
    <t>AUPWR</t>
  </si>
  <si>
    <t>PWR</t>
  </si>
  <si>
    <t>PORT WARRENDER</t>
  </si>
  <si>
    <t>AUQDN</t>
  </si>
  <si>
    <t>QDN</t>
  </si>
  <si>
    <t>EDEN - NS</t>
  </si>
  <si>
    <t>AURAB</t>
  </si>
  <si>
    <t>RAB</t>
  </si>
  <si>
    <t>RAPID BAY - SA</t>
  </si>
  <si>
    <t>AURAM</t>
  </si>
  <si>
    <t>RAM</t>
  </si>
  <si>
    <t>RAMINGINING</t>
  </si>
  <si>
    <t>AURBU</t>
  </si>
  <si>
    <t>RBU</t>
  </si>
  <si>
    <t>ROEBOURNE WA</t>
  </si>
  <si>
    <t>AURCM</t>
  </si>
  <si>
    <t>RCM</t>
  </si>
  <si>
    <t>RICHMOND - QL</t>
  </si>
  <si>
    <t>AURDA</t>
  </si>
  <si>
    <t>RDA</t>
  </si>
  <si>
    <t>ROCKHAMPTO NT</t>
  </si>
  <si>
    <t>AURDN</t>
  </si>
  <si>
    <t>RDN</t>
  </si>
  <si>
    <t>RISDON</t>
  </si>
  <si>
    <t>AURHL</t>
  </si>
  <si>
    <t>RHL</t>
  </si>
  <si>
    <t>ROY HILL WA</t>
  </si>
  <si>
    <t>AURKY</t>
  </si>
  <si>
    <t>RKY</t>
  </si>
  <si>
    <t>ROKEBY QLD</t>
  </si>
  <si>
    <t>AURLP</t>
  </si>
  <si>
    <t>RLP</t>
  </si>
  <si>
    <t>ROSELLA QLD</t>
  </si>
  <si>
    <t>AURMA</t>
  </si>
  <si>
    <t>RMA</t>
  </si>
  <si>
    <t>ROMA QLD</t>
  </si>
  <si>
    <t>AURMK</t>
  </si>
  <si>
    <t>RMK</t>
  </si>
  <si>
    <t>RENMARK - SA</t>
  </si>
  <si>
    <t>AUROH</t>
  </si>
  <si>
    <t>ROH</t>
  </si>
  <si>
    <t>ROBINHOOD QLD</t>
  </si>
  <si>
    <t>AUROK</t>
  </si>
  <si>
    <t>ROK</t>
  </si>
  <si>
    <t>ROCKHAMPTON - QL</t>
  </si>
  <si>
    <t>AURPB</t>
  </si>
  <si>
    <t>RPB</t>
  </si>
  <si>
    <t>ROPER BAR NT</t>
  </si>
  <si>
    <t>AURPV</t>
  </si>
  <si>
    <t>RPV</t>
  </si>
  <si>
    <t>ROPER VALL NT</t>
  </si>
  <si>
    <t>AURRE</t>
  </si>
  <si>
    <t>RRE</t>
  </si>
  <si>
    <t>MARREE SA</t>
  </si>
  <si>
    <t>AURRV</t>
  </si>
  <si>
    <t>RRV</t>
  </si>
  <si>
    <t>ROBINSON NT</t>
  </si>
  <si>
    <t>AURSB</t>
  </si>
  <si>
    <t>RSB</t>
  </si>
  <si>
    <t>ROSEBERTH QLD</t>
  </si>
  <si>
    <t>AURTP</t>
  </si>
  <si>
    <t>RTP</t>
  </si>
  <si>
    <t>RUTLAND QLD</t>
  </si>
  <si>
    <t>AURTS</t>
  </si>
  <si>
    <t>RTS</t>
  </si>
  <si>
    <t>ROTTNEST ISLAND - WA</t>
  </si>
  <si>
    <t>AURTY</t>
  </si>
  <si>
    <t>RTY</t>
  </si>
  <si>
    <t>MERTY SA</t>
  </si>
  <si>
    <t>AUSBR</t>
  </si>
  <si>
    <t>SBR</t>
  </si>
  <si>
    <t>SAIBAI ISLAND - QL</t>
  </si>
  <si>
    <t>AUSFP</t>
  </si>
  <si>
    <t>SFP</t>
  </si>
  <si>
    <t>SURFERS QLD</t>
  </si>
  <si>
    <t>AUSGO</t>
  </si>
  <si>
    <t>SGO</t>
  </si>
  <si>
    <t>SAINT GEORGES - SA</t>
  </si>
  <si>
    <t>AUSGP</t>
  </si>
  <si>
    <t>SGP</t>
  </si>
  <si>
    <t>SHAY GAP - WA</t>
  </si>
  <si>
    <t>AUSHB</t>
  </si>
  <si>
    <t>SHB</t>
  </si>
  <si>
    <t>SHARK BAY - WA</t>
  </si>
  <si>
    <t>AUSHT</t>
  </si>
  <si>
    <t>SHT</t>
  </si>
  <si>
    <t>SHEPPARTO VIC</t>
  </si>
  <si>
    <t>AUSIO</t>
  </si>
  <si>
    <t>SIO</t>
  </si>
  <si>
    <t>SMITHTON - TS</t>
  </si>
  <si>
    <t>AUSIX</t>
  </si>
  <si>
    <t>SIX</t>
  </si>
  <si>
    <t>SINGLETON NSW</t>
  </si>
  <si>
    <t>AUSNB</t>
  </si>
  <si>
    <t>SNB</t>
  </si>
  <si>
    <t>SNAKE BAY - NT</t>
  </si>
  <si>
    <t>AUSNH</t>
  </si>
  <si>
    <t>SNH</t>
  </si>
  <si>
    <t>STANTHORPE - QL</t>
  </si>
  <si>
    <t>AUSOI</t>
  </si>
  <si>
    <t>SOI</t>
  </si>
  <si>
    <t>SOUTH MOLLE ISLAND -QL</t>
  </si>
  <si>
    <t>AUSPB</t>
  </si>
  <si>
    <t>SPB</t>
  </si>
  <si>
    <t>SPRING BAY - TS</t>
  </si>
  <si>
    <t>AUSQC</t>
  </si>
  <si>
    <t>SQC</t>
  </si>
  <si>
    <t>SOUTHERN WA</t>
  </si>
  <si>
    <t>AUSQP</t>
  </si>
  <si>
    <t>SQP</t>
  </si>
  <si>
    <t>STARCKE QLD</t>
  </si>
  <si>
    <t>AUSRN</t>
  </si>
  <si>
    <t>SRN</t>
  </si>
  <si>
    <t>STRAHAN - TS</t>
  </si>
  <si>
    <t>AUSRR</t>
  </si>
  <si>
    <t>SRR</t>
  </si>
  <si>
    <t>STRADBROK QLD</t>
  </si>
  <si>
    <t>AUSSK</t>
  </si>
  <si>
    <t>SSK</t>
  </si>
  <si>
    <t>STURT CREE WA</t>
  </si>
  <si>
    <t>AUSSP</t>
  </si>
  <si>
    <t>SSP</t>
  </si>
  <si>
    <t>SILVER PL QLD</t>
  </si>
  <si>
    <t>AUSTA</t>
  </si>
  <si>
    <t>STA</t>
  </si>
  <si>
    <t>STANLEY - TS</t>
  </si>
  <si>
    <t>AUSTH</t>
  </si>
  <si>
    <t>STH</t>
  </si>
  <si>
    <t>STRATHMOR QLD</t>
  </si>
  <si>
    <t>AUSWB</t>
  </si>
  <si>
    <t>SWB</t>
  </si>
  <si>
    <t>SHAW RIVER WA</t>
  </si>
  <si>
    <t>AUSWC</t>
  </si>
  <si>
    <t>SWC</t>
  </si>
  <si>
    <t>STAWELL VIC</t>
  </si>
  <si>
    <t>AUSWH</t>
  </si>
  <si>
    <t>SWH</t>
  </si>
  <si>
    <t>SWAN HILL VIC</t>
  </si>
  <si>
    <t>AUSXE</t>
  </si>
  <si>
    <t>SXE</t>
  </si>
  <si>
    <t>SALE - VI</t>
  </si>
  <si>
    <t>AUSYD</t>
  </si>
  <si>
    <t>SYD</t>
  </si>
  <si>
    <t>SYDNEY - NS</t>
  </si>
  <si>
    <t>AUSYU</t>
  </si>
  <si>
    <t>SYU</t>
  </si>
  <si>
    <t>SUE ISLAN QLD</t>
  </si>
  <si>
    <t>AUTAN</t>
  </si>
  <si>
    <t>TAN</t>
  </si>
  <si>
    <t>TANGALOOM QLD</t>
  </si>
  <si>
    <t>AUTAQ</t>
  </si>
  <si>
    <t>TAQ</t>
  </si>
  <si>
    <t>TARCOOLA SA</t>
  </si>
  <si>
    <t>AUTBK</t>
  </si>
  <si>
    <t>TBK</t>
  </si>
  <si>
    <t>TIMBER CRE NT</t>
  </si>
  <si>
    <t>AUTBL</t>
  </si>
  <si>
    <t>TBL</t>
  </si>
  <si>
    <t>TABLELAND WA</t>
  </si>
  <si>
    <t>AUTCA</t>
  </si>
  <si>
    <t>TCA</t>
  </si>
  <si>
    <t>TENNANT CREEK - NT</t>
  </si>
  <si>
    <t>AUTCW</t>
  </si>
  <si>
    <t>TCW</t>
  </si>
  <si>
    <t>TOCUMWAL NSW</t>
  </si>
  <si>
    <t>AUTDR</t>
  </si>
  <si>
    <t>TDR</t>
  </si>
  <si>
    <t>THEODORE QLD</t>
  </si>
  <si>
    <t>AUTEF</t>
  </si>
  <si>
    <t>TEF</t>
  </si>
  <si>
    <t>TELFER WA</t>
  </si>
  <si>
    <t>AUTEM</t>
  </si>
  <si>
    <t>TEM</t>
  </si>
  <si>
    <t>TEMORA NSW</t>
  </si>
  <si>
    <t>AUTGN</t>
  </si>
  <si>
    <t>TGN</t>
  </si>
  <si>
    <t>TRARALGON VIC</t>
  </si>
  <si>
    <t>AUTHE</t>
  </si>
  <si>
    <t>THE</t>
  </si>
  <si>
    <t>THEVENARD - SA</t>
  </si>
  <si>
    <t>AUTHG</t>
  </si>
  <si>
    <t>THG</t>
  </si>
  <si>
    <t>THANGOOL - QL</t>
  </si>
  <si>
    <t>AUTIS</t>
  </si>
  <si>
    <t>TIS</t>
  </si>
  <si>
    <t>THURSDAY ISLAND - QL</t>
  </si>
  <si>
    <t>AUTKY</t>
  </si>
  <si>
    <t>TKY</t>
  </si>
  <si>
    <t>TURKEY CRE WA</t>
  </si>
  <si>
    <t>AUTMW</t>
  </si>
  <si>
    <t>TMW</t>
  </si>
  <si>
    <t>TAMWORTH - NS</t>
  </si>
  <si>
    <t>AUTOB</t>
  </si>
  <si>
    <t>TOB</t>
  </si>
  <si>
    <t>TOWFORD BAY</t>
  </si>
  <si>
    <t>AUTPR</t>
  </si>
  <si>
    <t>TPR</t>
  </si>
  <si>
    <t>TOM PRICE WA</t>
  </si>
  <si>
    <t>AUTRB</t>
  </si>
  <si>
    <t>TRB</t>
  </si>
  <si>
    <t>TRIAL BAY - NS</t>
  </si>
  <si>
    <t>AUTRO</t>
  </si>
  <si>
    <t>TRO</t>
  </si>
  <si>
    <t>TAREE - NS</t>
  </si>
  <si>
    <t>AUTSV</t>
  </si>
  <si>
    <t>TSV</t>
  </si>
  <si>
    <t>TOWNSVILLE - QL</t>
  </si>
  <si>
    <t>AUTUM</t>
  </si>
  <si>
    <t>TUM</t>
  </si>
  <si>
    <t>TUMUT - NS</t>
  </si>
  <si>
    <t>AUTWB</t>
  </si>
  <si>
    <t>TWB</t>
  </si>
  <si>
    <t>TOOWOMBA - QL</t>
  </si>
  <si>
    <t>AUTWP</t>
  </si>
  <si>
    <t>TWP</t>
  </si>
  <si>
    <t>TORWOOD QLD</t>
  </si>
  <si>
    <t>AUTXR</t>
  </si>
  <si>
    <t>TXR</t>
  </si>
  <si>
    <t>TANBAR QLD</t>
  </si>
  <si>
    <t>AUTYB</t>
  </si>
  <si>
    <t>TYB</t>
  </si>
  <si>
    <t>TIBOOBURR NSW</t>
  </si>
  <si>
    <t>AUTYG</t>
  </si>
  <si>
    <t>TYG</t>
  </si>
  <si>
    <t>THYLUNGRA QLD</t>
  </si>
  <si>
    <t>AUTYP</t>
  </si>
  <si>
    <t>TYP</t>
  </si>
  <si>
    <t>TOBERMOREY NT</t>
  </si>
  <si>
    <t>AUUBU</t>
  </si>
  <si>
    <t>UBU</t>
  </si>
  <si>
    <t>KALUMBURU WA</t>
  </si>
  <si>
    <t>AUUEE</t>
  </si>
  <si>
    <t>UEE</t>
  </si>
  <si>
    <t>QUEENSTOWN - TS</t>
  </si>
  <si>
    <t>AUUIR</t>
  </si>
  <si>
    <t>UIR</t>
  </si>
  <si>
    <t>QUIRINDI - NS</t>
  </si>
  <si>
    <t>AUULP</t>
  </si>
  <si>
    <t>ULP</t>
  </si>
  <si>
    <t>QUILPIE - QL</t>
  </si>
  <si>
    <t>AUUMR</t>
  </si>
  <si>
    <t>UMR</t>
  </si>
  <si>
    <t>WOOMERA - SA</t>
  </si>
  <si>
    <t>AUURN</t>
  </si>
  <si>
    <t>URANGAN - QL</t>
  </si>
  <si>
    <t>AUUSL</t>
  </si>
  <si>
    <t>USL</t>
  </si>
  <si>
    <t>USELESS LO WA</t>
  </si>
  <si>
    <t>AUUTB</t>
  </si>
  <si>
    <t>UTB</t>
  </si>
  <si>
    <t>MUTTABURRA - QL</t>
  </si>
  <si>
    <t>AUUTD</t>
  </si>
  <si>
    <t>UTD</t>
  </si>
  <si>
    <t>NUTWOOD DO NT</t>
  </si>
  <si>
    <t>AUVCD</t>
  </si>
  <si>
    <t>VCD</t>
  </si>
  <si>
    <t>VICTORIA RIVER DOWNS- NT</t>
  </si>
  <si>
    <t>AUVNR</t>
  </si>
  <si>
    <t>VNR</t>
  </si>
  <si>
    <t>VANROOK QLD</t>
  </si>
  <si>
    <t>AUWAL</t>
  </si>
  <si>
    <t>WAL</t>
  </si>
  <si>
    <t>WALLAROO - SA</t>
  </si>
  <si>
    <t>AUWAN</t>
  </si>
  <si>
    <t>WAN</t>
  </si>
  <si>
    <t>WAVERNEY QLD</t>
  </si>
  <si>
    <t>AUWAV</t>
  </si>
  <si>
    <t>WAV</t>
  </si>
  <si>
    <t>WAVE HILL - NT</t>
  </si>
  <si>
    <t>AUWAZ</t>
  </si>
  <si>
    <t>WAZ</t>
  </si>
  <si>
    <t>WARWICK - QL</t>
  </si>
  <si>
    <t>AUWDI</t>
  </si>
  <si>
    <t>WDI</t>
  </si>
  <si>
    <t>WONDAI QLD</t>
  </si>
  <si>
    <t>AUWEI</t>
  </si>
  <si>
    <t>WEI</t>
  </si>
  <si>
    <t>WEIPA - QL</t>
  </si>
  <si>
    <t>AUWEP</t>
  </si>
  <si>
    <t>WEP</t>
  </si>
  <si>
    <t>WESTERNPORT - VI</t>
  </si>
  <si>
    <t>AUWEW</t>
  </si>
  <si>
    <t>WEW</t>
  </si>
  <si>
    <t>WEE WAA NSW</t>
  </si>
  <si>
    <t>AUWGA</t>
  </si>
  <si>
    <t>WGA</t>
  </si>
  <si>
    <t>WAGGA WAGGA - NS</t>
  </si>
  <si>
    <t>AUWGE</t>
  </si>
  <si>
    <t>WGE</t>
  </si>
  <si>
    <t>WALGETT - NS</t>
  </si>
  <si>
    <t>AUWGT</t>
  </si>
  <si>
    <t>WGT</t>
  </si>
  <si>
    <t>WANGARATT VIC</t>
  </si>
  <si>
    <t>AUWIN</t>
  </si>
  <si>
    <t>WIN</t>
  </si>
  <si>
    <t>WINTON - QL</t>
  </si>
  <si>
    <t>AUWIO</t>
  </si>
  <si>
    <t>WIO</t>
  </si>
  <si>
    <t>WILCANNIA</t>
  </si>
  <si>
    <t>AUWIT</t>
  </si>
  <si>
    <t>WIT</t>
  </si>
  <si>
    <t>WITTENDOM - WA</t>
  </si>
  <si>
    <t>AUWKB</t>
  </si>
  <si>
    <t>WKB</t>
  </si>
  <si>
    <t>WARRACKNA VIC</t>
  </si>
  <si>
    <t>AUWLA</t>
  </si>
  <si>
    <t>WLA</t>
  </si>
  <si>
    <t>WALLAL WA</t>
  </si>
  <si>
    <t>AUWLC</t>
  </si>
  <si>
    <t>WLC</t>
  </si>
  <si>
    <t>WALCHA NSW</t>
  </si>
  <si>
    <t>AUWLL</t>
  </si>
  <si>
    <t>WLL</t>
  </si>
  <si>
    <t>WOLLOGORANG</t>
  </si>
  <si>
    <t>AUWLO</t>
  </si>
  <si>
    <t>WLO</t>
  </si>
  <si>
    <t>WATERLOO NT</t>
  </si>
  <si>
    <t>AUWMB</t>
  </si>
  <si>
    <t>WMB</t>
  </si>
  <si>
    <t>WARRNAMBO VIC</t>
  </si>
  <si>
    <t>AUWND</t>
  </si>
  <si>
    <t>WND</t>
  </si>
  <si>
    <t>WINDARRA WA</t>
  </si>
  <si>
    <t>AUWNR</t>
  </si>
  <si>
    <t>WNR</t>
  </si>
  <si>
    <t>WINDORAH - QL</t>
  </si>
  <si>
    <t>AUWNY</t>
  </si>
  <si>
    <t>WNY</t>
  </si>
  <si>
    <t>WYNYARD - TS</t>
  </si>
  <si>
    <t>AUWOG</t>
  </si>
  <si>
    <t>WOG</t>
  </si>
  <si>
    <t>WOODGREEN NT</t>
  </si>
  <si>
    <t>AUWOL</t>
  </si>
  <si>
    <t>WOL</t>
  </si>
  <si>
    <t>WOLLONGON NSW</t>
  </si>
  <si>
    <t>AUWON</t>
  </si>
  <si>
    <t>WON</t>
  </si>
  <si>
    <t>WONDOOLA - QL</t>
  </si>
  <si>
    <t>AUWOT</t>
  </si>
  <si>
    <t>WOT</t>
  </si>
  <si>
    <t>WONTHAGGI - VI</t>
  </si>
  <si>
    <t>AUWPK</t>
  </si>
  <si>
    <t>WPK</t>
  </si>
  <si>
    <t>WROTHAM P QLD</t>
  </si>
  <si>
    <t>AUWRW</t>
  </si>
  <si>
    <t>WRW</t>
  </si>
  <si>
    <t>WARRAWAGIN WA</t>
  </si>
  <si>
    <t>AUWUD</t>
  </si>
  <si>
    <t>WUD</t>
  </si>
  <si>
    <t>WUDINNA - SA</t>
  </si>
  <si>
    <t>AUWUN</t>
  </si>
  <si>
    <t>WUN</t>
  </si>
  <si>
    <t>WILUNA - WA</t>
  </si>
  <si>
    <t>AUWWY</t>
  </si>
  <si>
    <t>WWY</t>
  </si>
  <si>
    <t>WEST WYALONG - NS</t>
  </si>
  <si>
    <t>AUWYA</t>
  </si>
  <si>
    <t>WYA</t>
  </si>
  <si>
    <t>WHYALLA - SA</t>
  </si>
  <si>
    <t>AUWYN</t>
  </si>
  <si>
    <t>WYN</t>
  </si>
  <si>
    <t>WYNDHAM WA</t>
  </si>
  <si>
    <t>AUXCO</t>
  </si>
  <si>
    <t>XCO</t>
  </si>
  <si>
    <t>COLAC VIC</t>
  </si>
  <si>
    <t>AUXMC</t>
  </si>
  <si>
    <t>XMC</t>
  </si>
  <si>
    <t>MALLACOOTA VI</t>
  </si>
  <si>
    <t>AUXML</t>
  </si>
  <si>
    <t>XML</t>
  </si>
  <si>
    <t>MINLATON SA</t>
  </si>
  <si>
    <t>AUXMY</t>
  </si>
  <si>
    <t>XMY</t>
  </si>
  <si>
    <t>YAM ISLAN QLD</t>
  </si>
  <si>
    <t>AUXTG</t>
  </si>
  <si>
    <t>XTG</t>
  </si>
  <si>
    <t>THARGOMIN QLD</t>
  </si>
  <si>
    <t>AUXTO</t>
  </si>
  <si>
    <t>XTO</t>
  </si>
  <si>
    <t>TAROOM QLD</t>
  </si>
  <si>
    <t>AUXTR</t>
  </si>
  <si>
    <t>XTR</t>
  </si>
  <si>
    <t>TARA QLD</t>
  </si>
  <si>
    <t>AUYAM</t>
  </si>
  <si>
    <t>YAM</t>
  </si>
  <si>
    <t>YAMPI - WA</t>
  </si>
  <si>
    <t>AUYLG</t>
  </si>
  <si>
    <t>YLG</t>
  </si>
  <si>
    <t>YALGOO WA</t>
  </si>
  <si>
    <t>AUYUE</t>
  </si>
  <si>
    <t>YUE</t>
  </si>
  <si>
    <t>YUENDUMU</t>
  </si>
  <si>
    <t>AUZBO</t>
  </si>
  <si>
    <t>ZBO</t>
  </si>
  <si>
    <t>BOWEN - QL</t>
  </si>
  <si>
    <t>AUZGL</t>
  </si>
  <si>
    <t>ZGL</t>
  </si>
  <si>
    <t>SOUTH GAL QLD</t>
  </si>
  <si>
    <t>AUZVG</t>
  </si>
  <si>
    <t>ZVG</t>
  </si>
  <si>
    <t>SPRINGVALE - WA</t>
  </si>
  <si>
    <t>AUZZZ</t>
  </si>
  <si>
    <t>COOLIBAH NT</t>
  </si>
  <si>
    <t>COB</t>
  </si>
  <si>
    <t>NEWMAN WA</t>
  </si>
  <si>
    <t>ZNE</t>
  </si>
  <si>
    <t>ARUBA</t>
  </si>
  <si>
    <t>蘭領アンティール（アルバ地域のみ）</t>
  </si>
  <si>
    <t>AWAUA</t>
  </si>
  <si>
    <t>AW</t>
  </si>
  <si>
    <t>AUA</t>
  </si>
  <si>
    <t>AWBAR</t>
  </si>
  <si>
    <t>BAR</t>
  </si>
  <si>
    <t>BARCADERA</t>
  </si>
  <si>
    <t>AWBUS</t>
  </si>
  <si>
    <t>BUSHIRIBANA</t>
  </si>
  <si>
    <t>AWDEU</t>
  </si>
  <si>
    <t>DEU</t>
  </si>
  <si>
    <t>DRUIF</t>
  </si>
  <si>
    <t>AWORJ</t>
  </si>
  <si>
    <t>ORJ</t>
  </si>
  <si>
    <t>ORANJESTAD</t>
  </si>
  <si>
    <t>AWSNL</t>
  </si>
  <si>
    <t>SNL</t>
  </si>
  <si>
    <t>SINT NICOLAAS</t>
  </si>
  <si>
    <t>AWZZZ</t>
  </si>
  <si>
    <t>AZERBAIDJAN REPUBLIC</t>
  </si>
  <si>
    <t>アゼルバイジャン</t>
  </si>
  <si>
    <t>AZBAK</t>
  </si>
  <si>
    <t>AZ</t>
  </si>
  <si>
    <t>BAK</t>
  </si>
  <si>
    <t>BAKU</t>
  </si>
  <si>
    <t>AZERB</t>
  </si>
  <si>
    <t>AZZZZ</t>
  </si>
  <si>
    <t>HEYDAR ALIYEV INTERNATIONAL AIRPORT</t>
  </si>
  <si>
    <t>GYD</t>
  </si>
  <si>
    <t>BOSNIA・HERCEGOVINA</t>
  </si>
  <si>
    <t>ボスニア・ヘルツェゴビナ</t>
  </si>
  <si>
    <t>BAOMO</t>
  </si>
  <si>
    <t>BA</t>
  </si>
  <si>
    <t>OMO</t>
  </si>
  <si>
    <t>MOSTAR</t>
  </si>
  <si>
    <t>BOSNI</t>
  </si>
  <si>
    <t>BASJJ</t>
  </si>
  <si>
    <t>SJJ</t>
  </si>
  <si>
    <t>SARAJEVO</t>
  </si>
  <si>
    <t>BAZZZ</t>
  </si>
  <si>
    <t>BARBADOS</t>
  </si>
  <si>
    <t>バルバドス</t>
  </si>
  <si>
    <t>BBBGI</t>
  </si>
  <si>
    <t>BB</t>
  </si>
  <si>
    <t>BGI</t>
  </si>
  <si>
    <t>BRIDGETOWN</t>
  </si>
  <si>
    <t>BARB</t>
  </si>
  <si>
    <t>BBZZZ</t>
  </si>
  <si>
    <t>BANGLADESH</t>
  </si>
  <si>
    <t>バングラデシュ</t>
  </si>
  <si>
    <t>BDBZL</t>
  </si>
  <si>
    <t>BD</t>
  </si>
  <si>
    <t>BZL</t>
  </si>
  <si>
    <t>BARISAL</t>
  </si>
  <si>
    <t>BANG</t>
  </si>
  <si>
    <t>BDCGP</t>
  </si>
  <si>
    <t>CGP</t>
  </si>
  <si>
    <t>CHITTAGONG</t>
  </si>
  <si>
    <t>BDCHL</t>
  </si>
  <si>
    <t>CHL</t>
  </si>
  <si>
    <t>CHALNA</t>
  </si>
  <si>
    <t>BDCLA</t>
  </si>
  <si>
    <t>CLA</t>
  </si>
  <si>
    <t>COMILLA</t>
  </si>
  <si>
    <t>BDCXB</t>
  </si>
  <si>
    <t>CXB</t>
  </si>
  <si>
    <t>COX'S BAZAAR</t>
  </si>
  <si>
    <t>BDDAC</t>
  </si>
  <si>
    <t>DAC</t>
  </si>
  <si>
    <t>DHAKA</t>
  </si>
  <si>
    <t>BDIRD</t>
  </si>
  <si>
    <t>IRD</t>
  </si>
  <si>
    <t>ISHURDI</t>
  </si>
  <si>
    <t>BDJSR</t>
  </si>
  <si>
    <t>JSR</t>
  </si>
  <si>
    <t>JESSORE</t>
  </si>
  <si>
    <t>BDKHL</t>
  </si>
  <si>
    <t>KHL</t>
  </si>
  <si>
    <t>KHULNA</t>
  </si>
  <si>
    <t>BDMGL</t>
  </si>
  <si>
    <t>MGL</t>
  </si>
  <si>
    <t>MONGLA</t>
  </si>
  <si>
    <t>BDMON</t>
  </si>
  <si>
    <t>MON</t>
  </si>
  <si>
    <t>MONGLA/CHALNA</t>
  </si>
  <si>
    <t>BDNAR</t>
  </si>
  <si>
    <t>NAR</t>
  </si>
  <si>
    <t>NARAYANGANJ</t>
  </si>
  <si>
    <t>BDRAU</t>
  </si>
  <si>
    <t>RAU</t>
  </si>
  <si>
    <t>RANGPUR</t>
  </si>
  <si>
    <t>BDRJH</t>
  </si>
  <si>
    <t>RJH</t>
  </si>
  <si>
    <t>RAJSHAHI</t>
  </si>
  <si>
    <t>BDSAJ</t>
  </si>
  <si>
    <t>SAJ</t>
  </si>
  <si>
    <t>SIRAJGANJ</t>
  </si>
  <si>
    <t>BDSDW</t>
  </si>
  <si>
    <t>SDW</t>
  </si>
  <si>
    <t>SANDWIP</t>
  </si>
  <si>
    <t>BDSPD</t>
  </si>
  <si>
    <t>SAIDPUR</t>
  </si>
  <si>
    <t>BDTKR</t>
  </si>
  <si>
    <t>TKR</t>
  </si>
  <si>
    <t>THAKURGAON</t>
  </si>
  <si>
    <t>BDZHM</t>
  </si>
  <si>
    <t>ZHM</t>
  </si>
  <si>
    <t>SHAMSHERNAGAR</t>
  </si>
  <si>
    <t>BDZYL</t>
  </si>
  <si>
    <t>ZYL</t>
  </si>
  <si>
    <t>SYLHET</t>
  </si>
  <si>
    <t>BDZZZ</t>
  </si>
  <si>
    <t>BELGIUM</t>
  </si>
  <si>
    <t>ベルギー</t>
  </si>
  <si>
    <t>BEANR</t>
  </si>
  <si>
    <t>BE</t>
  </si>
  <si>
    <t>ANR</t>
  </si>
  <si>
    <t>ANTWERPEN</t>
  </si>
  <si>
    <t>BELG</t>
  </si>
  <si>
    <t>BEBGS</t>
  </si>
  <si>
    <t>BGS</t>
  </si>
  <si>
    <t>BRUGES</t>
  </si>
  <si>
    <t>BEBRU</t>
  </si>
  <si>
    <t>BRU</t>
  </si>
  <si>
    <t>BRUSSEL (BRUXELLES)</t>
  </si>
  <si>
    <t>BECRL</t>
  </si>
  <si>
    <t>CRL</t>
  </si>
  <si>
    <t>CHARLEROI</t>
  </si>
  <si>
    <t>BEGNE</t>
  </si>
  <si>
    <t>GNE</t>
  </si>
  <si>
    <t>GENT</t>
  </si>
  <si>
    <t>BEKNO</t>
  </si>
  <si>
    <t>KNO</t>
  </si>
  <si>
    <t>KNOKKE/HET ZOUTE</t>
  </si>
  <si>
    <t>BELGG</t>
  </si>
  <si>
    <t>LGG</t>
  </si>
  <si>
    <t>LIEGE</t>
  </si>
  <si>
    <t>BENIE</t>
  </si>
  <si>
    <t>NIE</t>
  </si>
  <si>
    <t>NIEUWPOORT</t>
  </si>
  <si>
    <t>BEOST</t>
  </si>
  <si>
    <t>OST</t>
  </si>
  <si>
    <t>OOSTENDE</t>
  </si>
  <si>
    <t>BEZEE</t>
  </si>
  <si>
    <t>ZEE</t>
  </si>
  <si>
    <t>ZEEBRUGGE</t>
  </si>
  <si>
    <t>BEZEL</t>
  </si>
  <si>
    <t>ZEL</t>
  </si>
  <si>
    <t>ZELZATE</t>
  </si>
  <si>
    <t>BEZZZ</t>
  </si>
  <si>
    <t>BURKINA FASO</t>
  </si>
  <si>
    <t>ブルキナファソ</t>
  </si>
  <si>
    <t>BFARL</t>
  </si>
  <si>
    <t>BF</t>
  </si>
  <si>
    <t>ARL</t>
  </si>
  <si>
    <t>ARLY</t>
  </si>
  <si>
    <t>BURKN</t>
  </si>
  <si>
    <t>BFBNR</t>
  </si>
  <si>
    <t>BNR</t>
  </si>
  <si>
    <t>BANFORA</t>
  </si>
  <si>
    <t>BFBOY</t>
  </si>
  <si>
    <t>BOY</t>
  </si>
  <si>
    <t>BOBO DIOULASSO</t>
  </si>
  <si>
    <t>BFDGU</t>
  </si>
  <si>
    <t>DGU</t>
  </si>
  <si>
    <t>DEDOUGOU</t>
  </si>
  <si>
    <t>BFDIP</t>
  </si>
  <si>
    <t>DIP</t>
  </si>
  <si>
    <t>DIAPAGA</t>
  </si>
  <si>
    <t>BFDOR</t>
  </si>
  <si>
    <t>DOR</t>
  </si>
  <si>
    <t>DORI</t>
  </si>
  <si>
    <t>BFFNG</t>
  </si>
  <si>
    <t>FNG</t>
  </si>
  <si>
    <t>FADA NGOURMA</t>
  </si>
  <si>
    <t>BFOUA</t>
  </si>
  <si>
    <t>OUA</t>
  </si>
  <si>
    <t>OUAGADOUGOU</t>
  </si>
  <si>
    <t>BFOUG</t>
  </si>
  <si>
    <t>OUG</t>
  </si>
  <si>
    <t>OUAHIGOUYA</t>
  </si>
  <si>
    <t>BFPUP</t>
  </si>
  <si>
    <t>PUP</t>
  </si>
  <si>
    <t>PO</t>
  </si>
  <si>
    <t>BFTEG</t>
  </si>
  <si>
    <t>TEG</t>
  </si>
  <si>
    <t>TENKODOGO</t>
  </si>
  <si>
    <t>BFTMQ</t>
  </si>
  <si>
    <t>TMQ</t>
  </si>
  <si>
    <t>TAMBAO</t>
  </si>
  <si>
    <t>BFTUQ</t>
  </si>
  <si>
    <t>TUQ</t>
  </si>
  <si>
    <t>TOUGAN</t>
  </si>
  <si>
    <t>BFXPA</t>
  </si>
  <si>
    <t>XPA</t>
  </si>
  <si>
    <t>PAMA</t>
  </si>
  <si>
    <t>BFZZZ</t>
  </si>
  <si>
    <t>ARIBINDA</t>
  </si>
  <si>
    <t>XAR</t>
  </si>
  <si>
    <t>BOGANDE</t>
  </si>
  <si>
    <t>XBG</t>
  </si>
  <si>
    <t>BOULSA</t>
  </si>
  <si>
    <t>XBO</t>
  </si>
  <si>
    <t>DIEBOUGOU</t>
  </si>
  <si>
    <t>XDE</t>
  </si>
  <si>
    <t>DJIBO</t>
  </si>
  <si>
    <t>XDJ</t>
  </si>
  <si>
    <t>GAOUA</t>
  </si>
  <si>
    <t>XGA</t>
  </si>
  <si>
    <t>GOROM-GOROM</t>
  </si>
  <si>
    <t>XGG</t>
  </si>
  <si>
    <t>KANTCHARI</t>
  </si>
  <si>
    <t>XKA</t>
  </si>
  <si>
    <t>KAYA</t>
  </si>
  <si>
    <t>XKY</t>
  </si>
  <si>
    <t>LEO</t>
  </si>
  <si>
    <t>XLU</t>
  </si>
  <si>
    <t>NOUNA</t>
  </si>
  <si>
    <t>XNU</t>
  </si>
  <si>
    <t>SEBBA</t>
  </si>
  <si>
    <t>XSE</t>
  </si>
  <si>
    <t>ZABRE</t>
  </si>
  <si>
    <t>XZA</t>
  </si>
  <si>
    <t>BULGARIA</t>
  </si>
  <si>
    <t>ブルガリア</t>
  </si>
  <si>
    <t>BGAKH</t>
  </si>
  <si>
    <t>BG</t>
  </si>
  <si>
    <t>AKH</t>
  </si>
  <si>
    <t>AKHOTOPOL</t>
  </si>
  <si>
    <t>BGBAL</t>
  </si>
  <si>
    <t>BAL</t>
  </si>
  <si>
    <t>BALTCHIK</t>
  </si>
  <si>
    <t>BGBOJ</t>
  </si>
  <si>
    <t>BOJ</t>
  </si>
  <si>
    <t>BURGAS</t>
  </si>
  <si>
    <t>BULG</t>
  </si>
  <si>
    <t>BGBRE</t>
  </si>
  <si>
    <t>BRE</t>
  </si>
  <si>
    <t>BREGOVO</t>
  </si>
  <si>
    <t>BGDKO</t>
  </si>
  <si>
    <t>DKO</t>
  </si>
  <si>
    <t>DUZAN KULAK</t>
  </si>
  <si>
    <t>BGGJE</t>
  </si>
  <si>
    <t>GJE</t>
  </si>
  <si>
    <t>GJECHEVO</t>
  </si>
  <si>
    <t>BGGOZ</t>
  </si>
  <si>
    <t>GOZ</t>
  </si>
  <si>
    <t>GORNA ORJAHOV</t>
  </si>
  <si>
    <t>BGHKV</t>
  </si>
  <si>
    <t>HKV</t>
  </si>
  <si>
    <t>HASKOVO</t>
  </si>
  <si>
    <t>BGIOV</t>
  </si>
  <si>
    <t>IOV</t>
  </si>
  <si>
    <t>IOVKOVO</t>
  </si>
  <si>
    <t>BGJAM</t>
  </si>
  <si>
    <t>JAM</t>
  </si>
  <si>
    <t>JAMBOL</t>
  </si>
  <si>
    <t>BGKAL</t>
  </si>
  <si>
    <t>KAL</t>
  </si>
  <si>
    <t>KALOTINA</t>
  </si>
  <si>
    <t>BGKAN</t>
  </si>
  <si>
    <t>KAN</t>
  </si>
  <si>
    <t>KAPITAN ANDREEVO</t>
  </si>
  <si>
    <t>BGKAR</t>
  </si>
  <si>
    <t>KAR</t>
  </si>
  <si>
    <t>KARDAM</t>
  </si>
  <si>
    <t>BGKHO</t>
  </si>
  <si>
    <t>KHO</t>
  </si>
  <si>
    <t>KHASKOVO</t>
  </si>
  <si>
    <t>BGKOL</t>
  </si>
  <si>
    <t>KOL</t>
  </si>
  <si>
    <t>KULATA</t>
  </si>
  <si>
    <t>BGLOM</t>
  </si>
  <si>
    <t>LOM</t>
  </si>
  <si>
    <t>BGMTI</t>
  </si>
  <si>
    <t>MTI</t>
  </si>
  <si>
    <t>MALKO TARNOVO</t>
  </si>
  <si>
    <t>BGOLT</t>
  </si>
  <si>
    <t>OLT</t>
  </si>
  <si>
    <t>OLTOMANTSI</t>
  </si>
  <si>
    <t>BGORE</t>
  </si>
  <si>
    <t>ORE</t>
  </si>
  <si>
    <t>ORICHOVO</t>
  </si>
  <si>
    <t>BGPDV</t>
  </si>
  <si>
    <t>PDV</t>
  </si>
  <si>
    <t>PLOVDIV</t>
  </si>
  <si>
    <t>BGPVN</t>
  </si>
  <si>
    <t>PVN</t>
  </si>
  <si>
    <t>PLEVEN</t>
  </si>
  <si>
    <t>BGRDU</t>
  </si>
  <si>
    <t>RDU</t>
  </si>
  <si>
    <t>RUSE</t>
  </si>
  <si>
    <t>BGSLI</t>
  </si>
  <si>
    <t>SLI</t>
  </si>
  <si>
    <t>STANKE LISTCHKOVO</t>
  </si>
  <si>
    <t>BGSLS</t>
  </si>
  <si>
    <t>SLS</t>
  </si>
  <si>
    <t>SILISTRA</t>
  </si>
  <si>
    <t>BGSOF</t>
  </si>
  <si>
    <t>SOF</t>
  </si>
  <si>
    <t>SOFIA</t>
  </si>
  <si>
    <t>BGSOM</t>
  </si>
  <si>
    <t>SOM</t>
  </si>
  <si>
    <t>SOMOVIT</t>
  </si>
  <si>
    <t>BGSTR</t>
  </si>
  <si>
    <t>STR</t>
  </si>
  <si>
    <t>STRESIMIROVTSI</t>
  </si>
  <si>
    <t>BGSVI</t>
  </si>
  <si>
    <t>SVI</t>
  </si>
  <si>
    <t>SVISTOV</t>
  </si>
  <si>
    <t>BGSWG</t>
  </si>
  <si>
    <t>SWG</t>
  </si>
  <si>
    <t>SVILENGRAD</t>
  </si>
  <si>
    <t>BGSZR</t>
  </si>
  <si>
    <t>SZR</t>
  </si>
  <si>
    <t>STARA ZAGORA</t>
  </si>
  <si>
    <t>BGTGV</t>
  </si>
  <si>
    <t>TGV</t>
  </si>
  <si>
    <t>TARGOVISHTE</t>
  </si>
  <si>
    <t>BGTOL</t>
  </si>
  <si>
    <t>TOL</t>
  </si>
  <si>
    <t>TOLBUHIN</t>
  </si>
  <si>
    <t>BGVAR</t>
  </si>
  <si>
    <t>VAR</t>
  </si>
  <si>
    <t>VARNA</t>
  </si>
  <si>
    <t>BGVAZ</t>
  </si>
  <si>
    <t>VAZ</t>
  </si>
  <si>
    <t>VARNA-ZAPAD</t>
  </si>
  <si>
    <t>BGVID</t>
  </si>
  <si>
    <t>VID</t>
  </si>
  <si>
    <t>VIDIN</t>
  </si>
  <si>
    <t>BGVTC</t>
  </si>
  <si>
    <t>VTC</t>
  </si>
  <si>
    <t>VRAACHKA TCHUKA</t>
  </si>
  <si>
    <t>BGZLA</t>
  </si>
  <si>
    <t>ZLA</t>
  </si>
  <si>
    <t>ZLATAREVO</t>
  </si>
  <si>
    <t>BGZZZ</t>
  </si>
  <si>
    <t>BAHRAIN</t>
  </si>
  <si>
    <t>バーレーン</t>
  </si>
  <si>
    <t>BHBAH</t>
  </si>
  <si>
    <t>BH</t>
  </si>
  <si>
    <t>BAHR</t>
  </si>
  <si>
    <t>BHMAN</t>
  </si>
  <si>
    <t>MAN</t>
  </si>
  <si>
    <t>MANAMA</t>
  </si>
  <si>
    <t>BHMIN</t>
  </si>
  <si>
    <t>MINA SULMAN</t>
  </si>
  <si>
    <t>BHRAS</t>
  </si>
  <si>
    <t>RAS</t>
  </si>
  <si>
    <t>AL MUTAE</t>
  </si>
  <si>
    <t>BHSIT</t>
  </si>
  <si>
    <t>SIT</t>
  </si>
  <si>
    <t>SITRA</t>
  </si>
  <si>
    <t>BHZZZ</t>
  </si>
  <si>
    <t>BURUNDI</t>
  </si>
  <si>
    <t>ブルンジ</t>
  </si>
  <si>
    <t>BIBJM</t>
  </si>
  <si>
    <t>BI</t>
  </si>
  <si>
    <t>BJM</t>
  </si>
  <si>
    <t>BUJUMBURA</t>
  </si>
  <si>
    <t>BURUN</t>
  </si>
  <si>
    <t>BIZZZ</t>
  </si>
  <si>
    <t>BENIN</t>
  </si>
  <si>
    <t>ベナン</t>
  </si>
  <si>
    <t>BJCOO</t>
  </si>
  <si>
    <t>BJ</t>
  </si>
  <si>
    <t>COO</t>
  </si>
  <si>
    <t>COTONOU</t>
  </si>
  <si>
    <t>BJDJA</t>
  </si>
  <si>
    <t>DJA</t>
  </si>
  <si>
    <t>DJOUGOU</t>
  </si>
  <si>
    <t>BJPKO</t>
  </si>
  <si>
    <t>PKO</t>
  </si>
  <si>
    <t>PARAKOU</t>
  </si>
  <si>
    <t>BJSVF</t>
  </si>
  <si>
    <t>SVF</t>
  </si>
  <si>
    <t>SAVE</t>
  </si>
  <si>
    <t>BJZZZ</t>
  </si>
  <si>
    <t>SAINT BARTHELEMY</t>
  </si>
  <si>
    <t>サン・バルテルミー島（仏）</t>
  </si>
  <si>
    <t>BLSBH</t>
  </si>
  <si>
    <t>BL</t>
  </si>
  <si>
    <t>SBH</t>
  </si>
  <si>
    <t>ST BARTHELEMY</t>
  </si>
  <si>
    <t>FRA</t>
  </si>
  <si>
    <t>BLZZZ</t>
  </si>
  <si>
    <t>BERMUDA</t>
  </si>
  <si>
    <t>バーミュダ（英）</t>
  </si>
  <si>
    <t>BMBDA</t>
  </si>
  <si>
    <t>BM</t>
  </si>
  <si>
    <t>BDA</t>
  </si>
  <si>
    <t>HAMILTON</t>
  </si>
  <si>
    <t>BER</t>
  </si>
  <si>
    <t>T11</t>
  </si>
  <si>
    <t>BMFPT</t>
  </si>
  <si>
    <t>FPT</t>
  </si>
  <si>
    <t>FREEPORT</t>
  </si>
  <si>
    <t>BMHBI</t>
  </si>
  <si>
    <t>HBI</t>
  </si>
  <si>
    <t>HARBOR ISLAND</t>
  </si>
  <si>
    <t>BMSGE</t>
  </si>
  <si>
    <t>SGE</t>
  </si>
  <si>
    <t>ST GEORGES</t>
  </si>
  <si>
    <t>BMZZZ</t>
  </si>
  <si>
    <t>NWU</t>
  </si>
  <si>
    <t>BRUNEI DARUSSALAM</t>
  </si>
  <si>
    <t>ブルネイ</t>
  </si>
  <si>
    <t>BNBTN</t>
  </si>
  <si>
    <t>BN</t>
  </si>
  <si>
    <t>BTN</t>
  </si>
  <si>
    <t>BRUNEI TOWN</t>
  </si>
  <si>
    <t>BNBWN</t>
  </si>
  <si>
    <t>BWN</t>
  </si>
  <si>
    <t>BANDAR SERI BEGAWAN</t>
  </si>
  <si>
    <t>BRUN</t>
  </si>
  <si>
    <t>T32</t>
  </si>
  <si>
    <t>BNKUB</t>
  </si>
  <si>
    <t>KUB</t>
  </si>
  <si>
    <t>KUALA BELAIT</t>
  </si>
  <si>
    <t>BNLUM</t>
  </si>
  <si>
    <t>LUM</t>
  </si>
  <si>
    <t>LUMUT</t>
  </si>
  <si>
    <t>BNMUA</t>
  </si>
  <si>
    <t>MUA</t>
  </si>
  <si>
    <t>MUARA</t>
  </si>
  <si>
    <t>BNSER</t>
  </si>
  <si>
    <t>SER</t>
  </si>
  <si>
    <t>SERIA</t>
  </si>
  <si>
    <t>BNTAS</t>
  </si>
  <si>
    <t>TAS</t>
  </si>
  <si>
    <t>TANJONG SALIRONG</t>
  </si>
  <si>
    <t>BNZZZ</t>
  </si>
  <si>
    <t>BOLIVIA</t>
  </si>
  <si>
    <t>ボリビア</t>
  </si>
  <si>
    <t>BOAPB</t>
  </si>
  <si>
    <t>BO</t>
  </si>
  <si>
    <t>APB</t>
  </si>
  <si>
    <t>APOLO</t>
  </si>
  <si>
    <t>BOL</t>
  </si>
  <si>
    <t>BOASC</t>
  </si>
  <si>
    <t>ASC</t>
  </si>
  <si>
    <t>ASCENSION</t>
  </si>
  <si>
    <t>BOBYC</t>
  </si>
  <si>
    <t>BYC</t>
  </si>
  <si>
    <t>YACUIBA</t>
  </si>
  <si>
    <t>BOCAM</t>
  </si>
  <si>
    <t>CAM</t>
  </si>
  <si>
    <t>CAMIRI</t>
  </si>
  <si>
    <t>BOCBB</t>
  </si>
  <si>
    <t>CBB</t>
  </si>
  <si>
    <t>COCHABAMBA</t>
  </si>
  <si>
    <t>BOCEP</t>
  </si>
  <si>
    <t>CEP</t>
  </si>
  <si>
    <t>CONCEPCION</t>
  </si>
  <si>
    <t>BOCIJ</t>
  </si>
  <si>
    <t>CIJ</t>
  </si>
  <si>
    <t>COBIJA</t>
  </si>
  <si>
    <t>BOGUQ</t>
  </si>
  <si>
    <t>GUQ</t>
  </si>
  <si>
    <t>GUAQUI</t>
  </si>
  <si>
    <t>BOGYA</t>
  </si>
  <si>
    <t>GYA</t>
  </si>
  <si>
    <t>GUAYARAMERIN</t>
  </si>
  <si>
    <t>BOLPB</t>
  </si>
  <si>
    <t>LPB</t>
  </si>
  <si>
    <t>LA PAZ</t>
  </si>
  <si>
    <t>BOMGD</t>
  </si>
  <si>
    <t>MGD</t>
  </si>
  <si>
    <t>MAGDALENA</t>
  </si>
  <si>
    <t>BOORU</t>
  </si>
  <si>
    <t>ORU</t>
  </si>
  <si>
    <t>ORURO</t>
  </si>
  <si>
    <t>BOPBU</t>
  </si>
  <si>
    <t>PBU</t>
  </si>
  <si>
    <t>PUERTO BUSCH</t>
  </si>
  <si>
    <t>BOPOI</t>
  </si>
  <si>
    <t>POI</t>
  </si>
  <si>
    <t>POTOSI</t>
  </si>
  <si>
    <t>BOPSZ</t>
  </si>
  <si>
    <t>PSZ</t>
  </si>
  <si>
    <t>PUERTO SUAREZ</t>
  </si>
  <si>
    <t>BOPUR</t>
  </si>
  <si>
    <t>PUR</t>
  </si>
  <si>
    <t>PUERTO RICO</t>
  </si>
  <si>
    <t>BORBO</t>
  </si>
  <si>
    <t>RBO</t>
  </si>
  <si>
    <t>ROBORE</t>
  </si>
  <si>
    <t>BORBQ</t>
  </si>
  <si>
    <t>RBQ</t>
  </si>
  <si>
    <t>RURRENABAQUE</t>
  </si>
  <si>
    <t>BOREY</t>
  </si>
  <si>
    <t>REY</t>
  </si>
  <si>
    <t>REYES</t>
  </si>
  <si>
    <t>BORIB</t>
  </si>
  <si>
    <t>RIB</t>
  </si>
  <si>
    <t>RIBERALTA</t>
  </si>
  <si>
    <t>BOSBL</t>
  </si>
  <si>
    <t>SBL</t>
  </si>
  <si>
    <t>SANTA ANA</t>
  </si>
  <si>
    <t>BOSJB</t>
  </si>
  <si>
    <t>SJB</t>
  </si>
  <si>
    <t>SAN JOAQUIN</t>
  </si>
  <si>
    <t>BOSJS</t>
  </si>
  <si>
    <t>SJS</t>
  </si>
  <si>
    <t>SAN JOSE</t>
  </si>
  <si>
    <t>BOSJV</t>
  </si>
  <si>
    <t>SJV</t>
  </si>
  <si>
    <t>SAN JAVIER</t>
  </si>
  <si>
    <t>BOSNG</t>
  </si>
  <si>
    <t>SNG</t>
  </si>
  <si>
    <t>SAN IGNACIO</t>
  </si>
  <si>
    <t>BOSNM</t>
  </si>
  <si>
    <t>SNM</t>
  </si>
  <si>
    <t>BOSRB</t>
  </si>
  <si>
    <t>SRB</t>
  </si>
  <si>
    <t>BOSRD</t>
  </si>
  <si>
    <t>SRD</t>
  </si>
  <si>
    <t>SAN RAMON</t>
  </si>
  <si>
    <t>BOSRE</t>
  </si>
  <si>
    <t>SRE</t>
  </si>
  <si>
    <t>SUCRE</t>
  </si>
  <si>
    <t>BOSRJ</t>
  </si>
  <si>
    <t>SRJ</t>
  </si>
  <si>
    <t>SAN BORJA</t>
  </si>
  <si>
    <t>BOSRZ</t>
  </si>
  <si>
    <t>SRZ</t>
  </si>
  <si>
    <t>BOTDD</t>
  </si>
  <si>
    <t>TDD</t>
  </si>
  <si>
    <t>TRINIDAD</t>
  </si>
  <si>
    <t>BOTJA</t>
  </si>
  <si>
    <t>TJA</t>
  </si>
  <si>
    <t>TARIJA</t>
  </si>
  <si>
    <t>BOZZZ</t>
  </si>
  <si>
    <t>VIRUVIRU INTERNATIONAL</t>
  </si>
  <si>
    <t>VVI</t>
  </si>
  <si>
    <t>BRITISH ANTARCTIC TERRITORY</t>
  </si>
  <si>
    <t>英領南極地域</t>
  </si>
  <si>
    <t>BQGLD</t>
  </si>
  <si>
    <t>BQ</t>
  </si>
  <si>
    <t>GLD</t>
  </si>
  <si>
    <t>GRAHAM LAND</t>
  </si>
  <si>
    <t>BQSOY</t>
  </si>
  <si>
    <t>SOY</t>
  </si>
  <si>
    <t>SOUTH ORKNEYS</t>
  </si>
  <si>
    <t>BQSSD</t>
  </si>
  <si>
    <t>SSD</t>
  </si>
  <si>
    <t>SOUTH SHETLAND</t>
  </si>
  <si>
    <t>BQZZZ</t>
  </si>
  <si>
    <t>BRAZIL</t>
  </si>
  <si>
    <t>ブラジル</t>
  </si>
  <si>
    <t>BRAAI</t>
  </si>
  <si>
    <t>BR</t>
  </si>
  <si>
    <t>AAI</t>
  </si>
  <si>
    <t>ARRAIAS</t>
  </si>
  <si>
    <t>BRAZ</t>
  </si>
  <si>
    <t>BRAAX</t>
  </si>
  <si>
    <t>AAX</t>
  </si>
  <si>
    <t>ARAXA - MG</t>
  </si>
  <si>
    <t>BRADR</t>
  </si>
  <si>
    <t>ADR</t>
  </si>
  <si>
    <t>ANGRA DOS REIS - RJ</t>
  </si>
  <si>
    <t>BRAFL</t>
  </si>
  <si>
    <t>AFL</t>
  </si>
  <si>
    <t>ALTA FLORESTA</t>
  </si>
  <si>
    <t>BRAJU</t>
  </si>
  <si>
    <t>AJU</t>
  </si>
  <si>
    <t>ARACAJU - SE</t>
  </si>
  <si>
    <t>BRALQ</t>
  </si>
  <si>
    <t>ALQ</t>
  </si>
  <si>
    <t>ALEGRETE - RS</t>
  </si>
  <si>
    <t>BRAMJ</t>
  </si>
  <si>
    <t>AMJ</t>
  </si>
  <si>
    <t>ALMENARA</t>
  </si>
  <si>
    <t>BRANT</t>
  </si>
  <si>
    <t>ANTONINA - PR</t>
  </si>
  <si>
    <t>BRAPS</t>
  </si>
  <si>
    <t>APS</t>
  </si>
  <si>
    <t>ANAPOLIS - GO</t>
  </si>
  <si>
    <t>BRAPU</t>
  </si>
  <si>
    <t>APU</t>
  </si>
  <si>
    <t>APUCARANA - PR</t>
  </si>
  <si>
    <t>BRAPX</t>
  </si>
  <si>
    <t>APX</t>
  </si>
  <si>
    <t>ARAPONGAS</t>
  </si>
  <si>
    <t>BRAPY</t>
  </si>
  <si>
    <t>APY</t>
  </si>
  <si>
    <t>ALTO PARNAIBA</t>
  </si>
  <si>
    <t>BRAQA</t>
  </si>
  <si>
    <t>AQA</t>
  </si>
  <si>
    <t>ARARAQUARA</t>
  </si>
  <si>
    <t>BRAQM</t>
  </si>
  <si>
    <t>AQM</t>
  </si>
  <si>
    <t>ARIQUEMES</t>
  </si>
  <si>
    <t>BRARB</t>
  </si>
  <si>
    <t>ARB</t>
  </si>
  <si>
    <t>ARATU - BA</t>
  </si>
  <si>
    <t>BRARE</t>
  </si>
  <si>
    <t>ARE</t>
  </si>
  <si>
    <t>AREIA BRANCA - RN</t>
  </si>
  <si>
    <t>BRARS</t>
  </si>
  <si>
    <t>ARS</t>
  </si>
  <si>
    <t>ARAGARCAS</t>
  </si>
  <si>
    <t>BRARU</t>
  </si>
  <si>
    <t>ARU</t>
  </si>
  <si>
    <t>ARACATUBA</t>
  </si>
  <si>
    <t>BRATM</t>
  </si>
  <si>
    <t>ATM</t>
  </si>
  <si>
    <t>ALTAMIRA</t>
  </si>
  <si>
    <t>BRAUB</t>
  </si>
  <si>
    <t>AUB</t>
  </si>
  <si>
    <t>ITAUBA</t>
  </si>
  <si>
    <t>BRAUX</t>
  </si>
  <si>
    <t>AUX</t>
  </si>
  <si>
    <t>ARAGUAINA</t>
  </si>
  <si>
    <t>BRBAU</t>
  </si>
  <si>
    <t>BAU</t>
  </si>
  <si>
    <t>BAURU</t>
  </si>
  <si>
    <t>BRBDC</t>
  </si>
  <si>
    <t>BDC</t>
  </si>
  <si>
    <t>BARRA DO CORDA</t>
  </si>
  <si>
    <t>BRBEL</t>
  </si>
  <si>
    <t>BELEM - PA</t>
  </si>
  <si>
    <t>BRBGV</t>
  </si>
  <si>
    <t>BGV</t>
  </si>
  <si>
    <t>BENTO GONCALVES - RS</t>
  </si>
  <si>
    <t>BRBGX</t>
  </si>
  <si>
    <t>BGX</t>
  </si>
  <si>
    <t>BAGE - RS</t>
  </si>
  <si>
    <t>BRBHZ</t>
  </si>
  <si>
    <t>BHZ</t>
  </si>
  <si>
    <t>BELO HORIZONTE</t>
  </si>
  <si>
    <t>BRBNU</t>
  </si>
  <si>
    <t>BNU</t>
  </si>
  <si>
    <t>BLUMENAU - SC</t>
  </si>
  <si>
    <t>BRBPS</t>
  </si>
  <si>
    <t>BPS</t>
  </si>
  <si>
    <t>PORTO SEGURO</t>
  </si>
  <si>
    <t>BRBQQ</t>
  </si>
  <si>
    <t>BQQ</t>
  </si>
  <si>
    <t>BARRA</t>
  </si>
  <si>
    <t>BRBRA</t>
  </si>
  <si>
    <t>BRA</t>
  </si>
  <si>
    <t>BARREIRAS</t>
  </si>
  <si>
    <t>BRBRB</t>
  </si>
  <si>
    <t>BRB</t>
  </si>
  <si>
    <t>BARREIRINHAS</t>
  </si>
  <si>
    <t>BRBSB</t>
  </si>
  <si>
    <t>BSB</t>
  </si>
  <si>
    <t>BRASILIA - DF</t>
  </si>
  <si>
    <t>BRBSS</t>
  </si>
  <si>
    <t>BSS</t>
  </si>
  <si>
    <t>BALSAS</t>
  </si>
  <si>
    <t>BRBTF</t>
  </si>
  <si>
    <t>BTF</t>
  </si>
  <si>
    <t>BARAO DE TEFFE (ANTONINA)</t>
  </si>
  <si>
    <t>BRBVB</t>
  </si>
  <si>
    <t>BVB</t>
  </si>
  <si>
    <t>BOA VISTA - RR</t>
  </si>
  <si>
    <t>BRBVH</t>
  </si>
  <si>
    <t>BVH</t>
  </si>
  <si>
    <t>VILHENA</t>
  </si>
  <si>
    <t>BRBVM</t>
  </si>
  <si>
    <t>BVM</t>
  </si>
  <si>
    <t>BELMONTE</t>
  </si>
  <si>
    <t>BRCAC</t>
  </si>
  <si>
    <t>CAC</t>
  </si>
  <si>
    <t>CASCAVEL - PR</t>
  </si>
  <si>
    <t>BRCAF</t>
  </si>
  <si>
    <t>CAF</t>
  </si>
  <si>
    <t>CARAUARI</t>
  </si>
  <si>
    <t>BRCAU</t>
  </si>
  <si>
    <t>CAU</t>
  </si>
  <si>
    <t>CARUARU - PE</t>
  </si>
  <si>
    <t>BRCAW</t>
  </si>
  <si>
    <t>CAW</t>
  </si>
  <si>
    <t>CAMPOS - RJ</t>
  </si>
  <si>
    <t>BRCCI</t>
  </si>
  <si>
    <t>CCI</t>
  </si>
  <si>
    <t>CONCORDIA - SC</t>
  </si>
  <si>
    <t>BRCCQ</t>
  </si>
  <si>
    <t>CCQ</t>
  </si>
  <si>
    <t>CACHOEIRA</t>
  </si>
  <si>
    <t>BRCCX</t>
  </si>
  <si>
    <t>CCX</t>
  </si>
  <si>
    <t>CACERES</t>
  </si>
  <si>
    <t>BRCDJ</t>
  </si>
  <si>
    <t>CDJ</t>
  </si>
  <si>
    <t>CONCEICAO</t>
  </si>
  <si>
    <t>BRCDO</t>
  </si>
  <si>
    <t>CDO</t>
  </si>
  <si>
    <t>CABEDELO - PB</t>
  </si>
  <si>
    <t>BRCGB</t>
  </si>
  <si>
    <t>CGB</t>
  </si>
  <si>
    <t>CUIABA - MT</t>
  </si>
  <si>
    <t>BRCGH</t>
  </si>
  <si>
    <t>CGH</t>
  </si>
  <si>
    <t>SAO PAULO-COGONHAS APT</t>
  </si>
  <si>
    <t>BRCGR</t>
  </si>
  <si>
    <t>CGR</t>
  </si>
  <si>
    <t>CAMPO GRANDE - MS</t>
  </si>
  <si>
    <t>BRCIZ</t>
  </si>
  <si>
    <t>CIZ</t>
  </si>
  <si>
    <t>COARI</t>
  </si>
  <si>
    <t>BRCKO</t>
  </si>
  <si>
    <t>CKO</t>
  </si>
  <si>
    <t>CORNELIO PROCOPIO -PR</t>
  </si>
  <si>
    <t>BRCLN</t>
  </si>
  <si>
    <t>CLN</t>
  </si>
  <si>
    <t>CAROLINA</t>
  </si>
  <si>
    <t>BRCMC</t>
  </si>
  <si>
    <t>CMC</t>
  </si>
  <si>
    <t>CAMOCIM</t>
  </si>
  <si>
    <t>BRCMG</t>
  </si>
  <si>
    <t>CMG</t>
  </si>
  <si>
    <t>CORUMBA - MS</t>
  </si>
  <si>
    <t>BRCNF</t>
  </si>
  <si>
    <t>CNF</t>
  </si>
  <si>
    <t>CONFINS INTERNATIONAL - MG</t>
  </si>
  <si>
    <t>BRCNV</t>
  </si>
  <si>
    <t>CNV</t>
  </si>
  <si>
    <t>CANAVIEIRAS</t>
  </si>
  <si>
    <t>BRCPQ</t>
  </si>
  <si>
    <t>CPQ</t>
  </si>
  <si>
    <t>CAMPINAS - SP</t>
  </si>
  <si>
    <t>BRCPU</t>
  </si>
  <si>
    <t>CPU</t>
  </si>
  <si>
    <t>CURURUPU</t>
  </si>
  <si>
    <t>BRCPV</t>
  </si>
  <si>
    <t>CPV</t>
  </si>
  <si>
    <t>CAMPINA GRANDE - PB</t>
  </si>
  <si>
    <t>BRCQS</t>
  </si>
  <si>
    <t>CQS</t>
  </si>
  <si>
    <t>COSTA MARQUES</t>
  </si>
  <si>
    <t>BRCRZ</t>
  </si>
  <si>
    <t>CRZ</t>
  </si>
  <si>
    <t>CARAZINHO</t>
  </si>
  <si>
    <t>BRCSS</t>
  </si>
  <si>
    <t>CSS</t>
  </si>
  <si>
    <t>CASSILANDIA</t>
  </si>
  <si>
    <t>BRCTP</t>
  </si>
  <si>
    <t>CTP</t>
  </si>
  <si>
    <t>CARUTAPERA</t>
  </si>
  <si>
    <t>BRCTQ</t>
  </si>
  <si>
    <t>CTQ</t>
  </si>
  <si>
    <t>SANTA VITORIA</t>
  </si>
  <si>
    <t>BRCUK</t>
  </si>
  <si>
    <t>CUK</t>
  </si>
  <si>
    <t>SAO PAULO-CUMBICA APT</t>
  </si>
  <si>
    <t>BRCWB</t>
  </si>
  <si>
    <t>CWB</t>
  </si>
  <si>
    <t>CURITIBA - PR</t>
  </si>
  <si>
    <t>BRCXJ</t>
  </si>
  <si>
    <t>CXJ</t>
  </si>
  <si>
    <t>CAXIAS DO SUL - RS</t>
  </si>
  <si>
    <t>BRCZB</t>
  </si>
  <si>
    <t>CZB</t>
  </si>
  <si>
    <t>CRUZ ALTA - RS</t>
  </si>
  <si>
    <t>BRCZS</t>
  </si>
  <si>
    <t>CZS</t>
  </si>
  <si>
    <t>CRUZEIRO DO SUL - AC</t>
  </si>
  <si>
    <t>BRDIQ</t>
  </si>
  <si>
    <t>DIQ</t>
  </si>
  <si>
    <t>DIVINOPOLIS - MG</t>
  </si>
  <si>
    <t>BRDMT</t>
  </si>
  <si>
    <t>DMT</t>
  </si>
  <si>
    <t>DIAMANTINO</t>
  </si>
  <si>
    <t>BRDNO</t>
  </si>
  <si>
    <t>DNO</t>
  </si>
  <si>
    <t>DIANOPOLIS</t>
  </si>
  <si>
    <t>BRDOU</t>
  </si>
  <si>
    <t>DOU</t>
  </si>
  <si>
    <t>DOURADOS</t>
  </si>
  <si>
    <t>BRERM</t>
  </si>
  <si>
    <t>ERM</t>
  </si>
  <si>
    <t>ERECHIM - RS</t>
  </si>
  <si>
    <t>BRERN</t>
  </si>
  <si>
    <t>ERN</t>
  </si>
  <si>
    <t>EIRUNEPE</t>
  </si>
  <si>
    <t>BRESI</t>
  </si>
  <si>
    <t>ESI</t>
  </si>
  <si>
    <t>ESPINOSA</t>
  </si>
  <si>
    <t>BRFEN</t>
  </si>
  <si>
    <t>FEN</t>
  </si>
  <si>
    <t>FERNANDO NORONHA</t>
  </si>
  <si>
    <t>BRFLB</t>
  </si>
  <si>
    <t>FLB</t>
  </si>
  <si>
    <t>FLORIANO</t>
  </si>
  <si>
    <t>BRFLN</t>
  </si>
  <si>
    <t>FLN</t>
  </si>
  <si>
    <t>FLORIANOPOLIS - SC</t>
  </si>
  <si>
    <t>BRFOR</t>
  </si>
  <si>
    <t>FORTALEZA - CE</t>
  </si>
  <si>
    <t>BRFRC</t>
  </si>
  <si>
    <t>FRC</t>
  </si>
  <si>
    <t>FRANCA</t>
  </si>
  <si>
    <t>BRGEL</t>
  </si>
  <si>
    <t>GEL</t>
  </si>
  <si>
    <t>SANTO ANGELO - RS</t>
  </si>
  <si>
    <t>BRGIG</t>
  </si>
  <si>
    <t>GIG</t>
  </si>
  <si>
    <t>RIO DE JANEIRO-GALEAO APT</t>
  </si>
  <si>
    <t>BRGJM</t>
  </si>
  <si>
    <t>GJM</t>
  </si>
  <si>
    <t>GUAJARA MIRIM - GO</t>
  </si>
  <si>
    <t>BRGMS</t>
  </si>
  <si>
    <t>GMS</t>
  </si>
  <si>
    <t>GUIMARAES</t>
  </si>
  <si>
    <t>BRGNM</t>
  </si>
  <si>
    <t>GNM</t>
  </si>
  <si>
    <t>GUANAMBI</t>
  </si>
  <si>
    <t>BRGRP</t>
  </si>
  <si>
    <t>GRP</t>
  </si>
  <si>
    <t>GURUPI GOIAS</t>
  </si>
  <si>
    <t>BRGRU</t>
  </si>
  <si>
    <t>GRU</t>
  </si>
  <si>
    <t>SAO PAULO</t>
  </si>
  <si>
    <t>BRGUJ</t>
  </si>
  <si>
    <t>GUJ</t>
  </si>
  <si>
    <t>GUARATINGUETA - SP</t>
  </si>
  <si>
    <t>BRGVR</t>
  </si>
  <si>
    <t>GVR</t>
  </si>
  <si>
    <t>GOVERN VALADA</t>
  </si>
  <si>
    <t>BRGYN</t>
  </si>
  <si>
    <t>GYN</t>
  </si>
  <si>
    <t>GOIANIA - GO</t>
  </si>
  <si>
    <t>BRIBB</t>
  </si>
  <si>
    <t>IBB</t>
  </si>
  <si>
    <t>IMBITUBA - SC</t>
  </si>
  <si>
    <t>BRIDO</t>
  </si>
  <si>
    <t>IDO</t>
  </si>
  <si>
    <t>SANTA ISABEL</t>
  </si>
  <si>
    <t>BRIGI</t>
  </si>
  <si>
    <t>IGI</t>
  </si>
  <si>
    <t>ITAGUAI</t>
  </si>
  <si>
    <t>BRIGU</t>
  </si>
  <si>
    <t>IGU</t>
  </si>
  <si>
    <t>IGUASSU FALLS - PR</t>
  </si>
  <si>
    <t>BRIJU</t>
  </si>
  <si>
    <t>IJU</t>
  </si>
  <si>
    <t>IJUI - RS</t>
  </si>
  <si>
    <t>BRIMP</t>
  </si>
  <si>
    <t>IMP</t>
  </si>
  <si>
    <t>IMPERATRIZ - MA</t>
  </si>
  <si>
    <t>BRIOA</t>
  </si>
  <si>
    <t>IOA</t>
  </si>
  <si>
    <t>ITAPOA</t>
  </si>
  <si>
    <t>BRIOS</t>
  </si>
  <si>
    <t>IOS</t>
  </si>
  <si>
    <t>ILHEUS - BA</t>
  </si>
  <si>
    <t>BRIPN</t>
  </si>
  <si>
    <t>IPN</t>
  </si>
  <si>
    <t>IPATINGA</t>
  </si>
  <si>
    <t>BRIRE</t>
  </si>
  <si>
    <t>IRE</t>
  </si>
  <si>
    <t>IRECE</t>
  </si>
  <si>
    <t>BRITA</t>
  </si>
  <si>
    <t>ITA</t>
  </si>
  <si>
    <t>ITACOATIARA</t>
  </si>
  <si>
    <t>BRITB</t>
  </si>
  <si>
    <t>ITB</t>
  </si>
  <si>
    <t>ITAITUBA PARA</t>
  </si>
  <si>
    <t>BRITI</t>
  </si>
  <si>
    <t>ITI</t>
  </si>
  <si>
    <t>ITAMBACURI</t>
  </si>
  <si>
    <t>BRITJ</t>
  </si>
  <si>
    <t>ITJ</t>
  </si>
  <si>
    <t>ITAJAI - SC</t>
  </si>
  <si>
    <t>BRITN</t>
  </si>
  <si>
    <t>ITN</t>
  </si>
  <si>
    <t>ITABUNA - BA</t>
  </si>
  <si>
    <t>BRITQ</t>
  </si>
  <si>
    <t>ITQ</t>
  </si>
  <si>
    <t>ITAQUI/SAO LUIZ</t>
  </si>
  <si>
    <t>BRJCB</t>
  </si>
  <si>
    <t>JCB</t>
  </si>
  <si>
    <t>JOACABA - SC</t>
  </si>
  <si>
    <t>BRJCM</t>
  </si>
  <si>
    <t>JCM</t>
  </si>
  <si>
    <t>JACOBINA</t>
  </si>
  <si>
    <t>BRJCR</t>
  </si>
  <si>
    <t>JCR</t>
  </si>
  <si>
    <t>JACAREACANGA</t>
  </si>
  <si>
    <t>BRJDF</t>
  </si>
  <si>
    <t>JDF</t>
  </si>
  <si>
    <t>JUIZ DE FORA - MG</t>
  </si>
  <si>
    <t>BRJDO</t>
  </si>
  <si>
    <t>JDO</t>
  </si>
  <si>
    <t>JUAZEIRO DO NORTE -CE</t>
  </si>
  <si>
    <t>BRJEQ</t>
  </si>
  <si>
    <t>JEQ</t>
  </si>
  <si>
    <t>JEQUIE</t>
  </si>
  <si>
    <t>BRJLS</t>
  </si>
  <si>
    <t>JLS</t>
  </si>
  <si>
    <t>JALES</t>
  </si>
  <si>
    <t>BRJOI</t>
  </si>
  <si>
    <t>JOI</t>
  </si>
  <si>
    <t>JOINVILLE - SC</t>
  </si>
  <si>
    <t>BRJPA</t>
  </si>
  <si>
    <t>JPA</t>
  </si>
  <si>
    <t>JOAO PESSOA - PB</t>
  </si>
  <si>
    <t>BRJPR</t>
  </si>
  <si>
    <t>JPR</t>
  </si>
  <si>
    <t>JI-PARANA</t>
  </si>
  <si>
    <t>BRJUA</t>
  </si>
  <si>
    <t>JUA</t>
  </si>
  <si>
    <t>JUARA</t>
  </si>
  <si>
    <t>BRLAJ</t>
  </si>
  <si>
    <t>LAJ</t>
  </si>
  <si>
    <t>LAJES - SC</t>
  </si>
  <si>
    <t>BRLAZ</t>
  </si>
  <si>
    <t>LAZ</t>
  </si>
  <si>
    <t>BOM JESUS LAP</t>
  </si>
  <si>
    <t>BRLBR</t>
  </si>
  <si>
    <t>LBR</t>
  </si>
  <si>
    <t>LABREA</t>
  </si>
  <si>
    <t>BRLDB</t>
  </si>
  <si>
    <t>LDB</t>
  </si>
  <si>
    <t>LONDRINA - PR</t>
  </si>
  <si>
    <t>BRLVB</t>
  </si>
  <si>
    <t>LVB</t>
  </si>
  <si>
    <t>LIVRAMENTO - RS</t>
  </si>
  <si>
    <t>BRMAB</t>
  </si>
  <si>
    <t>MAB</t>
  </si>
  <si>
    <t>MARABA - PA</t>
  </si>
  <si>
    <t>BRMAO</t>
  </si>
  <si>
    <t>MAO</t>
  </si>
  <si>
    <t>MANAUS - AM</t>
  </si>
  <si>
    <t>BRMBZ</t>
  </si>
  <si>
    <t>MBZ</t>
  </si>
  <si>
    <t>MAUES</t>
  </si>
  <si>
    <t>BRMCP</t>
  </si>
  <si>
    <t>MCP</t>
  </si>
  <si>
    <t>MACAPA - AP</t>
  </si>
  <si>
    <t>BRMCU</t>
  </si>
  <si>
    <t>MCU</t>
  </si>
  <si>
    <t>MACAU - RN</t>
  </si>
  <si>
    <t>BRMCZ</t>
  </si>
  <si>
    <t>MCZ</t>
  </si>
  <si>
    <t>MACEIO - AL</t>
  </si>
  <si>
    <t>BRMEA</t>
  </si>
  <si>
    <t>MEA</t>
  </si>
  <si>
    <t>MACAE - RJ</t>
  </si>
  <si>
    <t>BRMEU</t>
  </si>
  <si>
    <t>MEU</t>
  </si>
  <si>
    <t>MONTE DOURADO</t>
  </si>
  <si>
    <t>BRMGF</t>
  </si>
  <si>
    <t>MGF</t>
  </si>
  <si>
    <t>MARINGA - PR</t>
  </si>
  <si>
    <t>BRMGU</t>
  </si>
  <si>
    <t>MGU</t>
  </si>
  <si>
    <t>MUNGUBA</t>
  </si>
  <si>
    <t>BRMII</t>
  </si>
  <si>
    <t>MII</t>
  </si>
  <si>
    <t>MARILIA</t>
  </si>
  <si>
    <t>BRMNX</t>
  </si>
  <si>
    <t>MNX</t>
  </si>
  <si>
    <t>MANICORE</t>
  </si>
  <si>
    <t>BRMOC</t>
  </si>
  <si>
    <t>MOC</t>
  </si>
  <si>
    <t>MONTES CLAROS - MG</t>
  </si>
  <si>
    <t>BRMTE</t>
  </si>
  <si>
    <t>MTE</t>
  </si>
  <si>
    <t>MONTE ALEGRE - PA</t>
  </si>
  <si>
    <t>BRMTG</t>
  </si>
  <si>
    <t>MTG</t>
  </si>
  <si>
    <t>MATO GROSSO</t>
  </si>
  <si>
    <t>BRMVF</t>
  </si>
  <si>
    <t>MVF</t>
  </si>
  <si>
    <t>MOSSORO - RN</t>
  </si>
  <si>
    <t>BRNAT</t>
  </si>
  <si>
    <t>NAT</t>
  </si>
  <si>
    <t>NATAL - RN</t>
  </si>
  <si>
    <t>BRNBV</t>
  </si>
  <si>
    <t>NBV</t>
  </si>
  <si>
    <t>CANA BRAVA</t>
  </si>
  <si>
    <t>BRNNU</t>
  </si>
  <si>
    <t>NNU</t>
  </si>
  <si>
    <t>NANUQUE</t>
  </si>
  <si>
    <t>BRNQL</t>
  </si>
  <si>
    <t>NQL</t>
  </si>
  <si>
    <t>NIQUELANDIA</t>
  </si>
  <si>
    <t>BRNTR</t>
  </si>
  <si>
    <t>NTR</t>
  </si>
  <si>
    <t>NITEROI - RJ</t>
  </si>
  <si>
    <t>BRNVP</t>
  </si>
  <si>
    <t>NVP</t>
  </si>
  <si>
    <t>NOVO ARIPUANA</t>
  </si>
  <si>
    <t>BRNVT</t>
  </si>
  <si>
    <t>NVT</t>
  </si>
  <si>
    <t>NAVEGANTES - SC</t>
  </si>
  <si>
    <t>BROBI</t>
  </si>
  <si>
    <t>OBI</t>
  </si>
  <si>
    <t>OBIDOS - PA</t>
  </si>
  <si>
    <t>BROPS</t>
  </si>
  <si>
    <t>OPS</t>
  </si>
  <si>
    <t>SINOP</t>
  </si>
  <si>
    <t>BROUS</t>
  </si>
  <si>
    <t>OUS</t>
  </si>
  <si>
    <t>OURINHOS</t>
  </si>
  <si>
    <t>BROYK</t>
  </si>
  <si>
    <t>OYK</t>
  </si>
  <si>
    <t>OIAPOQUE</t>
  </si>
  <si>
    <t>BRPAV</t>
  </si>
  <si>
    <t>PAV</t>
  </si>
  <si>
    <t>PAULO AFONSO - BA</t>
  </si>
  <si>
    <t>BRPBQ</t>
  </si>
  <si>
    <t>PBQ</t>
  </si>
  <si>
    <t>PIMENTA BUENO</t>
  </si>
  <si>
    <t>BRPCL</t>
  </si>
  <si>
    <t>PCL</t>
  </si>
  <si>
    <t>PORTOCEL</t>
  </si>
  <si>
    <t>BRPCS</t>
  </si>
  <si>
    <t>PCS</t>
  </si>
  <si>
    <t>PICOS</t>
  </si>
  <si>
    <t>BRPEC</t>
  </si>
  <si>
    <t>PEC</t>
  </si>
  <si>
    <t>PECEM</t>
  </si>
  <si>
    <t>BRPET</t>
  </si>
  <si>
    <t>PET</t>
  </si>
  <si>
    <t>PELOTAS - RS</t>
  </si>
  <si>
    <t>BRPFB</t>
  </si>
  <si>
    <t>PFB</t>
  </si>
  <si>
    <t>PASSO FUNDO - RS</t>
  </si>
  <si>
    <t>BRPGZ</t>
  </si>
  <si>
    <t>PGZ</t>
  </si>
  <si>
    <t>PONTA GROSSA - PR</t>
  </si>
  <si>
    <t>BRPHB</t>
  </si>
  <si>
    <t>PHB</t>
  </si>
  <si>
    <t>PARNAIBA</t>
  </si>
  <si>
    <t>BRPHI</t>
  </si>
  <si>
    <t>PHI</t>
  </si>
  <si>
    <t>PINHEIRO - MA</t>
  </si>
  <si>
    <t>BRPIN</t>
  </si>
  <si>
    <t>PIN</t>
  </si>
  <si>
    <t>PARINTINS</t>
  </si>
  <si>
    <t>BRPLU</t>
  </si>
  <si>
    <t>PLU</t>
  </si>
  <si>
    <t>PAMPULHA</t>
  </si>
  <si>
    <t>BRPMA</t>
  </si>
  <si>
    <t>PMA</t>
  </si>
  <si>
    <t>PONTA DA MADEIRA</t>
  </si>
  <si>
    <t>BRPMG</t>
  </si>
  <si>
    <t>PMG</t>
  </si>
  <si>
    <t>PONTA PORA</t>
  </si>
  <si>
    <t>BRPNB</t>
  </si>
  <si>
    <t>PNB</t>
  </si>
  <si>
    <t>PORTO NACIONAL</t>
  </si>
  <si>
    <t>BRPNG</t>
  </si>
  <si>
    <t>PNG</t>
  </si>
  <si>
    <t>PARANAGUA - PR</t>
  </si>
  <si>
    <t>BRPNZ</t>
  </si>
  <si>
    <t>PNZ</t>
  </si>
  <si>
    <t>PETROLINA</t>
  </si>
  <si>
    <t>BRPOA</t>
  </si>
  <si>
    <t>POA</t>
  </si>
  <si>
    <t>PORTO ALEGRE - RS</t>
  </si>
  <si>
    <t>BRPOO</t>
  </si>
  <si>
    <t>POO</t>
  </si>
  <si>
    <t>POCOS DE CALD</t>
  </si>
  <si>
    <t>BRPOU</t>
  </si>
  <si>
    <t>POU</t>
  </si>
  <si>
    <t>PONTA DO UBU</t>
  </si>
  <si>
    <t>BRPPB</t>
  </si>
  <si>
    <t>PPB</t>
  </si>
  <si>
    <t>PRES. PRUDENTE - SP</t>
  </si>
  <si>
    <t>BRPPY</t>
  </si>
  <si>
    <t>PPY</t>
  </si>
  <si>
    <t>POUSO ALEGRE - MG</t>
  </si>
  <si>
    <t>BRPRM</t>
  </si>
  <si>
    <t>PRM</t>
  </si>
  <si>
    <t>PRAIA MOLE</t>
  </si>
  <si>
    <t>BRPSW</t>
  </si>
  <si>
    <t>PSW</t>
  </si>
  <si>
    <t>PASSOS - MG</t>
  </si>
  <si>
    <t>BRPTO</t>
  </si>
  <si>
    <t>PTO</t>
  </si>
  <si>
    <t>PATO BRANCO - PR</t>
  </si>
  <si>
    <t>BRPVH</t>
  </si>
  <si>
    <t>PVH</t>
  </si>
  <si>
    <t>PORTO VELHO - RO</t>
  </si>
  <si>
    <t>BRPVI</t>
  </si>
  <si>
    <t>PVI</t>
  </si>
  <si>
    <t>PARANAVAI - PR</t>
  </si>
  <si>
    <t>BRQAB</t>
  </si>
  <si>
    <t>QAB</t>
  </si>
  <si>
    <t>BRUSQUE - SC</t>
  </si>
  <si>
    <t>BRQAD</t>
  </si>
  <si>
    <t>QAD</t>
  </si>
  <si>
    <t>GUARAPUAVA - PR</t>
  </si>
  <si>
    <t>BRQAH</t>
  </si>
  <si>
    <t>QAH</t>
  </si>
  <si>
    <t>ALCANTARA - RJ</t>
  </si>
  <si>
    <t>BRQAU</t>
  </si>
  <si>
    <t>QAU</t>
  </si>
  <si>
    <t>BEBEDOURO - SP</t>
  </si>
  <si>
    <t>BRQAV</t>
  </si>
  <si>
    <t>QAV</t>
  </si>
  <si>
    <t>BENJAMIN CONSTANT -AM</t>
  </si>
  <si>
    <t>BRQBD</t>
  </si>
  <si>
    <t>QBD</t>
  </si>
  <si>
    <t>BARRA DO PIRAI - RJ</t>
  </si>
  <si>
    <t>BRQBN</t>
  </si>
  <si>
    <t>QBN</t>
  </si>
  <si>
    <t>BARRA MANSA - RJ</t>
  </si>
  <si>
    <t>BRQBX</t>
  </si>
  <si>
    <t>QBX</t>
  </si>
  <si>
    <t>SOBRAL - CE</t>
  </si>
  <si>
    <t>BRQCC</t>
  </si>
  <si>
    <t>QCC</t>
  </si>
  <si>
    <t>CAMACARI - BA</t>
  </si>
  <si>
    <t>BRQCD</t>
  </si>
  <si>
    <t>QCD</t>
  </si>
  <si>
    <t>CAMPO BOM - RS</t>
  </si>
  <si>
    <t>BRQCF</t>
  </si>
  <si>
    <t>QCF</t>
  </si>
  <si>
    <t>BIRIGUI - SP</t>
  </si>
  <si>
    <t>BRQCG</t>
  </si>
  <si>
    <t>QCG</t>
  </si>
  <si>
    <t>CATAGUAZES - MG</t>
  </si>
  <si>
    <t>BRQCJ</t>
  </si>
  <si>
    <t>QCJ</t>
  </si>
  <si>
    <t>BOTUCATU - SP</t>
  </si>
  <si>
    <t>BRQCK</t>
  </si>
  <si>
    <t>QCK</t>
  </si>
  <si>
    <t>CABO FRIO - RJ</t>
  </si>
  <si>
    <t>BRQCN</t>
  </si>
  <si>
    <t>QCN</t>
  </si>
  <si>
    <t>CANELA - RS</t>
  </si>
  <si>
    <t>BRQCP</t>
  </si>
  <si>
    <t>QCP</t>
  </si>
  <si>
    <t>CURRAIS NOVOS - RN</t>
  </si>
  <si>
    <t>BRQCV</t>
  </si>
  <si>
    <t>QCV</t>
  </si>
  <si>
    <t>GUARULHOS - SP</t>
  </si>
  <si>
    <t>BRQCX</t>
  </si>
  <si>
    <t>QCX</t>
  </si>
  <si>
    <t>SAO CAETANO DO SUL -SP</t>
  </si>
  <si>
    <t>BRQDB</t>
  </si>
  <si>
    <t>QDB</t>
  </si>
  <si>
    <t>CACHOEIRA DO SUL - RS</t>
  </si>
  <si>
    <t>BRQDC</t>
  </si>
  <si>
    <t>QDC</t>
  </si>
  <si>
    <t>DRACENA - SP</t>
  </si>
  <si>
    <t>BRQDF</t>
  </si>
  <si>
    <t>QDF</t>
  </si>
  <si>
    <t>CONSELHEIRO LAFAIETE- MG</t>
  </si>
  <si>
    <t>BRQDL</t>
  </si>
  <si>
    <t>QDL</t>
  </si>
  <si>
    <t>GUARAPARI - ES</t>
  </si>
  <si>
    <t>BRQDO</t>
  </si>
  <si>
    <t>QDO</t>
  </si>
  <si>
    <t>ICOARACI - PA</t>
  </si>
  <si>
    <t>BRQDP</t>
  </si>
  <si>
    <t>QDP</t>
  </si>
  <si>
    <t>DOM PEDRITO - RS</t>
  </si>
  <si>
    <t>BRQDQ</t>
  </si>
  <si>
    <t>QDQ</t>
  </si>
  <si>
    <t>DUQUE DE CAXIAS - RJ</t>
  </si>
  <si>
    <t>BRQGA</t>
  </si>
  <si>
    <t>QGA</t>
  </si>
  <si>
    <t>GUAIRA - PR</t>
  </si>
  <si>
    <t>BRQGC</t>
  </si>
  <si>
    <t>QGC</t>
  </si>
  <si>
    <t>LENCOIS PAULISTA - SP</t>
  </si>
  <si>
    <t>BRQGF</t>
  </si>
  <si>
    <t>QGF</t>
  </si>
  <si>
    <t>MONTENEGRO - RS</t>
  </si>
  <si>
    <t>BRQGR</t>
  </si>
  <si>
    <t>QGR</t>
  </si>
  <si>
    <t>BRQHB</t>
  </si>
  <si>
    <t>QHB</t>
  </si>
  <si>
    <t>PIRACICABA - SP</t>
  </si>
  <si>
    <t>BRQHE</t>
  </si>
  <si>
    <t>QHE</t>
  </si>
  <si>
    <t>SAO BENTO DO SUL - SC</t>
  </si>
  <si>
    <t>BRQHF</t>
  </si>
  <si>
    <t>QHF</t>
  </si>
  <si>
    <t>SAO SEBASTIAO DO CAI- RS</t>
  </si>
  <si>
    <t>BRQHG</t>
  </si>
  <si>
    <t>QHG</t>
  </si>
  <si>
    <t>SETE LAGOAS - MG</t>
  </si>
  <si>
    <t>BRQHL</t>
  </si>
  <si>
    <t>QHL</t>
  </si>
  <si>
    <t>CASTANHAL - PA</t>
  </si>
  <si>
    <t>BRQHT</t>
  </si>
  <si>
    <t>QHT</t>
  </si>
  <si>
    <t>TEREZOPOLIS - RJ</t>
  </si>
  <si>
    <t>BRQHV</t>
  </si>
  <si>
    <t>QHV</t>
  </si>
  <si>
    <t>NOVO HAMBURGO - RS</t>
  </si>
  <si>
    <t>BRQID</t>
  </si>
  <si>
    <t>QID</t>
  </si>
  <si>
    <t>TRES CORACOES - MG</t>
  </si>
  <si>
    <t>BRQIG</t>
  </si>
  <si>
    <t>QIG</t>
  </si>
  <si>
    <t>IGUATU - CE</t>
  </si>
  <si>
    <t>BRQIH</t>
  </si>
  <si>
    <t>QIH</t>
  </si>
  <si>
    <t>TRES RIOS - RJ</t>
  </si>
  <si>
    <t>BRQJA</t>
  </si>
  <si>
    <t>QJA</t>
  </si>
  <si>
    <t>JARAGUA DO SUL - SC</t>
  </si>
  <si>
    <t>BRQJO</t>
  </si>
  <si>
    <t>QJO</t>
  </si>
  <si>
    <t>CAMPOS DO JORDAO - SP</t>
  </si>
  <si>
    <t>BRQLB</t>
  </si>
  <si>
    <t>QLB</t>
  </si>
  <si>
    <t>LAJEADO - RS</t>
  </si>
  <si>
    <t>BRQLL</t>
  </si>
  <si>
    <t>QLL</t>
  </si>
  <si>
    <t>SAO LEOPOLDO - RS</t>
  </si>
  <si>
    <t>BRQMF</t>
  </si>
  <si>
    <t>QMF</t>
  </si>
  <si>
    <t>MAFRA - SC</t>
  </si>
  <si>
    <t>BRQMI</t>
  </si>
  <si>
    <t>QMI</t>
  </si>
  <si>
    <t>MOGI DAS CRUZES - SP</t>
  </si>
  <si>
    <t>BRQNE</t>
  </si>
  <si>
    <t>QNE</t>
  </si>
  <si>
    <t>RIO NEGRINHO - SC</t>
  </si>
  <si>
    <t>BRQNS</t>
  </si>
  <si>
    <t>QNS</t>
  </si>
  <si>
    <t>CANOAS - RS</t>
  </si>
  <si>
    <t>BRQOC</t>
  </si>
  <si>
    <t>QOC</t>
  </si>
  <si>
    <t>OSASCO - SP</t>
  </si>
  <si>
    <t>BRQPE</t>
  </si>
  <si>
    <t>QPE</t>
  </si>
  <si>
    <t>PETROPOLIS - RJ</t>
  </si>
  <si>
    <t>BRQPS</t>
  </si>
  <si>
    <t>QPS</t>
  </si>
  <si>
    <t>PIRASSUNUNGA - SP</t>
  </si>
  <si>
    <t>BRQRP</t>
  </si>
  <si>
    <t>QRP</t>
  </si>
  <si>
    <t>GRAMADO - RS</t>
  </si>
  <si>
    <t>BRQRU</t>
  </si>
  <si>
    <t>QRU</t>
  </si>
  <si>
    <t>RIO DO SUL - SC</t>
  </si>
  <si>
    <t>BRQRZ</t>
  </si>
  <si>
    <t>QRZ</t>
  </si>
  <si>
    <t>RESENDE - RJ</t>
  </si>
  <si>
    <t>BRQSB</t>
  </si>
  <si>
    <t>QSB</t>
  </si>
  <si>
    <t>SAO BERNARDO DO CAMPO - SP</t>
  </si>
  <si>
    <t>BRQSC</t>
  </si>
  <si>
    <t>QSC</t>
  </si>
  <si>
    <t>SAO CARLOS - SP</t>
  </si>
  <si>
    <t>BRQSD</t>
  </si>
  <si>
    <t>QSD</t>
  </si>
  <si>
    <t>SAO GONCALO - RJ</t>
  </si>
  <si>
    <t>BRQSE</t>
  </si>
  <si>
    <t>QSE</t>
  </si>
  <si>
    <t>SANTO ANDRE - SP</t>
  </si>
  <si>
    <t>BRQSJ</t>
  </si>
  <si>
    <t>QSJ</t>
  </si>
  <si>
    <t>SAO JOAO DEL REI - MG</t>
  </si>
  <si>
    <t>BRQVB</t>
  </si>
  <si>
    <t>QVB</t>
  </si>
  <si>
    <t>UNIAO DA VITORIA - PR</t>
  </si>
  <si>
    <t>BRQVR</t>
  </si>
  <si>
    <t>QVR</t>
  </si>
  <si>
    <t>VOLTA REDONDA - RJ</t>
  </si>
  <si>
    <t>BRRAO</t>
  </si>
  <si>
    <t>RAO</t>
  </si>
  <si>
    <t>RIBEIRAO PRETO - SP</t>
  </si>
  <si>
    <t>BRRBB</t>
  </si>
  <si>
    <t>RBB</t>
  </si>
  <si>
    <t>BORBA</t>
  </si>
  <si>
    <t>BRRBR</t>
  </si>
  <si>
    <t>RBR</t>
  </si>
  <si>
    <t>RIO BRANCO - AC</t>
  </si>
  <si>
    <t>BRREC</t>
  </si>
  <si>
    <t>REC</t>
  </si>
  <si>
    <t>RECIFE - PE</t>
  </si>
  <si>
    <t>BRRIA</t>
  </si>
  <si>
    <t>RIA</t>
  </si>
  <si>
    <t>SANTA MARIA - RS</t>
  </si>
  <si>
    <t>BRRIG</t>
  </si>
  <si>
    <t>RIG</t>
  </si>
  <si>
    <t>RIO GRANDE - RS</t>
  </si>
  <si>
    <t>BRRIO</t>
  </si>
  <si>
    <t>RIO</t>
  </si>
  <si>
    <t>RIO DE JANEIRO - RJ</t>
  </si>
  <si>
    <t>BRROO</t>
  </si>
  <si>
    <t>ROO</t>
  </si>
  <si>
    <t>RONDONOPOLIS</t>
  </si>
  <si>
    <t>BRRRN</t>
  </si>
  <si>
    <t>RRN</t>
  </si>
  <si>
    <t>SERRA NORTE</t>
  </si>
  <si>
    <t>BRSAO</t>
  </si>
  <si>
    <t>SAO</t>
  </si>
  <si>
    <t>SAO PAULO - SP</t>
  </si>
  <si>
    <t>BRSDU</t>
  </si>
  <si>
    <t>SDU</t>
  </si>
  <si>
    <t>RIO DE JANEIRO-SANTOS DUMONT APT</t>
  </si>
  <si>
    <t>BRSEI</t>
  </si>
  <si>
    <t>SEI</t>
  </si>
  <si>
    <t>SENHOR DO BON</t>
  </si>
  <si>
    <t>BRSFS</t>
  </si>
  <si>
    <t>SFS</t>
  </si>
  <si>
    <t>SAO FRANCISCO DO SUL- SC</t>
  </si>
  <si>
    <t>BRSFV</t>
  </si>
  <si>
    <t>SFV</t>
  </si>
  <si>
    <t>SANTA FE DO</t>
  </si>
  <si>
    <t>BRSJK</t>
  </si>
  <si>
    <t>SJK</t>
  </si>
  <si>
    <t>SAO JOSE DOS CAMPOS</t>
  </si>
  <si>
    <t>BRSJL</t>
  </si>
  <si>
    <t>SJL</t>
  </si>
  <si>
    <t>SAO GABRIEL</t>
  </si>
  <si>
    <t>BRSJP</t>
  </si>
  <si>
    <t>SJP</t>
  </si>
  <si>
    <t>SAO JOSE R PR</t>
  </si>
  <si>
    <t>BRSLZ</t>
  </si>
  <si>
    <t>SLZ</t>
  </si>
  <si>
    <t>SAO LUIS - MA</t>
  </si>
  <si>
    <t>BRSNZ</t>
  </si>
  <si>
    <t>SNZ</t>
  </si>
  <si>
    <t>BRSOD</t>
  </si>
  <si>
    <t>SOD</t>
  </si>
  <si>
    <t>SOROCABA</t>
  </si>
  <si>
    <t>BRSPB</t>
  </si>
  <si>
    <t>SEPETIBA - BAHIA DE</t>
  </si>
  <si>
    <t>BRSQM</t>
  </si>
  <si>
    <t>SQM</t>
  </si>
  <si>
    <t>SAO MIGUEL DO</t>
  </si>
  <si>
    <t>BRSRA</t>
  </si>
  <si>
    <t>SRA</t>
  </si>
  <si>
    <t>BRSSA</t>
  </si>
  <si>
    <t>SSA</t>
  </si>
  <si>
    <t>SALVADOR - BA</t>
  </si>
  <si>
    <t>BRSSO</t>
  </si>
  <si>
    <t>SSO</t>
  </si>
  <si>
    <t>SAO SEBASTIAO - SP</t>
  </si>
  <si>
    <t>BRSSZ</t>
  </si>
  <si>
    <t>SSZ</t>
  </si>
  <si>
    <t>SANTOS - SP</t>
  </si>
  <si>
    <t>BRSTM</t>
  </si>
  <si>
    <t>STM</t>
  </si>
  <si>
    <t>SANTAREM - PA</t>
  </si>
  <si>
    <t>BRSTZ</t>
  </si>
  <si>
    <t>STZ</t>
  </si>
  <si>
    <t>SANTA TEREZINHA</t>
  </si>
  <si>
    <t>BRSUA</t>
  </si>
  <si>
    <t>SUA</t>
  </si>
  <si>
    <t>SUAPE</t>
  </si>
  <si>
    <t>BRSWM</t>
  </si>
  <si>
    <t>SWM</t>
  </si>
  <si>
    <t>SUIA-MISSU</t>
  </si>
  <si>
    <t>BRSXO</t>
  </si>
  <si>
    <t>SXO</t>
  </si>
  <si>
    <t>SAO FELIX DO</t>
  </si>
  <si>
    <t>BRTBT</t>
  </si>
  <si>
    <t>TBT</t>
  </si>
  <si>
    <t>TABATINGA - AM</t>
  </si>
  <si>
    <t>BRTFF</t>
  </si>
  <si>
    <t>TFF</t>
  </si>
  <si>
    <t>TEFE - AM</t>
  </si>
  <si>
    <t>BRTHE</t>
  </si>
  <si>
    <t>TERESINA</t>
  </si>
  <si>
    <t>BRTLZ</t>
  </si>
  <si>
    <t>TLZ</t>
  </si>
  <si>
    <t>CATALAO</t>
  </si>
  <si>
    <t>BRTMT</t>
  </si>
  <si>
    <t>TMT</t>
  </si>
  <si>
    <t>TROMBETAS</t>
  </si>
  <si>
    <t>BRTOW</t>
  </si>
  <si>
    <t>TOW</t>
  </si>
  <si>
    <t>TOLEDO - PR</t>
  </si>
  <si>
    <t>BRTRM</t>
  </si>
  <si>
    <t>TRM</t>
  </si>
  <si>
    <t>TRAMANDAI - RS</t>
  </si>
  <si>
    <t>BRTUB</t>
  </si>
  <si>
    <t>TUB</t>
  </si>
  <si>
    <t>TUBARAO - SC</t>
  </si>
  <si>
    <t>BRTUR</t>
  </si>
  <si>
    <t>TUR</t>
  </si>
  <si>
    <t>TUCURUI</t>
  </si>
  <si>
    <t>BRUBA</t>
  </si>
  <si>
    <t>UBA</t>
  </si>
  <si>
    <t>UBERABA - MG</t>
  </si>
  <si>
    <t>BRUBT</t>
  </si>
  <si>
    <t>UBT</t>
  </si>
  <si>
    <t>UBATUBA - SP</t>
  </si>
  <si>
    <t>BRUDI</t>
  </si>
  <si>
    <t>UDI</t>
  </si>
  <si>
    <t>UBERLANDIA - MG</t>
  </si>
  <si>
    <t>BRUMU</t>
  </si>
  <si>
    <t>UMU</t>
  </si>
  <si>
    <t>UMUARAMA - PR</t>
  </si>
  <si>
    <t>BRURB</t>
  </si>
  <si>
    <t>URB</t>
  </si>
  <si>
    <t>URUBUPUNGA</t>
  </si>
  <si>
    <t>BRURG</t>
  </si>
  <si>
    <t>URG</t>
  </si>
  <si>
    <t>URUGUAIANA - RS</t>
  </si>
  <si>
    <t>BRVAG</t>
  </si>
  <si>
    <t>VAG</t>
  </si>
  <si>
    <t>VARGINHA</t>
  </si>
  <si>
    <t>BRVCP</t>
  </si>
  <si>
    <t>VCP</t>
  </si>
  <si>
    <t>SAO PAULO-VIRACOPOSAPT</t>
  </si>
  <si>
    <t>BRVDC</t>
  </si>
  <si>
    <t>VDC</t>
  </si>
  <si>
    <t>VITORIA DA CONQUISTA</t>
  </si>
  <si>
    <t>BRVIX</t>
  </si>
  <si>
    <t>VIX</t>
  </si>
  <si>
    <t>VITORIA - ES</t>
  </si>
  <si>
    <t>BRVLC</t>
  </si>
  <si>
    <t>VLC</t>
  </si>
  <si>
    <t>VILA DO CONDE</t>
  </si>
  <si>
    <t>BRVOT</t>
  </si>
  <si>
    <t>VOT</t>
  </si>
  <si>
    <t>VOTUPORANGA - SP</t>
  </si>
  <si>
    <t>BRXAP</t>
  </si>
  <si>
    <t>XAP</t>
  </si>
  <si>
    <t>CHAPECO - SC</t>
  </si>
  <si>
    <t>BRZMD</t>
  </si>
  <si>
    <t>ZMD</t>
  </si>
  <si>
    <t>SENA MADUREIRA</t>
  </si>
  <si>
    <t>BRZZZ</t>
  </si>
  <si>
    <t>BOCA DO ACRE</t>
  </si>
  <si>
    <t>BCR</t>
  </si>
  <si>
    <t>CAMETA</t>
  </si>
  <si>
    <t>CMT</t>
  </si>
  <si>
    <t>PARANAIBA</t>
  </si>
  <si>
    <t>PBB</t>
  </si>
  <si>
    <t>BAHAMAS</t>
  </si>
  <si>
    <t>バハマ</t>
  </si>
  <si>
    <t>BSACL</t>
  </si>
  <si>
    <t>BS</t>
  </si>
  <si>
    <t>ACL</t>
  </si>
  <si>
    <t>ACKLIN</t>
  </si>
  <si>
    <t>BSASD</t>
  </si>
  <si>
    <t>ASD</t>
  </si>
  <si>
    <t>ANDROS TOWN - ANDROSISLAND</t>
  </si>
  <si>
    <t>BSATC</t>
  </si>
  <si>
    <t>ATC</t>
  </si>
  <si>
    <t>ARTHUR'S TOWN - CATISLAND</t>
  </si>
  <si>
    <t>BSBIM</t>
  </si>
  <si>
    <t>BIM</t>
  </si>
  <si>
    <t>BIMINI</t>
  </si>
  <si>
    <t>BSCAT</t>
  </si>
  <si>
    <t>CAT</t>
  </si>
  <si>
    <t>CAT ISLAND</t>
  </si>
  <si>
    <t>BSCCZ</t>
  </si>
  <si>
    <t>CCZ</t>
  </si>
  <si>
    <t>CHUB CAY - BERRY ISLANDS</t>
  </si>
  <si>
    <t>BSCEL</t>
  </si>
  <si>
    <t>CEL</t>
  </si>
  <si>
    <t>CAPE ELEUTHERA - ELEUTHERA</t>
  </si>
  <si>
    <t>BSCOX</t>
  </si>
  <si>
    <t>COX</t>
  </si>
  <si>
    <t>CONGO TOWN - ANDROSISLAND</t>
  </si>
  <si>
    <t>BSCRI</t>
  </si>
  <si>
    <t>CRI</t>
  </si>
  <si>
    <t>CROOKED ISLAND</t>
  </si>
  <si>
    <t>BSCXY</t>
  </si>
  <si>
    <t>CXY</t>
  </si>
  <si>
    <t>CAT CAYS</t>
  </si>
  <si>
    <t>BSELH</t>
  </si>
  <si>
    <t>ELH</t>
  </si>
  <si>
    <t>NORTH ELEUTHERA</t>
  </si>
  <si>
    <t>BSFPO</t>
  </si>
  <si>
    <t>FPO</t>
  </si>
  <si>
    <t>FREEPORT - GRAND BAHAMA</t>
  </si>
  <si>
    <t>BSGBI</t>
  </si>
  <si>
    <t>GBI</t>
  </si>
  <si>
    <t>GRAND BAHAMA</t>
  </si>
  <si>
    <t>BSGGT</t>
  </si>
  <si>
    <t>GGT</t>
  </si>
  <si>
    <t>GEORGE TOWN - GREATEXUMA ISLAND</t>
  </si>
  <si>
    <t>BSGHB</t>
  </si>
  <si>
    <t>GHB</t>
  </si>
  <si>
    <t>GOVERNORS HARBOUR -ELEUTHERA</t>
  </si>
  <si>
    <t>BSGHC</t>
  </si>
  <si>
    <t>GHC</t>
  </si>
  <si>
    <t>GREAT HARBOUR CAY -BERRY ISLAND</t>
  </si>
  <si>
    <t>BSGTC</t>
  </si>
  <si>
    <t>GTC</t>
  </si>
  <si>
    <t>GREEN TURTLE CAY-GREAT ABACO ISLAND</t>
  </si>
  <si>
    <t>BSHBI</t>
  </si>
  <si>
    <t>HARBOUR ISLAND - ELEUTHERA</t>
  </si>
  <si>
    <t>BSIGA</t>
  </si>
  <si>
    <t>IGA</t>
  </si>
  <si>
    <t>INAGUA</t>
  </si>
  <si>
    <t>BSLGI</t>
  </si>
  <si>
    <t>LGI</t>
  </si>
  <si>
    <t>DEADMANS CAY - LONGISLAND</t>
  </si>
  <si>
    <t>BSMHH</t>
  </si>
  <si>
    <t>MHH</t>
  </si>
  <si>
    <t>MARSH HARBOUR - GREAT ABACO ISLAND</t>
  </si>
  <si>
    <t>BSMYG</t>
  </si>
  <si>
    <t>MYG</t>
  </si>
  <si>
    <t>MAYAGUANA ISLAND</t>
  </si>
  <si>
    <t>BSNAS</t>
  </si>
  <si>
    <t>NAS</t>
  </si>
  <si>
    <t>NASSAU - NEW PROVIDENCE ISLAND</t>
  </si>
  <si>
    <t>BSNMC</t>
  </si>
  <si>
    <t>NMC</t>
  </si>
  <si>
    <t>NORMAN'S CAY</t>
  </si>
  <si>
    <t>BSPPO</t>
  </si>
  <si>
    <t>PPO</t>
  </si>
  <si>
    <t>POWELL POINT</t>
  </si>
  <si>
    <t>BSRSD</t>
  </si>
  <si>
    <t>RSD</t>
  </si>
  <si>
    <t>ROCK SOUND - ELEUTHERA</t>
  </si>
  <si>
    <t>BSSAQ</t>
  </si>
  <si>
    <t>SAQ</t>
  </si>
  <si>
    <t>SAN ANDROS - ANDROSISLAND</t>
  </si>
  <si>
    <t>BSSML</t>
  </si>
  <si>
    <t>SML</t>
  </si>
  <si>
    <t>STELLA MARIS - LONGISLAND</t>
  </si>
  <si>
    <t>BSSWL</t>
  </si>
  <si>
    <t>SWL</t>
  </si>
  <si>
    <t>SPANISH WELLS - ELEUTHERA</t>
  </si>
  <si>
    <t>BSTBI</t>
  </si>
  <si>
    <t>TBI</t>
  </si>
  <si>
    <t>THE BIGHT - CAT ISLAND</t>
  </si>
  <si>
    <t>BSTCB</t>
  </si>
  <si>
    <t>TCB</t>
  </si>
  <si>
    <t>TREASURE CAY - GREATABACO ISLAND</t>
  </si>
  <si>
    <t>BSTZN</t>
  </si>
  <si>
    <t>TZN</t>
  </si>
  <si>
    <t>SOUTH ANDROS</t>
  </si>
  <si>
    <t>BSWKR</t>
  </si>
  <si>
    <t>WKR</t>
  </si>
  <si>
    <t>WALKER'S CAY</t>
  </si>
  <si>
    <t>BSWTD</t>
  </si>
  <si>
    <t>WTD</t>
  </si>
  <si>
    <t>WEST END - GRAND BAHAMA</t>
  </si>
  <si>
    <t>BSZSA</t>
  </si>
  <si>
    <t>ZSA</t>
  </si>
  <si>
    <t>SAN SALVADOR ISLAND</t>
  </si>
  <si>
    <t>BSZZZ</t>
  </si>
  <si>
    <t>MANGROVE CAY</t>
  </si>
  <si>
    <t>MAY</t>
  </si>
  <si>
    <t>MASTIC POINT</t>
  </si>
  <si>
    <t>MSK</t>
  </si>
  <si>
    <t>NSB</t>
  </si>
  <si>
    <t>BHUTAN</t>
  </si>
  <si>
    <t>ブータン</t>
  </si>
  <si>
    <t>BTPBH</t>
  </si>
  <si>
    <t>BT</t>
  </si>
  <si>
    <t>PBH</t>
  </si>
  <si>
    <t>PARO</t>
  </si>
  <si>
    <t>BHUTA</t>
  </si>
  <si>
    <t>BTPKA</t>
  </si>
  <si>
    <t>PKA</t>
  </si>
  <si>
    <t>PNAKHA</t>
  </si>
  <si>
    <t>BTZZZ</t>
  </si>
  <si>
    <t>BOTSWANA</t>
  </si>
  <si>
    <t>ボツワナ</t>
  </si>
  <si>
    <t>BWBBK</t>
  </si>
  <si>
    <t>BW</t>
  </si>
  <si>
    <t>BBK</t>
  </si>
  <si>
    <t>KASANE</t>
  </si>
  <si>
    <t>BOTS</t>
  </si>
  <si>
    <t>BWFRW</t>
  </si>
  <si>
    <t>FRW</t>
  </si>
  <si>
    <t>FRANCISTOWN</t>
  </si>
  <si>
    <t>BWGBE</t>
  </si>
  <si>
    <t>GBE</t>
  </si>
  <si>
    <t>GABORONE</t>
  </si>
  <si>
    <t>BWGNZ</t>
  </si>
  <si>
    <t>GNZ</t>
  </si>
  <si>
    <t>GHANZI</t>
  </si>
  <si>
    <t>BWJWA</t>
  </si>
  <si>
    <t>JWA</t>
  </si>
  <si>
    <t>JWANENG</t>
  </si>
  <si>
    <t>BWKHW</t>
  </si>
  <si>
    <t>KHW</t>
  </si>
  <si>
    <t>KHWAI RIVER LODGE</t>
  </si>
  <si>
    <t>BWLOQ</t>
  </si>
  <si>
    <t>LOQ</t>
  </si>
  <si>
    <t>LOBATSE</t>
  </si>
  <si>
    <t>BWMUB</t>
  </si>
  <si>
    <t>MAUN</t>
  </si>
  <si>
    <t>BWORP</t>
  </si>
  <si>
    <t>ORP</t>
  </si>
  <si>
    <t>ORAPA</t>
  </si>
  <si>
    <t>BWSVT</t>
  </si>
  <si>
    <t>SVT</t>
  </si>
  <si>
    <t>SAVUTI</t>
  </si>
  <si>
    <t>BWTLD</t>
  </si>
  <si>
    <t>TLD</t>
  </si>
  <si>
    <t>TULI LODGE</t>
  </si>
  <si>
    <t>BWZZZ</t>
  </si>
  <si>
    <t>REPUBLIC OF BELARUS</t>
  </si>
  <si>
    <t>ベラルーシ</t>
  </si>
  <si>
    <t>BYBQT</t>
  </si>
  <si>
    <t>BY</t>
  </si>
  <si>
    <t>BQT</t>
  </si>
  <si>
    <t>BREST</t>
  </si>
  <si>
    <t>BYMSQ</t>
  </si>
  <si>
    <t>MSQ</t>
  </si>
  <si>
    <t>MINSK</t>
  </si>
  <si>
    <t>BELAR</t>
  </si>
  <si>
    <t>BYSVS</t>
  </si>
  <si>
    <t>SVS</t>
  </si>
  <si>
    <t>SVISLOCH</t>
  </si>
  <si>
    <t>BYZZZ</t>
  </si>
  <si>
    <t>BELIZE</t>
  </si>
  <si>
    <t>ベリーズ</t>
  </si>
  <si>
    <t>BZBZE</t>
  </si>
  <si>
    <t>BZ</t>
  </si>
  <si>
    <t>BZE</t>
  </si>
  <si>
    <t>BELIZE CITY</t>
  </si>
  <si>
    <t>BELIZ</t>
  </si>
  <si>
    <t>BZCOL</t>
  </si>
  <si>
    <t>COLINTO</t>
  </si>
  <si>
    <t>BZCZH</t>
  </si>
  <si>
    <t>CZH</t>
  </si>
  <si>
    <t>COROZAL</t>
  </si>
  <si>
    <t>BZMDB</t>
  </si>
  <si>
    <t>MDB</t>
  </si>
  <si>
    <t>MELINDA</t>
  </si>
  <si>
    <t>BZORZ</t>
  </si>
  <si>
    <t>ORZ</t>
  </si>
  <si>
    <t>ORANGE WALK</t>
  </si>
  <si>
    <t>BZPND</t>
  </si>
  <si>
    <t>PND</t>
  </si>
  <si>
    <t>PUNTA GORDA</t>
  </si>
  <si>
    <t>BZSPR</t>
  </si>
  <si>
    <t>SPR</t>
  </si>
  <si>
    <t>BZSTU</t>
  </si>
  <si>
    <t>STU</t>
  </si>
  <si>
    <t>BZSVK</t>
  </si>
  <si>
    <t>SVK</t>
  </si>
  <si>
    <t>SILVER CREEK</t>
  </si>
  <si>
    <t>BZZZZ</t>
  </si>
  <si>
    <t>BIG CREEK</t>
  </si>
  <si>
    <t>BGK</t>
  </si>
  <si>
    <t>DANGRIGA</t>
  </si>
  <si>
    <t>DGA</t>
  </si>
  <si>
    <t>INDEPENDENCE</t>
  </si>
  <si>
    <t>INB</t>
  </si>
  <si>
    <t>MANATEE</t>
  </si>
  <si>
    <t>MZE</t>
  </si>
  <si>
    <t>SARTANEJA</t>
  </si>
  <si>
    <t>SJX</t>
  </si>
  <si>
    <t>TZA</t>
  </si>
  <si>
    <t>CANADA</t>
  </si>
  <si>
    <t>カナダ</t>
  </si>
  <si>
    <t>CAAAL</t>
  </si>
  <si>
    <t>CA</t>
  </si>
  <si>
    <t>AAL</t>
  </si>
  <si>
    <t>ALERT BAY - BC</t>
  </si>
  <si>
    <t>CAAVO</t>
  </si>
  <si>
    <t>AVO</t>
  </si>
  <si>
    <t>AVONDALE - NS</t>
  </si>
  <si>
    <t>CABAT</t>
  </si>
  <si>
    <t>BAT</t>
  </si>
  <si>
    <t>BATHURST - NB</t>
  </si>
  <si>
    <t>CABCK</t>
  </si>
  <si>
    <t>BROCKVILLE - OT</t>
  </si>
  <si>
    <t>CABCO</t>
  </si>
  <si>
    <t>BCO</t>
  </si>
  <si>
    <t>BAIE COMEAU - QU</t>
  </si>
  <si>
    <t>CABEA</t>
  </si>
  <si>
    <t>BEA</t>
  </si>
  <si>
    <t>BEAVER COVER - BC</t>
  </si>
  <si>
    <t>CABEL</t>
  </si>
  <si>
    <t>BELLEDUNE - NB</t>
  </si>
  <si>
    <t>CABGT</t>
  </si>
  <si>
    <t>BGT</t>
  </si>
  <si>
    <t>BAGOTVILLE - QU</t>
  </si>
  <si>
    <t>CABJO</t>
  </si>
  <si>
    <t>BJO</t>
  </si>
  <si>
    <t>BAIE JOHAN BEETZ - QU</t>
  </si>
  <si>
    <t>CABLC</t>
  </si>
  <si>
    <t>BLC</t>
  </si>
  <si>
    <t>BELLA COOLA</t>
  </si>
  <si>
    <t>CABRI</t>
  </si>
  <si>
    <t>BRI</t>
  </si>
  <si>
    <t>BRITANNIA BEACH - BC</t>
  </si>
  <si>
    <t>CABUI</t>
  </si>
  <si>
    <t>BUI</t>
  </si>
  <si>
    <t>BURIN - NF</t>
  </si>
  <si>
    <t>CABUS</t>
  </si>
  <si>
    <t>BURNSIDE - NF</t>
  </si>
  <si>
    <t>CABWD</t>
  </si>
  <si>
    <t>BWD</t>
  </si>
  <si>
    <t>BOTWOOD - NF</t>
  </si>
  <si>
    <t>CACAL</t>
  </si>
  <si>
    <t>CAL</t>
  </si>
  <si>
    <t>CALGARY - AL</t>
  </si>
  <si>
    <t>CACAM</t>
  </si>
  <si>
    <t>CAMPBELL RIVER - BC</t>
  </si>
  <si>
    <t>CACAQ</t>
  </si>
  <si>
    <t>CAQ</t>
  </si>
  <si>
    <t>CARAQUET - NB</t>
  </si>
  <si>
    <t>CACAT</t>
  </si>
  <si>
    <t>CATALINA - NF</t>
  </si>
  <si>
    <t>CACBK</t>
  </si>
  <si>
    <t>CBK</t>
  </si>
  <si>
    <t>CORNER BROOK - NF</t>
  </si>
  <si>
    <t>CACCB</t>
  </si>
  <si>
    <t>CCB</t>
  </si>
  <si>
    <t>COWICHAN BAY - BC</t>
  </si>
  <si>
    <t>CACHA</t>
  </si>
  <si>
    <t>CHA</t>
  </si>
  <si>
    <t>CHARLOTTETOWN - PE</t>
  </si>
  <si>
    <t>CACHM</t>
  </si>
  <si>
    <t>CHM</t>
  </si>
  <si>
    <t>CHEMAINUS - BC</t>
  </si>
  <si>
    <t>CACHT</t>
  </si>
  <si>
    <t>CHT</t>
  </si>
  <si>
    <t>CHETICAMP - NS</t>
  </si>
  <si>
    <t>CACHV</t>
  </si>
  <si>
    <t>CHV</t>
  </si>
  <si>
    <t>CHURCHILL - MN</t>
  </si>
  <si>
    <t>CACOC</t>
  </si>
  <si>
    <t>CONTRECOEUR - QU</t>
  </si>
  <si>
    <t>CACOL</t>
  </si>
  <si>
    <t>COLLINGWOOD - OT</t>
  </si>
  <si>
    <t>CACOM</t>
  </si>
  <si>
    <t>CAMPBELLTON - NB</t>
  </si>
  <si>
    <t>CACOP</t>
  </si>
  <si>
    <t>COPPERMINE - NT</t>
  </si>
  <si>
    <t>CACOU</t>
  </si>
  <si>
    <t>COURTENAY - BC</t>
  </si>
  <si>
    <t>CACRO</t>
  </si>
  <si>
    <t>CRO</t>
  </si>
  <si>
    <t>CROFTON - BC</t>
  </si>
  <si>
    <t>CACRT</t>
  </si>
  <si>
    <t>CRT</t>
  </si>
  <si>
    <t>CARTIER - OT</t>
  </si>
  <si>
    <t>CACWL</t>
  </si>
  <si>
    <t>CWL</t>
  </si>
  <si>
    <t>CORNWALL - OT</t>
  </si>
  <si>
    <t>CADCN</t>
  </si>
  <si>
    <t>DCN</t>
  </si>
  <si>
    <t>DUNCAN BAY - BC</t>
  </si>
  <si>
    <t>CADHS</t>
  </si>
  <si>
    <t>DHS</t>
  </si>
  <si>
    <t>DALHOUSIE - NB</t>
  </si>
  <si>
    <t>CADIG</t>
  </si>
  <si>
    <t>DIG</t>
  </si>
  <si>
    <t>DIGBY - NS</t>
  </si>
  <si>
    <t>CADUQ</t>
  </si>
  <si>
    <t>DUQ</t>
  </si>
  <si>
    <t>DUNCAN/GUA BC</t>
  </si>
  <si>
    <t>CAN</t>
  </si>
  <si>
    <t>T12</t>
  </si>
  <si>
    <t>CADWL</t>
  </si>
  <si>
    <t>DWL</t>
  </si>
  <si>
    <t>DINGWALL - NS</t>
  </si>
  <si>
    <t>CAENG</t>
  </si>
  <si>
    <t>ENG</t>
  </si>
  <si>
    <t>ENGELWOOD - BC</t>
  </si>
  <si>
    <t>CAFAL</t>
  </si>
  <si>
    <t>FAL</t>
  </si>
  <si>
    <t>FORT ALBANY - OT</t>
  </si>
  <si>
    <t>CAFBB</t>
  </si>
  <si>
    <t>FBB</t>
  </si>
  <si>
    <t>FROBISHER BAY - NT</t>
  </si>
  <si>
    <t>CAFCM</t>
  </si>
  <si>
    <t>FCM</t>
  </si>
  <si>
    <t>FORT CHIMO - QU</t>
  </si>
  <si>
    <t>CAFFS</t>
  </si>
  <si>
    <t>FFS</t>
  </si>
  <si>
    <t>FORT FRANCES - OT</t>
  </si>
  <si>
    <t>CAFOR</t>
  </si>
  <si>
    <t>FORTUNE - NF</t>
  </si>
  <si>
    <t>CAFRE</t>
  </si>
  <si>
    <t>FREDRICTON - NB</t>
  </si>
  <si>
    <t>CAFRM</t>
  </si>
  <si>
    <t>FRM</t>
  </si>
  <si>
    <t>FRASER MILLS - BC</t>
  </si>
  <si>
    <t>CAFSI</t>
  </si>
  <si>
    <t>FSI</t>
  </si>
  <si>
    <t>FORT SIMPSON - NT</t>
  </si>
  <si>
    <t>CAFSJ</t>
  </si>
  <si>
    <t>FSJ</t>
  </si>
  <si>
    <t>FORT ST. JOHN - BC</t>
  </si>
  <si>
    <t>CAFSM</t>
  </si>
  <si>
    <t>FSM</t>
  </si>
  <si>
    <t>FORT SMITH - NT</t>
  </si>
  <si>
    <t>CAGAL</t>
  </si>
  <si>
    <t>GAL</t>
  </si>
  <si>
    <t>CAMBRIDGE (EX GALT)</t>
  </si>
  <si>
    <t>CAGAN</t>
  </si>
  <si>
    <t>GAN</t>
  </si>
  <si>
    <t>GANDER - NF</t>
  </si>
  <si>
    <t>CAGDE</t>
  </si>
  <si>
    <t>GDE</t>
  </si>
  <si>
    <t>GRANDEMERE - QU</t>
  </si>
  <si>
    <t>CAGGW</t>
  </si>
  <si>
    <t>GGW</t>
  </si>
  <si>
    <t>GEORGETOWN - OT</t>
  </si>
  <si>
    <t>CAGOL</t>
  </si>
  <si>
    <t>GOL</t>
  </si>
  <si>
    <t>GOLD RIVER - NS</t>
  </si>
  <si>
    <t>CAGOO</t>
  </si>
  <si>
    <t>GOOSE BAY - NF</t>
  </si>
  <si>
    <t>CAGPE</t>
  </si>
  <si>
    <t>GPE</t>
  </si>
  <si>
    <t>GASPE - QU</t>
  </si>
  <si>
    <t>CAHAL</t>
  </si>
  <si>
    <t>HAL</t>
  </si>
  <si>
    <t>HALIFAX - NS</t>
  </si>
  <si>
    <t>CAHAM</t>
  </si>
  <si>
    <t>HAM</t>
  </si>
  <si>
    <t>HAMILTON - OT</t>
  </si>
  <si>
    <t>CAHAR</t>
  </si>
  <si>
    <t>HAR</t>
  </si>
  <si>
    <t>HARRIET - BC</t>
  </si>
  <si>
    <t>CAHAT</t>
  </si>
  <si>
    <t>HATCH POINT - BC</t>
  </si>
  <si>
    <t>CAHMC</t>
  </si>
  <si>
    <t>HMC</t>
  </si>
  <si>
    <t>HARMAC - BC</t>
  </si>
  <si>
    <t>CAHOP</t>
  </si>
  <si>
    <t>HOP</t>
  </si>
  <si>
    <t>HOPEDALE - NF</t>
  </si>
  <si>
    <t>CAHRE</t>
  </si>
  <si>
    <t>HRE</t>
  </si>
  <si>
    <t>HARBOUR GRACE - NF</t>
  </si>
  <si>
    <t>CAHSG</t>
  </si>
  <si>
    <t>HSG</t>
  </si>
  <si>
    <t>HAUT-SAGUENAY - QU</t>
  </si>
  <si>
    <t>CAILF</t>
  </si>
  <si>
    <t>ILF</t>
  </si>
  <si>
    <t>ILFORD MAN</t>
  </si>
  <si>
    <t>CAIUM</t>
  </si>
  <si>
    <t>IUM</t>
  </si>
  <si>
    <t>SUMMIT LAK BC</t>
  </si>
  <si>
    <t>CAJED</t>
  </si>
  <si>
    <t>JEDWAY - BC</t>
  </si>
  <si>
    <t>CAKES</t>
  </si>
  <si>
    <t>KES</t>
  </si>
  <si>
    <t>KELSEY MAN</t>
  </si>
  <si>
    <t>CAKIF</t>
  </si>
  <si>
    <t>KIF</t>
  </si>
  <si>
    <t>KINGFISHE ONT</t>
  </si>
  <si>
    <t>CAKIN</t>
  </si>
  <si>
    <t>KIN</t>
  </si>
  <si>
    <t>KINGSTON - OT</t>
  </si>
  <si>
    <t>CAKNY</t>
  </si>
  <si>
    <t>KNY</t>
  </si>
  <si>
    <t>KINOOSAO SASK</t>
  </si>
  <si>
    <t>CAKOV</t>
  </si>
  <si>
    <t>KOV</t>
  </si>
  <si>
    <t>KOVIK BAY - QU</t>
  </si>
  <si>
    <t>CAKTC</t>
  </si>
  <si>
    <t>KTC</t>
  </si>
  <si>
    <t>KITCHENER - OT</t>
  </si>
  <si>
    <t>CAKTM</t>
  </si>
  <si>
    <t>KTM</t>
  </si>
  <si>
    <t>KITIMAT - BC</t>
  </si>
  <si>
    <t>CAKWL</t>
  </si>
  <si>
    <t>KWL</t>
  </si>
  <si>
    <t>KELOWNA BC</t>
  </si>
  <si>
    <t>YLW</t>
  </si>
  <si>
    <t>CALAC</t>
  </si>
  <si>
    <t>LAC</t>
  </si>
  <si>
    <t>LACHINE - QU</t>
  </si>
  <si>
    <t>CALAD</t>
  </si>
  <si>
    <t>LADYSMITH - BC</t>
  </si>
  <si>
    <t>CALEV</t>
  </si>
  <si>
    <t>LEV</t>
  </si>
  <si>
    <t>LEVIS - QU</t>
  </si>
  <si>
    <t>CALIV</t>
  </si>
  <si>
    <t>LIV</t>
  </si>
  <si>
    <t>LIVERPOOL - NS</t>
  </si>
  <si>
    <t>CALMD</t>
  </si>
  <si>
    <t>LMD</t>
  </si>
  <si>
    <t>LOMOND - NF</t>
  </si>
  <si>
    <t>CALOU</t>
  </si>
  <si>
    <t>LOU</t>
  </si>
  <si>
    <t>LOUISBOURG - NS</t>
  </si>
  <si>
    <t>CALTW</t>
  </si>
  <si>
    <t>LTW</t>
  </si>
  <si>
    <t>LISTOWEL - OT</t>
  </si>
  <si>
    <t>CALUN</t>
  </si>
  <si>
    <t>LUN</t>
  </si>
  <si>
    <t>LUNENBURG - NS</t>
  </si>
  <si>
    <t>CAMIR</t>
  </si>
  <si>
    <t>MIR</t>
  </si>
  <si>
    <t>MIRAMICHI BAY - NB</t>
  </si>
  <si>
    <t>CAMIS</t>
  </si>
  <si>
    <t>MIS</t>
  </si>
  <si>
    <t>MISSISSAUGA</t>
  </si>
  <si>
    <t>CAMNT</t>
  </si>
  <si>
    <t>MNT</t>
  </si>
  <si>
    <t>MONCTON - NB</t>
  </si>
  <si>
    <t>CAMOU</t>
  </si>
  <si>
    <t>MOU</t>
  </si>
  <si>
    <t>MOOSONEE - OT</t>
  </si>
  <si>
    <t>CAMSA</t>
  </si>
  <si>
    <t>MSA</t>
  </si>
  <si>
    <t>MUSKRAT D ONT</t>
  </si>
  <si>
    <t>CAMTR</t>
  </si>
  <si>
    <t>MTR</t>
  </si>
  <si>
    <t>MONTREAL - QU</t>
  </si>
  <si>
    <t>CANAI</t>
  </si>
  <si>
    <t>NAI</t>
  </si>
  <si>
    <t>NAIN - NF</t>
  </si>
  <si>
    <t>CANCT</t>
  </si>
  <si>
    <t>NCT</t>
  </si>
  <si>
    <t>NEWCASTLE - NB</t>
  </si>
  <si>
    <t>CANEP</t>
  </si>
  <si>
    <t>NEP</t>
  </si>
  <si>
    <t>NEPTUNE - SA</t>
  </si>
  <si>
    <t>CANIM</t>
  </si>
  <si>
    <t>NIM</t>
  </si>
  <si>
    <t>NIMPKISH - BC</t>
  </si>
  <si>
    <t>CANNE</t>
  </si>
  <si>
    <t>NNE</t>
  </si>
  <si>
    <t>NANOOSE - BC</t>
  </si>
  <si>
    <t>CANNO</t>
  </si>
  <si>
    <t>NNO</t>
  </si>
  <si>
    <t>NANAIMO - BC</t>
  </si>
  <si>
    <t>CANOR</t>
  </si>
  <si>
    <t>NOR</t>
  </si>
  <si>
    <t>NORTH BAY - OT</t>
  </si>
  <si>
    <t>CANWE</t>
  </si>
  <si>
    <t>NWE</t>
  </si>
  <si>
    <t>NEW WESTMINSTER - BC</t>
  </si>
  <si>
    <t>CANWP</t>
  </si>
  <si>
    <t>NWP</t>
  </si>
  <si>
    <t>ARGENTIA - NF</t>
  </si>
  <si>
    <t>CAOAK</t>
  </si>
  <si>
    <t>OAK</t>
  </si>
  <si>
    <t>OAKVILLE - OT</t>
  </si>
  <si>
    <t>CAOFA</t>
  </si>
  <si>
    <t>OFA</t>
  </si>
  <si>
    <t>OCEAN FALLS - BC</t>
  </si>
  <si>
    <t>CAOSH</t>
  </si>
  <si>
    <t>OSH</t>
  </si>
  <si>
    <t>OSHAWA - OT</t>
  </si>
  <si>
    <t>CAOTT</t>
  </si>
  <si>
    <t>OTT</t>
  </si>
  <si>
    <t>OTTAWA - OT</t>
  </si>
  <si>
    <t>CAPAB</t>
  </si>
  <si>
    <t>PAB</t>
  </si>
  <si>
    <t>PORT ALBERNI - BC</t>
  </si>
  <si>
    <t>CAPAC</t>
  </si>
  <si>
    <t>PAC</t>
  </si>
  <si>
    <t>PORT ALICE - BC</t>
  </si>
  <si>
    <t>CAPAF</t>
  </si>
  <si>
    <t>PAF</t>
  </si>
  <si>
    <t>PORT ALFRED - QU</t>
  </si>
  <si>
    <t>CAPAR</t>
  </si>
  <si>
    <t>PAR</t>
  </si>
  <si>
    <t>PARRSBORO - NS</t>
  </si>
  <si>
    <t>CAPBH</t>
  </si>
  <si>
    <t>PETERBOROUGH - OT</t>
  </si>
  <si>
    <t>CAPBQ</t>
  </si>
  <si>
    <t>PORT AUX BASQUES - NF</t>
  </si>
  <si>
    <t>CAPCA</t>
  </si>
  <si>
    <t>PCA</t>
  </si>
  <si>
    <t>PORT CARTIER - QU</t>
  </si>
  <si>
    <t>CAPCO</t>
  </si>
  <si>
    <t>PCO</t>
  </si>
  <si>
    <t>PORT COLBORNE - OT</t>
  </si>
  <si>
    <t>CAPCR</t>
  </si>
  <si>
    <t>PCR</t>
  </si>
  <si>
    <t>PORT CREDIT - OT</t>
  </si>
  <si>
    <t>CAPDV</t>
  </si>
  <si>
    <t>PORT DOVER - OT</t>
  </si>
  <si>
    <t>CAPER</t>
  </si>
  <si>
    <t>PERTH - OT</t>
  </si>
  <si>
    <t>CAPHW</t>
  </si>
  <si>
    <t>PHW</t>
  </si>
  <si>
    <t>PORT HAWKESBURY - NS</t>
  </si>
  <si>
    <t>CAPHY</t>
  </si>
  <si>
    <t>PHY</t>
  </si>
  <si>
    <t>PORT HARDY - BC</t>
  </si>
  <si>
    <t>CAPIC</t>
  </si>
  <si>
    <t>PIC</t>
  </si>
  <si>
    <t>PICTON - OT</t>
  </si>
  <si>
    <t>CAPIW</t>
  </si>
  <si>
    <t>PIW</t>
  </si>
  <si>
    <t>PIKWITONE MAN</t>
  </si>
  <si>
    <t>CAPMA</t>
  </si>
  <si>
    <t>PORT MCNEILL - BC</t>
  </si>
  <si>
    <t>CAPME</t>
  </si>
  <si>
    <t>PME</t>
  </si>
  <si>
    <t>PORT MENIER - QU</t>
  </si>
  <si>
    <t>CAPML</t>
  </si>
  <si>
    <t>PML</t>
  </si>
  <si>
    <t>PORT MELLON - BC</t>
  </si>
  <si>
    <t>CAPMO</t>
  </si>
  <si>
    <t>PMO</t>
  </si>
  <si>
    <t>PORT MOODY - BC</t>
  </si>
  <si>
    <t>CAPNE</t>
  </si>
  <si>
    <t>PNE</t>
  </si>
  <si>
    <t>PORT NELSON</t>
  </si>
  <si>
    <t>CAPOW</t>
  </si>
  <si>
    <t>POW</t>
  </si>
  <si>
    <t>POWELL RIVER - BC</t>
  </si>
  <si>
    <t>CAPRE</t>
  </si>
  <si>
    <t>PRE</t>
  </si>
  <si>
    <t>PRESCOTT - OT</t>
  </si>
  <si>
    <t>CAPRR</t>
  </si>
  <si>
    <t>PRR</t>
  </si>
  <si>
    <t>PRINCE RUPERT - BC</t>
  </si>
  <si>
    <t>CAPRS</t>
  </si>
  <si>
    <t>PRS</t>
  </si>
  <si>
    <t>PARRY SOUND - OT</t>
  </si>
  <si>
    <t>CAPSI</t>
  </si>
  <si>
    <t>PSI</t>
  </si>
  <si>
    <t>PORT SIMPSON - BC</t>
  </si>
  <si>
    <t>CAPST</t>
  </si>
  <si>
    <t>PORT STANLEY - OT</t>
  </si>
  <si>
    <t>CAPTA</t>
  </si>
  <si>
    <t>PTA</t>
  </si>
  <si>
    <t>PORT TAHSIS - BC</t>
  </si>
  <si>
    <t>CAPWE</t>
  </si>
  <si>
    <t>PWE</t>
  </si>
  <si>
    <t>PORT WELLER - OT</t>
  </si>
  <si>
    <t>CAQUE</t>
  </si>
  <si>
    <t>QUE</t>
  </si>
  <si>
    <t>QUEBEC - QU</t>
  </si>
  <si>
    <t>CARBK</t>
  </si>
  <si>
    <t>RBK</t>
  </si>
  <si>
    <t>ROBERTS BANK</t>
  </si>
  <si>
    <t>CARDL</t>
  </si>
  <si>
    <t>RDL</t>
  </si>
  <si>
    <t>RIVIERE-DU-LOUP - OT</t>
  </si>
  <si>
    <t>CAREG</t>
  </si>
  <si>
    <t>REG</t>
  </si>
  <si>
    <t>REGINA - SA</t>
  </si>
  <si>
    <t>CARIM</t>
  </si>
  <si>
    <t>RIM</t>
  </si>
  <si>
    <t>RIMOUSKI - QU</t>
  </si>
  <si>
    <t>CASAD</t>
  </si>
  <si>
    <t>SAD</t>
  </si>
  <si>
    <t>ST ANDREWS - NB</t>
  </si>
  <si>
    <t>CASAT</t>
  </si>
  <si>
    <t>SAT</t>
  </si>
  <si>
    <t>ST ANTHONY - NF</t>
  </si>
  <si>
    <t>CASAU</t>
  </si>
  <si>
    <t>SAU</t>
  </si>
  <si>
    <t>ST AUGUSTIN - QU</t>
  </si>
  <si>
    <t>CASBR</t>
  </si>
  <si>
    <t>SHERBROOKE - QU</t>
  </si>
  <si>
    <t>CASBU</t>
  </si>
  <si>
    <t>SBU</t>
  </si>
  <si>
    <t>SHELBURNE - NS</t>
  </si>
  <si>
    <t>CASEI</t>
  </si>
  <si>
    <t>SEPT ILES (SEVEN ISLANDS) - QU</t>
  </si>
  <si>
    <t>CASHH</t>
  </si>
  <si>
    <t>SHH</t>
  </si>
  <si>
    <t>SHEET HARBOUR</t>
  </si>
  <si>
    <t>CASIC</t>
  </si>
  <si>
    <t>SIC</t>
  </si>
  <si>
    <t>SIMCOE - OT</t>
  </si>
  <si>
    <t>CASJB</t>
  </si>
  <si>
    <t>SAINT JOHN - NB</t>
  </si>
  <si>
    <t>CASJF</t>
  </si>
  <si>
    <t>SJF</t>
  </si>
  <si>
    <t>ST JOHNS - NF</t>
  </si>
  <si>
    <t>CASNI</t>
  </si>
  <si>
    <t>SNI</t>
  </si>
  <si>
    <t>SARNIA - OT</t>
  </si>
  <si>
    <t>CASOR</t>
  </si>
  <si>
    <t>SOR</t>
  </si>
  <si>
    <t>SOREL - QU</t>
  </si>
  <si>
    <t>CASOU</t>
  </si>
  <si>
    <t>SOU</t>
  </si>
  <si>
    <t>SOURIS - PE</t>
  </si>
  <si>
    <t>CASQA</t>
  </si>
  <si>
    <t>SQA</t>
  </si>
  <si>
    <t>SQUAMISH</t>
  </si>
  <si>
    <t>CASSM</t>
  </si>
  <si>
    <t>SSM</t>
  </si>
  <si>
    <t>SAULT SAINTE MARIE</t>
  </si>
  <si>
    <t>CASTW</t>
  </si>
  <si>
    <t>STW</t>
  </si>
  <si>
    <t>STEWART</t>
  </si>
  <si>
    <t>CASUM</t>
  </si>
  <si>
    <t>SUM</t>
  </si>
  <si>
    <t>SUMMERSIDE - PE</t>
  </si>
  <si>
    <t>CASUR</t>
  </si>
  <si>
    <t>SUR</t>
  </si>
  <si>
    <t>SUMMER BE ONT</t>
  </si>
  <si>
    <t>CASYD</t>
  </si>
  <si>
    <t>CATAS</t>
  </si>
  <si>
    <t>TASU - BC</t>
  </si>
  <si>
    <t>CATEX</t>
  </si>
  <si>
    <t>TEX</t>
  </si>
  <si>
    <t>TEXADA ISLAND - BC</t>
  </si>
  <si>
    <t>CATHE</t>
  </si>
  <si>
    <t>THETFORD MINES, QC</t>
  </si>
  <si>
    <t>CATHU</t>
  </si>
  <si>
    <t>THU</t>
  </si>
  <si>
    <t>THUNDER BAY - OT</t>
  </si>
  <si>
    <t>CATIL</t>
  </si>
  <si>
    <t>TIL</t>
  </si>
  <si>
    <t>INVERLAKE AB</t>
  </si>
  <si>
    <t>CATNS</t>
  </si>
  <si>
    <t>TNS</t>
  </si>
  <si>
    <t>TUNGSTEN NWT</t>
  </si>
  <si>
    <t>CATOQ</t>
  </si>
  <si>
    <t>TOQ</t>
  </si>
  <si>
    <t>TOQUART BAY - BC</t>
  </si>
  <si>
    <t>CATOR</t>
  </si>
  <si>
    <t>TOR</t>
  </si>
  <si>
    <t>TORONTO - OT</t>
  </si>
  <si>
    <t>CATRR</t>
  </si>
  <si>
    <t>TRR</t>
  </si>
  <si>
    <t>TROIS-RIVIERES (THREE RIVERS) - QU</t>
  </si>
  <si>
    <t>CATUK</t>
  </si>
  <si>
    <t>TUK</t>
  </si>
  <si>
    <t>TUKTOYAKTUK - NT</t>
  </si>
  <si>
    <t>CAVAN</t>
  </si>
  <si>
    <t>VAN</t>
  </si>
  <si>
    <t>VANCOUVER - BC</t>
  </si>
  <si>
    <t>CAVIC</t>
  </si>
  <si>
    <t>VIC</t>
  </si>
  <si>
    <t>VICTORIA - BC</t>
  </si>
  <si>
    <t>CAVLF</t>
  </si>
  <si>
    <t>VLF</t>
  </si>
  <si>
    <t>VALLEYFIELD - QU</t>
  </si>
  <si>
    <t>CAWAT</t>
  </si>
  <si>
    <t>WAT</t>
  </si>
  <si>
    <t>WATSON LAKE - BC</t>
  </si>
  <si>
    <t>CAWEL</t>
  </si>
  <si>
    <t>WEL</t>
  </si>
  <si>
    <t>WELLAND - OT</t>
  </si>
  <si>
    <t>CAWHI</t>
  </si>
  <si>
    <t>WHI</t>
  </si>
  <si>
    <t>WHITBY - OT</t>
  </si>
  <si>
    <t>CAWND</t>
  </si>
  <si>
    <t>WINDSOR - OT</t>
  </si>
  <si>
    <t>CAWNN</t>
  </si>
  <si>
    <t>WNN</t>
  </si>
  <si>
    <t>WUNNUMMIN ONT</t>
  </si>
  <si>
    <t>CAWNP</t>
  </si>
  <si>
    <t>WNP</t>
  </si>
  <si>
    <t>WINNIPEG - MN</t>
  </si>
  <si>
    <t>CAWOO</t>
  </si>
  <si>
    <t>WOO</t>
  </si>
  <si>
    <t>WOODFIBRE - BC</t>
  </si>
  <si>
    <t>CAWPC</t>
  </si>
  <si>
    <t>WPC</t>
  </si>
  <si>
    <t>PINCHER C ALB</t>
  </si>
  <si>
    <t>CAWPL</t>
  </si>
  <si>
    <t>WPL</t>
  </si>
  <si>
    <t>POWELL LAK BC</t>
  </si>
  <si>
    <t>CAWTN</t>
  </si>
  <si>
    <t>WTN</t>
  </si>
  <si>
    <t>WALTON - NS</t>
  </si>
  <si>
    <t>CAXBR</t>
  </si>
  <si>
    <t>XBR</t>
  </si>
  <si>
    <t>BROCKVILLE APT - OT</t>
  </si>
  <si>
    <t>CAXKS</t>
  </si>
  <si>
    <t>XKS</t>
  </si>
  <si>
    <t>KASABONIK ONT</t>
  </si>
  <si>
    <t>CAXLF</t>
  </si>
  <si>
    <t>XLF</t>
  </si>
  <si>
    <t>LEAF BAY QUE</t>
  </si>
  <si>
    <t>CAXSI</t>
  </si>
  <si>
    <t>XSI</t>
  </si>
  <si>
    <t>SOUTH IND MAN</t>
  </si>
  <si>
    <t>CAXTL</t>
  </si>
  <si>
    <t>XTL</t>
  </si>
  <si>
    <t>TADOULE L MAN</t>
  </si>
  <si>
    <t>CAYAE</t>
  </si>
  <si>
    <t>YAE</t>
  </si>
  <si>
    <t>ALTA LAKE BC</t>
  </si>
  <si>
    <t>CAYAF</t>
  </si>
  <si>
    <t>YAF</t>
  </si>
  <si>
    <t>ASBESTOS QUE</t>
  </si>
  <si>
    <t>CAYAG</t>
  </si>
  <si>
    <t>YAG</t>
  </si>
  <si>
    <t>FORT FRANCES APT - OT</t>
  </si>
  <si>
    <t>CAYAL</t>
  </si>
  <si>
    <t>YAL</t>
  </si>
  <si>
    <t>ALERT BAY APT - BC</t>
  </si>
  <si>
    <t>CAYAT</t>
  </si>
  <si>
    <t>YAT</t>
  </si>
  <si>
    <t>ATTAWAPIS ONT</t>
  </si>
  <si>
    <t>CAYAZ</t>
  </si>
  <si>
    <t>YAZ</t>
  </si>
  <si>
    <t>TOFINO BC</t>
  </si>
  <si>
    <t>CAYBA</t>
  </si>
  <si>
    <t>YBA</t>
  </si>
  <si>
    <t>BANFF ALB</t>
  </si>
  <si>
    <t>CAYBC</t>
  </si>
  <si>
    <t>YBC</t>
  </si>
  <si>
    <t>BAIE COMEAU APT - QU</t>
  </si>
  <si>
    <t>CAYBE</t>
  </si>
  <si>
    <t>YBE</t>
  </si>
  <si>
    <t>URANIUM SASK</t>
  </si>
  <si>
    <t>CAYBG</t>
  </si>
  <si>
    <t>YBG</t>
  </si>
  <si>
    <t>BAGOTVILLE APT - QU</t>
  </si>
  <si>
    <t>CAYBH</t>
  </si>
  <si>
    <t>YBH</t>
  </si>
  <si>
    <t>BULL HARBO BC</t>
  </si>
  <si>
    <t>CAYBJ</t>
  </si>
  <si>
    <t>YBJ</t>
  </si>
  <si>
    <t>BAIE JOHAN BEETZ APT- QU</t>
  </si>
  <si>
    <t>CAYBL</t>
  </si>
  <si>
    <t>YBL</t>
  </si>
  <si>
    <t>CAMPBELL RIVER APT -BC</t>
  </si>
  <si>
    <t>CAYBN</t>
  </si>
  <si>
    <t>YBN</t>
  </si>
  <si>
    <t>BORDEN ONT</t>
  </si>
  <si>
    <t>CAYBR</t>
  </si>
  <si>
    <t>YBR</t>
  </si>
  <si>
    <t>BRANDON MAN</t>
  </si>
  <si>
    <t>CAYBT</t>
  </si>
  <si>
    <t>YBT</t>
  </si>
  <si>
    <t>BROCHET MAN</t>
  </si>
  <si>
    <t>CAYBU</t>
  </si>
  <si>
    <t>YBU</t>
  </si>
  <si>
    <t>BURNSIDE APT - NF</t>
  </si>
  <si>
    <t>CAYBW</t>
  </si>
  <si>
    <t>YBW</t>
  </si>
  <si>
    <t>BOTWOOD APT - NF</t>
  </si>
  <si>
    <t>CAYBX</t>
  </si>
  <si>
    <t>YBX</t>
  </si>
  <si>
    <t>BLANC SAB QUE</t>
  </si>
  <si>
    <t>CAYCB</t>
  </si>
  <si>
    <t>YCB</t>
  </si>
  <si>
    <t>CAMBRIDGE NWT</t>
  </si>
  <si>
    <t>CAYCD</t>
  </si>
  <si>
    <t>YCD</t>
  </si>
  <si>
    <t>NANAIMO APT - BC</t>
  </si>
  <si>
    <t>CAYCE</t>
  </si>
  <si>
    <t>YCE</t>
  </si>
  <si>
    <t>CENTRALIA ONT</t>
  </si>
  <si>
    <t>CAYCF</t>
  </si>
  <si>
    <t>YCF</t>
  </si>
  <si>
    <t>CORTES BAY BC</t>
  </si>
  <si>
    <t>CAYCG</t>
  </si>
  <si>
    <t>YCG</t>
  </si>
  <si>
    <t>CASTLEGAR BC</t>
  </si>
  <si>
    <t>CAYCI</t>
  </si>
  <si>
    <t>YCI</t>
  </si>
  <si>
    <t>CARIBOU I ONT</t>
  </si>
  <si>
    <t>CAYCJ</t>
  </si>
  <si>
    <t>YCJ</t>
  </si>
  <si>
    <t>CAPE ST JA BC</t>
  </si>
  <si>
    <t>CAYCK</t>
  </si>
  <si>
    <t>YCK</t>
  </si>
  <si>
    <t>COLVILLE NWT</t>
  </si>
  <si>
    <t>CAYCL</t>
  </si>
  <si>
    <t>YCL</t>
  </si>
  <si>
    <t>CHARLO NB</t>
  </si>
  <si>
    <t>CAYCN</t>
  </si>
  <si>
    <t>YCN</t>
  </si>
  <si>
    <t>COCHRANE ONT</t>
  </si>
  <si>
    <t>CAYCO</t>
  </si>
  <si>
    <t>YCO</t>
  </si>
  <si>
    <t>COPPERMINE APT - NT</t>
  </si>
  <si>
    <t>CAYCP</t>
  </si>
  <si>
    <t>YCP</t>
  </si>
  <si>
    <t>COOP POIN MAN</t>
  </si>
  <si>
    <t>CAYCR</t>
  </si>
  <si>
    <t>YCR</t>
  </si>
  <si>
    <t>CROSS LAK MAN</t>
  </si>
  <si>
    <t>CAYCS</t>
  </si>
  <si>
    <t>YCS</t>
  </si>
  <si>
    <t>CHESTERFI NWT</t>
  </si>
  <si>
    <t>CAYCT</t>
  </si>
  <si>
    <t>YCT</t>
  </si>
  <si>
    <t>CORONATIO ALB</t>
  </si>
  <si>
    <t>CAYCV</t>
  </si>
  <si>
    <t>YCV</t>
  </si>
  <si>
    <t>CARTIERVI QUE</t>
  </si>
  <si>
    <t>CAYCX</t>
  </si>
  <si>
    <t>YCX</t>
  </si>
  <si>
    <t>GAGETOWN NB</t>
  </si>
  <si>
    <t>CAYDA</t>
  </si>
  <si>
    <t>YDA</t>
  </si>
  <si>
    <t>DAWSON CI YUK</t>
  </si>
  <si>
    <t>CAYDB</t>
  </si>
  <si>
    <t>YDB</t>
  </si>
  <si>
    <t>BURWASH L YUK</t>
  </si>
  <si>
    <t>CAYDF</t>
  </si>
  <si>
    <t>YDF</t>
  </si>
  <si>
    <t>DEER LAKE NF</t>
  </si>
  <si>
    <t>CAYDH</t>
  </si>
  <si>
    <t>YDH</t>
  </si>
  <si>
    <t>DANIELS HA NF</t>
  </si>
  <si>
    <t>CAYDK</t>
  </si>
  <si>
    <t>YDK</t>
  </si>
  <si>
    <t>MAIN DUCK ONT</t>
  </si>
  <si>
    <t>CAYDL</t>
  </si>
  <si>
    <t>YDL</t>
  </si>
  <si>
    <t>DEASE LAKE BC</t>
  </si>
  <si>
    <t>CAYDN</t>
  </si>
  <si>
    <t>YDN</t>
  </si>
  <si>
    <t>DAUPHIN MAN</t>
  </si>
  <si>
    <t>CAYDO</t>
  </si>
  <si>
    <t>YDO</t>
  </si>
  <si>
    <t>DOLBEAU QUE</t>
  </si>
  <si>
    <t>CAYDQ</t>
  </si>
  <si>
    <t>YDQ</t>
  </si>
  <si>
    <t>DAWSON CRE BC</t>
  </si>
  <si>
    <t>CAYDR</t>
  </si>
  <si>
    <t>YDR</t>
  </si>
  <si>
    <t>BROADVIE SASK</t>
  </si>
  <si>
    <t>CAYEA</t>
  </si>
  <si>
    <t>YEA</t>
  </si>
  <si>
    <t>EDMONTON ALB</t>
  </si>
  <si>
    <t>CAYED</t>
  </si>
  <si>
    <t>YED</t>
  </si>
  <si>
    <t>CAYEG</t>
  </si>
  <si>
    <t>YEG</t>
  </si>
  <si>
    <t>EDMONTON APT - AL</t>
  </si>
  <si>
    <t>CAYEL</t>
  </si>
  <si>
    <t>YEL</t>
  </si>
  <si>
    <t>ELLIOT LA ONT</t>
  </si>
  <si>
    <t>CAYEP</t>
  </si>
  <si>
    <t>YEP</t>
  </si>
  <si>
    <t>ESTEVAN PO BC</t>
  </si>
  <si>
    <t>CAYEV</t>
  </si>
  <si>
    <t>YEV</t>
  </si>
  <si>
    <t>INUVIK NWT</t>
  </si>
  <si>
    <t>CAYEY</t>
  </si>
  <si>
    <t>YEY</t>
  </si>
  <si>
    <t>AMOS QUE</t>
  </si>
  <si>
    <t>CAYFA</t>
  </si>
  <si>
    <t>YFA</t>
  </si>
  <si>
    <t>FORT ALBANY APT - OT</t>
  </si>
  <si>
    <t>CAYFB</t>
  </si>
  <si>
    <t>YFB</t>
  </si>
  <si>
    <t>FROBISHER BAY APT -NT</t>
  </si>
  <si>
    <t>CAYFC</t>
  </si>
  <si>
    <t>YFC</t>
  </si>
  <si>
    <t>FREDRICTON APT - NB</t>
  </si>
  <si>
    <t>CAYFL</t>
  </si>
  <si>
    <t>YFL</t>
  </si>
  <si>
    <t>FORT RELI NWT</t>
  </si>
  <si>
    <t>CAYFO</t>
  </si>
  <si>
    <t>YFO</t>
  </si>
  <si>
    <t>FLIN FLON MAN</t>
  </si>
  <si>
    <t>CAYFR</t>
  </si>
  <si>
    <t>YFR</t>
  </si>
  <si>
    <t>FORT RESO NWT</t>
  </si>
  <si>
    <t>CAYFS</t>
  </si>
  <si>
    <t>YFS</t>
  </si>
  <si>
    <t>FORT SIMPSON APT - NT</t>
  </si>
  <si>
    <t>CAYGA</t>
  </si>
  <si>
    <t>YGA</t>
  </si>
  <si>
    <t>GAGNON QUE</t>
  </si>
  <si>
    <t>CAYGB</t>
  </si>
  <si>
    <t>YGB</t>
  </si>
  <si>
    <t>GILLIES BA BC</t>
  </si>
  <si>
    <t>CAYGC</t>
  </si>
  <si>
    <t>YGC</t>
  </si>
  <si>
    <t>GRANDE CACHE AB</t>
  </si>
  <si>
    <t>CAYGE</t>
  </si>
  <si>
    <t>YGE</t>
  </si>
  <si>
    <t>GORGE HARB BC</t>
  </si>
  <si>
    <t>CAYGH</t>
  </si>
  <si>
    <t>YGH</t>
  </si>
  <si>
    <t>FORT GOOD NWT</t>
  </si>
  <si>
    <t>CAYGK</t>
  </si>
  <si>
    <t>YGK</t>
  </si>
  <si>
    <t>KINGSTON APT - OT</t>
  </si>
  <si>
    <t>CAYGL</t>
  </si>
  <si>
    <t>YGL</t>
  </si>
  <si>
    <t>LA GRANDE QUE</t>
  </si>
  <si>
    <t>CAYGM</t>
  </si>
  <si>
    <t>YGM</t>
  </si>
  <si>
    <t>GIMLI MAN</t>
  </si>
  <si>
    <t>CAYGN</t>
  </si>
  <si>
    <t>YGN</t>
  </si>
  <si>
    <t>GREENWAY S BC</t>
  </si>
  <si>
    <t>CAYGO</t>
  </si>
  <si>
    <t>YGO</t>
  </si>
  <si>
    <t>GODS NARR MAN</t>
  </si>
  <si>
    <t>CAYGP</t>
  </si>
  <si>
    <t>YGP</t>
  </si>
  <si>
    <t>GASPE APT - QU</t>
  </si>
  <si>
    <t>CAYGQ</t>
  </si>
  <si>
    <t>YGQ</t>
  </si>
  <si>
    <t>GERALDTON ONT</t>
  </si>
  <si>
    <t>CAYGR</t>
  </si>
  <si>
    <t>YGR</t>
  </si>
  <si>
    <t>ILES DE L QUE</t>
  </si>
  <si>
    <t>CAYGS</t>
  </si>
  <si>
    <t>YGS</t>
  </si>
  <si>
    <t>GERMANSEN BC</t>
  </si>
  <si>
    <t>CAYGX</t>
  </si>
  <si>
    <t>YGX</t>
  </si>
  <si>
    <t>GILLAM MAN</t>
  </si>
  <si>
    <t>CAYHB</t>
  </si>
  <si>
    <t>YHB</t>
  </si>
  <si>
    <t>HUDSON B SASK</t>
  </si>
  <si>
    <t>CAYHE</t>
  </si>
  <si>
    <t>YHE</t>
  </si>
  <si>
    <t>HOPE BC</t>
  </si>
  <si>
    <t>CAYHI</t>
  </si>
  <si>
    <t>YHI</t>
  </si>
  <si>
    <t>HOLMAN NWT</t>
  </si>
  <si>
    <t>CAYHK</t>
  </si>
  <si>
    <t>YHK</t>
  </si>
  <si>
    <t>GJOA HAVE NWT</t>
  </si>
  <si>
    <t>CAYHM</t>
  </si>
  <si>
    <t>YHM</t>
  </si>
  <si>
    <t>HAMILTON APT - OT</t>
  </si>
  <si>
    <t>CAYHN</t>
  </si>
  <si>
    <t>YHN</t>
  </si>
  <si>
    <t>HORNEPAYN ONT</t>
  </si>
  <si>
    <t>CAYHO</t>
  </si>
  <si>
    <t>YHO</t>
  </si>
  <si>
    <t>HOPEDALE APT - NF</t>
  </si>
  <si>
    <t>CAYHT</t>
  </si>
  <si>
    <t>YHT</t>
  </si>
  <si>
    <t>HAINES JU YUK</t>
  </si>
  <si>
    <t>CAYHU</t>
  </si>
  <si>
    <t>YHU</t>
  </si>
  <si>
    <t>MONTREAL QUE</t>
  </si>
  <si>
    <t>CAYHY</t>
  </si>
  <si>
    <t>YHY</t>
  </si>
  <si>
    <t>HAY RIVER NWT</t>
  </si>
  <si>
    <t>CAYHZ</t>
  </si>
  <si>
    <t>YHZ</t>
  </si>
  <si>
    <t>HALIFAX APT - NS</t>
  </si>
  <si>
    <t>CAYIB</t>
  </si>
  <si>
    <t>YIB</t>
  </si>
  <si>
    <t>ATIKOKAN ONT</t>
  </si>
  <si>
    <t>CAYIK</t>
  </si>
  <si>
    <t>YIK</t>
  </si>
  <si>
    <t>IVUJIVIK QC</t>
  </si>
  <si>
    <t>CAYIO</t>
  </si>
  <si>
    <t>YIO</t>
  </si>
  <si>
    <t>POND INLE NWT</t>
  </si>
  <si>
    <t>CAYIV</t>
  </si>
  <si>
    <t>YIV</t>
  </si>
  <si>
    <t>ISLAND LAK MN</t>
  </si>
  <si>
    <t>CAYJF</t>
  </si>
  <si>
    <t>YJF</t>
  </si>
  <si>
    <t>FORT LIARDN</t>
  </si>
  <si>
    <t>CAYJN</t>
  </si>
  <si>
    <t>YJN</t>
  </si>
  <si>
    <t>ST JEAN QUE</t>
  </si>
  <si>
    <t>CAYKC</t>
  </si>
  <si>
    <t>YKC</t>
  </si>
  <si>
    <t>COLLINS BAY SK</t>
  </si>
  <si>
    <t>CAYKF</t>
  </si>
  <si>
    <t>YKF</t>
  </si>
  <si>
    <t>KITCHENER APT - OT</t>
  </si>
  <si>
    <t>CAYKI</t>
  </si>
  <si>
    <t>YKI</t>
  </si>
  <si>
    <t>KENNOSAO LAKE MB</t>
  </si>
  <si>
    <t>CAYKL</t>
  </si>
  <si>
    <t>YKL</t>
  </si>
  <si>
    <t>SCHEFFERV QUE</t>
  </si>
  <si>
    <t>CAYKX</t>
  </si>
  <si>
    <t>YKX</t>
  </si>
  <si>
    <t>KIRKLAND ONT</t>
  </si>
  <si>
    <t>CAYKY</t>
  </si>
  <si>
    <t>YKY</t>
  </si>
  <si>
    <t>KINDERSLEY SA</t>
  </si>
  <si>
    <t>CAYKZ</t>
  </si>
  <si>
    <t>YKZ</t>
  </si>
  <si>
    <t>TORONTO ONT</t>
  </si>
  <si>
    <t>CAYLA</t>
  </si>
  <si>
    <t>YLA</t>
  </si>
  <si>
    <t>LANGARA BC</t>
  </si>
  <si>
    <t>CAYLB</t>
  </si>
  <si>
    <t>YLB</t>
  </si>
  <si>
    <t>LAC BICHE ALB</t>
  </si>
  <si>
    <t>CAYLC</t>
  </si>
  <si>
    <t>YLC</t>
  </si>
  <si>
    <t>LAKE HARBR NT</t>
  </si>
  <si>
    <t>CAYLD</t>
  </si>
  <si>
    <t>YLD</t>
  </si>
  <si>
    <t>CHAPLEAU ONT</t>
  </si>
  <si>
    <t>CAYLH</t>
  </si>
  <si>
    <t>YLH</t>
  </si>
  <si>
    <t>LANSDOWNE ONT</t>
  </si>
  <si>
    <t>CAYLJ</t>
  </si>
  <si>
    <t>YLJ</t>
  </si>
  <si>
    <t>MEADOW LAKE SK</t>
  </si>
  <si>
    <t>CAYLL</t>
  </si>
  <si>
    <t>YLL</t>
  </si>
  <si>
    <t>LLOYDMINSTER AB</t>
  </si>
  <si>
    <t>CAYLM</t>
  </si>
  <si>
    <t>YLM</t>
  </si>
  <si>
    <t>CLINTON C YUK</t>
  </si>
  <si>
    <t>CAYLP</t>
  </si>
  <si>
    <t>YLP</t>
  </si>
  <si>
    <t>MINGAN QUE</t>
  </si>
  <si>
    <t>CAYLQ</t>
  </si>
  <si>
    <t>YLQ</t>
  </si>
  <si>
    <t>LA TUQUE QUE</t>
  </si>
  <si>
    <t>CAYLX</t>
  </si>
  <si>
    <t>YLX</t>
  </si>
  <si>
    <t>LONG POINT OT</t>
  </si>
  <si>
    <t>CAYLY</t>
  </si>
  <si>
    <t>YLY</t>
  </si>
  <si>
    <t>LYTTON BC</t>
  </si>
  <si>
    <t>CAYMA</t>
  </si>
  <si>
    <t>YMA</t>
  </si>
  <si>
    <t>MAYO YUK</t>
  </si>
  <si>
    <t>CAYMD</t>
  </si>
  <si>
    <t>YMD</t>
  </si>
  <si>
    <t>MOULD BAY NWT</t>
  </si>
  <si>
    <t>CAYMJ</t>
  </si>
  <si>
    <t>YMJ</t>
  </si>
  <si>
    <t>MOOSE JAW SA</t>
  </si>
  <si>
    <t>CAYML</t>
  </si>
  <si>
    <t>YML</t>
  </si>
  <si>
    <t>MURRAY BAY QU</t>
  </si>
  <si>
    <t>CAYMM</t>
  </si>
  <si>
    <t>YMM</t>
  </si>
  <si>
    <t>FORT MCMRY AL</t>
  </si>
  <si>
    <t>CAYMO</t>
  </si>
  <si>
    <t>YMO</t>
  </si>
  <si>
    <t>MOOSONEE APT - OT</t>
  </si>
  <si>
    <t>CAYMQ</t>
  </si>
  <si>
    <t>YMQ</t>
  </si>
  <si>
    <t>CAYMR</t>
  </si>
  <si>
    <t>YMR</t>
  </si>
  <si>
    <t>MERRY ISLA BC</t>
  </si>
  <si>
    <t>CAYMT</t>
  </si>
  <si>
    <t>YMT</t>
  </si>
  <si>
    <t>CHIBOUGAMAU QC</t>
  </si>
  <si>
    <t>CAYMW</t>
  </si>
  <si>
    <t>YMW</t>
  </si>
  <si>
    <t>MANIWAKI QUE</t>
  </si>
  <si>
    <t>CAYMX</t>
  </si>
  <si>
    <t>YMX</t>
  </si>
  <si>
    <t>CAYNA</t>
  </si>
  <si>
    <t>YNA</t>
  </si>
  <si>
    <t>NATASHQUAN QU</t>
  </si>
  <si>
    <t>CAYND</t>
  </si>
  <si>
    <t>YND</t>
  </si>
  <si>
    <t>GATINEAU QUE</t>
  </si>
  <si>
    <t>CAYNE</t>
  </si>
  <si>
    <t>YNE</t>
  </si>
  <si>
    <t>NORWAY HO MAN</t>
  </si>
  <si>
    <t>CAYNH</t>
  </si>
  <si>
    <t>YNH</t>
  </si>
  <si>
    <t>HUDSON HOP BC</t>
  </si>
  <si>
    <t>CAYNI</t>
  </si>
  <si>
    <t>YNI</t>
  </si>
  <si>
    <t>NITCHEQUON QU</t>
  </si>
  <si>
    <t>CAYNK</t>
  </si>
  <si>
    <t>YNK</t>
  </si>
  <si>
    <t>NOOTKA SOU BC</t>
  </si>
  <si>
    <t>CAYNM</t>
  </si>
  <si>
    <t>YNM</t>
  </si>
  <si>
    <t>MATAGAMI QUE</t>
  </si>
  <si>
    <t>CAYOC</t>
  </si>
  <si>
    <t>YOC</t>
  </si>
  <si>
    <t>OLD CROW YUK</t>
  </si>
  <si>
    <t>CAYOD</t>
  </si>
  <si>
    <t>YOD</t>
  </si>
  <si>
    <t>COLD LAKE ALB</t>
  </si>
  <si>
    <t>CAYOE</t>
  </si>
  <si>
    <t>YOE</t>
  </si>
  <si>
    <t>FALHER ALB</t>
  </si>
  <si>
    <t>CAYOG</t>
  </si>
  <si>
    <t>YOG</t>
  </si>
  <si>
    <t>OGOKI ONT</t>
  </si>
  <si>
    <t>CAYOH</t>
  </si>
  <si>
    <t>YOH</t>
  </si>
  <si>
    <t>OXFORD HO MAN</t>
  </si>
  <si>
    <t>CAYOJ</t>
  </si>
  <si>
    <t>YOJ</t>
  </si>
  <si>
    <t>HIGH LEVEL AL</t>
  </si>
  <si>
    <t>CAYOW</t>
  </si>
  <si>
    <t>YOW</t>
  </si>
  <si>
    <t>OTTAWA ONT</t>
  </si>
  <si>
    <t>CAYOY</t>
  </si>
  <si>
    <t>YOY</t>
  </si>
  <si>
    <t>VALCARTIE QUE</t>
  </si>
  <si>
    <t>CAYPB</t>
  </si>
  <si>
    <t>YPB</t>
  </si>
  <si>
    <t>PORT ALBERNI APT - BC</t>
  </si>
  <si>
    <t>CAYPC</t>
  </si>
  <si>
    <t>YPC</t>
  </si>
  <si>
    <t>PAULATUK NWT</t>
  </si>
  <si>
    <t>CAYPD</t>
  </si>
  <si>
    <t>YPD</t>
  </si>
  <si>
    <t>PARRY SOUND APT - OT</t>
  </si>
  <si>
    <t>CAYPE</t>
  </si>
  <si>
    <t>YPE</t>
  </si>
  <si>
    <t>PEACE RIVR AL</t>
  </si>
  <si>
    <t>CAYPG</t>
  </si>
  <si>
    <t>YPG</t>
  </si>
  <si>
    <t>PORTAGE MAN</t>
  </si>
  <si>
    <t>CAYPL</t>
  </si>
  <si>
    <t>YPL</t>
  </si>
  <si>
    <t>PICKLE LA ONT</t>
  </si>
  <si>
    <t>CAYPN</t>
  </si>
  <si>
    <t>YPN</t>
  </si>
  <si>
    <t>PORT MENIER APT - QU</t>
  </si>
  <si>
    <t>CAYPQ</t>
  </si>
  <si>
    <t>YPQ</t>
  </si>
  <si>
    <t>PETERBOROUGH APT - OT</t>
  </si>
  <si>
    <t>CAYPR</t>
  </si>
  <si>
    <t>YPR</t>
  </si>
  <si>
    <t>PRINCE RUPERT APT -BC</t>
  </si>
  <si>
    <t>CAYPW</t>
  </si>
  <si>
    <t>YPW</t>
  </si>
  <si>
    <t>POWELL RIVER APT - BC</t>
  </si>
  <si>
    <t>CAYPY</t>
  </si>
  <si>
    <t>YPY</t>
  </si>
  <si>
    <t>FORT CHIP ALB</t>
  </si>
  <si>
    <t>CAYPZ</t>
  </si>
  <si>
    <t>YPZ</t>
  </si>
  <si>
    <t>BURNS LAKE BC</t>
  </si>
  <si>
    <t>CAYQA</t>
  </si>
  <si>
    <t>YQA</t>
  </si>
  <si>
    <t>MUSKOKA ONT</t>
  </si>
  <si>
    <t>CAYQB</t>
  </si>
  <si>
    <t>YQB</t>
  </si>
  <si>
    <t>QUEBEC APT - QU</t>
  </si>
  <si>
    <t>CAYQD</t>
  </si>
  <si>
    <t>YQD</t>
  </si>
  <si>
    <t>THE PAS MAN</t>
  </si>
  <si>
    <t>CAYQE</t>
  </si>
  <si>
    <t>YQE</t>
  </si>
  <si>
    <t>KIMBERLEY BC</t>
  </si>
  <si>
    <t>CAYQF</t>
  </si>
  <si>
    <t>YQF</t>
  </si>
  <si>
    <t>RED DEER ALB</t>
  </si>
  <si>
    <t>CAYQG</t>
  </si>
  <si>
    <t>YQG</t>
  </si>
  <si>
    <t>WINDSOR APT - OT</t>
  </si>
  <si>
    <t>CAYQH</t>
  </si>
  <si>
    <t>YQH</t>
  </si>
  <si>
    <t>WATSON LAKE APT - BC</t>
  </si>
  <si>
    <t>CAYQI</t>
  </si>
  <si>
    <t>YQI</t>
  </si>
  <si>
    <t>YARMOUTH - NS</t>
  </si>
  <si>
    <t>CAYQK</t>
  </si>
  <si>
    <t>YQK</t>
  </si>
  <si>
    <t>KENORA ONT</t>
  </si>
  <si>
    <t>CAYQL</t>
  </si>
  <si>
    <t>YQL</t>
  </si>
  <si>
    <t>LETHBRIDG ALB</t>
  </si>
  <si>
    <t>CAYQM</t>
  </si>
  <si>
    <t>YQM</t>
  </si>
  <si>
    <t>MONCTON APT - NB</t>
  </si>
  <si>
    <t>CAYQN</t>
  </si>
  <si>
    <t>YQN</t>
  </si>
  <si>
    <t>NAKINA ONT</t>
  </si>
  <si>
    <t>CAYQQ</t>
  </si>
  <si>
    <t>YQQ</t>
  </si>
  <si>
    <t>COMOX BC</t>
  </si>
  <si>
    <t>CAYQR</t>
  </si>
  <si>
    <t>YQR</t>
  </si>
  <si>
    <t>REGINA APT - SA</t>
  </si>
  <si>
    <t>CAYQT</t>
  </si>
  <si>
    <t>YQT</t>
  </si>
  <si>
    <t>THUNDER BAY APT - OT</t>
  </si>
  <si>
    <t>CAYQU</t>
  </si>
  <si>
    <t>YQU</t>
  </si>
  <si>
    <t>GRANDE PR ALB</t>
  </si>
  <si>
    <t>CAYQV</t>
  </si>
  <si>
    <t>YQV</t>
  </si>
  <si>
    <t>YORKTON SASK</t>
  </si>
  <si>
    <t>CAYQW</t>
  </si>
  <si>
    <t>YQW</t>
  </si>
  <si>
    <t>NORTH BA SASK</t>
  </si>
  <si>
    <t>CAYQX</t>
  </si>
  <si>
    <t>YQX</t>
  </si>
  <si>
    <t>GANDER APT - NF</t>
  </si>
  <si>
    <t>CAYQY</t>
  </si>
  <si>
    <t>YQY</t>
  </si>
  <si>
    <t>SYDNEY APT - NS</t>
  </si>
  <si>
    <t>CAYRB</t>
  </si>
  <si>
    <t>YRB</t>
  </si>
  <si>
    <t>RESOLUTE NWT</t>
  </si>
  <si>
    <t>CAYRI</t>
  </si>
  <si>
    <t>YRI</t>
  </si>
  <si>
    <t>RIVIERE DU LOUP APT</t>
  </si>
  <si>
    <t>CAYRJ</t>
  </si>
  <si>
    <t>YRJ</t>
  </si>
  <si>
    <t>ROBERVAL QUE</t>
  </si>
  <si>
    <t>CAYRM</t>
  </si>
  <si>
    <t>YRM</t>
  </si>
  <si>
    <t>ROCKY MOU ALB</t>
  </si>
  <si>
    <t>CAYRO</t>
  </si>
  <si>
    <t>YRO</t>
  </si>
  <si>
    <t>CAYRT</t>
  </si>
  <si>
    <t>YRT</t>
  </si>
  <si>
    <t>RANKIN IN NWT</t>
  </si>
  <si>
    <t>CAYRV</t>
  </si>
  <si>
    <t>YRV</t>
  </si>
  <si>
    <t>REVELSTOKE BC</t>
  </si>
  <si>
    <t>CAYSA</t>
  </si>
  <si>
    <t>YSA</t>
  </si>
  <si>
    <t>SABLE ISLA NS</t>
  </si>
  <si>
    <t>CAYSC</t>
  </si>
  <si>
    <t>YSC</t>
  </si>
  <si>
    <t>SHERBROOKE APT - QU</t>
  </si>
  <si>
    <t>CAYSD</t>
  </si>
  <si>
    <t>YSD</t>
  </si>
  <si>
    <t>SUFFIELD ALB</t>
  </si>
  <si>
    <t>CAYSF</t>
  </si>
  <si>
    <t>YSF</t>
  </si>
  <si>
    <t>STONY RAPD SA</t>
  </si>
  <si>
    <t>CAYSH</t>
  </si>
  <si>
    <t>YSH</t>
  </si>
  <si>
    <t>SMITH FAL ONT</t>
  </si>
  <si>
    <t>CAYSI</t>
  </si>
  <si>
    <t>YSI</t>
  </si>
  <si>
    <t>SANS SOUCI OT</t>
  </si>
  <si>
    <t>CAYSJ</t>
  </si>
  <si>
    <t>YSJ</t>
  </si>
  <si>
    <t>SAINT JOHN APT - NB</t>
  </si>
  <si>
    <t>CAYSK</t>
  </si>
  <si>
    <t>YSK</t>
  </si>
  <si>
    <t>SANIKILUAG NT</t>
  </si>
  <si>
    <t>CAYSL</t>
  </si>
  <si>
    <t>YSL</t>
  </si>
  <si>
    <t>ST LEONARD NB</t>
  </si>
  <si>
    <t>CAYSM</t>
  </si>
  <si>
    <t>YSM</t>
  </si>
  <si>
    <t>FORT SMITH APT - NT</t>
  </si>
  <si>
    <t>CAYSQ</t>
  </si>
  <si>
    <t>YSQ</t>
  </si>
  <si>
    <t>SPRING ISL BC</t>
  </si>
  <si>
    <t>CAYSS</t>
  </si>
  <si>
    <t>YSS</t>
  </si>
  <si>
    <t>SLATE ISL ONT</t>
  </si>
  <si>
    <t>CAYST</t>
  </si>
  <si>
    <t>YST</t>
  </si>
  <si>
    <t>STE THERE MAN</t>
  </si>
  <si>
    <t>CAYSU</t>
  </si>
  <si>
    <t>YSU</t>
  </si>
  <si>
    <t>SUMMERSIDE APT - PE</t>
  </si>
  <si>
    <t>CAYSV</t>
  </si>
  <si>
    <t>YSV</t>
  </si>
  <si>
    <t>SAGLEK NF</t>
  </si>
  <si>
    <t>CAYSY</t>
  </si>
  <si>
    <t>YSY</t>
  </si>
  <si>
    <t>SACHS HRVR NT</t>
  </si>
  <si>
    <t>CAYSZ</t>
  </si>
  <si>
    <t>YSZ</t>
  </si>
  <si>
    <t>SQUIRREL C BC</t>
  </si>
  <si>
    <t>CAYTB</t>
  </si>
  <si>
    <t>YTB</t>
  </si>
  <si>
    <t>HARTLEY BA BC</t>
  </si>
  <si>
    <t>CAYTD</t>
  </si>
  <si>
    <t>YTD</t>
  </si>
  <si>
    <t>THICKET/PO MN</t>
  </si>
  <si>
    <t>CAYTF</t>
  </si>
  <si>
    <t>YTF</t>
  </si>
  <si>
    <t>ALMA QUE</t>
  </si>
  <si>
    <t>CAYTH</t>
  </si>
  <si>
    <t>YTH</t>
  </si>
  <si>
    <t>THOMPSON MAN</t>
  </si>
  <si>
    <t>CAYTI</t>
  </si>
  <si>
    <t>YTI</t>
  </si>
  <si>
    <t>TRIPLE ISL BC</t>
  </si>
  <si>
    <t>CAYTJ</t>
  </si>
  <si>
    <t>YTJ</t>
  </si>
  <si>
    <t>TERRACE B ONT</t>
  </si>
  <si>
    <t>CAYTN</t>
  </si>
  <si>
    <t>YTN</t>
  </si>
  <si>
    <t>RIVIERE A QUE</t>
  </si>
  <si>
    <t>CAYTO</t>
  </si>
  <si>
    <t>YTO</t>
  </si>
  <si>
    <t>CAYTS</t>
  </si>
  <si>
    <t>YTS</t>
  </si>
  <si>
    <t>TIMMINS ONT</t>
  </si>
  <si>
    <t>CAYTU</t>
  </si>
  <si>
    <t>YTU</t>
  </si>
  <si>
    <t>TASU APT - BC</t>
  </si>
  <si>
    <t>CAYUF</t>
  </si>
  <si>
    <t>YUF</t>
  </si>
  <si>
    <t>PELLY BAY NWT</t>
  </si>
  <si>
    <t>CAYUL</t>
  </si>
  <si>
    <t>YUL</t>
  </si>
  <si>
    <t>MONTREAL-DORVAL APT</t>
  </si>
  <si>
    <t>CAYUY</t>
  </si>
  <si>
    <t>YUY</t>
  </si>
  <si>
    <t>ROUYN QUE</t>
  </si>
  <si>
    <t>CAYVB</t>
  </si>
  <si>
    <t>YVB</t>
  </si>
  <si>
    <t>BONAVENTU QUE</t>
  </si>
  <si>
    <t>CAYVC</t>
  </si>
  <si>
    <t>YVC</t>
  </si>
  <si>
    <t>LA RONGE SK</t>
  </si>
  <si>
    <t>CAYVG</t>
  </si>
  <si>
    <t>YVG</t>
  </si>
  <si>
    <t>VERMILION ALB</t>
  </si>
  <si>
    <t>CAYVO</t>
  </si>
  <si>
    <t>YVO</t>
  </si>
  <si>
    <t>VAL D'OR QUE</t>
  </si>
  <si>
    <t>CAYVP</t>
  </si>
  <si>
    <t>YVP</t>
  </si>
  <si>
    <t>FORT CHIMO APT - QU</t>
  </si>
  <si>
    <t>CAYVQ</t>
  </si>
  <si>
    <t>YVQ</t>
  </si>
  <si>
    <t>NORMAN WEL NT</t>
  </si>
  <si>
    <t>CAYVR</t>
  </si>
  <si>
    <t>YVR</t>
  </si>
  <si>
    <t>VANCOUVER APT - BC</t>
  </si>
  <si>
    <t>CAYVT</t>
  </si>
  <si>
    <t>YVT</t>
  </si>
  <si>
    <t>BUFFALO N SA</t>
  </si>
  <si>
    <t>CAYVV</t>
  </si>
  <si>
    <t>YVV</t>
  </si>
  <si>
    <t>WIARTON ONT</t>
  </si>
  <si>
    <t>CAYWA</t>
  </si>
  <si>
    <t>YWA</t>
  </si>
  <si>
    <t>PETAWAWA ONT</t>
  </si>
  <si>
    <t>CAYWG</t>
  </si>
  <si>
    <t>YWG</t>
  </si>
  <si>
    <t>WINNIPEG APT - MN</t>
  </si>
  <si>
    <t>CAYWK</t>
  </si>
  <si>
    <t>YWK</t>
  </si>
  <si>
    <t>WABUSH NF</t>
  </si>
  <si>
    <t>CAYWL</t>
  </si>
  <si>
    <t>YWL</t>
  </si>
  <si>
    <t>WILLIAMS L BC</t>
  </si>
  <si>
    <t>CAYWN</t>
  </si>
  <si>
    <t>YWN</t>
  </si>
  <si>
    <t>WINISK ONT</t>
  </si>
  <si>
    <t>CAYWP</t>
  </si>
  <si>
    <t>YWP</t>
  </si>
  <si>
    <t>WEBEQUIE ON</t>
  </si>
  <si>
    <t>CAYWR</t>
  </si>
  <si>
    <t>YWR</t>
  </si>
  <si>
    <t>WHITE RIV ONT</t>
  </si>
  <si>
    <t>CAYWY</t>
  </si>
  <si>
    <t>YWY</t>
  </si>
  <si>
    <t>WRIGLEY NWT</t>
  </si>
  <si>
    <t>CAYXC</t>
  </si>
  <si>
    <t>YXC</t>
  </si>
  <si>
    <t>CRANBROOK BC</t>
  </si>
  <si>
    <t>CAYXE</t>
  </si>
  <si>
    <t>YXE</t>
  </si>
  <si>
    <t>SASKATOON SA</t>
  </si>
  <si>
    <t>CAYXF</t>
  </si>
  <si>
    <t>YXF</t>
  </si>
  <si>
    <t>SNAKE RIV YUT</t>
  </si>
  <si>
    <t>CAYXH</t>
  </si>
  <si>
    <t>YXH</t>
  </si>
  <si>
    <t>MEDICINE ALB</t>
  </si>
  <si>
    <t>CAYXI</t>
  </si>
  <si>
    <t>YXI</t>
  </si>
  <si>
    <t>KILLALOE ONT</t>
  </si>
  <si>
    <t>CAYXJ</t>
  </si>
  <si>
    <t>YXJ</t>
  </si>
  <si>
    <t>FORT ST. JOHN APT -BC</t>
  </si>
  <si>
    <t>CAYXK</t>
  </si>
  <si>
    <t>YXK</t>
  </si>
  <si>
    <t>RIMOUSKI APT - QU</t>
  </si>
  <si>
    <t>CAYXL</t>
  </si>
  <si>
    <t>YXL</t>
  </si>
  <si>
    <t>SIOUX LOO ONT</t>
  </si>
  <si>
    <t>CAYXN</t>
  </si>
  <si>
    <t>YXN</t>
  </si>
  <si>
    <t>WHALE COV NWT</t>
  </si>
  <si>
    <t>CAYXR</t>
  </si>
  <si>
    <t>YXR</t>
  </si>
  <si>
    <t>EARLTON ONT</t>
  </si>
  <si>
    <t>CAYXT</t>
  </si>
  <si>
    <t>YXT</t>
  </si>
  <si>
    <t>TERRACE BC</t>
  </si>
  <si>
    <t>CAYXU</t>
  </si>
  <si>
    <t>YXU</t>
  </si>
  <si>
    <t>LONDON ONT</t>
  </si>
  <si>
    <t>CAYXY</t>
  </si>
  <si>
    <t>YXY</t>
  </si>
  <si>
    <t>WHITEHORSE YT</t>
  </si>
  <si>
    <t>CAYXZ</t>
  </si>
  <si>
    <t>YXZ</t>
  </si>
  <si>
    <t>WAWA ONT</t>
  </si>
  <si>
    <t>CAYYB</t>
  </si>
  <si>
    <t>YYB</t>
  </si>
  <si>
    <t>NORTH BAY APT - OT</t>
  </si>
  <si>
    <t>CAYYC</t>
  </si>
  <si>
    <t>YYC</t>
  </si>
  <si>
    <t>CALGARY APT - AL</t>
  </si>
  <si>
    <t>CAYYD</t>
  </si>
  <si>
    <t>YYD</t>
  </si>
  <si>
    <t>SMITHERS BC</t>
  </si>
  <si>
    <t>CAYYE</t>
  </si>
  <si>
    <t>YYE</t>
  </si>
  <si>
    <t>FORT NELSO BC</t>
  </si>
  <si>
    <t>CAYYF</t>
  </si>
  <si>
    <t>YYF</t>
  </si>
  <si>
    <t>PENTICTON BC</t>
  </si>
  <si>
    <t>CAYYG</t>
  </si>
  <si>
    <t>YYG</t>
  </si>
  <si>
    <t>CHARLOTTETOWN APT -PE</t>
  </si>
  <si>
    <t>CAYYI</t>
  </si>
  <si>
    <t>YYI</t>
  </si>
  <si>
    <t>RIVERS MAN</t>
  </si>
  <si>
    <t>CAYYJ</t>
  </si>
  <si>
    <t>YYJ</t>
  </si>
  <si>
    <t>VICTORIA APT - BC</t>
  </si>
  <si>
    <t>CAYYL</t>
  </si>
  <si>
    <t>YYL</t>
  </si>
  <si>
    <t>LYNN LAKE MAN</t>
  </si>
  <si>
    <t>CAYYM</t>
  </si>
  <si>
    <t>YYM</t>
  </si>
  <si>
    <t>COWLEY ALB</t>
  </si>
  <si>
    <t>CAYYN</t>
  </si>
  <si>
    <t>YYN</t>
  </si>
  <si>
    <t>SWIFT CU SASK</t>
  </si>
  <si>
    <t>CAYYQ</t>
  </si>
  <si>
    <t>YYQ</t>
  </si>
  <si>
    <t>CHURCHILL APT - MN</t>
  </si>
  <si>
    <t>CAYYR</t>
  </si>
  <si>
    <t>YYR</t>
  </si>
  <si>
    <t>GOOSE BAY APT - NF</t>
  </si>
  <si>
    <t>CAYYT</t>
  </si>
  <si>
    <t>YYT</t>
  </si>
  <si>
    <t>ST JOHNS APT - NF</t>
  </si>
  <si>
    <t>CAYYU</t>
  </si>
  <si>
    <t>YYU</t>
  </si>
  <si>
    <t>KAPUSKASI ONT</t>
  </si>
  <si>
    <t>CAYYY</t>
  </si>
  <si>
    <t>YYY</t>
  </si>
  <si>
    <t>MONT JOLI QUE</t>
  </si>
  <si>
    <t>CAYYZ</t>
  </si>
  <si>
    <t>YYZ</t>
  </si>
  <si>
    <t>TORONTO APT - OT</t>
  </si>
  <si>
    <t>CAYZA</t>
  </si>
  <si>
    <t>YZA</t>
  </si>
  <si>
    <t>ASHCROFT BC</t>
  </si>
  <si>
    <t>CAYZE</t>
  </si>
  <si>
    <t>YZE</t>
  </si>
  <si>
    <t>GORE BAY ONT</t>
  </si>
  <si>
    <t>CAYZF</t>
  </si>
  <si>
    <t>YZF</t>
  </si>
  <si>
    <t>YELLOWKNI NWT</t>
  </si>
  <si>
    <t>CAYZG</t>
  </si>
  <si>
    <t>YZG</t>
  </si>
  <si>
    <t>SUGLUK QUE</t>
  </si>
  <si>
    <t>CAYZH</t>
  </si>
  <si>
    <t>YZH</t>
  </si>
  <si>
    <t>SLAVE LAK ALB</t>
  </si>
  <si>
    <t>CAYZM</t>
  </si>
  <si>
    <t>YZM</t>
  </si>
  <si>
    <t>BUCHANS NF</t>
  </si>
  <si>
    <t>CAYZR</t>
  </si>
  <si>
    <t>YZR</t>
  </si>
  <si>
    <t>SARNIA APT - OT</t>
  </si>
  <si>
    <t>CAYZS</t>
  </si>
  <si>
    <t>YZS</t>
  </si>
  <si>
    <t>CORAL HAR NWT</t>
  </si>
  <si>
    <t>CAYZT</t>
  </si>
  <si>
    <t>YZT</t>
  </si>
  <si>
    <t>PORT HARDY APT - BC</t>
  </si>
  <si>
    <t>CAYZV</t>
  </si>
  <si>
    <t>YZV</t>
  </si>
  <si>
    <t>SEPT ILES (SEVEN ISLANDS) APT - QU</t>
  </si>
  <si>
    <t>CAYZW</t>
  </si>
  <si>
    <t>YZW</t>
  </si>
  <si>
    <t>TESLIN YUK</t>
  </si>
  <si>
    <t>CAYZX</t>
  </si>
  <si>
    <t>YZX</t>
  </si>
  <si>
    <t>GREENWOOD NS</t>
  </si>
  <si>
    <t>CAZAC</t>
  </si>
  <si>
    <t>ZAC</t>
  </si>
  <si>
    <t>YORK LANDG MN</t>
  </si>
  <si>
    <t>CAZBF</t>
  </si>
  <si>
    <t>ZBF</t>
  </si>
  <si>
    <t>BATHURST APT - NB</t>
  </si>
  <si>
    <t>CAZEB</t>
  </si>
  <si>
    <t>ZEB</t>
  </si>
  <si>
    <t>ZEBALLOS - BC</t>
  </si>
  <si>
    <t>CAZEM</t>
  </si>
  <si>
    <t>ZEM</t>
  </si>
  <si>
    <t>EAST MAIN QUE</t>
  </si>
  <si>
    <t>CAZFA</t>
  </si>
  <si>
    <t>ZFA</t>
  </si>
  <si>
    <t>FARO YUK</t>
  </si>
  <si>
    <t>CAZFB</t>
  </si>
  <si>
    <t>ZFB</t>
  </si>
  <si>
    <t>OLD FORT QUE</t>
  </si>
  <si>
    <t>CAZFD</t>
  </si>
  <si>
    <t>ZFD</t>
  </si>
  <si>
    <t>FOND DU SASK</t>
  </si>
  <si>
    <t>CAZFM</t>
  </si>
  <si>
    <t>ZFM</t>
  </si>
  <si>
    <t>FORT MCPH NWT</t>
  </si>
  <si>
    <t>CAZFN</t>
  </si>
  <si>
    <t>ZFN</t>
  </si>
  <si>
    <t>FORT NORMAN NT</t>
  </si>
  <si>
    <t>CAZFW</t>
  </si>
  <si>
    <t>ZFW</t>
  </si>
  <si>
    <t>FAIRVIEW AL</t>
  </si>
  <si>
    <t>CAZGF</t>
  </si>
  <si>
    <t>ZGF</t>
  </si>
  <si>
    <t>GRAND FORK BC</t>
  </si>
  <si>
    <t>CAZGI</t>
  </si>
  <si>
    <t>ZGI</t>
  </si>
  <si>
    <t>GODS RIVE MAN</t>
  </si>
  <si>
    <t>CAZGR</t>
  </si>
  <si>
    <t>ZGR</t>
  </si>
  <si>
    <t>LITTLE GR MAN</t>
  </si>
  <si>
    <t>CAZGS</t>
  </si>
  <si>
    <t>ZGS</t>
  </si>
  <si>
    <t>GETHSEMAN QUE</t>
  </si>
  <si>
    <t>CAZHP</t>
  </si>
  <si>
    <t>ZHP</t>
  </si>
  <si>
    <t>HIGH PRAI ALB</t>
  </si>
  <si>
    <t>CAZJG</t>
  </si>
  <si>
    <t>ZJG</t>
  </si>
  <si>
    <t>JENPEG MAN</t>
  </si>
  <si>
    <t>CAZKE</t>
  </si>
  <si>
    <t>ZKE</t>
  </si>
  <si>
    <t>KASCHECHE ONT</t>
  </si>
  <si>
    <t>CAZKG</t>
  </si>
  <si>
    <t>ZKG</t>
  </si>
  <si>
    <t>KEGASKA QUE</t>
  </si>
  <si>
    <t>CAZLT</t>
  </si>
  <si>
    <t>ZLT</t>
  </si>
  <si>
    <t>LA TABATI QUE</t>
  </si>
  <si>
    <t>CAZNG</t>
  </si>
  <si>
    <t>ZNG</t>
  </si>
  <si>
    <t>NEGGINAN MAN</t>
  </si>
  <si>
    <t>CAZNU</t>
  </si>
  <si>
    <t>ZNU</t>
  </si>
  <si>
    <t>NAMU BC</t>
  </si>
  <si>
    <t>CAZOF</t>
  </si>
  <si>
    <t>ZOF</t>
  </si>
  <si>
    <t>OCEAN FALLS APT - BC</t>
  </si>
  <si>
    <t>CAZPO</t>
  </si>
  <si>
    <t>ZPO</t>
  </si>
  <si>
    <t>PINE HOS SASK</t>
  </si>
  <si>
    <t>CAZRJ</t>
  </si>
  <si>
    <t>ZRJ</t>
  </si>
  <si>
    <t>ROUND LAK ONT</t>
  </si>
  <si>
    <t>CAZSJ</t>
  </si>
  <si>
    <t>ZSJ</t>
  </si>
  <si>
    <t>SANDY LAK ONT</t>
  </si>
  <si>
    <t>CAZSP</t>
  </si>
  <si>
    <t>ZSP</t>
  </si>
  <si>
    <t>ST PAUL QUE</t>
  </si>
  <si>
    <t>CAZTB</t>
  </si>
  <si>
    <t>ZTB</t>
  </si>
  <si>
    <t>TETE-A-LA QUE</t>
  </si>
  <si>
    <t>CAZTM</t>
  </si>
  <si>
    <t>ZTM</t>
  </si>
  <si>
    <t>SHAMATTAWA MN</t>
  </si>
  <si>
    <t>CAZUM</t>
  </si>
  <si>
    <t>ZUM</t>
  </si>
  <si>
    <t>CHURCHILL NF</t>
  </si>
  <si>
    <t>CAZWL</t>
  </si>
  <si>
    <t>ZWL</t>
  </si>
  <si>
    <t>WOLLASTO SASK</t>
  </si>
  <si>
    <t>CAZZZ</t>
  </si>
  <si>
    <t>VANCOUVER BC</t>
  </si>
  <si>
    <t>CXH</t>
  </si>
  <si>
    <t>BELLA COOL BC</t>
  </si>
  <si>
    <t>QBC</t>
  </si>
  <si>
    <t>BLUBBER BA BC</t>
  </si>
  <si>
    <t>XBB</t>
  </si>
  <si>
    <t>KEMANO BC</t>
  </si>
  <si>
    <t>XKO</t>
  </si>
  <si>
    <t>QUALICUM BC</t>
  </si>
  <si>
    <t>XQU</t>
  </si>
  <si>
    <t>ST ANTHONY NF</t>
  </si>
  <si>
    <t>YAY</t>
  </si>
  <si>
    <t>CHILLIWACK BC</t>
  </si>
  <si>
    <t>YCW</t>
  </si>
  <si>
    <t>STEPHENVIL NF</t>
  </si>
  <si>
    <t>YJT</t>
  </si>
  <si>
    <t>KAMLOOPS BC</t>
  </si>
  <si>
    <t>YKA</t>
  </si>
  <si>
    <t>LEAF RAPID MN</t>
  </si>
  <si>
    <t>YLR</t>
  </si>
  <si>
    <t>PRINCE ALB SA</t>
  </si>
  <si>
    <t>YPA</t>
  </si>
  <si>
    <t>ESQUIMALT BC</t>
  </si>
  <si>
    <t>YPF</t>
  </si>
  <si>
    <t>QUESNEL BC</t>
  </si>
  <si>
    <t>YQZ</t>
  </si>
  <si>
    <t>RED SUCKER MN</t>
  </si>
  <si>
    <t>YRS</t>
  </si>
  <si>
    <t>SUDBURY</t>
  </si>
  <si>
    <t>YSB</t>
  </si>
  <si>
    <t>NANISIVIK BC</t>
  </si>
  <si>
    <t>YSR</t>
  </si>
  <si>
    <t>CAPE DORST NT</t>
  </si>
  <si>
    <t>YTE</t>
  </si>
  <si>
    <t>TUKTOYAKTK NT</t>
  </si>
  <si>
    <t>YUB</t>
  </si>
  <si>
    <t>HALL BEACH NT</t>
  </si>
  <si>
    <t>YUX</t>
  </si>
  <si>
    <t>VICTORIA BC</t>
  </si>
  <si>
    <t>YWH</t>
  </si>
  <si>
    <t>PRINCE GEO BC</t>
  </si>
  <si>
    <t>YXS</t>
  </si>
  <si>
    <t>ABBOTSFORD BC</t>
  </si>
  <si>
    <t>YXX</t>
  </si>
  <si>
    <t>BEATTON RI BC</t>
  </si>
  <si>
    <t>YZC</t>
  </si>
  <si>
    <t>SANDSPIT BC</t>
  </si>
  <si>
    <t>YZP</t>
  </si>
  <si>
    <t>WHITECOURT AL</t>
  </si>
  <si>
    <t>YZU</t>
  </si>
  <si>
    <t>ALICE ARM BC</t>
  </si>
  <si>
    <t>ZAA</t>
  </si>
  <si>
    <t>BELLA BELL BC</t>
  </si>
  <si>
    <t>108 MILE H BC</t>
  </si>
  <si>
    <t>ZMH</t>
  </si>
  <si>
    <t>MASSET BC</t>
  </si>
  <si>
    <t>ZMT</t>
  </si>
  <si>
    <t>NANAIMO BC</t>
  </si>
  <si>
    <t>ZNA</t>
  </si>
  <si>
    <t>QUEEN CHAR BC</t>
  </si>
  <si>
    <t>ZQS</t>
  </si>
  <si>
    <t>STEWART BC</t>
  </si>
  <si>
    <t>ZST</t>
  </si>
  <si>
    <t>PRINCE RUP BC</t>
  </si>
  <si>
    <t>ZSW</t>
  </si>
  <si>
    <t>TAHSIS BC</t>
  </si>
  <si>
    <t>ZTS</t>
  </si>
  <si>
    <t>COCOS ISLANDS</t>
  </si>
  <si>
    <t>その他のオーストラリア領</t>
  </si>
  <si>
    <t>CCCCK</t>
  </si>
  <si>
    <t>CC</t>
  </si>
  <si>
    <t>CCK</t>
  </si>
  <si>
    <t>COCOS</t>
  </si>
  <si>
    <t>CCZZZ</t>
  </si>
  <si>
    <t>ROCONGO</t>
  </si>
  <si>
    <t>コンゴ民主共和国</t>
  </si>
  <si>
    <t>CDANG</t>
  </si>
  <si>
    <t>CD</t>
  </si>
  <si>
    <t>ANGO-ANGO</t>
  </si>
  <si>
    <t>CDBAN</t>
  </si>
  <si>
    <t>BAN</t>
  </si>
  <si>
    <t>BASONGO</t>
  </si>
  <si>
    <t>ROCON</t>
  </si>
  <si>
    <t>CDBDT</t>
  </si>
  <si>
    <t>GBADOLITE</t>
  </si>
  <si>
    <t>CDBDV</t>
  </si>
  <si>
    <t>BDV</t>
  </si>
  <si>
    <t>MOBA</t>
  </si>
  <si>
    <t>CDBKY</t>
  </si>
  <si>
    <t>BKY</t>
  </si>
  <si>
    <t>BUKAVU</t>
  </si>
  <si>
    <t>CDBMB</t>
  </si>
  <si>
    <t>BMB</t>
  </si>
  <si>
    <t>BUMBA</t>
  </si>
  <si>
    <t>CDBNB</t>
  </si>
  <si>
    <t>BNB</t>
  </si>
  <si>
    <t>BOENDE</t>
  </si>
  <si>
    <t>CDBNC</t>
  </si>
  <si>
    <t>BNC</t>
  </si>
  <si>
    <t>BENI</t>
  </si>
  <si>
    <t>CDBNW</t>
  </si>
  <si>
    <t>BNW</t>
  </si>
  <si>
    <t>BANANA</t>
  </si>
  <si>
    <t>CDBOA</t>
  </si>
  <si>
    <t>BOA</t>
  </si>
  <si>
    <t>BOMA</t>
  </si>
  <si>
    <t>CDBSU</t>
  </si>
  <si>
    <t>BSU</t>
  </si>
  <si>
    <t>BASANKUSU</t>
  </si>
  <si>
    <t>CDBUX</t>
  </si>
  <si>
    <t>BUX</t>
  </si>
  <si>
    <t>BUNIA</t>
  </si>
  <si>
    <t>CDBZU</t>
  </si>
  <si>
    <t>BZU</t>
  </si>
  <si>
    <t>BUTA</t>
  </si>
  <si>
    <t>CDDIC</t>
  </si>
  <si>
    <t>DIC</t>
  </si>
  <si>
    <t>DILI</t>
  </si>
  <si>
    <t>CDFBM</t>
  </si>
  <si>
    <t>FBM</t>
  </si>
  <si>
    <t>LUBUMBASHI</t>
  </si>
  <si>
    <t>CDFDU</t>
  </si>
  <si>
    <t>FDU</t>
  </si>
  <si>
    <t>BANDUNDU</t>
  </si>
  <si>
    <t>CDFIH</t>
  </si>
  <si>
    <t>FIH</t>
  </si>
  <si>
    <t>KINSHASA</t>
  </si>
  <si>
    <t>CDFKI</t>
  </si>
  <si>
    <t>FKI</t>
  </si>
  <si>
    <t>KISANGANI</t>
  </si>
  <si>
    <t>CDFMI</t>
  </si>
  <si>
    <t>FMI</t>
  </si>
  <si>
    <t>KALEMIE</t>
  </si>
  <si>
    <t>CDGDJ</t>
  </si>
  <si>
    <t>GDJ</t>
  </si>
  <si>
    <t>GANDAJIKA</t>
  </si>
  <si>
    <t>CDGMA</t>
  </si>
  <si>
    <t>GMA</t>
  </si>
  <si>
    <t>GEMENA</t>
  </si>
  <si>
    <t>CDGOM</t>
  </si>
  <si>
    <t>GOM</t>
  </si>
  <si>
    <t>GOMA</t>
  </si>
  <si>
    <t>CDIDF</t>
  </si>
  <si>
    <t>IDF</t>
  </si>
  <si>
    <t>IDIOFA</t>
  </si>
  <si>
    <t>CDIKL</t>
  </si>
  <si>
    <t>IKL</t>
  </si>
  <si>
    <t>IKELA</t>
  </si>
  <si>
    <t>CDINO</t>
  </si>
  <si>
    <t>INO</t>
  </si>
  <si>
    <t>INONGO</t>
  </si>
  <si>
    <t>CDIRP</t>
  </si>
  <si>
    <t>IRP</t>
  </si>
  <si>
    <t>ISIRO</t>
  </si>
  <si>
    <t>CDKAP</t>
  </si>
  <si>
    <t>KAP</t>
  </si>
  <si>
    <t>KAPANGA</t>
  </si>
  <si>
    <t>CDKBN</t>
  </si>
  <si>
    <t>KBN</t>
  </si>
  <si>
    <t>KABINDA</t>
  </si>
  <si>
    <t>CDKBO</t>
  </si>
  <si>
    <t>KBO</t>
  </si>
  <si>
    <t>KABALO</t>
  </si>
  <si>
    <t>CDKEC</t>
  </si>
  <si>
    <t>KEC</t>
  </si>
  <si>
    <t>KASENGA</t>
  </si>
  <si>
    <t>CDKGA</t>
  </si>
  <si>
    <t>KGA</t>
  </si>
  <si>
    <t>KANANGA</t>
  </si>
  <si>
    <t>CDKGN</t>
  </si>
  <si>
    <t>KGN</t>
  </si>
  <si>
    <t>KASONGO LUNDA</t>
  </si>
  <si>
    <t>CDKIL</t>
  </si>
  <si>
    <t>KIL</t>
  </si>
  <si>
    <t>KILWA</t>
  </si>
  <si>
    <t>CDKKW</t>
  </si>
  <si>
    <t>KKW</t>
  </si>
  <si>
    <t>KIKWIT</t>
  </si>
  <si>
    <t>CDKLI</t>
  </si>
  <si>
    <t>KLI</t>
  </si>
  <si>
    <t>KOTA KOLI</t>
  </si>
  <si>
    <t>CDKLY</t>
  </si>
  <si>
    <t>KLY</t>
  </si>
  <si>
    <t>KALIMA</t>
  </si>
  <si>
    <t>CDKMN</t>
  </si>
  <si>
    <t>KMN</t>
  </si>
  <si>
    <t>KAMINA</t>
  </si>
  <si>
    <t>CDKND</t>
  </si>
  <si>
    <t>KND</t>
  </si>
  <si>
    <t>KINDU</t>
  </si>
  <si>
    <t>CDKNM</t>
  </si>
  <si>
    <t>KNM</t>
  </si>
  <si>
    <t>KANIAMA</t>
  </si>
  <si>
    <t>CDKOO</t>
  </si>
  <si>
    <t>KOO</t>
  </si>
  <si>
    <t>KONGOLO</t>
  </si>
  <si>
    <t>CDKRZ</t>
  </si>
  <si>
    <t>KRZ</t>
  </si>
  <si>
    <t>KIRI</t>
  </si>
  <si>
    <t>CDKWZ</t>
  </si>
  <si>
    <t>KWZ</t>
  </si>
  <si>
    <t>KOLWEZI</t>
  </si>
  <si>
    <t>CDLBO</t>
  </si>
  <si>
    <t>LBO</t>
  </si>
  <si>
    <t>LUSAMBO</t>
  </si>
  <si>
    <t>CDLIE</t>
  </si>
  <si>
    <t>LIBENGE</t>
  </si>
  <si>
    <t>CDLIQ</t>
  </si>
  <si>
    <t>LIQ</t>
  </si>
  <si>
    <t>LISALA</t>
  </si>
  <si>
    <t>CDLJA</t>
  </si>
  <si>
    <t>LJA</t>
  </si>
  <si>
    <t>LODJA</t>
  </si>
  <si>
    <t>CDLUS</t>
  </si>
  <si>
    <t>LUS</t>
  </si>
  <si>
    <t>LUSANGA</t>
  </si>
  <si>
    <t>CDLZA</t>
  </si>
  <si>
    <t>LZA</t>
  </si>
  <si>
    <t>LUIZA</t>
  </si>
  <si>
    <t>CDLZI</t>
  </si>
  <si>
    <t>LZI</t>
  </si>
  <si>
    <t>LUOZI</t>
  </si>
  <si>
    <t>CDMAT</t>
  </si>
  <si>
    <t>MAT</t>
  </si>
  <si>
    <t>MATADI</t>
  </si>
  <si>
    <t>CDMDK</t>
  </si>
  <si>
    <t>MDK</t>
  </si>
  <si>
    <t>MBANDAKA</t>
  </si>
  <si>
    <t>CDMEW</t>
  </si>
  <si>
    <t>MEW</t>
  </si>
  <si>
    <t>MWEKA</t>
  </si>
  <si>
    <t>CDMJM</t>
  </si>
  <si>
    <t>MJM</t>
  </si>
  <si>
    <t>MBUJI MAYI</t>
  </si>
  <si>
    <t>CDMKL</t>
  </si>
  <si>
    <t>MKL</t>
  </si>
  <si>
    <t>MAKALA</t>
  </si>
  <si>
    <t>CDMNB</t>
  </si>
  <si>
    <t>MNB</t>
  </si>
  <si>
    <t>MOANDA</t>
  </si>
  <si>
    <t>CDMNO</t>
  </si>
  <si>
    <t>MNO</t>
  </si>
  <si>
    <t>MANONO</t>
  </si>
  <si>
    <t>CDMSM</t>
  </si>
  <si>
    <t>MSM</t>
  </si>
  <si>
    <t>MASI MANIMBA</t>
  </si>
  <si>
    <t>CDNIO</t>
  </si>
  <si>
    <t>NIO</t>
  </si>
  <si>
    <t>NIOKI</t>
  </si>
  <si>
    <t>CDNKL</t>
  </si>
  <si>
    <t>NKL</t>
  </si>
  <si>
    <t>NKOLO</t>
  </si>
  <si>
    <t>CDNLO</t>
  </si>
  <si>
    <t>NLO</t>
  </si>
  <si>
    <t>CDPFR</t>
  </si>
  <si>
    <t>PFR</t>
  </si>
  <si>
    <t>ILEBO</t>
  </si>
  <si>
    <t>CDPUN</t>
  </si>
  <si>
    <t>PUN</t>
  </si>
  <si>
    <t>PUNIA</t>
  </si>
  <si>
    <t>CDPWO</t>
  </si>
  <si>
    <t>PWO</t>
  </si>
  <si>
    <t>PWETO</t>
  </si>
  <si>
    <t>CDTSH</t>
  </si>
  <si>
    <t>TSH</t>
  </si>
  <si>
    <t>TSHIKAPA</t>
  </si>
  <si>
    <t>CDYAN</t>
  </si>
  <si>
    <t>YAN</t>
  </si>
  <si>
    <t>YANGAMBI</t>
  </si>
  <si>
    <t>CDZZZ</t>
  </si>
  <si>
    <t>CEUTA AND MELILLA</t>
  </si>
  <si>
    <t>セウタ及びメリリア（西）</t>
  </si>
  <si>
    <t>CECEU</t>
  </si>
  <si>
    <t>CE</t>
  </si>
  <si>
    <t>CEU</t>
  </si>
  <si>
    <t>CEUTA</t>
  </si>
  <si>
    <t>CEMLN</t>
  </si>
  <si>
    <t>MLN</t>
  </si>
  <si>
    <t>MELILLA</t>
  </si>
  <si>
    <t>MLILA</t>
  </si>
  <si>
    <t>CEZZZ</t>
  </si>
  <si>
    <t>CENTRAL AFRICAN REPUBLIC</t>
  </si>
  <si>
    <t>中央アフリカ</t>
  </si>
  <si>
    <t>CFAIG</t>
  </si>
  <si>
    <t>CF</t>
  </si>
  <si>
    <t>AIG</t>
  </si>
  <si>
    <t>YALINGA</t>
  </si>
  <si>
    <t>CAE</t>
  </si>
  <si>
    <t>CFBBT</t>
  </si>
  <si>
    <t>BBT</t>
  </si>
  <si>
    <t>BERBERATI</t>
  </si>
  <si>
    <t>CFBBY</t>
  </si>
  <si>
    <t>BBY</t>
  </si>
  <si>
    <t>BAMBARI</t>
  </si>
  <si>
    <t>CFBCF</t>
  </si>
  <si>
    <t>BCF</t>
  </si>
  <si>
    <t>BOUCA</t>
  </si>
  <si>
    <t>CFBEM</t>
  </si>
  <si>
    <t>BEM</t>
  </si>
  <si>
    <t>BOSSEMBELE</t>
  </si>
  <si>
    <t>CFBGF</t>
  </si>
  <si>
    <t>BGF</t>
  </si>
  <si>
    <t>BANGUI</t>
  </si>
  <si>
    <t>CFBGU</t>
  </si>
  <si>
    <t>BGU</t>
  </si>
  <si>
    <t>BANGASSOU</t>
  </si>
  <si>
    <t>CFBIV</t>
  </si>
  <si>
    <t>BIV</t>
  </si>
  <si>
    <t>BRIA</t>
  </si>
  <si>
    <t>CFBMF</t>
  </si>
  <si>
    <t>BMF</t>
  </si>
  <si>
    <t>BAKOUMA</t>
  </si>
  <si>
    <t>CFBOP</t>
  </si>
  <si>
    <t>BOP</t>
  </si>
  <si>
    <t>BOUAR</t>
  </si>
  <si>
    <t>CFBOZ</t>
  </si>
  <si>
    <t>BOZ</t>
  </si>
  <si>
    <t>BOZOUM</t>
  </si>
  <si>
    <t>CFBSN</t>
  </si>
  <si>
    <t>BSN</t>
  </si>
  <si>
    <t>BOSSANGOA</t>
  </si>
  <si>
    <t>CFBTG</t>
  </si>
  <si>
    <t>BTG</t>
  </si>
  <si>
    <t>BATANGAFO</t>
  </si>
  <si>
    <t>CFCRF</t>
  </si>
  <si>
    <t>CRF</t>
  </si>
  <si>
    <t>CARNOT</t>
  </si>
  <si>
    <t>CFGDA</t>
  </si>
  <si>
    <t>GDA</t>
  </si>
  <si>
    <t>GOUNDA</t>
  </si>
  <si>
    <t>CFGDI</t>
  </si>
  <si>
    <t>GDI</t>
  </si>
  <si>
    <t>GORDIL</t>
  </si>
  <si>
    <t>CFIMO</t>
  </si>
  <si>
    <t>IMO</t>
  </si>
  <si>
    <t>ZEMIO</t>
  </si>
  <si>
    <t>CFIRO</t>
  </si>
  <si>
    <t>IRO</t>
  </si>
  <si>
    <t>BIRAO</t>
  </si>
  <si>
    <t>CFKOL</t>
  </si>
  <si>
    <t>KOUMALA</t>
  </si>
  <si>
    <t>CFKWD</t>
  </si>
  <si>
    <t>KWD</t>
  </si>
  <si>
    <t>KAWADJIA</t>
  </si>
  <si>
    <t>CFNDL</t>
  </si>
  <si>
    <t>NDL</t>
  </si>
  <si>
    <t>NDELE</t>
  </si>
  <si>
    <t>CFODA</t>
  </si>
  <si>
    <t>ODA</t>
  </si>
  <si>
    <t>OUADDA</t>
  </si>
  <si>
    <t>CFODJ</t>
  </si>
  <si>
    <t>ODJ</t>
  </si>
  <si>
    <t>OUANDA DJALLE</t>
  </si>
  <si>
    <t>CFRFA</t>
  </si>
  <si>
    <t>RFA</t>
  </si>
  <si>
    <t>RAFAI</t>
  </si>
  <si>
    <t>CFZZZ</t>
  </si>
  <si>
    <t>CONGO</t>
  </si>
  <si>
    <t>コンゴ共和国</t>
  </si>
  <si>
    <t>CGANJ</t>
  </si>
  <si>
    <t>CG</t>
  </si>
  <si>
    <t>ANJ</t>
  </si>
  <si>
    <t>ZANAGA</t>
  </si>
  <si>
    <t>CGBOE</t>
  </si>
  <si>
    <t>BOE</t>
  </si>
  <si>
    <t>BOUNDJI</t>
  </si>
  <si>
    <t>CGBTB</t>
  </si>
  <si>
    <t>BETOU</t>
  </si>
  <si>
    <t>CGBZV</t>
  </si>
  <si>
    <t>BZV</t>
  </si>
  <si>
    <t>BRAZZAVILLE</t>
  </si>
  <si>
    <t>CGDIS</t>
  </si>
  <si>
    <t>DIS</t>
  </si>
  <si>
    <t>LOUBOMO</t>
  </si>
  <si>
    <t>CGDJM</t>
  </si>
  <si>
    <t>DJM</t>
  </si>
  <si>
    <t>DJAMBALA</t>
  </si>
  <si>
    <t>CGEPN</t>
  </si>
  <si>
    <t>EPN</t>
  </si>
  <si>
    <t>EPENA</t>
  </si>
  <si>
    <t>CGEWO</t>
  </si>
  <si>
    <t>EWO</t>
  </si>
  <si>
    <t>CGGMM</t>
  </si>
  <si>
    <t>GMM</t>
  </si>
  <si>
    <t>GAMBOMA</t>
  </si>
  <si>
    <t>CGION</t>
  </si>
  <si>
    <t>ION</t>
  </si>
  <si>
    <t>IMPFONDO</t>
  </si>
  <si>
    <t>CGKEE</t>
  </si>
  <si>
    <t>KEE</t>
  </si>
  <si>
    <t>KELLE</t>
  </si>
  <si>
    <t>CGKMK</t>
  </si>
  <si>
    <t>KMK</t>
  </si>
  <si>
    <t>MAKABANA</t>
  </si>
  <si>
    <t>CGKNJ</t>
  </si>
  <si>
    <t>KNJ</t>
  </si>
  <si>
    <t>KINDAMBA</t>
  </si>
  <si>
    <t>CGLCO</t>
  </si>
  <si>
    <t>LCO</t>
  </si>
  <si>
    <t>LAGUE</t>
  </si>
  <si>
    <t>CGLKC</t>
  </si>
  <si>
    <t>LKC</t>
  </si>
  <si>
    <t>LEKANA</t>
  </si>
  <si>
    <t>CGMBI</t>
  </si>
  <si>
    <t>MBI</t>
  </si>
  <si>
    <t>MBINDA</t>
  </si>
  <si>
    <t>CGMKJ</t>
  </si>
  <si>
    <t>MKJ</t>
  </si>
  <si>
    <t>MAKOUA</t>
  </si>
  <si>
    <t>CGMOS</t>
  </si>
  <si>
    <t>MOS</t>
  </si>
  <si>
    <t>MOSSAKA</t>
  </si>
  <si>
    <t>CGMSX</t>
  </si>
  <si>
    <t>MSX</t>
  </si>
  <si>
    <t>MOSSENDJO</t>
  </si>
  <si>
    <t>CGMUY</t>
  </si>
  <si>
    <t>MUY</t>
  </si>
  <si>
    <t>MOUYONDZI</t>
  </si>
  <si>
    <t>CGNKY</t>
  </si>
  <si>
    <t>NKY</t>
  </si>
  <si>
    <t>NKAYI</t>
  </si>
  <si>
    <t>CGOKG</t>
  </si>
  <si>
    <t>OKG</t>
  </si>
  <si>
    <t>OKOYO</t>
  </si>
  <si>
    <t>CGOUE</t>
  </si>
  <si>
    <t>OUE</t>
  </si>
  <si>
    <t>OUESSO</t>
  </si>
  <si>
    <t>CGOYO</t>
  </si>
  <si>
    <t>CGPNR</t>
  </si>
  <si>
    <t>PNR</t>
  </si>
  <si>
    <t>POINTE NOIRE</t>
  </si>
  <si>
    <t>CGSIB</t>
  </si>
  <si>
    <t>SIB</t>
  </si>
  <si>
    <t>SIBITI</t>
  </si>
  <si>
    <t>CGSOE</t>
  </si>
  <si>
    <t>SOE</t>
  </si>
  <si>
    <t>SOUANKE</t>
  </si>
  <si>
    <t>CGZZZ</t>
  </si>
  <si>
    <t>OWANDO</t>
  </si>
  <si>
    <t>FTX</t>
  </si>
  <si>
    <t>SWITZERLAND</t>
  </si>
  <si>
    <t>スイス</t>
  </si>
  <si>
    <t>CHBRN</t>
  </si>
  <si>
    <t>CH</t>
  </si>
  <si>
    <t>BRN</t>
  </si>
  <si>
    <t>BERN</t>
  </si>
  <si>
    <t>SWITZ</t>
  </si>
  <si>
    <t>CHBSL</t>
  </si>
  <si>
    <t>BSL</t>
  </si>
  <si>
    <t>BASEL</t>
  </si>
  <si>
    <t>CHGVA</t>
  </si>
  <si>
    <t>GVA</t>
  </si>
  <si>
    <t>GENEVE</t>
  </si>
  <si>
    <t>CHLUG</t>
  </si>
  <si>
    <t>LUG</t>
  </si>
  <si>
    <t>LUGANO</t>
  </si>
  <si>
    <t>CHSIR</t>
  </si>
  <si>
    <t>SIR</t>
  </si>
  <si>
    <t>SION</t>
  </si>
  <si>
    <t>CHSMV</t>
  </si>
  <si>
    <t>SMV</t>
  </si>
  <si>
    <t>ST MORITZ</t>
  </si>
  <si>
    <t>CHWIL</t>
  </si>
  <si>
    <t>CHZRH</t>
  </si>
  <si>
    <t>ZRH</t>
  </si>
  <si>
    <t>ZURICH</t>
  </si>
  <si>
    <t>CHZZZ</t>
  </si>
  <si>
    <t>ALTENRHEIN</t>
  </si>
  <si>
    <t>ACH</t>
  </si>
  <si>
    <t>COTE D'IVOIRE</t>
  </si>
  <si>
    <t>コートジボワール</t>
  </si>
  <si>
    <t>CIABJ</t>
  </si>
  <si>
    <t>CI</t>
  </si>
  <si>
    <t>ABJ</t>
  </si>
  <si>
    <t>ABIDJAN</t>
  </si>
  <si>
    <t>IVORY</t>
  </si>
  <si>
    <t>CIASK</t>
  </si>
  <si>
    <t>ASK</t>
  </si>
  <si>
    <t>YAMOUSSOUKRO</t>
  </si>
  <si>
    <t>CIASS</t>
  </si>
  <si>
    <t>ASS</t>
  </si>
  <si>
    <t>ASSINIE</t>
  </si>
  <si>
    <t>CIBBE</t>
  </si>
  <si>
    <t>BOUBELE</t>
  </si>
  <si>
    <t>CIBDK</t>
  </si>
  <si>
    <t>BDK</t>
  </si>
  <si>
    <t>BONDOUKOU</t>
  </si>
  <si>
    <t>CIBGG</t>
  </si>
  <si>
    <t>BGG</t>
  </si>
  <si>
    <t>BONGOUANOU</t>
  </si>
  <si>
    <t>CIBRZ</t>
  </si>
  <si>
    <t>BRZ</t>
  </si>
  <si>
    <t>BOROTOU</t>
  </si>
  <si>
    <t>CIBYK</t>
  </si>
  <si>
    <t>BYK</t>
  </si>
  <si>
    <t>BOUAKE</t>
  </si>
  <si>
    <t>CIDJO</t>
  </si>
  <si>
    <t>DJO</t>
  </si>
  <si>
    <t>DALOA</t>
  </si>
  <si>
    <t>CIFEK</t>
  </si>
  <si>
    <t>FEK</t>
  </si>
  <si>
    <t>FERKESSEDOUGO</t>
  </si>
  <si>
    <t>CIFRE</t>
  </si>
  <si>
    <t>FRESCO</t>
  </si>
  <si>
    <t>CIGBA</t>
  </si>
  <si>
    <t>GBA</t>
  </si>
  <si>
    <t>GRAND BASAM</t>
  </si>
  <si>
    <t>CIGLU</t>
  </si>
  <si>
    <t>GLU</t>
  </si>
  <si>
    <t>GRAND LAHOU</t>
  </si>
  <si>
    <t>CIHGO</t>
  </si>
  <si>
    <t>HGO</t>
  </si>
  <si>
    <t>KORHOGO</t>
  </si>
  <si>
    <t>CIJAB</t>
  </si>
  <si>
    <t>JABOU</t>
  </si>
  <si>
    <t>CIJAC</t>
  </si>
  <si>
    <t>JAC</t>
  </si>
  <si>
    <t>JACQUIVILLE</t>
  </si>
  <si>
    <t>CIKEO</t>
  </si>
  <si>
    <t>KEO</t>
  </si>
  <si>
    <t>ODIENNE</t>
  </si>
  <si>
    <t>CIKOS</t>
  </si>
  <si>
    <t>KOS</t>
  </si>
  <si>
    <t>KOSAO</t>
  </si>
  <si>
    <t>CIMJC</t>
  </si>
  <si>
    <t>MJC</t>
  </si>
  <si>
    <t>CIOGO</t>
  </si>
  <si>
    <t>OGO</t>
  </si>
  <si>
    <t>ABENGOUROU</t>
  </si>
  <si>
    <t>CIPBT</t>
  </si>
  <si>
    <t>PORT BOUET</t>
  </si>
  <si>
    <t>CISEO</t>
  </si>
  <si>
    <t>SEO</t>
  </si>
  <si>
    <t>SEGUELA</t>
  </si>
  <si>
    <t>CISPY</t>
  </si>
  <si>
    <t>SPY</t>
  </si>
  <si>
    <t>CITXU</t>
  </si>
  <si>
    <t>TXU</t>
  </si>
  <si>
    <t>TABOU</t>
  </si>
  <si>
    <t>CIZSS</t>
  </si>
  <si>
    <t>ZSS</t>
  </si>
  <si>
    <t>SASSANDRA</t>
  </si>
  <si>
    <t>CIZZZ</t>
  </si>
  <si>
    <t>ABOISSO</t>
  </si>
  <si>
    <t>ABO</t>
  </si>
  <si>
    <t>BEREBY</t>
  </si>
  <si>
    <t>BBV</t>
  </si>
  <si>
    <t>BOUNA</t>
  </si>
  <si>
    <t>BQO</t>
  </si>
  <si>
    <t>BUYO</t>
  </si>
  <si>
    <t>BUU</t>
  </si>
  <si>
    <t>BOUNDIALI</t>
  </si>
  <si>
    <t>BXI</t>
  </si>
  <si>
    <t>DIMBOKRO</t>
  </si>
  <si>
    <t>DIM</t>
  </si>
  <si>
    <t>DIVO</t>
  </si>
  <si>
    <t>DIV</t>
  </si>
  <si>
    <t>DANANE</t>
  </si>
  <si>
    <t>DNC</t>
  </si>
  <si>
    <t>GAGNOA</t>
  </si>
  <si>
    <t>GGN</t>
  </si>
  <si>
    <t>GUIGLO</t>
  </si>
  <si>
    <t>GGO</t>
  </si>
  <si>
    <t>KATIOLA</t>
  </si>
  <si>
    <t>LAKOTA</t>
  </si>
  <si>
    <t>LKT</t>
  </si>
  <si>
    <t>MANKONO</t>
  </si>
  <si>
    <t>MOK</t>
  </si>
  <si>
    <t>OUANGO FITINI</t>
  </si>
  <si>
    <t>OFI</t>
  </si>
  <si>
    <t>TAABO</t>
  </si>
  <si>
    <t>TBX</t>
  </si>
  <si>
    <t>TINGRELA</t>
  </si>
  <si>
    <t>TGX</t>
  </si>
  <si>
    <t>TOUBA</t>
  </si>
  <si>
    <t>TOZ</t>
  </si>
  <si>
    <t>M'BAHIAKRO</t>
  </si>
  <si>
    <t>XMB</t>
  </si>
  <si>
    <t>ZUENOULA</t>
  </si>
  <si>
    <t>ZUE</t>
  </si>
  <si>
    <t>COOK</t>
  </si>
  <si>
    <t>クック</t>
  </si>
  <si>
    <t>CKAIT</t>
  </si>
  <si>
    <t>CK</t>
  </si>
  <si>
    <t>AIT</t>
  </si>
  <si>
    <t>AITUTAKI</t>
  </si>
  <si>
    <t>CKAIU</t>
  </si>
  <si>
    <t>AIU</t>
  </si>
  <si>
    <t>ATIU</t>
  </si>
  <si>
    <t>CKMGS</t>
  </si>
  <si>
    <t>MGS</t>
  </si>
  <si>
    <t>MANGAIA</t>
  </si>
  <si>
    <t>CKMOI</t>
  </si>
  <si>
    <t>MOI</t>
  </si>
  <si>
    <t>MITIARO ISLAND</t>
  </si>
  <si>
    <t>CKMUK</t>
  </si>
  <si>
    <t>MUK</t>
  </si>
  <si>
    <t>MAUKE ISLAND</t>
  </si>
  <si>
    <t>CKNSU</t>
  </si>
  <si>
    <t>NSU</t>
  </si>
  <si>
    <t>NASSAU</t>
  </si>
  <si>
    <t>CKPPK</t>
  </si>
  <si>
    <t>PPK</t>
  </si>
  <si>
    <t>PUKAPUKA</t>
  </si>
  <si>
    <t>CKRAR</t>
  </si>
  <si>
    <t>RAR</t>
  </si>
  <si>
    <t>RAROTONGA</t>
  </si>
  <si>
    <t>CKZZZ</t>
  </si>
  <si>
    <t>CHILE</t>
  </si>
  <si>
    <t>チリ</t>
  </si>
  <si>
    <t>CLANF</t>
  </si>
  <si>
    <t>CL</t>
  </si>
  <si>
    <t>ANF</t>
  </si>
  <si>
    <t>ANTOFAGASTA</t>
  </si>
  <si>
    <t>CLARI</t>
  </si>
  <si>
    <t>ARI</t>
  </si>
  <si>
    <t>ARICA</t>
  </si>
  <si>
    <t>CLBAG</t>
  </si>
  <si>
    <t>BAG</t>
  </si>
  <si>
    <t>BAHIA GREGORIO</t>
  </si>
  <si>
    <t>CLBAR</t>
  </si>
  <si>
    <t>BARQUITO</t>
  </si>
  <si>
    <t>CLBBA</t>
  </si>
  <si>
    <t>BBA</t>
  </si>
  <si>
    <t>BALMACEDA</t>
  </si>
  <si>
    <t>CLCAL</t>
  </si>
  <si>
    <t>CALETA PARILLOS</t>
  </si>
  <si>
    <t>CLCCP</t>
  </si>
  <si>
    <t>CCP</t>
  </si>
  <si>
    <t>CLCJC</t>
  </si>
  <si>
    <t>CJC</t>
  </si>
  <si>
    <t>CALAMA</t>
  </si>
  <si>
    <t>CLCLD</t>
  </si>
  <si>
    <t>CLD</t>
  </si>
  <si>
    <t>CALDERA</t>
  </si>
  <si>
    <t>CLCLR</t>
  </si>
  <si>
    <t>CLARENCIA</t>
  </si>
  <si>
    <t>CLCNL</t>
  </si>
  <si>
    <t>CNL</t>
  </si>
  <si>
    <t>CORONEL</t>
  </si>
  <si>
    <t>CLCNR</t>
  </si>
  <si>
    <t>CNR</t>
  </si>
  <si>
    <t>CHANARAL</t>
  </si>
  <si>
    <t>CLCNX</t>
  </si>
  <si>
    <t>CNX</t>
  </si>
  <si>
    <t>CABO NEGRO</t>
  </si>
  <si>
    <t>CLCPO</t>
  </si>
  <si>
    <t>CPO</t>
  </si>
  <si>
    <t>COPIAPO</t>
  </si>
  <si>
    <t>CLCQQ</t>
  </si>
  <si>
    <t>CQQ</t>
  </si>
  <si>
    <t>COQUIMBO</t>
  </si>
  <si>
    <t>CLCRR</t>
  </si>
  <si>
    <t>CORRAL</t>
  </si>
  <si>
    <t>CLCXQ</t>
  </si>
  <si>
    <t>COYHAIQUE</t>
  </si>
  <si>
    <t>CLESR</t>
  </si>
  <si>
    <t>ESR</t>
  </si>
  <si>
    <t>EL SALVADOR</t>
  </si>
  <si>
    <t>CLGYC</t>
  </si>
  <si>
    <t>GYC</t>
  </si>
  <si>
    <t>GUAYACAN</t>
  </si>
  <si>
    <t>CLHSO</t>
  </si>
  <si>
    <t>HSO</t>
  </si>
  <si>
    <t>HUASCO</t>
  </si>
  <si>
    <t>CLIPC</t>
  </si>
  <si>
    <t>IPC</t>
  </si>
  <si>
    <t>ISLA DE PASCUA</t>
  </si>
  <si>
    <t>CLIQQ</t>
  </si>
  <si>
    <t>IQQ</t>
  </si>
  <si>
    <t>IQUIQUE</t>
  </si>
  <si>
    <t>CLISG</t>
  </si>
  <si>
    <t>ISG</t>
  </si>
  <si>
    <t>ISLA GUARELLO</t>
  </si>
  <si>
    <t>CLKNA</t>
  </si>
  <si>
    <t>KNA</t>
  </si>
  <si>
    <t>VINA DEL MAR</t>
  </si>
  <si>
    <t>CLLEB</t>
  </si>
  <si>
    <t>LEB</t>
  </si>
  <si>
    <t>LEBU</t>
  </si>
  <si>
    <t>CLLOS</t>
  </si>
  <si>
    <t>LOS</t>
  </si>
  <si>
    <t>LOS VILOS</t>
  </si>
  <si>
    <t>CLLQN</t>
  </si>
  <si>
    <t>LIRQUEN</t>
  </si>
  <si>
    <t>CLLSC</t>
  </si>
  <si>
    <t>LSC</t>
  </si>
  <si>
    <t>LA SERENA</t>
  </si>
  <si>
    <t>CLLSQ</t>
  </si>
  <si>
    <t>LSQ</t>
  </si>
  <si>
    <t>LOS ANGELES</t>
  </si>
  <si>
    <t>CLLTA</t>
  </si>
  <si>
    <t>LTA</t>
  </si>
  <si>
    <t>LOTA</t>
  </si>
  <si>
    <t>CLMJS</t>
  </si>
  <si>
    <t>MJS</t>
  </si>
  <si>
    <t>MEJILLONES</t>
  </si>
  <si>
    <t>CLOVL</t>
  </si>
  <si>
    <t>OVL</t>
  </si>
  <si>
    <t>OVALLE</t>
  </si>
  <si>
    <t>CLPAG</t>
  </si>
  <si>
    <t>PAG</t>
  </si>
  <si>
    <t>PUERTO ANGAMOS</t>
  </si>
  <si>
    <t>CLPEO</t>
  </si>
  <si>
    <t>PEO</t>
  </si>
  <si>
    <t>PENCO</t>
  </si>
  <si>
    <t>CLPMC</t>
  </si>
  <si>
    <t>PMC</t>
  </si>
  <si>
    <t>PUERTO MONTT</t>
  </si>
  <si>
    <t>CLPNT</t>
  </si>
  <si>
    <t>PNT</t>
  </si>
  <si>
    <t>PUERTO NATALES</t>
  </si>
  <si>
    <t>CLPPY</t>
  </si>
  <si>
    <t>PUERTO PERCY</t>
  </si>
  <si>
    <t>CLPTI</t>
  </si>
  <si>
    <t>PATILLOS</t>
  </si>
  <si>
    <t>CLPUQ</t>
  </si>
  <si>
    <t>PUQ</t>
  </si>
  <si>
    <t>PUNTA ARENAS</t>
  </si>
  <si>
    <t>CLQMC</t>
  </si>
  <si>
    <t>QMC</t>
  </si>
  <si>
    <t>QUEMCHI</t>
  </si>
  <si>
    <t>CLQTV</t>
  </si>
  <si>
    <t>QTV</t>
  </si>
  <si>
    <t>LONCURA/QUINTERO</t>
  </si>
  <si>
    <t>CLSAI</t>
  </si>
  <si>
    <t>SAI</t>
  </si>
  <si>
    <t>SAN ANTONIO</t>
  </si>
  <si>
    <t>CLSCL</t>
  </si>
  <si>
    <t>SCL</t>
  </si>
  <si>
    <t>SANTIAGO</t>
  </si>
  <si>
    <t>CLSVE</t>
  </si>
  <si>
    <t>SVE</t>
  </si>
  <si>
    <t>SAN VICENTE</t>
  </si>
  <si>
    <t>CLTAL</t>
  </si>
  <si>
    <t>TAL</t>
  </si>
  <si>
    <t>TALCAHUANO</t>
  </si>
  <si>
    <t>CLTLX</t>
  </si>
  <si>
    <t>TLX</t>
  </si>
  <si>
    <t>TALCA</t>
  </si>
  <si>
    <t>CLTOM</t>
  </si>
  <si>
    <t>TOM</t>
  </si>
  <si>
    <t>TOME</t>
  </si>
  <si>
    <t>CLTOQ</t>
  </si>
  <si>
    <t>TOCOPILLA</t>
  </si>
  <si>
    <t>CLTTC</t>
  </si>
  <si>
    <t>TTC</t>
  </si>
  <si>
    <t>TALTAL</t>
  </si>
  <si>
    <t>CLULC</t>
  </si>
  <si>
    <t>ULC</t>
  </si>
  <si>
    <t>LOS CERRILLOS APT/SANTIAGO</t>
  </si>
  <si>
    <t>CLVAP</t>
  </si>
  <si>
    <t>VAP</t>
  </si>
  <si>
    <t>VALPARAISO</t>
  </si>
  <si>
    <t>CLWCA</t>
  </si>
  <si>
    <t>WCA</t>
  </si>
  <si>
    <t>CASTRO</t>
  </si>
  <si>
    <t>CLWCH</t>
  </si>
  <si>
    <t>WCH</t>
  </si>
  <si>
    <t>CHAITEN</t>
  </si>
  <si>
    <t>CLWPA</t>
  </si>
  <si>
    <t>WPA</t>
  </si>
  <si>
    <t>PUERTO AYSEN/CHACABUCO</t>
  </si>
  <si>
    <t>CLWPU</t>
  </si>
  <si>
    <t>WPU</t>
  </si>
  <si>
    <t>PUERTO WILLIAMS</t>
  </si>
  <si>
    <t>CLYAI</t>
  </si>
  <si>
    <t>YAI</t>
  </si>
  <si>
    <t>CHILLAN</t>
  </si>
  <si>
    <t>CLZAL</t>
  </si>
  <si>
    <t>ZAL</t>
  </si>
  <si>
    <t>VALDIVIA</t>
  </si>
  <si>
    <t>CLZCO</t>
  </si>
  <si>
    <t>ZCO</t>
  </si>
  <si>
    <t>TEMUCO</t>
  </si>
  <si>
    <t>CLZIC</t>
  </si>
  <si>
    <t>ZIC</t>
  </si>
  <si>
    <t>VICTORIA</t>
  </si>
  <si>
    <t>CLZOS</t>
  </si>
  <si>
    <t>ZOS</t>
  </si>
  <si>
    <t>OSORNO</t>
  </si>
  <si>
    <t>CLZUD</t>
  </si>
  <si>
    <t>ZUD</t>
  </si>
  <si>
    <t>ANCUD</t>
  </si>
  <si>
    <t>CLZZZ</t>
  </si>
  <si>
    <t>CHILE CHICO</t>
  </si>
  <si>
    <t>CCH</t>
  </si>
  <si>
    <t>FUTALEUFU</t>
  </si>
  <si>
    <t>FFU</t>
  </si>
  <si>
    <t>LAGO COCHRANE</t>
  </si>
  <si>
    <t>LGR</t>
  </si>
  <si>
    <t>CERRO SOMBRER</t>
  </si>
  <si>
    <t>VALLENAR</t>
  </si>
  <si>
    <t>VLR</t>
  </si>
  <si>
    <t>ALTO PALENA</t>
  </si>
  <si>
    <t>WAP</t>
  </si>
  <si>
    <t>PORVENIR</t>
  </si>
  <si>
    <t>WPR</t>
  </si>
  <si>
    <t>PUCON</t>
  </si>
  <si>
    <t>ZPC</t>
  </si>
  <si>
    <t>CAMEROON</t>
  </si>
  <si>
    <t>カメルーン</t>
  </si>
  <si>
    <t>CMBFX</t>
  </si>
  <si>
    <t>CM</t>
  </si>
  <si>
    <t>BFX</t>
  </si>
  <si>
    <t>BAFOUSSAM</t>
  </si>
  <si>
    <t>CAMER</t>
  </si>
  <si>
    <t>CMBLC</t>
  </si>
  <si>
    <t>BALI</t>
  </si>
  <si>
    <t>CMDLA</t>
  </si>
  <si>
    <t>DLA</t>
  </si>
  <si>
    <t>DOUALA</t>
  </si>
  <si>
    <t>CMDSC</t>
  </si>
  <si>
    <t>DSC</t>
  </si>
  <si>
    <t>DSCHANG</t>
  </si>
  <si>
    <t>CMFOM</t>
  </si>
  <si>
    <t>FOM</t>
  </si>
  <si>
    <t>FOUMBAN</t>
  </si>
  <si>
    <t>CMGOU</t>
  </si>
  <si>
    <t>GOU</t>
  </si>
  <si>
    <t>GAROUA</t>
  </si>
  <si>
    <t>CMKBI</t>
  </si>
  <si>
    <t>KBI</t>
  </si>
  <si>
    <t>KRIBI</t>
  </si>
  <si>
    <t>CMKLE</t>
  </si>
  <si>
    <t>KLE</t>
  </si>
  <si>
    <t>KAELE</t>
  </si>
  <si>
    <t>CMKOB</t>
  </si>
  <si>
    <t>KOB</t>
  </si>
  <si>
    <t>KOUTABA</t>
  </si>
  <si>
    <t>CMMMF</t>
  </si>
  <si>
    <t>MMF</t>
  </si>
  <si>
    <t>MAMFE</t>
  </si>
  <si>
    <t>CMMVR</t>
  </si>
  <si>
    <t>MVR</t>
  </si>
  <si>
    <t>MAROUA</t>
  </si>
  <si>
    <t>CMNKS</t>
  </si>
  <si>
    <t>NKS</t>
  </si>
  <si>
    <t>NKONGSAMBA</t>
  </si>
  <si>
    <t>CMOUR</t>
  </si>
  <si>
    <t>OUR</t>
  </si>
  <si>
    <t>BATOURI</t>
  </si>
  <si>
    <t>CMTKC</t>
  </si>
  <si>
    <t>TKC</t>
  </si>
  <si>
    <t>TIKO</t>
  </si>
  <si>
    <t>CMVCC</t>
  </si>
  <si>
    <t>VCC</t>
  </si>
  <si>
    <t>CMYAO</t>
  </si>
  <si>
    <t>YAO</t>
  </si>
  <si>
    <t>YAOUNDE</t>
  </si>
  <si>
    <t>CMZZZ</t>
  </si>
  <si>
    <t>BERTOUA</t>
  </si>
  <si>
    <t>BTA</t>
  </si>
  <si>
    <t>EBOLOWA</t>
  </si>
  <si>
    <t>EBW</t>
  </si>
  <si>
    <t>YAGOUA</t>
  </si>
  <si>
    <t>GXX</t>
  </si>
  <si>
    <t>NGAOUNDERE</t>
  </si>
  <si>
    <t>NGE</t>
  </si>
  <si>
    <t>YAOUNDE NSIMALEN</t>
  </si>
  <si>
    <t>NSI</t>
  </si>
  <si>
    <t>中華人民共和国</t>
  </si>
  <si>
    <t>CNAQG</t>
  </si>
  <si>
    <t>CN</t>
  </si>
  <si>
    <t>AQG</t>
  </si>
  <si>
    <t>ANQING</t>
  </si>
  <si>
    <t>T34</t>
  </si>
  <si>
    <t>CNBAS</t>
  </si>
  <si>
    <t>BAS</t>
  </si>
  <si>
    <t>BASUO</t>
  </si>
  <si>
    <t>CNBAV</t>
  </si>
  <si>
    <t>BAV</t>
  </si>
  <si>
    <t>BAOTOU</t>
  </si>
  <si>
    <t>CNBAY</t>
  </si>
  <si>
    <t>BAY</t>
  </si>
  <si>
    <t>BAYUQUAN</t>
  </si>
  <si>
    <t>CNBHY</t>
  </si>
  <si>
    <t>BHY</t>
  </si>
  <si>
    <t>BEIHAI</t>
  </si>
  <si>
    <t>CNBJS</t>
  </si>
  <si>
    <t>BJS</t>
  </si>
  <si>
    <t>BEIJING</t>
  </si>
  <si>
    <t>CNCAN</t>
  </si>
  <si>
    <t>GUANGZHOU</t>
  </si>
  <si>
    <t>CNCFD</t>
  </si>
  <si>
    <t>CFD</t>
  </si>
  <si>
    <t>CAOFEIDIAN PT</t>
  </si>
  <si>
    <t>CNCGD</t>
  </si>
  <si>
    <t>CGD</t>
  </si>
  <si>
    <t>CHANGDE</t>
  </si>
  <si>
    <t>CNCGO</t>
  </si>
  <si>
    <t>CGO</t>
  </si>
  <si>
    <t>ZHENGZHOU</t>
  </si>
  <si>
    <t>CNCGQ</t>
  </si>
  <si>
    <t>CGQ</t>
  </si>
  <si>
    <t>CHANGCHUN</t>
  </si>
  <si>
    <t>CNCGU</t>
  </si>
  <si>
    <t>CGU</t>
  </si>
  <si>
    <t>CHANGSHU</t>
  </si>
  <si>
    <t>CNCIH</t>
  </si>
  <si>
    <t>CIH</t>
  </si>
  <si>
    <t>CHANGZHI</t>
  </si>
  <si>
    <t>CNCJG</t>
  </si>
  <si>
    <t>CJG</t>
  </si>
  <si>
    <t>CHANGJIAGANG</t>
  </si>
  <si>
    <t>CNCKG</t>
  </si>
  <si>
    <t>CKG</t>
  </si>
  <si>
    <t>CHONGQING</t>
  </si>
  <si>
    <t>CNCLJ</t>
  </si>
  <si>
    <t>CLJ</t>
  </si>
  <si>
    <t>CHENGLINJI</t>
  </si>
  <si>
    <t>CNCNA</t>
  </si>
  <si>
    <t>CNA</t>
  </si>
  <si>
    <t>CHANGSHA</t>
  </si>
  <si>
    <t>CNCSX</t>
  </si>
  <si>
    <t>CSX</t>
  </si>
  <si>
    <t>CNCTU</t>
  </si>
  <si>
    <t>CTU</t>
  </si>
  <si>
    <t>CHENGDU</t>
  </si>
  <si>
    <t>CNCWN</t>
  </si>
  <si>
    <t>CWN</t>
  </si>
  <si>
    <t>CHIWAN</t>
  </si>
  <si>
    <t>CNCZX</t>
  </si>
  <si>
    <t>CZX</t>
  </si>
  <si>
    <t xml:space="preserve">CHANGZHOU           </t>
  </si>
  <si>
    <t>CNDAA</t>
  </si>
  <si>
    <t>DAGANG</t>
  </si>
  <si>
    <t>CNDAT</t>
  </si>
  <si>
    <t>DAT</t>
  </si>
  <si>
    <t>DATONG</t>
  </si>
  <si>
    <t>CNDCB</t>
  </si>
  <si>
    <t>DCB</t>
  </si>
  <si>
    <t>DA CHAN BAY</t>
  </si>
  <si>
    <t>CNDDG</t>
  </si>
  <si>
    <t>DDG</t>
  </si>
  <si>
    <t>DANDONG</t>
  </si>
  <si>
    <t>CNDFG</t>
  </si>
  <si>
    <t>DAFENG</t>
  </si>
  <si>
    <t>CNDGG</t>
  </si>
  <si>
    <t>DGG</t>
  </si>
  <si>
    <t>DONGGUAN PT</t>
  </si>
  <si>
    <t>CNDLC</t>
  </si>
  <si>
    <t>DLC</t>
  </si>
  <si>
    <t>DALIAN</t>
  </si>
  <si>
    <t>CNDSN</t>
  </si>
  <si>
    <t>DSN</t>
  </si>
  <si>
    <t>DONGSHAN</t>
  </si>
  <si>
    <t>CNFAN</t>
  </si>
  <si>
    <t>FAN</t>
  </si>
  <si>
    <t>FANGCHENG</t>
  </si>
  <si>
    <t>CNFOC</t>
  </si>
  <si>
    <t>FOC</t>
  </si>
  <si>
    <t>FUZHOU</t>
  </si>
  <si>
    <t>CNFOS</t>
  </si>
  <si>
    <t>FOSHAN</t>
  </si>
  <si>
    <t>CNFUO</t>
  </si>
  <si>
    <t>FUO</t>
  </si>
  <si>
    <t>FOSHAN APT</t>
  </si>
  <si>
    <t>CNGBP</t>
  </si>
  <si>
    <t>GONGBEI</t>
  </si>
  <si>
    <t>CNHAK</t>
  </si>
  <si>
    <t>HAK</t>
  </si>
  <si>
    <t>HAIKOU</t>
  </si>
  <si>
    <t>CNHET</t>
  </si>
  <si>
    <t>HET</t>
  </si>
  <si>
    <t>HOHHOT</t>
  </si>
  <si>
    <t>CNHFE</t>
  </si>
  <si>
    <t>HFE</t>
  </si>
  <si>
    <t>HEFEI</t>
  </si>
  <si>
    <t>CNHGH</t>
  </si>
  <si>
    <t>HGH</t>
  </si>
  <si>
    <t>HANGZHOU</t>
  </si>
  <si>
    <t>CNHIA</t>
  </si>
  <si>
    <t>HIA</t>
  </si>
  <si>
    <t xml:space="preserve">HUAI'AN             </t>
  </si>
  <si>
    <t>CNHLD</t>
  </si>
  <si>
    <t>HLD</t>
  </si>
  <si>
    <t>HAILAR</t>
  </si>
  <si>
    <t>CNHME</t>
  </si>
  <si>
    <t>HME</t>
  </si>
  <si>
    <t>HAIMEN</t>
  </si>
  <si>
    <t>CNHMP</t>
  </si>
  <si>
    <t>HMP</t>
  </si>
  <si>
    <t>HAIMEN PT</t>
  </si>
  <si>
    <t>CNHNY</t>
  </si>
  <si>
    <t>HNY</t>
  </si>
  <si>
    <t>HENGYANG</t>
  </si>
  <si>
    <t>CNHRB</t>
  </si>
  <si>
    <t>HRB</t>
  </si>
  <si>
    <t>HARBIN</t>
  </si>
  <si>
    <t>CNHUA</t>
  </si>
  <si>
    <t>HUA</t>
  </si>
  <si>
    <t>HUANGPU</t>
  </si>
  <si>
    <t>CNHUI</t>
  </si>
  <si>
    <t>HUI</t>
  </si>
  <si>
    <t>HUIZHOU</t>
  </si>
  <si>
    <t>CNINC</t>
  </si>
  <si>
    <t>INC</t>
  </si>
  <si>
    <t>YINCHUAN</t>
  </si>
  <si>
    <t>CNJDZ</t>
  </si>
  <si>
    <t>JDZ</t>
  </si>
  <si>
    <t>JINGDEZHEN</t>
  </si>
  <si>
    <t>CNJIA</t>
  </si>
  <si>
    <t>JIA</t>
  </si>
  <si>
    <t>JIANGYIN</t>
  </si>
  <si>
    <t>CNJIU</t>
  </si>
  <si>
    <t>JIU</t>
  </si>
  <si>
    <t>JIUJIANG</t>
  </si>
  <si>
    <t>CNJIX</t>
  </si>
  <si>
    <t>JIX</t>
  </si>
  <si>
    <t xml:space="preserve">JIAXING             </t>
  </si>
  <si>
    <t>CNJJN</t>
  </si>
  <si>
    <t>JJN</t>
  </si>
  <si>
    <t>JINJIANG</t>
  </si>
  <si>
    <t>CNJMN</t>
  </si>
  <si>
    <t>JMN</t>
  </si>
  <si>
    <t>JIANGMEN</t>
  </si>
  <si>
    <t>CNJMU</t>
  </si>
  <si>
    <t>JMU</t>
  </si>
  <si>
    <t>JIAMUSI</t>
  </si>
  <si>
    <t>CNJNZ</t>
  </si>
  <si>
    <t>JNZ</t>
  </si>
  <si>
    <t>JINZHOU</t>
  </si>
  <si>
    <t>CNJTG</t>
  </si>
  <si>
    <t>JTG</t>
  </si>
  <si>
    <t>JINGTANG PT</t>
  </si>
  <si>
    <t>CNKHG</t>
  </si>
  <si>
    <t>KHG</t>
  </si>
  <si>
    <t>KASHI</t>
  </si>
  <si>
    <t>CNKHN</t>
  </si>
  <si>
    <t>KHN</t>
  </si>
  <si>
    <t>NANCHANG</t>
  </si>
  <si>
    <t>CNKMG</t>
  </si>
  <si>
    <t>KMG</t>
  </si>
  <si>
    <t>KUNMING</t>
  </si>
  <si>
    <t>CNKNC</t>
  </si>
  <si>
    <t>KNC</t>
  </si>
  <si>
    <t>JI'AN</t>
  </si>
  <si>
    <t>CNKWE</t>
  </si>
  <si>
    <t>KWE</t>
  </si>
  <si>
    <t>GUIYANG</t>
  </si>
  <si>
    <t>CNKWL</t>
  </si>
  <si>
    <t>GUILIN</t>
  </si>
  <si>
    <t>CNLHW</t>
  </si>
  <si>
    <t>LHW</t>
  </si>
  <si>
    <t>LANZHOU</t>
  </si>
  <si>
    <t>CNLIH</t>
  </si>
  <si>
    <t>LIH</t>
  </si>
  <si>
    <t>LIANHUASHAN PT</t>
  </si>
  <si>
    <t>CNLKU</t>
  </si>
  <si>
    <t>LKU</t>
  </si>
  <si>
    <t>LONGKOU</t>
  </si>
  <si>
    <t>CNLSN</t>
  </si>
  <si>
    <t>LSN</t>
  </si>
  <si>
    <t>LANSHAN</t>
  </si>
  <si>
    <t>CNLXA</t>
  </si>
  <si>
    <t>LXA</t>
  </si>
  <si>
    <t>LHASA</t>
  </si>
  <si>
    <t>CNLYG</t>
  </si>
  <si>
    <t>LYG</t>
  </si>
  <si>
    <t>LIANYUNGANG</t>
  </si>
  <si>
    <t>CNLYI</t>
  </si>
  <si>
    <t>LYI</t>
  </si>
  <si>
    <t>LINYI</t>
  </si>
  <si>
    <t>CNLZH</t>
  </si>
  <si>
    <t>LZH</t>
  </si>
  <si>
    <t>LIUZHOU</t>
  </si>
  <si>
    <t>CNMAA</t>
  </si>
  <si>
    <t>MAA</t>
  </si>
  <si>
    <t>MAANSHAN</t>
  </si>
  <si>
    <t>CNMAW</t>
  </si>
  <si>
    <t>MAW</t>
  </si>
  <si>
    <t>MAWEI</t>
  </si>
  <si>
    <t>CNMIG</t>
  </si>
  <si>
    <t>MIG</t>
  </si>
  <si>
    <t>NANJIAO APT/MIANYANG</t>
  </si>
  <si>
    <t>CNMLX</t>
  </si>
  <si>
    <t>MLX</t>
  </si>
  <si>
    <t>MANZHOULI</t>
  </si>
  <si>
    <t>CNMWN</t>
  </si>
  <si>
    <t>MWN</t>
  </si>
  <si>
    <t>MAWAN</t>
  </si>
  <si>
    <t>CNNAH</t>
  </si>
  <si>
    <t>NAH</t>
  </si>
  <si>
    <t>NANHAI</t>
  </si>
  <si>
    <t>CNNAO</t>
  </si>
  <si>
    <t>NAO</t>
  </si>
  <si>
    <t>NANCHONG</t>
  </si>
  <si>
    <t>CNNGB</t>
  </si>
  <si>
    <t>NGB</t>
  </si>
  <si>
    <t>NINGBO</t>
  </si>
  <si>
    <t>CNNKG</t>
  </si>
  <si>
    <t>NKG</t>
  </si>
  <si>
    <t>NANJING</t>
  </si>
  <si>
    <t>CNNNG</t>
  </si>
  <si>
    <t>NNG</t>
  </si>
  <si>
    <t>NANNING</t>
  </si>
  <si>
    <t>CNNNY</t>
  </si>
  <si>
    <t>NNY</t>
  </si>
  <si>
    <t>NANYANG</t>
  </si>
  <si>
    <t>CNNSA</t>
  </si>
  <si>
    <t>NANSHA</t>
  </si>
  <si>
    <t>CNNTG</t>
  </si>
  <si>
    <t>NTG</t>
  </si>
  <si>
    <t>NANTONG</t>
  </si>
  <si>
    <t>CNPEK</t>
  </si>
  <si>
    <t>PEK</t>
  </si>
  <si>
    <t>CAPITAL INTERNATIONAL APT/BEIJING</t>
  </si>
  <si>
    <t>CNPIN</t>
  </si>
  <si>
    <t>PINGXIANG</t>
  </si>
  <si>
    <t>CNPVG</t>
  </si>
  <si>
    <t>PVG</t>
  </si>
  <si>
    <t>PUDONG</t>
  </si>
  <si>
    <t>CNQLN</t>
  </si>
  <si>
    <t>QLN</t>
  </si>
  <si>
    <t>QINGLAN</t>
  </si>
  <si>
    <t>CNQZH</t>
  </si>
  <si>
    <t>QZH</t>
  </si>
  <si>
    <t>QINZHOU</t>
  </si>
  <si>
    <t>CNQZJ</t>
  </si>
  <si>
    <t>QZJ</t>
  </si>
  <si>
    <t>QUANZHOU</t>
  </si>
  <si>
    <t>CNRLC</t>
  </si>
  <si>
    <t>RLC</t>
  </si>
  <si>
    <t>ERENHOT</t>
  </si>
  <si>
    <t>CNROQ</t>
  </si>
  <si>
    <t>ROQ</t>
  </si>
  <si>
    <t>RONGQI</t>
  </si>
  <si>
    <t>CNRZH</t>
  </si>
  <si>
    <t>RZH</t>
  </si>
  <si>
    <t>RIZHAO</t>
  </si>
  <si>
    <t>CNSDG</t>
  </si>
  <si>
    <t>SDG</t>
  </si>
  <si>
    <t>SHUIDONG</t>
  </si>
  <si>
    <t>CNSFE</t>
  </si>
  <si>
    <t>SFE</t>
  </si>
  <si>
    <t>SUIFENHE</t>
  </si>
  <si>
    <t>CNSHA</t>
  </si>
  <si>
    <t>SHA</t>
  </si>
  <si>
    <t>SHANGHAI</t>
  </si>
  <si>
    <t>CNSHD</t>
  </si>
  <si>
    <t>SHD</t>
  </si>
  <si>
    <t>SHIDAO</t>
  </si>
  <si>
    <t>CNSHE</t>
  </si>
  <si>
    <t>SHE</t>
  </si>
  <si>
    <t>SHENYANG</t>
  </si>
  <si>
    <t>CNSHG</t>
  </si>
  <si>
    <t>SANSHAN</t>
  </si>
  <si>
    <t>CNSHK</t>
  </si>
  <si>
    <t>SHK</t>
  </si>
  <si>
    <t>SHEKOU</t>
  </si>
  <si>
    <t>CNSHP</t>
  </si>
  <si>
    <t>SHP</t>
  </si>
  <si>
    <t>QINHUANGDAO</t>
  </si>
  <si>
    <t>CNSHS</t>
  </si>
  <si>
    <t>SHS</t>
  </si>
  <si>
    <t>SHASHI</t>
  </si>
  <si>
    <t>CNSIA</t>
  </si>
  <si>
    <t>SIA</t>
  </si>
  <si>
    <t>XI AN</t>
  </si>
  <si>
    <t>CNSJQ</t>
  </si>
  <si>
    <t>SJQ</t>
  </si>
  <si>
    <t>SANSHUI</t>
  </si>
  <si>
    <t>CNSJW</t>
  </si>
  <si>
    <t>SJW</t>
  </si>
  <si>
    <t xml:space="preserve">SHIJIAZHUANGZHENGDING INTL  </t>
  </si>
  <si>
    <t>CNSNW</t>
  </si>
  <si>
    <t>SNW</t>
  </si>
  <si>
    <t>SHENWAN</t>
  </si>
  <si>
    <t>CNSUD</t>
  </si>
  <si>
    <t>SUD</t>
  </si>
  <si>
    <t>SHUNDE</t>
  </si>
  <si>
    <t>CNSUI</t>
  </si>
  <si>
    <t>SUI</t>
  </si>
  <si>
    <t>SUIGANG HUANGPU</t>
  </si>
  <si>
    <t>CNSWA</t>
  </si>
  <si>
    <t>SWA</t>
  </si>
  <si>
    <t>SHANTOU</t>
  </si>
  <si>
    <t>CNSWE</t>
  </si>
  <si>
    <t>SWE</t>
  </si>
  <si>
    <t>SHANWEI</t>
  </si>
  <si>
    <t>CNSYM</t>
  </si>
  <si>
    <t>SYM</t>
  </si>
  <si>
    <t>SIMAO</t>
  </si>
  <si>
    <t>CNSYX</t>
  </si>
  <si>
    <t>SYX</t>
  </si>
  <si>
    <t>SANYA</t>
  </si>
  <si>
    <t>CNSZH</t>
  </si>
  <si>
    <t>SZH</t>
  </si>
  <si>
    <t>SUZHOU</t>
  </si>
  <si>
    <t>SZV</t>
  </si>
  <si>
    <t>CNSZX</t>
  </si>
  <si>
    <t>SZX</t>
  </si>
  <si>
    <t>SHENZHEN</t>
  </si>
  <si>
    <t>CNTAG</t>
  </si>
  <si>
    <t>TAG</t>
  </si>
  <si>
    <t>TAICANG</t>
  </si>
  <si>
    <t>CNTAO</t>
  </si>
  <si>
    <t>TAO</t>
  </si>
  <si>
    <t>QINGDAO</t>
  </si>
  <si>
    <t>CNTAP</t>
  </si>
  <si>
    <t>TAP</t>
  </si>
  <si>
    <t>TAIPING</t>
  </si>
  <si>
    <t>CNTAS</t>
  </si>
  <si>
    <t>TANGSHAN</t>
  </si>
  <si>
    <t>CNTEN</t>
  </si>
  <si>
    <t>TEN</t>
  </si>
  <si>
    <t>TONGREN</t>
  </si>
  <si>
    <t>CNTGU</t>
  </si>
  <si>
    <t>TGU</t>
  </si>
  <si>
    <t>TANGGU</t>
  </si>
  <si>
    <t>CNTME</t>
  </si>
  <si>
    <t>TME</t>
  </si>
  <si>
    <t>TUMEN</t>
  </si>
  <si>
    <t>CNTNA</t>
  </si>
  <si>
    <t>TNA</t>
  </si>
  <si>
    <t>JINAN</t>
  </si>
  <si>
    <t>CNTOL</t>
  </si>
  <si>
    <t>TONGLING</t>
  </si>
  <si>
    <t>CNTSN</t>
  </si>
  <si>
    <t>TSN</t>
  </si>
  <si>
    <t>TIANJIN</t>
  </si>
  <si>
    <t>CNTXG</t>
  </si>
  <si>
    <t>TXG</t>
  </si>
  <si>
    <t>TIANJINXINGANG</t>
  </si>
  <si>
    <t>CNTXN</t>
  </si>
  <si>
    <t>TXN</t>
  </si>
  <si>
    <t>TUNXI</t>
  </si>
  <si>
    <t>CNTYN</t>
  </si>
  <si>
    <t>TYN</t>
  </si>
  <si>
    <t>TAIYUAN</t>
  </si>
  <si>
    <t>CNURC</t>
  </si>
  <si>
    <t>URC</t>
  </si>
  <si>
    <t>URUMQI</t>
  </si>
  <si>
    <t>CNUYN</t>
  </si>
  <si>
    <t>UYN</t>
  </si>
  <si>
    <t>YULIN</t>
  </si>
  <si>
    <t>CNWEF</t>
  </si>
  <si>
    <t>WEF</t>
  </si>
  <si>
    <t>WEIFANG PT</t>
  </si>
  <si>
    <t>CNWEH</t>
  </si>
  <si>
    <t>WEH</t>
  </si>
  <si>
    <t>WEIHAI APT</t>
  </si>
  <si>
    <t>CNWEI</t>
  </si>
  <si>
    <t>WEIHAI</t>
  </si>
  <si>
    <t>CNWHI</t>
  </si>
  <si>
    <t>WUHU</t>
  </si>
  <si>
    <t>CNWNZ</t>
  </si>
  <si>
    <t>WNZ</t>
  </si>
  <si>
    <t>WENZHOU</t>
  </si>
  <si>
    <t>CNWUH</t>
  </si>
  <si>
    <t>WUH</t>
  </si>
  <si>
    <t>WUHAN</t>
  </si>
  <si>
    <t>CNWUS</t>
  </si>
  <si>
    <t>WUYISHAN</t>
  </si>
  <si>
    <t>WUS</t>
  </si>
  <si>
    <t>CNWUX</t>
  </si>
  <si>
    <t>WUX</t>
  </si>
  <si>
    <t>WUXI</t>
  </si>
  <si>
    <t>CNWUZ</t>
  </si>
  <si>
    <t>WUZ</t>
  </si>
  <si>
    <t>WUZHOU</t>
  </si>
  <si>
    <t>CNXAV</t>
  </si>
  <si>
    <t>XAV</t>
  </si>
  <si>
    <t>XI'AN</t>
  </si>
  <si>
    <t>CNXIN</t>
  </si>
  <si>
    <t>XIN</t>
  </si>
  <si>
    <t>XINHUI</t>
  </si>
  <si>
    <t>CNXMN</t>
  </si>
  <si>
    <t>XMN</t>
  </si>
  <si>
    <t>XIAMEN</t>
  </si>
  <si>
    <t>CNXNN</t>
  </si>
  <si>
    <t>XNN</t>
  </si>
  <si>
    <t>XINING</t>
  </si>
  <si>
    <t>CNXUZ</t>
  </si>
  <si>
    <t>XUZ</t>
  </si>
  <si>
    <t>XUZHOU</t>
  </si>
  <si>
    <t>CNYAN</t>
  </si>
  <si>
    <t>YANGSHAN</t>
  </si>
  <si>
    <t>CNYIC</t>
  </si>
  <si>
    <t>YIC</t>
  </si>
  <si>
    <t xml:space="preserve">YICHANG             </t>
  </si>
  <si>
    <t>CNYIK</t>
  </si>
  <si>
    <t>YINGKOU</t>
  </si>
  <si>
    <t>CNYIN</t>
  </si>
  <si>
    <t>YIN</t>
  </si>
  <si>
    <t>YINING</t>
  </si>
  <si>
    <t>CNYJI</t>
  </si>
  <si>
    <t>YJI</t>
  </si>
  <si>
    <t>YANGJIANG</t>
  </si>
  <si>
    <t>CNYNJ</t>
  </si>
  <si>
    <t>YNJ</t>
  </si>
  <si>
    <t>YANJI CHAOYANGCHUAN APT</t>
  </si>
  <si>
    <t>CNYNT</t>
  </si>
  <si>
    <t>YNT</t>
  </si>
  <si>
    <t>YANTAI</t>
  </si>
  <si>
    <t>CNYNZ</t>
  </si>
  <si>
    <t>YNZ</t>
  </si>
  <si>
    <t xml:space="preserve">YANCHENGNANYANG </t>
  </si>
  <si>
    <t>CNYQS</t>
  </si>
  <si>
    <t>YQS</t>
  </si>
  <si>
    <t>BEIJIAO</t>
  </si>
  <si>
    <t>CNYTN</t>
  </si>
  <si>
    <t>YANTIAN</t>
  </si>
  <si>
    <t>CNYUY</t>
  </si>
  <si>
    <t>YUEYANG</t>
  </si>
  <si>
    <t>CNYZH</t>
  </si>
  <si>
    <t>YANGZHOU</t>
  </si>
  <si>
    <t>CNZAP</t>
  </si>
  <si>
    <t>ZAP</t>
  </si>
  <si>
    <t>ZHAPU</t>
  </si>
  <si>
    <t>CNZHA</t>
  </si>
  <si>
    <t>ZHA</t>
  </si>
  <si>
    <t>ZHANJIANG</t>
  </si>
  <si>
    <t>CNZHE</t>
  </si>
  <si>
    <t>ZHE</t>
  </si>
  <si>
    <t>ZHENJIANG</t>
  </si>
  <si>
    <t>CNZJA</t>
  </si>
  <si>
    <t>ZJA</t>
  </si>
  <si>
    <t>ZHANJIAKOU</t>
  </si>
  <si>
    <t>CNZJG</t>
  </si>
  <si>
    <t>ZHANGJIAGANG</t>
  </si>
  <si>
    <t>CNZOS</t>
  </si>
  <si>
    <t>ZHOUSHAN</t>
  </si>
  <si>
    <t>CNZQG</t>
  </si>
  <si>
    <t>ZQG</t>
  </si>
  <si>
    <t>ZHAOQING</t>
  </si>
  <si>
    <t>CNZSN</t>
  </si>
  <si>
    <t>ZSN</t>
  </si>
  <si>
    <t>ZHONGSHAN</t>
  </si>
  <si>
    <t>CNZUH</t>
  </si>
  <si>
    <t>ZUH</t>
  </si>
  <si>
    <t>ZHUHAI</t>
  </si>
  <si>
    <t>CNZZU</t>
  </si>
  <si>
    <t>ZZU</t>
  </si>
  <si>
    <t>ZHANGZHOU</t>
  </si>
  <si>
    <t>CNZZZ</t>
  </si>
  <si>
    <t>ALTAY</t>
  </si>
  <si>
    <t>AAT</t>
  </si>
  <si>
    <t>ANKANG</t>
  </si>
  <si>
    <t>AKA</t>
  </si>
  <si>
    <t>AKSU</t>
  </si>
  <si>
    <t>AKU</t>
  </si>
  <si>
    <t>BAOSHAN</t>
  </si>
  <si>
    <t>BSD</t>
  </si>
  <si>
    <t>JIUQUAN</t>
  </si>
  <si>
    <t>CHW</t>
  </si>
  <si>
    <t>CHIFENG</t>
  </si>
  <si>
    <t>CIF</t>
  </si>
  <si>
    <t>DAXIAN</t>
  </si>
  <si>
    <t>DAX</t>
  </si>
  <si>
    <t>DONGGUAN</t>
  </si>
  <si>
    <t>DGM</t>
  </si>
  <si>
    <t>DUNHUANG</t>
  </si>
  <si>
    <t>DNH</t>
  </si>
  <si>
    <t>DAYONG</t>
  </si>
  <si>
    <t>DYG</t>
  </si>
  <si>
    <t>ENSHI</t>
  </si>
  <si>
    <t>ENH</t>
  </si>
  <si>
    <t>YANAN</t>
  </si>
  <si>
    <t>ENY</t>
  </si>
  <si>
    <t>FUYUN</t>
  </si>
  <si>
    <t>FYN</t>
  </si>
  <si>
    <t>GUANGHAN</t>
  </si>
  <si>
    <t>GHN</t>
  </si>
  <si>
    <t>GOLMUD</t>
  </si>
  <si>
    <t>GOQ</t>
  </si>
  <si>
    <t>ULANHOT</t>
  </si>
  <si>
    <t>HLH</t>
  </si>
  <si>
    <t>HAMI</t>
  </si>
  <si>
    <t>HMI</t>
  </si>
  <si>
    <t>HSN</t>
  </si>
  <si>
    <t>HOTAN</t>
  </si>
  <si>
    <t>HTN</t>
  </si>
  <si>
    <t>HUANGYAN</t>
  </si>
  <si>
    <t>HYN</t>
  </si>
  <si>
    <t>HANZHONG</t>
  </si>
  <si>
    <t>HZG</t>
  </si>
  <si>
    <t>QIEMO</t>
  </si>
  <si>
    <t>IQM</t>
  </si>
  <si>
    <t>QINGYANG</t>
  </si>
  <si>
    <t>IQN</t>
  </si>
  <si>
    <t>JIAYUGUAN</t>
  </si>
  <si>
    <t>JGN</t>
  </si>
  <si>
    <t>KUQA</t>
  </si>
  <si>
    <t>KCA</t>
  </si>
  <si>
    <t>GANZHOU</t>
  </si>
  <si>
    <t>KOW</t>
  </si>
  <si>
    <t>KORLA</t>
  </si>
  <si>
    <t>KRL</t>
  </si>
  <si>
    <t>KARAMAY</t>
  </si>
  <si>
    <t>KRY</t>
  </si>
  <si>
    <t>LIJIANG CITY</t>
  </si>
  <si>
    <t>LJG</t>
  </si>
  <si>
    <t>LINXI</t>
  </si>
  <si>
    <t>LXI</t>
  </si>
  <si>
    <t>LUOYANG</t>
  </si>
  <si>
    <t>LYA</t>
  </si>
  <si>
    <t>LZD</t>
  </si>
  <si>
    <t xml:space="preserve">DAXING INTL.        </t>
  </si>
  <si>
    <t>PKX</t>
  </si>
  <si>
    <t>TONGLIAO</t>
  </si>
  <si>
    <t>TGO</t>
  </si>
  <si>
    <t>XIANGFAN</t>
  </si>
  <si>
    <t>XFN</t>
  </si>
  <si>
    <t>XICHANG</t>
  </si>
  <si>
    <t>XIC</t>
  </si>
  <si>
    <t>XINGNING</t>
  </si>
  <si>
    <t>X'IAN XIANYANG APT</t>
  </si>
  <si>
    <t>XIY</t>
  </si>
  <si>
    <t>YICHANG</t>
  </si>
  <si>
    <t>YIH</t>
  </si>
  <si>
    <t xml:space="preserve">YIWU </t>
  </si>
  <si>
    <t>YIW</t>
  </si>
  <si>
    <t>YILAN</t>
  </si>
  <si>
    <t>YLN</t>
  </si>
  <si>
    <t>YTY</t>
  </si>
  <si>
    <t>ZHAOTONG</t>
  </si>
  <si>
    <t>ZAT</t>
  </si>
  <si>
    <t>ZGC</t>
  </si>
  <si>
    <t>ZMY</t>
  </si>
  <si>
    <t>COLOMBIA</t>
  </si>
  <si>
    <t>コロンビア</t>
  </si>
  <si>
    <t>COADZ</t>
  </si>
  <si>
    <t>CO</t>
  </si>
  <si>
    <t>ADZ</t>
  </si>
  <si>
    <t>SAN ANDRES</t>
  </si>
  <si>
    <t>COAPO</t>
  </si>
  <si>
    <t>APO</t>
  </si>
  <si>
    <t>APARTADO</t>
  </si>
  <si>
    <t>COAUC</t>
  </si>
  <si>
    <t>AUC</t>
  </si>
  <si>
    <t>ARAUCA</t>
  </si>
  <si>
    <t>COAXM</t>
  </si>
  <si>
    <t>AXM</t>
  </si>
  <si>
    <t>ARMENTIA</t>
  </si>
  <si>
    <t>COBAQ</t>
  </si>
  <si>
    <t>BAQ</t>
  </si>
  <si>
    <t>BARRANQUILLA</t>
  </si>
  <si>
    <t>COBGA</t>
  </si>
  <si>
    <t>BGA</t>
  </si>
  <si>
    <t>BUCARAMANGA</t>
  </si>
  <si>
    <t>COBOG</t>
  </si>
  <si>
    <t>BOG</t>
  </si>
  <si>
    <t>BOGOTA</t>
  </si>
  <si>
    <t>COBUN</t>
  </si>
  <si>
    <t>BUN</t>
  </si>
  <si>
    <t>BUENAVENTURA</t>
  </si>
  <si>
    <t>COCLO</t>
  </si>
  <si>
    <t>CLO</t>
  </si>
  <si>
    <t>CALI</t>
  </si>
  <si>
    <t>COCRC</t>
  </si>
  <si>
    <t>CRC</t>
  </si>
  <si>
    <t>CARTAGO</t>
  </si>
  <si>
    <t>COCTG</t>
  </si>
  <si>
    <t>CTG</t>
  </si>
  <si>
    <t>CARTAGENA</t>
  </si>
  <si>
    <t>COCUC</t>
  </si>
  <si>
    <t>CUC</t>
  </si>
  <si>
    <t>CUCUTA</t>
  </si>
  <si>
    <t>COCVE</t>
  </si>
  <si>
    <t>CVE</t>
  </si>
  <si>
    <t>COVENAS</t>
  </si>
  <si>
    <t>COEBG</t>
  </si>
  <si>
    <t>EBG</t>
  </si>
  <si>
    <t>EL BAGRE</t>
  </si>
  <si>
    <t>COEJA</t>
  </si>
  <si>
    <t>EJA</t>
  </si>
  <si>
    <t>BARRANCABERMEJA</t>
  </si>
  <si>
    <t>COFLA</t>
  </si>
  <si>
    <t>FLA</t>
  </si>
  <si>
    <t>FLORENCIA</t>
  </si>
  <si>
    <t>COGRA</t>
  </si>
  <si>
    <t>GRA</t>
  </si>
  <si>
    <t>GAMARRA</t>
  </si>
  <si>
    <t>COIGO</t>
  </si>
  <si>
    <t>IGO</t>
  </si>
  <si>
    <t>CHIGORODO</t>
  </si>
  <si>
    <t>COISD</t>
  </si>
  <si>
    <t>ISD</t>
  </si>
  <si>
    <t>ISCUANDE</t>
  </si>
  <si>
    <t>COLET</t>
  </si>
  <si>
    <t>LET</t>
  </si>
  <si>
    <t>LETICIA</t>
  </si>
  <si>
    <t>COLMC</t>
  </si>
  <si>
    <t>LMC</t>
  </si>
  <si>
    <t>LAMACARENA</t>
  </si>
  <si>
    <t>COMDE</t>
  </si>
  <si>
    <t>MDE</t>
  </si>
  <si>
    <t>MEDELLIN</t>
  </si>
  <si>
    <t>COMTR</t>
  </si>
  <si>
    <t>MONTERIA</t>
  </si>
  <si>
    <t>COMZL</t>
  </si>
  <si>
    <t>MZL</t>
  </si>
  <si>
    <t>MANIZALES</t>
  </si>
  <si>
    <t>CONCI</t>
  </si>
  <si>
    <t>NCI</t>
  </si>
  <si>
    <t>NECOCLI</t>
  </si>
  <si>
    <t>CONVA</t>
  </si>
  <si>
    <t>NVA</t>
  </si>
  <si>
    <t>NEIVA</t>
  </si>
  <si>
    <t>COPBE</t>
  </si>
  <si>
    <t>PBE</t>
  </si>
  <si>
    <t>PUERTO BERRIO</t>
  </si>
  <si>
    <t>COPBO</t>
  </si>
  <si>
    <t>PUERTO BOLIVAR</t>
  </si>
  <si>
    <t>COPCR</t>
  </si>
  <si>
    <t>PUERTO CARREN</t>
  </si>
  <si>
    <t>COPEI</t>
  </si>
  <si>
    <t>PEI</t>
  </si>
  <si>
    <t>PEREIRA</t>
  </si>
  <si>
    <t>COPLC</t>
  </si>
  <si>
    <t>PLC</t>
  </si>
  <si>
    <t>PLANETA RICA</t>
  </si>
  <si>
    <t>COPPN</t>
  </si>
  <si>
    <t>PPN</t>
  </si>
  <si>
    <t>POPAYAN</t>
  </si>
  <si>
    <t>COPSO</t>
  </si>
  <si>
    <t>PSO</t>
  </si>
  <si>
    <t>PASTO</t>
  </si>
  <si>
    <t>COPUC</t>
  </si>
  <si>
    <t>PUC</t>
  </si>
  <si>
    <t>PUERTO COLOMBIA</t>
  </si>
  <si>
    <t>COPUU</t>
  </si>
  <si>
    <t>PUU</t>
  </si>
  <si>
    <t>PUERTO ASIS</t>
  </si>
  <si>
    <t>CORCH</t>
  </si>
  <si>
    <t>RCH</t>
  </si>
  <si>
    <t>RIOHACHA</t>
  </si>
  <si>
    <t>COSMR</t>
  </si>
  <si>
    <t>SMR</t>
  </si>
  <si>
    <t>SANTA MARTA</t>
  </si>
  <si>
    <t>COTCO</t>
  </si>
  <si>
    <t>TCO</t>
  </si>
  <si>
    <t>TUMACO</t>
  </si>
  <si>
    <t>COTLU</t>
  </si>
  <si>
    <t>TLU</t>
  </si>
  <si>
    <t>TOLU</t>
  </si>
  <si>
    <t>COTRB</t>
  </si>
  <si>
    <t>TURBO</t>
  </si>
  <si>
    <t>COUIB</t>
  </si>
  <si>
    <t>UIB</t>
  </si>
  <si>
    <t>QUIBDU</t>
  </si>
  <si>
    <t>COULS</t>
  </si>
  <si>
    <t>ULS</t>
  </si>
  <si>
    <t>MULATOS</t>
  </si>
  <si>
    <t>COVUP</t>
  </si>
  <si>
    <t>VUP</t>
  </si>
  <si>
    <t>VALLEDUPAR</t>
  </si>
  <si>
    <t>COZZZ</t>
  </si>
  <si>
    <t>ACANDI</t>
  </si>
  <si>
    <t>ACD</t>
  </si>
  <si>
    <t>AGUA CLARA</t>
  </si>
  <si>
    <t>ARARACUARA</t>
  </si>
  <si>
    <t>ACR</t>
  </si>
  <si>
    <t>ANDES</t>
  </si>
  <si>
    <t>ADN</t>
  </si>
  <si>
    <t>AMALFI</t>
  </si>
  <si>
    <t>AFI</t>
  </si>
  <si>
    <t>ARBOLETAS</t>
  </si>
  <si>
    <t>ARO</t>
  </si>
  <si>
    <t>ARAUQUITA</t>
  </si>
  <si>
    <t>ARQ</t>
  </si>
  <si>
    <t>AYAPEL</t>
  </si>
  <si>
    <t>AYA</t>
  </si>
  <si>
    <t>AYACUCHO</t>
  </si>
  <si>
    <t>AYC</t>
  </si>
  <si>
    <t>YAGUARA</t>
  </si>
  <si>
    <t>AYG</t>
  </si>
  <si>
    <t>YARI</t>
  </si>
  <si>
    <t>AYI</t>
  </si>
  <si>
    <t>ZAPATOCA</t>
  </si>
  <si>
    <t>AZT</t>
  </si>
  <si>
    <t>BARRANCA DE U</t>
  </si>
  <si>
    <t>BAC</t>
  </si>
  <si>
    <t>BAHIA SOLAND</t>
  </si>
  <si>
    <t>BSC</t>
  </si>
  <si>
    <t>CAUCASIA</t>
  </si>
  <si>
    <t>CIMITARRA</t>
  </si>
  <si>
    <t>CIM</t>
  </si>
  <si>
    <t>CANDILEJAS</t>
  </si>
  <si>
    <t>CJD</t>
  </si>
  <si>
    <t>CONDOTO</t>
  </si>
  <si>
    <t>COG</t>
  </si>
  <si>
    <t>CHAPARRAL</t>
  </si>
  <si>
    <t>CPL</t>
  </si>
  <si>
    <t>CAQUETANIA</t>
  </si>
  <si>
    <t>CQT</t>
  </si>
  <si>
    <t>CURRILLO</t>
  </si>
  <si>
    <t>CUI</t>
  </si>
  <si>
    <t>CARURU</t>
  </si>
  <si>
    <t>CUO</t>
  </si>
  <si>
    <t>CZU</t>
  </si>
  <si>
    <t>CODAZZI</t>
  </si>
  <si>
    <t>DZI</t>
  </si>
  <si>
    <t>EL CHARCO</t>
  </si>
  <si>
    <t>ECR</t>
  </si>
  <si>
    <t>EL BANCO</t>
  </si>
  <si>
    <t>ELB</t>
  </si>
  <si>
    <t>EL RECREO</t>
  </si>
  <si>
    <t>ELJ</t>
  </si>
  <si>
    <t>PARATEBUENO</t>
  </si>
  <si>
    <t>EUO</t>
  </si>
  <si>
    <t>EL YOPAL</t>
  </si>
  <si>
    <t>EYP</t>
  </si>
  <si>
    <t>GUAMAL</t>
  </si>
  <si>
    <t>GAA</t>
  </si>
  <si>
    <t>GUACAMAYAS</t>
  </si>
  <si>
    <t>GCA</t>
  </si>
  <si>
    <t>GILGAL</t>
  </si>
  <si>
    <t>GGL</t>
  </si>
  <si>
    <t>GIRARDOT</t>
  </si>
  <si>
    <t>GIR</t>
  </si>
  <si>
    <t>GUAPI</t>
  </si>
  <si>
    <t>GPI</t>
  </si>
  <si>
    <t>HERRERA</t>
  </si>
  <si>
    <t>HRR</t>
  </si>
  <si>
    <t>HATO COROZAL</t>
  </si>
  <si>
    <t>HTZ</t>
  </si>
  <si>
    <t>IBAGUE</t>
  </si>
  <si>
    <t>IBE</t>
  </si>
  <si>
    <t>IPIALES</t>
  </si>
  <si>
    <t>IPI</t>
  </si>
  <si>
    <t>CHIVOLO</t>
  </si>
  <si>
    <t>IVO</t>
  </si>
  <si>
    <t>LA URIBE</t>
  </si>
  <si>
    <t>LAT</t>
  </si>
  <si>
    <t>LAS GAVIOTAS</t>
  </si>
  <si>
    <t>LGT</t>
  </si>
  <si>
    <t>LA PEDRERA</t>
  </si>
  <si>
    <t>LPD</t>
  </si>
  <si>
    <t>PUERTO LEGUIZ</t>
  </si>
  <si>
    <t>LQM</t>
  </si>
  <si>
    <t>LORICA</t>
  </si>
  <si>
    <t>LRI</t>
  </si>
  <si>
    <t>MAICAO</t>
  </si>
  <si>
    <t>MCJ</t>
  </si>
  <si>
    <t>MIRAFLORES</t>
  </si>
  <si>
    <t>MFS</t>
  </si>
  <si>
    <t>MAGANGUE</t>
  </si>
  <si>
    <t>MGN</t>
  </si>
  <si>
    <t>MOMPOS</t>
  </si>
  <si>
    <t>MMP</t>
  </si>
  <si>
    <t>MEDINA</t>
  </si>
  <si>
    <t>MND</t>
  </si>
  <si>
    <t>MONTERREY</t>
  </si>
  <si>
    <t>MOY</t>
  </si>
  <si>
    <t>MOSQUERA</t>
  </si>
  <si>
    <t>MQR</t>
  </si>
  <si>
    <t>MARIQUITA</t>
  </si>
  <si>
    <t>MQU</t>
  </si>
  <si>
    <t>MONTE LIBANO</t>
  </si>
  <si>
    <t>MTB</t>
  </si>
  <si>
    <t>MITU</t>
  </si>
  <si>
    <t>MVP</t>
  </si>
  <si>
    <t>NARE</t>
  </si>
  <si>
    <t>SAN PEDRO URA</t>
  </si>
  <si>
    <t>NPU</t>
  </si>
  <si>
    <t>NUQUI</t>
  </si>
  <si>
    <t>NQU</t>
  </si>
  <si>
    <t>NUNCHIA</t>
  </si>
  <si>
    <t>NUH</t>
  </si>
  <si>
    <t>OCANA</t>
  </si>
  <si>
    <t>OCV</t>
  </si>
  <si>
    <t>OROCUE</t>
  </si>
  <si>
    <t>ORC</t>
  </si>
  <si>
    <t>OTU</t>
  </si>
  <si>
    <t>PCC</t>
  </si>
  <si>
    <t>PUERTO INIRID</t>
  </si>
  <si>
    <t>PDA</t>
  </si>
  <si>
    <t>PLANADAS</t>
  </si>
  <si>
    <t>PLATO</t>
  </si>
  <si>
    <t>PLT</t>
  </si>
  <si>
    <t>PORE</t>
  </si>
  <si>
    <t>PITALITO</t>
  </si>
  <si>
    <t>PTX</t>
  </si>
  <si>
    <t>PROVIDENCIA</t>
  </si>
  <si>
    <t>PVA</t>
  </si>
  <si>
    <t>PAZ DE ARIPOR</t>
  </si>
  <si>
    <t>PZA</t>
  </si>
  <si>
    <t>CRAVO NORTE</t>
  </si>
  <si>
    <t>RAV</t>
  </si>
  <si>
    <t>RONDON</t>
  </si>
  <si>
    <t>RON</t>
  </si>
  <si>
    <t>SARAVENA</t>
  </si>
  <si>
    <t>RVE</t>
  </si>
  <si>
    <t>SANTA CATALIN</t>
  </si>
  <si>
    <t>SCA</t>
  </si>
  <si>
    <t>SAN JOSE DEL</t>
  </si>
  <si>
    <t>SJE</t>
  </si>
  <si>
    <t>SAN PEDRO JAG</t>
  </si>
  <si>
    <t>SJG</t>
  </si>
  <si>
    <t>SAN JUAN DEL</t>
  </si>
  <si>
    <t>SJH</t>
  </si>
  <si>
    <t>SAN JUAN D UR</t>
  </si>
  <si>
    <t>SJR</t>
  </si>
  <si>
    <t>SMC</t>
  </si>
  <si>
    <t>SABANA DE TOR</t>
  </si>
  <si>
    <t>SNT</t>
  </si>
  <si>
    <t>SOLITA</t>
  </si>
  <si>
    <t>SOH</t>
  </si>
  <si>
    <t>SOGAMOSO</t>
  </si>
  <si>
    <t>SOX</t>
  </si>
  <si>
    <t>SQB</t>
  </si>
  <si>
    <t>SAN LUIS DE</t>
  </si>
  <si>
    <t>SQE</t>
  </si>
  <si>
    <t>SAN MARCOS</t>
  </si>
  <si>
    <t>SRS</t>
  </si>
  <si>
    <t>TAURAMENA</t>
  </si>
  <si>
    <t>TDA</t>
  </si>
  <si>
    <t>TAME</t>
  </si>
  <si>
    <t>TRES ESQUINAS</t>
  </si>
  <si>
    <t>TQS</t>
  </si>
  <si>
    <t>TABLON DE TAM</t>
  </si>
  <si>
    <t>TTM</t>
  </si>
  <si>
    <t>TULUA</t>
  </si>
  <si>
    <t>ULQ</t>
  </si>
  <si>
    <t>UNGUIA</t>
  </si>
  <si>
    <t>UNC</t>
  </si>
  <si>
    <t>URIBE</t>
  </si>
  <si>
    <t>URI</t>
  </si>
  <si>
    <t>URRAO</t>
  </si>
  <si>
    <t>URR</t>
  </si>
  <si>
    <t>VILLAVICENCIO</t>
  </si>
  <si>
    <t>VVC</t>
  </si>
  <si>
    <t>COSTA RICA</t>
  </si>
  <si>
    <t>コスタリカ</t>
  </si>
  <si>
    <t>CRCAL</t>
  </si>
  <si>
    <t>CR</t>
  </si>
  <si>
    <t>CRGLF</t>
  </si>
  <si>
    <t>GLF</t>
  </si>
  <si>
    <t>GOLFITO</t>
  </si>
  <si>
    <t>C R</t>
  </si>
  <si>
    <t>CRLIO</t>
  </si>
  <si>
    <t>LIO</t>
  </si>
  <si>
    <t>PUERTO LIMON</t>
  </si>
  <si>
    <t>CRLIR</t>
  </si>
  <si>
    <t>LIR</t>
  </si>
  <si>
    <t>LIBERIA</t>
  </si>
  <si>
    <t>CRLSL</t>
  </si>
  <si>
    <t>LSL</t>
  </si>
  <si>
    <t>LOS CHILES</t>
  </si>
  <si>
    <t>CRMOB</t>
  </si>
  <si>
    <t>MOB</t>
  </si>
  <si>
    <t>MOIN</t>
  </si>
  <si>
    <t>CRNCT</t>
  </si>
  <si>
    <t>NICOYA</t>
  </si>
  <si>
    <t>CRPAS</t>
  </si>
  <si>
    <t>PAS</t>
  </si>
  <si>
    <t>PUNTARENAS</t>
  </si>
  <si>
    <t>CRPMZ</t>
  </si>
  <si>
    <t>PMZ</t>
  </si>
  <si>
    <t>PALMAR</t>
  </si>
  <si>
    <t>CRPUM</t>
  </si>
  <si>
    <t>PUM</t>
  </si>
  <si>
    <t>PUNTAMORALES</t>
  </si>
  <si>
    <t>CRQPS</t>
  </si>
  <si>
    <t>QUEPOS</t>
  </si>
  <si>
    <t>CRSJO</t>
  </si>
  <si>
    <t>SJO</t>
  </si>
  <si>
    <t>CRXQP</t>
  </si>
  <si>
    <t>XQP</t>
  </si>
  <si>
    <t>CRZZZ</t>
  </si>
  <si>
    <t>BAI</t>
  </si>
  <si>
    <t>BARRA COLORAD</t>
  </si>
  <si>
    <t>BCL</t>
  </si>
  <si>
    <t>CANAS</t>
  </si>
  <si>
    <t>CSC</t>
  </si>
  <si>
    <t>GUAPILES</t>
  </si>
  <si>
    <t>GPL</t>
  </si>
  <si>
    <t>LAS CANAS</t>
  </si>
  <si>
    <t>LCS</t>
  </si>
  <si>
    <t>COTO 47</t>
  </si>
  <si>
    <t>OTR</t>
  </si>
  <si>
    <t>PUERTO JIMENE</t>
  </si>
  <si>
    <t>PJM</t>
  </si>
  <si>
    <t>RIO FRIO</t>
  </si>
  <si>
    <t>RFR</t>
  </si>
  <si>
    <t>SZC</t>
  </si>
  <si>
    <t>TAMARINDO</t>
  </si>
  <si>
    <t>TNO</t>
  </si>
  <si>
    <t>UPALA</t>
  </si>
  <si>
    <t>UPL</t>
  </si>
  <si>
    <t>CANARY ISLANDS</t>
  </si>
  <si>
    <t>カナリー諸島（西）</t>
  </si>
  <si>
    <t>CSACE</t>
  </si>
  <si>
    <t>CS</t>
  </si>
  <si>
    <t>ACE</t>
  </si>
  <si>
    <t>ARRECIFE DE LANZAROTE</t>
  </si>
  <si>
    <t>CSFUE</t>
  </si>
  <si>
    <t>FUE</t>
  </si>
  <si>
    <t>PUERTO DEL ROSARIO-FUERTEVENTURA</t>
  </si>
  <si>
    <t>CAN I</t>
  </si>
  <si>
    <t>CSLPA</t>
  </si>
  <si>
    <t>LPA</t>
  </si>
  <si>
    <t>LAS PALMAS</t>
  </si>
  <si>
    <t>CSPLA</t>
  </si>
  <si>
    <t>PALMA</t>
  </si>
  <si>
    <t>CSSCT</t>
  </si>
  <si>
    <t>SCT</t>
  </si>
  <si>
    <t>SANTA CRUZ DE TENERIFE</t>
  </si>
  <si>
    <t>CSSPC</t>
  </si>
  <si>
    <t>SPC</t>
  </si>
  <si>
    <t>CSTCI</t>
  </si>
  <si>
    <t>TCI</t>
  </si>
  <si>
    <t>TENERIFE</t>
  </si>
  <si>
    <t>CSTFS</t>
  </si>
  <si>
    <t>TFS</t>
  </si>
  <si>
    <t>TENERIFE SUR</t>
  </si>
  <si>
    <t>CSZZZ</t>
  </si>
  <si>
    <t>CUBA</t>
  </si>
  <si>
    <t>キューバ</t>
  </si>
  <si>
    <t>CUANT</t>
  </si>
  <si>
    <t>CU</t>
  </si>
  <si>
    <t>ANTILLA</t>
  </si>
  <si>
    <t>CUBAN</t>
  </si>
  <si>
    <t>BANES</t>
  </si>
  <si>
    <t>CUBCA</t>
  </si>
  <si>
    <t>BCA</t>
  </si>
  <si>
    <t>BARACOA</t>
  </si>
  <si>
    <t>CUBHO</t>
  </si>
  <si>
    <t>BHO</t>
  </si>
  <si>
    <t>BAHIA HONDA</t>
  </si>
  <si>
    <t>CUBOG</t>
  </si>
  <si>
    <t>BOCA GRANDE</t>
  </si>
  <si>
    <t>CUBOQ</t>
  </si>
  <si>
    <t>BOQ</t>
  </si>
  <si>
    <t>BOQUERON</t>
  </si>
  <si>
    <t>CUBUF</t>
  </si>
  <si>
    <t>BUF</t>
  </si>
  <si>
    <t>BUFADERO</t>
  </si>
  <si>
    <t>CUBYM</t>
  </si>
  <si>
    <t>BYM</t>
  </si>
  <si>
    <t>BAYAMO</t>
  </si>
  <si>
    <t>CUCAB</t>
  </si>
  <si>
    <t>CABANAS</t>
  </si>
  <si>
    <t>CUCAI</t>
  </si>
  <si>
    <t>CAI</t>
  </si>
  <si>
    <t>CAIBARIEN</t>
  </si>
  <si>
    <t>CUCAR</t>
  </si>
  <si>
    <t>CAR</t>
  </si>
  <si>
    <t>CARDENAS</t>
  </si>
  <si>
    <t>CUCAS</t>
  </si>
  <si>
    <t>CAS</t>
  </si>
  <si>
    <t>CASILDA</t>
  </si>
  <si>
    <t>CUCEI</t>
  </si>
  <si>
    <t>CEI</t>
  </si>
  <si>
    <t>CEIBA HUECA</t>
  </si>
  <si>
    <t>CUCFG</t>
  </si>
  <si>
    <t>CFG</t>
  </si>
  <si>
    <t>CIENFUEGOS</t>
  </si>
  <si>
    <t>CUCMW</t>
  </si>
  <si>
    <t>CMW</t>
  </si>
  <si>
    <t>CAMAGUEY</t>
  </si>
  <si>
    <t>CUGAO</t>
  </si>
  <si>
    <t>GAO</t>
  </si>
  <si>
    <t>GUANTANAMO-LOS CANOSAPT</t>
  </si>
  <si>
    <t>CUGER</t>
  </si>
  <si>
    <t>GER</t>
  </si>
  <si>
    <t>NUEVA GERONA</t>
  </si>
  <si>
    <t>CUHAV</t>
  </si>
  <si>
    <t>HAV</t>
  </si>
  <si>
    <t>HABANA</t>
  </si>
  <si>
    <t>CUHOG</t>
  </si>
  <si>
    <t>HOG</t>
  </si>
  <si>
    <t>HOLGUIN</t>
  </si>
  <si>
    <t>CUICR</t>
  </si>
  <si>
    <t>ICR</t>
  </si>
  <si>
    <t>NICARO</t>
  </si>
  <si>
    <t>CUJUC</t>
  </si>
  <si>
    <t>JUC</t>
  </si>
  <si>
    <t>JUCARO</t>
  </si>
  <si>
    <t>CUMAR</t>
  </si>
  <si>
    <t>MAR</t>
  </si>
  <si>
    <t>MARIEL</t>
  </si>
  <si>
    <t>CUMEL</t>
  </si>
  <si>
    <t>MEDIA LUNA</t>
  </si>
  <si>
    <t>CUMNT</t>
  </si>
  <si>
    <t>MANATI</t>
  </si>
  <si>
    <t>CUMOA</t>
  </si>
  <si>
    <t>MOA</t>
  </si>
  <si>
    <t>CUMZO</t>
  </si>
  <si>
    <t>MZO</t>
  </si>
  <si>
    <t>MANZANILLO</t>
  </si>
  <si>
    <t>CUNBW</t>
  </si>
  <si>
    <t>NBW</t>
  </si>
  <si>
    <t>GUANTANAMO-GUANTANAMO NAS APT</t>
  </si>
  <si>
    <t>CUNIQ</t>
  </si>
  <si>
    <t>NIQ</t>
  </si>
  <si>
    <t>NIQUERO</t>
  </si>
  <si>
    <t>CUNVT</t>
  </si>
  <si>
    <t>NUEVITAS</t>
  </si>
  <si>
    <t>CUPAS</t>
  </si>
  <si>
    <t>PASTELILLO</t>
  </si>
  <si>
    <t>CUPIL</t>
  </si>
  <si>
    <t>PIL</t>
  </si>
  <si>
    <t>PILON</t>
  </si>
  <si>
    <t>CUPPA</t>
  </si>
  <si>
    <t>PPA</t>
  </si>
  <si>
    <t>PUERTO PADRE</t>
  </si>
  <si>
    <t>CUPTA</t>
  </si>
  <si>
    <t>PUERTO TARAFA</t>
  </si>
  <si>
    <t>CUQMA</t>
  </si>
  <si>
    <t>QMA</t>
  </si>
  <si>
    <t>MATANZAS</t>
  </si>
  <si>
    <t>CUSCS</t>
  </si>
  <si>
    <t>SCS</t>
  </si>
  <si>
    <t>SANTA CRUZ DEL SUR</t>
  </si>
  <si>
    <t>CUSCU</t>
  </si>
  <si>
    <t>SCU</t>
  </si>
  <si>
    <t>SANTIAGO DE CUBA</t>
  </si>
  <si>
    <t>CUSDT</t>
  </si>
  <si>
    <t>SDT</t>
  </si>
  <si>
    <t>SAGUA DE TANAMO</t>
  </si>
  <si>
    <t>CUSNU</t>
  </si>
  <si>
    <t>SNU</t>
  </si>
  <si>
    <t>SANTA CLARA</t>
  </si>
  <si>
    <t>CUTND</t>
  </si>
  <si>
    <t>TND</t>
  </si>
  <si>
    <t>CUVRA</t>
  </si>
  <si>
    <t>VRA</t>
  </si>
  <si>
    <t>VARADERO</t>
  </si>
  <si>
    <t>CUZZZ</t>
  </si>
  <si>
    <t>CAYO LARG SUR</t>
  </si>
  <si>
    <t>CYO</t>
  </si>
  <si>
    <t>MAYAJIGUA</t>
  </si>
  <si>
    <t>MJG</t>
  </si>
  <si>
    <t>PRESTON</t>
  </si>
  <si>
    <t>SNJ</t>
  </si>
  <si>
    <t>PUNTA DE MAIS</t>
  </si>
  <si>
    <t>UMA</t>
  </si>
  <si>
    <t>PUNTA ALEGRE</t>
  </si>
  <si>
    <t>UPA</t>
  </si>
  <si>
    <t>CAPE VERDE</t>
  </si>
  <si>
    <t>カーボベルデ</t>
  </si>
  <si>
    <t>CVMIN</t>
  </si>
  <si>
    <t>CV</t>
  </si>
  <si>
    <t>MINDELO</t>
  </si>
  <si>
    <t>CVMMO</t>
  </si>
  <si>
    <t>MMO</t>
  </si>
  <si>
    <t>MAIO</t>
  </si>
  <si>
    <t>C V I</t>
  </si>
  <si>
    <t>CVMTI</t>
  </si>
  <si>
    <t>MOSTEIROS</t>
  </si>
  <si>
    <t>CVPGR</t>
  </si>
  <si>
    <t>PGR</t>
  </si>
  <si>
    <t>PORTO GRANDE</t>
  </si>
  <si>
    <t>CVRAI</t>
  </si>
  <si>
    <t>RAI</t>
  </si>
  <si>
    <t>PRAIA</t>
  </si>
  <si>
    <t>CVSFL</t>
  </si>
  <si>
    <t>SFL</t>
  </si>
  <si>
    <t>SAO FILIPE</t>
  </si>
  <si>
    <t>CVSID</t>
  </si>
  <si>
    <t>SID</t>
  </si>
  <si>
    <t>ILHA DO SAL</t>
  </si>
  <si>
    <t>CVSNE</t>
  </si>
  <si>
    <t>SNE</t>
  </si>
  <si>
    <t>SAO NICOLAU</t>
  </si>
  <si>
    <t>CVSNG</t>
  </si>
  <si>
    <t>CVSTV</t>
  </si>
  <si>
    <t>STV</t>
  </si>
  <si>
    <t>ST VINCENT</t>
  </si>
  <si>
    <t>CVVXE</t>
  </si>
  <si>
    <t>VXE</t>
  </si>
  <si>
    <t>SAO VICENTE</t>
  </si>
  <si>
    <t>CVZZZ</t>
  </si>
  <si>
    <t>BOA VISTA</t>
  </si>
  <si>
    <t>BVC</t>
  </si>
  <si>
    <t>SANTO ANTAO</t>
  </si>
  <si>
    <t>NTO</t>
  </si>
  <si>
    <t>CHRISTMAS ISLANDS</t>
  </si>
  <si>
    <t>クリスマス島（その他のオーストラリア領）</t>
  </si>
  <si>
    <t>CXXCH</t>
  </si>
  <si>
    <t>CX</t>
  </si>
  <si>
    <t>XCH</t>
  </si>
  <si>
    <t>IND O</t>
  </si>
  <si>
    <t>CXZZZ</t>
  </si>
  <si>
    <t>CYPRUS</t>
  </si>
  <si>
    <t>キプロス</t>
  </si>
  <si>
    <t>CYAKT</t>
  </si>
  <si>
    <t>CY</t>
  </si>
  <si>
    <t>AKT</t>
  </si>
  <si>
    <t>AKROTIRI</t>
  </si>
  <si>
    <t>CYP</t>
  </si>
  <si>
    <t>CYECN</t>
  </si>
  <si>
    <t>ECN</t>
  </si>
  <si>
    <t>ERCAN</t>
  </si>
  <si>
    <t>CYEPK</t>
  </si>
  <si>
    <t>EPK</t>
  </si>
  <si>
    <t>EPISKOPI</t>
  </si>
  <si>
    <t>CYFMG</t>
  </si>
  <si>
    <t>FMG</t>
  </si>
  <si>
    <t>FAMAGUSTA</t>
  </si>
  <si>
    <t>CYKAR</t>
  </si>
  <si>
    <t>KARAVOSTASSI</t>
  </si>
  <si>
    <t>CYKYR</t>
  </si>
  <si>
    <t>KYR</t>
  </si>
  <si>
    <t>KYRENIA</t>
  </si>
  <si>
    <t>CYLAT</t>
  </si>
  <si>
    <t>LATCHI</t>
  </si>
  <si>
    <t>CYLCA</t>
  </si>
  <si>
    <t>LCA</t>
  </si>
  <si>
    <t>LARNACA</t>
  </si>
  <si>
    <t>CYLMS</t>
  </si>
  <si>
    <t>LMS</t>
  </si>
  <si>
    <t>LIMASSOL</t>
  </si>
  <si>
    <t>CYMPB</t>
  </si>
  <si>
    <t>MPB</t>
  </si>
  <si>
    <t>MORPHOU BAY</t>
  </si>
  <si>
    <t>CYNIC</t>
  </si>
  <si>
    <t>NIC</t>
  </si>
  <si>
    <t>NICOSIA</t>
  </si>
  <si>
    <t>CYPFO</t>
  </si>
  <si>
    <t>PFO</t>
  </si>
  <si>
    <t>PAPHOS</t>
  </si>
  <si>
    <t>CYVAS</t>
  </si>
  <si>
    <t>VAS</t>
  </si>
  <si>
    <t>VASSILIKO</t>
  </si>
  <si>
    <t>CYZER</t>
  </si>
  <si>
    <t>ZER</t>
  </si>
  <si>
    <t>ZEROS</t>
  </si>
  <si>
    <t>CYZYY</t>
  </si>
  <si>
    <t>ZYY</t>
  </si>
  <si>
    <t>ZYYI</t>
  </si>
  <si>
    <t>CYZZZ</t>
  </si>
  <si>
    <t>THE CZECH REPUBLIC</t>
  </si>
  <si>
    <t>チェコ</t>
  </si>
  <si>
    <t>CZASA</t>
  </si>
  <si>
    <t>CZ</t>
  </si>
  <si>
    <t>ASA</t>
  </si>
  <si>
    <t>CZBDA</t>
  </si>
  <si>
    <t>BOZI DAR</t>
  </si>
  <si>
    <t>CZBRQ</t>
  </si>
  <si>
    <t>BRQ</t>
  </si>
  <si>
    <t>BRNO</t>
  </si>
  <si>
    <t>CZECH</t>
  </si>
  <si>
    <t>CZBVA</t>
  </si>
  <si>
    <t>BVA</t>
  </si>
  <si>
    <t>BRECLAV</t>
  </si>
  <si>
    <t>CZCCA</t>
  </si>
  <si>
    <t>CCA</t>
  </si>
  <si>
    <t>CINOVEC</t>
  </si>
  <si>
    <t>CZCEK</t>
  </si>
  <si>
    <t>CEK</t>
  </si>
  <si>
    <t>CESKA KUBICE</t>
  </si>
  <si>
    <t>CZCHB</t>
  </si>
  <si>
    <t>CHEB</t>
  </si>
  <si>
    <t>CZDCB</t>
  </si>
  <si>
    <t>DECIN</t>
  </si>
  <si>
    <t>CZDRS</t>
  </si>
  <si>
    <t>DRS</t>
  </si>
  <si>
    <t>DOBRIS</t>
  </si>
  <si>
    <t>CZFRY</t>
  </si>
  <si>
    <t>FRY</t>
  </si>
  <si>
    <t>FRYDLANT</t>
  </si>
  <si>
    <t>CZHSA</t>
  </si>
  <si>
    <t>HSA</t>
  </si>
  <si>
    <t>HRENSKO</t>
  </si>
  <si>
    <t>CZHUA</t>
  </si>
  <si>
    <t>HRADEK NAD NISOU</t>
  </si>
  <si>
    <t>CZJRA</t>
  </si>
  <si>
    <t>JRA</t>
  </si>
  <si>
    <t>JIRIKOV</t>
  </si>
  <si>
    <t>CZKLN</t>
  </si>
  <si>
    <t>KLN</t>
  </si>
  <si>
    <t>KOLIN</t>
  </si>
  <si>
    <t>CZKLV</t>
  </si>
  <si>
    <t>KLV</t>
  </si>
  <si>
    <t>KARLOVY VARY</t>
  </si>
  <si>
    <t>CZKRN</t>
  </si>
  <si>
    <t>KRN</t>
  </si>
  <si>
    <t>KRNOV</t>
  </si>
  <si>
    <t>CZMKA</t>
  </si>
  <si>
    <t>MKA</t>
  </si>
  <si>
    <t>MARIANSKE LAZNE</t>
  </si>
  <si>
    <t>CZMKL</t>
  </si>
  <si>
    <t>MIKULOV</t>
  </si>
  <si>
    <t>CZNAA</t>
  </si>
  <si>
    <t>NACHOD</t>
  </si>
  <si>
    <t>CZNCA</t>
  </si>
  <si>
    <t>NCA</t>
  </si>
  <si>
    <t>NOVA BYSTRICE</t>
  </si>
  <si>
    <t>CZOLO</t>
  </si>
  <si>
    <t>OLO</t>
  </si>
  <si>
    <t>OLOMOUC</t>
  </si>
  <si>
    <t>CZOSR</t>
  </si>
  <si>
    <t>OSR</t>
  </si>
  <si>
    <t>OSTRAVA</t>
  </si>
  <si>
    <t>CZPLZ</t>
  </si>
  <si>
    <t>PLZ</t>
  </si>
  <si>
    <t>PLZEN</t>
  </si>
  <si>
    <t>CZPRG</t>
  </si>
  <si>
    <t>PRG</t>
  </si>
  <si>
    <t>PRAHA</t>
  </si>
  <si>
    <t>CZPRV</t>
  </si>
  <si>
    <t>PRV</t>
  </si>
  <si>
    <t>PREROV</t>
  </si>
  <si>
    <t>CZRDA</t>
  </si>
  <si>
    <t>ZELEZNA RUDA</t>
  </si>
  <si>
    <t>CZRUA</t>
  </si>
  <si>
    <t>RUA</t>
  </si>
  <si>
    <t>RUMBURK</t>
  </si>
  <si>
    <t>CZSZA</t>
  </si>
  <si>
    <t>STRAZNY</t>
  </si>
  <si>
    <t>CZTEA</t>
  </si>
  <si>
    <t>TEA</t>
  </si>
  <si>
    <t>CESKY TESIN</t>
  </si>
  <si>
    <t>CZUHE</t>
  </si>
  <si>
    <t>UHE</t>
  </si>
  <si>
    <t>UHERSKE HRADISTE</t>
  </si>
  <si>
    <t>CZVFA</t>
  </si>
  <si>
    <t>VFA</t>
  </si>
  <si>
    <t>VARNSDORF</t>
  </si>
  <si>
    <t>CZVJA</t>
  </si>
  <si>
    <t>VJA</t>
  </si>
  <si>
    <t>VOJTANOV</t>
  </si>
  <si>
    <t>CZZAT</t>
  </si>
  <si>
    <t>ZATEC</t>
  </si>
  <si>
    <t>CZZZZ</t>
  </si>
  <si>
    <t>GERMANY</t>
  </si>
  <si>
    <t>ドイツ</t>
  </si>
  <si>
    <t>DEAAH</t>
  </si>
  <si>
    <t>DE</t>
  </si>
  <si>
    <t>AAH</t>
  </si>
  <si>
    <t>AACHEN</t>
  </si>
  <si>
    <t>DEAAL</t>
  </si>
  <si>
    <t>AALEN</t>
  </si>
  <si>
    <t>DEABF</t>
  </si>
  <si>
    <t>ABF</t>
  </si>
  <si>
    <t>ABBENFLETH</t>
  </si>
  <si>
    <t>DEABH</t>
  </si>
  <si>
    <t>ABBEHAUSEN</t>
  </si>
  <si>
    <t>DEACH</t>
  </si>
  <si>
    <t>ACHERN</t>
  </si>
  <si>
    <t>DEAGB</t>
  </si>
  <si>
    <t>AGB</t>
  </si>
  <si>
    <t>AUGSBURG</t>
  </si>
  <si>
    <t>DEAGE</t>
  </si>
  <si>
    <t>AGE</t>
  </si>
  <si>
    <t>WANGEROOGE</t>
  </si>
  <si>
    <t>DEAHL</t>
  </si>
  <si>
    <t>AHL</t>
  </si>
  <si>
    <t>AHLEN</t>
  </si>
  <si>
    <t>DEAHR</t>
  </si>
  <si>
    <t>AHR</t>
  </si>
  <si>
    <t>AHRENSBURG</t>
  </si>
  <si>
    <t>DEAIC</t>
  </si>
  <si>
    <t>AIC</t>
  </si>
  <si>
    <t>AICHACH</t>
  </si>
  <si>
    <t>DEALB</t>
  </si>
  <si>
    <t>ALBSTADT</t>
  </si>
  <si>
    <t>DEALD</t>
  </si>
  <si>
    <t>ALD</t>
  </si>
  <si>
    <t>ALSFELD</t>
  </si>
  <si>
    <t>DEALF</t>
  </si>
  <si>
    <t>ALF</t>
  </si>
  <si>
    <t>ALFELD</t>
  </si>
  <si>
    <t>DEALK</t>
  </si>
  <si>
    <t>ALK</t>
  </si>
  <si>
    <t>ALTENKIRCHEN</t>
  </si>
  <si>
    <t>DEALS</t>
  </si>
  <si>
    <t>ALS</t>
  </si>
  <si>
    <t>ALSDORF</t>
  </si>
  <si>
    <t>DEALT</t>
  </si>
  <si>
    <t>ALT</t>
  </si>
  <si>
    <t>ALTENA</t>
  </si>
  <si>
    <t>DEAMB</t>
  </si>
  <si>
    <t>AMB</t>
  </si>
  <si>
    <t>AMBERG</t>
  </si>
  <si>
    <t>DEAMR</t>
  </si>
  <si>
    <t>AMR</t>
  </si>
  <si>
    <t>AMRUN I.</t>
  </si>
  <si>
    <t>DEAND</t>
  </si>
  <si>
    <t>AND</t>
  </si>
  <si>
    <t>ANDERNACH</t>
  </si>
  <si>
    <t>DEANS</t>
  </si>
  <si>
    <t>ANS</t>
  </si>
  <si>
    <t>ANSBACH</t>
  </si>
  <si>
    <t>DEAPE</t>
  </si>
  <si>
    <t>APE</t>
  </si>
  <si>
    <t>APEN</t>
  </si>
  <si>
    <t>DEARN</t>
  </si>
  <si>
    <t>ARN</t>
  </si>
  <si>
    <t>ARNSBERG</t>
  </si>
  <si>
    <t>DEASC</t>
  </si>
  <si>
    <t>ASCHAFFENBURG</t>
  </si>
  <si>
    <t>DEASS</t>
  </si>
  <si>
    <t>ASSEL</t>
  </si>
  <si>
    <t>DEAUG</t>
  </si>
  <si>
    <t>AUG</t>
  </si>
  <si>
    <t>AUGUSTFEHN</t>
  </si>
  <si>
    <t>DEAUL</t>
  </si>
  <si>
    <t>AUL</t>
  </si>
  <si>
    <t>AULENDORF</t>
  </si>
  <si>
    <t>DEAUR</t>
  </si>
  <si>
    <t>AUR</t>
  </si>
  <si>
    <t>AURICH</t>
  </si>
  <si>
    <t>DEAWR</t>
  </si>
  <si>
    <t>AWR</t>
  </si>
  <si>
    <t>ACHTERWEHR RINGKANAL</t>
  </si>
  <si>
    <t>DEBAB</t>
  </si>
  <si>
    <t>BAB</t>
  </si>
  <si>
    <t>BADEN BADEN</t>
  </si>
  <si>
    <t>DEBAC</t>
  </si>
  <si>
    <t>BACKNANG</t>
  </si>
  <si>
    <t>DEBAL</t>
  </si>
  <si>
    <t>BALINGEN</t>
  </si>
  <si>
    <t>DEBAM</t>
  </si>
  <si>
    <t>BAM</t>
  </si>
  <si>
    <t>BAMBERG</t>
  </si>
  <si>
    <t>DEBAS</t>
  </si>
  <si>
    <t>BASBECK</t>
  </si>
  <si>
    <t>DEBBE</t>
  </si>
  <si>
    <t>BAD BERLEBURG</t>
  </si>
  <si>
    <t>DEBBI</t>
  </si>
  <si>
    <t>BBI</t>
  </si>
  <si>
    <t>BIETIGHEIM-BISSINGEN</t>
  </si>
  <si>
    <t>DEBBR</t>
  </si>
  <si>
    <t>BBR</t>
  </si>
  <si>
    <t>BAD BRAMBACH</t>
  </si>
  <si>
    <t>DEBCL</t>
  </si>
  <si>
    <t>BRUCHSAL</t>
  </si>
  <si>
    <t>DEBDR</t>
  </si>
  <si>
    <t>BDR</t>
  </si>
  <si>
    <t>BAD DRIBURG</t>
  </si>
  <si>
    <t>DEBDS</t>
  </si>
  <si>
    <t>BDS</t>
  </si>
  <si>
    <t>BAD SCHANDAU</t>
  </si>
  <si>
    <t>DEBEB</t>
  </si>
  <si>
    <t>BEB</t>
  </si>
  <si>
    <t>BEBRA</t>
  </si>
  <si>
    <t>DEBEC</t>
  </si>
  <si>
    <t>BEC</t>
  </si>
  <si>
    <t>BECKUM</t>
  </si>
  <si>
    <t>DEBEG</t>
  </si>
  <si>
    <t>BEG</t>
  </si>
  <si>
    <t>BERCHTESGADEN</t>
  </si>
  <si>
    <t>DEBEH</t>
  </si>
  <si>
    <t>BEH</t>
  </si>
  <si>
    <t>BENSHEIM</t>
  </si>
  <si>
    <t>DEBEI</t>
  </si>
  <si>
    <t>BEI</t>
  </si>
  <si>
    <t>BEIDENFLETH</t>
  </si>
  <si>
    <t>DEBEK</t>
  </si>
  <si>
    <t>BEK</t>
  </si>
  <si>
    <t>BERNKASTEL - KUES</t>
  </si>
  <si>
    <t>DEBEN</t>
  </si>
  <si>
    <t>BEN</t>
  </si>
  <si>
    <t>BENSERSIEL</t>
  </si>
  <si>
    <t>DEBER</t>
  </si>
  <si>
    <t>BERLIN</t>
  </si>
  <si>
    <t>DEBES</t>
  </si>
  <si>
    <t>BES</t>
  </si>
  <si>
    <t>BAD ESSEN</t>
  </si>
  <si>
    <t>DEBET</t>
  </si>
  <si>
    <t>BET</t>
  </si>
  <si>
    <t>BETZDORF</t>
  </si>
  <si>
    <t>DEBFE</t>
  </si>
  <si>
    <t>BFE</t>
  </si>
  <si>
    <t>BIELEFELD</t>
  </si>
  <si>
    <t>DEBFL</t>
  </si>
  <si>
    <t>BFL</t>
  </si>
  <si>
    <t>BORSFLETH</t>
  </si>
  <si>
    <t>DEBGL</t>
  </si>
  <si>
    <t>BGL</t>
  </si>
  <si>
    <t>BERGISH GLADBACH</t>
  </si>
  <si>
    <t>DEBGO</t>
  </si>
  <si>
    <t>BGO</t>
  </si>
  <si>
    <t>BAD GODESBURG</t>
  </si>
  <si>
    <t>DEBHE</t>
  </si>
  <si>
    <t>BHE</t>
  </si>
  <si>
    <t>BAD HERSFELD</t>
  </si>
  <si>
    <t>DEBHF</t>
  </si>
  <si>
    <t>BHF</t>
  </si>
  <si>
    <t>BAD HONNEF</t>
  </si>
  <si>
    <t>DEBHH</t>
  </si>
  <si>
    <t>BHH</t>
  </si>
  <si>
    <t>BRUCHHAUSEN</t>
  </si>
  <si>
    <t>DEBHM</t>
  </si>
  <si>
    <t>BHM</t>
  </si>
  <si>
    <t>BERGHEIM</t>
  </si>
  <si>
    <t>DEBHO</t>
  </si>
  <si>
    <t>BAD HOMBURG</t>
  </si>
  <si>
    <t>DEBHT</t>
  </si>
  <si>
    <t>BOCHOLT</t>
  </si>
  <si>
    <t>DEBHU</t>
  </si>
  <si>
    <t>BHU</t>
  </si>
  <si>
    <t>BUCHHOLZ/NORDHEIDE</t>
  </si>
  <si>
    <t>DEBIB</t>
  </si>
  <si>
    <t>BIB</t>
  </si>
  <si>
    <t>BIBERACH</t>
  </si>
  <si>
    <t>DEBIE</t>
  </si>
  <si>
    <t>BIE</t>
  </si>
  <si>
    <t>BIEBESHEIM</t>
  </si>
  <si>
    <t>DEBIN</t>
  </si>
  <si>
    <t>BINGEN</t>
  </si>
  <si>
    <t>DEBIT</t>
  </si>
  <si>
    <t>BIT</t>
  </si>
  <si>
    <t>BITBURG</t>
  </si>
  <si>
    <t>DEBKE</t>
  </si>
  <si>
    <t>BKE</t>
  </si>
  <si>
    <t>BRAKE</t>
  </si>
  <si>
    <t>DEBKF</t>
  </si>
  <si>
    <t>BKF</t>
  </si>
  <si>
    <t>BIEDENKOPF</t>
  </si>
  <si>
    <t>DEBKI</t>
  </si>
  <si>
    <t>BKI</t>
  </si>
  <si>
    <t>BAD KISSINGEN</t>
  </si>
  <si>
    <t>DEBKR</t>
  </si>
  <si>
    <t>BKR</t>
  </si>
  <si>
    <t>BAD KREUZNACH</t>
  </si>
  <si>
    <t>DEBMB</t>
  </si>
  <si>
    <t>MARSCHALLBRUCKE/BERLIN</t>
  </si>
  <si>
    <t>DEBME</t>
  </si>
  <si>
    <t>BAD MERGENTHEIM</t>
  </si>
  <si>
    <t>DEBMK</t>
  </si>
  <si>
    <t>BMK</t>
  </si>
  <si>
    <t>BORKUM</t>
  </si>
  <si>
    <t>DEBMR</t>
  </si>
  <si>
    <t>BMR</t>
  </si>
  <si>
    <t>BALTRUM</t>
  </si>
  <si>
    <t>DEBMV</t>
  </si>
  <si>
    <t>BMV</t>
  </si>
  <si>
    <t>BREMERVORDE</t>
  </si>
  <si>
    <t>DEBNA</t>
  </si>
  <si>
    <t>BNA</t>
  </si>
  <si>
    <t>BAD NAUHEIM</t>
  </si>
  <si>
    <t>DEBNE</t>
  </si>
  <si>
    <t>BAD NEUSTADT</t>
  </si>
  <si>
    <t>DEBOC</t>
  </si>
  <si>
    <t>BOC</t>
  </si>
  <si>
    <t>BOCKHORST</t>
  </si>
  <si>
    <t>DEBOE</t>
  </si>
  <si>
    <t>BOEBLINGEN</t>
  </si>
  <si>
    <t>DEBOK</t>
  </si>
  <si>
    <t>BOK</t>
  </si>
  <si>
    <t>BOKEL</t>
  </si>
  <si>
    <t>DEBOL</t>
  </si>
  <si>
    <t>BAD OLDESLOE</t>
  </si>
  <si>
    <t>DEBOM</t>
  </si>
  <si>
    <t>BOM</t>
  </si>
  <si>
    <t>BOCHUM</t>
  </si>
  <si>
    <t>DEBON</t>
  </si>
  <si>
    <t>BONN</t>
  </si>
  <si>
    <t>DEBOR</t>
  </si>
  <si>
    <t>BOR</t>
  </si>
  <si>
    <t>BORKEN</t>
  </si>
  <si>
    <t>DEBOT</t>
  </si>
  <si>
    <t>BOT</t>
  </si>
  <si>
    <t>BOTTROP</t>
  </si>
  <si>
    <t>DEBOY</t>
  </si>
  <si>
    <t>BAD OEYNHAUSEN</t>
  </si>
  <si>
    <t>DEBPY</t>
  </si>
  <si>
    <t>BPY</t>
  </si>
  <si>
    <t>BAD PYRMONT</t>
  </si>
  <si>
    <t>DEBRA</t>
  </si>
  <si>
    <t>BRAMEL</t>
  </si>
  <si>
    <t>DEBRB</t>
  </si>
  <si>
    <t>BRUNSBUTTEL</t>
  </si>
  <si>
    <t>DEBRD</t>
  </si>
  <si>
    <t>BRD</t>
  </si>
  <si>
    <t>BRIEDERN</t>
  </si>
  <si>
    <t>DEBRE</t>
  </si>
  <si>
    <t>BREMEN</t>
  </si>
  <si>
    <t>DEBRG</t>
  </si>
  <si>
    <t>BRG</t>
  </si>
  <si>
    <t>BURG/DITHMARSCHEN</t>
  </si>
  <si>
    <t>DEBRH</t>
  </si>
  <si>
    <t>BRH</t>
  </si>
  <si>
    <t>BAD REICHENHALL</t>
  </si>
  <si>
    <t>DEBRI</t>
  </si>
  <si>
    <t>BRILON</t>
  </si>
  <si>
    <t>DEBRK</t>
  </si>
  <si>
    <t>BARNKRUG</t>
  </si>
  <si>
    <t>DEBRM</t>
  </si>
  <si>
    <t>BRM</t>
  </si>
  <si>
    <t>BRAMSCHE</t>
  </si>
  <si>
    <t>DEBRN</t>
  </si>
  <si>
    <t>BOERNSEN</t>
  </si>
  <si>
    <t>DEBRT</t>
  </si>
  <si>
    <t>BREITENBERG</t>
  </si>
  <si>
    <t>DEBRU</t>
  </si>
  <si>
    <t>BRUEHL</t>
  </si>
  <si>
    <t>DEBRV</t>
  </si>
  <si>
    <t>BRV</t>
  </si>
  <si>
    <t>BREMERHAVEN</t>
  </si>
  <si>
    <t>DEBSA</t>
  </si>
  <si>
    <t>BSA</t>
  </si>
  <si>
    <t>BAD SAECKINGEN</t>
  </si>
  <si>
    <t>DEBSE</t>
  </si>
  <si>
    <t>BSE</t>
  </si>
  <si>
    <t>BAD SEGEBERG</t>
  </si>
  <si>
    <t>DEBSK</t>
  </si>
  <si>
    <t>BSK</t>
  </si>
  <si>
    <t>BURGSTAAKEN - FEHMARN</t>
  </si>
  <si>
    <t>DEBSM</t>
  </si>
  <si>
    <t>BSM</t>
  </si>
  <si>
    <t>BASSUM</t>
  </si>
  <si>
    <t>DEBST</t>
  </si>
  <si>
    <t>BORSTEL</t>
  </si>
  <si>
    <t>DEBTO</t>
  </si>
  <si>
    <t>BTO</t>
  </si>
  <si>
    <t>BAD TOELZ</t>
  </si>
  <si>
    <t>DEBUE</t>
  </si>
  <si>
    <t>BUENDE</t>
  </si>
  <si>
    <t>DEBUH</t>
  </si>
  <si>
    <t>BUH</t>
  </si>
  <si>
    <t>BURBACH/SIEGEN</t>
  </si>
  <si>
    <t>DEBUL</t>
  </si>
  <si>
    <t>BUL</t>
  </si>
  <si>
    <t>BUEHL</t>
  </si>
  <si>
    <t>DEBUM</t>
  </si>
  <si>
    <t>BUM</t>
  </si>
  <si>
    <t>BUSUM</t>
  </si>
  <si>
    <t>DEBUN</t>
  </si>
  <si>
    <t>BUEDINGEN</t>
  </si>
  <si>
    <t>DEBUT</t>
  </si>
  <si>
    <t>BUT</t>
  </si>
  <si>
    <t>BUTJADINGEN</t>
  </si>
  <si>
    <t>DEBUX</t>
  </si>
  <si>
    <t>BUXTEHUDE</t>
  </si>
  <si>
    <t>DEBUZ</t>
  </si>
  <si>
    <t>BUZ</t>
  </si>
  <si>
    <t>BUTZFLETH</t>
  </si>
  <si>
    <t>DEBVE</t>
  </si>
  <si>
    <t>BVE</t>
  </si>
  <si>
    <t>BREMERVOERDE</t>
  </si>
  <si>
    <t>DEBWE</t>
  </si>
  <si>
    <t>BWE</t>
  </si>
  <si>
    <t>BRAUNSCHWEIG</t>
  </si>
  <si>
    <t>DEBWG</t>
  </si>
  <si>
    <t>BWG</t>
  </si>
  <si>
    <t>BESTWIG</t>
  </si>
  <si>
    <t>DEBWI</t>
  </si>
  <si>
    <t>BWI</t>
  </si>
  <si>
    <t>BAD WILDUNGEN</t>
  </si>
  <si>
    <t>DEBYU</t>
  </si>
  <si>
    <t>BYU</t>
  </si>
  <si>
    <t>BAYREUTH</t>
  </si>
  <si>
    <t>DECAL</t>
  </si>
  <si>
    <t>CALW</t>
  </si>
  <si>
    <t>DECAR</t>
  </si>
  <si>
    <t>CAROLINENSIEL</t>
  </si>
  <si>
    <t>DECEL</t>
  </si>
  <si>
    <t>CELLE</t>
  </si>
  <si>
    <t>DECGN</t>
  </si>
  <si>
    <t>CGN</t>
  </si>
  <si>
    <t>KOLN-BONN</t>
  </si>
  <si>
    <t>DECHA</t>
  </si>
  <si>
    <t>CHAM</t>
  </si>
  <si>
    <t>DECLO</t>
  </si>
  <si>
    <t>CLOPPENBURG</t>
  </si>
  <si>
    <t>DECOB</t>
  </si>
  <si>
    <t>COBURG</t>
  </si>
  <si>
    <t>DECOC</t>
  </si>
  <si>
    <t>COCHEM</t>
  </si>
  <si>
    <t>DECOF</t>
  </si>
  <si>
    <t>COF</t>
  </si>
  <si>
    <t>COESFELD</t>
  </si>
  <si>
    <t>DECRH</t>
  </si>
  <si>
    <t>CRAILSHEIM</t>
  </si>
  <si>
    <t>DECRL</t>
  </si>
  <si>
    <t>CASTROP-RAUXEL</t>
  </si>
  <si>
    <t>DECUX</t>
  </si>
  <si>
    <t>CUX</t>
  </si>
  <si>
    <t>CUXHAVEN</t>
  </si>
  <si>
    <t>DEDAC</t>
  </si>
  <si>
    <t>DACHAU</t>
  </si>
  <si>
    <t>DEDAG</t>
  </si>
  <si>
    <t>DAG</t>
  </si>
  <si>
    <t>DAGEBULL</t>
  </si>
  <si>
    <t>DEDAN</t>
  </si>
  <si>
    <t>DAN</t>
  </si>
  <si>
    <t>DANGAST</t>
  </si>
  <si>
    <t>DEDAR</t>
  </si>
  <si>
    <t>DAR</t>
  </si>
  <si>
    <t>DARMSTADT</t>
  </si>
  <si>
    <t>DEDEG</t>
  </si>
  <si>
    <t>DEG</t>
  </si>
  <si>
    <t>DEGGENDORF</t>
  </si>
  <si>
    <t>DEDEL</t>
  </si>
  <si>
    <t>DEL</t>
  </si>
  <si>
    <t>DELMENHORST</t>
  </si>
  <si>
    <t>DEDEN</t>
  </si>
  <si>
    <t>DEN</t>
  </si>
  <si>
    <t>DONAUESCHINGEN</t>
  </si>
  <si>
    <t>DEDET</t>
  </si>
  <si>
    <t>DET</t>
  </si>
  <si>
    <t>DETMOLD</t>
  </si>
  <si>
    <t>DEDIB</t>
  </si>
  <si>
    <t>DIB</t>
  </si>
  <si>
    <t>DILLENBURG</t>
  </si>
  <si>
    <t>DEDIG</t>
  </si>
  <si>
    <t>DIEBURG</t>
  </si>
  <si>
    <t>DEDIL</t>
  </si>
  <si>
    <t>DIL</t>
  </si>
  <si>
    <t>DILLINGEN</t>
  </si>
  <si>
    <t>DEDIN</t>
  </si>
  <si>
    <t>DIN</t>
  </si>
  <si>
    <t>DINSLAKEN</t>
  </si>
  <si>
    <t>DEDIT</t>
  </si>
  <si>
    <t>DIT</t>
  </si>
  <si>
    <t>DITZUM</t>
  </si>
  <si>
    <t>DEDIZ</t>
  </si>
  <si>
    <t>DIZ</t>
  </si>
  <si>
    <t>DIEPHOLZ</t>
  </si>
  <si>
    <t>DEDOB</t>
  </si>
  <si>
    <t>DOB</t>
  </si>
  <si>
    <t>DORNBUSCH</t>
  </si>
  <si>
    <t>DEDOF</t>
  </si>
  <si>
    <t>DOF</t>
  </si>
  <si>
    <t>DOERFEN</t>
  </si>
  <si>
    <t>DEDON</t>
  </si>
  <si>
    <t>DON</t>
  </si>
  <si>
    <t>DORSTEN</t>
  </si>
  <si>
    <t>DEDOW</t>
  </si>
  <si>
    <t>DOW</t>
  </si>
  <si>
    <t>DONAUWOERTH</t>
  </si>
  <si>
    <t>DEDRE</t>
  </si>
  <si>
    <t>DRE</t>
  </si>
  <si>
    <t>DREIEICH</t>
  </si>
  <si>
    <t>DEDRP</t>
  </si>
  <si>
    <t>DRP</t>
  </si>
  <si>
    <t>DORPEN</t>
  </si>
  <si>
    <t>DEDRS</t>
  </si>
  <si>
    <t>KLOTZSCHE/DRESDEN</t>
  </si>
  <si>
    <t>DEDTM</t>
  </si>
  <si>
    <t>DTM</t>
  </si>
  <si>
    <t>DORTMUND</t>
  </si>
  <si>
    <t>DEDUE</t>
  </si>
  <si>
    <t>DUEREN</t>
  </si>
  <si>
    <t>DEDUI</t>
  </si>
  <si>
    <t>DUI</t>
  </si>
  <si>
    <t>DUISBURG</t>
  </si>
  <si>
    <t>DEDUS</t>
  </si>
  <si>
    <t>DUS</t>
  </si>
  <si>
    <t>DUSSELDORF</t>
  </si>
  <si>
    <t>DEDYK</t>
  </si>
  <si>
    <t>DYK</t>
  </si>
  <si>
    <t>DYKHAUSEN</t>
  </si>
  <si>
    <t>DEEBB</t>
  </si>
  <si>
    <t>EBB</t>
  </si>
  <si>
    <t>EBERBACH</t>
  </si>
  <si>
    <t>DEEBE</t>
  </si>
  <si>
    <t>EBE</t>
  </si>
  <si>
    <t>EBERSBACH</t>
  </si>
  <si>
    <t>DEECK</t>
  </si>
  <si>
    <t>ECK</t>
  </si>
  <si>
    <t>ECKERNFORDE</t>
  </si>
  <si>
    <t>DEEFT</t>
  </si>
  <si>
    <t>EFT</t>
  </si>
  <si>
    <t>BEDBURG</t>
  </si>
  <si>
    <t>DEEHI</t>
  </si>
  <si>
    <t>EHI</t>
  </si>
  <si>
    <t>EHINGEN</t>
  </si>
  <si>
    <t>DEEKI</t>
  </si>
  <si>
    <t>EKI</t>
  </si>
  <si>
    <t>ENGELSKIRCHEN</t>
  </si>
  <si>
    <t>DEELM</t>
  </si>
  <si>
    <t>ELM</t>
  </si>
  <si>
    <t>ELMSHORN</t>
  </si>
  <si>
    <t>DEELS</t>
  </si>
  <si>
    <t>ELS</t>
  </si>
  <si>
    <t>ELSFLETH</t>
  </si>
  <si>
    <t>DEELW</t>
  </si>
  <si>
    <t>ELW</t>
  </si>
  <si>
    <t>ELWANGEN</t>
  </si>
  <si>
    <t>DEELZ</t>
  </si>
  <si>
    <t>ELZ</t>
  </si>
  <si>
    <t>ELZE</t>
  </si>
  <si>
    <t>DEEME</t>
  </si>
  <si>
    <t>EME</t>
  </si>
  <si>
    <t>EMDEN</t>
  </si>
  <si>
    <t>DEEMM</t>
  </si>
  <si>
    <t>EMMERICH</t>
  </si>
  <si>
    <t>DEEMN</t>
  </si>
  <si>
    <t>EMN</t>
  </si>
  <si>
    <t>EMMENDINGEN</t>
  </si>
  <si>
    <t>DEENG</t>
  </si>
  <si>
    <t>ENGTER</t>
  </si>
  <si>
    <t>DEERB</t>
  </si>
  <si>
    <t>ERBACH</t>
  </si>
  <si>
    <t>DEERF</t>
  </si>
  <si>
    <t>ERF</t>
  </si>
  <si>
    <t>ERFURT</t>
  </si>
  <si>
    <t>DEERK</t>
  </si>
  <si>
    <t>ERK</t>
  </si>
  <si>
    <t>ERKELENZ</t>
  </si>
  <si>
    <t>DEERL</t>
  </si>
  <si>
    <t>ERL</t>
  </si>
  <si>
    <t>ERLANGEN</t>
  </si>
  <si>
    <t>DEESL</t>
  </si>
  <si>
    <t>ESL</t>
  </si>
  <si>
    <t>ESSLINGEN</t>
  </si>
  <si>
    <t>DEESR</t>
  </si>
  <si>
    <t>ESCHWEILER</t>
  </si>
  <si>
    <t>DEESS</t>
  </si>
  <si>
    <t>ESS</t>
  </si>
  <si>
    <t>ESSEN</t>
  </si>
  <si>
    <t>DEESW</t>
  </si>
  <si>
    <t>ESW</t>
  </si>
  <si>
    <t>ESCHWEGE</t>
  </si>
  <si>
    <t>DEEUM</t>
  </si>
  <si>
    <t>EUM</t>
  </si>
  <si>
    <t>NEUMUNSTER</t>
  </si>
  <si>
    <t>DEEUS</t>
  </si>
  <si>
    <t>EUS</t>
  </si>
  <si>
    <t>EUSKIRCHEN</t>
  </si>
  <si>
    <t>DEEUT</t>
  </si>
  <si>
    <t>EUT</t>
  </si>
  <si>
    <t>EUTIN</t>
  </si>
  <si>
    <t>DEEWH</t>
  </si>
  <si>
    <t>EWH</t>
  </si>
  <si>
    <t>ECKWARDERHORNE</t>
  </si>
  <si>
    <t>DEEWS</t>
  </si>
  <si>
    <t>EWS</t>
  </si>
  <si>
    <t>ECKWARDERSIEL</t>
  </si>
  <si>
    <t>DEFBG</t>
  </si>
  <si>
    <t>FBG</t>
  </si>
  <si>
    <t>FREIBURG</t>
  </si>
  <si>
    <t>DEFDH</t>
  </si>
  <si>
    <t>FDH</t>
  </si>
  <si>
    <t>FRIEDRICHSHAFEN</t>
  </si>
  <si>
    <t>DEFDS</t>
  </si>
  <si>
    <t>FDS</t>
  </si>
  <si>
    <t>FRIEDRICHSSCHLEUSE</t>
  </si>
  <si>
    <t>DEFEH</t>
  </si>
  <si>
    <t>FEH</t>
  </si>
  <si>
    <t>FEHMARN I.</t>
  </si>
  <si>
    <t>DEFEL</t>
  </si>
  <si>
    <t>FEL</t>
  </si>
  <si>
    <t>FURSTENFELDBR</t>
  </si>
  <si>
    <t>DEFFB</t>
  </si>
  <si>
    <t>FFB</t>
  </si>
  <si>
    <t>FUERSTENFELDBRUCK</t>
  </si>
  <si>
    <t>DEFFO</t>
  </si>
  <si>
    <t>FFO</t>
  </si>
  <si>
    <t>FRANKFURT ODER</t>
  </si>
  <si>
    <t>DEFIS</t>
  </si>
  <si>
    <t>FIS</t>
  </si>
  <si>
    <t>FISCHERHUTTE SUD</t>
  </si>
  <si>
    <t>DEFIT</t>
  </si>
  <si>
    <t>FIT</t>
  </si>
  <si>
    <t>FINNENTROP</t>
  </si>
  <si>
    <t>DEFLF</t>
  </si>
  <si>
    <t>FLF</t>
  </si>
  <si>
    <t>FLENSBURG</t>
  </si>
  <si>
    <t>DEFMO</t>
  </si>
  <si>
    <t>FMO</t>
  </si>
  <si>
    <t>MUNSTER</t>
  </si>
  <si>
    <t>DEFOH</t>
  </si>
  <si>
    <t>FOH</t>
  </si>
  <si>
    <t>FORCHHEIM</t>
  </si>
  <si>
    <t>DEFOR</t>
  </si>
  <si>
    <t>FORST</t>
  </si>
  <si>
    <t>DEFRA</t>
  </si>
  <si>
    <t>FRANKFURT</t>
  </si>
  <si>
    <t>DEFRB</t>
  </si>
  <si>
    <t>FRIEDBERG</t>
  </si>
  <si>
    <t>DEFRE</t>
  </si>
  <si>
    <t>FRESENBURG</t>
  </si>
  <si>
    <t>DEFRF</t>
  </si>
  <si>
    <t>FRF</t>
  </si>
  <si>
    <t>DEFRG</t>
  </si>
  <si>
    <t>FRG</t>
  </si>
  <si>
    <t>FREISING</t>
  </si>
  <si>
    <t>DEFRI</t>
  </si>
  <si>
    <t>FRI</t>
  </si>
  <si>
    <t>FRIEDRICHSTADT</t>
  </si>
  <si>
    <t>DEFRN</t>
  </si>
  <si>
    <t>FRN</t>
  </si>
  <si>
    <t>FRECHEN</t>
  </si>
  <si>
    <t>DEFRS</t>
  </si>
  <si>
    <t>FRS</t>
  </si>
  <si>
    <t>FREUDENSTADT</t>
  </si>
  <si>
    <t>DEFRZ</t>
  </si>
  <si>
    <t>FRZ</t>
  </si>
  <si>
    <t>FRITZLAR</t>
  </si>
  <si>
    <t>DEFST</t>
  </si>
  <si>
    <t>FST</t>
  </si>
  <si>
    <t>DEFTE</t>
  </si>
  <si>
    <t>FUERSTENWALDE</t>
  </si>
  <si>
    <t>DEFTL</t>
  </si>
  <si>
    <t>FTL</t>
  </si>
  <si>
    <t>FRANKENTHAL</t>
  </si>
  <si>
    <t>DEFUE</t>
  </si>
  <si>
    <t>FUERTH</t>
  </si>
  <si>
    <t>DEFUL</t>
  </si>
  <si>
    <t>FUL</t>
  </si>
  <si>
    <t>FULDA</t>
  </si>
  <si>
    <t>DEGAG</t>
  </si>
  <si>
    <t>GAG</t>
  </si>
  <si>
    <t>GAGGENAU</t>
  </si>
  <si>
    <t>DEGAI</t>
  </si>
  <si>
    <t>GAI</t>
  </si>
  <si>
    <t>GAILDORF</t>
  </si>
  <si>
    <t>DEGAP</t>
  </si>
  <si>
    <t>GAP</t>
  </si>
  <si>
    <t>GARMISCH-PARTENKIRCHEN</t>
  </si>
  <si>
    <t>DEGAU</t>
  </si>
  <si>
    <t>GAU</t>
  </si>
  <si>
    <t>GAUENSIEK</t>
  </si>
  <si>
    <t>DEGDN</t>
  </si>
  <si>
    <t>GDN</t>
  </si>
  <si>
    <t>GELDERN</t>
  </si>
  <si>
    <t>DEGEB</t>
  </si>
  <si>
    <t>GEB</t>
  </si>
  <si>
    <t>GEVELSBERG</t>
  </si>
  <si>
    <t>DEGEH</t>
  </si>
  <si>
    <t>GEH</t>
  </si>
  <si>
    <t>GELNHAUSEN</t>
  </si>
  <si>
    <t>DEGEK</t>
  </si>
  <si>
    <t>GEK</t>
  </si>
  <si>
    <t>GELSENKIRCHEN</t>
  </si>
  <si>
    <t>DEGEL</t>
  </si>
  <si>
    <t>GELTING</t>
  </si>
  <si>
    <t>DEGEM</t>
  </si>
  <si>
    <t>GEM</t>
  </si>
  <si>
    <t>GEMUENDEN</t>
  </si>
  <si>
    <t>DEGES</t>
  </si>
  <si>
    <t>GES</t>
  </si>
  <si>
    <t>GEROLSTEIN</t>
  </si>
  <si>
    <t>DEGEV</t>
  </si>
  <si>
    <t>GEV</t>
  </si>
  <si>
    <t>GEVERSDORF</t>
  </si>
  <si>
    <t>DEGIE</t>
  </si>
  <si>
    <t>GIE</t>
  </si>
  <si>
    <t>GIESSEN</t>
  </si>
  <si>
    <t>DEGIF</t>
  </si>
  <si>
    <t>GIF</t>
  </si>
  <si>
    <t>GIFHORN</t>
  </si>
  <si>
    <t>DEGKI</t>
  </si>
  <si>
    <t>GKI</t>
  </si>
  <si>
    <t>GEILENKIRCHEN</t>
  </si>
  <si>
    <t>DEGLA</t>
  </si>
  <si>
    <t>GLA</t>
  </si>
  <si>
    <t>GLADBECK</t>
  </si>
  <si>
    <t>DEGLI</t>
  </si>
  <si>
    <t>GEISLINGEN</t>
  </si>
  <si>
    <t>DEGLU</t>
  </si>
  <si>
    <t>GLUCKSTADT</t>
  </si>
  <si>
    <t>DEGOC</t>
  </si>
  <si>
    <t>GOC</t>
  </si>
  <si>
    <t>GOCH</t>
  </si>
  <si>
    <t>DEGOE</t>
  </si>
  <si>
    <t>GOE</t>
  </si>
  <si>
    <t>GOETTINGEN</t>
  </si>
  <si>
    <t>DEGON</t>
  </si>
  <si>
    <t>GON</t>
  </si>
  <si>
    <t>GOEPPINGEN</t>
  </si>
  <si>
    <t>DEGOR</t>
  </si>
  <si>
    <t>GOR</t>
  </si>
  <si>
    <t>GORLITZ</t>
  </si>
  <si>
    <t>DEGOS</t>
  </si>
  <si>
    <t>GOSLAR</t>
  </si>
  <si>
    <t>DEGRA</t>
  </si>
  <si>
    <t>GRAMBOW</t>
  </si>
  <si>
    <t>DEGRE</t>
  </si>
  <si>
    <t>GRE</t>
  </si>
  <si>
    <t>GREETSIEL</t>
  </si>
  <si>
    <t>DEGRG</t>
  </si>
  <si>
    <t>GROSS-GERAU</t>
  </si>
  <si>
    <t>DEGRO</t>
  </si>
  <si>
    <t>GROSSENBRODE</t>
  </si>
  <si>
    <t>DEGRU</t>
  </si>
  <si>
    <t>GRUENBERG</t>
  </si>
  <si>
    <t>DEGRZ</t>
  </si>
  <si>
    <t>GARTZ</t>
  </si>
  <si>
    <t>DEGUB</t>
  </si>
  <si>
    <t>GUB</t>
  </si>
  <si>
    <t>GUBEN (WILHELM PIEDKSTADT)</t>
  </si>
  <si>
    <t>DEGUE</t>
  </si>
  <si>
    <t>GUE</t>
  </si>
  <si>
    <t>GUETERSLOH</t>
  </si>
  <si>
    <t>DEGUG</t>
  </si>
  <si>
    <t>GUG</t>
  </si>
  <si>
    <t>GUENZBURG</t>
  </si>
  <si>
    <t>DEGUH</t>
  </si>
  <si>
    <t>GUNZENHAUSEN</t>
  </si>
  <si>
    <t>DEGUM</t>
  </si>
  <si>
    <t>GUM</t>
  </si>
  <si>
    <t>GUMMERSBACH</t>
  </si>
  <si>
    <t>DEGUT</t>
  </si>
  <si>
    <t>GUT</t>
  </si>
  <si>
    <t>GUTERSLOH</t>
  </si>
  <si>
    <t>DEGWT</t>
  </si>
  <si>
    <t>GWT</t>
  </si>
  <si>
    <t>WESTERLAND</t>
  </si>
  <si>
    <t>DEGWW</t>
  </si>
  <si>
    <t>GWW</t>
  </si>
  <si>
    <t>BERLIN (WEST)</t>
  </si>
  <si>
    <t>DEHAG</t>
  </si>
  <si>
    <t>HAG</t>
  </si>
  <si>
    <t>HAGEN</t>
  </si>
  <si>
    <t>DEHAJ</t>
  </si>
  <si>
    <t>HAJ</t>
  </si>
  <si>
    <t>HANNOVER</t>
  </si>
  <si>
    <t>DEHAM</t>
  </si>
  <si>
    <t>HAMBURG</t>
  </si>
  <si>
    <t>DEHAN</t>
  </si>
  <si>
    <t>HAN</t>
  </si>
  <si>
    <t>HAMELN</t>
  </si>
  <si>
    <t>DEHAT</t>
  </si>
  <si>
    <t>HATTINGEN</t>
  </si>
  <si>
    <t>DEHAU</t>
  </si>
  <si>
    <t>HAU</t>
  </si>
  <si>
    <t>HANAU</t>
  </si>
  <si>
    <t>DEHBG</t>
  </si>
  <si>
    <t>HBG</t>
  </si>
  <si>
    <t>HERZBERG</t>
  </si>
  <si>
    <t>DEHBR</t>
  </si>
  <si>
    <t>HBR</t>
  </si>
  <si>
    <t>HERBRUM</t>
  </si>
  <si>
    <t>DEHBU</t>
  </si>
  <si>
    <t>HBU</t>
  </si>
  <si>
    <t>HARBURG</t>
  </si>
  <si>
    <t>DEHDE</t>
  </si>
  <si>
    <t>HDE</t>
  </si>
  <si>
    <t>HEIDE</t>
  </si>
  <si>
    <t>DEHDF</t>
  </si>
  <si>
    <t>HDF</t>
  </si>
  <si>
    <t>HERINGSDORF</t>
  </si>
  <si>
    <t>DEHEB</t>
  </si>
  <si>
    <t>HEB</t>
  </si>
  <si>
    <t>HERRNBURG</t>
  </si>
  <si>
    <t>DEHEC</t>
  </si>
  <si>
    <t>HEC</t>
  </si>
  <si>
    <t>HECHINGEN</t>
  </si>
  <si>
    <t>DEHED</t>
  </si>
  <si>
    <t>HED</t>
  </si>
  <si>
    <t>HEIKENDORF</t>
  </si>
  <si>
    <t>DEHEE</t>
  </si>
  <si>
    <t>HEE</t>
  </si>
  <si>
    <t>HERNE</t>
  </si>
  <si>
    <t>DEHEG</t>
  </si>
  <si>
    <t>HEG</t>
  </si>
  <si>
    <t>HEINSBERG</t>
  </si>
  <si>
    <t>DEHEI</t>
  </si>
  <si>
    <t>HEI</t>
  </si>
  <si>
    <t>HEIDELBERG</t>
  </si>
  <si>
    <t>DEHEL</t>
  </si>
  <si>
    <t>HEL</t>
  </si>
  <si>
    <t>HELMSTEDT</t>
  </si>
  <si>
    <t>DEHEM</t>
  </si>
  <si>
    <t>HEM</t>
  </si>
  <si>
    <t>HEIDENHEIM</t>
  </si>
  <si>
    <t>DEHEN</t>
  </si>
  <si>
    <t>HEN</t>
  </si>
  <si>
    <t>HEILBRONN</t>
  </si>
  <si>
    <t>DEHER</t>
  </si>
  <si>
    <t>HER</t>
  </si>
  <si>
    <t>HERBRECHTINGEN</t>
  </si>
  <si>
    <t>DEHGL</t>
  </si>
  <si>
    <t>HGL</t>
  </si>
  <si>
    <t>HELGOLAND</t>
  </si>
  <si>
    <t>DEHGM</t>
  </si>
  <si>
    <t>HGM</t>
  </si>
  <si>
    <t>HOFGEISMAR</t>
  </si>
  <si>
    <t>DEHGN</t>
  </si>
  <si>
    <t>HGN</t>
  </si>
  <si>
    <t>HOEHR-GRENZHAUSEN</t>
  </si>
  <si>
    <t>DEHHF</t>
  </si>
  <si>
    <t>HHF</t>
  </si>
  <si>
    <t>HEILIGENHAFEN</t>
  </si>
  <si>
    <t>DEHHN</t>
  </si>
  <si>
    <t>HHN</t>
  </si>
  <si>
    <t>HIRSCHHORN</t>
  </si>
  <si>
    <t>DEHHS</t>
  </si>
  <si>
    <t>HHS</t>
  </si>
  <si>
    <t>HOHENHORN</t>
  </si>
  <si>
    <t>DEHID</t>
  </si>
  <si>
    <t>HID</t>
  </si>
  <si>
    <t>HILDEN</t>
  </si>
  <si>
    <t>DEHIL</t>
  </si>
  <si>
    <t>HIL</t>
  </si>
  <si>
    <t>HILDESHEIM</t>
  </si>
  <si>
    <t>DEHKN</t>
  </si>
  <si>
    <t>HKN</t>
  </si>
  <si>
    <t>HOLZKIRCHEN</t>
  </si>
  <si>
    <t>DEHLG</t>
  </si>
  <si>
    <t>HLG</t>
  </si>
  <si>
    <t>HOHENLIMBURG</t>
  </si>
  <si>
    <t>DEHMM</t>
  </si>
  <si>
    <t>HMM</t>
  </si>
  <si>
    <t>HAMM</t>
  </si>
  <si>
    <t>DEHMO</t>
  </si>
  <si>
    <t>HMO</t>
  </si>
  <si>
    <t>HEMMOOR</t>
  </si>
  <si>
    <t>DEHMR</t>
  </si>
  <si>
    <t>HMR</t>
  </si>
  <si>
    <t>HEMER</t>
  </si>
  <si>
    <t>DEHMU</t>
  </si>
  <si>
    <t>HMU</t>
  </si>
  <si>
    <t>HANN MUENDEN</t>
  </si>
  <si>
    <t>DEHNH</t>
  </si>
  <si>
    <t>HNH</t>
  </si>
  <si>
    <t>HAHN APT</t>
  </si>
  <si>
    <t>DEHOB</t>
  </si>
  <si>
    <t>HOB</t>
  </si>
  <si>
    <t>HORB</t>
  </si>
  <si>
    <t>DEHOD</t>
  </si>
  <si>
    <t>HOD</t>
  </si>
  <si>
    <t>HOCHDONN</t>
  </si>
  <si>
    <t>DEHOL</t>
  </si>
  <si>
    <t>HOL</t>
  </si>
  <si>
    <t>HOLLAGE</t>
  </si>
  <si>
    <t>DEHOM</t>
  </si>
  <si>
    <t>HOM</t>
  </si>
  <si>
    <t>HOMBURG</t>
  </si>
  <si>
    <t>DEHOO</t>
  </si>
  <si>
    <t>HOO</t>
  </si>
  <si>
    <t>HOOKSIEL</t>
  </si>
  <si>
    <t>DEHOQ</t>
  </si>
  <si>
    <t>HOQ</t>
  </si>
  <si>
    <t>HOF</t>
  </si>
  <si>
    <t>DEHOR</t>
  </si>
  <si>
    <t>HOR</t>
  </si>
  <si>
    <t>HORKA/OL</t>
  </si>
  <si>
    <t>DEHOS</t>
  </si>
  <si>
    <t>HOS</t>
  </si>
  <si>
    <t>HORUMERSIEL</t>
  </si>
  <si>
    <t>DEHOX</t>
  </si>
  <si>
    <t>HOX</t>
  </si>
  <si>
    <t>HOEXTER</t>
  </si>
  <si>
    <t>DEHRB</t>
  </si>
  <si>
    <t>HORNEBURG</t>
  </si>
  <si>
    <t>DEHRD</t>
  </si>
  <si>
    <t>HRD</t>
  </si>
  <si>
    <t>HERFORD</t>
  </si>
  <si>
    <t>DEHRH</t>
  </si>
  <si>
    <t>HRH</t>
  </si>
  <si>
    <t>HERRINGSHAUSEN</t>
  </si>
  <si>
    <t>DEHRM</t>
  </si>
  <si>
    <t>HRM</t>
  </si>
  <si>
    <t>HORNUM - SYLT</t>
  </si>
  <si>
    <t>DEHRN</t>
  </si>
  <si>
    <t>HRN</t>
  </si>
  <si>
    <t>HAREN</t>
  </si>
  <si>
    <t>DEHSA</t>
  </si>
  <si>
    <t>HOHENSAATEN</t>
  </si>
  <si>
    <t>DEHUE</t>
  </si>
  <si>
    <t>HUE</t>
  </si>
  <si>
    <t>HUERTH</t>
  </si>
  <si>
    <t>DEHUN</t>
  </si>
  <si>
    <t>HUN</t>
  </si>
  <si>
    <t>HUNTERBRUCK</t>
  </si>
  <si>
    <t>DEHUS</t>
  </si>
  <si>
    <t>HUS</t>
  </si>
  <si>
    <t>HUSUM</t>
  </si>
  <si>
    <t>DEHZN</t>
  </si>
  <si>
    <t>HZN</t>
  </si>
  <si>
    <t>HOLZMINDEN</t>
  </si>
  <si>
    <t>DEHZR</t>
  </si>
  <si>
    <t>HZR</t>
  </si>
  <si>
    <t>HERZOGENRATH</t>
  </si>
  <si>
    <t>DEIBB</t>
  </si>
  <si>
    <t>IBBENBUEREN</t>
  </si>
  <si>
    <t>DEIDS</t>
  </si>
  <si>
    <t>IDS</t>
  </si>
  <si>
    <t>IDSTEIN</t>
  </si>
  <si>
    <t>DEIMM</t>
  </si>
  <si>
    <t>IMM</t>
  </si>
  <si>
    <t>IMMENSTADT</t>
  </si>
  <si>
    <t>DEING</t>
  </si>
  <si>
    <t>INGOLSTADT</t>
  </si>
  <si>
    <t>DEION</t>
  </si>
  <si>
    <t>IDAR-OBERSTEIN</t>
  </si>
  <si>
    <t>DEISE</t>
  </si>
  <si>
    <t>ISE</t>
  </si>
  <si>
    <t>ISERLOHN</t>
  </si>
  <si>
    <t>DEITZ</t>
  </si>
  <si>
    <t>ITZ</t>
  </si>
  <si>
    <t>ITZEHOHE</t>
  </si>
  <si>
    <t>DEJEM</t>
  </si>
  <si>
    <t>JEM</t>
  </si>
  <si>
    <t>JEMGUM</t>
  </si>
  <si>
    <t>DEJUE</t>
  </si>
  <si>
    <t>JUE</t>
  </si>
  <si>
    <t>JUELICH</t>
  </si>
  <si>
    <t>DEJUI</t>
  </si>
  <si>
    <t>JUI</t>
  </si>
  <si>
    <t>JUIST</t>
  </si>
  <si>
    <t>DEKAE</t>
  </si>
  <si>
    <t>KAE</t>
  </si>
  <si>
    <t>KARLSRUHE</t>
  </si>
  <si>
    <t>DEKAI</t>
  </si>
  <si>
    <t>KAI</t>
  </si>
  <si>
    <t>KAISERMUHLE</t>
  </si>
  <si>
    <t>DEKAL</t>
  </si>
  <si>
    <t>KALL</t>
  </si>
  <si>
    <t>DEKAN</t>
  </si>
  <si>
    <t>KALENBORN/AHRWEILER</t>
  </si>
  <si>
    <t>DEKAP</t>
  </si>
  <si>
    <t>KAPPELN</t>
  </si>
  <si>
    <t>DEKAR</t>
  </si>
  <si>
    <t>KARNIN</t>
  </si>
  <si>
    <t>DEKAS</t>
  </si>
  <si>
    <t>KAS</t>
  </si>
  <si>
    <t>KASSEL</t>
  </si>
  <si>
    <t>DEKAU</t>
  </si>
  <si>
    <t>KAU</t>
  </si>
  <si>
    <t>KAUFBEUREN</t>
  </si>
  <si>
    <t>DEKEH</t>
  </si>
  <si>
    <t>KEH</t>
  </si>
  <si>
    <t>KEHL</t>
  </si>
  <si>
    <t>DEKEI</t>
  </si>
  <si>
    <t>KEI</t>
  </si>
  <si>
    <t>KEITUM - SYLT</t>
  </si>
  <si>
    <t>DEKEL</t>
  </si>
  <si>
    <t>KEL</t>
  </si>
  <si>
    <t>KIEL</t>
  </si>
  <si>
    <t>DEKEM</t>
  </si>
  <si>
    <t>KEM</t>
  </si>
  <si>
    <t>KELHEIM</t>
  </si>
  <si>
    <t>DEKEN</t>
  </si>
  <si>
    <t>KEN</t>
  </si>
  <si>
    <t>KEMPTEN</t>
  </si>
  <si>
    <t>DEKHN</t>
  </si>
  <si>
    <t>KELLINGHAUSEN</t>
  </si>
  <si>
    <t>DEKIE</t>
  </si>
  <si>
    <t>KIE</t>
  </si>
  <si>
    <t>KIETZ</t>
  </si>
  <si>
    <t>DEKIN</t>
  </si>
  <si>
    <t>KIRN/NAHE</t>
  </si>
  <si>
    <t>DEKIT</t>
  </si>
  <si>
    <t>KITZINGEN</t>
  </si>
  <si>
    <t>DEKLE</t>
  </si>
  <si>
    <t>KLEVE</t>
  </si>
  <si>
    <t>DEKLT</t>
  </si>
  <si>
    <t>KLT</t>
  </si>
  <si>
    <t>KAISERSLAUTERN</t>
  </si>
  <si>
    <t>DEKOB</t>
  </si>
  <si>
    <t>KOBLENZ</t>
  </si>
  <si>
    <t>DEKOH</t>
  </si>
  <si>
    <t>KORBACH</t>
  </si>
  <si>
    <t>DEKOL</t>
  </si>
  <si>
    <t>KOLLMAR</t>
  </si>
  <si>
    <t>DEKON</t>
  </si>
  <si>
    <t>KON</t>
  </si>
  <si>
    <t>KONSTANZ</t>
  </si>
  <si>
    <t>DEKOS</t>
  </si>
  <si>
    <t>KOENIGSTEIN</t>
  </si>
  <si>
    <t>DEKOW</t>
  </si>
  <si>
    <t>KOENIGSWINTER</t>
  </si>
  <si>
    <t>DEKRA</t>
  </si>
  <si>
    <t>KRAUTSAND</t>
  </si>
  <si>
    <t>DEKRE</t>
  </si>
  <si>
    <t>KRE</t>
  </si>
  <si>
    <t>KREFELD</t>
  </si>
  <si>
    <t>DEKRL</t>
  </si>
  <si>
    <t>KREUZTAL</t>
  </si>
  <si>
    <t>DEKRN</t>
  </si>
  <si>
    <t>KREIENSEN</t>
  </si>
  <si>
    <t>DEKRO</t>
  </si>
  <si>
    <t>KRO</t>
  </si>
  <si>
    <t>KRONACH</t>
  </si>
  <si>
    <t>DEKSF</t>
  </si>
  <si>
    <t>KSF</t>
  </si>
  <si>
    <t>KARLSDORF</t>
  </si>
  <si>
    <t>DEKUL</t>
  </si>
  <si>
    <t>KUL</t>
  </si>
  <si>
    <t>KULMBACH</t>
  </si>
  <si>
    <t>DELAB</t>
  </si>
  <si>
    <t>LABOE</t>
  </si>
  <si>
    <t>DELAE</t>
  </si>
  <si>
    <t>LAE</t>
  </si>
  <si>
    <t>LAEGERDORF</t>
  </si>
  <si>
    <t>DELAF</t>
  </si>
  <si>
    <t>LAF</t>
  </si>
  <si>
    <t>LAUF</t>
  </si>
  <si>
    <t>DELAG</t>
  </si>
  <si>
    <t>LAG</t>
  </si>
  <si>
    <t>LANDSBERG</t>
  </si>
  <si>
    <t>DELAH</t>
  </si>
  <si>
    <t>LAH</t>
  </si>
  <si>
    <t>LAHNSTEIN</t>
  </si>
  <si>
    <t>DELAM</t>
  </si>
  <si>
    <t>LAM</t>
  </si>
  <si>
    <t>LAMPERTHEIM</t>
  </si>
  <si>
    <t>DELAN</t>
  </si>
  <si>
    <t>LAN</t>
  </si>
  <si>
    <t>LANDWURDEN</t>
  </si>
  <si>
    <t>DELAR</t>
  </si>
  <si>
    <t>LAR</t>
  </si>
  <si>
    <t>LAHR</t>
  </si>
  <si>
    <t>DELAT</t>
  </si>
  <si>
    <t>LATHEN</t>
  </si>
  <si>
    <t>DELAU</t>
  </si>
  <si>
    <t>LAU</t>
  </si>
  <si>
    <t>LAUTERBACH</t>
  </si>
  <si>
    <t>DELBC</t>
  </si>
  <si>
    <t>LBC</t>
  </si>
  <si>
    <t>LUBECK</t>
  </si>
  <si>
    <t>DELBE</t>
  </si>
  <si>
    <t>LBE</t>
  </si>
  <si>
    <t>LUEBBECKE</t>
  </si>
  <si>
    <t>DELBG</t>
  </si>
  <si>
    <t>LBG</t>
  </si>
  <si>
    <t>LUENEBURG</t>
  </si>
  <si>
    <t>DELCH</t>
  </si>
  <si>
    <t>LCH</t>
  </si>
  <si>
    <t>LENGERICH</t>
  </si>
  <si>
    <t>DELDH</t>
  </si>
  <si>
    <t>LANDSHUT</t>
  </si>
  <si>
    <t>DELEB</t>
  </si>
  <si>
    <t>LEBACH</t>
  </si>
  <si>
    <t>DELEE</t>
  </si>
  <si>
    <t>LEE</t>
  </si>
  <si>
    <t>LEER</t>
  </si>
  <si>
    <t>DELEH</t>
  </si>
  <si>
    <t>LEH</t>
  </si>
  <si>
    <t>LEHRTE</t>
  </si>
  <si>
    <t>DELEJ</t>
  </si>
  <si>
    <t>LEJ</t>
  </si>
  <si>
    <t>SCHKEUDITZ/LEIPZIG</t>
  </si>
  <si>
    <t>DELEM</t>
  </si>
  <si>
    <t>LEM</t>
  </si>
  <si>
    <t>LEMGO</t>
  </si>
  <si>
    <t>DELEO</t>
  </si>
  <si>
    <t>LEONBERG</t>
  </si>
  <si>
    <t>DELEU</t>
  </si>
  <si>
    <t>LEU</t>
  </si>
  <si>
    <t>LEUTKIRCHEN</t>
  </si>
  <si>
    <t>DELEV</t>
  </si>
  <si>
    <t>LEVERKUSEN</t>
  </si>
  <si>
    <t>DELEW</t>
  </si>
  <si>
    <t>LEW</t>
  </si>
  <si>
    <t>LEMWERDER</t>
  </si>
  <si>
    <t>DELGO</t>
  </si>
  <si>
    <t>LGO</t>
  </si>
  <si>
    <t>LANGEOOG</t>
  </si>
  <si>
    <t>DELIC</t>
  </si>
  <si>
    <t>LIC</t>
  </si>
  <si>
    <t>LICHTENFELS</t>
  </si>
  <si>
    <t>DELIG</t>
  </si>
  <si>
    <t>LIG</t>
  </si>
  <si>
    <t>LINGEN</t>
  </si>
  <si>
    <t>DELIM</t>
  </si>
  <si>
    <t>LIM</t>
  </si>
  <si>
    <t>LIMBURG</t>
  </si>
  <si>
    <t>DELIN</t>
  </si>
  <si>
    <t>LIN</t>
  </si>
  <si>
    <t>LINTELERMARSCH</t>
  </si>
  <si>
    <t>DELIP</t>
  </si>
  <si>
    <t>LIP</t>
  </si>
  <si>
    <t>LIPPSTADT</t>
  </si>
  <si>
    <t>DELIS</t>
  </si>
  <si>
    <t>LIS</t>
  </si>
  <si>
    <t>LIST - SYLT</t>
  </si>
  <si>
    <t>DELIT</t>
  </si>
  <si>
    <t>LIT</t>
  </si>
  <si>
    <t>LICHTENAU</t>
  </si>
  <si>
    <t>DELIU</t>
  </si>
  <si>
    <t>LIU</t>
  </si>
  <si>
    <t>LINDAU</t>
  </si>
  <si>
    <t>DELKE</t>
  </si>
  <si>
    <t>LKE</t>
  </si>
  <si>
    <t>LINKEN</t>
  </si>
  <si>
    <t>DELKN</t>
  </si>
  <si>
    <t>LKN</t>
  </si>
  <si>
    <t>LAUDA-KOENIGSHOFEN</t>
  </si>
  <si>
    <t>DELNN</t>
  </si>
  <si>
    <t>LNN</t>
  </si>
  <si>
    <t>LANGEN</t>
  </si>
  <si>
    <t>DELOE</t>
  </si>
  <si>
    <t>LOE</t>
  </si>
  <si>
    <t>LOERRACH</t>
  </si>
  <si>
    <t>DELOR</t>
  </si>
  <si>
    <t>LOR</t>
  </si>
  <si>
    <t>LOHR</t>
  </si>
  <si>
    <t>DELRN</t>
  </si>
  <si>
    <t>LRN</t>
  </si>
  <si>
    <t>LINZ/RHEIN</t>
  </si>
  <si>
    <t>DELSL</t>
  </si>
  <si>
    <t>LANDSTUHL</t>
  </si>
  <si>
    <t>DELST</t>
  </si>
  <si>
    <t>LENNESTADT</t>
  </si>
  <si>
    <t>DELUD</t>
  </si>
  <si>
    <t>LUD</t>
  </si>
  <si>
    <t>LUEDENSCHEID</t>
  </si>
  <si>
    <t>DELUE</t>
  </si>
  <si>
    <t>LUE</t>
  </si>
  <si>
    <t>LUENEN</t>
  </si>
  <si>
    <t>DELUG</t>
  </si>
  <si>
    <t>LUDWIGSBURG</t>
  </si>
  <si>
    <t>DELUH</t>
  </si>
  <si>
    <t>LUH</t>
  </si>
  <si>
    <t>LUDWIGSHAFEN</t>
  </si>
  <si>
    <t>DELUN</t>
  </si>
  <si>
    <t>LUEDINGHAUSEN</t>
  </si>
  <si>
    <t>DELUW</t>
  </si>
  <si>
    <t>LUW</t>
  </si>
  <si>
    <t>LUECHOW</t>
  </si>
  <si>
    <t>DEMAI</t>
  </si>
  <si>
    <t>MAI</t>
  </si>
  <si>
    <t>MAINZ</t>
  </si>
  <si>
    <t>DEMAL</t>
  </si>
  <si>
    <t>MAL</t>
  </si>
  <si>
    <t>MARL</t>
  </si>
  <si>
    <t>DEMAR</t>
  </si>
  <si>
    <t>MARBURG</t>
  </si>
  <si>
    <t>DEMAY</t>
  </si>
  <si>
    <t>MAYEN</t>
  </si>
  <si>
    <t>DEMAZ</t>
  </si>
  <si>
    <t>MAZ</t>
  </si>
  <si>
    <t>MARKTREDWITZ</t>
  </si>
  <si>
    <t>DEMEC</t>
  </si>
  <si>
    <t>MEC</t>
  </si>
  <si>
    <t>MECKENHEIM</t>
  </si>
  <si>
    <t>DEMEE</t>
  </si>
  <si>
    <t>MEE</t>
  </si>
  <si>
    <t>MELLE</t>
  </si>
  <si>
    <t>DEMEL</t>
  </si>
  <si>
    <t>MELDORF</t>
  </si>
  <si>
    <t>DEMEM</t>
  </si>
  <si>
    <t>MEM</t>
  </si>
  <si>
    <t>MEMMERT I.</t>
  </si>
  <si>
    <t>DEMEN</t>
  </si>
  <si>
    <t>MEN</t>
  </si>
  <si>
    <t>MENDEN</t>
  </si>
  <si>
    <t>DEMEP</t>
  </si>
  <si>
    <t>MEP</t>
  </si>
  <si>
    <t>MEPPEN</t>
  </si>
  <si>
    <t>DEMER</t>
  </si>
  <si>
    <t>MER</t>
  </si>
  <si>
    <t>MERZIG</t>
  </si>
  <si>
    <t>DEMES</t>
  </si>
  <si>
    <t>MES</t>
  </si>
  <si>
    <t>MESSKIRCH</t>
  </si>
  <si>
    <t>DEMET</t>
  </si>
  <si>
    <t>METTMANN</t>
  </si>
  <si>
    <t>DEMGB</t>
  </si>
  <si>
    <t>MOENCHENGLADBACH</t>
  </si>
  <si>
    <t>DEMGL</t>
  </si>
  <si>
    <t>MONCHENGLADBACH</t>
  </si>
  <si>
    <t>DEMHG</t>
  </si>
  <si>
    <t>MHG</t>
  </si>
  <si>
    <t>MANNHEIM</t>
  </si>
  <si>
    <t>DEMID</t>
  </si>
  <si>
    <t>MID</t>
  </si>
  <si>
    <t>MINDEN</t>
  </si>
  <si>
    <t>DEMIE</t>
  </si>
  <si>
    <t>MIE</t>
  </si>
  <si>
    <t>MIESBACH</t>
  </si>
  <si>
    <t>DEMIG</t>
  </si>
  <si>
    <t>HEMMINGEN</t>
  </si>
  <si>
    <t>DEMIL</t>
  </si>
  <si>
    <t>MIL</t>
  </si>
  <si>
    <t>MILTENBERG</t>
  </si>
  <si>
    <t>DEMIN</t>
  </si>
  <si>
    <t>MINSEN</t>
  </si>
  <si>
    <t>DEMOB</t>
  </si>
  <si>
    <t>MOSBACH</t>
  </si>
  <si>
    <t>DEMOE</t>
  </si>
  <si>
    <t>MOE</t>
  </si>
  <si>
    <t>MOELLN</t>
  </si>
  <si>
    <t>DEMON</t>
  </si>
  <si>
    <t>MONTABAUR</t>
  </si>
  <si>
    <t>DEMOR</t>
  </si>
  <si>
    <t>MOR</t>
  </si>
  <si>
    <t>MORSUM - SYLT</t>
  </si>
  <si>
    <t>DEMOS</t>
  </si>
  <si>
    <t>MOERS</t>
  </si>
  <si>
    <t>DEMRM</t>
  </si>
  <si>
    <t>MRM</t>
  </si>
  <si>
    <t>MARCARDSMOOR</t>
  </si>
  <si>
    <t>DEMRS</t>
  </si>
  <si>
    <t>MARIENSIEL</t>
  </si>
  <si>
    <t>DEMSH</t>
  </si>
  <si>
    <t>MSH</t>
  </si>
  <si>
    <t>MESCHERIN</t>
  </si>
  <si>
    <t>DEMSR</t>
  </si>
  <si>
    <t>MSR</t>
  </si>
  <si>
    <t>MUENSTER</t>
  </si>
  <si>
    <t>DEMUC</t>
  </si>
  <si>
    <t>MUC</t>
  </si>
  <si>
    <t>MUNCHEN</t>
  </si>
  <si>
    <t>DEMUF</t>
  </si>
  <si>
    <t>MUF</t>
  </si>
  <si>
    <t>MUEHLDORF</t>
  </si>
  <si>
    <t>DEMUG</t>
  </si>
  <si>
    <t>MUG</t>
  </si>
  <si>
    <t>MUENCHBERG</t>
  </si>
  <si>
    <t>DEMUH</t>
  </si>
  <si>
    <t>MUH</t>
  </si>
  <si>
    <t>MUELHEIM</t>
  </si>
  <si>
    <t>DEMUL</t>
  </si>
  <si>
    <t>MUL</t>
  </si>
  <si>
    <t>MUEHLACKER</t>
  </si>
  <si>
    <t>DEMUR</t>
  </si>
  <si>
    <t>MUR</t>
  </si>
  <si>
    <t>MURNAU</t>
  </si>
  <si>
    <t>DENAB</t>
  </si>
  <si>
    <t>NAB</t>
  </si>
  <si>
    <t>NABBURG</t>
  </si>
  <si>
    <t>DENAG</t>
  </si>
  <si>
    <t>NAG</t>
  </si>
  <si>
    <t>NAGOLD</t>
  </si>
  <si>
    <t>DENED</t>
  </si>
  <si>
    <t>NED</t>
  </si>
  <si>
    <t>NEUWIED</t>
  </si>
  <si>
    <t>DENEF</t>
  </si>
  <si>
    <t>NEF</t>
  </si>
  <si>
    <t>NEUFELD</t>
  </si>
  <si>
    <t>DENEG</t>
  </si>
  <si>
    <t>NEG</t>
  </si>
  <si>
    <t>NEUENBUERG</t>
  </si>
  <si>
    <t>DENEH</t>
  </si>
  <si>
    <t>NEH</t>
  </si>
  <si>
    <t>NEUHAUS/OSTE</t>
  </si>
  <si>
    <t>DENEL</t>
  </si>
  <si>
    <t>NEL</t>
  </si>
  <si>
    <t>NEULAND/ALBE</t>
  </si>
  <si>
    <t>DENES</t>
  </si>
  <si>
    <t>NES</t>
  </si>
  <si>
    <t>NESSMERSIEL</t>
  </si>
  <si>
    <t>DENET</t>
  </si>
  <si>
    <t>NET</t>
  </si>
  <si>
    <t>NEUMARKT</t>
  </si>
  <si>
    <t>DENEU</t>
  </si>
  <si>
    <t>NEU</t>
  </si>
  <si>
    <t>NEUMUENSTER</t>
  </si>
  <si>
    <t>DENGD</t>
  </si>
  <si>
    <t>NGD</t>
  </si>
  <si>
    <t>NEUGERSDORF</t>
  </si>
  <si>
    <t>DENHA</t>
  </si>
  <si>
    <t>NHA</t>
  </si>
  <si>
    <t>NORDENHAM</t>
  </si>
  <si>
    <t>DENHN</t>
  </si>
  <si>
    <t>NHN</t>
  </si>
  <si>
    <t>NORDHORN</t>
  </si>
  <si>
    <t>DENHO</t>
  </si>
  <si>
    <t>NHO</t>
  </si>
  <si>
    <t>NEUSTADT (HOLST)</t>
  </si>
  <si>
    <t>DENHS</t>
  </si>
  <si>
    <t>NHS</t>
  </si>
  <si>
    <t>NEUHARLINGERSIEL</t>
  </si>
  <si>
    <t>DENIE</t>
  </si>
  <si>
    <t>NIENBURG</t>
  </si>
  <si>
    <t>DENIL</t>
  </si>
  <si>
    <t>NIL</t>
  </si>
  <si>
    <t>NIEBUELL</t>
  </si>
  <si>
    <t>DENKN</t>
  </si>
  <si>
    <t>NKN</t>
  </si>
  <si>
    <t>NEUNKIRCHEN</t>
  </si>
  <si>
    <t>DENOD</t>
  </si>
  <si>
    <t>NOD</t>
  </si>
  <si>
    <t>NORDEN</t>
  </si>
  <si>
    <t>DENOE</t>
  </si>
  <si>
    <t>NORDDEICH</t>
  </si>
  <si>
    <t>DENOM</t>
  </si>
  <si>
    <t>NOM</t>
  </si>
  <si>
    <t>NORTHEIM</t>
  </si>
  <si>
    <t>DENON</t>
  </si>
  <si>
    <t>NON</t>
  </si>
  <si>
    <t>NOERDLINGEN</t>
  </si>
  <si>
    <t>DENOR</t>
  </si>
  <si>
    <t>NORDSTRAND I.</t>
  </si>
  <si>
    <t>DENRD</t>
  </si>
  <si>
    <t>NRD</t>
  </si>
  <si>
    <t>NORDERNEY</t>
  </si>
  <si>
    <t>DENSA</t>
  </si>
  <si>
    <t>NEUSTADT/AISCH</t>
  </si>
  <si>
    <t>DENSC</t>
  </si>
  <si>
    <t>NSC</t>
  </si>
  <si>
    <t>NEUENSCHLEUSE</t>
  </si>
  <si>
    <t>DENSS</t>
  </si>
  <si>
    <t>NSS</t>
  </si>
  <si>
    <t>NEUSS</t>
  </si>
  <si>
    <t>DENSW</t>
  </si>
  <si>
    <t>NSW</t>
  </si>
  <si>
    <t>NEUSTADT/WEINSTR.</t>
  </si>
  <si>
    <t>DENUE</t>
  </si>
  <si>
    <t>NUE</t>
  </si>
  <si>
    <t>NURNBERG</t>
  </si>
  <si>
    <t>DENUN</t>
  </si>
  <si>
    <t>NUN</t>
  </si>
  <si>
    <t>NUERTINGEN</t>
  </si>
  <si>
    <t>DEOBE</t>
  </si>
  <si>
    <t>OBE</t>
  </si>
  <si>
    <t>OBERHAUSEN</t>
  </si>
  <si>
    <t>DEOBF</t>
  </si>
  <si>
    <t>OBF</t>
  </si>
  <si>
    <t>OBERSTDORF</t>
  </si>
  <si>
    <t>DEOBH</t>
  </si>
  <si>
    <t>OBH</t>
  </si>
  <si>
    <t>OBERWOLFACH</t>
  </si>
  <si>
    <t>DEOBL</t>
  </si>
  <si>
    <t>OBL</t>
  </si>
  <si>
    <t>OBERURSEL</t>
  </si>
  <si>
    <t>DEOEH</t>
  </si>
  <si>
    <t>OEH</t>
  </si>
  <si>
    <t>OEHRINGEN</t>
  </si>
  <si>
    <t>DEOEL</t>
  </si>
  <si>
    <t>OEL</t>
  </si>
  <si>
    <t>OELDE</t>
  </si>
  <si>
    <t>DEOFF</t>
  </si>
  <si>
    <t>OFF</t>
  </si>
  <si>
    <t>OFFENBACH</t>
  </si>
  <si>
    <t>DEOFG</t>
  </si>
  <si>
    <t>OFG</t>
  </si>
  <si>
    <t>OFFENBURG</t>
  </si>
  <si>
    <t>DEOLB</t>
  </si>
  <si>
    <t>OLB</t>
  </si>
  <si>
    <t>OLDENBUTTEL</t>
  </si>
  <si>
    <t>DEOLD</t>
  </si>
  <si>
    <t>OLD</t>
  </si>
  <si>
    <t>OLDENBURG</t>
  </si>
  <si>
    <t>DEOLE</t>
  </si>
  <si>
    <t>OLE</t>
  </si>
  <si>
    <t>OLPE</t>
  </si>
  <si>
    <t>DEOLH</t>
  </si>
  <si>
    <t>OLH</t>
  </si>
  <si>
    <t>OLDENBURG/HOLSTEIN</t>
  </si>
  <si>
    <t>DEOLO</t>
  </si>
  <si>
    <t>OLDENBURG/OLD.</t>
  </si>
  <si>
    <t>DEOLP</t>
  </si>
  <si>
    <t>OLPENITZ</t>
  </si>
  <si>
    <t>DEORT</t>
  </si>
  <si>
    <t>ORT</t>
  </si>
  <si>
    <t>ORTH - FEHMARN</t>
  </si>
  <si>
    <t>DEOSE</t>
  </si>
  <si>
    <t>OSE</t>
  </si>
  <si>
    <t>OSTERODE</t>
  </si>
  <si>
    <t>DEOSH</t>
  </si>
  <si>
    <t>OSTERHAUSEN</t>
  </si>
  <si>
    <t>DEOSN</t>
  </si>
  <si>
    <t>OSN</t>
  </si>
  <si>
    <t>OSNABRUCK</t>
  </si>
  <si>
    <t>DEOSS</t>
  </si>
  <si>
    <t>OSS</t>
  </si>
  <si>
    <t>OSTERHOLZ-SCHARMBECK</t>
  </si>
  <si>
    <t>DEOST</t>
  </si>
  <si>
    <t>OSTERBURKEN</t>
  </si>
  <si>
    <t>DEOTT</t>
  </si>
  <si>
    <t>OTTERNDORF</t>
  </si>
  <si>
    <t>DEPAD</t>
  </si>
  <si>
    <t>PAD</t>
  </si>
  <si>
    <t>PADERBORN</t>
  </si>
  <si>
    <t>DEPAH</t>
  </si>
  <si>
    <t>PAH</t>
  </si>
  <si>
    <t>PAHLHUDE</t>
  </si>
  <si>
    <t>DEPAP</t>
  </si>
  <si>
    <t>PAP</t>
  </si>
  <si>
    <t>PAPENBURG</t>
  </si>
  <si>
    <t>DEPAS</t>
  </si>
  <si>
    <t>PASSAU</t>
  </si>
  <si>
    <t>DEPEG</t>
  </si>
  <si>
    <t>PEG</t>
  </si>
  <si>
    <t>PEGNITZ</t>
  </si>
  <si>
    <t>DEPEI</t>
  </si>
  <si>
    <t>PEINE</t>
  </si>
  <si>
    <t>DEPEL</t>
  </si>
  <si>
    <t>PEL</t>
  </si>
  <si>
    <t>PELLWORM I.</t>
  </si>
  <si>
    <t>DEPEN</t>
  </si>
  <si>
    <t>PEN</t>
  </si>
  <si>
    <t>PENTE</t>
  </si>
  <si>
    <t>DEPFK</t>
  </si>
  <si>
    <t>PFK</t>
  </si>
  <si>
    <t>PFARRKIRCHEN</t>
  </si>
  <si>
    <t>DEPFO</t>
  </si>
  <si>
    <t>PFORZHEIM</t>
  </si>
  <si>
    <t>DEPIE</t>
  </si>
  <si>
    <t>PIE</t>
  </si>
  <si>
    <t>PIESBERG</t>
  </si>
  <si>
    <t>DEPIN</t>
  </si>
  <si>
    <t>PINNEBERG</t>
  </si>
  <si>
    <t>DEPIR</t>
  </si>
  <si>
    <t>PIR</t>
  </si>
  <si>
    <t>PIRMASENS</t>
  </si>
  <si>
    <t>DEPLA</t>
  </si>
  <si>
    <t>PLATTLING</t>
  </si>
  <si>
    <t>DEPLE</t>
  </si>
  <si>
    <t>PLETTENBERG</t>
  </si>
  <si>
    <t>DEPLN</t>
  </si>
  <si>
    <t>PLN</t>
  </si>
  <si>
    <t>PLOEN</t>
  </si>
  <si>
    <t>DEPLO</t>
  </si>
  <si>
    <t>PLOCHINGEN</t>
  </si>
  <si>
    <t>DEPOM</t>
  </si>
  <si>
    <t>POM</t>
  </si>
  <si>
    <t>POMELLEN</t>
  </si>
  <si>
    <t>DEPOR</t>
  </si>
  <si>
    <t>POR</t>
  </si>
  <si>
    <t>PORZ</t>
  </si>
  <si>
    <t>DEPRI</t>
  </si>
  <si>
    <t>PRI</t>
  </si>
  <si>
    <t>PRIEN/CHIEMSEE</t>
  </si>
  <si>
    <t>DEPRU</t>
  </si>
  <si>
    <t>PRU</t>
  </si>
  <si>
    <t>PRUEM</t>
  </si>
  <si>
    <t>DEPSH</t>
  </si>
  <si>
    <t>PSH</t>
  </si>
  <si>
    <t>ST PETER</t>
  </si>
  <si>
    <t>DEPUT</t>
  </si>
  <si>
    <t>PUT</t>
  </si>
  <si>
    <t>PUTTGARDEN</t>
  </si>
  <si>
    <t>DEQUA</t>
  </si>
  <si>
    <t>QUA</t>
  </si>
  <si>
    <t>QUAKENBRUECK</t>
  </si>
  <si>
    <t>DERAD</t>
  </si>
  <si>
    <t>RAD</t>
  </si>
  <si>
    <t>RADOLFZELL</t>
  </si>
  <si>
    <t>DERAN</t>
  </si>
  <si>
    <t>RAN</t>
  </si>
  <si>
    <t>RANDUM - SYLT</t>
  </si>
  <si>
    <t>DERAS</t>
  </si>
  <si>
    <t>RASTATT</t>
  </si>
  <si>
    <t>DERAT</t>
  </si>
  <si>
    <t>RAT</t>
  </si>
  <si>
    <t>RATINGEN</t>
  </si>
  <si>
    <t>DERAV</t>
  </si>
  <si>
    <t>RAVENSBURG</t>
  </si>
  <si>
    <t>DEREC</t>
  </si>
  <si>
    <t>RECKLINGHAUSEN</t>
  </si>
  <si>
    <t>DERED</t>
  </si>
  <si>
    <t>RED</t>
  </si>
  <si>
    <t>REMSCHEID</t>
  </si>
  <si>
    <t>DEREE</t>
  </si>
  <si>
    <t>REE</t>
  </si>
  <si>
    <t>REEPSHOLT</t>
  </si>
  <si>
    <t>DEREG</t>
  </si>
  <si>
    <t>REGENSBURG</t>
  </si>
  <si>
    <t>DEREH</t>
  </si>
  <si>
    <t>REH</t>
  </si>
  <si>
    <t>REDNITZHEMBACH</t>
  </si>
  <si>
    <t>DEREM</t>
  </si>
  <si>
    <t>REM</t>
  </si>
  <si>
    <t>REMAGEN</t>
  </si>
  <si>
    <t>DEREN</t>
  </si>
  <si>
    <t>REN</t>
  </si>
  <si>
    <t>RENDSBURG</t>
  </si>
  <si>
    <t>DEREU</t>
  </si>
  <si>
    <t>REU</t>
  </si>
  <si>
    <t>REUTLINGEN</t>
  </si>
  <si>
    <t>DERGN</t>
  </si>
  <si>
    <t>RGN</t>
  </si>
  <si>
    <t>REGEN</t>
  </si>
  <si>
    <t>DERHE</t>
  </si>
  <si>
    <t>RHE</t>
  </si>
  <si>
    <t>RHEINE</t>
  </si>
  <si>
    <t>DERHW</t>
  </si>
  <si>
    <t>RHW</t>
  </si>
  <si>
    <t>RHEDA-WIEDENBRUECK</t>
  </si>
  <si>
    <t>DERIE</t>
  </si>
  <si>
    <t>RIE</t>
  </si>
  <si>
    <t>RIEDLINGEN</t>
  </si>
  <si>
    <t>DERIN</t>
  </si>
  <si>
    <t>RINTELN</t>
  </si>
  <si>
    <t>DERIT</t>
  </si>
  <si>
    <t>RIT</t>
  </si>
  <si>
    <t>RITSCH</t>
  </si>
  <si>
    <t>DEROH</t>
  </si>
  <si>
    <t>ROCKENHAUSEN</t>
  </si>
  <si>
    <t>DEROL</t>
  </si>
  <si>
    <t>ROL</t>
  </si>
  <si>
    <t>ROTTWEIL</t>
  </si>
  <si>
    <t>DEROS</t>
  </si>
  <si>
    <t>ROSENHEIM</t>
  </si>
  <si>
    <t>DEROU</t>
  </si>
  <si>
    <t>ROU</t>
  </si>
  <si>
    <t>RODGAU</t>
  </si>
  <si>
    <t>DEROW</t>
  </si>
  <si>
    <t>ROW</t>
  </si>
  <si>
    <t>ROTENBURG</t>
  </si>
  <si>
    <t>DERSK</t>
  </si>
  <si>
    <t>RSK</t>
  </si>
  <si>
    <t>ROSTOCK</t>
  </si>
  <si>
    <t>DERUE</t>
  </si>
  <si>
    <t>RUE</t>
  </si>
  <si>
    <t>RUEDESHEIM</t>
  </si>
  <si>
    <t>DERUM</t>
  </si>
  <si>
    <t>RUM</t>
  </si>
  <si>
    <t>RUESSELSHEIM</t>
  </si>
  <si>
    <t>DESAA</t>
  </si>
  <si>
    <t>SAA</t>
  </si>
  <si>
    <t>SAARLOUIS</t>
  </si>
  <si>
    <t>DESAG</t>
  </si>
  <si>
    <t>SAG</t>
  </si>
  <si>
    <t>SAARBURG</t>
  </si>
  <si>
    <t>DESAL</t>
  </si>
  <si>
    <t>SAL</t>
  </si>
  <si>
    <t>STADT ALLENDORF</t>
  </si>
  <si>
    <t>DESAR</t>
  </si>
  <si>
    <t>SALZGITTER</t>
  </si>
  <si>
    <t>DESAS</t>
  </si>
  <si>
    <t>SAS</t>
  </si>
  <si>
    <t>SASSNITZ</t>
  </si>
  <si>
    <t>DESAU</t>
  </si>
  <si>
    <t>SCHACHT AUDORF</t>
  </si>
  <si>
    <t>DESBG</t>
  </si>
  <si>
    <t>SBG</t>
  </si>
  <si>
    <t>SEDELSBERG</t>
  </si>
  <si>
    <t>DESCB</t>
  </si>
  <si>
    <t>SCB</t>
  </si>
  <si>
    <t>SCHONBERG</t>
  </si>
  <si>
    <t>DESCE</t>
  </si>
  <si>
    <t>SCE</t>
  </si>
  <si>
    <t>SCHWERTE</t>
  </si>
  <si>
    <t>DESCF</t>
  </si>
  <si>
    <t>SCF</t>
  </si>
  <si>
    <t>SCHWANDORF</t>
  </si>
  <si>
    <t>DESCG</t>
  </si>
  <si>
    <t>SCG</t>
  </si>
  <si>
    <t>SCHRAMBERG</t>
  </si>
  <si>
    <t>DESCH</t>
  </si>
  <si>
    <t>SCH</t>
  </si>
  <si>
    <t>SCHWETZINGEN</t>
  </si>
  <si>
    <t>DESCN</t>
  </si>
  <si>
    <t>SCN</t>
  </si>
  <si>
    <t>SAARBRUCKEN</t>
  </si>
  <si>
    <t>DESCW</t>
  </si>
  <si>
    <t>SCW</t>
  </si>
  <si>
    <t>SCHWEINFURT</t>
  </si>
  <si>
    <t>DESDE</t>
  </si>
  <si>
    <t>SANDE</t>
  </si>
  <si>
    <t>DESDF</t>
  </si>
  <si>
    <t>SDF</t>
  </si>
  <si>
    <t>SCHORNDORF</t>
  </si>
  <si>
    <t>DESDT</t>
  </si>
  <si>
    <t>SCHWEDT</t>
  </si>
  <si>
    <t>DESEE</t>
  </si>
  <si>
    <t>SEE</t>
  </si>
  <si>
    <t>SEESEN</t>
  </si>
  <si>
    <t>DESEH</t>
  </si>
  <si>
    <t>SEH</t>
  </si>
  <si>
    <t>SEHESTADT</t>
  </si>
  <si>
    <t>DESEL</t>
  </si>
  <si>
    <t>SEL</t>
  </si>
  <si>
    <t>SELTERSWESTERWALD</t>
  </si>
  <si>
    <t>DESEX</t>
  </si>
  <si>
    <t>SEX</t>
  </si>
  <si>
    <t>SEMBACH</t>
  </si>
  <si>
    <t>DESGD</t>
  </si>
  <si>
    <t>SGD</t>
  </si>
  <si>
    <t>SCHWAEBISCH-GMUEND</t>
  </si>
  <si>
    <t>DESGE</t>
  </si>
  <si>
    <t>SIEGEN</t>
  </si>
  <si>
    <t>DESGU</t>
  </si>
  <si>
    <t>SGU</t>
  </si>
  <si>
    <t>SCHONGAU</t>
  </si>
  <si>
    <t>DESHI</t>
  </si>
  <si>
    <t>SHI</t>
  </si>
  <si>
    <t>SCHMILKA</t>
  </si>
  <si>
    <t>DESHL</t>
  </si>
  <si>
    <t>SHL</t>
  </si>
  <si>
    <t>SCHAEBISCH-HALL</t>
  </si>
  <si>
    <t>DESHM</t>
  </si>
  <si>
    <t>SHM</t>
  </si>
  <si>
    <t>SCHPFHEIM</t>
  </si>
  <si>
    <t>DESHU</t>
  </si>
  <si>
    <t>SHU</t>
  </si>
  <si>
    <t>SCHWARTZENHUTTEN</t>
  </si>
  <si>
    <t>DESIG</t>
  </si>
  <si>
    <t>SIG</t>
  </si>
  <si>
    <t>SIEGBURG</t>
  </si>
  <si>
    <t>DESIH</t>
  </si>
  <si>
    <t>SIH</t>
  </si>
  <si>
    <t>SINSHEIM</t>
  </si>
  <si>
    <t>DESIM</t>
  </si>
  <si>
    <t>SIM</t>
  </si>
  <si>
    <t>SIMMERN</t>
  </si>
  <si>
    <t>DESIN</t>
  </si>
  <si>
    <t>SIN</t>
  </si>
  <si>
    <t>SINGEN</t>
  </si>
  <si>
    <t>DESLM</t>
  </si>
  <si>
    <t>SLM</t>
  </si>
  <si>
    <t>SCHWELM</t>
  </si>
  <si>
    <t>DESLS</t>
  </si>
  <si>
    <t>SCHLESWIG</t>
  </si>
  <si>
    <t>DESMA</t>
  </si>
  <si>
    <t>SANKT MARGARETHEN</t>
  </si>
  <si>
    <t>DESMG</t>
  </si>
  <si>
    <t>SMG</t>
  </si>
  <si>
    <t>SIGMARINGEN</t>
  </si>
  <si>
    <t>DESMI</t>
  </si>
  <si>
    <t>ST. MICHAELISDONN</t>
  </si>
  <si>
    <t>DESMN</t>
  </si>
  <si>
    <t>SMN</t>
  </si>
  <si>
    <t>SCHWABMUNCHEN</t>
  </si>
  <si>
    <t>DESOE</t>
  </si>
  <si>
    <t>SOEST</t>
  </si>
  <si>
    <t>DESOL</t>
  </si>
  <si>
    <t>SOL</t>
  </si>
  <si>
    <t>SOLINGEN</t>
  </si>
  <si>
    <t>DESOU</t>
  </si>
  <si>
    <t>SOLTAU</t>
  </si>
  <si>
    <t>DESPE</t>
  </si>
  <si>
    <t>SPE</t>
  </si>
  <si>
    <t>SPEYER</t>
  </si>
  <si>
    <t>DESPI</t>
  </si>
  <si>
    <t>SPI</t>
  </si>
  <si>
    <t>SPIECKEROOG I.</t>
  </si>
  <si>
    <t>DESPM</t>
  </si>
  <si>
    <t>SPM</t>
  </si>
  <si>
    <t>SPANGDAHLEM</t>
  </si>
  <si>
    <t>DESPS</t>
  </si>
  <si>
    <t>SPS</t>
  </si>
  <si>
    <t>SCHULPERSIEL</t>
  </si>
  <si>
    <t>DESTA</t>
  </si>
  <si>
    <t>STADE</t>
  </si>
  <si>
    <t>DESTB</t>
  </si>
  <si>
    <t>STB</t>
  </si>
  <si>
    <t>STRAUBING</t>
  </si>
  <si>
    <t>DESTD</t>
  </si>
  <si>
    <t>STD</t>
  </si>
  <si>
    <t>STRANDE</t>
  </si>
  <si>
    <t>DESTG</t>
  </si>
  <si>
    <t>STG</t>
  </si>
  <si>
    <t>STOLBERG</t>
  </si>
  <si>
    <t>DESTH</t>
  </si>
  <si>
    <t>STADTHAGEN</t>
  </si>
  <si>
    <t>DESTI</t>
  </si>
  <si>
    <t>STI</t>
  </si>
  <si>
    <t>ST. INGBERT</t>
  </si>
  <si>
    <t>DESTK</t>
  </si>
  <si>
    <t>STK</t>
  </si>
  <si>
    <t>ST KATHARINEN</t>
  </si>
  <si>
    <t>DESTL</t>
  </si>
  <si>
    <t>STL</t>
  </si>
  <si>
    <t>STRALSUND</t>
  </si>
  <si>
    <t>DESTN</t>
  </si>
  <si>
    <t>STN</t>
  </si>
  <si>
    <t>STARNBERG</t>
  </si>
  <si>
    <t>DESTR</t>
  </si>
  <si>
    <t>STUTTGART</t>
  </si>
  <si>
    <t>DESTS</t>
  </si>
  <si>
    <t>STS</t>
  </si>
  <si>
    <t>STADERSAND</t>
  </si>
  <si>
    <t>DESTT</t>
  </si>
  <si>
    <t>STT</t>
  </si>
  <si>
    <t>STEINFURT</t>
  </si>
  <si>
    <t>DESUD</t>
  </si>
  <si>
    <t>SUDERSTAPEL</t>
  </si>
  <si>
    <t>DESUR</t>
  </si>
  <si>
    <t>SURWOLD</t>
  </si>
  <si>
    <t>DESWE</t>
  </si>
  <si>
    <t>ST. WENDEL</t>
  </si>
  <si>
    <t>DESWN</t>
  </si>
  <si>
    <t>SWN</t>
  </si>
  <si>
    <t>SCHWENNINGEN</t>
  </si>
  <si>
    <t>DESXF</t>
  </si>
  <si>
    <t>SXF</t>
  </si>
  <si>
    <t>SCHONEFELD/BERLIN</t>
  </si>
  <si>
    <t>DETAN</t>
  </si>
  <si>
    <t>TANTOW</t>
  </si>
  <si>
    <t>DETEG</t>
  </si>
  <si>
    <t>TEGERNSEE</t>
  </si>
  <si>
    <t>DETHF</t>
  </si>
  <si>
    <t>THF</t>
  </si>
  <si>
    <t>BERLIN-TEMPELHOF APT</t>
  </si>
  <si>
    <t>DETIN</t>
  </si>
  <si>
    <t>TIN</t>
  </si>
  <si>
    <t>TINNUM - SYLT</t>
  </si>
  <si>
    <t>DETNE</t>
  </si>
  <si>
    <t>TNE</t>
  </si>
  <si>
    <t>TITISEE-NEUSTADT</t>
  </si>
  <si>
    <t>DETOE</t>
  </si>
  <si>
    <t>TOE</t>
  </si>
  <si>
    <t>TONNING</t>
  </si>
  <si>
    <t>DETOS</t>
  </si>
  <si>
    <t>TOS</t>
  </si>
  <si>
    <t>TOSSENS</t>
  </si>
  <si>
    <t>DETRA</t>
  </si>
  <si>
    <t>TRA</t>
  </si>
  <si>
    <t>TRAUNSTEIN</t>
  </si>
  <si>
    <t>DETRE</t>
  </si>
  <si>
    <t>TRE</t>
  </si>
  <si>
    <t>TREUCHTLINGEN</t>
  </si>
  <si>
    <t>DETRG</t>
  </si>
  <si>
    <t>TRG</t>
  </si>
  <si>
    <t>TRIBERG</t>
  </si>
  <si>
    <t>DETRI</t>
  </si>
  <si>
    <t>TRI</t>
  </si>
  <si>
    <t>TRIER</t>
  </si>
  <si>
    <t>DETRO</t>
  </si>
  <si>
    <t>TROISDORF</t>
  </si>
  <si>
    <t>DETRT</t>
  </si>
  <si>
    <t>TRT</t>
  </si>
  <si>
    <t>TRABEN-TRARBACH</t>
  </si>
  <si>
    <t>DETUE</t>
  </si>
  <si>
    <t>TUE</t>
  </si>
  <si>
    <t>TUEBINGEN</t>
  </si>
  <si>
    <t>DETUT</t>
  </si>
  <si>
    <t>TUT</t>
  </si>
  <si>
    <t>TUTTLINGEN</t>
  </si>
  <si>
    <t>DETXL</t>
  </si>
  <si>
    <t>TXL</t>
  </si>
  <si>
    <t>BERLIN-TEGEL APT</t>
  </si>
  <si>
    <t>DEUEB</t>
  </si>
  <si>
    <t>UEB</t>
  </si>
  <si>
    <t>UEBERLINGEN</t>
  </si>
  <si>
    <t>DEUEL</t>
  </si>
  <si>
    <t>UEL</t>
  </si>
  <si>
    <t>UELZEN</t>
  </si>
  <si>
    <t>DEUET</t>
  </si>
  <si>
    <t>UET</t>
  </si>
  <si>
    <t>UETERSEN</t>
  </si>
  <si>
    <t>DEULM</t>
  </si>
  <si>
    <t>ULM</t>
  </si>
  <si>
    <t>DEUNN</t>
  </si>
  <si>
    <t>UNN</t>
  </si>
  <si>
    <t>UNNA</t>
  </si>
  <si>
    <t>DEUPS</t>
  </si>
  <si>
    <t>UPS</t>
  </si>
  <si>
    <t>UPSCHOERT</t>
  </si>
  <si>
    <t>DEVAR</t>
  </si>
  <si>
    <t>VAREL</t>
  </si>
  <si>
    <t>DEVEL</t>
  </si>
  <si>
    <t>VEL</t>
  </si>
  <si>
    <t>VELBERT</t>
  </si>
  <si>
    <t>DEVEN</t>
  </si>
  <si>
    <t>VEN</t>
  </si>
  <si>
    <t>VENNE</t>
  </si>
  <si>
    <t>DEVER</t>
  </si>
  <si>
    <t>VER</t>
  </si>
  <si>
    <t>VERDEN</t>
  </si>
  <si>
    <t>DEVIE</t>
  </si>
  <si>
    <t>VIERSEN</t>
  </si>
  <si>
    <t>DEVIS</t>
  </si>
  <si>
    <t>VIS</t>
  </si>
  <si>
    <t>VILLINGEN-SCHWENNINGEN</t>
  </si>
  <si>
    <t>DEVOE</t>
  </si>
  <si>
    <t>VOE</t>
  </si>
  <si>
    <t>VOELKLINGEN</t>
  </si>
  <si>
    <t>DEWAC</t>
  </si>
  <si>
    <t>WAC</t>
  </si>
  <si>
    <t>WESTERACCUMERSIEL</t>
  </si>
  <si>
    <t>DEWAD</t>
  </si>
  <si>
    <t>WAD</t>
  </si>
  <si>
    <t>WARENDORF</t>
  </si>
  <si>
    <t>DEWAE</t>
  </si>
  <si>
    <t>WAE</t>
  </si>
  <si>
    <t>WAECHTERSBACH</t>
  </si>
  <si>
    <t>DEWAG</t>
  </si>
  <si>
    <t>WAG</t>
  </si>
  <si>
    <t>WARBURG</t>
  </si>
  <si>
    <t>DEWAI</t>
  </si>
  <si>
    <t>WAI</t>
  </si>
  <si>
    <t>WAIBLINGEN</t>
  </si>
  <si>
    <t>DEWAL</t>
  </si>
  <si>
    <t>WALSRODE</t>
  </si>
  <si>
    <t>DEWAR</t>
  </si>
  <si>
    <t>WAR</t>
  </si>
  <si>
    <t>WARNEMUNDE</t>
  </si>
  <si>
    <t>DEWAS</t>
  </si>
  <si>
    <t>WAS</t>
  </si>
  <si>
    <t>WASSERBURG/INN</t>
  </si>
  <si>
    <t>DEWAT</t>
  </si>
  <si>
    <t>WALDSHUT-TIENGEN</t>
  </si>
  <si>
    <t>DEWBL</t>
  </si>
  <si>
    <t>WBL</t>
  </si>
  <si>
    <t>WOLFENBUETTEL</t>
  </si>
  <si>
    <t>DEWED</t>
  </si>
  <si>
    <t>WED</t>
  </si>
  <si>
    <t>WEDEL</t>
  </si>
  <si>
    <t>DEWEE</t>
  </si>
  <si>
    <t>WEE</t>
  </si>
  <si>
    <t>WEENER</t>
  </si>
  <si>
    <t>DEWEG</t>
  </si>
  <si>
    <t>WEG</t>
  </si>
  <si>
    <t>WEILBURG</t>
  </si>
  <si>
    <t>DEWEI</t>
  </si>
  <si>
    <t>WEIDEN</t>
  </si>
  <si>
    <t>DEWEL</t>
  </si>
  <si>
    <t>WERL</t>
  </si>
  <si>
    <t>DEWEM</t>
  </si>
  <si>
    <t>WEM</t>
  </si>
  <si>
    <t>WEILHEIM</t>
  </si>
  <si>
    <t>DEWEN</t>
  </si>
  <si>
    <t>WEN</t>
  </si>
  <si>
    <t>WENNINGSTEDT - SYLT</t>
  </si>
  <si>
    <t>DEWER</t>
  </si>
  <si>
    <t>WER</t>
  </si>
  <si>
    <t>WERDOHL</t>
  </si>
  <si>
    <t>DEWES</t>
  </si>
  <si>
    <t>WES</t>
  </si>
  <si>
    <t>WESEL</t>
  </si>
  <si>
    <t>DEWET</t>
  </si>
  <si>
    <t>WET</t>
  </si>
  <si>
    <t>WETZAR</t>
  </si>
  <si>
    <t>DEWEW</t>
  </si>
  <si>
    <t>WEWELSFLETH</t>
  </si>
  <si>
    <t>DEWHA</t>
  </si>
  <si>
    <t>WHA</t>
  </si>
  <si>
    <t>WITZENHAUSEN</t>
  </si>
  <si>
    <t>DEWHM</t>
  </si>
  <si>
    <t>WHM</t>
  </si>
  <si>
    <t>WEINHEIM</t>
  </si>
  <si>
    <t>DEWIB</t>
  </si>
  <si>
    <t>WIB</t>
  </si>
  <si>
    <t>WIESBADEN</t>
  </si>
  <si>
    <t>DEWID</t>
  </si>
  <si>
    <t>WID</t>
  </si>
  <si>
    <t>WILDENRATH</t>
  </si>
  <si>
    <t>DEWIE</t>
  </si>
  <si>
    <t>WIE</t>
  </si>
  <si>
    <t>WIESENS</t>
  </si>
  <si>
    <t>DEWIF</t>
  </si>
  <si>
    <t>WIF</t>
  </si>
  <si>
    <t>WISCHHAFEN</t>
  </si>
  <si>
    <t>DEWIH</t>
  </si>
  <si>
    <t>WIH</t>
  </si>
  <si>
    <t>WISCH</t>
  </si>
  <si>
    <t>DEWIL</t>
  </si>
  <si>
    <t>WILSTER</t>
  </si>
  <si>
    <t>DEWIM</t>
  </si>
  <si>
    <t>WIM</t>
  </si>
  <si>
    <t>WIMMER</t>
  </si>
  <si>
    <t>DEWIN</t>
  </si>
  <si>
    <t>WINSEN/LUHE</t>
  </si>
  <si>
    <t>DEWIS</t>
  </si>
  <si>
    <t>WIS</t>
  </si>
  <si>
    <t>WISMAR</t>
  </si>
  <si>
    <t>DEWIT</t>
  </si>
  <si>
    <t>WITTLAGE</t>
  </si>
  <si>
    <t>DEWOB</t>
  </si>
  <si>
    <t>WOB</t>
  </si>
  <si>
    <t>WOLFSBURG</t>
  </si>
  <si>
    <t>DEWOH</t>
  </si>
  <si>
    <t>WOH</t>
  </si>
  <si>
    <t>WOLFRATSHAUSEN</t>
  </si>
  <si>
    <t>DEWOR</t>
  </si>
  <si>
    <t>WOR</t>
  </si>
  <si>
    <t>WORMS</t>
  </si>
  <si>
    <t>DEWSE</t>
  </si>
  <si>
    <t>WSE</t>
  </si>
  <si>
    <t>WESTERSTEDE</t>
  </si>
  <si>
    <t>DEWTH</t>
  </si>
  <si>
    <t>WTH</t>
  </si>
  <si>
    <t>WITTLICH</t>
  </si>
  <si>
    <t>DEWTM</t>
  </si>
  <si>
    <t>WTM</t>
  </si>
  <si>
    <t>WERTHEIM</t>
  </si>
  <si>
    <t>DEWTN</t>
  </si>
  <si>
    <t>WITTINGEN</t>
  </si>
  <si>
    <t>DEWTT</t>
  </si>
  <si>
    <t>WTT</t>
  </si>
  <si>
    <t>WITTEN</t>
  </si>
  <si>
    <t>DEWUE</t>
  </si>
  <si>
    <t>WUE</t>
  </si>
  <si>
    <t>WUERZBURG</t>
  </si>
  <si>
    <t>DEWUN</t>
  </si>
  <si>
    <t>WUNSTORF</t>
  </si>
  <si>
    <t>DEWUP</t>
  </si>
  <si>
    <t>WUP</t>
  </si>
  <si>
    <t>WUPPERTAL</t>
  </si>
  <si>
    <t>DEWVN</t>
  </si>
  <si>
    <t>WVN</t>
  </si>
  <si>
    <t>WILHELMSHAVEN</t>
  </si>
  <si>
    <t>DEWYK</t>
  </si>
  <si>
    <t>WYK</t>
  </si>
  <si>
    <t>WYK AUF FOHR</t>
  </si>
  <si>
    <t>DEXFW</t>
  </si>
  <si>
    <t>XFW</t>
  </si>
  <si>
    <t>FINKENWERDER</t>
  </si>
  <si>
    <t>DEZEV</t>
  </si>
  <si>
    <t>ZEV</t>
  </si>
  <si>
    <t>ZEVEN</t>
  </si>
  <si>
    <t>DEZIT</t>
  </si>
  <si>
    <t>ZIT</t>
  </si>
  <si>
    <t>ZITTAU</t>
  </si>
  <si>
    <t>DEZNW</t>
  </si>
  <si>
    <t>ZNW</t>
  </si>
  <si>
    <t>ZINNWALD</t>
  </si>
  <si>
    <t>DEZWE</t>
  </si>
  <si>
    <t>ZWE</t>
  </si>
  <si>
    <t>ZWEIBRUECKEN</t>
  </si>
  <si>
    <t>DEZZZ</t>
  </si>
  <si>
    <t>BBJ</t>
  </si>
  <si>
    <t>BADEN AIRPARK</t>
  </si>
  <si>
    <t>FKB</t>
  </si>
  <si>
    <t xml:space="preserve">MEMMINGEN           </t>
  </si>
  <si>
    <t>FMM</t>
  </si>
  <si>
    <t>RHEINDAHLEN</t>
  </si>
  <si>
    <t>GMY</t>
  </si>
  <si>
    <t>ILLISHEIM</t>
  </si>
  <si>
    <t>ILH</t>
  </si>
  <si>
    <t>BLACK FOREST</t>
  </si>
  <si>
    <t>LHA</t>
  </si>
  <si>
    <t>OHR</t>
  </si>
  <si>
    <t>RAMSTEIN</t>
  </si>
  <si>
    <t>RMS</t>
  </si>
  <si>
    <t>PFORHEIM</t>
  </si>
  <si>
    <t>UPF</t>
  </si>
  <si>
    <t>UWE</t>
  </si>
  <si>
    <t>UWP</t>
  </si>
  <si>
    <t>XLW</t>
  </si>
  <si>
    <t>DJIBOUTI</t>
  </si>
  <si>
    <t>ジブチ</t>
  </si>
  <si>
    <t>DJJIB</t>
  </si>
  <si>
    <t>DJ</t>
  </si>
  <si>
    <t>JIB</t>
  </si>
  <si>
    <t>FRSOM</t>
  </si>
  <si>
    <t>DJZZZ</t>
  </si>
  <si>
    <t>ALISABIEH</t>
  </si>
  <si>
    <t>AII</t>
  </si>
  <si>
    <t>MUSHA</t>
  </si>
  <si>
    <t>MHI</t>
  </si>
  <si>
    <t>OBOCK</t>
  </si>
  <si>
    <t>OBC</t>
  </si>
  <si>
    <t>TADJOURA</t>
  </si>
  <si>
    <t>TDJ</t>
  </si>
  <si>
    <t>DENMARK</t>
  </si>
  <si>
    <t>デンマーク</t>
  </si>
  <si>
    <t>DKAAB</t>
  </si>
  <si>
    <t>DK</t>
  </si>
  <si>
    <t>AABENRAA</t>
  </si>
  <si>
    <t>DKAAL</t>
  </si>
  <si>
    <t>AALBORG</t>
  </si>
  <si>
    <t>DKAAR</t>
  </si>
  <si>
    <t>AAR</t>
  </si>
  <si>
    <t>AARHUS</t>
  </si>
  <si>
    <t>DKAGE</t>
  </si>
  <si>
    <t>ALLINGE</t>
  </si>
  <si>
    <t>DKASN</t>
  </si>
  <si>
    <t>ASN</t>
  </si>
  <si>
    <t>ASSENS</t>
  </si>
  <si>
    <t>DKBAG</t>
  </si>
  <si>
    <t>BAGENKOP</t>
  </si>
  <si>
    <t>DKBDX</t>
  </si>
  <si>
    <t>BDX</t>
  </si>
  <si>
    <t>BANDHOLM</t>
  </si>
  <si>
    <t>DKBGZ</t>
  </si>
  <si>
    <t>BGZ</t>
  </si>
  <si>
    <t>BOGENSE</t>
  </si>
  <si>
    <t>DKBLL</t>
  </si>
  <si>
    <t>BLL</t>
  </si>
  <si>
    <t>BILLUND</t>
  </si>
  <si>
    <t>DKBOS</t>
  </si>
  <si>
    <t>BOS</t>
  </si>
  <si>
    <t>BOJDEN</t>
  </si>
  <si>
    <t>DKCPH</t>
  </si>
  <si>
    <t>CPH</t>
  </si>
  <si>
    <t>KOBENHAVN</t>
  </si>
  <si>
    <t>DKDRA</t>
  </si>
  <si>
    <t>DRA</t>
  </si>
  <si>
    <t>DRAGOR</t>
  </si>
  <si>
    <t>DKEBJ</t>
  </si>
  <si>
    <t>EBJ</t>
  </si>
  <si>
    <t>ESBJERG</t>
  </si>
  <si>
    <t>DKFAA</t>
  </si>
  <si>
    <t>FAA</t>
  </si>
  <si>
    <t>FAABORG</t>
  </si>
  <si>
    <t>DKFDH</t>
  </si>
  <si>
    <t>FREDERIKSHAVN</t>
  </si>
  <si>
    <t>DKFDS</t>
  </si>
  <si>
    <t>FREDERIKSUND</t>
  </si>
  <si>
    <t>DKFDV</t>
  </si>
  <si>
    <t>FDV</t>
  </si>
  <si>
    <t>FREDERIKSVARK</t>
  </si>
  <si>
    <t>DKFRC</t>
  </si>
  <si>
    <t>FREDERICIA</t>
  </si>
  <si>
    <t>DKFYH</t>
  </si>
  <si>
    <t>FYH</t>
  </si>
  <si>
    <t>FYNSHAVN</t>
  </si>
  <si>
    <t>DKGDM</t>
  </si>
  <si>
    <t>GDM</t>
  </si>
  <si>
    <t>GUDHJEM</t>
  </si>
  <si>
    <t>DKGED</t>
  </si>
  <si>
    <t>GED</t>
  </si>
  <si>
    <t>GEDSER</t>
  </si>
  <si>
    <t>DKGLY</t>
  </si>
  <si>
    <t>GLYNGORE</t>
  </si>
  <si>
    <t>DKGRE</t>
  </si>
  <si>
    <t>GRENAA</t>
  </si>
  <si>
    <t>DKHAD</t>
  </si>
  <si>
    <t>HAD</t>
  </si>
  <si>
    <t>HADERSLEV</t>
  </si>
  <si>
    <t>DKHBK</t>
  </si>
  <si>
    <t>HBK</t>
  </si>
  <si>
    <t>HOLBAEK</t>
  </si>
  <si>
    <t>DKHBO</t>
  </si>
  <si>
    <t>HBO</t>
  </si>
  <si>
    <t>HOBRO</t>
  </si>
  <si>
    <t>DKHER</t>
  </si>
  <si>
    <t>HERNING</t>
  </si>
  <si>
    <t>DKHIR</t>
  </si>
  <si>
    <t>HIR</t>
  </si>
  <si>
    <t>HIRTSHALS</t>
  </si>
  <si>
    <t>DKHLS</t>
  </si>
  <si>
    <t>HELSINGOR</t>
  </si>
  <si>
    <t>DKHOR</t>
  </si>
  <si>
    <t>HORSENS</t>
  </si>
  <si>
    <t>DKHSB</t>
  </si>
  <si>
    <t>HSB</t>
  </si>
  <si>
    <t>HOLSTEBRO</t>
  </si>
  <si>
    <t>DKHSL</t>
  </si>
  <si>
    <t>HSL</t>
  </si>
  <si>
    <t>HASLE</t>
  </si>
  <si>
    <t>DKHUN</t>
  </si>
  <si>
    <t>HUNDESTED</t>
  </si>
  <si>
    <t>DKKAL</t>
  </si>
  <si>
    <t>KALUNDBORG</t>
  </si>
  <si>
    <t>DKKBY</t>
  </si>
  <si>
    <t>KBY</t>
  </si>
  <si>
    <t>KYNDBY/KROSTRUP/</t>
  </si>
  <si>
    <t>DKKOG</t>
  </si>
  <si>
    <t>KOG</t>
  </si>
  <si>
    <t>KOGE</t>
  </si>
  <si>
    <t>DKKOL</t>
  </si>
  <si>
    <t>KOLDING</t>
  </si>
  <si>
    <t>DKKRP</t>
  </si>
  <si>
    <t>KRP</t>
  </si>
  <si>
    <t>KARUP</t>
  </si>
  <si>
    <t>DKKRR</t>
  </si>
  <si>
    <t>KRR</t>
  </si>
  <si>
    <t>KORSOR</t>
  </si>
  <si>
    <t>DKKRS</t>
  </si>
  <si>
    <t>KRS</t>
  </si>
  <si>
    <t>KRUSAA</t>
  </si>
  <si>
    <t>DKKTD</t>
  </si>
  <si>
    <t>KTD</t>
  </si>
  <si>
    <t>KERTEMINDE</t>
  </si>
  <si>
    <t>DKKTP</t>
  </si>
  <si>
    <t>KTP</t>
  </si>
  <si>
    <t>KASTRUP</t>
  </si>
  <si>
    <t>DKLGR</t>
  </si>
  <si>
    <t>LOGSTOR</t>
  </si>
  <si>
    <t>DKLVG</t>
  </si>
  <si>
    <t>LVG</t>
  </si>
  <si>
    <t>LEMVIG</t>
  </si>
  <si>
    <t>DKMID</t>
  </si>
  <si>
    <t>MIDDELFART</t>
  </si>
  <si>
    <t>DKMNS</t>
  </si>
  <si>
    <t>MNS</t>
  </si>
  <si>
    <t>MASNEDSUND</t>
  </si>
  <si>
    <t>DKMRR</t>
  </si>
  <si>
    <t>MRR</t>
  </si>
  <si>
    <t>MARIAGER</t>
  </si>
  <si>
    <t>DKNAK</t>
  </si>
  <si>
    <t>NAK</t>
  </si>
  <si>
    <t>NAKSKOV</t>
  </si>
  <si>
    <t>DKNBG</t>
  </si>
  <si>
    <t>NBG</t>
  </si>
  <si>
    <t>NYBORG</t>
  </si>
  <si>
    <t>DKNBR</t>
  </si>
  <si>
    <t>NBR</t>
  </si>
  <si>
    <t>NORDBORG</t>
  </si>
  <si>
    <t>DKNEX</t>
  </si>
  <si>
    <t>NEX</t>
  </si>
  <si>
    <t>NEKSO</t>
  </si>
  <si>
    <t>DKNRE</t>
  </si>
  <si>
    <t>NRE</t>
  </si>
  <si>
    <t>NORRE-AABY</t>
  </si>
  <si>
    <t>DKNRS</t>
  </si>
  <si>
    <t>NRS</t>
  </si>
  <si>
    <t>NORRESUNDBY</t>
  </si>
  <si>
    <t>DKNSD</t>
  </si>
  <si>
    <t>NSD</t>
  </si>
  <si>
    <t>NORRE SNEDE</t>
  </si>
  <si>
    <t>DKNTD</t>
  </si>
  <si>
    <t>NTD</t>
  </si>
  <si>
    <t>NYSTED</t>
  </si>
  <si>
    <t>DKNVD</t>
  </si>
  <si>
    <t>NVD</t>
  </si>
  <si>
    <t>NASTVED</t>
  </si>
  <si>
    <t>DKNYF</t>
  </si>
  <si>
    <t>NYF</t>
  </si>
  <si>
    <t>NYKOBING FALSTER</t>
  </si>
  <si>
    <t>DKNYM</t>
  </si>
  <si>
    <t>NYM</t>
  </si>
  <si>
    <t>NYKOBING MORS</t>
  </si>
  <si>
    <t>DKNYS</t>
  </si>
  <si>
    <t>NYS</t>
  </si>
  <si>
    <t>NYKOBING SJAELLAND</t>
  </si>
  <si>
    <t>DKODE</t>
  </si>
  <si>
    <t>ODE</t>
  </si>
  <si>
    <t>ODENSE</t>
  </si>
  <si>
    <t>DKORE</t>
  </si>
  <si>
    <t>OREHOVED - FALSTER</t>
  </si>
  <si>
    <t>DKPAO</t>
  </si>
  <si>
    <t>PAO</t>
  </si>
  <si>
    <t>PADBORG</t>
  </si>
  <si>
    <t>DKRAN</t>
  </si>
  <si>
    <t>RANDERS</t>
  </si>
  <si>
    <t>DKRKB</t>
  </si>
  <si>
    <t>RKB</t>
  </si>
  <si>
    <t>RUDKOBING</t>
  </si>
  <si>
    <t>DKRKE</t>
  </si>
  <si>
    <t>RKE</t>
  </si>
  <si>
    <t>ROSKILDE</t>
  </si>
  <si>
    <t>DKRNN</t>
  </si>
  <si>
    <t>RNN</t>
  </si>
  <si>
    <t>RONNE</t>
  </si>
  <si>
    <t>DKROD</t>
  </si>
  <si>
    <t>ROD</t>
  </si>
  <si>
    <t>RODBYHAVN</t>
  </si>
  <si>
    <t>DKSAE</t>
  </si>
  <si>
    <t>SAE</t>
  </si>
  <si>
    <t>SAEBY</t>
  </si>
  <si>
    <t>DKSAX</t>
  </si>
  <si>
    <t>SAX</t>
  </si>
  <si>
    <t>SAKSKOBING</t>
  </si>
  <si>
    <t>DKSGD</t>
  </si>
  <si>
    <t>SONDERBORG</t>
  </si>
  <si>
    <t>DKSKA</t>
  </si>
  <si>
    <t>SKA</t>
  </si>
  <si>
    <t>SKAGEN</t>
  </si>
  <si>
    <t>DKSKV</t>
  </si>
  <si>
    <t>SKV</t>
  </si>
  <si>
    <t>SKIVE</t>
  </si>
  <si>
    <t>DKSLB</t>
  </si>
  <si>
    <t>SLB</t>
  </si>
  <si>
    <t>SILKEBORG</t>
  </si>
  <si>
    <t>DKSTA</t>
  </si>
  <si>
    <t>STAUNING</t>
  </si>
  <si>
    <t>DKSTE</t>
  </si>
  <si>
    <t>STE</t>
  </si>
  <si>
    <t>STEGE</t>
  </si>
  <si>
    <t>DKSTR</t>
  </si>
  <si>
    <t>STRUER</t>
  </si>
  <si>
    <t>DKSVA</t>
  </si>
  <si>
    <t>SVA</t>
  </si>
  <si>
    <t>SVANEKE</t>
  </si>
  <si>
    <t>DKSVE</t>
  </si>
  <si>
    <t>SVENDBORG</t>
  </si>
  <si>
    <t>DKSVG</t>
  </si>
  <si>
    <t>SANDVIG</t>
  </si>
  <si>
    <t>DKTED</t>
  </si>
  <si>
    <t>TED</t>
  </si>
  <si>
    <t>THISTED</t>
  </si>
  <si>
    <t>DKVEJ</t>
  </si>
  <si>
    <t>VEJ</t>
  </si>
  <si>
    <t>VEJLE</t>
  </si>
  <si>
    <t>DKVJN</t>
  </si>
  <si>
    <t>VJN</t>
  </si>
  <si>
    <t>VEJEN</t>
  </si>
  <si>
    <t>DKVOR</t>
  </si>
  <si>
    <t>VOR</t>
  </si>
  <si>
    <t>VORDINGBORG</t>
  </si>
  <si>
    <t>DKZZZ</t>
  </si>
  <si>
    <t>DOMINICA</t>
  </si>
  <si>
    <t>ドミニカ</t>
  </si>
  <si>
    <t>DMADM</t>
  </si>
  <si>
    <t>DM</t>
  </si>
  <si>
    <t>ADM</t>
  </si>
  <si>
    <t>ANSE DE MAI</t>
  </si>
  <si>
    <t>DMDCF</t>
  </si>
  <si>
    <t>DCF</t>
  </si>
  <si>
    <t>CANEFIELD APT</t>
  </si>
  <si>
    <t>DOMIN</t>
  </si>
  <si>
    <t>DMDOM</t>
  </si>
  <si>
    <t>DOM</t>
  </si>
  <si>
    <t>DMPOR</t>
  </si>
  <si>
    <t>PORTSMOUTH</t>
  </si>
  <si>
    <t>DMRSU</t>
  </si>
  <si>
    <t>RSU</t>
  </si>
  <si>
    <t>ROSEAU</t>
  </si>
  <si>
    <t>DMZZZ</t>
  </si>
  <si>
    <t>DOMINICAN REPUBLIC</t>
  </si>
  <si>
    <t>ドミニカ共和国</t>
  </si>
  <si>
    <t>DOBAN</t>
  </si>
  <si>
    <t>DO</t>
  </si>
  <si>
    <t>BANI</t>
  </si>
  <si>
    <t>DOBCC</t>
  </si>
  <si>
    <t>BCC</t>
  </si>
  <si>
    <t>BOCA CHICA</t>
  </si>
  <si>
    <t>DOBRX</t>
  </si>
  <si>
    <t>BRX</t>
  </si>
  <si>
    <t>BARAHONA</t>
  </si>
  <si>
    <t>D R</t>
  </si>
  <si>
    <t>DOCAU</t>
  </si>
  <si>
    <t>CAUCEDO</t>
  </si>
  <si>
    <t>DOCBJ</t>
  </si>
  <si>
    <t>CBJ</t>
  </si>
  <si>
    <t>CABO ROJO</t>
  </si>
  <si>
    <t>DOCIU</t>
  </si>
  <si>
    <t>CIU</t>
  </si>
  <si>
    <t>CIUDAD TRUJILLO</t>
  </si>
  <si>
    <t>DOHAI</t>
  </si>
  <si>
    <t>HAI</t>
  </si>
  <si>
    <t>HAINA (RIO HAINA)</t>
  </si>
  <si>
    <t>DOHEX</t>
  </si>
  <si>
    <t>HEX</t>
  </si>
  <si>
    <t>SANTO DOMINGO</t>
  </si>
  <si>
    <t>DOLRM</t>
  </si>
  <si>
    <t>LRM</t>
  </si>
  <si>
    <t>LA ROMANA</t>
  </si>
  <si>
    <t>DOMAN</t>
  </si>
  <si>
    <t>DOPAL</t>
  </si>
  <si>
    <t>PAL</t>
  </si>
  <si>
    <t>PALENQUE</t>
  </si>
  <si>
    <t>DOPDR</t>
  </si>
  <si>
    <t>PDR</t>
  </si>
  <si>
    <t>PEDERNALES</t>
  </si>
  <si>
    <t>DOPOP</t>
  </si>
  <si>
    <t>POP</t>
  </si>
  <si>
    <t>PUERTO PLATA</t>
  </si>
  <si>
    <t>DOPUO</t>
  </si>
  <si>
    <t>PUO</t>
  </si>
  <si>
    <t>PUERTO LIBERTADOR</t>
  </si>
  <si>
    <t>DOPVA</t>
  </si>
  <si>
    <t>PUERTO VIEJO DE AZUA</t>
  </si>
  <si>
    <t>DOSDQ</t>
  </si>
  <si>
    <t>SDQ</t>
  </si>
  <si>
    <t>DOSFN</t>
  </si>
  <si>
    <t>SI FRANCISCO MACOROS</t>
  </si>
  <si>
    <t>DOSJM</t>
  </si>
  <si>
    <t>SJM</t>
  </si>
  <si>
    <t>SAN JUAN D MA</t>
  </si>
  <si>
    <t>DOSNX</t>
  </si>
  <si>
    <t>SNX</t>
  </si>
  <si>
    <t>SABANA DE MAR</t>
  </si>
  <si>
    <t>DOSNZ</t>
  </si>
  <si>
    <t>SANCHEZ</t>
  </si>
  <si>
    <t>DOSPM</t>
  </si>
  <si>
    <t>SAN PEDRO DE MACORIS</t>
  </si>
  <si>
    <t>DOSTI</t>
  </si>
  <si>
    <t>DOZZZ</t>
  </si>
  <si>
    <t>CONSTANZA</t>
  </si>
  <si>
    <t>COZ</t>
  </si>
  <si>
    <t>PUNTA CANA</t>
  </si>
  <si>
    <t>PUJ</t>
  </si>
  <si>
    <t>ALGERIA</t>
  </si>
  <si>
    <t>アルジェリア</t>
  </si>
  <si>
    <t>DZAAE</t>
  </si>
  <si>
    <t>DZ</t>
  </si>
  <si>
    <t>AAE</t>
  </si>
  <si>
    <t>ANNABA (EX BONE)</t>
  </si>
  <si>
    <t>ALG</t>
  </si>
  <si>
    <t>DZALG</t>
  </si>
  <si>
    <t>ALGER</t>
  </si>
  <si>
    <t>DZAZW</t>
  </si>
  <si>
    <t>AZW</t>
  </si>
  <si>
    <t>ARZEW</t>
  </si>
  <si>
    <t>DZBJA</t>
  </si>
  <si>
    <t>BJA</t>
  </si>
  <si>
    <t>BEJAIA (FORMERLY BOUGIE)</t>
  </si>
  <si>
    <t>DZBSF</t>
  </si>
  <si>
    <t>BSF</t>
  </si>
  <si>
    <t>BENISAF</t>
  </si>
  <si>
    <t>DZCHE</t>
  </si>
  <si>
    <t>CHE</t>
  </si>
  <si>
    <t>CHERCHELL</t>
  </si>
  <si>
    <t>DZCOL</t>
  </si>
  <si>
    <t>COLLO</t>
  </si>
  <si>
    <t>DZCZL</t>
  </si>
  <si>
    <t>CZL</t>
  </si>
  <si>
    <t>CONSTANTINE</t>
  </si>
  <si>
    <t>DZDEL</t>
  </si>
  <si>
    <t>DELLYS</t>
  </si>
  <si>
    <t>DZDJI</t>
  </si>
  <si>
    <t>DJI</t>
  </si>
  <si>
    <t>DJIDJELLI</t>
  </si>
  <si>
    <t>DZGHA</t>
  </si>
  <si>
    <t>GHA</t>
  </si>
  <si>
    <t>GHAZAOUET</t>
  </si>
  <si>
    <t>DZHME</t>
  </si>
  <si>
    <t>HASSI MESSAOU</t>
  </si>
  <si>
    <t>DZMOS</t>
  </si>
  <si>
    <t>MOSTAGANEM</t>
  </si>
  <si>
    <t>DZORN</t>
  </si>
  <si>
    <t>ORN</t>
  </si>
  <si>
    <t>DZSKI</t>
  </si>
  <si>
    <t>SKI</t>
  </si>
  <si>
    <t>SKIKDA</t>
  </si>
  <si>
    <t>DZTEN</t>
  </si>
  <si>
    <t>TENES</t>
  </si>
  <si>
    <t>DZTLM</t>
  </si>
  <si>
    <t>TLM</t>
  </si>
  <si>
    <t>TLEMCEN</t>
  </si>
  <si>
    <t>DZZZZ</t>
  </si>
  <si>
    <t>BATNA</t>
  </si>
  <si>
    <t>BLJ</t>
  </si>
  <si>
    <t>BISKRA</t>
  </si>
  <si>
    <t>DJANET</t>
  </si>
  <si>
    <t>DJG</t>
  </si>
  <si>
    <t>EL GOLEA</t>
  </si>
  <si>
    <t>ELG</t>
  </si>
  <si>
    <t>EL OUED</t>
  </si>
  <si>
    <t>ELU</t>
  </si>
  <si>
    <t>IN AMENAS</t>
  </si>
  <si>
    <t>IAM</t>
  </si>
  <si>
    <t>IN SALAH</t>
  </si>
  <si>
    <t>INZ</t>
  </si>
  <si>
    <t>LAGHOUAT</t>
  </si>
  <si>
    <t>LOO</t>
  </si>
  <si>
    <t>OUARGLA</t>
  </si>
  <si>
    <t>OGX</t>
  </si>
  <si>
    <t>TAF</t>
  </si>
  <si>
    <t>TBESSA</t>
  </si>
  <si>
    <t>TEE</t>
  </si>
  <si>
    <t>TOUGGOURT</t>
  </si>
  <si>
    <t>TGR</t>
  </si>
  <si>
    <t>TAMANRASSET</t>
  </si>
  <si>
    <t>TMR</t>
  </si>
  <si>
    <t>ECUADOR</t>
  </si>
  <si>
    <t>エクアドル</t>
  </si>
  <si>
    <t>ECBHA</t>
  </si>
  <si>
    <t>EC</t>
  </si>
  <si>
    <t>BHA</t>
  </si>
  <si>
    <t>BAHIA DE CARAQUES</t>
  </si>
  <si>
    <t>ECUA</t>
  </si>
  <si>
    <t>ECCUE</t>
  </si>
  <si>
    <t>CUE</t>
  </si>
  <si>
    <t>CUENCA</t>
  </si>
  <si>
    <t>ECEBL</t>
  </si>
  <si>
    <t>EBL</t>
  </si>
  <si>
    <t>BALAO</t>
  </si>
  <si>
    <t>ECESM</t>
  </si>
  <si>
    <t>ESM</t>
  </si>
  <si>
    <t>ESMERALDAS</t>
  </si>
  <si>
    <t>ECGPS</t>
  </si>
  <si>
    <t>GPS</t>
  </si>
  <si>
    <t>GALAPAGOS ISLANDS</t>
  </si>
  <si>
    <t>ECGYE</t>
  </si>
  <si>
    <t>GYE</t>
  </si>
  <si>
    <t>GUAYAQUIL</t>
  </si>
  <si>
    <t>ECLLD</t>
  </si>
  <si>
    <t>LLD</t>
  </si>
  <si>
    <t>LA LIBERTAD</t>
  </si>
  <si>
    <t>ECLOH</t>
  </si>
  <si>
    <t>LOH</t>
  </si>
  <si>
    <t>LOJA</t>
  </si>
  <si>
    <t>ECMCH</t>
  </si>
  <si>
    <t>MCH</t>
  </si>
  <si>
    <t>MACHALA</t>
  </si>
  <si>
    <t>ECMEC</t>
  </si>
  <si>
    <t>MANTA</t>
  </si>
  <si>
    <t>ECMRR</t>
  </si>
  <si>
    <t>MACARA</t>
  </si>
  <si>
    <t>ECPBO</t>
  </si>
  <si>
    <t>ECPSJ</t>
  </si>
  <si>
    <t>PSJ</t>
  </si>
  <si>
    <t>POSORJA</t>
  </si>
  <si>
    <t>ECPUN</t>
  </si>
  <si>
    <t>PUNA</t>
  </si>
  <si>
    <t>ECPVO</t>
  </si>
  <si>
    <t>PVO</t>
  </si>
  <si>
    <t>PORTO VIEJO</t>
  </si>
  <si>
    <t>ECSLR</t>
  </si>
  <si>
    <t>SLR</t>
  </si>
  <si>
    <t>ECSNC</t>
  </si>
  <si>
    <t>SNC</t>
  </si>
  <si>
    <t>SALINAS</t>
  </si>
  <si>
    <t>ECUIO</t>
  </si>
  <si>
    <t>UIO</t>
  </si>
  <si>
    <t>QUITO</t>
  </si>
  <si>
    <t>ECZZZ</t>
  </si>
  <si>
    <t>JIPIJAPA</t>
  </si>
  <si>
    <t>JIP</t>
  </si>
  <si>
    <t>LAGO AGRIO</t>
  </si>
  <si>
    <t>LGQ</t>
  </si>
  <si>
    <t>MENDEZ</t>
  </si>
  <si>
    <t>COCA</t>
  </si>
  <si>
    <t>OCC</t>
  </si>
  <si>
    <t>PASTAZA</t>
  </si>
  <si>
    <t>PTZ</t>
  </si>
  <si>
    <t>PUTUMAYO</t>
  </si>
  <si>
    <t>PYO</t>
  </si>
  <si>
    <t>SUCUA</t>
  </si>
  <si>
    <t>SUQ</t>
  </si>
  <si>
    <t>TARAPOA</t>
  </si>
  <si>
    <t>TPC</t>
  </si>
  <si>
    <t>TIPUTINI</t>
  </si>
  <si>
    <t>TPN</t>
  </si>
  <si>
    <t>TAISHA</t>
  </si>
  <si>
    <t>TSC</t>
  </si>
  <si>
    <t>TULCAN</t>
  </si>
  <si>
    <t>TUA</t>
  </si>
  <si>
    <t>MACAS</t>
  </si>
  <si>
    <t>XMS</t>
  </si>
  <si>
    <t>ESTONIA</t>
  </si>
  <si>
    <t>エストニア</t>
  </si>
  <si>
    <t>EEMUU</t>
  </si>
  <si>
    <t>EE</t>
  </si>
  <si>
    <t>MUU</t>
  </si>
  <si>
    <t>MUUGA</t>
  </si>
  <si>
    <t>EETLL</t>
  </si>
  <si>
    <t>TLL</t>
  </si>
  <si>
    <t>TALLINN</t>
  </si>
  <si>
    <t>ESTON</t>
  </si>
  <si>
    <t>EEZZZ</t>
  </si>
  <si>
    <t>EGYPT</t>
  </si>
  <si>
    <t>エジプト</t>
  </si>
  <si>
    <t>EGAAC</t>
  </si>
  <si>
    <t>EG</t>
  </si>
  <si>
    <t>AAC</t>
  </si>
  <si>
    <t>AL ARISH</t>
  </si>
  <si>
    <t>EGABS</t>
  </si>
  <si>
    <t>ABS</t>
  </si>
  <si>
    <t>ABU SIMBEL</t>
  </si>
  <si>
    <t>EGADA</t>
  </si>
  <si>
    <t>ADA</t>
  </si>
  <si>
    <t>ADABIYA</t>
  </si>
  <si>
    <t>EGALY</t>
  </si>
  <si>
    <t>ALY</t>
  </si>
  <si>
    <t>ALEXANDRIA</t>
  </si>
  <si>
    <t>EGAQU</t>
  </si>
  <si>
    <t>AQU</t>
  </si>
  <si>
    <t>AL QUSAYR</t>
  </si>
  <si>
    <t>EGASW</t>
  </si>
  <si>
    <t>ASW</t>
  </si>
  <si>
    <t>ASWAN</t>
  </si>
  <si>
    <t>EGCAI</t>
  </si>
  <si>
    <t>CAIRO</t>
  </si>
  <si>
    <t>EGDAM</t>
  </si>
  <si>
    <t>DAMIETTA</t>
  </si>
  <si>
    <t>EGHAL</t>
  </si>
  <si>
    <t>HALAIB</t>
  </si>
  <si>
    <t>EGHAM</t>
  </si>
  <si>
    <t>HAMRAWEIN</t>
  </si>
  <si>
    <t>EGHBE</t>
  </si>
  <si>
    <t>HBE</t>
  </si>
  <si>
    <t>BORG EL ARAB</t>
  </si>
  <si>
    <t>EGHRG</t>
  </si>
  <si>
    <t>HRG</t>
  </si>
  <si>
    <t>HURGHADA</t>
  </si>
  <si>
    <t>EGISM</t>
  </si>
  <si>
    <t>ISM</t>
  </si>
  <si>
    <t>ISMAILIA</t>
  </si>
  <si>
    <t>EGKOS</t>
  </si>
  <si>
    <t>KOSSEIR</t>
  </si>
  <si>
    <t>EGLXR</t>
  </si>
  <si>
    <t>LXR</t>
  </si>
  <si>
    <t>LUXOR</t>
  </si>
  <si>
    <t>EGMFO</t>
  </si>
  <si>
    <t>MFO</t>
  </si>
  <si>
    <t>RAS NASRANI</t>
  </si>
  <si>
    <t>EGPIB</t>
  </si>
  <si>
    <t>PIB</t>
  </si>
  <si>
    <t>PORT IBRAHIM</t>
  </si>
  <si>
    <t>EGPSD</t>
  </si>
  <si>
    <t>PSD</t>
  </si>
  <si>
    <t>PORT SAID</t>
  </si>
  <si>
    <t>EGPTK</t>
  </si>
  <si>
    <t>PTK</t>
  </si>
  <si>
    <t>PORT TEWFIK</t>
  </si>
  <si>
    <t>EGRAG</t>
  </si>
  <si>
    <t>RAG</t>
  </si>
  <si>
    <t>RAS GHARIB</t>
  </si>
  <si>
    <t>EGRSH</t>
  </si>
  <si>
    <t>RSH</t>
  </si>
  <si>
    <t>RAS SHUKHEIR</t>
  </si>
  <si>
    <t>EGSBA</t>
  </si>
  <si>
    <t>SBA</t>
  </si>
  <si>
    <t>SIDI BARRANI</t>
  </si>
  <si>
    <t>EGSEW</t>
  </si>
  <si>
    <t>SEW</t>
  </si>
  <si>
    <t>SIWA</t>
  </si>
  <si>
    <t>EGSGA</t>
  </si>
  <si>
    <t>SAFAGA</t>
  </si>
  <si>
    <t>EGSOK</t>
  </si>
  <si>
    <t>SOK</t>
  </si>
  <si>
    <t xml:space="preserve">SOKHNA PORT         </t>
  </si>
  <si>
    <t>EGSSH</t>
  </si>
  <si>
    <t>SSH</t>
  </si>
  <si>
    <t>SHARM EL SHEIKH</t>
  </si>
  <si>
    <t>EGSUZ</t>
  </si>
  <si>
    <t>SUZ</t>
  </si>
  <si>
    <t>SUEZ</t>
  </si>
  <si>
    <t>EGUVL</t>
  </si>
  <si>
    <t>UVL</t>
  </si>
  <si>
    <t>NEW VALLEY</t>
  </si>
  <si>
    <t>EGWAF</t>
  </si>
  <si>
    <t>WAF</t>
  </si>
  <si>
    <t>WADI FEIRAN</t>
  </si>
  <si>
    <t>EGZZZ</t>
  </si>
  <si>
    <t>ASSIUT</t>
  </si>
  <si>
    <t>ATZ</t>
  </si>
  <si>
    <t>MERSA MATRUH</t>
  </si>
  <si>
    <t>SANTA KATARIN</t>
  </si>
  <si>
    <t>WEST SAHARA</t>
  </si>
  <si>
    <t>西サハラ</t>
  </si>
  <si>
    <t>EHZZZ</t>
  </si>
  <si>
    <t>EH</t>
  </si>
  <si>
    <t>ADRAR</t>
  </si>
  <si>
    <t>AZR</t>
  </si>
  <si>
    <t>W SAH</t>
  </si>
  <si>
    <t>BECHAR</t>
  </si>
  <si>
    <t>CBH</t>
  </si>
  <si>
    <t>TINDOUF</t>
  </si>
  <si>
    <t>TIMIMOUN</t>
  </si>
  <si>
    <t>TMX</t>
  </si>
  <si>
    <t>ERITREA</t>
  </si>
  <si>
    <t>エリトリア</t>
  </si>
  <si>
    <t>ERASA</t>
  </si>
  <si>
    <t>ER</t>
  </si>
  <si>
    <t>ASSAB</t>
  </si>
  <si>
    <t>ERITR</t>
  </si>
  <si>
    <t>ERASM</t>
  </si>
  <si>
    <t>ASM</t>
  </si>
  <si>
    <t>ASMARA</t>
  </si>
  <si>
    <t>ERMSW</t>
  </si>
  <si>
    <t>MSW</t>
  </si>
  <si>
    <t>MASSAWA</t>
  </si>
  <si>
    <t>ERZZZ</t>
  </si>
  <si>
    <t>TESSENEI</t>
  </si>
  <si>
    <t>TES</t>
  </si>
  <si>
    <t>SPAIN</t>
  </si>
  <si>
    <t>スペイン</t>
  </si>
  <si>
    <t>ESAGP</t>
  </si>
  <si>
    <t>ES</t>
  </si>
  <si>
    <t>AGP</t>
  </si>
  <si>
    <t>MALAGA</t>
  </si>
  <si>
    <t>ESALA</t>
  </si>
  <si>
    <t>ALA</t>
  </si>
  <si>
    <t>ALAVA</t>
  </si>
  <si>
    <t>ESALB</t>
  </si>
  <si>
    <t>ALBACETE</t>
  </si>
  <si>
    <t>ESALC</t>
  </si>
  <si>
    <t>ALC</t>
  </si>
  <si>
    <t>ALICANTE</t>
  </si>
  <si>
    <t>ESALD</t>
  </si>
  <si>
    <t>ALCUDIA</t>
  </si>
  <si>
    <t>ESALG</t>
  </si>
  <si>
    <t>ALGECIRAS</t>
  </si>
  <si>
    <t>ESALN</t>
  </si>
  <si>
    <t>ALN</t>
  </si>
  <si>
    <t>ALCANICES</t>
  </si>
  <si>
    <t>ESAST</t>
  </si>
  <si>
    <t>AST</t>
  </si>
  <si>
    <t>ASTURIAS APT</t>
  </si>
  <si>
    <t>ESAVI</t>
  </si>
  <si>
    <t>AVI</t>
  </si>
  <si>
    <t>AVILA</t>
  </si>
  <si>
    <t>ESAVS</t>
  </si>
  <si>
    <t>AVS</t>
  </si>
  <si>
    <t>AVILES</t>
  </si>
  <si>
    <t>ESAYA</t>
  </si>
  <si>
    <t>AYAMONTE</t>
  </si>
  <si>
    <t>ESBCN</t>
  </si>
  <si>
    <t>BCN</t>
  </si>
  <si>
    <t>BARCELONA</t>
  </si>
  <si>
    <t>ESBIO</t>
  </si>
  <si>
    <t>BIO</t>
  </si>
  <si>
    <t>BILBAO</t>
  </si>
  <si>
    <t>ESBJZ</t>
  </si>
  <si>
    <t>BJZ</t>
  </si>
  <si>
    <t>BADAJOZ</t>
  </si>
  <si>
    <t>ESBRX</t>
  </si>
  <si>
    <t>BURRIANA</t>
  </si>
  <si>
    <t>ESBUR</t>
  </si>
  <si>
    <t>BUR</t>
  </si>
  <si>
    <t>BURGOS</t>
  </si>
  <si>
    <t>ESCAD</t>
  </si>
  <si>
    <t>CAD</t>
  </si>
  <si>
    <t>CADIZ</t>
  </si>
  <si>
    <t>ESCAN</t>
  </si>
  <si>
    <t>CANFRANC</t>
  </si>
  <si>
    <t>ESCAR</t>
  </si>
  <si>
    <t>ESCAS</t>
  </si>
  <si>
    <t>CASTELLON DE LA PLANA</t>
  </si>
  <si>
    <t>ESCCN</t>
  </si>
  <si>
    <t>CORCUBION</t>
  </si>
  <si>
    <t>ESCIR</t>
  </si>
  <si>
    <t>CIR</t>
  </si>
  <si>
    <t>CIUDAD REAL</t>
  </si>
  <si>
    <t>ESCUE</t>
  </si>
  <si>
    <t>ESEAS</t>
  </si>
  <si>
    <t>EAS</t>
  </si>
  <si>
    <t>ESELI</t>
  </si>
  <si>
    <t>ELI</t>
  </si>
  <si>
    <t>ELIZONDO</t>
  </si>
  <si>
    <t>ESFER</t>
  </si>
  <si>
    <t>FER</t>
  </si>
  <si>
    <t>EL FERROL</t>
  </si>
  <si>
    <t>ESFON</t>
  </si>
  <si>
    <t>FON</t>
  </si>
  <si>
    <t>FUENTES DE ONORO</t>
  </si>
  <si>
    <t>ESGAN</t>
  </si>
  <si>
    <t>GANDIA</t>
  </si>
  <si>
    <t>ESGIJ</t>
  </si>
  <si>
    <t>GIJ</t>
  </si>
  <si>
    <t>GIJON</t>
  </si>
  <si>
    <t>ESGRO</t>
  </si>
  <si>
    <t>GERONA</t>
  </si>
  <si>
    <t>ESGRX</t>
  </si>
  <si>
    <t>GRX</t>
  </si>
  <si>
    <t>GRANADA</t>
  </si>
  <si>
    <t>ESGRY</t>
  </si>
  <si>
    <t>GRY</t>
  </si>
  <si>
    <t>GRAO</t>
  </si>
  <si>
    <t>ESGUA</t>
  </si>
  <si>
    <t>GUA</t>
  </si>
  <si>
    <t>GUADALAJARA</t>
  </si>
  <si>
    <t>ESGUI</t>
  </si>
  <si>
    <t>GUI</t>
  </si>
  <si>
    <t>GUIPUZCOA APT</t>
  </si>
  <si>
    <t>ESHIE</t>
  </si>
  <si>
    <t>HIE</t>
  </si>
  <si>
    <t>HIERRO</t>
  </si>
  <si>
    <t>ESHUC</t>
  </si>
  <si>
    <t>HUC</t>
  </si>
  <si>
    <t>HUESCA</t>
  </si>
  <si>
    <t>ESHUV</t>
  </si>
  <si>
    <t>HUV</t>
  </si>
  <si>
    <t>HUELVA</t>
  </si>
  <si>
    <t>ESIBZ</t>
  </si>
  <si>
    <t>IBZ</t>
  </si>
  <si>
    <t>IBIZA</t>
  </si>
  <si>
    <t>ESIRU</t>
  </si>
  <si>
    <t>IRU</t>
  </si>
  <si>
    <t>IRUN</t>
  </si>
  <si>
    <t>ESJAE</t>
  </si>
  <si>
    <t>JAE</t>
  </si>
  <si>
    <t>JAEN</t>
  </si>
  <si>
    <t>ESJER</t>
  </si>
  <si>
    <t>JER</t>
  </si>
  <si>
    <t>JEREZ</t>
  </si>
  <si>
    <t>ESLCG</t>
  </si>
  <si>
    <t>LCG</t>
  </si>
  <si>
    <t>LA CORUNA</t>
  </si>
  <si>
    <t>ESLEI</t>
  </si>
  <si>
    <t>LEI</t>
  </si>
  <si>
    <t>ALMERIA</t>
  </si>
  <si>
    <t>ESLEN</t>
  </si>
  <si>
    <t>LEN</t>
  </si>
  <si>
    <t>LEON</t>
  </si>
  <si>
    <t>ESLEU</t>
  </si>
  <si>
    <t>SEO DE URGEL</t>
  </si>
  <si>
    <t>ESLGR</t>
  </si>
  <si>
    <t>LOGRONO</t>
  </si>
  <si>
    <t>ESLJD</t>
  </si>
  <si>
    <t>LJD</t>
  </si>
  <si>
    <t>LERIDA</t>
  </si>
  <si>
    <t>ESLJU</t>
  </si>
  <si>
    <t>LJU</t>
  </si>
  <si>
    <t>LA JUNQUERA</t>
  </si>
  <si>
    <t>ESLUG</t>
  </si>
  <si>
    <t>LUGO</t>
  </si>
  <si>
    <t>ESMAD</t>
  </si>
  <si>
    <t>MAD</t>
  </si>
  <si>
    <t>MADRID</t>
  </si>
  <si>
    <t>ESMAH</t>
  </si>
  <si>
    <t>MAH</t>
  </si>
  <si>
    <t>MAHONMENORCA</t>
  </si>
  <si>
    <t>ESMAR</t>
  </si>
  <si>
    <t>MARIN</t>
  </si>
  <si>
    <t>ESMJV</t>
  </si>
  <si>
    <t>MJV</t>
  </si>
  <si>
    <t>MURCIA</t>
  </si>
  <si>
    <t>ESMOT</t>
  </si>
  <si>
    <t>MOT</t>
  </si>
  <si>
    <t>MOTRIL</t>
  </si>
  <si>
    <t>ESMUS</t>
  </si>
  <si>
    <t>MUS</t>
  </si>
  <si>
    <t>MUSEL</t>
  </si>
  <si>
    <t>ESODB</t>
  </si>
  <si>
    <t>ODB</t>
  </si>
  <si>
    <t>ESORE</t>
  </si>
  <si>
    <t>ORENSE</t>
  </si>
  <si>
    <t>ESOVD</t>
  </si>
  <si>
    <t>OVD</t>
  </si>
  <si>
    <t>ASTURIAS</t>
  </si>
  <si>
    <t>ESPAC</t>
  </si>
  <si>
    <t>PALENCIA</t>
  </si>
  <si>
    <t>ESPAL</t>
  </si>
  <si>
    <t>PALAMOS</t>
  </si>
  <si>
    <t>ESPAS</t>
  </si>
  <si>
    <t>PASAJES</t>
  </si>
  <si>
    <t>ESPBO</t>
  </si>
  <si>
    <t>PORT BOU</t>
  </si>
  <si>
    <t>ESPMI</t>
  </si>
  <si>
    <t>PMI</t>
  </si>
  <si>
    <t>PALMA DE MALLORCA</t>
  </si>
  <si>
    <t>ESPNA</t>
  </si>
  <si>
    <t>PNA</t>
  </si>
  <si>
    <t>PAMPLONA</t>
  </si>
  <si>
    <t>ESPSM</t>
  </si>
  <si>
    <t>PSM</t>
  </si>
  <si>
    <t>PUERTO DE SANTA MARIA</t>
  </si>
  <si>
    <t>ESPUI</t>
  </si>
  <si>
    <t>PUI</t>
  </si>
  <si>
    <t>PUIGCERDA</t>
  </si>
  <si>
    <t>ESREU</t>
  </si>
  <si>
    <t>REUS</t>
  </si>
  <si>
    <t>ESRFT</t>
  </si>
  <si>
    <t>RFT</t>
  </si>
  <si>
    <t>ROSAL DE LA FRONTERA</t>
  </si>
  <si>
    <t>ESRIB</t>
  </si>
  <si>
    <t>RIBADEO</t>
  </si>
  <si>
    <t>ESSAG</t>
  </si>
  <si>
    <t>SAGUNTO</t>
  </si>
  <si>
    <t>ESSCQ</t>
  </si>
  <si>
    <t>SCQ</t>
  </si>
  <si>
    <t>SANTIAGO DE COMPOSTELA APT</t>
  </si>
  <si>
    <t>ESSCR</t>
  </si>
  <si>
    <t>SCR</t>
  </si>
  <si>
    <t>SAN CARLOS DE LA RAPITA</t>
  </si>
  <si>
    <t>ESSCT</t>
  </si>
  <si>
    <t>ESSDR</t>
  </si>
  <si>
    <t>SDR</t>
  </si>
  <si>
    <t>SANTANDER</t>
  </si>
  <si>
    <t>ESSEG</t>
  </si>
  <si>
    <t>SEG</t>
  </si>
  <si>
    <t>SEGOVIA</t>
  </si>
  <si>
    <t>ESSFO</t>
  </si>
  <si>
    <t>SFO</t>
  </si>
  <si>
    <t>SAN FERNANDO</t>
  </si>
  <si>
    <t>ESSFU</t>
  </si>
  <si>
    <t>SFU</t>
  </si>
  <si>
    <t>SAN FELIU DE GUIXOLS</t>
  </si>
  <si>
    <t>ESSLM</t>
  </si>
  <si>
    <t>SALAMANCA</t>
  </si>
  <si>
    <t>ESSNR</t>
  </si>
  <si>
    <t>SNR</t>
  </si>
  <si>
    <t>SANTURCE</t>
  </si>
  <si>
    <t>ESSOR</t>
  </si>
  <si>
    <t>SORIA</t>
  </si>
  <si>
    <t>ESSPC</t>
  </si>
  <si>
    <t>SANTA CRUZ DE LA PALMA</t>
  </si>
  <si>
    <t>ESSPO</t>
  </si>
  <si>
    <t>SPO</t>
  </si>
  <si>
    <t>SAN PABLO</t>
  </si>
  <si>
    <t>ESSSG</t>
  </si>
  <si>
    <t>SSG</t>
  </si>
  <si>
    <t>SAN SEBASTIAN DE LAGOMERA</t>
  </si>
  <si>
    <t>ESSVQ</t>
  </si>
  <si>
    <t>SVQ</t>
  </si>
  <si>
    <t>SEVILLA</t>
  </si>
  <si>
    <t>ESTAR</t>
  </si>
  <si>
    <t>TAR</t>
  </si>
  <si>
    <t>TARRAGONA</t>
  </si>
  <si>
    <t>ESTER</t>
  </si>
  <si>
    <t>TERUEL</t>
  </si>
  <si>
    <t>ESTOL</t>
  </si>
  <si>
    <t>TOLEDO</t>
  </si>
  <si>
    <t>ESTOR</t>
  </si>
  <si>
    <t>TORREVIEJA</t>
  </si>
  <si>
    <t>ESTUY</t>
  </si>
  <si>
    <t>TUY</t>
  </si>
  <si>
    <t>ESVCL</t>
  </si>
  <si>
    <t>VCL</t>
  </si>
  <si>
    <t>VALCARLOS</t>
  </si>
  <si>
    <t>ESVDA</t>
  </si>
  <si>
    <t>VDA</t>
  </si>
  <si>
    <t>VALENCIA DE ALCANTARA</t>
  </si>
  <si>
    <t>ESVER</t>
  </si>
  <si>
    <t>VERIN</t>
  </si>
  <si>
    <t>ESVGO</t>
  </si>
  <si>
    <t>VGO</t>
  </si>
  <si>
    <t>VIGO</t>
  </si>
  <si>
    <t>ESVIL</t>
  </si>
  <si>
    <t>VIL</t>
  </si>
  <si>
    <t>VILLAGARCIA</t>
  </si>
  <si>
    <t>ESVIT</t>
  </si>
  <si>
    <t>VIT</t>
  </si>
  <si>
    <t>VITORIA</t>
  </si>
  <si>
    <t>ESVLC</t>
  </si>
  <si>
    <t>VALENCIA</t>
  </si>
  <si>
    <t>ESVLL</t>
  </si>
  <si>
    <t>VLL</t>
  </si>
  <si>
    <t>VALLADOLID</t>
  </si>
  <si>
    <t>ESZAZ</t>
  </si>
  <si>
    <t>ZAZ</t>
  </si>
  <si>
    <t>ZARAGOZA</t>
  </si>
  <si>
    <t>ESZZZ</t>
  </si>
  <si>
    <t>MORON</t>
  </si>
  <si>
    <t>OZP</t>
  </si>
  <si>
    <t>TOJ</t>
  </si>
  <si>
    <t>TORREMOLINOS</t>
  </si>
  <si>
    <t>UTL</t>
  </si>
  <si>
    <t>JEREZ FRONTERA</t>
  </si>
  <si>
    <t>XRY</t>
  </si>
  <si>
    <t>ETHIOPIA</t>
  </si>
  <si>
    <t>エチオピア</t>
  </si>
  <si>
    <t>ETADD</t>
  </si>
  <si>
    <t>ET</t>
  </si>
  <si>
    <t>ADD</t>
  </si>
  <si>
    <t>ADDIS ABABA</t>
  </si>
  <si>
    <t>ETH</t>
  </si>
  <si>
    <t>ETAMH</t>
  </si>
  <si>
    <t>AMH</t>
  </si>
  <si>
    <t>ARBA MINTCH</t>
  </si>
  <si>
    <t>ETASO</t>
  </si>
  <si>
    <t>ASO</t>
  </si>
  <si>
    <t>ASOSA</t>
  </si>
  <si>
    <t>ETAWA</t>
  </si>
  <si>
    <t>AWA</t>
  </si>
  <si>
    <t>AWASSA</t>
  </si>
  <si>
    <t>ETAXU</t>
  </si>
  <si>
    <t>AXU</t>
  </si>
  <si>
    <t>AXUM</t>
  </si>
  <si>
    <t>ETBCY</t>
  </si>
  <si>
    <t>BCY</t>
  </si>
  <si>
    <t>BULCHI</t>
  </si>
  <si>
    <t>ETBEI</t>
  </si>
  <si>
    <t>BEICA</t>
  </si>
  <si>
    <t>ETBJR</t>
  </si>
  <si>
    <t>BJR</t>
  </si>
  <si>
    <t>BAHAR DAR</t>
  </si>
  <si>
    <t>ETDBM</t>
  </si>
  <si>
    <t>DBM</t>
  </si>
  <si>
    <t>DEBRA MARCOS</t>
  </si>
  <si>
    <t>ETDEM</t>
  </si>
  <si>
    <t>DEM</t>
  </si>
  <si>
    <t>DEMBIDOLLO</t>
  </si>
  <si>
    <t>ETDIR</t>
  </si>
  <si>
    <t>DIR</t>
  </si>
  <si>
    <t>DIRE DAWA</t>
  </si>
  <si>
    <t>ETDSE</t>
  </si>
  <si>
    <t>DSE</t>
  </si>
  <si>
    <t>DESSIE</t>
  </si>
  <si>
    <t>ETGDQ</t>
  </si>
  <si>
    <t>GDQ</t>
  </si>
  <si>
    <t>GONDAR</t>
  </si>
  <si>
    <t>ETGMB</t>
  </si>
  <si>
    <t>GMB</t>
  </si>
  <si>
    <t>GAMBELA</t>
  </si>
  <si>
    <t>ETGOB</t>
  </si>
  <si>
    <t>GOB</t>
  </si>
  <si>
    <t>GOBA</t>
  </si>
  <si>
    <t>ETGOR</t>
  </si>
  <si>
    <t>GORE</t>
  </si>
  <si>
    <t>ETHUE</t>
  </si>
  <si>
    <t>HUMERA</t>
  </si>
  <si>
    <t>ETJIM</t>
  </si>
  <si>
    <t>JIM</t>
  </si>
  <si>
    <t>JIMMA</t>
  </si>
  <si>
    <t>ETLFO</t>
  </si>
  <si>
    <t>LFO</t>
  </si>
  <si>
    <t>KELAFO/CALLAF</t>
  </si>
  <si>
    <t>ETMKS</t>
  </si>
  <si>
    <t>MKS</t>
  </si>
  <si>
    <t>MEKANE SELAM</t>
  </si>
  <si>
    <t>ETMQX</t>
  </si>
  <si>
    <t>MQX</t>
  </si>
  <si>
    <t>MAKALE</t>
  </si>
  <si>
    <t>ETMTF</t>
  </si>
  <si>
    <t>MTF</t>
  </si>
  <si>
    <t>MIZAN TEFERI</t>
  </si>
  <si>
    <t>ETMUJ</t>
  </si>
  <si>
    <t>MUJ</t>
  </si>
  <si>
    <t>MUI</t>
  </si>
  <si>
    <t>ETOTA</t>
  </si>
  <si>
    <t>OTA</t>
  </si>
  <si>
    <t>MOTA</t>
  </si>
  <si>
    <t>ETSXU</t>
  </si>
  <si>
    <t>SXU</t>
  </si>
  <si>
    <t>SODDU</t>
  </si>
  <si>
    <t>ETTIE</t>
  </si>
  <si>
    <t>TIE</t>
  </si>
  <si>
    <t>TIPPI</t>
  </si>
  <si>
    <t>ETWAC</t>
  </si>
  <si>
    <t>WACA</t>
  </si>
  <si>
    <t>ETZZZ</t>
  </si>
  <si>
    <t>KABRI DAR</t>
  </si>
  <si>
    <t>ABK</t>
  </si>
  <si>
    <t>DEBRA TABOR</t>
  </si>
  <si>
    <t>DBT</t>
  </si>
  <si>
    <t>NEGHELLI</t>
  </si>
  <si>
    <t>EGL</t>
  </si>
  <si>
    <t>GODE/IDDIDOLE</t>
  </si>
  <si>
    <t>GHINNIR</t>
  </si>
  <si>
    <t>GNN</t>
  </si>
  <si>
    <t>LALIBELA</t>
  </si>
  <si>
    <t>LLI</t>
  </si>
  <si>
    <t>MOYALE</t>
  </si>
  <si>
    <t>MYS</t>
  </si>
  <si>
    <t>SHIRE INDASEL</t>
  </si>
  <si>
    <t>SHC</t>
  </si>
  <si>
    <t>TUJ</t>
  </si>
  <si>
    <t>FINLAND</t>
  </si>
  <si>
    <t>フィンランド</t>
  </si>
  <si>
    <t>FIANT</t>
  </si>
  <si>
    <t>FI</t>
  </si>
  <si>
    <t>ANTSKAR</t>
  </si>
  <si>
    <t>FIBAS</t>
  </si>
  <si>
    <t>BASTUBACKA</t>
  </si>
  <si>
    <t>FIBJO</t>
  </si>
  <si>
    <t>BJORKHOLMSUND</t>
  </si>
  <si>
    <t>FIBRA</t>
  </si>
  <si>
    <t>BRANDO</t>
  </si>
  <si>
    <t>FIBRO</t>
  </si>
  <si>
    <t>BRO</t>
  </si>
  <si>
    <t>BROMARV</t>
  </si>
  <si>
    <t>FIDEG</t>
  </si>
  <si>
    <t>DEGERBY</t>
  </si>
  <si>
    <t>FIDLS</t>
  </si>
  <si>
    <t>DLS</t>
  </si>
  <si>
    <t>DALSBRUK (TAALINTEHDAS)</t>
  </si>
  <si>
    <t>FIECK</t>
  </si>
  <si>
    <t>ECKERO</t>
  </si>
  <si>
    <t>FIERV</t>
  </si>
  <si>
    <t>ERV</t>
  </si>
  <si>
    <t>ERVASTO</t>
  </si>
  <si>
    <t>FIESP</t>
  </si>
  <si>
    <t>ESP</t>
  </si>
  <si>
    <t>ESBO (ESPOO)</t>
  </si>
  <si>
    <t>FIFAR</t>
  </si>
  <si>
    <t>FAR</t>
  </si>
  <si>
    <t>FARJSUND</t>
  </si>
  <si>
    <t>FIFOR</t>
  </si>
  <si>
    <t>FORBY</t>
  </si>
  <si>
    <t>FIGAM</t>
  </si>
  <si>
    <t>GAM</t>
  </si>
  <si>
    <t>GAMMELBYVIKEN</t>
  </si>
  <si>
    <t>FIGUL</t>
  </si>
  <si>
    <t>GULLO</t>
  </si>
  <si>
    <t>FIHAK</t>
  </si>
  <si>
    <t>HAKKALA</t>
  </si>
  <si>
    <t>FIHAL</t>
  </si>
  <si>
    <t>HALONEN</t>
  </si>
  <si>
    <t>FIHEL</t>
  </si>
  <si>
    <t>HELSINKI (HELSINGFORS)</t>
  </si>
  <si>
    <t>FIN</t>
  </si>
  <si>
    <t>FIHKO</t>
  </si>
  <si>
    <t>HKO</t>
  </si>
  <si>
    <t>HANKO (HANGO)</t>
  </si>
  <si>
    <t>FIHLL</t>
  </si>
  <si>
    <t>HELLNAS</t>
  </si>
  <si>
    <t>FIHMN</t>
  </si>
  <si>
    <t>HMN</t>
  </si>
  <si>
    <t>HAMINA (FREDRIKSHAMN)</t>
  </si>
  <si>
    <t>FIHOU</t>
  </si>
  <si>
    <t>HOU</t>
  </si>
  <si>
    <t>HOUTSKAR</t>
  </si>
  <si>
    <t>FIIMA</t>
  </si>
  <si>
    <t>IMA</t>
  </si>
  <si>
    <t>IMATRA</t>
  </si>
  <si>
    <t>FIINI</t>
  </si>
  <si>
    <t>INI</t>
  </si>
  <si>
    <t>INIO</t>
  </si>
  <si>
    <t>FIISN</t>
  </si>
  <si>
    <t>ISN</t>
  </si>
  <si>
    <t>ISNAS</t>
  </si>
  <si>
    <t>FIIVL</t>
  </si>
  <si>
    <t>IVL</t>
  </si>
  <si>
    <t>IVALO</t>
  </si>
  <si>
    <t>FIJOE</t>
  </si>
  <si>
    <t>JOE</t>
  </si>
  <si>
    <t>JOENSUU</t>
  </si>
  <si>
    <t>FIJYV</t>
  </si>
  <si>
    <t>JYV</t>
  </si>
  <si>
    <t>JYVASKYLA</t>
  </si>
  <si>
    <t>FIKAJ</t>
  </si>
  <si>
    <t>KAJ</t>
  </si>
  <si>
    <t>KAJAANI</t>
  </si>
  <si>
    <t>FIKAN</t>
  </si>
  <si>
    <t>KANTALAHTI (KANTLAX)</t>
  </si>
  <si>
    <t>FIKAO</t>
  </si>
  <si>
    <t>KAO</t>
  </si>
  <si>
    <t>KUUSAMO</t>
  </si>
  <si>
    <t>FIKAS</t>
  </si>
  <si>
    <t>KASKINEN (KASKO)</t>
  </si>
  <si>
    <t>FIKEM</t>
  </si>
  <si>
    <t>KEMI</t>
  </si>
  <si>
    <t>FIKEV</t>
  </si>
  <si>
    <t>KEV</t>
  </si>
  <si>
    <t>KUOREVESI</t>
  </si>
  <si>
    <t>FIKIM</t>
  </si>
  <si>
    <t>KIM</t>
  </si>
  <si>
    <t>KIMITO (KEMIO)</t>
  </si>
  <si>
    <t>FIKKR</t>
  </si>
  <si>
    <t>KKR</t>
  </si>
  <si>
    <t>KOKAR</t>
  </si>
  <si>
    <t>FIKLA</t>
  </si>
  <si>
    <t>KLA</t>
  </si>
  <si>
    <t>KLAMILA</t>
  </si>
  <si>
    <t>FIKOK</t>
  </si>
  <si>
    <t>KOK</t>
  </si>
  <si>
    <t>KOKKOLA (KARLEBY)</t>
  </si>
  <si>
    <t>FIKOR</t>
  </si>
  <si>
    <t>KOR</t>
  </si>
  <si>
    <t>KORPO (KORPPOO)</t>
  </si>
  <si>
    <t>FIKRO</t>
  </si>
  <si>
    <t>KRONVIK</t>
  </si>
  <si>
    <t>FIKRS</t>
  </si>
  <si>
    <t>KRISTIINANKAUPUNKI(KRNESSTINESTAD)</t>
  </si>
  <si>
    <t>FIKTK</t>
  </si>
  <si>
    <t>KTK</t>
  </si>
  <si>
    <t>KOTKA</t>
  </si>
  <si>
    <t>FIKTT</t>
  </si>
  <si>
    <t>KTT</t>
  </si>
  <si>
    <t>KITTILA</t>
  </si>
  <si>
    <t>FIKUM</t>
  </si>
  <si>
    <t>KUM</t>
  </si>
  <si>
    <t>KUMLINGE</t>
  </si>
  <si>
    <t>FIKUO</t>
  </si>
  <si>
    <t>KUO</t>
  </si>
  <si>
    <t>KUOPIO</t>
  </si>
  <si>
    <t>FIKUS</t>
  </si>
  <si>
    <t>KUS</t>
  </si>
  <si>
    <t>KUSTAVI (GUSTAVS)</t>
  </si>
  <si>
    <t>FIKVH</t>
  </si>
  <si>
    <t>KVH</t>
  </si>
  <si>
    <t>KOVERHAR</t>
  </si>
  <si>
    <t>FILAN</t>
  </si>
  <si>
    <t>LANGNAS</t>
  </si>
  <si>
    <t>FILAP</t>
  </si>
  <si>
    <t>LAP</t>
  </si>
  <si>
    <t>LAPPOHJA (LAPPVIK)</t>
  </si>
  <si>
    <t>FILOV</t>
  </si>
  <si>
    <t>LOV</t>
  </si>
  <si>
    <t>LOVIISA</t>
  </si>
  <si>
    <t>FILPP</t>
  </si>
  <si>
    <t>LPP</t>
  </si>
  <si>
    <t>LAPPEENRANTA (VILLMANSTRAND)</t>
  </si>
  <si>
    <t>FILUV</t>
  </si>
  <si>
    <t>LUV</t>
  </si>
  <si>
    <t>LUVIA</t>
  </si>
  <si>
    <t>FIMER</t>
  </si>
  <si>
    <t>MERIKARVIA</t>
  </si>
  <si>
    <t>FIMHQ</t>
  </si>
  <si>
    <t>MHQ</t>
  </si>
  <si>
    <t>MAARIANHAMINA (MARIEHAMN)</t>
  </si>
  <si>
    <t>FIMIK</t>
  </si>
  <si>
    <t>MIK</t>
  </si>
  <si>
    <t>MIKKELI (ST MICHEL)</t>
  </si>
  <si>
    <t>FIMJO</t>
  </si>
  <si>
    <t>MJO</t>
  </si>
  <si>
    <t>MJOSUND</t>
  </si>
  <si>
    <t>FIMKI</t>
  </si>
  <si>
    <t>MKI</t>
  </si>
  <si>
    <t>MARINKI</t>
  </si>
  <si>
    <t>FIMRS</t>
  </si>
  <si>
    <t>MARSUND</t>
  </si>
  <si>
    <t>FIMTL</t>
  </si>
  <si>
    <t>MANTYLUOTO/PORI</t>
  </si>
  <si>
    <t>FINAU</t>
  </si>
  <si>
    <t>NAU</t>
  </si>
  <si>
    <t>NAUVO (NAGU)</t>
  </si>
  <si>
    <t>FINII</t>
  </si>
  <si>
    <t>NII</t>
  </si>
  <si>
    <t>NIIRALA</t>
  </si>
  <si>
    <t>FINLI</t>
  </si>
  <si>
    <t>NLI</t>
  </si>
  <si>
    <t>NAANTALI (NADENDAL)</t>
  </si>
  <si>
    <t>FINUI</t>
  </si>
  <si>
    <t>NUI</t>
  </si>
  <si>
    <t>NUIJAMAA</t>
  </si>
  <si>
    <t>FIODE</t>
  </si>
  <si>
    <t>ODENSO</t>
  </si>
  <si>
    <t>FIOLU</t>
  </si>
  <si>
    <t>OLU</t>
  </si>
  <si>
    <t xml:space="preserve">OULU                </t>
  </si>
  <si>
    <t>OUL</t>
  </si>
  <si>
    <t xml:space="preserve">FIN  </t>
  </si>
  <si>
    <t>FIOUL</t>
  </si>
  <si>
    <t xml:space="preserve">ULEABORG (OULU)     </t>
  </si>
  <si>
    <t>FIPAR</t>
  </si>
  <si>
    <t>PARAINEN (PARGAS)</t>
  </si>
  <si>
    <t>FIPER</t>
  </si>
  <si>
    <t>PERNAJANLAHTI (PERNAVIKEN)</t>
  </si>
  <si>
    <t>FIPNI</t>
  </si>
  <si>
    <t>PNI</t>
  </si>
  <si>
    <t>PATANIEMI</t>
  </si>
  <si>
    <t>FIPOA</t>
  </si>
  <si>
    <t>PORKKALA</t>
  </si>
  <si>
    <t>FIPOH</t>
  </si>
  <si>
    <t>POH</t>
  </si>
  <si>
    <t>POHJANKURU (SKURU)</t>
  </si>
  <si>
    <t>FIPOR</t>
  </si>
  <si>
    <t>PORI (BJORNEBORG)</t>
  </si>
  <si>
    <t>FIPRS</t>
  </si>
  <si>
    <t>PIETARSAARI (JACOBSTAD)</t>
  </si>
  <si>
    <t>FIPRV</t>
  </si>
  <si>
    <t>BORGA (PORVOO)</t>
  </si>
  <si>
    <t>FIPYH</t>
  </si>
  <si>
    <t>PYH</t>
  </si>
  <si>
    <t>PYHARANTA</t>
  </si>
  <si>
    <t>FIRAA</t>
  </si>
  <si>
    <t>RAA</t>
  </si>
  <si>
    <t>RAAHE (BRAHESTAD)</t>
  </si>
  <si>
    <t>FIRAH</t>
  </si>
  <si>
    <t>RAH</t>
  </si>
  <si>
    <t>RAHJA</t>
  </si>
  <si>
    <t>FIRAU</t>
  </si>
  <si>
    <t>RAUMA (RAUMO)</t>
  </si>
  <si>
    <t>FIROO</t>
  </si>
  <si>
    <t>ROOTILA</t>
  </si>
  <si>
    <t>FIRTR</t>
  </si>
  <si>
    <t>RTR</t>
  </si>
  <si>
    <t>RAUTARUUKKI</t>
  </si>
  <si>
    <t>FIRUO</t>
  </si>
  <si>
    <t>RUO</t>
  </si>
  <si>
    <t>RUOTSINPYTHAA (STROMFORS)</t>
  </si>
  <si>
    <t>FIRVN</t>
  </si>
  <si>
    <t>RVN</t>
  </si>
  <si>
    <t>ROVANIEMI</t>
  </si>
  <si>
    <t>FIRYM</t>
  </si>
  <si>
    <t>RYM</t>
  </si>
  <si>
    <t>RYMATTYLA</t>
  </si>
  <si>
    <t>FISAL</t>
  </si>
  <si>
    <t>SALO</t>
  </si>
  <si>
    <t>FISAN</t>
  </si>
  <si>
    <t>SAN</t>
  </si>
  <si>
    <t>SANDO</t>
  </si>
  <si>
    <t>FISAR</t>
  </si>
  <si>
    <t>SARKISALO (FINBY)</t>
  </si>
  <si>
    <t>FISII</t>
  </si>
  <si>
    <t>SII</t>
  </si>
  <si>
    <t>SIILINJARVI</t>
  </si>
  <si>
    <t>FISKB</t>
  </si>
  <si>
    <t>SKB</t>
  </si>
  <si>
    <t>SKOGBY</t>
  </si>
  <si>
    <t>FISKI</t>
  </si>
  <si>
    <t>SKINNARVIK</t>
  </si>
  <si>
    <t>FISKV</t>
  </si>
  <si>
    <t>SKOLDVIK</t>
  </si>
  <si>
    <t>FISNA</t>
  </si>
  <si>
    <t>SNA</t>
  </si>
  <si>
    <t>SNAPPERTUNA</t>
  </si>
  <si>
    <t>FISPJ</t>
  </si>
  <si>
    <t>SPJ</t>
  </si>
  <si>
    <t>SPJUTSUND (KEIHASSALMI)</t>
  </si>
  <si>
    <t>FISTO</t>
  </si>
  <si>
    <t>STO</t>
  </si>
  <si>
    <t>STOROSUND</t>
  </si>
  <si>
    <t>FISTR</t>
  </si>
  <si>
    <t>STROMMA</t>
  </si>
  <si>
    <t>FISVL</t>
  </si>
  <si>
    <t>SVL</t>
  </si>
  <si>
    <t>SAVONLINNA (NYSLOTT)</t>
  </si>
  <si>
    <t>FITAI</t>
  </si>
  <si>
    <t>TAI</t>
  </si>
  <si>
    <t>TAMMISAARI (EKENAS)</t>
  </si>
  <si>
    <t>FITEI</t>
  </si>
  <si>
    <t>TEI</t>
  </si>
  <si>
    <t>TEIJO</t>
  </si>
  <si>
    <t>FITES</t>
  </si>
  <si>
    <t>TESSVAR</t>
  </si>
  <si>
    <t>FITIL</t>
  </si>
  <si>
    <t>POPPILA</t>
  </si>
  <si>
    <t>FITKU</t>
  </si>
  <si>
    <t>TKU</t>
  </si>
  <si>
    <t>TURKU (ABO)</t>
  </si>
  <si>
    <t>FITMP</t>
  </si>
  <si>
    <t>TMP</t>
  </si>
  <si>
    <t>TAMPERE (TAMMERFORS)</t>
  </si>
  <si>
    <t>FITOJ</t>
  </si>
  <si>
    <t>TOJBY</t>
  </si>
  <si>
    <t>FITOK</t>
  </si>
  <si>
    <t>TOK</t>
  </si>
  <si>
    <t>TOLKKINEN (TOLKIS)/PORVOO</t>
  </si>
  <si>
    <t>FITOR</t>
  </si>
  <si>
    <t>TORNEA (TORNIO)</t>
  </si>
  <si>
    <t>FITRA</t>
  </si>
  <si>
    <t>TRASKO</t>
  </si>
  <si>
    <t>FITVA</t>
  </si>
  <si>
    <t>TVA</t>
  </si>
  <si>
    <t>TVARMINNE</t>
  </si>
  <si>
    <t>FITVS</t>
  </si>
  <si>
    <t>TVS</t>
  </si>
  <si>
    <t>TAIVASSALO</t>
  </si>
  <si>
    <t>FIUKI</t>
  </si>
  <si>
    <t>UKI</t>
  </si>
  <si>
    <t>UUSIKAUPUNKI (NYSTAD)</t>
  </si>
  <si>
    <t>FIUSK</t>
  </si>
  <si>
    <t>USK</t>
  </si>
  <si>
    <t>USKELA</t>
  </si>
  <si>
    <t>FIVAA</t>
  </si>
  <si>
    <t>VAA</t>
  </si>
  <si>
    <t>VAASA (VASA)</t>
  </si>
  <si>
    <t>FIVAI</t>
  </si>
  <si>
    <t>VAI</t>
  </si>
  <si>
    <t>VAINIKKALA</t>
  </si>
  <si>
    <t>FIVAR</t>
  </si>
  <si>
    <t>VARTSALA</t>
  </si>
  <si>
    <t>FIVAS</t>
  </si>
  <si>
    <t>VASTLAX</t>
  </si>
  <si>
    <t>FIVAT</t>
  </si>
  <si>
    <t>VAT</t>
  </si>
  <si>
    <t>VANTAA</t>
  </si>
  <si>
    <t>FIVEL</t>
  </si>
  <si>
    <t>VELKUA</t>
  </si>
  <si>
    <t>FIVES</t>
  </si>
  <si>
    <t>VES</t>
  </si>
  <si>
    <t>VESSO</t>
  </si>
  <si>
    <t>FIVIR</t>
  </si>
  <si>
    <t>VIR</t>
  </si>
  <si>
    <t>VIRPINIEMI</t>
  </si>
  <si>
    <t>FIVLA</t>
  </si>
  <si>
    <t>VLA</t>
  </si>
  <si>
    <t>VAALIMAA</t>
  </si>
  <si>
    <t>FIVRK</t>
  </si>
  <si>
    <t>VRK</t>
  </si>
  <si>
    <t>VARKAUS</t>
  </si>
  <si>
    <t>FIZZZ</t>
  </si>
  <si>
    <t>FIJI</t>
  </si>
  <si>
    <t>フィジー</t>
  </si>
  <si>
    <t>FJAQS</t>
  </si>
  <si>
    <t>FJ</t>
  </si>
  <si>
    <t>AQS</t>
  </si>
  <si>
    <t>SAQANI</t>
  </si>
  <si>
    <t>FJBFJ</t>
  </si>
  <si>
    <t>BFJ</t>
  </si>
  <si>
    <t>FJBVF</t>
  </si>
  <si>
    <t>BVF</t>
  </si>
  <si>
    <t>BUA</t>
  </si>
  <si>
    <t>FJBXL</t>
  </si>
  <si>
    <t>BXL</t>
  </si>
  <si>
    <t>BLUE LAGOON</t>
  </si>
  <si>
    <t>FJCST</t>
  </si>
  <si>
    <t>CST</t>
  </si>
  <si>
    <t>CASTAWAY</t>
  </si>
  <si>
    <t>FJELL</t>
  </si>
  <si>
    <t>ELL</t>
  </si>
  <si>
    <t>ELLINGTON</t>
  </si>
  <si>
    <t>FJICI</t>
  </si>
  <si>
    <t>ICI</t>
  </si>
  <si>
    <t>CICIA</t>
  </si>
  <si>
    <t>FJKAY</t>
  </si>
  <si>
    <t>KAY</t>
  </si>
  <si>
    <t>WAKAYA ISLAND</t>
  </si>
  <si>
    <t>FJKDV</t>
  </si>
  <si>
    <t>KDV</t>
  </si>
  <si>
    <t>KANDAVU</t>
  </si>
  <si>
    <t>FJKVU</t>
  </si>
  <si>
    <t>KVU</t>
  </si>
  <si>
    <t>KOROLEVU</t>
  </si>
  <si>
    <t>FJKXF</t>
  </si>
  <si>
    <t>KXF</t>
  </si>
  <si>
    <t>KORO ISLAND</t>
  </si>
  <si>
    <t>FJLBS</t>
  </si>
  <si>
    <t>LBS</t>
  </si>
  <si>
    <t>LABASA</t>
  </si>
  <si>
    <t>FJLEV</t>
  </si>
  <si>
    <t>LEVUKA</t>
  </si>
  <si>
    <t>FJLKB</t>
  </si>
  <si>
    <t>LKB</t>
  </si>
  <si>
    <t>LAKEBA</t>
  </si>
  <si>
    <t>FJLTK</t>
  </si>
  <si>
    <t>LTK</t>
  </si>
  <si>
    <t>LAUTOKA</t>
  </si>
  <si>
    <t>FJLUC</t>
  </si>
  <si>
    <t>LAUCALA IS</t>
  </si>
  <si>
    <t>FJMAL</t>
  </si>
  <si>
    <t>MALAU</t>
  </si>
  <si>
    <t>FJMFJ</t>
  </si>
  <si>
    <t>MFJ</t>
  </si>
  <si>
    <t>MOALA</t>
  </si>
  <si>
    <t>FJMNF</t>
  </si>
  <si>
    <t>MNF</t>
  </si>
  <si>
    <t>MANA</t>
  </si>
  <si>
    <t>FJNAN</t>
  </si>
  <si>
    <t>NAN</t>
  </si>
  <si>
    <t>NADI</t>
  </si>
  <si>
    <t>FJNGI</t>
  </si>
  <si>
    <t>NGI</t>
  </si>
  <si>
    <t>NGAU ISLAND</t>
  </si>
  <si>
    <t>FJNTA</t>
  </si>
  <si>
    <t>NTA</t>
  </si>
  <si>
    <t>NATADOLA</t>
  </si>
  <si>
    <t>FJONU</t>
  </si>
  <si>
    <t>ONU</t>
  </si>
  <si>
    <t>ONO I LAU</t>
  </si>
  <si>
    <t>FJPHR</t>
  </si>
  <si>
    <t>PHR</t>
  </si>
  <si>
    <t>PACIFIC HARBO</t>
  </si>
  <si>
    <t>FJPTF</t>
  </si>
  <si>
    <t>PTF</t>
  </si>
  <si>
    <t>MALOLOLAILAI</t>
  </si>
  <si>
    <t>FJRBI</t>
  </si>
  <si>
    <t>RBI</t>
  </si>
  <si>
    <t>RABI</t>
  </si>
  <si>
    <t>FJRTA</t>
  </si>
  <si>
    <t>RTA</t>
  </si>
  <si>
    <t>ROTUMA</t>
  </si>
  <si>
    <t>FJSUV</t>
  </si>
  <si>
    <t>SUV</t>
  </si>
  <si>
    <t>SUVA</t>
  </si>
  <si>
    <t>FJSVU</t>
  </si>
  <si>
    <t>SVU</t>
  </si>
  <si>
    <t>SAVU-SAVU</t>
  </si>
  <si>
    <t>FJTTL</t>
  </si>
  <si>
    <t>TTL</t>
  </si>
  <si>
    <t>TURTLE ISLAND</t>
  </si>
  <si>
    <t>FJTVU</t>
  </si>
  <si>
    <t>TVU</t>
  </si>
  <si>
    <t>TAVEUNI</t>
  </si>
  <si>
    <t>FJVAT</t>
  </si>
  <si>
    <t>VATIA</t>
  </si>
  <si>
    <t>FJVAU</t>
  </si>
  <si>
    <t>VAU</t>
  </si>
  <si>
    <t>VATUKOULA</t>
  </si>
  <si>
    <t>FJVBV</t>
  </si>
  <si>
    <t>VBV</t>
  </si>
  <si>
    <t>VANUABALAVU</t>
  </si>
  <si>
    <t>FJVUD</t>
  </si>
  <si>
    <t>VUD</t>
  </si>
  <si>
    <t>VUDA</t>
  </si>
  <si>
    <t>FJZZZ</t>
  </si>
  <si>
    <t>FALKLAND ISLANDS</t>
  </si>
  <si>
    <t>フォークランド諸島及びその附属諸島（英）</t>
  </si>
  <si>
    <t>FKMPN</t>
  </si>
  <si>
    <t>FK</t>
  </si>
  <si>
    <t>MPN</t>
  </si>
  <si>
    <t>MOUNT PLEASANT</t>
  </si>
  <si>
    <t>FALK</t>
  </si>
  <si>
    <t>FKPSY</t>
  </si>
  <si>
    <t>PSY</t>
  </si>
  <si>
    <t>PORT STANLEY</t>
  </si>
  <si>
    <t>FKZZZ</t>
  </si>
  <si>
    <t>MICRONESIA</t>
  </si>
  <si>
    <t>ミクロネシア</t>
  </si>
  <si>
    <t>FMFSI</t>
  </si>
  <si>
    <t>FM</t>
  </si>
  <si>
    <t>FAIS</t>
  </si>
  <si>
    <t>FMKSA</t>
  </si>
  <si>
    <t>KSA</t>
  </si>
  <si>
    <t>KOSRAE (EX KUSAIE)</t>
  </si>
  <si>
    <t>MICRO</t>
  </si>
  <si>
    <t>FMPNI</t>
  </si>
  <si>
    <t>PONAPE</t>
  </si>
  <si>
    <t>FMTKK</t>
  </si>
  <si>
    <t>TKK</t>
  </si>
  <si>
    <t>CHUUK(EX TRUK)</t>
  </si>
  <si>
    <t>FMULI</t>
  </si>
  <si>
    <t>ULI</t>
  </si>
  <si>
    <t>ULITHI</t>
  </si>
  <si>
    <t>FMYAP</t>
  </si>
  <si>
    <t>YAP</t>
  </si>
  <si>
    <t>FMZZZ</t>
  </si>
  <si>
    <t>FAROE ISLANDS</t>
  </si>
  <si>
    <t>フェロー諸島（デンマーク）</t>
  </si>
  <si>
    <t>FOFAE</t>
  </si>
  <si>
    <t>FO</t>
  </si>
  <si>
    <t>FAE</t>
  </si>
  <si>
    <t>FAROE</t>
  </si>
  <si>
    <t>FOFUG</t>
  </si>
  <si>
    <t>FUG</t>
  </si>
  <si>
    <t>FUGLAFIRDI (FUGLEFJORD)</t>
  </si>
  <si>
    <t>FOHUS</t>
  </si>
  <si>
    <t>HUSEVIG</t>
  </si>
  <si>
    <t>FOKVI</t>
  </si>
  <si>
    <t>KVI</t>
  </si>
  <si>
    <t>KLAKSVIK</t>
  </si>
  <si>
    <t>FOLOP</t>
  </si>
  <si>
    <t>LOP</t>
  </si>
  <si>
    <t>LOPRA</t>
  </si>
  <si>
    <t>FOSMJ</t>
  </si>
  <si>
    <t>SMJ</t>
  </si>
  <si>
    <t>SOLMUNDEFJORD</t>
  </si>
  <si>
    <t>FOSRV</t>
  </si>
  <si>
    <t>SRV</t>
  </si>
  <si>
    <t>SORVAGUR</t>
  </si>
  <si>
    <t>FOTHO</t>
  </si>
  <si>
    <t>THO</t>
  </si>
  <si>
    <t>THORSHAVN</t>
  </si>
  <si>
    <t>FOTVO</t>
  </si>
  <si>
    <t>TVO</t>
  </si>
  <si>
    <t>TVOROYRI</t>
  </si>
  <si>
    <t>FOVAG</t>
  </si>
  <si>
    <t>VAGUR</t>
  </si>
  <si>
    <t>FOVES</t>
  </si>
  <si>
    <t>VESTMANHAVN</t>
  </si>
  <si>
    <t>FOVID</t>
  </si>
  <si>
    <t>VADAIR</t>
  </si>
  <si>
    <t>FOZZZ</t>
  </si>
  <si>
    <t>FRANCE</t>
  </si>
  <si>
    <t>フランス</t>
  </si>
  <si>
    <t>FRABB</t>
  </si>
  <si>
    <t>FR</t>
  </si>
  <si>
    <t>ABB</t>
  </si>
  <si>
    <t>ABBEVILLE</t>
  </si>
  <si>
    <t>FRAGF</t>
  </si>
  <si>
    <t>AGF</t>
  </si>
  <si>
    <t>AGEN</t>
  </si>
  <si>
    <t>FRAHZ</t>
  </si>
  <si>
    <t>AHZ</t>
  </si>
  <si>
    <t>ALPE D HUEZ</t>
  </si>
  <si>
    <t>FRAJA</t>
  </si>
  <si>
    <t>AJA</t>
  </si>
  <si>
    <t>AJACCIO</t>
  </si>
  <si>
    <t>FRANC</t>
  </si>
  <si>
    <t>ANC</t>
  </si>
  <si>
    <t>ANCENIS</t>
  </si>
  <si>
    <t>FRANE</t>
  </si>
  <si>
    <t>ANE</t>
  </si>
  <si>
    <t>ANGERS</t>
  </si>
  <si>
    <t>FRANG</t>
  </si>
  <si>
    <t>ANGOULEME</t>
  </si>
  <si>
    <t>FRANT</t>
  </si>
  <si>
    <t>ANTIBES</t>
  </si>
  <si>
    <t>FRARC</t>
  </si>
  <si>
    <t>ARC</t>
  </si>
  <si>
    <t>ARCACHON</t>
  </si>
  <si>
    <t>FRAUD</t>
  </si>
  <si>
    <t>AUDIERNE-PORT</t>
  </si>
  <si>
    <t>FRAUR</t>
  </si>
  <si>
    <t>AURILLAC</t>
  </si>
  <si>
    <t>FRAVF</t>
  </si>
  <si>
    <t>AVF</t>
  </si>
  <si>
    <t>AVORIAZ</t>
  </si>
  <si>
    <t>FRAVN</t>
  </si>
  <si>
    <t>AVN</t>
  </si>
  <si>
    <t>AVIGNON</t>
  </si>
  <si>
    <t>FRBAE</t>
  </si>
  <si>
    <t>BAE</t>
  </si>
  <si>
    <t>BARCELONNETTE</t>
  </si>
  <si>
    <t>FRBAI</t>
  </si>
  <si>
    <t>BASSE-INDRE</t>
  </si>
  <si>
    <t>FRBAS</t>
  </si>
  <si>
    <t>BASSENS</t>
  </si>
  <si>
    <t>FRBAU</t>
  </si>
  <si>
    <t>BOUCAU</t>
  </si>
  <si>
    <t>FRBAY</t>
  </si>
  <si>
    <t>BAYONNE</t>
  </si>
  <si>
    <t>FRBEC</t>
  </si>
  <si>
    <t>BEC D'AMBES</t>
  </si>
  <si>
    <t>FRBES</t>
  </si>
  <si>
    <t>FRBIA</t>
  </si>
  <si>
    <t>BIA</t>
  </si>
  <si>
    <t>BASTIA</t>
  </si>
  <si>
    <t>FRBIQ</t>
  </si>
  <si>
    <t>BIQ</t>
  </si>
  <si>
    <t>BIARRITZ</t>
  </si>
  <si>
    <t>FRBOD</t>
  </si>
  <si>
    <t>BOD</t>
  </si>
  <si>
    <t>BORDEAUX</t>
  </si>
  <si>
    <t>FRBOL</t>
  </si>
  <si>
    <t>BOULOGNE-SUR-MER</t>
  </si>
  <si>
    <t>FRBON</t>
  </si>
  <si>
    <t>BONIFACIO</t>
  </si>
  <si>
    <t>FRBOR</t>
  </si>
  <si>
    <t>BELFORT-FONTAINE APT</t>
  </si>
  <si>
    <t>FRBOU</t>
  </si>
  <si>
    <t>BOU</t>
  </si>
  <si>
    <t>BOURGES</t>
  </si>
  <si>
    <t>FRBVA</t>
  </si>
  <si>
    <t>BEAUVAIS-TILLE APT</t>
  </si>
  <si>
    <t>FRBVE</t>
  </si>
  <si>
    <t>BRIVE-LA-GAIL</t>
  </si>
  <si>
    <t>FRBYE</t>
  </si>
  <si>
    <t>BYE</t>
  </si>
  <si>
    <t>BLAYE</t>
  </si>
  <si>
    <t>FRBZR</t>
  </si>
  <si>
    <t>BZR</t>
  </si>
  <si>
    <t>BEZIERS</t>
  </si>
  <si>
    <t>FRCAM</t>
  </si>
  <si>
    <t>CAMARET</t>
  </si>
  <si>
    <t>FRCCF</t>
  </si>
  <si>
    <t>CCF</t>
  </si>
  <si>
    <t>CARCASSONNE</t>
  </si>
  <si>
    <t>FRCDG</t>
  </si>
  <si>
    <t>CDG</t>
  </si>
  <si>
    <t>PARIS-CHARLES DE GAULLE APT</t>
  </si>
  <si>
    <t>FRCEQ</t>
  </si>
  <si>
    <t>CEQ</t>
  </si>
  <si>
    <t>CANNES</t>
  </si>
  <si>
    <t>FRCER</t>
  </si>
  <si>
    <t>CER</t>
  </si>
  <si>
    <t>CHERBOURG</t>
  </si>
  <si>
    <t>FRCET</t>
  </si>
  <si>
    <t>CET</t>
  </si>
  <si>
    <t>CHOLET</t>
  </si>
  <si>
    <t>FRCFE</t>
  </si>
  <si>
    <t>CFE</t>
  </si>
  <si>
    <t>CLERMONT-FERRAND-AULNAT APT</t>
  </si>
  <si>
    <t>FRCFR</t>
  </si>
  <si>
    <t>CFR</t>
  </si>
  <si>
    <t>CAEN</t>
  </si>
  <si>
    <t>FRCHR</t>
  </si>
  <si>
    <t>CHR</t>
  </si>
  <si>
    <t>CHATEAUROUX</t>
  </si>
  <si>
    <t>FRCLY</t>
  </si>
  <si>
    <t>CLY</t>
  </si>
  <si>
    <t>CALVI</t>
  </si>
  <si>
    <t>FRCMF</t>
  </si>
  <si>
    <t>CMF</t>
  </si>
  <si>
    <t>CHAMBERY</t>
  </si>
  <si>
    <t>FRCMR</t>
  </si>
  <si>
    <t>CMR</t>
  </si>
  <si>
    <t>COLMAR</t>
  </si>
  <si>
    <t>FRCNG</t>
  </si>
  <si>
    <t>CNG</t>
  </si>
  <si>
    <t>COGNAC</t>
  </si>
  <si>
    <t>FRCOC</t>
  </si>
  <si>
    <t>CONCARNEAU</t>
  </si>
  <si>
    <t>FRCQF</t>
  </si>
  <si>
    <t>CQF</t>
  </si>
  <si>
    <t>CALAIS</t>
  </si>
  <si>
    <t>FRCRE</t>
  </si>
  <si>
    <t>CRE</t>
  </si>
  <si>
    <t>CHARENTE</t>
  </si>
  <si>
    <t>FRCTT</t>
  </si>
  <si>
    <t>CTT</t>
  </si>
  <si>
    <t>LE CASTELLET</t>
  </si>
  <si>
    <t>FRCVF</t>
  </si>
  <si>
    <t>CVF</t>
  </si>
  <si>
    <t>COURCHEVEL</t>
  </si>
  <si>
    <t>FRDIJ</t>
  </si>
  <si>
    <t>DIJ</t>
  </si>
  <si>
    <t>DIJON-LONGVIC APT</t>
  </si>
  <si>
    <t>FRDKK</t>
  </si>
  <si>
    <t>DKK</t>
  </si>
  <si>
    <t>DUNKERQUE</t>
  </si>
  <si>
    <t>FRDLE</t>
  </si>
  <si>
    <t>DLE</t>
  </si>
  <si>
    <t>DOLE-TAVAUX APT</t>
  </si>
  <si>
    <t>FRDNR</t>
  </si>
  <si>
    <t>DNR</t>
  </si>
  <si>
    <t>DINARD-PLEURTUIT APT</t>
  </si>
  <si>
    <t>FRDOL</t>
  </si>
  <si>
    <t>DOL</t>
  </si>
  <si>
    <t>DEAUVILLE</t>
  </si>
  <si>
    <t>FRDON</t>
  </si>
  <si>
    <t>DONGES</t>
  </si>
  <si>
    <t>FRDPE</t>
  </si>
  <si>
    <t>DPE</t>
  </si>
  <si>
    <t>DIEPPE</t>
  </si>
  <si>
    <t>FRDRZ</t>
  </si>
  <si>
    <t>DOUARNENEZ</t>
  </si>
  <si>
    <t>FRDXA</t>
  </si>
  <si>
    <t>DXA</t>
  </si>
  <si>
    <t>DEUX ALPES</t>
  </si>
  <si>
    <t>FREBU</t>
  </si>
  <si>
    <t>EBU</t>
  </si>
  <si>
    <t>ST ETIENNE-BOUTHEONAPT</t>
  </si>
  <si>
    <t>FREDM</t>
  </si>
  <si>
    <t>EDM</t>
  </si>
  <si>
    <t>LA ROCHE</t>
  </si>
  <si>
    <t>FREGC</t>
  </si>
  <si>
    <t>EGC</t>
  </si>
  <si>
    <t>BERGERAC</t>
  </si>
  <si>
    <t>FRENC</t>
  </si>
  <si>
    <t>ENC</t>
  </si>
  <si>
    <t>NANCY-ESSEY APT</t>
  </si>
  <si>
    <t>FREPL</t>
  </si>
  <si>
    <t>EPL</t>
  </si>
  <si>
    <t>EPINAL</t>
  </si>
  <si>
    <t>FRFEC</t>
  </si>
  <si>
    <t>FEC</t>
  </si>
  <si>
    <t>FECAMP</t>
  </si>
  <si>
    <t>FRFNI</t>
  </si>
  <si>
    <t>FNI</t>
  </si>
  <si>
    <t>NIMES-GARONS APT</t>
  </si>
  <si>
    <t>FRFOS</t>
  </si>
  <si>
    <t>FOS-SUR-MER</t>
  </si>
  <si>
    <t>FRFRJ</t>
  </si>
  <si>
    <t>FRJ</t>
  </si>
  <si>
    <t>FREJUS</t>
  </si>
  <si>
    <t>FRFSC</t>
  </si>
  <si>
    <t>FSC</t>
  </si>
  <si>
    <t>FIGARI CORSIC</t>
  </si>
  <si>
    <t>FRGAT</t>
  </si>
  <si>
    <t>GAT</t>
  </si>
  <si>
    <t>FRGFR</t>
  </si>
  <si>
    <t>GFR</t>
  </si>
  <si>
    <t>GRANVILLE</t>
  </si>
  <si>
    <t>FRGNB</t>
  </si>
  <si>
    <t>GNB</t>
  </si>
  <si>
    <t>GRENOBLE-SAINT-GEOIRS APT</t>
  </si>
  <si>
    <t>FRGRV</t>
  </si>
  <si>
    <t>GRV</t>
  </si>
  <si>
    <t>GRAVELINES</t>
  </si>
  <si>
    <t>FRHON</t>
  </si>
  <si>
    <t>HON</t>
  </si>
  <si>
    <t>HONFLEUR</t>
  </si>
  <si>
    <t>FRILR</t>
  </si>
  <si>
    <t>ILR</t>
  </si>
  <si>
    <t>ILE ROUSSE</t>
  </si>
  <si>
    <t>FRJLP</t>
  </si>
  <si>
    <t>JLP</t>
  </si>
  <si>
    <t>JUAN LES PINS</t>
  </si>
  <si>
    <t>FRLAI</t>
  </si>
  <si>
    <t>LAI</t>
  </si>
  <si>
    <t>LANNION</t>
  </si>
  <si>
    <t>FRLAV</t>
  </si>
  <si>
    <t>LAV</t>
  </si>
  <si>
    <t>LAVERA</t>
  </si>
  <si>
    <t>FRLBG</t>
  </si>
  <si>
    <t>PARIS-LE BOURGET APT</t>
  </si>
  <si>
    <t>FRLBI</t>
  </si>
  <si>
    <t>LBI</t>
  </si>
  <si>
    <t>ALBI</t>
  </si>
  <si>
    <t>FRLBY</t>
  </si>
  <si>
    <t>LBY</t>
  </si>
  <si>
    <t>LA BAULE</t>
  </si>
  <si>
    <t>FRLDE</t>
  </si>
  <si>
    <t>LDE</t>
  </si>
  <si>
    <t>LOURDES-TARBES-OSSUNAPT</t>
  </si>
  <si>
    <t>FRLEH</t>
  </si>
  <si>
    <t>LE HAVRE</t>
  </si>
  <si>
    <t>FRLIG</t>
  </si>
  <si>
    <t>LIMOGES-BELLEGARDE APT</t>
  </si>
  <si>
    <t>FRLIL</t>
  </si>
  <si>
    <t>LIL</t>
  </si>
  <si>
    <t>LILLE-LESQUIN APT</t>
  </si>
  <si>
    <t>FRLME</t>
  </si>
  <si>
    <t>LME</t>
  </si>
  <si>
    <t>LE MANS</t>
  </si>
  <si>
    <t>FRLPE</t>
  </si>
  <si>
    <t>LPE</t>
  </si>
  <si>
    <t>LA PALLICE</t>
  </si>
  <si>
    <t>FRLPY</t>
  </si>
  <si>
    <t>LPY</t>
  </si>
  <si>
    <t>LE PUY</t>
  </si>
  <si>
    <t>FRLRH</t>
  </si>
  <si>
    <t>LRH</t>
  </si>
  <si>
    <t>LA ROCHELLE</t>
  </si>
  <si>
    <t>FRLRT</t>
  </si>
  <si>
    <t>LRT</t>
  </si>
  <si>
    <t>LORIENT</t>
  </si>
  <si>
    <t>FRLSO</t>
  </si>
  <si>
    <t>LSO</t>
  </si>
  <si>
    <t>LES SABLES D'OLONNE</t>
  </si>
  <si>
    <t>FRLTQ</t>
  </si>
  <si>
    <t>LTQ</t>
  </si>
  <si>
    <t>LE TOUQUET-PARIS-PLAGE</t>
  </si>
  <si>
    <t>FRLTR</t>
  </si>
  <si>
    <t>LTR</t>
  </si>
  <si>
    <t>LE TREPORT</t>
  </si>
  <si>
    <t>FRLVA</t>
  </si>
  <si>
    <t>LVA</t>
  </si>
  <si>
    <t>LAVAL</t>
  </si>
  <si>
    <t>FRLVE</t>
  </si>
  <si>
    <t>LVE</t>
  </si>
  <si>
    <t>LE VERDON</t>
  </si>
  <si>
    <t>FRLYN</t>
  </si>
  <si>
    <t>LYN</t>
  </si>
  <si>
    <t>LYON-BRON APT</t>
  </si>
  <si>
    <t>FRLYS</t>
  </si>
  <si>
    <t>LYS</t>
  </si>
  <si>
    <t>LYON-SATOLAS APT</t>
  </si>
  <si>
    <t>FRMEA</t>
  </si>
  <si>
    <t>MEAUX-ESBLY APT</t>
  </si>
  <si>
    <t>FRMEL</t>
  </si>
  <si>
    <t>MELUN-VILLAROCHE APT</t>
  </si>
  <si>
    <t>FRMEN</t>
  </si>
  <si>
    <t>MENDE</t>
  </si>
  <si>
    <t>FRMLH</t>
  </si>
  <si>
    <t>MLH</t>
  </si>
  <si>
    <t>MULHOUSE</t>
  </si>
  <si>
    <t>FRMON</t>
  </si>
  <si>
    <t>MONTOIN</t>
  </si>
  <si>
    <t>FRMPL</t>
  </si>
  <si>
    <t>MPL</t>
  </si>
  <si>
    <t>MONTPELLIER</t>
  </si>
  <si>
    <t>FRMRS</t>
  </si>
  <si>
    <t>MARSEILLE</t>
  </si>
  <si>
    <t>FRMTX</t>
  </si>
  <si>
    <t>MTX</t>
  </si>
  <si>
    <t>MONTOIR-DE-BRETAGNE</t>
  </si>
  <si>
    <t>FRMVV</t>
  </si>
  <si>
    <t>MVV</t>
  </si>
  <si>
    <t>MEGEVE</t>
  </si>
  <si>
    <t>FRMXN</t>
  </si>
  <si>
    <t>MXN</t>
  </si>
  <si>
    <t>MORLAIX</t>
  </si>
  <si>
    <t>FRMZM</t>
  </si>
  <si>
    <t>MZM</t>
  </si>
  <si>
    <t>METZ-FRESCATY APT</t>
  </si>
  <si>
    <t>FRNCE</t>
  </si>
  <si>
    <t>NCE</t>
  </si>
  <si>
    <t>NICE</t>
  </si>
  <si>
    <t>FRNCY</t>
  </si>
  <si>
    <t>NCY</t>
  </si>
  <si>
    <t>ANNECY</t>
  </si>
  <si>
    <t>FRNIT</t>
  </si>
  <si>
    <t>NIT</t>
  </si>
  <si>
    <t>NIORT</t>
  </si>
  <si>
    <t>FRNMS</t>
  </si>
  <si>
    <t>NMS</t>
  </si>
  <si>
    <t>NEMOURS</t>
  </si>
  <si>
    <t>FRNOI</t>
  </si>
  <si>
    <t>NOI</t>
  </si>
  <si>
    <t>NOIRMOUTIER</t>
  </si>
  <si>
    <t>FRNOU</t>
  </si>
  <si>
    <t>NOU</t>
  </si>
  <si>
    <t>PORT-LA NOUVELLE</t>
  </si>
  <si>
    <t>FRNTE</t>
  </si>
  <si>
    <t>NTE</t>
  </si>
  <si>
    <t>NANTES</t>
  </si>
  <si>
    <t>FRNVS</t>
  </si>
  <si>
    <t>NVS</t>
  </si>
  <si>
    <t>NEVERS</t>
  </si>
  <si>
    <t>FROBS</t>
  </si>
  <si>
    <t>OBS</t>
  </si>
  <si>
    <t>AUBENAS</t>
  </si>
  <si>
    <t>FRORY</t>
  </si>
  <si>
    <t>ORY</t>
  </si>
  <si>
    <t>PARIS-ORLY APT</t>
  </si>
  <si>
    <t>FRPAI</t>
  </si>
  <si>
    <t>PAI</t>
  </si>
  <si>
    <t>PAIMPOL</t>
  </si>
  <si>
    <t>FRPAP</t>
  </si>
  <si>
    <t>PAUILLAC-PORT</t>
  </si>
  <si>
    <t>FRPAR</t>
  </si>
  <si>
    <t>PARIS</t>
  </si>
  <si>
    <t>FRPDB</t>
  </si>
  <si>
    <t>PDB</t>
  </si>
  <si>
    <t>PORT DE BOUC</t>
  </si>
  <si>
    <t>FRPGF</t>
  </si>
  <si>
    <t>PGF</t>
  </si>
  <si>
    <t>PERPIGNAN-RIVESALTESAPT</t>
  </si>
  <si>
    <t>FRPGX</t>
  </si>
  <si>
    <t>PGX</t>
  </si>
  <si>
    <t>PERIGUEUX</t>
  </si>
  <si>
    <t>FRPIS</t>
  </si>
  <si>
    <t>PIS</t>
  </si>
  <si>
    <t>POITIERS-BIARD</t>
  </si>
  <si>
    <t>FRPLG</t>
  </si>
  <si>
    <t>PLG</t>
  </si>
  <si>
    <t>LA PLAGNE</t>
  </si>
  <si>
    <t>FRPOV</t>
  </si>
  <si>
    <t>POV</t>
  </si>
  <si>
    <t>PORT VENDRES</t>
  </si>
  <si>
    <t>FRPRP</t>
  </si>
  <si>
    <t>PRP</t>
  </si>
  <si>
    <t>PROPRIANO</t>
  </si>
  <si>
    <t>FRPSL</t>
  </si>
  <si>
    <t>PSL</t>
  </si>
  <si>
    <t>PORT ST LOUIS DU RHONE</t>
  </si>
  <si>
    <t>FRPUF</t>
  </si>
  <si>
    <t>PUF</t>
  </si>
  <si>
    <t>PAU-PONT-LONG-UZEINAPT</t>
  </si>
  <si>
    <t>FRPVO</t>
  </si>
  <si>
    <t>PORTO VECCHIO</t>
  </si>
  <si>
    <t>FRRDZ</t>
  </si>
  <si>
    <t>RDZ</t>
  </si>
  <si>
    <t>RODEZ</t>
  </si>
  <si>
    <t>FRRHE</t>
  </si>
  <si>
    <t>REIMS-CHAMPAGNE APT</t>
  </si>
  <si>
    <t>FRRNE</t>
  </si>
  <si>
    <t>RNE</t>
  </si>
  <si>
    <t>ROANNE</t>
  </si>
  <si>
    <t>FRRNS</t>
  </si>
  <si>
    <t>RNS</t>
  </si>
  <si>
    <t>RENNES-SAINT-JACQUESAPT</t>
  </si>
  <si>
    <t>FRROS</t>
  </si>
  <si>
    <t>ROSCOFF</t>
  </si>
  <si>
    <t>FRRYN</t>
  </si>
  <si>
    <t>RYN</t>
  </si>
  <si>
    <t>ROYAN</t>
  </si>
  <si>
    <t>FRSBK</t>
  </si>
  <si>
    <t>SBK</t>
  </si>
  <si>
    <t>ST BRIEUC</t>
  </si>
  <si>
    <t>FRSCP</t>
  </si>
  <si>
    <t>SCP</t>
  </si>
  <si>
    <t>ST CREPIN</t>
  </si>
  <si>
    <t>FRSEC</t>
  </si>
  <si>
    <t>SEC</t>
  </si>
  <si>
    <t>SERRE CHEVALI</t>
  </si>
  <si>
    <t>FRSET</t>
  </si>
  <si>
    <t>SET</t>
  </si>
  <si>
    <t>SETE</t>
  </si>
  <si>
    <t>FRSML</t>
  </si>
  <si>
    <t>ST MALO</t>
  </si>
  <si>
    <t>FRSNR</t>
  </si>
  <si>
    <t>ST NAZAIRE</t>
  </si>
  <si>
    <t>FRSOZ</t>
  </si>
  <si>
    <t>SOZ</t>
  </si>
  <si>
    <t>SOLENZARA</t>
  </si>
  <si>
    <t>FRSXB</t>
  </si>
  <si>
    <t>SXB</t>
  </si>
  <si>
    <t>STRASBOURG</t>
  </si>
  <si>
    <t>FRSXD</t>
  </si>
  <si>
    <t>SXD</t>
  </si>
  <si>
    <t>SOPHIA ANTIPO</t>
  </si>
  <si>
    <t>FRTGF</t>
  </si>
  <si>
    <t>TGF</t>
  </si>
  <si>
    <t>TIGNES</t>
  </si>
  <si>
    <t>FRTJE</t>
  </si>
  <si>
    <t>TJE</t>
  </si>
  <si>
    <t>TROUVILLE</t>
  </si>
  <si>
    <t>FRTLN</t>
  </si>
  <si>
    <t>TLN</t>
  </si>
  <si>
    <t>TOULON</t>
  </si>
  <si>
    <t>FRTLS</t>
  </si>
  <si>
    <t>TLS</t>
  </si>
  <si>
    <t>TOULOUSE-BLAGNAC APT</t>
  </si>
  <si>
    <t>FRTON</t>
  </si>
  <si>
    <t>TON</t>
  </si>
  <si>
    <t>TONNAY CHARENTE(ROCHEFORT)</t>
  </si>
  <si>
    <t>FRTPT</t>
  </si>
  <si>
    <t>TPT</t>
  </si>
  <si>
    <t>TREPORT</t>
  </si>
  <si>
    <t>FRTRE</t>
  </si>
  <si>
    <t>TREGUIER</t>
  </si>
  <si>
    <t>FRTUF</t>
  </si>
  <si>
    <t>TUF</t>
  </si>
  <si>
    <t>TOURS-ST SYMPHORIENAPT</t>
  </si>
  <si>
    <t>FRUIP</t>
  </si>
  <si>
    <t>UIP</t>
  </si>
  <si>
    <t>QUIMPER</t>
  </si>
  <si>
    <t>FRURO</t>
  </si>
  <si>
    <t>URO</t>
  </si>
  <si>
    <t>ROUEN</t>
  </si>
  <si>
    <t>FRVAF</t>
  </si>
  <si>
    <t>VAF</t>
  </si>
  <si>
    <t>VALENCE</t>
  </si>
  <si>
    <t>FRVAZ</t>
  </si>
  <si>
    <t>VAL D'ISERE</t>
  </si>
  <si>
    <t>FRVHY</t>
  </si>
  <si>
    <t>VHY</t>
  </si>
  <si>
    <t>VICHY-CHARMEIL APT</t>
  </si>
  <si>
    <t>FRVLL</t>
  </si>
  <si>
    <t>VILLEFRANCHE</t>
  </si>
  <si>
    <t>FRVNE</t>
  </si>
  <si>
    <t>VNE</t>
  </si>
  <si>
    <t>VANNES</t>
  </si>
  <si>
    <t>FRVTL</t>
  </si>
  <si>
    <t>VTL</t>
  </si>
  <si>
    <t>VITTEL</t>
  </si>
  <si>
    <t>FRXYT</t>
  </si>
  <si>
    <t>XYT</t>
  </si>
  <si>
    <t>TOULOUSE</t>
  </si>
  <si>
    <t>FRZAO</t>
  </si>
  <si>
    <t>ZAO</t>
  </si>
  <si>
    <t>CAHORS</t>
  </si>
  <si>
    <t>FRZZZ</t>
  </si>
  <si>
    <t>ORLEANS</t>
  </si>
  <si>
    <t>GABON</t>
  </si>
  <si>
    <t>ガボン</t>
  </si>
  <si>
    <t>GAAKE</t>
  </si>
  <si>
    <t>GA</t>
  </si>
  <si>
    <t>AKE</t>
  </si>
  <si>
    <t>AKIENI</t>
  </si>
  <si>
    <t>GABGB</t>
  </si>
  <si>
    <t>BGB</t>
  </si>
  <si>
    <t>BOOUE</t>
  </si>
  <si>
    <t>GABMM</t>
  </si>
  <si>
    <t>BMM</t>
  </si>
  <si>
    <t>BITAM</t>
  </si>
  <si>
    <t>GACLZ</t>
  </si>
  <si>
    <t>CLZ</t>
  </si>
  <si>
    <t>CAP LOPEZ</t>
  </si>
  <si>
    <t>GAFOU</t>
  </si>
  <si>
    <t>FOU</t>
  </si>
  <si>
    <t>FOUGAMOU</t>
  </si>
  <si>
    <t>GAGAX</t>
  </si>
  <si>
    <t>GAX</t>
  </si>
  <si>
    <t>GAMBA</t>
  </si>
  <si>
    <t>GAKDJ</t>
  </si>
  <si>
    <t>KDJ</t>
  </si>
  <si>
    <t>NDJOLE</t>
  </si>
  <si>
    <t>GAKDN</t>
  </si>
  <si>
    <t>KDN</t>
  </si>
  <si>
    <t>NDENDE</t>
  </si>
  <si>
    <t>GAKOU</t>
  </si>
  <si>
    <t>KOU</t>
  </si>
  <si>
    <t>KOULA MOUTOU</t>
  </si>
  <si>
    <t>GALBQ</t>
  </si>
  <si>
    <t>LBQ</t>
  </si>
  <si>
    <t>LAMBARENE</t>
  </si>
  <si>
    <t>GALBV</t>
  </si>
  <si>
    <t>LBV</t>
  </si>
  <si>
    <t>LIBREVILLE</t>
  </si>
  <si>
    <t>GALTL</t>
  </si>
  <si>
    <t>LTL</t>
  </si>
  <si>
    <t>LASTOURVILLE</t>
  </si>
  <si>
    <t>GALUC</t>
  </si>
  <si>
    <t>LUCINA</t>
  </si>
  <si>
    <t>GAMBC</t>
  </si>
  <si>
    <t>MBC</t>
  </si>
  <si>
    <t>MBIGOU</t>
  </si>
  <si>
    <t>GAMDV</t>
  </si>
  <si>
    <t>MDV</t>
  </si>
  <si>
    <t>MEDOUNEU</t>
  </si>
  <si>
    <t>GAMFF</t>
  </si>
  <si>
    <t>MFF</t>
  </si>
  <si>
    <t>GAMGO</t>
  </si>
  <si>
    <t>MGO</t>
  </si>
  <si>
    <t>MANEGA</t>
  </si>
  <si>
    <t>GAMJL</t>
  </si>
  <si>
    <t>MJL</t>
  </si>
  <si>
    <t>MOUILA</t>
  </si>
  <si>
    <t>GAMKB</t>
  </si>
  <si>
    <t>MKB</t>
  </si>
  <si>
    <t>MEKAMBO</t>
  </si>
  <si>
    <t>GAMKU</t>
  </si>
  <si>
    <t>MKU</t>
  </si>
  <si>
    <t>MAKOKOU</t>
  </si>
  <si>
    <t>GAMVE</t>
  </si>
  <si>
    <t>MVE</t>
  </si>
  <si>
    <t>MVENGUE</t>
  </si>
  <si>
    <t>GAMVG</t>
  </si>
  <si>
    <t>MVG</t>
  </si>
  <si>
    <t>MEVANG</t>
  </si>
  <si>
    <t>GAMYB</t>
  </si>
  <si>
    <t>MYB</t>
  </si>
  <si>
    <t>MAYOUMBA</t>
  </si>
  <si>
    <t>GAMZC</t>
  </si>
  <si>
    <t>MZC</t>
  </si>
  <si>
    <t>MITZIC</t>
  </si>
  <si>
    <t>GAOKN</t>
  </si>
  <si>
    <t>OKN</t>
  </si>
  <si>
    <t>OKONDJA</t>
  </si>
  <si>
    <t>GAOMB</t>
  </si>
  <si>
    <t>OMB</t>
  </si>
  <si>
    <t>OMBOUE</t>
  </si>
  <si>
    <t>GAOWE</t>
  </si>
  <si>
    <t>OWE</t>
  </si>
  <si>
    <t>OWENDO</t>
  </si>
  <si>
    <t>GAOYE</t>
  </si>
  <si>
    <t>OYE</t>
  </si>
  <si>
    <t>OYEM</t>
  </si>
  <si>
    <t>GAPOG</t>
  </si>
  <si>
    <t>POG</t>
  </si>
  <si>
    <t>PORT GENTIL</t>
  </si>
  <si>
    <t>GATCH</t>
  </si>
  <si>
    <t>TCH</t>
  </si>
  <si>
    <t>TCHIBANGA</t>
  </si>
  <si>
    <t>GAZZZ</t>
  </si>
  <si>
    <t>ALOWE</t>
  </si>
  <si>
    <t>AWE</t>
  </si>
  <si>
    <t>BIAWONQUE</t>
  </si>
  <si>
    <t>BAW</t>
  </si>
  <si>
    <t>BONGO</t>
  </si>
  <si>
    <t>BGP</t>
  </si>
  <si>
    <t>MIELE MIMBALE</t>
  </si>
  <si>
    <t>GIM</t>
  </si>
  <si>
    <t>KONGOBOUMBA</t>
  </si>
  <si>
    <t>GKO</t>
  </si>
  <si>
    <t>IGUELA</t>
  </si>
  <si>
    <t>IGE</t>
  </si>
  <si>
    <t>MANDJI</t>
  </si>
  <si>
    <t>KMD</t>
  </si>
  <si>
    <t>LECONI</t>
  </si>
  <si>
    <t>MOABI</t>
  </si>
  <si>
    <t>MGX</t>
  </si>
  <si>
    <t>MINVOUL</t>
  </si>
  <si>
    <t>MVX</t>
  </si>
  <si>
    <t>NKAN</t>
  </si>
  <si>
    <t>NKA</t>
  </si>
  <si>
    <t>OUANGA</t>
  </si>
  <si>
    <t>OUU</t>
  </si>
  <si>
    <t>WAGNY</t>
  </si>
  <si>
    <t>WGY</t>
  </si>
  <si>
    <t>WORA NA YE</t>
  </si>
  <si>
    <t>WNE</t>
  </si>
  <si>
    <t>SETTE CAMA</t>
  </si>
  <si>
    <t>ZKM</t>
  </si>
  <si>
    <t>UNITED KINGDOM</t>
  </si>
  <si>
    <t>英国</t>
  </si>
  <si>
    <t>GBABB</t>
  </si>
  <si>
    <t>GB</t>
  </si>
  <si>
    <t>ABBOTS LANGLEY</t>
  </si>
  <si>
    <t>GBABD</t>
  </si>
  <si>
    <t>ABD</t>
  </si>
  <si>
    <t>ABERDEEN</t>
  </si>
  <si>
    <t>GBABZ</t>
  </si>
  <si>
    <t>ABZ</t>
  </si>
  <si>
    <t>ABERDEEN-DYCE APT</t>
  </si>
  <si>
    <t>U K</t>
  </si>
  <si>
    <t>GBACI</t>
  </si>
  <si>
    <t>ACI</t>
  </si>
  <si>
    <t>ALDERNEY</t>
  </si>
  <si>
    <t>GBAGN</t>
  </si>
  <si>
    <t>AGN</t>
  </si>
  <si>
    <t>ABINGDON</t>
  </si>
  <si>
    <t>GBAMB</t>
  </si>
  <si>
    <t>AMBLE/BLYTH</t>
  </si>
  <si>
    <t>GBAPP</t>
  </si>
  <si>
    <t>APP</t>
  </si>
  <si>
    <t>APPLEDORE/BIDEFORD</t>
  </si>
  <si>
    <t>GBARB</t>
  </si>
  <si>
    <t>ARBROATH/DUNDEE</t>
  </si>
  <si>
    <t>GBARD</t>
  </si>
  <si>
    <t>ARDROSSAN</t>
  </si>
  <si>
    <t>GBAVO</t>
  </si>
  <si>
    <t>AVONMOUTH</t>
  </si>
  <si>
    <t>GBAYH</t>
  </si>
  <si>
    <t>AYH</t>
  </si>
  <si>
    <t>ALCONBURY</t>
  </si>
  <si>
    <t>GBAYR</t>
  </si>
  <si>
    <t>GBBAD</t>
  </si>
  <si>
    <t>BAD</t>
  </si>
  <si>
    <t>BARRY DOCK/CARDIFF</t>
  </si>
  <si>
    <t>GBBAT</t>
  </si>
  <si>
    <t>BATTLESBRIDGE/COLCHESTER</t>
  </si>
  <si>
    <t>GBBAW</t>
  </si>
  <si>
    <t>BALTIC WHARF/LONDON</t>
  </si>
  <si>
    <t>GBBBS</t>
  </si>
  <si>
    <t>BBS</t>
  </si>
  <si>
    <t>BLACKBUSH</t>
  </si>
  <si>
    <t>GBBEC</t>
  </si>
  <si>
    <t>BECKINGHAM/SCUNTHORPE</t>
  </si>
  <si>
    <t>GBBEL</t>
  </si>
  <si>
    <t>BELFAST</t>
  </si>
  <si>
    <t>GBBFS</t>
  </si>
  <si>
    <t>BFS</t>
  </si>
  <si>
    <t>BELFAST INTERNATIONAL APT</t>
  </si>
  <si>
    <t>GBBFY</t>
  </si>
  <si>
    <t>BFY</t>
  </si>
  <si>
    <t>BRITON FERRY</t>
  </si>
  <si>
    <t>GBBHX</t>
  </si>
  <si>
    <t>BHX</t>
  </si>
  <si>
    <t>BIRMINGHAM</t>
  </si>
  <si>
    <t>GBBID</t>
  </si>
  <si>
    <t>BID</t>
  </si>
  <si>
    <t>BIDEFORD</t>
  </si>
  <si>
    <t>GBBIF</t>
  </si>
  <si>
    <t>BIF</t>
  </si>
  <si>
    <t>BARROW IN FURNESS</t>
  </si>
  <si>
    <t>GBBLK</t>
  </si>
  <si>
    <t>BLK</t>
  </si>
  <si>
    <t>BLACKPOOL</t>
  </si>
  <si>
    <t>GBBLS</t>
  </si>
  <si>
    <t>BRIGHTLINGSEA/COLCHESTER</t>
  </si>
  <si>
    <t>GBBLY</t>
  </si>
  <si>
    <t>BLY</t>
  </si>
  <si>
    <t>BLYTH</t>
  </si>
  <si>
    <t>GBBMR</t>
  </si>
  <si>
    <t>BEAUMARIS</t>
  </si>
  <si>
    <t>GBBNG</t>
  </si>
  <si>
    <t>BNG</t>
  </si>
  <si>
    <t>BANGOR/CAERNARVON</t>
  </si>
  <si>
    <t>GBBNH</t>
  </si>
  <si>
    <t>BNH</t>
  </si>
  <si>
    <t>BARTON ON HUMBER/HULL</t>
  </si>
  <si>
    <t>GBBOC</t>
  </si>
  <si>
    <t>BURNHAM ON CROUCH/COLCHESTER</t>
  </si>
  <si>
    <t>GBBOH</t>
  </si>
  <si>
    <t>BOH</t>
  </si>
  <si>
    <t>BOURNEMOUTH</t>
  </si>
  <si>
    <t>GBBOL</t>
  </si>
  <si>
    <t>BALLY KELLY</t>
  </si>
  <si>
    <t>GBBOS</t>
  </si>
  <si>
    <t>BOSTON</t>
  </si>
  <si>
    <t>GBBOW</t>
  </si>
  <si>
    <t>BOW</t>
  </si>
  <si>
    <t>BOWLING/GLASGOW</t>
  </si>
  <si>
    <t>GBBRL</t>
  </si>
  <si>
    <t>BRL</t>
  </si>
  <si>
    <t>BARWELL</t>
  </si>
  <si>
    <t>GBBRP</t>
  </si>
  <si>
    <t>BRP</t>
  </si>
  <si>
    <t>BRIDPORT/WEYMOUTH</t>
  </si>
  <si>
    <t>GBBRR</t>
  </si>
  <si>
    <t>BRR</t>
  </si>
  <si>
    <t>GBBRS</t>
  </si>
  <si>
    <t>BRS</t>
  </si>
  <si>
    <t>BRISTOL</t>
  </si>
  <si>
    <t>GBBRT</t>
  </si>
  <si>
    <t>BRIDLINGTON/HULL</t>
  </si>
  <si>
    <t>GBBRW</t>
  </si>
  <si>
    <t>BRW</t>
  </si>
  <si>
    <t>BRIDGWATER/WATCHET</t>
  </si>
  <si>
    <t>GBBRX</t>
  </si>
  <si>
    <t>BRIXHAM/DARTMOUTH</t>
  </si>
  <si>
    <t>GBBSH</t>
  </si>
  <si>
    <t>BSH</t>
  </si>
  <si>
    <t>BRIGHTON</t>
  </si>
  <si>
    <t>GBBTL</t>
  </si>
  <si>
    <t>BTL</t>
  </si>
  <si>
    <t>BURNTISLAND/KIRKCALDY</t>
  </si>
  <si>
    <t>GBBUC</t>
  </si>
  <si>
    <t>BUCKIE/MACDUFF</t>
  </si>
  <si>
    <t>GBBUH</t>
  </si>
  <si>
    <t>BURGHEAD/INVERNESS</t>
  </si>
  <si>
    <t>GBBUS</t>
  </si>
  <si>
    <t>BURTON STATHER/SCUNTHORPE</t>
  </si>
  <si>
    <t>GBBWF</t>
  </si>
  <si>
    <t>BWF</t>
  </si>
  <si>
    <t>BARROW-IN-FURNESS APT</t>
  </si>
  <si>
    <t>GBBWK</t>
  </si>
  <si>
    <t>BWK</t>
  </si>
  <si>
    <t>BERWICK UPON TWEED</t>
  </si>
  <si>
    <t>GBBWR</t>
  </si>
  <si>
    <t>BWR</t>
  </si>
  <si>
    <t>BURROW</t>
  </si>
  <si>
    <t>GBBZZ</t>
  </si>
  <si>
    <t>BZZ</t>
  </si>
  <si>
    <t>BRIZE NORTON</t>
  </si>
  <si>
    <t>GBCAL</t>
  </si>
  <si>
    <t>CAMPBELTOWN APT/GREENOCK</t>
  </si>
  <si>
    <t>GBCAX</t>
  </si>
  <si>
    <t>CAX</t>
  </si>
  <si>
    <t>CARLISLE</t>
  </si>
  <si>
    <t>GBCBG</t>
  </si>
  <si>
    <t>CBG</t>
  </si>
  <si>
    <t>CAMBRIDGE</t>
  </si>
  <si>
    <t>GBCBT</t>
  </si>
  <si>
    <t>CBT</t>
  </si>
  <si>
    <t>CAMPBELTOWN PORT/GREENOCK</t>
  </si>
  <si>
    <t>GBCDF</t>
  </si>
  <si>
    <t>CDF</t>
  </si>
  <si>
    <t>CARDIFF</t>
  </si>
  <si>
    <t>GBCEG</t>
  </si>
  <si>
    <t>CEG</t>
  </si>
  <si>
    <t>CHESTER</t>
  </si>
  <si>
    <t>GBCHD</t>
  </si>
  <si>
    <t>CHD</t>
  </si>
  <si>
    <t>CHARLESTON/DOUGLAS</t>
  </si>
  <si>
    <t>GBCHE</t>
  </si>
  <si>
    <t>MOSTYN</t>
  </si>
  <si>
    <t>GBCHF</t>
  </si>
  <si>
    <t>CHF</t>
  </si>
  <si>
    <t>CHARLESTON/FOWEY</t>
  </si>
  <si>
    <t>GBCHT</t>
  </si>
  <si>
    <t>CHEPSTOW/NEWPORT</t>
  </si>
  <si>
    <t>GBCLR</t>
  </si>
  <si>
    <t>COLERAINE</t>
  </si>
  <si>
    <t>GBCNV</t>
  </si>
  <si>
    <t>CAERNARVON</t>
  </si>
  <si>
    <t>GBCOL</t>
  </si>
  <si>
    <t>COLCHESTER</t>
  </si>
  <si>
    <t>GBCOR</t>
  </si>
  <si>
    <t>CORPACH/INVERNESS</t>
  </si>
  <si>
    <t>GBCRN</t>
  </si>
  <si>
    <t>CRN</t>
  </si>
  <si>
    <t>CROMARTY</t>
  </si>
  <si>
    <t>GBCSA</t>
  </si>
  <si>
    <t>CSA</t>
  </si>
  <si>
    <t>COLONSAY IS</t>
  </si>
  <si>
    <t>GBCVT</t>
  </si>
  <si>
    <t>CVT</t>
  </si>
  <si>
    <t>COVENTRY</t>
  </si>
  <si>
    <t>GBCWL</t>
  </si>
  <si>
    <t>CARDIFF-WALES APT</t>
  </si>
  <si>
    <t>GBDAG</t>
  </si>
  <si>
    <t>DAGENHAM</t>
  </si>
  <si>
    <t>GBDGS</t>
  </si>
  <si>
    <t>DGS</t>
  </si>
  <si>
    <t>DOUGLAS</t>
  </si>
  <si>
    <t>GBDND</t>
  </si>
  <si>
    <t>DND</t>
  </si>
  <si>
    <t>RIVERSIDE PARK APT/DUNDEE</t>
  </si>
  <si>
    <t>GBDOC</t>
  </si>
  <si>
    <t>DOC</t>
  </si>
  <si>
    <t>DORNOCH</t>
  </si>
  <si>
    <t>GBDSE</t>
  </si>
  <si>
    <t>DEESIDE</t>
  </si>
  <si>
    <t>GBDTM</t>
  </si>
  <si>
    <t>DARTMOUTH</t>
  </si>
  <si>
    <t>GBDUM</t>
  </si>
  <si>
    <t>DUM</t>
  </si>
  <si>
    <t>DUMFRIES/GREENOCK</t>
  </si>
  <si>
    <t>GBDUN</t>
  </si>
  <si>
    <t>DUN</t>
  </si>
  <si>
    <t>DUNDEE</t>
  </si>
  <si>
    <t>GBDVR</t>
  </si>
  <si>
    <t>DOVER</t>
  </si>
  <si>
    <t>GBEDI</t>
  </si>
  <si>
    <t>EDI</t>
  </si>
  <si>
    <t>EDINBURGH</t>
  </si>
  <si>
    <t>GBELL</t>
  </si>
  <si>
    <t>ELLESMERE PORT</t>
  </si>
  <si>
    <t>GBEMA</t>
  </si>
  <si>
    <t>EMA</t>
  </si>
  <si>
    <t>EAST MIDLANDS APT</t>
  </si>
  <si>
    <t>GBENK</t>
  </si>
  <si>
    <t>ENK</t>
  </si>
  <si>
    <t>ENNISKILLEN</t>
  </si>
  <si>
    <t>GBEOI</t>
  </si>
  <si>
    <t>EOI</t>
  </si>
  <si>
    <t>EDAY</t>
  </si>
  <si>
    <t>GBESH</t>
  </si>
  <si>
    <t>ESH</t>
  </si>
  <si>
    <t>SHOREHAM APT</t>
  </si>
  <si>
    <t>GBEXE</t>
  </si>
  <si>
    <t>EXE</t>
  </si>
  <si>
    <t>EXETER</t>
  </si>
  <si>
    <t>GBEXM</t>
  </si>
  <si>
    <t>EXMOUTH/EXETER</t>
  </si>
  <si>
    <t>GBEXT</t>
  </si>
  <si>
    <t>EXT</t>
  </si>
  <si>
    <t>EXETER-CLYST APT</t>
  </si>
  <si>
    <t>GBFAL</t>
  </si>
  <si>
    <t>FALMOUTH</t>
  </si>
  <si>
    <t>GBFAS</t>
  </si>
  <si>
    <t>FAS</t>
  </si>
  <si>
    <t>FASLANE/GREENOCK</t>
  </si>
  <si>
    <t>GBFAV</t>
  </si>
  <si>
    <t>FAV</t>
  </si>
  <si>
    <t>FAVERSHAM/WHITSTABLE</t>
  </si>
  <si>
    <t>GBFAW</t>
  </si>
  <si>
    <t>FAW</t>
  </si>
  <si>
    <t>FAWLEY</t>
  </si>
  <si>
    <t>GBFEA</t>
  </si>
  <si>
    <t>FEA</t>
  </si>
  <si>
    <t>FETLAR</t>
  </si>
  <si>
    <t>GBFIE</t>
  </si>
  <si>
    <t>FIE</t>
  </si>
  <si>
    <t>FAIR ISLE</t>
  </si>
  <si>
    <t>GBFIS</t>
  </si>
  <si>
    <t>FISHGUARD</t>
  </si>
  <si>
    <t>GBFLE</t>
  </si>
  <si>
    <t>FLE</t>
  </si>
  <si>
    <t>FLEETWOOD</t>
  </si>
  <si>
    <t>GBFLH</t>
  </si>
  <si>
    <t>FLH</t>
  </si>
  <si>
    <t>FLOTTA</t>
  </si>
  <si>
    <t>GBFLW</t>
  </si>
  <si>
    <t>FLW</t>
  </si>
  <si>
    <t>FLIXBOROUGH</t>
  </si>
  <si>
    <t>GBFNT</t>
  </si>
  <si>
    <t>FNT</t>
  </si>
  <si>
    <t>FINNART/GREENOCK</t>
  </si>
  <si>
    <t>GBFOL</t>
  </si>
  <si>
    <t>FOL</t>
  </si>
  <si>
    <t>FOLKESTONE</t>
  </si>
  <si>
    <t>GBFOY</t>
  </si>
  <si>
    <t>FOY</t>
  </si>
  <si>
    <t>FOWEY</t>
  </si>
  <si>
    <t>GBFRB</t>
  </si>
  <si>
    <t>FRASERBURGH</t>
  </si>
  <si>
    <t>GBFRH</t>
  </si>
  <si>
    <t>FRH</t>
  </si>
  <si>
    <t>FINGRINGHOE/COLCHESTER</t>
  </si>
  <si>
    <t>GBFWM</t>
  </si>
  <si>
    <t>FWM</t>
  </si>
  <si>
    <t>FORT WILLIAM</t>
  </si>
  <si>
    <t>GBFXT</t>
  </si>
  <si>
    <t>FXT</t>
  </si>
  <si>
    <t>FELIXSTOWE</t>
  </si>
  <si>
    <t>GBFZO</t>
  </si>
  <si>
    <t>FZO</t>
  </si>
  <si>
    <t>FILTON</t>
  </si>
  <si>
    <t>GBGAI</t>
  </si>
  <si>
    <t>GAINSBOROUGH/SCUNTHORPE</t>
  </si>
  <si>
    <t>GBGCI</t>
  </si>
  <si>
    <t>GCI</t>
  </si>
  <si>
    <t>GUERNSEY APT</t>
  </si>
  <si>
    <t>GBGIR</t>
  </si>
  <si>
    <t>GIRVAN/AYR</t>
  </si>
  <si>
    <t>GBGIS</t>
  </si>
  <si>
    <t>GIS</t>
  </si>
  <si>
    <t>GARIESTON/GREENOCK</t>
  </si>
  <si>
    <t>GBGLA</t>
  </si>
  <si>
    <t>GLASGOW APT</t>
  </si>
  <si>
    <t>GBGLD</t>
  </si>
  <si>
    <t>GLASSON DOCK/HEYSHAM</t>
  </si>
  <si>
    <t>GBGLO</t>
  </si>
  <si>
    <t>GLO</t>
  </si>
  <si>
    <t>GLOUCESTER</t>
  </si>
  <si>
    <t>GBGLW</t>
  </si>
  <si>
    <t>GLW</t>
  </si>
  <si>
    <t>GLASGOW</t>
  </si>
  <si>
    <t>GBGOO</t>
  </si>
  <si>
    <t>GOOLE</t>
  </si>
  <si>
    <t>GBGRG</t>
  </si>
  <si>
    <t>GRANGEMOUTH</t>
  </si>
  <si>
    <t>GBGRK</t>
  </si>
  <si>
    <t>GRK</t>
  </si>
  <si>
    <t>GREENOCK</t>
  </si>
  <si>
    <t>GBGRN</t>
  </si>
  <si>
    <t>GRN</t>
  </si>
  <si>
    <t>GRANTON</t>
  </si>
  <si>
    <t>GBGRW</t>
  </si>
  <si>
    <t>GROVE WHARVES/SCUNTHORPE</t>
  </si>
  <si>
    <t>GBGSY</t>
  </si>
  <si>
    <t>GSY</t>
  </si>
  <si>
    <t>GRIMSBY</t>
  </si>
  <si>
    <t>GBGTN</t>
  </si>
  <si>
    <t>GTN</t>
  </si>
  <si>
    <t>GARSTON/LIVERPOOL</t>
  </si>
  <si>
    <t>GBGTY</t>
  </si>
  <si>
    <t>GTY</t>
  </si>
  <si>
    <t>GREAT YARMOUTH</t>
  </si>
  <si>
    <t>GBGUW</t>
  </si>
  <si>
    <t>GUW</t>
  </si>
  <si>
    <t>GUNNESS WHARF/SCUNTHORPE</t>
  </si>
  <si>
    <t>GBGVS</t>
  </si>
  <si>
    <t>GVS</t>
  </si>
  <si>
    <t>GRAVESEND</t>
  </si>
  <si>
    <t>GBGWE</t>
  </si>
  <si>
    <t>GWE</t>
  </si>
  <si>
    <t>GWENT/NEWPORT</t>
  </si>
  <si>
    <t>GBHAY</t>
  </si>
  <si>
    <t>HAY</t>
  </si>
  <si>
    <t>HAYLE/PENZANCE</t>
  </si>
  <si>
    <t>GBHDD</t>
  </si>
  <si>
    <t>HDD</t>
  </si>
  <si>
    <t>HOWDENDYKE/GOOLE</t>
  </si>
  <si>
    <t>GBHDN</t>
  </si>
  <si>
    <t>HDN</t>
  </si>
  <si>
    <t>HASLINGDEN</t>
  </si>
  <si>
    <t>GBHEN</t>
  </si>
  <si>
    <t>HENDON</t>
  </si>
  <si>
    <t>GBHHN</t>
  </si>
  <si>
    <t>HOLEHAVEN/LONDON</t>
  </si>
  <si>
    <t>GBHLY</t>
  </si>
  <si>
    <t>HLY</t>
  </si>
  <si>
    <t>HOLYHEAD</t>
  </si>
  <si>
    <t>GBHOY</t>
  </si>
  <si>
    <t>HOY</t>
  </si>
  <si>
    <t>HOY ISLAND</t>
  </si>
  <si>
    <t>GBHRW</t>
  </si>
  <si>
    <t>HRW</t>
  </si>
  <si>
    <t>HARWICH</t>
  </si>
  <si>
    <t>GBHTP</t>
  </si>
  <si>
    <t>HTP</t>
  </si>
  <si>
    <t>HARTLEPOOL</t>
  </si>
  <si>
    <t>GBHUL</t>
  </si>
  <si>
    <t>HUL</t>
  </si>
  <si>
    <t>HULL</t>
  </si>
  <si>
    <t>GBHUY</t>
  </si>
  <si>
    <t>HUY</t>
  </si>
  <si>
    <t>HUMBERSIDE APT</t>
  </si>
  <si>
    <t>GBHYM</t>
  </si>
  <si>
    <t>HYM</t>
  </si>
  <si>
    <t>HEYSHAM</t>
  </si>
  <si>
    <t>GBILY</t>
  </si>
  <si>
    <t>ILY</t>
  </si>
  <si>
    <t>ISLAY APT</t>
  </si>
  <si>
    <t>GBIMM</t>
  </si>
  <si>
    <t>IMMINGHAM</t>
  </si>
  <si>
    <t>GBINV</t>
  </si>
  <si>
    <t>INV</t>
  </si>
  <si>
    <t>INVERNESS</t>
  </si>
  <si>
    <t>GBIOM</t>
  </si>
  <si>
    <t>IOM</t>
  </si>
  <si>
    <t>ISLE OF MAN</t>
  </si>
  <si>
    <t>GBIPS</t>
  </si>
  <si>
    <t>IPSWICH</t>
  </si>
  <si>
    <t>GBIPW</t>
  </si>
  <si>
    <t>IPW</t>
  </si>
  <si>
    <t>IPSWICH APT</t>
  </si>
  <si>
    <t>GBIRV</t>
  </si>
  <si>
    <t>IRV</t>
  </si>
  <si>
    <t>IRVINE</t>
  </si>
  <si>
    <t>GBISC</t>
  </si>
  <si>
    <t>ISC</t>
  </si>
  <si>
    <t>ISLES OF SCILLY</t>
  </si>
  <si>
    <t>GBITC</t>
  </si>
  <si>
    <t>ITC</t>
  </si>
  <si>
    <t>ITCHENOR/LITTLEHAMPTON</t>
  </si>
  <si>
    <t>GBIVG</t>
  </si>
  <si>
    <t>IVG</t>
  </si>
  <si>
    <t>INVERGORDON/INVERNESS</t>
  </si>
  <si>
    <t>GBIYP</t>
  </si>
  <si>
    <t>IYP</t>
  </si>
  <si>
    <t>ISLAY PORT/GREENOCK</t>
  </si>
  <si>
    <t>GBJER</t>
  </si>
  <si>
    <t>JERSEY</t>
  </si>
  <si>
    <t>GBKEA</t>
  </si>
  <si>
    <t>KEA</t>
  </si>
  <si>
    <t>KEADBY/SCUNTHORPE</t>
  </si>
  <si>
    <t>GBKGH</t>
  </si>
  <si>
    <t>KGH</t>
  </si>
  <si>
    <t>KILLINGHOLME</t>
  </si>
  <si>
    <t>GBKKD</t>
  </si>
  <si>
    <t>KKD</t>
  </si>
  <si>
    <t>KIRKCALDY</t>
  </si>
  <si>
    <t>GBKLN</t>
  </si>
  <si>
    <t>KINGS LYNN</t>
  </si>
  <si>
    <t>GBKNF</t>
  </si>
  <si>
    <t>KNF</t>
  </si>
  <si>
    <t>GBKOI</t>
  </si>
  <si>
    <t>KIRKWALL APT</t>
  </si>
  <si>
    <t>GBKWL</t>
  </si>
  <si>
    <t>KIRKWALL</t>
  </si>
  <si>
    <t>GBLAN</t>
  </si>
  <si>
    <t>LANCASTER/HEYSHAM</t>
  </si>
  <si>
    <t>GBLAR</t>
  </si>
  <si>
    <t>LARNE/BELFAST</t>
  </si>
  <si>
    <t>GBLBA</t>
  </si>
  <si>
    <t>LBA</t>
  </si>
  <si>
    <t>LEEDS APT</t>
  </si>
  <si>
    <t>GBLDY</t>
  </si>
  <si>
    <t>LDY</t>
  </si>
  <si>
    <t>LONDONDERRY</t>
  </si>
  <si>
    <t>GBLEI</t>
  </si>
  <si>
    <t>LEITH/FORTH PORTS</t>
  </si>
  <si>
    <t>GBLEQ</t>
  </si>
  <si>
    <t>LEQ</t>
  </si>
  <si>
    <t>LANDS END</t>
  </si>
  <si>
    <t>GBLER</t>
  </si>
  <si>
    <t>LERWICK</t>
  </si>
  <si>
    <t>GBLGP</t>
  </si>
  <si>
    <t>LGP</t>
  </si>
  <si>
    <t>LONDON GATEWAY PORT</t>
  </si>
  <si>
    <t>GBLGW</t>
  </si>
  <si>
    <t>LGW</t>
  </si>
  <si>
    <t>GATWICK APT/LONDON</t>
  </si>
  <si>
    <t>GBLHP</t>
  </si>
  <si>
    <t>LHP</t>
  </si>
  <si>
    <t>LONGHOPE/KIRKWALL</t>
  </si>
  <si>
    <t>GBLHR</t>
  </si>
  <si>
    <t>LHR</t>
  </si>
  <si>
    <t>HEATHROW APT/LONDON</t>
  </si>
  <si>
    <t>GBLIT</t>
  </si>
  <si>
    <t>LITTLEHAMPTON</t>
  </si>
  <si>
    <t>GBLIV</t>
  </si>
  <si>
    <t>LIVERPOOL</t>
  </si>
  <si>
    <t>GBLKZ</t>
  </si>
  <si>
    <t>LKZ</t>
  </si>
  <si>
    <t>BRANDON</t>
  </si>
  <si>
    <t>GBLLD</t>
  </si>
  <si>
    <t>LLANDDULAS/BEAUMARIS</t>
  </si>
  <si>
    <t>GBLLN</t>
  </si>
  <si>
    <t>LLN</t>
  </si>
  <si>
    <t>LLANELLI/SWANSEA</t>
  </si>
  <si>
    <t>GBLMO</t>
  </si>
  <si>
    <t>LMO</t>
  </si>
  <si>
    <t>LOSSIEMOUTH</t>
  </si>
  <si>
    <t>GBLOL</t>
  </si>
  <si>
    <t>LOL</t>
  </si>
  <si>
    <t>LOCHALINE/INVERNESSS</t>
  </si>
  <si>
    <t>GBLON</t>
  </si>
  <si>
    <t>LON</t>
  </si>
  <si>
    <t>LONDON</t>
  </si>
  <si>
    <t>GBLOS</t>
  </si>
  <si>
    <t>LEIGH-ON-SEA/LONDON</t>
  </si>
  <si>
    <t>GBLOW</t>
  </si>
  <si>
    <t>LOW</t>
  </si>
  <si>
    <t>LOWESTOFT</t>
  </si>
  <si>
    <t>GBLPL</t>
  </si>
  <si>
    <t>LPL</t>
  </si>
  <si>
    <t>LIVERPOOL INTERNATIONAL APT</t>
  </si>
  <si>
    <t>GBLSI</t>
  </si>
  <si>
    <t>LSI</t>
  </si>
  <si>
    <t>SUMBURGH</t>
  </si>
  <si>
    <t>GBLSS</t>
  </si>
  <si>
    <t>LSS</t>
  </si>
  <si>
    <t>LOSSIEMOUTH/INVERNESS</t>
  </si>
  <si>
    <t>GBLTN</t>
  </si>
  <si>
    <t>LTN</t>
  </si>
  <si>
    <t>LUTON</t>
  </si>
  <si>
    <t>GBLYE</t>
  </si>
  <si>
    <t>LYE</t>
  </si>
  <si>
    <t>LYNEHAM</t>
  </si>
  <si>
    <t>GBLYM</t>
  </si>
  <si>
    <t>LYM</t>
  </si>
  <si>
    <t>LYMINGTON/SOUTHAMPTON</t>
  </si>
  <si>
    <t>GBLYX</t>
  </si>
  <si>
    <t>LYX</t>
  </si>
  <si>
    <t>LYDD</t>
  </si>
  <si>
    <t>GBMAL</t>
  </si>
  <si>
    <t>MALDON/COLCHESTER</t>
  </si>
  <si>
    <t>GBMAN</t>
  </si>
  <si>
    <t>RINGWAY APT/MANCHESTER</t>
  </si>
  <si>
    <t>GBMCD</t>
  </si>
  <si>
    <t>MCD</t>
  </si>
  <si>
    <t>MACDUFF</t>
  </si>
  <si>
    <t>GBMEB</t>
  </si>
  <si>
    <t>MENAI BRIDGE/BEAUMARIS</t>
  </si>
  <si>
    <t>GBMHZ</t>
  </si>
  <si>
    <t>MHZ</t>
  </si>
  <si>
    <t>MILDENHALL</t>
  </si>
  <si>
    <t>GBMID</t>
  </si>
  <si>
    <t>MIDDLESBROUGH</t>
  </si>
  <si>
    <t>GBMIS</t>
  </si>
  <si>
    <t>MISTLEY/HARWICH</t>
  </si>
  <si>
    <t>GBMLF</t>
  </si>
  <si>
    <t>MLF</t>
  </si>
  <si>
    <t>MILFORD HAVEN</t>
  </si>
  <si>
    <t>GBMLM</t>
  </si>
  <si>
    <t>MLM</t>
  </si>
  <si>
    <t>MILLOM/BARROW IN FURNESS</t>
  </si>
  <si>
    <t>GBMME</t>
  </si>
  <si>
    <t>MME</t>
  </si>
  <si>
    <t>TEESSIDE</t>
  </si>
  <si>
    <t>GBMNC</t>
  </si>
  <si>
    <t>MNC</t>
  </si>
  <si>
    <t>MANCHESTER</t>
  </si>
  <si>
    <t>GBMON</t>
  </si>
  <si>
    <t>MONTROSE</t>
  </si>
  <si>
    <t>GBMSE</t>
  </si>
  <si>
    <t>MSE</t>
  </si>
  <si>
    <t>MANSTON</t>
  </si>
  <si>
    <t>GBMTH</t>
  </si>
  <si>
    <t>MTH</t>
  </si>
  <si>
    <t>METHIL</t>
  </si>
  <si>
    <t>GBNCL</t>
  </si>
  <si>
    <t>NCL</t>
  </si>
  <si>
    <t>NEWCASTLE UPON TYNE</t>
  </si>
  <si>
    <t>GBNDY</t>
  </si>
  <si>
    <t>NDY</t>
  </si>
  <si>
    <t>SANDAY</t>
  </si>
  <si>
    <t>GBNEA</t>
  </si>
  <si>
    <t>NEA</t>
  </si>
  <si>
    <t>NEATH ABBEY/PORT TALBOT</t>
  </si>
  <si>
    <t>GBNEH</t>
  </si>
  <si>
    <t>NEAP HOUSE/SCUNTHORPE</t>
  </si>
  <si>
    <t>GBNHO</t>
  </si>
  <si>
    <t>NEW HOLLAND/HULL</t>
  </si>
  <si>
    <t>GBNHT</t>
  </si>
  <si>
    <t>NHT</t>
  </si>
  <si>
    <t>NORTHOLT</t>
  </si>
  <si>
    <t>GBNHV</t>
  </si>
  <si>
    <t>NHV</t>
  </si>
  <si>
    <t>NEWHAVEN</t>
  </si>
  <si>
    <t>GBNPT</t>
  </si>
  <si>
    <t>NPT</t>
  </si>
  <si>
    <t>NEWPORT</t>
  </si>
  <si>
    <t>GBNQY</t>
  </si>
  <si>
    <t>NQY</t>
  </si>
  <si>
    <t>NEWQUAY APT</t>
  </si>
  <si>
    <t>GBNRL</t>
  </si>
  <si>
    <t>NRL</t>
  </si>
  <si>
    <t>NORTH RONALDS</t>
  </si>
  <si>
    <t>GBNRW</t>
  </si>
  <si>
    <t>NRW</t>
  </si>
  <si>
    <t>NORWICH/GREAT YARMOUTH</t>
  </si>
  <si>
    <t>GBNRY</t>
  </si>
  <si>
    <t>NEWRY</t>
  </si>
  <si>
    <t>GBNSH</t>
  </si>
  <si>
    <t>NSH</t>
  </si>
  <si>
    <t>NORTH SHIELDS/TYNE</t>
  </si>
  <si>
    <t>GBNTH</t>
  </si>
  <si>
    <t>NTH</t>
  </si>
  <si>
    <t>NORTHWICH</t>
  </si>
  <si>
    <t>GBNWI</t>
  </si>
  <si>
    <t>NWI</t>
  </si>
  <si>
    <t>NORWICH APT</t>
  </si>
  <si>
    <t>GBNYL</t>
  </si>
  <si>
    <t>NYL</t>
  </si>
  <si>
    <t>NEWLYN</t>
  </si>
  <si>
    <t>GBOBA</t>
  </si>
  <si>
    <t>OBAN/GREENOCK</t>
  </si>
  <si>
    <t>GBOBN</t>
  </si>
  <si>
    <t>OBN</t>
  </si>
  <si>
    <t>OBAN-CONNEL APT</t>
  </si>
  <si>
    <t>GBPAD</t>
  </si>
  <si>
    <t>PADSTOW/PLYMOUTH</t>
  </si>
  <si>
    <t>GBPAL</t>
  </si>
  <si>
    <t>PALNACKIE/GREENOCK</t>
  </si>
  <si>
    <t>GBPAR</t>
  </si>
  <si>
    <t>GBPDI</t>
  </si>
  <si>
    <t>PDI</t>
  </si>
  <si>
    <t>PORT DINORWIC/CAERNARVON</t>
  </si>
  <si>
    <t>GBPEL</t>
  </si>
  <si>
    <t>PEEL/DOUGLAS</t>
  </si>
  <si>
    <t>GBPEN</t>
  </si>
  <si>
    <t>PENZANCE</t>
  </si>
  <si>
    <t>GBPER</t>
  </si>
  <si>
    <t>PERTH</t>
  </si>
  <si>
    <t>GBPHD</t>
  </si>
  <si>
    <t>PHD</t>
  </si>
  <si>
    <t>PETERHEAD</t>
  </si>
  <si>
    <t>GBPIK</t>
  </si>
  <si>
    <t>PIK</t>
  </si>
  <si>
    <t>PRESTWICK APT-GLASGOW</t>
  </si>
  <si>
    <t>GBPLH</t>
  </si>
  <si>
    <t>PLH</t>
  </si>
  <si>
    <t>PLYMOUTH APT</t>
  </si>
  <si>
    <t>GBPLY</t>
  </si>
  <si>
    <t>PLY</t>
  </si>
  <si>
    <t>PLYMOUTH</t>
  </si>
  <si>
    <t>GBPMD</t>
  </si>
  <si>
    <t>PMD</t>
  </si>
  <si>
    <t>PORTMADOC/CAERNARVON</t>
  </si>
  <si>
    <t>GBPME</t>
  </si>
  <si>
    <t>GBPMM</t>
  </si>
  <si>
    <t>PMM</t>
  </si>
  <si>
    <t>PENMAENMAWR/BEAUMARIS</t>
  </si>
  <si>
    <t>GBPOO</t>
  </si>
  <si>
    <t>POOLE</t>
  </si>
  <si>
    <t>GBPPE</t>
  </si>
  <si>
    <t>PPE</t>
  </si>
  <si>
    <t>PORT PENRHYN/BEAUMARIS</t>
  </si>
  <si>
    <t>GBPPW</t>
  </si>
  <si>
    <t>PPW</t>
  </si>
  <si>
    <t>PAPA WESTRAY</t>
  </si>
  <si>
    <t>GBPRE</t>
  </si>
  <si>
    <t>GBPRY</t>
  </si>
  <si>
    <t>PRY</t>
  </si>
  <si>
    <t>PENRYN/FALMOUTH</t>
  </si>
  <si>
    <t>GBPSL</t>
  </si>
  <si>
    <t>PERTH APT</t>
  </si>
  <si>
    <t>GBPST</t>
  </si>
  <si>
    <t>PARKESTON QUAY/HARWICH</t>
  </si>
  <si>
    <t>GBPTB</t>
  </si>
  <si>
    <t>PTB</t>
  </si>
  <si>
    <t>PORT TALBOT</t>
  </si>
  <si>
    <t>GBPTH</t>
  </si>
  <si>
    <t>PTH</t>
  </si>
  <si>
    <t>PORTISHEAD/BRISTOL</t>
  </si>
  <si>
    <t>GBPTL</t>
  </si>
  <si>
    <t>PORTLAND/WEYMOUTH</t>
  </si>
  <si>
    <t>GBPTR</t>
  </si>
  <si>
    <t>PTR</t>
  </si>
  <si>
    <t>PORTRUSH/COLERAINE</t>
  </si>
  <si>
    <t>GBPTT</t>
  </si>
  <si>
    <t>PTT</t>
  </si>
  <si>
    <t>PARTINGTON/MANCHESTER</t>
  </si>
  <si>
    <t>GBPZE</t>
  </si>
  <si>
    <t>PZE</t>
  </si>
  <si>
    <t>PENZANCE APT</t>
  </si>
  <si>
    <t>GBQUB</t>
  </si>
  <si>
    <t>QUB</t>
  </si>
  <si>
    <t>QUEENBOROUGH/ROCHESTER</t>
  </si>
  <si>
    <t>GBRAY</t>
  </si>
  <si>
    <t>RAY</t>
  </si>
  <si>
    <t>ROTHESAY</t>
  </si>
  <si>
    <t>GBRCS</t>
  </si>
  <si>
    <t>RCS</t>
  </si>
  <si>
    <t>ROCHESTER</t>
  </si>
  <si>
    <t>GBRFD</t>
  </si>
  <si>
    <t>RFD</t>
  </si>
  <si>
    <t>ROCHFORD/LONDON</t>
  </si>
  <si>
    <t>GBRHY</t>
  </si>
  <si>
    <t>RHY</t>
  </si>
  <si>
    <t>RHYL/MOSTYN</t>
  </si>
  <si>
    <t>GBRID</t>
  </si>
  <si>
    <t>RID</t>
  </si>
  <si>
    <t>RIDHAM DOCK/ROCHESTER</t>
  </si>
  <si>
    <t>GBRMG</t>
  </si>
  <si>
    <t>RMG</t>
  </si>
  <si>
    <t>RAMSGATE</t>
  </si>
  <si>
    <t>GBROW</t>
  </si>
  <si>
    <t>ROWHEDGE/COLCHESTER</t>
  </si>
  <si>
    <t>GBRSY</t>
  </si>
  <si>
    <t>RSY</t>
  </si>
  <si>
    <t>RAMSEY/DOUGLAS</t>
  </si>
  <si>
    <t>GBRUN</t>
  </si>
  <si>
    <t>RUN</t>
  </si>
  <si>
    <t>RUNCORN</t>
  </si>
  <si>
    <t>GBRYE</t>
  </si>
  <si>
    <t>RYE</t>
  </si>
  <si>
    <t>RYE/FOLKESTONE</t>
  </si>
  <si>
    <t>GBSCA</t>
  </si>
  <si>
    <t>SCARBOROUGH</t>
  </si>
  <si>
    <t>GBSCP</t>
  </si>
  <si>
    <t>SCUNTHORPE</t>
  </si>
  <si>
    <t>GBSCR</t>
  </si>
  <si>
    <t>SCRABSTER/WICK</t>
  </si>
  <si>
    <t>GBSCT</t>
  </si>
  <si>
    <t>STOCKTON</t>
  </si>
  <si>
    <t>GBSEA</t>
  </si>
  <si>
    <t>SEA</t>
  </si>
  <si>
    <t>SEAHAM/SUNDERLAND</t>
  </si>
  <si>
    <t>GBSEN</t>
  </si>
  <si>
    <t>SEN</t>
  </si>
  <si>
    <t>SOUTHEND APT</t>
  </si>
  <si>
    <t>GBSFW</t>
  </si>
  <si>
    <t>SFW</t>
  </si>
  <si>
    <t>SCAPA FLOW</t>
  </si>
  <si>
    <t>GBSHO</t>
  </si>
  <si>
    <t>SHO</t>
  </si>
  <si>
    <t>SHOREHAM</t>
  </si>
  <si>
    <t>GBSHS</t>
  </si>
  <si>
    <t>SHEERNESS/ROCHESTER</t>
  </si>
  <si>
    <t>GBSHT</t>
  </si>
  <si>
    <t>SHOTTON/MOSTYN</t>
  </si>
  <si>
    <t>GBSIL</t>
  </si>
  <si>
    <t>SIL</t>
  </si>
  <si>
    <t>SILLOTH</t>
  </si>
  <si>
    <t>GBSND</t>
  </si>
  <si>
    <t>SND</t>
  </si>
  <si>
    <t>SOUTHEND/LONDON</t>
  </si>
  <si>
    <t>GBSNS</t>
  </si>
  <si>
    <t>STROMNESS/KIRKWALL</t>
  </si>
  <si>
    <t>GBSOU</t>
  </si>
  <si>
    <t>SOUTHAMPTON</t>
  </si>
  <si>
    <t>GBSOW</t>
  </si>
  <si>
    <t>SOW</t>
  </si>
  <si>
    <t>STANLOW</t>
  </si>
  <si>
    <t>GBSOY</t>
  </si>
  <si>
    <t>STRONSAY</t>
  </si>
  <si>
    <t>GBSPT</t>
  </si>
  <si>
    <t>SPT</t>
  </si>
  <si>
    <t>ST PETER PORT</t>
  </si>
  <si>
    <t>GBSQZ</t>
  </si>
  <si>
    <t>SQZ</t>
  </si>
  <si>
    <t>SCAMPTON</t>
  </si>
  <si>
    <t>GBSSH</t>
  </si>
  <si>
    <t>SOUTH SHIELDS/TYNE</t>
  </si>
  <si>
    <t>GBSSS</t>
  </si>
  <si>
    <t>SSS</t>
  </si>
  <si>
    <t>SHARPNESS</t>
  </si>
  <si>
    <t>GBSTH</t>
  </si>
  <si>
    <t>ST HELIER - JERSEY</t>
  </si>
  <si>
    <t>GBSTN</t>
  </si>
  <si>
    <t>STANSTED APT/LONDON</t>
  </si>
  <si>
    <t>GBSTO</t>
  </si>
  <si>
    <t>STORNOWAY</t>
  </si>
  <si>
    <t>GBSTR</t>
  </si>
  <si>
    <t>STRANRAER/GREENOCK</t>
  </si>
  <si>
    <t>GBSUN</t>
  </si>
  <si>
    <t>SUN</t>
  </si>
  <si>
    <t>SUNDERLAND</t>
  </si>
  <si>
    <t>GBSWA</t>
  </si>
  <si>
    <t>SWANSEA</t>
  </si>
  <si>
    <t>GBSWD</t>
  </si>
  <si>
    <t>SWD</t>
  </si>
  <si>
    <t>SOUTHWOLD/LOWESTOFT</t>
  </si>
  <si>
    <t>GBSWS</t>
  </si>
  <si>
    <t>SWS</t>
  </si>
  <si>
    <t>SWANSEA APT</t>
  </si>
  <si>
    <t>GBSWY</t>
  </si>
  <si>
    <t>SWY</t>
  </si>
  <si>
    <t>SCALLOWAY/LERWICK</t>
  </si>
  <si>
    <t>GBSYY</t>
  </si>
  <si>
    <t>SYY</t>
  </si>
  <si>
    <t>STORNOWAY APT</t>
  </si>
  <si>
    <t>GBTAY</t>
  </si>
  <si>
    <t>TAY</t>
  </si>
  <si>
    <t>TAYPORT/DUNDEE</t>
  </si>
  <si>
    <t>GBTEE</t>
  </si>
  <si>
    <t>TEESPORT</t>
  </si>
  <si>
    <t>GBTEF</t>
  </si>
  <si>
    <t>TELFORD</t>
  </si>
  <si>
    <t>GBTHM</t>
  </si>
  <si>
    <t>THM</t>
  </si>
  <si>
    <t>TOPSHAM/EXETER</t>
  </si>
  <si>
    <t>GBTHP</t>
  </si>
  <si>
    <t>THP</t>
  </si>
  <si>
    <t>THAMESPORT</t>
  </si>
  <si>
    <t>GBTIL</t>
  </si>
  <si>
    <t>TILBURY/LONDON</t>
  </si>
  <si>
    <t>GBTNM</t>
  </si>
  <si>
    <t>TNM</t>
  </si>
  <si>
    <t>TEIGNMOUTH</t>
  </si>
  <si>
    <t>GBTRE</t>
  </si>
  <si>
    <t>TIREE</t>
  </si>
  <si>
    <t>GBTRU</t>
  </si>
  <si>
    <t>TRU</t>
  </si>
  <si>
    <t>TRURO/FALMOUTH</t>
  </si>
  <si>
    <t>GBTSO</t>
  </si>
  <si>
    <t>TSO</t>
  </si>
  <si>
    <t>ISLES SCILLY</t>
  </si>
  <si>
    <t>GBTYN</t>
  </si>
  <si>
    <t>TYNE</t>
  </si>
  <si>
    <t>GBUHF</t>
  </si>
  <si>
    <t>UHF</t>
  </si>
  <si>
    <t>UPPER HEYFORD</t>
  </si>
  <si>
    <t>GBULL</t>
  </si>
  <si>
    <t>ULL</t>
  </si>
  <si>
    <t>ULLAPOOL/INVERNESS</t>
  </si>
  <si>
    <t>GBUNT</t>
  </si>
  <si>
    <t>UNT</t>
  </si>
  <si>
    <t>UNST SHETLAND</t>
  </si>
  <si>
    <t>GBUPV</t>
  </si>
  <si>
    <t>UPV</t>
  </si>
  <si>
    <t>UPAVON</t>
  </si>
  <si>
    <t>GBWAT</t>
  </si>
  <si>
    <t>WATCHET</t>
  </si>
  <si>
    <t>GBWEM</t>
  </si>
  <si>
    <t>WEST MALLING</t>
  </si>
  <si>
    <t>GBWEY</t>
  </si>
  <si>
    <t>WEY</t>
  </si>
  <si>
    <t>WEYMOUTH</t>
  </si>
  <si>
    <t>GBWHV</t>
  </si>
  <si>
    <t>WHV</t>
  </si>
  <si>
    <t>WHITEHAVEN</t>
  </si>
  <si>
    <t>GBWIC</t>
  </si>
  <si>
    <t>WIC</t>
  </si>
  <si>
    <t>WICK</t>
  </si>
  <si>
    <t>GBWIG</t>
  </si>
  <si>
    <t>WIG</t>
  </si>
  <si>
    <t>WIGTOWN/GREENOCK</t>
  </si>
  <si>
    <t>GBWIS</t>
  </si>
  <si>
    <t>WISBECH</t>
  </si>
  <si>
    <t>GBWIV</t>
  </si>
  <si>
    <t>WIV</t>
  </si>
  <si>
    <t>WIVENHOE/COLCHESTER</t>
  </si>
  <si>
    <t>GBWLS</t>
  </si>
  <si>
    <t>WLS</t>
  </si>
  <si>
    <t>WELLS/KINGS LYNN</t>
  </si>
  <si>
    <t>GBWOB</t>
  </si>
  <si>
    <t>SUTTONHEATH</t>
  </si>
  <si>
    <t>GBWOR</t>
  </si>
  <si>
    <t>WORKINGTON</t>
  </si>
  <si>
    <t>GBWPT</t>
  </si>
  <si>
    <t>WPT</t>
  </si>
  <si>
    <t>WARRENPOINT/NEWRY</t>
  </si>
  <si>
    <t>GBWRN</t>
  </si>
  <si>
    <t>WRN</t>
  </si>
  <si>
    <t>WARRINGTON/RUNCORN</t>
  </si>
  <si>
    <t>GBWRY</t>
  </si>
  <si>
    <t>WRY</t>
  </si>
  <si>
    <t>WESTRAY</t>
  </si>
  <si>
    <t>GBWTB</t>
  </si>
  <si>
    <t>WTB</t>
  </si>
  <si>
    <t>WHITBY</t>
  </si>
  <si>
    <t>GBWTN</t>
  </si>
  <si>
    <t>WADDINGTON</t>
  </si>
  <si>
    <t>GBWTS</t>
  </si>
  <si>
    <t>WTS</t>
  </si>
  <si>
    <t>WHITSTABLE</t>
  </si>
  <si>
    <t>GBZZZ</t>
  </si>
  <si>
    <t>BELFAST CITY</t>
  </si>
  <si>
    <t>BHD</t>
  </si>
  <si>
    <t>BURTONWOOD</t>
  </si>
  <si>
    <t>WOODBRIDGE</t>
  </si>
  <si>
    <t>BWY</t>
  </si>
  <si>
    <t>NEWBURY</t>
  </si>
  <si>
    <t>EWY</t>
  </si>
  <si>
    <t>FAKENHAM</t>
  </si>
  <si>
    <t>FKH</t>
  </si>
  <si>
    <t>GUAJARA MIRIM</t>
  </si>
  <si>
    <t>MACHRIHANISH</t>
  </si>
  <si>
    <t>GQJ</t>
  </si>
  <si>
    <t>GXH</t>
  </si>
  <si>
    <t>HAVERFORDWEST</t>
  </si>
  <si>
    <t>HAW</t>
  </si>
  <si>
    <t>HIGH WYCOMBE</t>
  </si>
  <si>
    <t>HYC</t>
  </si>
  <si>
    <t>MILTON KEYNES</t>
  </si>
  <si>
    <t>KYN</t>
  </si>
  <si>
    <t>LONDON CITY APT</t>
  </si>
  <si>
    <t>LCY</t>
  </si>
  <si>
    <t>LWK</t>
  </si>
  <si>
    <t>OBAN</t>
  </si>
  <si>
    <t>OHP</t>
  </si>
  <si>
    <t>NORTHAMPTON</t>
  </si>
  <si>
    <t>ORM</t>
  </si>
  <si>
    <t>BRAINTREE</t>
  </si>
  <si>
    <t>WXF</t>
  </si>
  <si>
    <t>GRENADA</t>
  </si>
  <si>
    <t>グレナダ</t>
  </si>
  <si>
    <t>GDGND</t>
  </si>
  <si>
    <t>GD</t>
  </si>
  <si>
    <t>GND</t>
  </si>
  <si>
    <t>GREND</t>
  </si>
  <si>
    <t>GDGRE</t>
  </si>
  <si>
    <t>GRENVILLE</t>
  </si>
  <si>
    <t>GDHIL</t>
  </si>
  <si>
    <t>HILLSBOROUGH - CARRIACOU IS</t>
  </si>
  <si>
    <t>GDSTG</t>
  </si>
  <si>
    <t>SAINT GEORGE'S</t>
  </si>
  <si>
    <t>GDZZZ</t>
  </si>
  <si>
    <t>CARRIACOU IS</t>
  </si>
  <si>
    <t>CRU</t>
  </si>
  <si>
    <t>GEORGIA</t>
  </si>
  <si>
    <t>ジョージア</t>
  </si>
  <si>
    <t>GEBUS</t>
  </si>
  <si>
    <t>GE</t>
  </si>
  <si>
    <t>BATUMI</t>
  </si>
  <si>
    <t>GEORG</t>
  </si>
  <si>
    <t>GEPTI</t>
  </si>
  <si>
    <t>POTI</t>
  </si>
  <si>
    <t>GESUI</t>
  </si>
  <si>
    <t>SUKHUMI</t>
  </si>
  <si>
    <t>GETBS</t>
  </si>
  <si>
    <t>TBS</t>
  </si>
  <si>
    <t>TBILISI</t>
  </si>
  <si>
    <t>GEZZZ</t>
  </si>
  <si>
    <t>FRENCH GUIANA</t>
  </si>
  <si>
    <t>仏領ギアナ</t>
  </si>
  <si>
    <t>GFCAY</t>
  </si>
  <si>
    <t>GF</t>
  </si>
  <si>
    <t>CAY</t>
  </si>
  <si>
    <t>CAYENNE</t>
  </si>
  <si>
    <t>F GUI</t>
  </si>
  <si>
    <t>GFZZZ</t>
  </si>
  <si>
    <t>GHANA</t>
  </si>
  <si>
    <t>ガーナ</t>
  </si>
  <si>
    <t>GHACC</t>
  </si>
  <si>
    <t>GH</t>
  </si>
  <si>
    <t>ACC</t>
  </si>
  <si>
    <t>ACCRA</t>
  </si>
  <si>
    <t>GHADA</t>
  </si>
  <si>
    <t>GHAUR</t>
  </si>
  <si>
    <t>AURA</t>
  </si>
  <si>
    <t>GHAXI</t>
  </si>
  <si>
    <t>AXI</t>
  </si>
  <si>
    <t>AXIM</t>
  </si>
  <si>
    <t>GHCCT</t>
  </si>
  <si>
    <t>CCT</t>
  </si>
  <si>
    <t>CAPE COAST</t>
  </si>
  <si>
    <t>GHKIT</t>
  </si>
  <si>
    <t>KETA</t>
  </si>
  <si>
    <t>GHKMS</t>
  </si>
  <si>
    <t>KMS</t>
  </si>
  <si>
    <t>KUMASI</t>
  </si>
  <si>
    <t>GHNYI</t>
  </si>
  <si>
    <t>NYI</t>
  </si>
  <si>
    <t>SUNYANI</t>
  </si>
  <si>
    <t>GHSEK</t>
  </si>
  <si>
    <t>SEK</t>
  </si>
  <si>
    <t>SEKONDI</t>
  </si>
  <si>
    <t>GHSHA</t>
  </si>
  <si>
    <t>SHAMA</t>
  </si>
  <si>
    <t>GHTEM</t>
  </si>
  <si>
    <t>TEMA</t>
  </si>
  <si>
    <t>GHTKD</t>
  </si>
  <si>
    <t>TKD</t>
  </si>
  <si>
    <t>TAKORADI</t>
  </si>
  <si>
    <t>GHTML</t>
  </si>
  <si>
    <t>TML</t>
  </si>
  <si>
    <t>TAMALE</t>
  </si>
  <si>
    <t>GHWEA</t>
  </si>
  <si>
    <t>WEA</t>
  </si>
  <si>
    <t>WINNEBA</t>
  </si>
  <si>
    <t>GHZZZ</t>
  </si>
  <si>
    <t>GIBRALTAR</t>
  </si>
  <si>
    <t>ジブラルタル（英）</t>
  </si>
  <si>
    <t>GIGIB</t>
  </si>
  <si>
    <t>GI</t>
  </si>
  <si>
    <t>GIB</t>
  </si>
  <si>
    <t>GIZZZ</t>
  </si>
  <si>
    <t>GREENLAND</t>
  </si>
  <si>
    <t>グリーンランド（デンマーク）</t>
  </si>
  <si>
    <t>GLAGM</t>
  </si>
  <si>
    <t>GL</t>
  </si>
  <si>
    <t>AGM</t>
  </si>
  <si>
    <t>ANGMAGSSALIK</t>
  </si>
  <si>
    <t>GREEN</t>
  </si>
  <si>
    <t>GLDAN</t>
  </si>
  <si>
    <t>DANEBORG</t>
  </si>
  <si>
    <t>GLDUN</t>
  </si>
  <si>
    <t>DUNDAS</t>
  </si>
  <si>
    <t>GLFHN</t>
  </si>
  <si>
    <t>FHN</t>
  </si>
  <si>
    <t>FAERINGEHAVN(KADLUGERDLUARSSORUSEG)</t>
  </si>
  <si>
    <t>GLGOH</t>
  </si>
  <si>
    <t>GOH</t>
  </si>
  <si>
    <t>GODTHAAB (NUUK)</t>
  </si>
  <si>
    <t>GLIUT</t>
  </si>
  <si>
    <t>IUT</t>
  </si>
  <si>
    <t>IVIGTUT</t>
  </si>
  <si>
    <t>GLJAV</t>
  </si>
  <si>
    <t>JAV</t>
  </si>
  <si>
    <t>JAKOBSHAVN (ILULISSAT)</t>
  </si>
  <si>
    <t>GLJCH</t>
  </si>
  <si>
    <t>JCH</t>
  </si>
  <si>
    <t>CHRISTIANSHAAB (QASIGIANNGUIT)</t>
  </si>
  <si>
    <t>GLJFR</t>
  </si>
  <si>
    <t>JFR</t>
  </si>
  <si>
    <t>FREDRIKSHAAB (PAAMIUT)</t>
  </si>
  <si>
    <t>GLJGO</t>
  </si>
  <si>
    <t>JGO</t>
  </si>
  <si>
    <t>GODHAVN (QEQERTARSUAQ)</t>
  </si>
  <si>
    <t>GLJGR</t>
  </si>
  <si>
    <t>JGR</t>
  </si>
  <si>
    <t>GRONNEDAL (KANGILINGUIT)</t>
  </si>
  <si>
    <t>GLJHS</t>
  </si>
  <si>
    <t>JHS</t>
  </si>
  <si>
    <t>HOLSTEINSBORG (SISIMIUT)</t>
  </si>
  <si>
    <t>GLJJU</t>
  </si>
  <si>
    <t>JJU</t>
  </si>
  <si>
    <t>JULIANEHAAB (QAQORTOQ)</t>
  </si>
  <si>
    <t>GLJNN</t>
  </si>
  <si>
    <t>JNN</t>
  </si>
  <si>
    <t>NANORTALIK</t>
  </si>
  <si>
    <t>GLJNS</t>
  </si>
  <si>
    <t>JNS</t>
  </si>
  <si>
    <t>NARSSAQ</t>
  </si>
  <si>
    <t>GLJSU</t>
  </si>
  <si>
    <t>JSU</t>
  </si>
  <si>
    <t>SUKKERTOPPEN (MANITSOQ)</t>
  </si>
  <si>
    <t>GLJUV</t>
  </si>
  <si>
    <t>JUV</t>
  </si>
  <si>
    <t>UPERNAVIK</t>
  </si>
  <si>
    <t>GLKUN</t>
  </si>
  <si>
    <t>KUN</t>
  </si>
  <si>
    <t>KUNGMIUT</t>
  </si>
  <si>
    <t>GLKUS</t>
  </si>
  <si>
    <t>KULUSUK IS</t>
  </si>
  <si>
    <t>GLMRG</t>
  </si>
  <si>
    <t>MRG</t>
  </si>
  <si>
    <t>MESTERS VIG</t>
  </si>
  <si>
    <t>GLNAQ</t>
  </si>
  <si>
    <t>NAQ</t>
  </si>
  <si>
    <t>QAANAAQ</t>
  </si>
  <si>
    <t>GLOBY</t>
  </si>
  <si>
    <t>OBY</t>
  </si>
  <si>
    <t>SCORESBYSUND (ILLORQORTOORMIUT)</t>
  </si>
  <si>
    <t>GLSFJ</t>
  </si>
  <si>
    <t>SFJ</t>
  </si>
  <si>
    <t>SONDRE STRORDMFJORD(KANGERLUSSUAK)</t>
  </si>
  <si>
    <t>GLTOV</t>
  </si>
  <si>
    <t>TOV</t>
  </si>
  <si>
    <t>TOVKUSOAK</t>
  </si>
  <si>
    <t>GLUAK</t>
  </si>
  <si>
    <t>UAK</t>
  </si>
  <si>
    <t>NARSSARSSUAQ</t>
  </si>
  <si>
    <t>GLUMD</t>
  </si>
  <si>
    <t>UMD</t>
  </si>
  <si>
    <t>UMANAK</t>
  </si>
  <si>
    <t>GLZZZ</t>
  </si>
  <si>
    <t>HAMILTON ISL</t>
  </si>
  <si>
    <t>HTI</t>
  </si>
  <si>
    <t>GAMBIA</t>
  </si>
  <si>
    <t>ガンビア</t>
  </si>
  <si>
    <t>GMBJL</t>
  </si>
  <si>
    <t>GM</t>
  </si>
  <si>
    <t>BJL</t>
  </si>
  <si>
    <t>BANJUL</t>
  </si>
  <si>
    <t>GMZZZ</t>
  </si>
  <si>
    <t>GUINEA</t>
  </si>
  <si>
    <t>ギニア</t>
  </si>
  <si>
    <t>GNBKJ</t>
  </si>
  <si>
    <t>GN</t>
  </si>
  <si>
    <t>BKJ</t>
  </si>
  <si>
    <t>BOKE</t>
  </si>
  <si>
    <t>GUIN</t>
  </si>
  <si>
    <t>GNBTY</t>
  </si>
  <si>
    <t>BTY</t>
  </si>
  <si>
    <t>BENTY</t>
  </si>
  <si>
    <t>GNCKY</t>
  </si>
  <si>
    <t>CKY</t>
  </si>
  <si>
    <t>CONAKRY</t>
  </si>
  <si>
    <t>GNFAA</t>
  </si>
  <si>
    <t>FARANAH</t>
  </si>
  <si>
    <t>GNFIG</t>
  </si>
  <si>
    <t>FIG</t>
  </si>
  <si>
    <t>FRIA</t>
  </si>
  <si>
    <t>GNGII</t>
  </si>
  <si>
    <t>GII</t>
  </si>
  <si>
    <t>SIGUIRI</t>
  </si>
  <si>
    <t>GNKMR</t>
  </si>
  <si>
    <t>KMR</t>
  </si>
  <si>
    <t>PORT KAMSAR</t>
  </si>
  <si>
    <t>GNKNN</t>
  </si>
  <si>
    <t>KNN</t>
  </si>
  <si>
    <t>KANKAN</t>
  </si>
  <si>
    <t>GNKSI</t>
  </si>
  <si>
    <t>KSI</t>
  </si>
  <si>
    <t>KISSIDOUGOU</t>
  </si>
  <si>
    <t>GNLEK</t>
  </si>
  <si>
    <t>LEK</t>
  </si>
  <si>
    <t>LABE</t>
  </si>
  <si>
    <t>GNMCA</t>
  </si>
  <si>
    <t>MCA</t>
  </si>
  <si>
    <t>MACENTA</t>
  </si>
  <si>
    <t>GNNZE</t>
  </si>
  <si>
    <t>NZE</t>
  </si>
  <si>
    <t>NZEREKORE</t>
  </si>
  <si>
    <t>GNSBI</t>
  </si>
  <si>
    <t>SBI</t>
  </si>
  <si>
    <t>KOUNDARA</t>
  </si>
  <si>
    <t>GNZZZ</t>
  </si>
  <si>
    <t>GUADELOUPE</t>
  </si>
  <si>
    <t>仏領西インド諸島</t>
  </si>
  <si>
    <t>GPBBR</t>
  </si>
  <si>
    <t>GP</t>
  </si>
  <si>
    <t>BASSE TERRE</t>
  </si>
  <si>
    <t>GUAD</t>
  </si>
  <si>
    <t>GPDSD</t>
  </si>
  <si>
    <t>DSD</t>
  </si>
  <si>
    <t>LA DESIRADE</t>
  </si>
  <si>
    <t>GPGBJ</t>
  </si>
  <si>
    <t>GBJ</t>
  </si>
  <si>
    <t>MARIE GALANTE</t>
  </si>
  <si>
    <t>GPGLP</t>
  </si>
  <si>
    <t>GLP</t>
  </si>
  <si>
    <t>GPPTP</t>
  </si>
  <si>
    <t>PTP</t>
  </si>
  <si>
    <t>POINTE A PITRE</t>
  </si>
  <si>
    <t>GPSFG</t>
  </si>
  <si>
    <t>SFG</t>
  </si>
  <si>
    <t>NORTHERN ST MARTIN</t>
  </si>
  <si>
    <t>GPZZZ</t>
  </si>
  <si>
    <t>ST FRANCOIS</t>
  </si>
  <si>
    <t>SFC</t>
  </si>
  <si>
    <t>EQUATORIAL GUINEA</t>
  </si>
  <si>
    <t>赤道ギニア</t>
  </si>
  <si>
    <t>GQABU</t>
  </si>
  <si>
    <t>GQ</t>
  </si>
  <si>
    <t>ANNOBON ISLAND</t>
  </si>
  <si>
    <t>GQBSG</t>
  </si>
  <si>
    <t>BSG</t>
  </si>
  <si>
    <t>BATA</t>
  </si>
  <si>
    <t>E GUI</t>
  </si>
  <si>
    <t>GQLUB</t>
  </si>
  <si>
    <t>LUB</t>
  </si>
  <si>
    <t>LUBA</t>
  </si>
  <si>
    <t>GQRMN</t>
  </si>
  <si>
    <t>RMN</t>
  </si>
  <si>
    <t>RIO MUNI</t>
  </si>
  <si>
    <t>GQSIS</t>
  </si>
  <si>
    <t>SIS</t>
  </si>
  <si>
    <t>GQSSG</t>
  </si>
  <si>
    <t>MALABO</t>
  </si>
  <si>
    <t>GQZZZ</t>
  </si>
  <si>
    <t>GREECE</t>
  </si>
  <si>
    <t>ギリシャ</t>
  </si>
  <si>
    <t>GRAGQ</t>
  </si>
  <si>
    <t>GR</t>
  </si>
  <si>
    <t>AGQ</t>
  </si>
  <si>
    <t>AGRINION</t>
  </si>
  <si>
    <t>GRAND</t>
  </si>
  <si>
    <t>ANDROS</t>
  </si>
  <si>
    <t>GRANI</t>
  </si>
  <si>
    <t>ANI</t>
  </si>
  <si>
    <t>AGHIOS NICOLAOS</t>
  </si>
  <si>
    <t>GRAOK</t>
  </si>
  <si>
    <t>AOK</t>
  </si>
  <si>
    <t>KARPATHOS</t>
  </si>
  <si>
    <t>GRARE</t>
  </si>
  <si>
    <t>AREOPOLIS</t>
  </si>
  <si>
    <t>GRAST</t>
  </si>
  <si>
    <t>ASTAKOS</t>
  </si>
  <si>
    <t>GRATH</t>
  </si>
  <si>
    <t>ATH</t>
  </si>
  <si>
    <t>ATHENS (ATHINAI)</t>
  </si>
  <si>
    <t>GRATR</t>
  </si>
  <si>
    <t>ATR</t>
  </si>
  <si>
    <t>AGIA TRIAS</t>
  </si>
  <si>
    <t>GRAXD</t>
  </si>
  <si>
    <t>AXD</t>
  </si>
  <si>
    <t>ALEXANDROUPOLIS</t>
  </si>
  <si>
    <t>GRCFU</t>
  </si>
  <si>
    <t>CFU</t>
  </si>
  <si>
    <t>CORFU</t>
  </si>
  <si>
    <t>GRCHQ</t>
  </si>
  <si>
    <t>CHQ</t>
  </si>
  <si>
    <t>CHANIA (CANEA)</t>
  </si>
  <si>
    <t>GRCLK</t>
  </si>
  <si>
    <t>CLK</t>
  </si>
  <si>
    <t>CHALKIS</t>
  </si>
  <si>
    <t>GRCRG</t>
  </si>
  <si>
    <t>CRG</t>
  </si>
  <si>
    <t>CORINTH</t>
  </si>
  <si>
    <t>GRDOS</t>
  </si>
  <si>
    <t>DOS</t>
  </si>
  <si>
    <t>DELOS</t>
  </si>
  <si>
    <t>GRDPA</t>
  </si>
  <si>
    <t>DPA</t>
  </si>
  <si>
    <t>DRAPETZONA</t>
  </si>
  <si>
    <t>GRDRM</t>
  </si>
  <si>
    <t>DRM</t>
  </si>
  <si>
    <t>DRAMA</t>
  </si>
  <si>
    <t>GREEU</t>
  </si>
  <si>
    <t>EEU</t>
  </si>
  <si>
    <t>ELEUSIS</t>
  </si>
  <si>
    <t>GRGPA</t>
  </si>
  <si>
    <t>GPA</t>
  </si>
  <si>
    <t>PATRAS</t>
  </si>
  <si>
    <t>GRHER</t>
  </si>
  <si>
    <t>HERAKLION (IRAKLION)</t>
  </si>
  <si>
    <t>GRHYD</t>
  </si>
  <si>
    <t>HYD</t>
  </si>
  <si>
    <t>HYDRA (IDHRA)</t>
  </si>
  <si>
    <t>GRIGO</t>
  </si>
  <si>
    <t>IGOUMENITSA</t>
  </si>
  <si>
    <t>GRIOA</t>
  </si>
  <si>
    <t>IOANNINA</t>
  </si>
  <si>
    <t>GRITA</t>
  </si>
  <si>
    <t>ITEA</t>
  </si>
  <si>
    <t>GRITH</t>
  </si>
  <si>
    <t>ITH</t>
  </si>
  <si>
    <t>ITHAKI (ITHACA)</t>
  </si>
  <si>
    <t>GRJKH</t>
  </si>
  <si>
    <t>JKH</t>
  </si>
  <si>
    <t>CHIOS</t>
  </si>
  <si>
    <t>GRJMK</t>
  </si>
  <si>
    <t>JMK</t>
  </si>
  <si>
    <t>MIKONOS</t>
  </si>
  <si>
    <t>GRJNX</t>
  </si>
  <si>
    <t>JNX</t>
  </si>
  <si>
    <t>NAXOS</t>
  </si>
  <si>
    <t>GRJSH</t>
  </si>
  <si>
    <t>JSH</t>
  </si>
  <si>
    <t>SITIA</t>
  </si>
  <si>
    <t>GRJSI</t>
  </si>
  <si>
    <t>JSI</t>
  </si>
  <si>
    <t>SKIATHOS</t>
  </si>
  <si>
    <t>GRJTR</t>
  </si>
  <si>
    <t>JTR</t>
  </si>
  <si>
    <t>THIRA</t>
  </si>
  <si>
    <t>GRKAB</t>
  </si>
  <si>
    <t>KAB</t>
  </si>
  <si>
    <t>KABALIA</t>
  </si>
  <si>
    <t>GRKAR</t>
  </si>
  <si>
    <t>KARLOVASSI</t>
  </si>
  <si>
    <t>GRKAT</t>
  </si>
  <si>
    <t>KAT</t>
  </si>
  <si>
    <t>KATOHI (KATOKHI)</t>
  </si>
  <si>
    <t>GRKEA</t>
  </si>
  <si>
    <t>KEA ISLAND</t>
  </si>
  <si>
    <t>GRKGS</t>
  </si>
  <si>
    <t>KGS</t>
  </si>
  <si>
    <t>GRKIT</t>
  </si>
  <si>
    <t>KITHIRA</t>
  </si>
  <si>
    <t>GRKLL</t>
  </si>
  <si>
    <t>KLL</t>
  </si>
  <si>
    <t>KALILIMENES</t>
  </si>
  <si>
    <t>GRKLX</t>
  </si>
  <si>
    <t>KLX</t>
  </si>
  <si>
    <t>KALAMATA</t>
  </si>
  <si>
    <t>GRKMI</t>
  </si>
  <si>
    <t>KMI</t>
  </si>
  <si>
    <t>KALIMNOS ISLAND</t>
  </si>
  <si>
    <t>GRKSO</t>
  </si>
  <si>
    <t>KSO</t>
  </si>
  <si>
    <t>KASTORIA</t>
  </si>
  <si>
    <t>GRKVA</t>
  </si>
  <si>
    <t>KVA</t>
  </si>
  <si>
    <t>KAVALA</t>
  </si>
  <si>
    <t>GRKZI</t>
  </si>
  <si>
    <t>KZI</t>
  </si>
  <si>
    <t>KOZANI</t>
  </si>
  <si>
    <t>GRLAV</t>
  </si>
  <si>
    <t>LAVRION (LAURIUM)</t>
  </si>
  <si>
    <t>GRLEV</t>
  </si>
  <si>
    <t>LEVKAS</t>
  </si>
  <si>
    <t>GRLIX</t>
  </si>
  <si>
    <t>LIX</t>
  </si>
  <si>
    <t>LIXURI</t>
  </si>
  <si>
    <t>GRLRA</t>
  </si>
  <si>
    <t>LRA</t>
  </si>
  <si>
    <t>LARISA</t>
  </si>
  <si>
    <t>GRLRS</t>
  </si>
  <si>
    <t>LRS</t>
  </si>
  <si>
    <t>LEROS</t>
  </si>
  <si>
    <t>GRLXS</t>
  </si>
  <si>
    <t>LXS</t>
  </si>
  <si>
    <t>LEMNOS</t>
  </si>
  <si>
    <t>GRMAL</t>
  </si>
  <si>
    <t>MALAOI</t>
  </si>
  <si>
    <t>GRMEG</t>
  </si>
  <si>
    <t>MEGALIVADI</t>
  </si>
  <si>
    <t>GRMET</t>
  </si>
  <si>
    <t>METHONI</t>
  </si>
  <si>
    <t>GRMIS</t>
  </si>
  <si>
    <t>MISSIMI</t>
  </si>
  <si>
    <t>GRMJT</t>
  </si>
  <si>
    <t>MJT</t>
  </si>
  <si>
    <t>MYTILENE</t>
  </si>
  <si>
    <t>GRMLO</t>
  </si>
  <si>
    <t>MLO</t>
  </si>
  <si>
    <t>MILOS</t>
  </si>
  <si>
    <t>GRNEA</t>
  </si>
  <si>
    <t>NEAPOLIS</t>
  </si>
  <si>
    <t>GRNPK</t>
  </si>
  <si>
    <t>NPK</t>
  </si>
  <si>
    <t>NAVPAKTOS</t>
  </si>
  <si>
    <t>GRPAN</t>
  </si>
  <si>
    <t>PAN</t>
  </si>
  <si>
    <t>PANOI</t>
  </si>
  <si>
    <t>GRPAR</t>
  </si>
  <si>
    <t>PARGA</t>
  </si>
  <si>
    <t>GRPAS</t>
  </si>
  <si>
    <t>PAROS</t>
  </si>
  <si>
    <t>GRPIL</t>
  </si>
  <si>
    <t>PILOS</t>
  </si>
  <si>
    <t>GRPIR</t>
  </si>
  <si>
    <t>PIRAEUS</t>
  </si>
  <si>
    <t>GRPKH</t>
  </si>
  <si>
    <t>PKH</t>
  </si>
  <si>
    <t>PORTO KHELI</t>
  </si>
  <si>
    <t>GRPTL</t>
  </si>
  <si>
    <t>PORTO LAGOS</t>
  </si>
  <si>
    <t>GRPVK</t>
  </si>
  <si>
    <t>PVK</t>
  </si>
  <si>
    <t>PREVEZA</t>
  </si>
  <si>
    <t>GRPYL</t>
  </si>
  <si>
    <t>PYL</t>
  </si>
  <si>
    <t>PYLOS</t>
  </si>
  <si>
    <t>GRPYR</t>
  </si>
  <si>
    <t>PYR</t>
  </si>
  <si>
    <t>PYRGOS</t>
  </si>
  <si>
    <t>GRRET</t>
  </si>
  <si>
    <t>RET</t>
  </si>
  <si>
    <t>RETHYMNON</t>
  </si>
  <si>
    <t>GRRHO</t>
  </si>
  <si>
    <t>RHO</t>
  </si>
  <si>
    <t>RHODOS</t>
  </si>
  <si>
    <t>GRSAL</t>
  </si>
  <si>
    <t>SALAMIS</t>
  </si>
  <si>
    <t>GRSER</t>
  </si>
  <si>
    <t>SERIPHOS ISLAND</t>
  </si>
  <si>
    <t>GRSGB</t>
  </si>
  <si>
    <t>SGB</t>
  </si>
  <si>
    <t>ST GEORGE</t>
  </si>
  <si>
    <t>GRSIK</t>
  </si>
  <si>
    <t>SIK</t>
  </si>
  <si>
    <t>SIKIONIA</t>
  </si>
  <si>
    <t>GRSKA</t>
  </si>
  <si>
    <t>SKARAMANGA</t>
  </si>
  <si>
    <t>GRSKG</t>
  </si>
  <si>
    <t>SKG</t>
  </si>
  <si>
    <t>THESSALONIKI</t>
  </si>
  <si>
    <t>GRSKU</t>
  </si>
  <si>
    <t>SKU</t>
  </si>
  <si>
    <t>SKYROS ISLAND</t>
  </si>
  <si>
    <t>GRSMI</t>
  </si>
  <si>
    <t>SAMOS</t>
  </si>
  <si>
    <t>GRSUD</t>
  </si>
  <si>
    <t>SUDA BAY</t>
  </si>
  <si>
    <t>GRSYO</t>
  </si>
  <si>
    <t>SYO</t>
  </si>
  <si>
    <t>SYROS (SYRA)</t>
  </si>
  <si>
    <t>GRSYS</t>
  </si>
  <si>
    <t>SYS</t>
  </si>
  <si>
    <t>STYLIS</t>
  </si>
  <si>
    <t>GRTIN</t>
  </si>
  <si>
    <t>TINOS</t>
  </si>
  <si>
    <t>GRVOL</t>
  </si>
  <si>
    <t>VOL</t>
  </si>
  <si>
    <t>VOLOS</t>
  </si>
  <si>
    <t>GRVTH</t>
  </si>
  <si>
    <t>VTH</t>
  </si>
  <si>
    <t>PORT VATHY</t>
  </si>
  <si>
    <t>GRZAN</t>
  </si>
  <si>
    <t>ZAN</t>
  </si>
  <si>
    <t>ZANTE</t>
  </si>
  <si>
    <t>GRZTH</t>
  </si>
  <si>
    <t>ZTH</t>
  </si>
  <si>
    <t>ZAKINTHOS IS</t>
  </si>
  <si>
    <t>GRZZZ</t>
  </si>
  <si>
    <t>KEFALLINIA</t>
  </si>
  <si>
    <t>EFL</t>
  </si>
  <si>
    <t>SPETSAI ISLAN</t>
  </si>
  <si>
    <t>JSS</t>
  </si>
  <si>
    <t>SPARTA</t>
  </si>
  <si>
    <t>S.GEORGIA &amp; S.SANDWICH ISLANDS</t>
  </si>
  <si>
    <t>フォークランド諸島及びその附属諸島（英）（サウスジョージア・サウスサンドウィッチ島のみ）</t>
  </si>
  <si>
    <t>GSGRV</t>
  </si>
  <si>
    <t>GS</t>
  </si>
  <si>
    <t>GRYTVIKEN</t>
  </si>
  <si>
    <t>GSLEH</t>
  </si>
  <si>
    <t>LEITH HARBOUR</t>
  </si>
  <si>
    <t>GSZZZ</t>
  </si>
  <si>
    <t>GUATEMALA</t>
  </si>
  <si>
    <t>グアテマラ</t>
  </si>
  <si>
    <t>GTCBV</t>
  </si>
  <si>
    <t>GT</t>
  </si>
  <si>
    <t>CBV</t>
  </si>
  <si>
    <t>COBAN</t>
  </si>
  <si>
    <t>GUAT</t>
  </si>
  <si>
    <t>GTCHR</t>
  </si>
  <si>
    <t>CHAMPERICO</t>
  </si>
  <si>
    <t>GTCIQ</t>
  </si>
  <si>
    <t>CIQ</t>
  </si>
  <si>
    <t>CHIQUIMULA</t>
  </si>
  <si>
    <t>GTCMM</t>
  </si>
  <si>
    <t>CMM</t>
  </si>
  <si>
    <t>CARMELITA</t>
  </si>
  <si>
    <t>GTENJ</t>
  </si>
  <si>
    <t>ENJ</t>
  </si>
  <si>
    <t>EL NARANJO</t>
  </si>
  <si>
    <t>GTFRS</t>
  </si>
  <si>
    <t>FLORES</t>
  </si>
  <si>
    <t>GTGUA</t>
  </si>
  <si>
    <t>GUATEMALA CITY</t>
  </si>
  <si>
    <t>GTHUG</t>
  </si>
  <si>
    <t>HUG</t>
  </si>
  <si>
    <t>HUEHUETENANGO</t>
  </si>
  <si>
    <t>GTLIV</t>
  </si>
  <si>
    <t>LIVINGSTON</t>
  </si>
  <si>
    <t>GTMCR</t>
  </si>
  <si>
    <t>MCR</t>
  </si>
  <si>
    <t>MELCHOR DE ME</t>
  </si>
  <si>
    <t>GTPBR</t>
  </si>
  <si>
    <t>PBR</t>
  </si>
  <si>
    <t>PUERTO BARRIOS</t>
  </si>
  <si>
    <t>GTPCG</t>
  </si>
  <si>
    <t>PCG</t>
  </si>
  <si>
    <t>PASO CABALLOS</t>
  </si>
  <si>
    <t>GTPON</t>
  </si>
  <si>
    <t>PON</t>
  </si>
  <si>
    <t>POPTUN</t>
  </si>
  <si>
    <t>GTPRQ</t>
  </si>
  <si>
    <t>PUERTO QUETZAL</t>
  </si>
  <si>
    <t>GTSNJ</t>
  </si>
  <si>
    <t>GTSTC</t>
  </si>
  <si>
    <t>STC</t>
  </si>
  <si>
    <t>SANTO TOMAS DE CASTILLA (M.GALVEZ)</t>
  </si>
  <si>
    <t>GTTKM</t>
  </si>
  <si>
    <t>TKM</t>
  </si>
  <si>
    <t>TIKAL</t>
  </si>
  <si>
    <t>GTUAX</t>
  </si>
  <si>
    <t>UAX</t>
  </si>
  <si>
    <t>UAXACTUN</t>
  </si>
  <si>
    <t>GTZZZ</t>
  </si>
  <si>
    <t>DOS LAGUNAS</t>
  </si>
  <si>
    <t>GUAM</t>
  </si>
  <si>
    <t>グアム（米）</t>
  </si>
  <si>
    <t>GUAPR</t>
  </si>
  <si>
    <t>GU</t>
  </si>
  <si>
    <t>APR</t>
  </si>
  <si>
    <t>APRA (AGANA)</t>
  </si>
  <si>
    <t>GUGUM</t>
  </si>
  <si>
    <t>GUZZZ</t>
  </si>
  <si>
    <t>ANDERSON AIR FORCE BASE</t>
  </si>
  <si>
    <t>UAM</t>
  </si>
  <si>
    <t>GUINEA-BISSAU</t>
  </si>
  <si>
    <t>ギニア・ビサウ</t>
  </si>
  <si>
    <t>GWBOL</t>
  </si>
  <si>
    <t>GW</t>
  </si>
  <si>
    <t>BOLAMA</t>
  </si>
  <si>
    <t>GWCAC</t>
  </si>
  <si>
    <t>CACHEU</t>
  </si>
  <si>
    <t>GWOXB</t>
  </si>
  <si>
    <t>OXB</t>
  </si>
  <si>
    <t>BISSAU</t>
  </si>
  <si>
    <t>G BIS</t>
  </si>
  <si>
    <t>GWZZZ</t>
  </si>
  <si>
    <t>GUYANA</t>
  </si>
  <si>
    <t>ガイアナ</t>
  </si>
  <si>
    <t>GYAHL</t>
  </si>
  <si>
    <t>GY</t>
  </si>
  <si>
    <t>AISHALTON</t>
  </si>
  <si>
    <t>GUYAN</t>
  </si>
  <si>
    <t>GYBCG</t>
  </si>
  <si>
    <t>BCG</t>
  </si>
  <si>
    <t>BEMICHI</t>
  </si>
  <si>
    <t>GYBMJ</t>
  </si>
  <si>
    <t>BMJ</t>
  </si>
  <si>
    <t>BARAMITA</t>
  </si>
  <si>
    <t>GYEKE</t>
  </si>
  <si>
    <t>EKE</t>
  </si>
  <si>
    <t>EKEREKU</t>
  </si>
  <si>
    <t>GYGEO</t>
  </si>
  <si>
    <t>GEO</t>
  </si>
  <si>
    <t>GEORGETOWN</t>
  </si>
  <si>
    <t>GYGFO</t>
  </si>
  <si>
    <t>GFO</t>
  </si>
  <si>
    <t>BARTICA</t>
  </si>
  <si>
    <t>GYIMB</t>
  </si>
  <si>
    <t>IMB</t>
  </si>
  <si>
    <t>IMBAIMADAI</t>
  </si>
  <si>
    <t>GYKAI</t>
  </si>
  <si>
    <t>KAIETEUR</t>
  </si>
  <si>
    <t>GYKAR</t>
  </si>
  <si>
    <t>KAMARANG</t>
  </si>
  <si>
    <t>GYKKG</t>
  </si>
  <si>
    <t>KKG</t>
  </si>
  <si>
    <t>KONAWARUK</t>
  </si>
  <si>
    <t>GYKPG</t>
  </si>
  <si>
    <t>KPG</t>
  </si>
  <si>
    <t>KURUPUNG</t>
  </si>
  <si>
    <t>GYKRG</t>
  </si>
  <si>
    <t>KRG</t>
  </si>
  <si>
    <t>KARASABAI</t>
  </si>
  <si>
    <t>GYKRM</t>
  </si>
  <si>
    <t>KRM</t>
  </si>
  <si>
    <t>KARANAMBO</t>
  </si>
  <si>
    <t>GYKTO</t>
  </si>
  <si>
    <t>KTO</t>
  </si>
  <si>
    <t>KATO</t>
  </si>
  <si>
    <t>GYLTM</t>
  </si>
  <si>
    <t>LTM</t>
  </si>
  <si>
    <t>LETHEM</t>
  </si>
  <si>
    <t>GYMHA</t>
  </si>
  <si>
    <t>MHA</t>
  </si>
  <si>
    <t>MAHDIA</t>
  </si>
  <si>
    <t>GYMWJ</t>
  </si>
  <si>
    <t>MWJ</t>
  </si>
  <si>
    <t>MATTHEWS RIDG</t>
  </si>
  <si>
    <t>GYMYM</t>
  </si>
  <si>
    <t>MYM</t>
  </si>
  <si>
    <t>MONKEY MOUNTA</t>
  </si>
  <si>
    <t>GYNAI</t>
  </si>
  <si>
    <t>ANNAI</t>
  </si>
  <si>
    <t>GYOGL</t>
  </si>
  <si>
    <t>OGL</t>
  </si>
  <si>
    <t>OGLE</t>
  </si>
  <si>
    <t>GYORJ</t>
  </si>
  <si>
    <t>ORINDUIK</t>
  </si>
  <si>
    <t>GYPIQ</t>
  </si>
  <si>
    <t>PIQ</t>
  </si>
  <si>
    <t>PIPILLIPAI</t>
  </si>
  <si>
    <t>GYPMT</t>
  </si>
  <si>
    <t>PMT</t>
  </si>
  <si>
    <t>PARAMAKOTOI</t>
  </si>
  <si>
    <t>GYSDC</t>
  </si>
  <si>
    <t>SDC</t>
  </si>
  <si>
    <t>SANDCREEK</t>
  </si>
  <si>
    <t>GYSKM</t>
  </si>
  <si>
    <t>SKM</t>
  </si>
  <si>
    <t>SKELDON</t>
  </si>
  <si>
    <t>GYUSI</t>
  </si>
  <si>
    <t>USI</t>
  </si>
  <si>
    <t>MABARUMA</t>
  </si>
  <si>
    <t>GYVEG</t>
  </si>
  <si>
    <t>VEG</t>
  </si>
  <si>
    <t>MAIKWAK</t>
  </si>
  <si>
    <t>GYZZZ</t>
  </si>
  <si>
    <t>HONG KONG</t>
  </si>
  <si>
    <t>香港</t>
  </si>
  <si>
    <t>HKHKG</t>
  </si>
  <si>
    <t>HK</t>
  </si>
  <si>
    <t>HKG</t>
  </si>
  <si>
    <t>H K</t>
  </si>
  <si>
    <t>HKKWN</t>
  </si>
  <si>
    <t>KWN</t>
  </si>
  <si>
    <t>KOWLOON</t>
  </si>
  <si>
    <t>HKTOL</t>
  </si>
  <si>
    <t>TOLO HARBOUR</t>
  </si>
  <si>
    <t>HKVIC</t>
  </si>
  <si>
    <t>HKZZZ</t>
  </si>
  <si>
    <t>HHP</t>
  </si>
  <si>
    <t>HONDURAS</t>
  </si>
  <si>
    <t>ホンジュラス</t>
  </si>
  <si>
    <t>HNAHS</t>
  </si>
  <si>
    <t>HN</t>
  </si>
  <si>
    <t>AHS</t>
  </si>
  <si>
    <t>AHUAS</t>
  </si>
  <si>
    <t>HOND</t>
  </si>
  <si>
    <t>HNAMP</t>
  </si>
  <si>
    <t>AMP</t>
  </si>
  <si>
    <t>AMAPALA</t>
  </si>
  <si>
    <t>HNBHG</t>
  </si>
  <si>
    <t>BHG</t>
  </si>
  <si>
    <t>BRUS LAGUNA</t>
  </si>
  <si>
    <t>HNCAA</t>
  </si>
  <si>
    <t>CAA</t>
  </si>
  <si>
    <t>CATACAMAS</t>
  </si>
  <si>
    <t>HNCYL</t>
  </si>
  <si>
    <t>CYL</t>
  </si>
  <si>
    <t>COYOLES</t>
  </si>
  <si>
    <t>HNEDQ</t>
  </si>
  <si>
    <t>EDQ</t>
  </si>
  <si>
    <t>ERANDIQUE</t>
  </si>
  <si>
    <t>HNGAC</t>
  </si>
  <si>
    <t>GAC</t>
  </si>
  <si>
    <t>GRACIAS</t>
  </si>
  <si>
    <t>HNGJA</t>
  </si>
  <si>
    <t>GJA</t>
  </si>
  <si>
    <t>GUANAJA</t>
  </si>
  <si>
    <t>HNGUO</t>
  </si>
  <si>
    <t>GUO</t>
  </si>
  <si>
    <t>GUALACO</t>
  </si>
  <si>
    <t>HNHNN</t>
  </si>
  <si>
    <t>HNN</t>
  </si>
  <si>
    <t>HENECAN</t>
  </si>
  <si>
    <t>HNIRN</t>
  </si>
  <si>
    <t>IRN</t>
  </si>
  <si>
    <t>IRIONA</t>
  </si>
  <si>
    <t>HNJUT</t>
  </si>
  <si>
    <t>JUT</t>
  </si>
  <si>
    <t>JUTICALPA</t>
  </si>
  <si>
    <t>HNLCE</t>
  </si>
  <si>
    <t>LCE</t>
  </si>
  <si>
    <t>LA CEIBA</t>
  </si>
  <si>
    <t>HNLEZ</t>
  </si>
  <si>
    <t>LEZ</t>
  </si>
  <si>
    <t>LA ESPERANZA</t>
  </si>
  <si>
    <t>HNLLH</t>
  </si>
  <si>
    <t>LLH</t>
  </si>
  <si>
    <t>LAS LIMAS</t>
  </si>
  <si>
    <t>HNLMH</t>
  </si>
  <si>
    <t>LMH</t>
  </si>
  <si>
    <t>LIMON</t>
  </si>
  <si>
    <t>HNLUI</t>
  </si>
  <si>
    <t>LUI</t>
  </si>
  <si>
    <t>LA UNION</t>
  </si>
  <si>
    <t>HNMRJ</t>
  </si>
  <si>
    <t>MRJ</t>
  </si>
  <si>
    <t>MARCALA</t>
  </si>
  <si>
    <t>HNOAN</t>
  </si>
  <si>
    <t>OAN</t>
  </si>
  <si>
    <t>OLANCHITO</t>
  </si>
  <si>
    <t>HNORO</t>
  </si>
  <si>
    <t>ORO</t>
  </si>
  <si>
    <t>YORO</t>
  </si>
  <si>
    <t>HNPCR</t>
  </si>
  <si>
    <t>PUERTO CORTES</t>
  </si>
  <si>
    <t>HNPEU</t>
  </si>
  <si>
    <t>PEU</t>
  </si>
  <si>
    <t>PUERTO LEMPIRA</t>
  </si>
  <si>
    <t>HNRTB</t>
  </si>
  <si>
    <t>RTB</t>
  </si>
  <si>
    <t>ROATAN</t>
  </si>
  <si>
    <t>HNRUY</t>
  </si>
  <si>
    <t>RUY</t>
  </si>
  <si>
    <t>COPAN</t>
  </si>
  <si>
    <t>HNSAP</t>
  </si>
  <si>
    <t>SAP</t>
  </si>
  <si>
    <t>SAN PEDRO SULA</t>
  </si>
  <si>
    <t>HNSCD</t>
  </si>
  <si>
    <t>SCD</t>
  </si>
  <si>
    <t>SULACO</t>
  </si>
  <si>
    <t>HNSDH</t>
  </si>
  <si>
    <t>SDH</t>
  </si>
  <si>
    <t>SANTA ROSA CO</t>
  </si>
  <si>
    <t>HNSET</t>
  </si>
  <si>
    <t>SAN ESTEBAN</t>
  </si>
  <si>
    <t>HNSLO</t>
  </si>
  <si>
    <t>HNTCF</t>
  </si>
  <si>
    <t>TCF</t>
  </si>
  <si>
    <t>TOCOA</t>
  </si>
  <si>
    <t>HNTEA</t>
  </si>
  <si>
    <t>TELA</t>
  </si>
  <si>
    <t>HNTGU</t>
  </si>
  <si>
    <t>TEGUCIGALPA</t>
  </si>
  <si>
    <t>HNTJI</t>
  </si>
  <si>
    <t>TJI</t>
  </si>
  <si>
    <t>TRUJILLO</t>
  </si>
  <si>
    <t>HNUII</t>
  </si>
  <si>
    <t>UII</t>
  </si>
  <si>
    <t>UTILA</t>
  </si>
  <si>
    <t>HNVTA</t>
  </si>
  <si>
    <t>VTA</t>
  </si>
  <si>
    <t>HNZZZ</t>
  </si>
  <si>
    <t>CROATIA</t>
  </si>
  <si>
    <t>クロアチア</t>
  </si>
  <si>
    <t>HRDBV</t>
  </si>
  <si>
    <t>HR</t>
  </si>
  <si>
    <t>DBV</t>
  </si>
  <si>
    <t>DUBROVNIK</t>
  </si>
  <si>
    <t>CROAT</t>
  </si>
  <si>
    <t>HRHVA</t>
  </si>
  <si>
    <t>HVA</t>
  </si>
  <si>
    <t>HVAR</t>
  </si>
  <si>
    <t>HRKOR</t>
  </si>
  <si>
    <t>KORCULA</t>
  </si>
  <si>
    <t>HROSI</t>
  </si>
  <si>
    <t>OSI</t>
  </si>
  <si>
    <t>OSIJEK</t>
  </si>
  <si>
    <t>HRPLE</t>
  </si>
  <si>
    <t>PLOCE</t>
  </si>
  <si>
    <t>HRPUY</t>
  </si>
  <si>
    <t>PUY</t>
  </si>
  <si>
    <t>PULA</t>
  </si>
  <si>
    <t>HRRJK</t>
  </si>
  <si>
    <t>RJK</t>
  </si>
  <si>
    <t>RIJEKA BAKAR</t>
  </si>
  <si>
    <t>HRROV</t>
  </si>
  <si>
    <t>ROV</t>
  </si>
  <si>
    <t>ROVINJ</t>
  </si>
  <si>
    <t>HRSEN</t>
  </si>
  <si>
    <t>SENJ</t>
  </si>
  <si>
    <t>HRSIB</t>
  </si>
  <si>
    <t>SIBENIK</t>
  </si>
  <si>
    <t>HRSPU</t>
  </si>
  <si>
    <t>SPU</t>
  </si>
  <si>
    <t>SPLIT</t>
  </si>
  <si>
    <t>HRSUS</t>
  </si>
  <si>
    <t>SUS</t>
  </si>
  <si>
    <t>SUSAK</t>
  </si>
  <si>
    <t>HRZAD</t>
  </si>
  <si>
    <t>ZAD</t>
  </si>
  <si>
    <t>ZADAR</t>
  </si>
  <si>
    <t>HRZAG</t>
  </si>
  <si>
    <t>ZAG</t>
  </si>
  <si>
    <t>ZAGREB</t>
  </si>
  <si>
    <t>HRZZZ</t>
  </si>
  <si>
    <t>HAITI</t>
  </si>
  <si>
    <t>ハイチ</t>
  </si>
  <si>
    <t>HTACA</t>
  </si>
  <si>
    <t>HT</t>
  </si>
  <si>
    <t>ACA</t>
  </si>
  <si>
    <t>LES CAYES</t>
  </si>
  <si>
    <t>HTCAP</t>
  </si>
  <si>
    <t>CAP</t>
  </si>
  <si>
    <t>CAP-HAITIEN</t>
  </si>
  <si>
    <t>HTFLI</t>
  </si>
  <si>
    <t>FLI</t>
  </si>
  <si>
    <t>FORT LIBERTE</t>
  </si>
  <si>
    <t>HTGVS</t>
  </si>
  <si>
    <t>GONAIVES</t>
  </si>
  <si>
    <t>HTJAK</t>
  </si>
  <si>
    <t>JAK</t>
  </si>
  <si>
    <t>JACMEL</t>
  </si>
  <si>
    <t>HTJEE</t>
  </si>
  <si>
    <t>JEE</t>
  </si>
  <si>
    <t>JEREMIE</t>
  </si>
  <si>
    <t>HTLFF</t>
  </si>
  <si>
    <t>LFF</t>
  </si>
  <si>
    <t>LAFFITEAU</t>
  </si>
  <si>
    <t>HTMIR</t>
  </si>
  <si>
    <t>MIRAGOANE</t>
  </si>
  <si>
    <t>HTPAP</t>
  </si>
  <si>
    <t>PORT AU PRINCE</t>
  </si>
  <si>
    <t>HTPAX</t>
  </si>
  <si>
    <t>PAX</t>
  </si>
  <si>
    <t>PORT DE PAIX</t>
  </si>
  <si>
    <t>HTSMC</t>
  </si>
  <si>
    <t>ST MARC</t>
  </si>
  <si>
    <t>HTZZZ</t>
  </si>
  <si>
    <t>CAYES</t>
  </si>
  <si>
    <t>CYA</t>
  </si>
  <si>
    <t>HUNGARY</t>
  </si>
  <si>
    <t>ハンガリー</t>
  </si>
  <si>
    <t>HUAGE</t>
  </si>
  <si>
    <t>HU</t>
  </si>
  <si>
    <t>AGERDOMAJOR</t>
  </si>
  <si>
    <t>HUAGF</t>
  </si>
  <si>
    <t>AGFALVA</t>
  </si>
  <si>
    <t>HUAGG</t>
  </si>
  <si>
    <t>AGG</t>
  </si>
  <si>
    <t>AGGTELEK</t>
  </si>
  <si>
    <t>HUART</t>
  </si>
  <si>
    <t>ART</t>
  </si>
  <si>
    <t>ARTAND</t>
  </si>
  <si>
    <t>HUBAJ</t>
  </si>
  <si>
    <t>BAJ</t>
  </si>
  <si>
    <t>BAJANSENYE</t>
  </si>
  <si>
    <t>HUBAL</t>
  </si>
  <si>
    <t>BALASSAGYARMAT</t>
  </si>
  <si>
    <t>HUBAN</t>
  </si>
  <si>
    <t>BANREVE</t>
  </si>
  <si>
    <t>HUBIH</t>
  </si>
  <si>
    <t>BIH</t>
  </si>
  <si>
    <t>BIHARKERSZTES</t>
  </si>
  <si>
    <t>HUBUC</t>
  </si>
  <si>
    <t>BUCSU</t>
  </si>
  <si>
    <t>HUBUD</t>
  </si>
  <si>
    <t>BUD</t>
  </si>
  <si>
    <t>BUDAPEST</t>
  </si>
  <si>
    <t>HUNG</t>
  </si>
  <si>
    <t>HUCSE</t>
  </si>
  <si>
    <t>CSE</t>
  </si>
  <si>
    <t>CSENGERSIMA</t>
  </si>
  <si>
    <t>HUDEB</t>
  </si>
  <si>
    <t>DEB</t>
  </si>
  <si>
    <t>DEBRECEN</t>
  </si>
  <si>
    <t>HUDRA</t>
  </si>
  <si>
    <t>DRAVASZABOLCS</t>
  </si>
  <si>
    <t>HUEPE</t>
  </si>
  <si>
    <t>EPE</t>
  </si>
  <si>
    <t>EPERJESKE</t>
  </si>
  <si>
    <t>HUEST</t>
  </si>
  <si>
    <t>EST</t>
  </si>
  <si>
    <t>ESZTERGOM</t>
  </si>
  <si>
    <t>HUFER</t>
  </si>
  <si>
    <t>FERTOUJLAK</t>
  </si>
  <si>
    <t>HUGYE</t>
  </si>
  <si>
    <t>GYEKENYES</t>
  </si>
  <si>
    <t>HUGYO</t>
  </si>
  <si>
    <t>GYO</t>
  </si>
  <si>
    <t>GYOR</t>
  </si>
  <si>
    <t>HUGYU</t>
  </si>
  <si>
    <t>GYU</t>
  </si>
  <si>
    <t>GYULA</t>
  </si>
  <si>
    <t>HUHEG</t>
  </si>
  <si>
    <t>HEGYESHALOM</t>
  </si>
  <si>
    <t>HUHER</t>
  </si>
  <si>
    <t>HERCEGSZANTO</t>
  </si>
  <si>
    <t>HUHIS</t>
  </si>
  <si>
    <t>HIDASNEMETI</t>
  </si>
  <si>
    <t>HUIPO</t>
  </si>
  <si>
    <t>IPO</t>
  </si>
  <si>
    <t>IPOLYTARNOC</t>
  </si>
  <si>
    <t>HUKEL</t>
  </si>
  <si>
    <t>KELEBIA</t>
  </si>
  <si>
    <t>HUKOM</t>
  </si>
  <si>
    <t>KOM</t>
  </si>
  <si>
    <t>KOMAROM</t>
  </si>
  <si>
    <t>HUKOS</t>
  </si>
  <si>
    <t>KOSZEG</t>
  </si>
  <si>
    <t>HUKOT</t>
  </si>
  <si>
    <t>KOT</t>
  </si>
  <si>
    <t>KOTEGYAN</t>
  </si>
  <si>
    <t>HULET</t>
  </si>
  <si>
    <t>LETENYE</t>
  </si>
  <si>
    <t>HULOK</t>
  </si>
  <si>
    <t>LOK</t>
  </si>
  <si>
    <t>LOKOSHAZA</t>
  </si>
  <si>
    <t>HUMCQ</t>
  </si>
  <si>
    <t>MCQ</t>
  </si>
  <si>
    <t>MISKOLC</t>
  </si>
  <si>
    <t>HUMGB</t>
  </si>
  <si>
    <t>MAGYARBOLY</t>
  </si>
  <si>
    <t>HUMGF</t>
  </si>
  <si>
    <t>MAGYARFALVA</t>
  </si>
  <si>
    <t>HUMOH</t>
  </si>
  <si>
    <t>MOH</t>
  </si>
  <si>
    <t>MOHACS</t>
  </si>
  <si>
    <t>HUMUR</t>
  </si>
  <si>
    <t>MURAKERESZTUR</t>
  </si>
  <si>
    <t>HUNAG</t>
  </si>
  <si>
    <t>NAGYLAK</t>
  </si>
  <si>
    <t>HUNYI</t>
  </si>
  <si>
    <t>NYIRABRANY</t>
  </si>
  <si>
    <t>HUPAR</t>
  </si>
  <si>
    <t>PARASSAPUSZTA</t>
  </si>
  <si>
    <t>HURAB</t>
  </si>
  <si>
    <t>RABAFUZES</t>
  </si>
  <si>
    <t>HURED</t>
  </si>
  <si>
    <t>REDICS</t>
  </si>
  <si>
    <t>HURJB</t>
  </si>
  <si>
    <t>RJB</t>
  </si>
  <si>
    <t>RAJKABRANY</t>
  </si>
  <si>
    <t>HURJK</t>
  </si>
  <si>
    <t>RAJKA</t>
  </si>
  <si>
    <t>HUROS</t>
  </si>
  <si>
    <t>ROSZKE</t>
  </si>
  <si>
    <t>HUSAL</t>
  </si>
  <si>
    <t>SALGOTARJAN</t>
  </si>
  <si>
    <t>HUSAT</t>
  </si>
  <si>
    <t>SATORALJAUJHELY</t>
  </si>
  <si>
    <t>HUSOM</t>
  </si>
  <si>
    <t>SOMOSKOUJFALU</t>
  </si>
  <si>
    <t>HUSOP</t>
  </si>
  <si>
    <t>SOP</t>
  </si>
  <si>
    <t>SOPRON</t>
  </si>
  <si>
    <t>HUSPG</t>
  </si>
  <si>
    <t>SPG</t>
  </si>
  <si>
    <t>SOPRON GYSEV</t>
  </si>
  <si>
    <t>HUSZE</t>
  </si>
  <si>
    <t>SZE</t>
  </si>
  <si>
    <t>SZEGED</t>
  </si>
  <si>
    <t>HUSZG</t>
  </si>
  <si>
    <t>SZENTGOTTHARD</t>
  </si>
  <si>
    <t>HUSZO</t>
  </si>
  <si>
    <t>SZO</t>
  </si>
  <si>
    <t>SZOB</t>
  </si>
  <si>
    <t>HUTOD</t>
  </si>
  <si>
    <t>TOD</t>
  </si>
  <si>
    <t>TORNANADASKA</t>
  </si>
  <si>
    <t>HUTOM</t>
  </si>
  <si>
    <t>TOMPA</t>
  </si>
  <si>
    <t>HUTON</t>
  </si>
  <si>
    <t>TORNYOSNEMETI</t>
  </si>
  <si>
    <t>HUUDV</t>
  </si>
  <si>
    <t>UDV</t>
  </si>
  <si>
    <t>UDVAR</t>
  </si>
  <si>
    <t>HUVAM</t>
  </si>
  <si>
    <t>VAM</t>
  </si>
  <si>
    <t>VAMOSSZABADI</t>
  </si>
  <si>
    <t>HUZAH</t>
  </si>
  <si>
    <t>ZAH</t>
  </si>
  <si>
    <t>ZAHONY</t>
  </si>
  <si>
    <t>HUZZZ</t>
  </si>
  <si>
    <t>INDONESIA</t>
  </si>
  <si>
    <t>インドネシア</t>
  </si>
  <si>
    <t>IDABU</t>
  </si>
  <si>
    <t>ID</t>
  </si>
  <si>
    <t>ATAMBUA</t>
  </si>
  <si>
    <t>INDON</t>
  </si>
  <si>
    <t>IDADB</t>
  </si>
  <si>
    <t>ADB</t>
  </si>
  <si>
    <t>ADANG BAY</t>
  </si>
  <si>
    <t>IDAHI</t>
  </si>
  <si>
    <t>AHI</t>
  </si>
  <si>
    <t>AMAHAI</t>
  </si>
  <si>
    <t>IDAMA</t>
  </si>
  <si>
    <t>AMA</t>
  </si>
  <si>
    <t>AMAMAPAREIJ</t>
  </si>
  <si>
    <t>IDAMI</t>
  </si>
  <si>
    <t>AMI</t>
  </si>
  <si>
    <t>MATARAM</t>
  </si>
  <si>
    <t>IDAMP</t>
  </si>
  <si>
    <t>AMPENAN - BALI</t>
  </si>
  <si>
    <t>IDAMQ</t>
  </si>
  <si>
    <t>AMQ</t>
  </si>
  <si>
    <t>AMBON - MOLUCAS</t>
  </si>
  <si>
    <t>IDARD</t>
  </si>
  <si>
    <t>ALOR ISLAND</t>
  </si>
  <si>
    <t>IDARJ</t>
  </si>
  <si>
    <t>ARJ</t>
  </si>
  <si>
    <t>ARSO</t>
  </si>
  <si>
    <t>IDBCH</t>
  </si>
  <si>
    <t>BAUCAU</t>
  </si>
  <si>
    <t>IDBDJ</t>
  </si>
  <si>
    <t>BDJ</t>
  </si>
  <si>
    <t>BANJARMASIN</t>
  </si>
  <si>
    <t>IDBDO</t>
  </si>
  <si>
    <t>BDO</t>
  </si>
  <si>
    <t>BANDUNG - JAVA</t>
  </si>
  <si>
    <t>IDBEJ</t>
  </si>
  <si>
    <t>BEJ</t>
  </si>
  <si>
    <t>BERAU</t>
  </si>
  <si>
    <t>IDBEN</t>
  </si>
  <si>
    <t>BENETE</t>
  </si>
  <si>
    <t>IDBGG</t>
  </si>
  <si>
    <t>BANGGAI</t>
  </si>
  <si>
    <t>IDBIK</t>
  </si>
  <si>
    <t>BIK</t>
  </si>
  <si>
    <t>BIAK - IRIAN JAYA</t>
  </si>
  <si>
    <t>IDBIT</t>
  </si>
  <si>
    <t>BITUNG - SULAWESI</t>
  </si>
  <si>
    <t>IDBJG</t>
  </si>
  <si>
    <t>BJG</t>
  </si>
  <si>
    <t>BOLAANG</t>
  </si>
  <si>
    <t>IDBJU</t>
  </si>
  <si>
    <t>BJU</t>
  </si>
  <si>
    <t>BANJUWANGI - JAVA</t>
  </si>
  <si>
    <t>IDBJW</t>
  </si>
  <si>
    <t>BJW</t>
  </si>
  <si>
    <t>BAJAWA</t>
  </si>
  <si>
    <t>IDBKS</t>
  </si>
  <si>
    <t>BKS</t>
  </si>
  <si>
    <t>BENGKULU</t>
  </si>
  <si>
    <t>IDBLL</t>
  </si>
  <si>
    <t>BLANG LANCANGST</t>
  </si>
  <si>
    <t>IDBLV</t>
  </si>
  <si>
    <t>BLV</t>
  </si>
  <si>
    <t>BELILING</t>
  </si>
  <si>
    <t>IDBLW</t>
  </si>
  <si>
    <t>BLW</t>
  </si>
  <si>
    <t>BELAWAN - SUMATRA</t>
  </si>
  <si>
    <t>IDBMU</t>
  </si>
  <si>
    <t>BMU</t>
  </si>
  <si>
    <t>BIMA</t>
  </si>
  <si>
    <t>IDBOA</t>
  </si>
  <si>
    <t>BENOA - BALI</t>
  </si>
  <si>
    <t>IDBPN</t>
  </si>
  <si>
    <t>BPN</t>
  </si>
  <si>
    <t>BALIKPAPAN - KALIMANTAN</t>
  </si>
  <si>
    <t>IDBTJ</t>
  </si>
  <si>
    <t>BTJ</t>
  </si>
  <si>
    <t>BANDA ACEH</t>
  </si>
  <si>
    <t>IDBTM</t>
  </si>
  <si>
    <t>BTM</t>
  </si>
  <si>
    <t>BATAM</t>
  </si>
  <si>
    <t>IDBUI</t>
  </si>
  <si>
    <t>BOKONDINI</t>
  </si>
  <si>
    <t>IDBUW</t>
  </si>
  <si>
    <t>BUW</t>
  </si>
  <si>
    <t>BAUBAU - BUTUNG</t>
  </si>
  <si>
    <t>IDBXD</t>
  </si>
  <si>
    <t>BXD</t>
  </si>
  <si>
    <t>BADE</t>
  </si>
  <si>
    <t>IDBXT</t>
  </si>
  <si>
    <t>BXT</t>
  </si>
  <si>
    <t>BONTANGKL</t>
  </si>
  <si>
    <t>IDCBN</t>
  </si>
  <si>
    <t>CBN</t>
  </si>
  <si>
    <t>CIREBON - JAVA</t>
  </si>
  <si>
    <t>IDCGK</t>
  </si>
  <si>
    <t>CGK</t>
  </si>
  <si>
    <t>JAKARTA</t>
  </si>
  <si>
    <t>IDCIG</t>
  </si>
  <si>
    <t>CIG</t>
  </si>
  <si>
    <t>CIGADING</t>
  </si>
  <si>
    <t>IDCIN</t>
  </si>
  <si>
    <t>CIN</t>
  </si>
  <si>
    <t>CINTA - JAVA</t>
  </si>
  <si>
    <t>IDCIW</t>
  </si>
  <si>
    <t>CIW</t>
  </si>
  <si>
    <t>CIWANDAN</t>
  </si>
  <si>
    <t>IDCXP</t>
  </si>
  <si>
    <t>CXP</t>
  </si>
  <si>
    <t>CILACAP - JAVA</t>
  </si>
  <si>
    <t>IDDAS</t>
  </si>
  <si>
    <t>DABO - SINGKEP</t>
  </si>
  <si>
    <t>IDDJB</t>
  </si>
  <si>
    <t>DJB</t>
  </si>
  <si>
    <t>JAMBI - SUMATRA</t>
  </si>
  <si>
    <t>IDDJJ</t>
  </si>
  <si>
    <t>DJJ</t>
  </si>
  <si>
    <t>JAYAPURA - IRIAN JAYA</t>
  </si>
  <si>
    <t>IDDPS</t>
  </si>
  <si>
    <t>DPS</t>
  </si>
  <si>
    <t>DENPASAR - BALI</t>
  </si>
  <si>
    <t>IDDUM</t>
  </si>
  <si>
    <t>DUMAI - SUMATRA</t>
  </si>
  <si>
    <t>IDENE</t>
  </si>
  <si>
    <t>ENE</t>
  </si>
  <si>
    <t>ENDE - FLORES</t>
  </si>
  <si>
    <t>IDEWI</t>
  </si>
  <si>
    <t>EWI</t>
  </si>
  <si>
    <t>ENAROTALI</t>
  </si>
  <si>
    <t>IDFKQ</t>
  </si>
  <si>
    <t>FKQ</t>
  </si>
  <si>
    <t>FAK FAK - IRIAN JAYA</t>
  </si>
  <si>
    <t>IDFOO</t>
  </si>
  <si>
    <t>FOO</t>
  </si>
  <si>
    <t>NUMFOR</t>
  </si>
  <si>
    <t>IDGEB</t>
  </si>
  <si>
    <t>GEBE</t>
  </si>
  <si>
    <t>IDGIL</t>
  </si>
  <si>
    <t>GIL</t>
  </si>
  <si>
    <t>GILIMANUK - BALI</t>
  </si>
  <si>
    <t>IDGLX</t>
  </si>
  <si>
    <t>GLX</t>
  </si>
  <si>
    <t>GALELA - HALMAHERA</t>
  </si>
  <si>
    <t>IDGNS</t>
  </si>
  <si>
    <t>GNS</t>
  </si>
  <si>
    <t>GUNUNGSITOLI</t>
  </si>
  <si>
    <t>IDGRE</t>
  </si>
  <si>
    <t>GRESIK - JAVA</t>
  </si>
  <si>
    <t>IDGTO</t>
  </si>
  <si>
    <t>GTO</t>
  </si>
  <si>
    <t>GORONTALO - SULAWESI</t>
  </si>
  <si>
    <t>IDILA</t>
  </si>
  <si>
    <t>ILA</t>
  </si>
  <si>
    <t>ILLAGA</t>
  </si>
  <si>
    <t>IDJKT</t>
  </si>
  <si>
    <t>JKT</t>
  </si>
  <si>
    <t>JAKARTA - JAVA</t>
  </si>
  <si>
    <t>IDJOG</t>
  </si>
  <si>
    <t>JOG</t>
  </si>
  <si>
    <t>YOGYAKARTA</t>
  </si>
  <si>
    <t>IDKAR</t>
  </si>
  <si>
    <t>KAROSA - SULAWESI</t>
  </si>
  <si>
    <t>IDKBU</t>
  </si>
  <si>
    <t>KBU</t>
  </si>
  <si>
    <t>KOTABARU</t>
  </si>
  <si>
    <t>IDKCI</t>
  </si>
  <si>
    <t>KCI</t>
  </si>
  <si>
    <t>IDKDI</t>
  </si>
  <si>
    <t>KDI</t>
  </si>
  <si>
    <t>KENDARI - SULAWESI</t>
  </si>
  <si>
    <t>IDKEI</t>
  </si>
  <si>
    <t>KEPI</t>
  </si>
  <si>
    <t>IDKEQ</t>
  </si>
  <si>
    <t>KEQ</t>
  </si>
  <si>
    <t>KEBAR</t>
  </si>
  <si>
    <t>IDKID</t>
  </si>
  <si>
    <t>KID</t>
  </si>
  <si>
    <t>KIDJANG - BINTAN</t>
  </si>
  <si>
    <t>IDKMA</t>
  </si>
  <si>
    <t>KMA</t>
  </si>
  <si>
    <t>KUALA MANDAH - SUMATRA</t>
  </si>
  <si>
    <t>IDKMM</t>
  </si>
  <si>
    <t>KMM</t>
  </si>
  <si>
    <t>KIMAM</t>
  </si>
  <si>
    <t>IDKNG</t>
  </si>
  <si>
    <t>KNG</t>
  </si>
  <si>
    <t>KAIMANA - IRIAN JAYA</t>
  </si>
  <si>
    <t>IDKNO</t>
  </si>
  <si>
    <t>KUALA NAMU INTL APT/MEDAN</t>
  </si>
  <si>
    <t>IDKOE</t>
  </si>
  <si>
    <t>KOE</t>
  </si>
  <si>
    <t>KUPANG - TIMOR</t>
  </si>
  <si>
    <t>IDKOX</t>
  </si>
  <si>
    <t>KOX</t>
  </si>
  <si>
    <t>KOKONAO</t>
  </si>
  <si>
    <t>IDKRC</t>
  </si>
  <si>
    <t>KRC</t>
  </si>
  <si>
    <t>KERINCI</t>
  </si>
  <si>
    <t>IDKTG</t>
  </si>
  <si>
    <t>KTG</t>
  </si>
  <si>
    <t>KETAPANGKL</t>
  </si>
  <si>
    <t>IDLAH</t>
  </si>
  <si>
    <t>LABUHAN - JAVA</t>
  </si>
  <si>
    <t>IDLAS</t>
  </si>
  <si>
    <t>LAS</t>
  </si>
  <si>
    <t>LANGSA - SUMATRA</t>
  </si>
  <si>
    <t>IDLBJ</t>
  </si>
  <si>
    <t>LBJ</t>
  </si>
  <si>
    <t>LABUAN BAJO</t>
  </si>
  <si>
    <t>IDLBW</t>
  </si>
  <si>
    <t>LBW</t>
  </si>
  <si>
    <t>LONG BAWAN</t>
  </si>
  <si>
    <t>IDLII</t>
  </si>
  <si>
    <t>LII</t>
  </si>
  <si>
    <t>MULIA</t>
  </si>
  <si>
    <t>IDLKA</t>
  </si>
  <si>
    <t>LKA</t>
  </si>
  <si>
    <t>LARANTUKA</t>
  </si>
  <si>
    <t>IDLKS</t>
  </si>
  <si>
    <t>LKS</t>
  </si>
  <si>
    <t>LHOKSEUMAWEST</t>
  </si>
  <si>
    <t>IDLUV</t>
  </si>
  <si>
    <t>LANGGUR</t>
  </si>
  <si>
    <t>IDLUW</t>
  </si>
  <si>
    <t>LUWUK</t>
  </si>
  <si>
    <t>IDMAK</t>
  </si>
  <si>
    <t>MAK</t>
  </si>
  <si>
    <t>MAKASSAR</t>
  </si>
  <si>
    <t>IDMAL</t>
  </si>
  <si>
    <t>MANGOLE</t>
  </si>
  <si>
    <t>IDMDC</t>
  </si>
  <si>
    <t>MDC</t>
  </si>
  <si>
    <t>MENADO - SULAWESI</t>
  </si>
  <si>
    <t>IDMDP</t>
  </si>
  <si>
    <t>MDP</t>
  </si>
  <si>
    <t>MINDIPTANA</t>
  </si>
  <si>
    <t>IDMEQ</t>
  </si>
  <si>
    <t>MEQ</t>
  </si>
  <si>
    <t>MEULABOH - SUMATRA</t>
  </si>
  <si>
    <t>IDMES</t>
  </si>
  <si>
    <t>MEDAN - SUMATRA</t>
  </si>
  <si>
    <t>IDMJU</t>
  </si>
  <si>
    <t>MJU</t>
  </si>
  <si>
    <t>MAMUJU</t>
  </si>
  <si>
    <t>IDMKQ</t>
  </si>
  <si>
    <t>MKQ</t>
  </si>
  <si>
    <t>MERAUKE - IRIAN JAYA</t>
  </si>
  <si>
    <t>IDMKW</t>
  </si>
  <si>
    <t>MKW</t>
  </si>
  <si>
    <t>MANOKWARI - IRIAN JAYA</t>
  </si>
  <si>
    <t>IDMLG</t>
  </si>
  <si>
    <t>MLG</t>
  </si>
  <si>
    <t>MALANG</t>
  </si>
  <si>
    <t>IDMLI</t>
  </si>
  <si>
    <t>MLI</t>
  </si>
  <si>
    <t>MALILI - SULAWESI</t>
  </si>
  <si>
    <t>IDMNA</t>
  </si>
  <si>
    <t>MNA</t>
  </si>
  <si>
    <t>MELANGGUANE</t>
  </si>
  <si>
    <t>IDMNT</t>
  </si>
  <si>
    <t>MANTANG - RIAU</t>
  </si>
  <si>
    <t>IDMOF</t>
  </si>
  <si>
    <t>MOF</t>
  </si>
  <si>
    <t>MAUMERE - FLORES</t>
  </si>
  <si>
    <t>IDMPT</t>
  </si>
  <si>
    <t>MPT</t>
  </si>
  <si>
    <t>MALIANA</t>
  </si>
  <si>
    <t>IDMRK</t>
  </si>
  <si>
    <t>MRK</t>
  </si>
  <si>
    <t>MERAK - JAVA</t>
  </si>
  <si>
    <t>IDMSI</t>
  </si>
  <si>
    <t>MSI</t>
  </si>
  <si>
    <t>MASALEMBO</t>
  </si>
  <si>
    <t>IDMUF</t>
  </si>
  <si>
    <t>MUTING</t>
  </si>
  <si>
    <t>IDMUO</t>
  </si>
  <si>
    <t>MUO</t>
  </si>
  <si>
    <t>MUNTOK - BANKA</t>
  </si>
  <si>
    <t>IDMXB</t>
  </si>
  <si>
    <t>MXB</t>
  </si>
  <si>
    <t>MASAMBA</t>
  </si>
  <si>
    <t>IDNAH</t>
  </si>
  <si>
    <t>NAHA</t>
  </si>
  <si>
    <t>IDNAM</t>
  </si>
  <si>
    <t>NAM</t>
  </si>
  <si>
    <t>NAMLEA</t>
  </si>
  <si>
    <t>IDNBX</t>
  </si>
  <si>
    <t>NBX</t>
  </si>
  <si>
    <t>NABIRE</t>
  </si>
  <si>
    <t>IDNDA</t>
  </si>
  <si>
    <t>NDA</t>
  </si>
  <si>
    <t>BANDANAIRA</t>
  </si>
  <si>
    <t>IDNNX</t>
  </si>
  <si>
    <t>NNX</t>
  </si>
  <si>
    <t>NUNUKAN</t>
  </si>
  <si>
    <t>IDNTI</t>
  </si>
  <si>
    <t>NTI</t>
  </si>
  <si>
    <t>BINTUNI</t>
  </si>
  <si>
    <t>IDOKL</t>
  </si>
  <si>
    <t>OKL</t>
  </si>
  <si>
    <t>OKSIBIL</t>
  </si>
  <si>
    <t>IDOKQ</t>
  </si>
  <si>
    <t>OKQ</t>
  </si>
  <si>
    <t>OKABA - IRIAN JAYA</t>
  </si>
  <si>
    <t>IDOLO</t>
  </si>
  <si>
    <t>OLEE LHEUE</t>
  </si>
  <si>
    <t>IDONI</t>
  </si>
  <si>
    <t>ONI</t>
  </si>
  <si>
    <t>MOANAMANI</t>
  </si>
  <si>
    <t>IDPAG</t>
  </si>
  <si>
    <t>PAGATAN - KALIMANTAN</t>
  </si>
  <si>
    <t>IDPAS</t>
  </si>
  <si>
    <t>PASIR PANJANG</t>
  </si>
  <si>
    <t>IDPAZ</t>
  </si>
  <si>
    <t>PAZ</t>
  </si>
  <si>
    <t>PASURUAN - JAVA</t>
  </si>
  <si>
    <t>IDPBW</t>
  </si>
  <si>
    <t>PBW</t>
  </si>
  <si>
    <t>PALIBELO</t>
  </si>
  <si>
    <t>IDPDG</t>
  </si>
  <si>
    <t>PDG</t>
  </si>
  <si>
    <t>PADANG - SUMATRA</t>
  </si>
  <si>
    <t>IDPDJ</t>
  </si>
  <si>
    <t>PDJ</t>
  </si>
  <si>
    <t>TANDJANG</t>
  </si>
  <si>
    <t>IDPEX</t>
  </si>
  <si>
    <t>PEKALONGAN - JAVA</t>
  </si>
  <si>
    <t>IDPGK</t>
  </si>
  <si>
    <t>PGK</t>
  </si>
  <si>
    <t>PANGKALPINANG - BANKA</t>
  </si>
  <si>
    <t>IDPGX</t>
  </si>
  <si>
    <t>PANGKAL BALAM - BANKA</t>
  </si>
  <si>
    <t>IDPJG</t>
  </si>
  <si>
    <t>PJG</t>
  </si>
  <si>
    <t>PANJANG</t>
  </si>
  <si>
    <t>IDPKN</t>
  </si>
  <si>
    <t>PKN</t>
  </si>
  <si>
    <t>PANGKALANBUUN</t>
  </si>
  <si>
    <t>IDPKR</t>
  </si>
  <si>
    <t>PKR</t>
  </si>
  <si>
    <t>PANGKALAN BRANDAN -SUMATRA</t>
  </si>
  <si>
    <t>IDPKS</t>
  </si>
  <si>
    <t>PKS</t>
  </si>
  <si>
    <t>PANGKALAN SUSUSUMA</t>
  </si>
  <si>
    <t>IDPKU</t>
  </si>
  <si>
    <t>PKU</t>
  </si>
  <si>
    <t>PEKANBARU - SUMATRA</t>
  </si>
  <si>
    <t>IDPKY</t>
  </si>
  <si>
    <t>PKY</t>
  </si>
  <si>
    <t>PALANGKARAYA</t>
  </si>
  <si>
    <t>IDPLA</t>
  </si>
  <si>
    <t>PLADJU - SUMATRA</t>
  </si>
  <si>
    <t>IDPLM</t>
  </si>
  <si>
    <t>PLM</t>
  </si>
  <si>
    <t>PALEMBANG - SUMATRA</t>
  </si>
  <si>
    <t>IDPMG</t>
  </si>
  <si>
    <t>PORT MENENG</t>
  </si>
  <si>
    <t>IDPNJ</t>
  </si>
  <si>
    <t>PNJ</t>
  </si>
  <si>
    <t>IDPNK</t>
  </si>
  <si>
    <t>PNK</t>
  </si>
  <si>
    <t>PONTIANAK KALIMANTAN</t>
  </si>
  <si>
    <t>IDPNN</t>
  </si>
  <si>
    <t>PNN</t>
  </si>
  <si>
    <t>PAMANUKAN - JAVA</t>
  </si>
  <si>
    <t>IDPPO</t>
  </si>
  <si>
    <t>PALAPO - SULAWESI</t>
  </si>
  <si>
    <t>IDPRN</t>
  </si>
  <si>
    <t>PRN</t>
  </si>
  <si>
    <t>PANARUKAN - JAVA</t>
  </si>
  <si>
    <t>IDPRO</t>
  </si>
  <si>
    <t>PRO</t>
  </si>
  <si>
    <t>PROBOLINGGO - JAVA</t>
  </si>
  <si>
    <t>IDPSJ</t>
  </si>
  <si>
    <t>POSO - SULAWESI</t>
  </si>
  <si>
    <t>IDPSS</t>
  </si>
  <si>
    <t>PULAU SAMBU - RIAU</t>
  </si>
  <si>
    <t>IDPSU</t>
  </si>
  <si>
    <t>PSU</t>
  </si>
  <si>
    <t>PUTUSSIBAU</t>
  </si>
  <si>
    <t>IDPUM</t>
  </si>
  <si>
    <t>POMALAA - SULAWESI</t>
  </si>
  <si>
    <t>IDPUT</t>
  </si>
  <si>
    <t>PULAU LAUT</t>
  </si>
  <si>
    <t>IDRAQ</t>
  </si>
  <si>
    <t>RAQ</t>
  </si>
  <si>
    <t>RAHA</t>
  </si>
  <si>
    <t>IDRGT</t>
  </si>
  <si>
    <t>RGT</t>
  </si>
  <si>
    <t>RENGAT - SUMATRA</t>
  </si>
  <si>
    <t>IDRSK</t>
  </si>
  <si>
    <t>RANSIKI</t>
  </si>
  <si>
    <t>IDRTG</t>
  </si>
  <si>
    <t>RTG</t>
  </si>
  <si>
    <t>RUTENG - FLORES</t>
  </si>
  <si>
    <t>IDRTI</t>
  </si>
  <si>
    <t>RTI</t>
  </si>
  <si>
    <t>ROTI</t>
  </si>
  <si>
    <t>IDSAE</t>
  </si>
  <si>
    <t>SANGI</t>
  </si>
  <si>
    <t>IDSAU</t>
  </si>
  <si>
    <t>SAWU</t>
  </si>
  <si>
    <t>IDSBG</t>
  </si>
  <si>
    <t>SABANG - SUMATRA</t>
  </si>
  <si>
    <t>IDSBS</t>
  </si>
  <si>
    <t>SBS</t>
  </si>
  <si>
    <t>SAMBAS - KALIMANTAN</t>
  </si>
  <si>
    <t>IDSEB</t>
  </si>
  <si>
    <t>SEB</t>
  </si>
  <si>
    <t>SEBANGAN BAY - KALIMANTAN</t>
  </si>
  <si>
    <t>IDSEH</t>
  </si>
  <si>
    <t>SENGGEH</t>
  </si>
  <si>
    <t>IDSEQ</t>
  </si>
  <si>
    <t>SEQ</t>
  </si>
  <si>
    <t>SUNGAI PAKNINGSUMA</t>
  </si>
  <si>
    <t>IDSIA</t>
  </si>
  <si>
    <t>SIAK YECHIL - RIAU</t>
  </si>
  <si>
    <t>IDSIQ</t>
  </si>
  <si>
    <t>SIQ</t>
  </si>
  <si>
    <t>SINGKEP - RIAU</t>
  </si>
  <si>
    <t>IDSIW</t>
  </si>
  <si>
    <t>SIW</t>
  </si>
  <si>
    <t>SIBISA</t>
  </si>
  <si>
    <t>IDSKI</t>
  </si>
  <si>
    <t>SANGKULIRANG - KALIMANTAN</t>
  </si>
  <si>
    <t>IDSKW</t>
  </si>
  <si>
    <t>SKW</t>
  </si>
  <si>
    <t>SINGKAWANG - KALIMANTAN</t>
  </si>
  <si>
    <t>IDSLG</t>
  </si>
  <si>
    <t>SLG</t>
  </si>
  <si>
    <t>SIBOLGA - SUMATRA</t>
  </si>
  <si>
    <t>IDSMQ</t>
  </si>
  <si>
    <t>SMQ</t>
  </si>
  <si>
    <t>SAMPIT - KALIMANTAN</t>
  </si>
  <si>
    <t>IDSOC</t>
  </si>
  <si>
    <t>SOC</t>
  </si>
  <si>
    <t>SOLO CITY</t>
  </si>
  <si>
    <t>IDSOQ</t>
  </si>
  <si>
    <t>SOQ</t>
  </si>
  <si>
    <t>SORONG</t>
  </si>
  <si>
    <t>IDSPA</t>
  </si>
  <si>
    <t>SPA</t>
  </si>
  <si>
    <t>SELAT PANDJANG - SUMATRA</t>
  </si>
  <si>
    <t>IDSQG</t>
  </si>
  <si>
    <t>SQG</t>
  </si>
  <si>
    <t>SINTANG</t>
  </si>
  <si>
    <t>IDSQN</t>
  </si>
  <si>
    <t>SQN</t>
  </si>
  <si>
    <t>SANANA</t>
  </si>
  <si>
    <t>IDSQR</t>
  </si>
  <si>
    <t>SQR</t>
  </si>
  <si>
    <t>SOROAKO</t>
  </si>
  <si>
    <t>IDSRG</t>
  </si>
  <si>
    <t>SRG</t>
  </si>
  <si>
    <t>SEMARANG - JAVA</t>
  </si>
  <si>
    <t>IDSRI</t>
  </si>
  <si>
    <t>SRI</t>
  </si>
  <si>
    <t>SAMARINDA - KALIMANTAN</t>
  </si>
  <si>
    <t>IDSUB</t>
  </si>
  <si>
    <t>SUB</t>
  </si>
  <si>
    <t>SURABAYA - JAVA</t>
  </si>
  <si>
    <t>IDSUG</t>
  </si>
  <si>
    <t>SUG</t>
  </si>
  <si>
    <t>SUNGAI GERONG - SUMATRA</t>
  </si>
  <si>
    <t>IDSUP</t>
  </si>
  <si>
    <t>SUP</t>
  </si>
  <si>
    <t>SUMENEPMADURA</t>
  </si>
  <si>
    <t>IDSUQ</t>
  </si>
  <si>
    <t>SUNGAI GUNTUNG - SUMATRA</t>
  </si>
  <si>
    <t>IDSUS</t>
  </si>
  <si>
    <t>SUSOH - SUMATRA</t>
  </si>
  <si>
    <t>IDSWQ</t>
  </si>
  <si>
    <t>SWQ</t>
  </si>
  <si>
    <t>SUMBAWA</t>
  </si>
  <si>
    <t>IDSXK</t>
  </si>
  <si>
    <t>SXK</t>
  </si>
  <si>
    <t>SAUMLAKI</t>
  </si>
  <si>
    <t>IDTAN</t>
  </si>
  <si>
    <t>TANJUNG UBAN - RIAU</t>
  </si>
  <si>
    <t>IDTAX</t>
  </si>
  <si>
    <t>TAX</t>
  </si>
  <si>
    <t>TALTABU - CELEBES</t>
  </si>
  <si>
    <t>IDTBA</t>
  </si>
  <si>
    <t>TBA</t>
  </si>
  <si>
    <t>TANJUNG BARA , KL</t>
  </si>
  <si>
    <t>IDTBG</t>
  </si>
  <si>
    <t>TBG</t>
  </si>
  <si>
    <t>TELUK BETUNGSUMATR</t>
  </si>
  <si>
    <t>IDTBN</t>
  </si>
  <si>
    <t>TBN</t>
  </si>
  <si>
    <t>TUBANJV</t>
  </si>
  <si>
    <t>IDTBT</t>
  </si>
  <si>
    <t>TANDJUNG BATU - RIAU</t>
  </si>
  <si>
    <t>IDTEG</t>
  </si>
  <si>
    <t>TEGAL - JAVA</t>
  </si>
  <si>
    <t>IDTHB</t>
  </si>
  <si>
    <t>THB</t>
  </si>
  <si>
    <t>TJERIBON - JAVA</t>
  </si>
  <si>
    <t>IDTIM</t>
  </si>
  <si>
    <t>TIM</t>
  </si>
  <si>
    <t>TEMBAGAPURA</t>
  </si>
  <si>
    <t>IDTJB</t>
  </si>
  <si>
    <t>TJB</t>
  </si>
  <si>
    <t>ASAHAN (TANJUNG BALAI)</t>
  </si>
  <si>
    <t>IDTJI</t>
  </si>
  <si>
    <t>TJILATJAP - JAVA</t>
  </si>
  <si>
    <t>IDTJQ</t>
  </si>
  <si>
    <t>TJQ</t>
  </si>
  <si>
    <t>TANJUNG PANDAN - BELITUNG</t>
  </si>
  <si>
    <t>IDTJS</t>
  </si>
  <si>
    <t>TJS</t>
  </si>
  <si>
    <t>TANJUNG SELOR</t>
  </si>
  <si>
    <t>IDTKA</t>
  </si>
  <si>
    <t>TKA</t>
  </si>
  <si>
    <t>TELOK AYER - KALIMANTAN</t>
  </si>
  <si>
    <t>IDTKG</t>
  </si>
  <si>
    <t>TKG</t>
  </si>
  <si>
    <t>BANDAR LAMPUNG</t>
  </si>
  <si>
    <t>IDTLI</t>
  </si>
  <si>
    <t>TLI</t>
  </si>
  <si>
    <t>TOLITOLI</t>
  </si>
  <si>
    <t>IDTMC</t>
  </si>
  <si>
    <t>TMC</t>
  </si>
  <si>
    <t>TAMBOLAKA</t>
  </si>
  <si>
    <t>IDTMH</t>
  </si>
  <si>
    <t>TMH</t>
  </si>
  <si>
    <t>TANAH MERAH - KALIMANTAN</t>
  </si>
  <si>
    <t>IDTMO</t>
  </si>
  <si>
    <t>TMO</t>
  </si>
  <si>
    <t>TELOK MELANO</t>
  </si>
  <si>
    <t>IDTNJ</t>
  </si>
  <si>
    <t>TNJ</t>
  </si>
  <si>
    <t>TANJUNG PINANG - RIAU</t>
  </si>
  <si>
    <t>IDTPK</t>
  </si>
  <si>
    <t>TPK</t>
  </si>
  <si>
    <t>TAPAKTUAN - SUMATRA</t>
  </si>
  <si>
    <t>IDTPP</t>
  </si>
  <si>
    <t>TPP</t>
  </si>
  <si>
    <t>TANJUNG PRIOK</t>
  </si>
  <si>
    <t>IDTRK</t>
  </si>
  <si>
    <t>TRK</t>
  </si>
  <si>
    <t>TARAKAN - KALIMANTAN</t>
  </si>
  <si>
    <t>IDTTE</t>
  </si>
  <si>
    <t>TTE</t>
  </si>
  <si>
    <t>TERNATE - HALMAHERA</t>
  </si>
  <si>
    <t>IDTTR</t>
  </si>
  <si>
    <t>TTR</t>
  </si>
  <si>
    <t>TANA TORAJA</t>
  </si>
  <si>
    <t>IDTXM</t>
  </si>
  <si>
    <t>TXM</t>
  </si>
  <si>
    <t>TEMINABUAN</t>
  </si>
  <si>
    <t>IDUAI</t>
  </si>
  <si>
    <t>UAI</t>
  </si>
  <si>
    <t>SUAI</t>
  </si>
  <si>
    <t>IDUPG</t>
  </si>
  <si>
    <t>UPG</t>
  </si>
  <si>
    <t>UJUNG PANDANG - SULAWESI</t>
  </si>
  <si>
    <t>IDVIQ</t>
  </si>
  <si>
    <t>VIQ</t>
  </si>
  <si>
    <t>VIQUEQUE</t>
  </si>
  <si>
    <t>IDWAR</t>
  </si>
  <si>
    <t>WARIS</t>
  </si>
  <si>
    <t>IDWET</t>
  </si>
  <si>
    <t>WAGETHE</t>
  </si>
  <si>
    <t>IDWGP</t>
  </si>
  <si>
    <t>WGP</t>
  </si>
  <si>
    <t>WAINGAPU - SUMBA</t>
  </si>
  <si>
    <t>IDWMX</t>
  </si>
  <si>
    <t>WMX</t>
  </si>
  <si>
    <t>WAMENA</t>
  </si>
  <si>
    <t>IDWSR</t>
  </si>
  <si>
    <t>WSR</t>
  </si>
  <si>
    <t>WASIOR</t>
  </si>
  <si>
    <t>IDZEG</t>
  </si>
  <si>
    <t>ZEG</t>
  </si>
  <si>
    <t>SENGGO</t>
  </si>
  <si>
    <t>IDZKL</t>
  </si>
  <si>
    <t>ZKL</t>
  </si>
  <si>
    <t>STEENKOOL</t>
  </si>
  <si>
    <t>IDZRI</t>
  </si>
  <si>
    <t>ZRI</t>
  </si>
  <si>
    <t>SERUI - IRIAN JAYA</t>
  </si>
  <si>
    <t>IDZZZ</t>
  </si>
  <si>
    <t>AEK GODANG</t>
  </si>
  <si>
    <t>AEG</t>
  </si>
  <si>
    <t>ATAURO</t>
  </si>
  <si>
    <t>AUT</t>
  </si>
  <si>
    <t>BATU BESAR/BATAM</t>
  </si>
  <si>
    <t>BTH</t>
  </si>
  <si>
    <t>BABO</t>
  </si>
  <si>
    <t>BXB</t>
  </si>
  <si>
    <t>GAG ISLAND</t>
  </si>
  <si>
    <t>GAV</t>
  </si>
  <si>
    <t>HLP</t>
  </si>
  <si>
    <t>INANWATAN</t>
  </si>
  <si>
    <t>INX</t>
  </si>
  <si>
    <t>KAZ</t>
  </si>
  <si>
    <t>MOROTAI ISLAN</t>
  </si>
  <si>
    <t>OTI</t>
  </si>
  <si>
    <t>PALU</t>
  </si>
  <si>
    <t>PLW</t>
  </si>
  <si>
    <t>NEW YOGYAKARTA INT.</t>
  </si>
  <si>
    <t>YIA</t>
  </si>
  <si>
    <t>SARMI</t>
  </si>
  <si>
    <t>ZRM</t>
  </si>
  <si>
    <t>IRELAND</t>
  </si>
  <si>
    <t>アイルランド</t>
  </si>
  <si>
    <t>IEARD</t>
  </si>
  <si>
    <t>IE</t>
  </si>
  <si>
    <t>ARDMORE</t>
  </si>
  <si>
    <t>IEARK</t>
  </si>
  <si>
    <t>ARK</t>
  </si>
  <si>
    <t>ARKLOW</t>
  </si>
  <si>
    <t>IEBBG</t>
  </si>
  <si>
    <t>BALBRIGGAN</t>
  </si>
  <si>
    <t>IEBLL</t>
  </si>
  <si>
    <t>BALLINA</t>
  </si>
  <si>
    <t>IEBTM</t>
  </si>
  <si>
    <t>BALTIMORE</t>
  </si>
  <si>
    <t>IEBUR</t>
  </si>
  <si>
    <t>BURTONPORT</t>
  </si>
  <si>
    <t>IEBYT</t>
  </si>
  <si>
    <t>BYT</t>
  </si>
  <si>
    <t>BANTRY BAY</t>
  </si>
  <si>
    <t>IECAR</t>
  </si>
  <si>
    <t>CARLINGFORD</t>
  </si>
  <si>
    <t>IECFN</t>
  </si>
  <si>
    <t>CFN</t>
  </si>
  <si>
    <t>DONEGAL</t>
  </si>
  <si>
    <t>IECHE</t>
  </si>
  <si>
    <t>CAHERCIVEEN</t>
  </si>
  <si>
    <t>IECLB</t>
  </si>
  <si>
    <t>CLB</t>
  </si>
  <si>
    <t>CASTLEBAR</t>
  </si>
  <si>
    <t>IECLC</t>
  </si>
  <si>
    <t>CLARECASTLE</t>
  </si>
  <si>
    <t>IECLI</t>
  </si>
  <si>
    <t>CLI</t>
  </si>
  <si>
    <t>CLIFDEN</t>
  </si>
  <si>
    <t>IECOB</t>
  </si>
  <si>
    <t>COBH</t>
  </si>
  <si>
    <t>IECTB</t>
  </si>
  <si>
    <t>CTB</t>
  </si>
  <si>
    <t>CASTLETOWN BERE</t>
  </si>
  <si>
    <t>IEDCN</t>
  </si>
  <si>
    <t>DUNCANNON</t>
  </si>
  <si>
    <t>IEDDK</t>
  </si>
  <si>
    <t>DDK</t>
  </si>
  <si>
    <t>DUNDALK</t>
  </si>
  <si>
    <t>IEDGV</t>
  </si>
  <si>
    <t>DGV</t>
  </si>
  <si>
    <t>DUNGARVAN</t>
  </si>
  <si>
    <t>IEDLG</t>
  </si>
  <si>
    <t>DLG</t>
  </si>
  <si>
    <t>DUN LAOGHAIRE</t>
  </si>
  <si>
    <t>IEDNM</t>
  </si>
  <si>
    <t>DUNMORE EAST</t>
  </si>
  <si>
    <t>IEDRO</t>
  </si>
  <si>
    <t>DRO</t>
  </si>
  <si>
    <t>DROGHEDA</t>
  </si>
  <si>
    <t>IEDUB</t>
  </si>
  <si>
    <t>DUB</t>
  </si>
  <si>
    <t>DUBLIN</t>
  </si>
  <si>
    <t>IEFEN</t>
  </si>
  <si>
    <t>FENIT</t>
  </si>
  <si>
    <t>IEFOV</t>
  </si>
  <si>
    <t>FOV</t>
  </si>
  <si>
    <t>FOYNES</t>
  </si>
  <si>
    <t>IEGRN</t>
  </si>
  <si>
    <t>GREENORE</t>
  </si>
  <si>
    <t>IEGRY</t>
  </si>
  <si>
    <t>GREYSTONES</t>
  </si>
  <si>
    <t>IEGWY</t>
  </si>
  <si>
    <t>GWY</t>
  </si>
  <si>
    <t>GALWAY</t>
  </si>
  <si>
    <t>IEHOW</t>
  </si>
  <si>
    <t>HOW</t>
  </si>
  <si>
    <t>HOWTH</t>
  </si>
  <si>
    <t>IEIIA</t>
  </si>
  <si>
    <t>IIA</t>
  </si>
  <si>
    <t>INISHMAAN</t>
  </si>
  <si>
    <t>IEINQ</t>
  </si>
  <si>
    <t>INQ</t>
  </si>
  <si>
    <t>INISHEER</t>
  </si>
  <si>
    <t>IEIOR</t>
  </si>
  <si>
    <t>IOR</t>
  </si>
  <si>
    <t>INISHMORE</t>
  </si>
  <si>
    <t>IEKBS</t>
  </si>
  <si>
    <t>KBS</t>
  </si>
  <si>
    <t>KILLYBEGS</t>
  </si>
  <si>
    <t>IEKLA</t>
  </si>
  <si>
    <t>KILLALA</t>
  </si>
  <si>
    <t>IEKLN</t>
  </si>
  <si>
    <t>KINSALE</t>
  </si>
  <si>
    <t>IEKLR</t>
  </si>
  <si>
    <t>KLR</t>
  </si>
  <si>
    <t>KILRUSH</t>
  </si>
  <si>
    <t>IEKRN</t>
  </si>
  <si>
    <t>KILRONAN HARBOUR</t>
  </si>
  <si>
    <t>IELMK</t>
  </si>
  <si>
    <t>LMK</t>
  </si>
  <si>
    <t>LIMERICK</t>
  </si>
  <si>
    <t>IELTR</t>
  </si>
  <si>
    <t>LETTERKENNY</t>
  </si>
  <si>
    <t>IEMOV</t>
  </si>
  <si>
    <t>MOVILLE</t>
  </si>
  <si>
    <t>IENRS</t>
  </si>
  <si>
    <t>NEW ROSS</t>
  </si>
  <si>
    <t>IEORK</t>
  </si>
  <si>
    <t>ORK</t>
  </si>
  <si>
    <t>CORK</t>
  </si>
  <si>
    <t>IERAT</t>
  </si>
  <si>
    <t>RATHMULLEN</t>
  </si>
  <si>
    <t>IEROS</t>
  </si>
  <si>
    <t>ROSSLARE HARBOUR</t>
  </si>
  <si>
    <t>IESCH</t>
  </si>
  <si>
    <t>SCHULL</t>
  </si>
  <si>
    <t>IESNN</t>
  </si>
  <si>
    <t>SNN</t>
  </si>
  <si>
    <t>SHANNON</t>
  </si>
  <si>
    <t>IESXL</t>
  </si>
  <si>
    <t>SXL</t>
  </si>
  <si>
    <t>SLIGO</t>
  </si>
  <si>
    <t>IETRA</t>
  </si>
  <si>
    <t>TRALEE</t>
  </si>
  <si>
    <t>IEWAT</t>
  </si>
  <si>
    <t>WATERFORD</t>
  </si>
  <si>
    <t>IEWES</t>
  </si>
  <si>
    <t>WESTPORT</t>
  </si>
  <si>
    <t>IEWEX</t>
  </si>
  <si>
    <t>WEX</t>
  </si>
  <si>
    <t>WEXFORD</t>
  </si>
  <si>
    <t>IEWIC</t>
  </si>
  <si>
    <t>WICKLOW</t>
  </si>
  <si>
    <t>IEYOU</t>
  </si>
  <si>
    <t>YOU</t>
  </si>
  <si>
    <t>YOUGHAL</t>
  </si>
  <si>
    <t>IEZZZ</t>
  </si>
  <si>
    <t>BELMULLET</t>
  </si>
  <si>
    <t>KILKENNY ISLA</t>
  </si>
  <si>
    <t>KKY</t>
  </si>
  <si>
    <t>ISRAEL</t>
  </si>
  <si>
    <t>イスラエル</t>
  </si>
  <si>
    <t>ILACR</t>
  </si>
  <si>
    <t>IL</t>
  </si>
  <si>
    <t>ACRE</t>
  </si>
  <si>
    <t>ILASH</t>
  </si>
  <si>
    <t>ASH</t>
  </si>
  <si>
    <t>ASHDOD</t>
  </si>
  <si>
    <t>ILBEV</t>
  </si>
  <si>
    <t>BEV</t>
  </si>
  <si>
    <t>BEER SHEBA</t>
  </si>
  <si>
    <t>ISR</t>
  </si>
  <si>
    <t>ILEIY</t>
  </si>
  <si>
    <t>EIY</t>
  </si>
  <si>
    <t>EIN YAHAV</t>
  </si>
  <si>
    <t>ILETH</t>
  </si>
  <si>
    <t>ELAT (EILATH)</t>
  </si>
  <si>
    <t>ILHAD</t>
  </si>
  <si>
    <t>HADERA</t>
  </si>
  <si>
    <t>ILHFA</t>
  </si>
  <si>
    <t>HFA</t>
  </si>
  <si>
    <t>HAIFA</t>
  </si>
  <si>
    <t>ILJFA</t>
  </si>
  <si>
    <t>JFA</t>
  </si>
  <si>
    <t>JAFFA</t>
  </si>
  <si>
    <t>ILJRS</t>
  </si>
  <si>
    <t>JRS</t>
  </si>
  <si>
    <t>JERUSALEM</t>
  </si>
  <si>
    <t>ILMIP</t>
  </si>
  <si>
    <t>MIP</t>
  </si>
  <si>
    <t>MITSPEH RAMON</t>
  </si>
  <si>
    <t>ILMTZ</t>
  </si>
  <si>
    <t>MTZ</t>
  </si>
  <si>
    <t>MASADA</t>
  </si>
  <si>
    <t>ILNAT</t>
  </si>
  <si>
    <t>NATANYA</t>
  </si>
  <si>
    <t>ILRPN</t>
  </si>
  <si>
    <t>RPN</t>
  </si>
  <si>
    <t>ROSH PINA</t>
  </si>
  <si>
    <t>ILSDV</t>
  </si>
  <si>
    <t>SDV</t>
  </si>
  <si>
    <t>TEL AVIV YAFO</t>
  </si>
  <si>
    <t>ILSED</t>
  </si>
  <si>
    <t>SED</t>
  </si>
  <si>
    <t>SEDOM</t>
  </si>
  <si>
    <t>ILTLV</t>
  </si>
  <si>
    <t>TLV</t>
  </si>
  <si>
    <t>TEL AVIV</t>
  </si>
  <si>
    <t>ILZZZ</t>
  </si>
  <si>
    <t>INDIA</t>
  </si>
  <si>
    <t>インド</t>
  </si>
  <si>
    <t>INAGR</t>
  </si>
  <si>
    <t>IN</t>
  </si>
  <si>
    <t>AGR</t>
  </si>
  <si>
    <t>AGRA</t>
  </si>
  <si>
    <t>INALF</t>
  </si>
  <si>
    <t>ALLEPPEY</t>
  </si>
  <si>
    <t>INAMD</t>
  </si>
  <si>
    <t>AMD</t>
  </si>
  <si>
    <t>AHMEDABAD</t>
  </si>
  <si>
    <t>INATQ</t>
  </si>
  <si>
    <t>ATQ</t>
  </si>
  <si>
    <t>AMRITSAR</t>
  </si>
  <si>
    <t>INBBI</t>
  </si>
  <si>
    <t>BHUBANESWAR</t>
  </si>
  <si>
    <t>INBDQ</t>
  </si>
  <si>
    <t>BDQ</t>
  </si>
  <si>
    <t>VADODARA (BARODA)</t>
  </si>
  <si>
    <t>INBED</t>
  </si>
  <si>
    <t>BED</t>
  </si>
  <si>
    <t>BEDI</t>
  </si>
  <si>
    <t>INBET</t>
  </si>
  <si>
    <t>BETUL</t>
  </si>
  <si>
    <t>INBEY</t>
  </si>
  <si>
    <t>BEY</t>
  </si>
  <si>
    <t>BEYPORE</t>
  </si>
  <si>
    <t>INBHJ</t>
  </si>
  <si>
    <t>BHJ</t>
  </si>
  <si>
    <t>BHUJ</t>
  </si>
  <si>
    <t>INBHO</t>
  </si>
  <si>
    <t>BHOPAL</t>
  </si>
  <si>
    <t>INBHU</t>
  </si>
  <si>
    <t>BHAVNAGAR</t>
  </si>
  <si>
    <t>INBLK</t>
  </si>
  <si>
    <t>BELEKERI</t>
  </si>
  <si>
    <t>INBLR</t>
  </si>
  <si>
    <t>BLR</t>
  </si>
  <si>
    <t>BANGALORE</t>
  </si>
  <si>
    <t>INBND</t>
  </si>
  <si>
    <t>BND</t>
  </si>
  <si>
    <t>BANDDAR</t>
  </si>
  <si>
    <t>INBOM</t>
  </si>
  <si>
    <t>MUMBAI(EX BOMBAY)</t>
  </si>
  <si>
    <t>INCAM</t>
  </si>
  <si>
    <t>CAMBAY</t>
  </si>
  <si>
    <t>INCAR</t>
  </si>
  <si>
    <t>CARIJAM</t>
  </si>
  <si>
    <t>INCBL</t>
  </si>
  <si>
    <t>CBL</t>
  </si>
  <si>
    <t>CHANDBALI</t>
  </si>
  <si>
    <t>INCCJ</t>
  </si>
  <si>
    <t>CCJ</t>
  </si>
  <si>
    <t>KOZHIKODE</t>
  </si>
  <si>
    <t>INCCU</t>
  </si>
  <si>
    <t>KOLKATA</t>
  </si>
  <si>
    <t>INCDL</t>
  </si>
  <si>
    <t>CDL</t>
  </si>
  <si>
    <t>CUDDALORE</t>
  </si>
  <si>
    <t>INCJB</t>
  </si>
  <si>
    <t>CJB</t>
  </si>
  <si>
    <t>COIMBATORE</t>
  </si>
  <si>
    <t>INCLC</t>
  </si>
  <si>
    <t>CALICUT (KOZHIKODE)</t>
  </si>
  <si>
    <t>INCOH</t>
  </si>
  <si>
    <t>COH</t>
  </si>
  <si>
    <t>COOCH BEHAR</t>
  </si>
  <si>
    <t>INCOK</t>
  </si>
  <si>
    <t>COK</t>
  </si>
  <si>
    <t>COCHIN</t>
  </si>
  <si>
    <t>INCOL</t>
  </si>
  <si>
    <t>COLOCHEL</t>
  </si>
  <si>
    <t>INCOO</t>
  </si>
  <si>
    <t>COONDAPUR</t>
  </si>
  <si>
    <t>INCUM</t>
  </si>
  <si>
    <t>CUM</t>
  </si>
  <si>
    <t>CUTCH MANDVI</t>
  </si>
  <si>
    <t>INDAH</t>
  </si>
  <si>
    <t>DAH</t>
  </si>
  <si>
    <t>DAHEJ</t>
  </si>
  <si>
    <t>INDAI</t>
  </si>
  <si>
    <t>DAI</t>
  </si>
  <si>
    <t>DARJEELING</t>
  </si>
  <si>
    <t>INDAM</t>
  </si>
  <si>
    <t>DAMAN</t>
  </si>
  <si>
    <t>INDED</t>
  </si>
  <si>
    <t>DED</t>
  </si>
  <si>
    <t>DEHRA DUN</t>
  </si>
  <si>
    <t>INDEL</t>
  </si>
  <si>
    <t>DELHI</t>
  </si>
  <si>
    <t>INDIB</t>
  </si>
  <si>
    <t>DIBRUGARH</t>
  </si>
  <si>
    <t>INDIU</t>
  </si>
  <si>
    <t>DIU</t>
  </si>
  <si>
    <t>INDMU</t>
  </si>
  <si>
    <t>DMU</t>
  </si>
  <si>
    <t>DIMAPUR</t>
  </si>
  <si>
    <t>INDUR</t>
  </si>
  <si>
    <t>DUR</t>
  </si>
  <si>
    <t>DURGAPUR</t>
  </si>
  <si>
    <t>INDWA</t>
  </si>
  <si>
    <t>DWA</t>
  </si>
  <si>
    <t>DWARKA</t>
  </si>
  <si>
    <t>INENR</t>
  </si>
  <si>
    <t>ENR</t>
  </si>
  <si>
    <t>ENNORE</t>
  </si>
  <si>
    <t>INFAR</t>
  </si>
  <si>
    <t>FARRAKKA</t>
  </si>
  <si>
    <t>INGAU</t>
  </si>
  <si>
    <t>GAUHATI</t>
  </si>
  <si>
    <t>INGAY</t>
  </si>
  <si>
    <t>GAY</t>
  </si>
  <si>
    <t>GAYA</t>
  </si>
  <si>
    <t>INGOI</t>
  </si>
  <si>
    <t>GOI</t>
  </si>
  <si>
    <t>GOA</t>
  </si>
  <si>
    <t>INGOP</t>
  </si>
  <si>
    <t>GOP</t>
  </si>
  <si>
    <t>GORAKHPUR</t>
  </si>
  <si>
    <t>INGPR</t>
  </si>
  <si>
    <t>GPR</t>
  </si>
  <si>
    <t>GOPALPUR</t>
  </si>
  <si>
    <t>INGUD</t>
  </si>
  <si>
    <t>GUD</t>
  </si>
  <si>
    <t>GUDUR</t>
  </si>
  <si>
    <t>INGWL</t>
  </si>
  <si>
    <t>GWL</t>
  </si>
  <si>
    <t>GWALIOR</t>
  </si>
  <si>
    <t>INHAL</t>
  </si>
  <si>
    <t>HALDIA</t>
  </si>
  <si>
    <t>INHJR</t>
  </si>
  <si>
    <t>HJR</t>
  </si>
  <si>
    <t>KHAJURAHO</t>
  </si>
  <si>
    <t>INHON</t>
  </si>
  <si>
    <t>HONAVAR</t>
  </si>
  <si>
    <t>INHYD</t>
  </si>
  <si>
    <t>HYDERABAD</t>
  </si>
  <si>
    <t>INHZR</t>
  </si>
  <si>
    <t>HAZIRA</t>
  </si>
  <si>
    <t>INIDR</t>
  </si>
  <si>
    <t>IDR</t>
  </si>
  <si>
    <t>INDORE</t>
  </si>
  <si>
    <t>INIMF</t>
  </si>
  <si>
    <t>IMF</t>
  </si>
  <si>
    <t>IMPHAL</t>
  </si>
  <si>
    <t>INISK</t>
  </si>
  <si>
    <t>ISK</t>
  </si>
  <si>
    <t>NASIK</t>
  </si>
  <si>
    <t>INIXA</t>
  </si>
  <si>
    <t>IXA</t>
  </si>
  <si>
    <t>AGARTALA</t>
  </si>
  <si>
    <t>INIXB</t>
  </si>
  <si>
    <t>IXB</t>
  </si>
  <si>
    <t>BAGDOGRA</t>
  </si>
  <si>
    <t>INIXC</t>
  </si>
  <si>
    <t>IXC</t>
  </si>
  <si>
    <t>CHANDIGARH</t>
  </si>
  <si>
    <t>INIXD</t>
  </si>
  <si>
    <t>IXD</t>
  </si>
  <si>
    <t>ALLAHABAD</t>
  </si>
  <si>
    <t>INIXE</t>
  </si>
  <si>
    <t>IXE</t>
  </si>
  <si>
    <t>MANGALORE (NEW MANGALORE)</t>
  </si>
  <si>
    <t>INIXG</t>
  </si>
  <si>
    <t>IXG</t>
  </si>
  <si>
    <t>BELGAUM</t>
  </si>
  <si>
    <t>INIXH</t>
  </si>
  <si>
    <t>IXH</t>
  </si>
  <si>
    <t>KAILASHAHAR</t>
  </si>
  <si>
    <t>INIXI</t>
  </si>
  <si>
    <t>IXI</t>
  </si>
  <si>
    <t>LILABARI</t>
  </si>
  <si>
    <t>INIXJ</t>
  </si>
  <si>
    <t>IXJ</t>
  </si>
  <si>
    <t>JAMMU</t>
  </si>
  <si>
    <t>INIXK</t>
  </si>
  <si>
    <t>IXK</t>
  </si>
  <si>
    <t>KESHOD</t>
  </si>
  <si>
    <t>INIXL</t>
  </si>
  <si>
    <t>IXL</t>
  </si>
  <si>
    <t>INIXM</t>
  </si>
  <si>
    <t>IXM</t>
  </si>
  <si>
    <t>MADURAI</t>
  </si>
  <si>
    <t>INIXN</t>
  </si>
  <si>
    <t>IXN</t>
  </si>
  <si>
    <t>KHOWAI</t>
  </si>
  <si>
    <t>INIXP</t>
  </si>
  <si>
    <t>IXP</t>
  </si>
  <si>
    <t>PATHANKOT</t>
  </si>
  <si>
    <t>INIXQ</t>
  </si>
  <si>
    <t>IXQ</t>
  </si>
  <si>
    <t>KAMALPUR</t>
  </si>
  <si>
    <t>INIXR</t>
  </si>
  <si>
    <t>IXR</t>
  </si>
  <si>
    <t>RANCHI</t>
  </si>
  <si>
    <t>INIXS</t>
  </si>
  <si>
    <t>IXS</t>
  </si>
  <si>
    <t>SILCHAR</t>
  </si>
  <si>
    <t>INIXT</t>
  </si>
  <si>
    <t>IXT</t>
  </si>
  <si>
    <t>PASIGHAT</t>
  </si>
  <si>
    <t>INIXU</t>
  </si>
  <si>
    <t>IXU</t>
  </si>
  <si>
    <t>AURANGABAD</t>
  </si>
  <si>
    <t>INIXW</t>
  </si>
  <si>
    <t>IXW</t>
  </si>
  <si>
    <t>JAMSHEDPUR</t>
  </si>
  <si>
    <t>INIXY</t>
  </si>
  <si>
    <t>IXY</t>
  </si>
  <si>
    <t>KANDLA</t>
  </si>
  <si>
    <t>INIXZ</t>
  </si>
  <si>
    <t>IXZ</t>
  </si>
  <si>
    <t>PORT BLAIR - ANDAMANIS</t>
  </si>
  <si>
    <t>INJAI</t>
  </si>
  <si>
    <t>JAI</t>
  </si>
  <si>
    <t>JAIPUR</t>
  </si>
  <si>
    <t>INJAK</t>
  </si>
  <si>
    <t>JAKHAU</t>
  </si>
  <si>
    <t>INJDH</t>
  </si>
  <si>
    <t>JDH</t>
  </si>
  <si>
    <t>JODHPUR</t>
  </si>
  <si>
    <t>INJGA</t>
  </si>
  <si>
    <t>JGA</t>
  </si>
  <si>
    <t>JAMNAGAR</t>
  </si>
  <si>
    <t>INJLR</t>
  </si>
  <si>
    <t>JLR</t>
  </si>
  <si>
    <t>JABALPUR</t>
  </si>
  <si>
    <t>INJRH</t>
  </si>
  <si>
    <t>JRH</t>
  </si>
  <si>
    <t>JORHAT</t>
  </si>
  <si>
    <t>INKAK</t>
  </si>
  <si>
    <t>KAK</t>
  </si>
  <si>
    <t>KAKINADA</t>
  </si>
  <si>
    <t>INKAT</t>
  </si>
  <si>
    <t>KATTUPALLI</t>
  </si>
  <si>
    <t>INKBT</t>
  </si>
  <si>
    <t>KBT</t>
  </si>
  <si>
    <t>KHAMBHAT</t>
  </si>
  <si>
    <t>INKNU</t>
  </si>
  <si>
    <t>KNU</t>
  </si>
  <si>
    <t>KANPUR</t>
  </si>
  <si>
    <t>INKOD</t>
  </si>
  <si>
    <t>KOD</t>
  </si>
  <si>
    <t>KODINAR</t>
  </si>
  <si>
    <t>INKOI</t>
  </si>
  <si>
    <t>KOILTHOLTAM</t>
  </si>
  <si>
    <t>INKOK</t>
  </si>
  <si>
    <t>KOKA</t>
  </si>
  <si>
    <t>INKRI</t>
  </si>
  <si>
    <t>KRI</t>
  </si>
  <si>
    <t>KRISHNAPATNAM</t>
  </si>
  <si>
    <t>INKRK</t>
  </si>
  <si>
    <t>KRK</t>
  </si>
  <si>
    <t>KARIKAL</t>
  </si>
  <si>
    <t>INKRW</t>
  </si>
  <si>
    <t>KRW</t>
  </si>
  <si>
    <t>KARWAR</t>
  </si>
  <si>
    <t>INKTP</t>
  </si>
  <si>
    <t>KATTUPALLI PORT</t>
  </si>
  <si>
    <t>INKUU</t>
  </si>
  <si>
    <t>KUU</t>
  </si>
  <si>
    <t>KULU</t>
  </si>
  <si>
    <t>INLKO</t>
  </si>
  <si>
    <t>LKO</t>
  </si>
  <si>
    <t>LUCKNOW</t>
  </si>
  <si>
    <t>INMAA</t>
  </si>
  <si>
    <t>CHENNAI (EX MADRAS)</t>
  </si>
  <si>
    <t>INMAH</t>
  </si>
  <si>
    <t>MAHE</t>
  </si>
  <si>
    <t>INMAL</t>
  </si>
  <si>
    <t>MALPE</t>
  </si>
  <si>
    <t>INMAP</t>
  </si>
  <si>
    <t>MAP</t>
  </si>
  <si>
    <t>MASULIPATNAM</t>
  </si>
  <si>
    <t>INMDA</t>
  </si>
  <si>
    <t>MDA</t>
  </si>
  <si>
    <t>MAGDALLA</t>
  </si>
  <si>
    <t>INMDP</t>
  </si>
  <si>
    <t>MANDAPAM</t>
  </si>
  <si>
    <t>INMGR</t>
  </si>
  <si>
    <t>MGR</t>
  </si>
  <si>
    <t>MANGROL</t>
  </si>
  <si>
    <t>INMLI</t>
  </si>
  <si>
    <t>MAROLI</t>
  </si>
  <si>
    <t>INMOH</t>
  </si>
  <si>
    <t>MOHANBARI</t>
  </si>
  <si>
    <t>INMRM</t>
  </si>
  <si>
    <t>MORMUGAO</t>
  </si>
  <si>
    <t>INMUN</t>
  </si>
  <si>
    <t>MUN</t>
  </si>
  <si>
    <t>MUNDRA</t>
  </si>
  <si>
    <t>INMUR</t>
  </si>
  <si>
    <t>MURAD</t>
  </si>
  <si>
    <t>INMZA</t>
  </si>
  <si>
    <t>MZA</t>
  </si>
  <si>
    <t>MUZAFFARNAGAR</t>
  </si>
  <si>
    <t>INMZU</t>
  </si>
  <si>
    <t>MZU</t>
  </si>
  <si>
    <t>MUZAFFARPUR</t>
  </si>
  <si>
    <t>INNAG</t>
  </si>
  <si>
    <t>NAGPUR</t>
  </si>
  <si>
    <t>INNAN</t>
  </si>
  <si>
    <t>NANCOWRIE</t>
  </si>
  <si>
    <t>INNAV</t>
  </si>
  <si>
    <t>NAV</t>
  </si>
  <si>
    <t>NAVALAKHI</t>
  </si>
  <si>
    <t>INNEE</t>
  </si>
  <si>
    <t>NEE</t>
  </si>
  <si>
    <t>NEENDHAKARA</t>
  </si>
  <si>
    <t>INNEL</t>
  </si>
  <si>
    <t>NELLORE</t>
  </si>
  <si>
    <t>INNML</t>
  </si>
  <si>
    <t>NML</t>
  </si>
  <si>
    <t>NEW MANGALORE (MANGALORE)</t>
  </si>
  <si>
    <t>INNPT</t>
  </si>
  <si>
    <t>NAGAPPATTINAM</t>
  </si>
  <si>
    <t>INNSA</t>
  </si>
  <si>
    <t>JAWAHARLAL NEHRU (NHAVA SHEVA)</t>
  </si>
  <si>
    <t>INOKH</t>
  </si>
  <si>
    <t>OKH</t>
  </si>
  <si>
    <t>OKHA</t>
  </si>
  <si>
    <t>INPAN</t>
  </si>
  <si>
    <t>PANAJI - GOA</t>
  </si>
  <si>
    <t>INPAT</t>
  </si>
  <si>
    <t>PAT</t>
  </si>
  <si>
    <t>PATNA</t>
  </si>
  <si>
    <t>INPAV</t>
  </si>
  <si>
    <t>PIPAVAV (VICTOR) PORT</t>
  </si>
  <si>
    <t>INPBD</t>
  </si>
  <si>
    <t>PBD</t>
  </si>
  <si>
    <t>PORBANDAR</t>
  </si>
  <si>
    <t>INPGH</t>
  </si>
  <si>
    <t>PGH</t>
  </si>
  <si>
    <t>PANTNAGAR</t>
  </si>
  <si>
    <t>INPID</t>
  </si>
  <si>
    <t>PID</t>
  </si>
  <si>
    <t>PORT INDAI</t>
  </si>
  <si>
    <t>INPIN</t>
  </si>
  <si>
    <t>PINDHARA</t>
  </si>
  <si>
    <t>INPNQ</t>
  </si>
  <si>
    <t>PNQ</t>
  </si>
  <si>
    <t>PUNE</t>
  </si>
  <si>
    <t>INPNY</t>
  </si>
  <si>
    <t>PNY</t>
  </si>
  <si>
    <t>PONDICHERRY</t>
  </si>
  <si>
    <t>INPRT</t>
  </si>
  <si>
    <t>PRT</t>
  </si>
  <si>
    <t>PARADIP</t>
  </si>
  <si>
    <t>INPUL</t>
  </si>
  <si>
    <t>PUL</t>
  </si>
  <si>
    <t>PULICAT</t>
  </si>
  <si>
    <t>INPUR</t>
  </si>
  <si>
    <t>PURI</t>
  </si>
  <si>
    <t>INQUI</t>
  </si>
  <si>
    <t>QUI</t>
  </si>
  <si>
    <t>QUILON</t>
  </si>
  <si>
    <t>INRAJ</t>
  </si>
  <si>
    <t>RAJ</t>
  </si>
  <si>
    <t>RAJKOT</t>
  </si>
  <si>
    <t>INRAM</t>
  </si>
  <si>
    <t>RAMESHWARAM</t>
  </si>
  <si>
    <t>INRED</t>
  </si>
  <si>
    <t>REDI</t>
  </si>
  <si>
    <t>INRPR</t>
  </si>
  <si>
    <t>RPR</t>
  </si>
  <si>
    <t>RAIPUR</t>
  </si>
  <si>
    <t>INRRI</t>
  </si>
  <si>
    <t>RRI</t>
  </si>
  <si>
    <t>RAIRI</t>
  </si>
  <si>
    <t>INRRK</t>
  </si>
  <si>
    <t>RRK</t>
  </si>
  <si>
    <t>ROURKELA</t>
  </si>
  <si>
    <t>INRTC</t>
  </si>
  <si>
    <t>RTC</t>
  </si>
  <si>
    <t>RATNAGIRI</t>
  </si>
  <si>
    <t>INRUP</t>
  </si>
  <si>
    <t>RUP</t>
  </si>
  <si>
    <t>RUPSI</t>
  </si>
  <si>
    <t>INSAL</t>
  </si>
  <si>
    <t>SALAYA</t>
  </si>
  <si>
    <t>INSHI</t>
  </si>
  <si>
    <t>SHIRODA</t>
  </si>
  <si>
    <t>INSHL</t>
  </si>
  <si>
    <t>SHILLONG</t>
  </si>
  <si>
    <t>INSIK</t>
  </si>
  <si>
    <t>SIKA</t>
  </si>
  <si>
    <t>INSTV</t>
  </si>
  <si>
    <t>SURAT</t>
  </si>
  <si>
    <t>INSXR</t>
  </si>
  <si>
    <t>SXR</t>
  </si>
  <si>
    <t>SRINAGAR</t>
  </si>
  <si>
    <t>INTAD</t>
  </si>
  <si>
    <t>TAD</t>
  </si>
  <si>
    <t>TADRIP</t>
  </si>
  <si>
    <t>INTEI</t>
  </si>
  <si>
    <t>TEZU</t>
  </si>
  <si>
    <t>INTEL</t>
  </si>
  <si>
    <t>TEL</t>
  </si>
  <si>
    <t>TELLICHERRY</t>
  </si>
  <si>
    <t>INTEZ</t>
  </si>
  <si>
    <t>TEZ</t>
  </si>
  <si>
    <t>TEZPUR</t>
  </si>
  <si>
    <t>INTIR</t>
  </si>
  <si>
    <t>TIR</t>
  </si>
  <si>
    <t>TIRUPATI</t>
  </si>
  <si>
    <t>INTIV</t>
  </si>
  <si>
    <t>TIV</t>
  </si>
  <si>
    <t>TIVIRI</t>
  </si>
  <si>
    <t>INTRA</t>
  </si>
  <si>
    <t>TRANQUEBAR</t>
  </si>
  <si>
    <t>INTRV</t>
  </si>
  <si>
    <t>TRV</t>
  </si>
  <si>
    <t>TRIVANDRUM</t>
  </si>
  <si>
    <t>INTRZ</t>
  </si>
  <si>
    <t>TRZ</t>
  </si>
  <si>
    <t>TIRUCHIRAPALLI</t>
  </si>
  <si>
    <t>INTUT</t>
  </si>
  <si>
    <t>TUTICORIN (NEW TUTICORIN)</t>
  </si>
  <si>
    <t>INUDR</t>
  </si>
  <si>
    <t>UDR</t>
  </si>
  <si>
    <t>UDAIPUR</t>
  </si>
  <si>
    <t>INUMB</t>
  </si>
  <si>
    <t>UMB</t>
  </si>
  <si>
    <t>UMBERGAON (GUJARAT)</t>
  </si>
  <si>
    <t>INVAD</t>
  </si>
  <si>
    <t>VAD</t>
  </si>
  <si>
    <t>VADINAR</t>
  </si>
  <si>
    <t>INVEP</t>
  </si>
  <si>
    <t>VEP</t>
  </si>
  <si>
    <t>VEPPALODAI</t>
  </si>
  <si>
    <t>INVGA</t>
  </si>
  <si>
    <t>VGA</t>
  </si>
  <si>
    <t>VIJAYAWADA</t>
  </si>
  <si>
    <t>INVNS</t>
  </si>
  <si>
    <t>VNS</t>
  </si>
  <si>
    <t>VARANASI (BENARES)</t>
  </si>
  <si>
    <t>INVTZ</t>
  </si>
  <si>
    <t>VTZ</t>
  </si>
  <si>
    <t>VISAKHAPATNAM</t>
  </si>
  <si>
    <t>INVVA</t>
  </si>
  <si>
    <t>VVA</t>
  </si>
  <si>
    <t>VERAVAL</t>
  </si>
  <si>
    <t>INZZZ</t>
  </si>
  <si>
    <t>ALONG</t>
  </si>
  <si>
    <t>IXV</t>
  </si>
  <si>
    <t>BRITISH INDIAN OCEAN TERRITORI</t>
  </si>
  <si>
    <t>英領インド洋地域</t>
  </si>
  <si>
    <t>IOCGS</t>
  </si>
  <si>
    <t>IO</t>
  </si>
  <si>
    <t>CGS</t>
  </si>
  <si>
    <t>CHAGOS</t>
  </si>
  <si>
    <t>IOZZZ</t>
  </si>
  <si>
    <t>IRAQ</t>
  </si>
  <si>
    <t>イラク</t>
  </si>
  <si>
    <t>IQBGW</t>
  </si>
  <si>
    <t>IQ</t>
  </si>
  <si>
    <t>BGW</t>
  </si>
  <si>
    <t>BAGHDAD</t>
  </si>
  <si>
    <t>IQBSR</t>
  </si>
  <si>
    <t>BSR</t>
  </si>
  <si>
    <t>BASRA</t>
  </si>
  <si>
    <t>IQEBL</t>
  </si>
  <si>
    <t>ERBIL INTERNATIONAL APT</t>
  </si>
  <si>
    <t xml:space="preserve">IRAQ </t>
  </si>
  <si>
    <t>IQFAO</t>
  </si>
  <si>
    <t>FAO</t>
  </si>
  <si>
    <t>IQHIL</t>
  </si>
  <si>
    <t>HILLAH</t>
  </si>
  <si>
    <t>IQIKD</t>
  </si>
  <si>
    <t>IKD</t>
  </si>
  <si>
    <t>ISKANDARIYHA</t>
  </si>
  <si>
    <t>IQKAR</t>
  </si>
  <si>
    <t>KARBALA</t>
  </si>
  <si>
    <t>IQKHA</t>
  </si>
  <si>
    <t>KHA</t>
  </si>
  <si>
    <t>KHOR AL AMAYA</t>
  </si>
  <si>
    <t>IQKIK</t>
  </si>
  <si>
    <t>KIK</t>
  </si>
  <si>
    <t>KIRKUK</t>
  </si>
  <si>
    <t>IQMAB</t>
  </si>
  <si>
    <t>MINA AL BAKIR</t>
  </si>
  <si>
    <t>IQMAN</t>
  </si>
  <si>
    <t>MANDALI</t>
  </si>
  <si>
    <t>IQMAW</t>
  </si>
  <si>
    <t>MAWSIL</t>
  </si>
  <si>
    <t>IQNAS</t>
  </si>
  <si>
    <t>NAJAT</t>
  </si>
  <si>
    <t>IQOSM</t>
  </si>
  <si>
    <t>OSM</t>
  </si>
  <si>
    <t>MOSUL</t>
  </si>
  <si>
    <t>IQSAM</t>
  </si>
  <si>
    <t>SAM</t>
  </si>
  <si>
    <t>SAMARA</t>
  </si>
  <si>
    <t>IQSDA</t>
  </si>
  <si>
    <t>SDA</t>
  </si>
  <si>
    <t>IQUQR</t>
  </si>
  <si>
    <t>UQR</t>
  </si>
  <si>
    <t>UMM QASR</t>
  </si>
  <si>
    <t>IQZZZ</t>
  </si>
  <si>
    <t>BAMERNY</t>
  </si>
  <si>
    <t>BMN</t>
  </si>
  <si>
    <t>IRAN,ISLAMIC REPUBLIC OF</t>
  </si>
  <si>
    <t>イラン</t>
  </si>
  <si>
    <t>IRABD</t>
  </si>
  <si>
    <t>IR</t>
  </si>
  <si>
    <t>ABADAN</t>
  </si>
  <si>
    <t>IRAN</t>
  </si>
  <si>
    <t>IRAWZ</t>
  </si>
  <si>
    <t>AWZ</t>
  </si>
  <si>
    <t>AHWAZ</t>
  </si>
  <si>
    <t>IRAZD</t>
  </si>
  <si>
    <t>AZD</t>
  </si>
  <si>
    <t>YAZD</t>
  </si>
  <si>
    <t>IRBBL</t>
  </si>
  <si>
    <t>BBL</t>
  </si>
  <si>
    <t>BABOLSAR</t>
  </si>
  <si>
    <t>IRBDH</t>
  </si>
  <si>
    <t>BDH</t>
  </si>
  <si>
    <t>BANDAR LENGEH</t>
  </si>
  <si>
    <t>IRBKM</t>
  </si>
  <si>
    <t>BKM</t>
  </si>
  <si>
    <t>BANDAR KHOMEINI</t>
  </si>
  <si>
    <t>IRBMR</t>
  </si>
  <si>
    <t>BANDAR MASHUR</t>
  </si>
  <si>
    <t>IRBND</t>
  </si>
  <si>
    <t>BANDAR ABBAS</t>
  </si>
  <si>
    <t>IRBUZ</t>
  </si>
  <si>
    <t>BUSHEHR</t>
  </si>
  <si>
    <t>IRCYT</t>
  </si>
  <si>
    <t>CYT</t>
  </si>
  <si>
    <t>CYRUS TERMINAL</t>
  </si>
  <si>
    <t>IRHDM</t>
  </si>
  <si>
    <t>HDM</t>
  </si>
  <si>
    <t>HAMADAN</t>
  </si>
  <si>
    <t>IRHTP</t>
  </si>
  <si>
    <t>HARTA POINT</t>
  </si>
  <si>
    <t>IRIAQ</t>
  </si>
  <si>
    <t>IAQ</t>
  </si>
  <si>
    <t>BAHREGAN</t>
  </si>
  <si>
    <t>IRIFN</t>
  </si>
  <si>
    <t>IFN</t>
  </si>
  <si>
    <t>ISFAHAN</t>
  </si>
  <si>
    <t>IRIKA</t>
  </si>
  <si>
    <t>IKA</t>
  </si>
  <si>
    <t>IMAM KHOMEINI INTL APT/TEHRAN</t>
  </si>
  <si>
    <t>IRKAS</t>
  </si>
  <si>
    <t>KASHAN</t>
  </si>
  <si>
    <t>IRKER</t>
  </si>
  <si>
    <t>KER</t>
  </si>
  <si>
    <t>KERMAN</t>
  </si>
  <si>
    <t>IRKHA</t>
  </si>
  <si>
    <t>KHANEH</t>
  </si>
  <si>
    <t>IRKHK</t>
  </si>
  <si>
    <t>KHK</t>
  </si>
  <si>
    <t>KHARK ISLAND</t>
  </si>
  <si>
    <t>IRKHO</t>
  </si>
  <si>
    <t>KHORRAMSHAHR</t>
  </si>
  <si>
    <t>IRKIH</t>
  </si>
  <si>
    <t>KIH</t>
  </si>
  <si>
    <t>KISH ISLAND</t>
  </si>
  <si>
    <t>IRLVP</t>
  </si>
  <si>
    <t>LVP</t>
  </si>
  <si>
    <t>LAVAN ISLAND</t>
  </si>
  <si>
    <t>IRMHD</t>
  </si>
  <si>
    <t>MHD</t>
  </si>
  <si>
    <t>MASHAD</t>
  </si>
  <si>
    <t>IRNSH</t>
  </si>
  <si>
    <t>NOW SHAHR</t>
  </si>
  <si>
    <t>IROMH</t>
  </si>
  <si>
    <t>OMH</t>
  </si>
  <si>
    <t>ORUMIEH</t>
  </si>
  <si>
    <t>IRPMA</t>
  </si>
  <si>
    <t>PORT OF MAHSHAHR</t>
  </si>
  <si>
    <t>IRRAS</t>
  </si>
  <si>
    <t>RASHT</t>
  </si>
  <si>
    <t>IRRBA</t>
  </si>
  <si>
    <t>RBA</t>
  </si>
  <si>
    <t>RAS BAHRGAN</t>
  </si>
  <si>
    <t>IRRZR</t>
  </si>
  <si>
    <t>RZR</t>
  </si>
  <si>
    <t>RAMSAR</t>
  </si>
  <si>
    <t>IRSDG</t>
  </si>
  <si>
    <t>SANANDAJ</t>
  </si>
  <si>
    <t>IRSHB</t>
  </si>
  <si>
    <t>SHYAH BANDER</t>
  </si>
  <si>
    <t>IRSIX</t>
  </si>
  <si>
    <t>SARI</t>
  </si>
  <si>
    <t>IRSXI</t>
  </si>
  <si>
    <t>SXI</t>
  </si>
  <si>
    <t>SIRRI ISLAND</t>
  </si>
  <si>
    <t>IRSYZ</t>
  </si>
  <si>
    <t>SYZ</t>
  </si>
  <si>
    <t>SHIRAZ</t>
  </si>
  <si>
    <t>IRTBZ</t>
  </si>
  <si>
    <t>TBZ</t>
  </si>
  <si>
    <t>TABRIZ</t>
  </si>
  <si>
    <t>IRTHR</t>
  </si>
  <si>
    <t>THR</t>
  </si>
  <si>
    <t>TEHRAN</t>
  </si>
  <si>
    <t>IRXBJ</t>
  </si>
  <si>
    <t>XBJ</t>
  </si>
  <si>
    <t>BIRJAND</t>
  </si>
  <si>
    <t>IRZAH</t>
  </si>
  <si>
    <t>ZAHEDAN</t>
  </si>
  <si>
    <t>IRZBR</t>
  </si>
  <si>
    <t>ZBR</t>
  </si>
  <si>
    <t>CHAH-BAHAR</t>
  </si>
  <si>
    <t>IRZZZ</t>
  </si>
  <si>
    <t>ICELAND</t>
  </si>
  <si>
    <t>アイスランド</t>
  </si>
  <si>
    <t>ISAEY</t>
  </si>
  <si>
    <t>IS</t>
  </si>
  <si>
    <t>AEY</t>
  </si>
  <si>
    <t>AKUREYRI</t>
  </si>
  <si>
    <t>ICE</t>
  </si>
  <si>
    <t>ISAKR</t>
  </si>
  <si>
    <t>AKR</t>
  </si>
  <si>
    <t>AKRANES</t>
  </si>
  <si>
    <t>ISBGJ</t>
  </si>
  <si>
    <t>BGJ</t>
  </si>
  <si>
    <t>BORGAFJORDUR</t>
  </si>
  <si>
    <t>ISBIU</t>
  </si>
  <si>
    <t>BIU</t>
  </si>
  <si>
    <t>BILDUDALUR</t>
  </si>
  <si>
    <t>ISBLO</t>
  </si>
  <si>
    <t>BLO</t>
  </si>
  <si>
    <t>BLONDUOS</t>
  </si>
  <si>
    <t>ISBOR</t>
  </si>
  <si>
    <t>BORGARNES</t>
  </si>
  <si>
    <t>ISBOV</t>
  </si>
  <si>
    <t>BOV</t>
  </si>
  <si>
    <t>BOLUNGAVIRK</t>
  </si>
  <si>
    <t>ISDJU</t>
  </si>
  <si>
    <t>DJU</t>
  </si>
  <si>
    <t>DJUPIVOGUR</t>
  </si>
  <si>
    <t>ISEFJ</t>
  </si>
  <si>
    <t>EFJ</t>
  </si>
  <si>
    <t>ESKIFJORDUR</t>
  </si>
  <si>
    <t>ISEGS</t>
  </si>
  <si>
    <t>EGS</t>
  </si>
  <si>
    <t>EGILSSTADIR</t>
  </si>
  <si>
    <t>ISFAG</t>
  </si>
  <si>
    <t>FAG</t>
  </si>
  <si>
    <t>FAGURHOLSMYRI</t>
  </si>
  <si>
    <t>ISFAS</t>
  </si>
  <si>
    <t>FASKRUDSFJORDUR</t>
  </si>
  <si>
    <t>ISFLA</t>
  </si>
  <si>
    <t>FLATEYRI</t>
  </si>
  <si>
    <t>ISFLI</t>
  </si>
  <si>
    <t>ISGJR</t>
  </si>
  <si>
    <t>GJR</t>
  </si>
  <si>
    <t>GJOGUR</t>
  </si>
  <si>
    <t>ISGRY</t>
  </si>
  <si>
    <t>GRIMSEY</t>
  </si>
  <si>
    <t>ISGUU</t>
  </si>
  <si>
    <t>GUU</t>
  </si>
  <si>
    <t>GRUNDARFJORDU</t>
  </si>
  <si>
    <t>ISHAF</t>
  </si>
  <si>
    <t>HAF</t>
  </si>
  <si>
    <t>HAFNARFJORDUR</t>
  </si>
  <si>
    <t>ISHFN</t>
  </si>
  <si>
    <t>HFN</t>
  </si>
  <si>
    <t>HOFN</t>
  </si>
  <si>
    <t>ISHVK</t>
  </si>
  <si>
    <t>HVK</t>
  </si>
  <si>
    <t>HOLMAVIK</t>
  </si>
  <si>
    <t>ISHVM</t>
  </si>
  <si>
    <t>HVM</t>
  </si>
  <si>
    <t>HVAMMSTANGI</t>
  </si>
  <si>
    <t>ISHZK</t>
  </si>
  <si>
    <t>HZK</t>
  </si>
  <si>
    <t>HUSAVIK</t>
  </si>
  <si>
    <t>ISIFJ</t>
  </si>
  <si>
    <t>IFJ</t>
  </si>
  <si>
    <t>ISAFJORDUR</t>
  </si>
  <si>
    <t>ISKEF</t>
  </si>
  <si>
    <t>KEF</t>
  </si>
  <si>
    <t>KEFLAVIK</t>
  </si>
  <si>
    <t>ISMVA</t>
  </si>
  <si>
    <t>MVA</t>
  </si>
  <si>
    <t>MYVATN</t>
  </si>
  <si>
    <t>ISOLF</t>
  </si>
  <si>
    <t>OLF</t>
  </si>
  <si>
    <t>OLAFSFJORDUR</t>
  </si>
  <si>
    <t>ISOLV</t>
  </si>
  <si>
    <t>OLV</t>
  </si>
  <si>
    <t>OLAFSVIK</t>
  </si>
  <si>
    <t>ISPFJ</t>
  </si>
  <si>
    <t>PFJ</t>
  </si>
  <si>
    <t>PATREKSFJORDUR</t>
  </si>
  <si>
    <t>ISREK</t>
  </si>
  <si>
    <t>REK</t>
  </si>
  <si>
    <t>REYKJAVIK</t>
  </si>
  <si>
    <t>ISRFJ</t>
  </si>
  <si>
    <t>RFJ</t>
  </si>
  <si>
    <t>REYDARFJORDUR</t>
  </si>
  <si>
    <t>ISRFN</t>
  </si>
  <si>
    <t>RFN</t>
  </si>
  <si>
    <t>RAUFARHOFN</t>
  </si>
  <si>
    <t>ISRHA</t>
  </si>
  <si>
    <t>RHA</t>
  </si>
  <si>
    <t>REYKHOLAR</t>
  </si>
  <si>
    <t>ISSAK</t>
  </si>
  <si>
    <t>SAK</t>
  </si>
  <si>
    <t>SAUDARKROKUR</t>
  </si>
  <si>
    <t>ISSEJ</t>
  </si>
  <si>
    <t>SEJ</t>
  </si>
  <si>
    <t>SEYDISFJORDUR</t>
  </si>
  <si>
    <t>ISSIJ</t>
  </si>
  <si>
    <t>SIJ</t>
  </si>
  <si>
    <t>SIGLUFJORDUR</t>
  </si>
  <si>
    <t>ISSTR</t>
  </si>
  <si>
    <t>STRAUMSVIK</t>
  </si>
  <si>
    <t>ISSUD</t>
  </si>
  <si>
    <t>SUDUREYRI</t>
  </si>
  <si>
    <t>ISSYK</t>
  </si>
  <si>
    <t>SYK</t>
  </si>
  <si>
    <t>STYKKISHOLMUR</t>
  </si>
  <si>
    <t>ISTEY</t>
  </si>
  <si>
    <t>TEY</t>
  </si>
  <si>
    <t>THINGEYRI</t>
  </si>
  <si>
    <t>ISTHH</t>
  </si>
  <si>
    <t>THH</t>
  </si>
  <si>
    <t>THORLAKSHOFN</t>
  </si>
  <si>
    <t>ISTHO</t>
  </si>
  <si>
    <t>THORSHOFN</t>
  </si>
  <si>
    <t>ISVEY</t>
  </si>
  <si>
    <t>VEY</t>
  </si>
  <si>
    <t>VESTMANNAEYJAR</t>
  </si>
  <si>
    <t>ISVPN</t>
  </si>
  <si>
    <t>VPN</t>
  </si>
  <si>
    <t>VOPNAFJORDUR</t>
  </si>
  <si>
    <t>ISZZZ</t>
  </si>
  <si>
    <t>BAKKAFJORDUR</t>
  </si>
  <si>
    <t>BJD</t>
  </si>
  <si>
    <t>BREIDDALSVIK</t>
  </si>
  <si>
    <t>BXV</t>
  </si>
  <si>
    <t>NORDFJORDUR</t>
  </si>
  <si>
    <t>OFJ</t>
  </si>
  <si>
    <t>OLI</t>
  </si>
  <si>
    <t>KOPASKER</t>
  </si>
  <si>
    <t>OPA</t>
  </si>
  <si>
    <t>SUY</t>
  </si>
  <si>
    <t>TALKNAFJORDUR</t>
  </si>
  <si>
    <t>TLK</t>
  </si>
  <si>
    <t>ITALY</t>
  </si>
  <si>
    <t>イタリア</t>
  </si>
  <si>
    <t>ITAGR</t>
  </si>
  <si>
    <t>IT</t>
  </si>
  <si>
    <t>AGRIGENTO</t>
  </si>
  <si>
    <t>ITAHO</t>
  </si>
  <si>
    <t>AHO</t>
  </si>
  <si>
    <t>ALGHERO</t>
  </si>
  <si>
    <t>ITALL</t>
  </si>
  <si>
    <t>ALL</t>
  </si>
  <si>
    <t>ALBENGA</t>
  </si>
  <si>
    <t>ITANZ</t>
  </si>
  <si>
    <t>ANZIO</t>
  </si>
  <si>
    <t>ITAOI</t>
  </si>
  <si>
    <t>AOI</t>
  </si>
  <si>
    <t>ANCONA</t>
  </si>
  <si>
    <t>ITATX</t>
  </si>
  <si>
    <t>ATX</t>
  </si>
  <si>
    <t>ARBATAX</t>
  </si>
  <si>
    <t>ITAUG</t>
  </si>
  <si>
    <t>AUGUSTA</t>
  </si>
  <si>
    <t>ITAVO</t>
  </si>
  <si>
    <t>AVOLA</t>
  </si>
  <si>
    <t>ITBDS</t>
  </si>
  <si>
    <t>BRINDISI</t>
  </si>
  <si>
    <t>ITBGO</t>
  </si>
  <si>
    <t>BERGAMO</t>
  </si>
  <si>
    <t>ITBGY</t>
  </si>
  <si>
    <t>BGY</t>
  </si>
  <si>
    <t>ORIO AL SERIO</t>
  </si>
  <si>
    <t>ITBLN</t>
  </si>
  <si>
    <t>BAGNOLI</t>
  </si>
  <si>
    <t>ITBLQ</t>
  </si>
  <si>
    <t>BLQ</t>
  </si>
  <si>
    <t>BOLOGNA</t>
  </si>
  <si>
    <t>ITBLT</t>
  </si>
  <si>
    <t>BARLETTA</t>
  </si>
  <si>
    <t>ITBLX</t>
  </si>
  <si>
    <t>BLX</t>
  </si>
  <si>
    <t>BELLUNO</t>
  </si>
  <si>
    <t>ITBRI</t>
  </si>
  <si>
    <t>BARI</t>
  </si>
  <si>
    <t>ITBZO</t>
  </si>
  <si>
    <t>BZO</t>
  </si>
  <si>
    <t>BOLZANO</t>
  </si>
  <si>
    <t>ITCAG</t>
  </si>
  <si>
    <t>CAG</t>
  </si>
  <si>
    <t>CAGLIARI</t>
  </si>
  <si>
    <t>ITCAS</t>
  </si>
  <si>
    <t>CASTELLAMMARE DI STABIA</t>
  </si>
  <si>
    <t>ITCDF</t>
  </si>
  <si>
    <t>CORTINA D'AMP</t>
  </si>
  <si>
    <t>ITCEC</t>
  </si>
  <si>
    <t>CEC</t>
  </si>
  <si>
    <t>CECINA</t>
  </si>
  <si>
    <t>ITCHI</t>
  </si>
  <si>
    <t>CHI</t>
  </si>
  <si>
    <t>CHIOGGIA</t>
  </si>
  <si>
    <t>ITCIA</t>
  </si>
  <si>
    <t>CIA</t>
  </si>
  <si>
    <t>ROMA-CIAMPINO APT</t>
  </si>
  <si>
    <t>ITCIY</t>
  </si>
  <si>
    <t>CIY</t>
  </si>
  <si>
    <t>COMISO</t>
  </si>
  <si>
    <t>ITCLF</t>
  </si>
  <si>
    <t>CLF</t>
  </si>
  <si>
    <t>CARLOFORTE</t>
  </si>
  <si>
    <t>ITCRV</t>
  </si>
  <si>
    <t>CRV</t>
  </si>
  <si>
    <t>CROTONE</t>
  </si>
  <si>
    <t>ITCTA</t>
  </si>
  <si>
    <t>CTA</t>
  </si>
  <si>
    <t>CATANIA</t>
  </si>
  <si>
    <t>ITCTR</t>
  </si>
  <si>
    <t>CASTELLAMMARE DEL GOLFO</t>
  </si>
  <si>
    <t>ITCVV</t>
  </si>
  <si>
    <t>CVV</t>
  </si>
  <si>
    <t>CIVITAVECCHIA</t>
  </si>
  <si>
    <t>ITDCI</t>
  </si>
  <si>
    <t>DCI</t>
  </si>
  <si>
    <t>DECIMOMANNU</t>
  </si>
  <si>
    <t>ITEBA</t>
  </si>
  <si>
    <t>EBA</t>
  </si>
  <si>
    <t>ELBA ISLAND</t>
  </si>
  <si>
    <t>ITEST</t>
  </si>
  <si>
    <t>ESTE</t>
  </si>
  <si>
    <t>ITFAL</t>
  </si>
  <si>
    <t>FALCONARA</t>
  </si>
  <si>
    <t>ITFCO</t>
  </si>
  <si>
    <t>FCO</t>
  </si>
  <si>
    <t>ROMA-FIUMICINO APT</t>
  </si>
  <si>
    <t>ITFER</t>
  </si>
  <si>
    <t>FERMO</t>
  </si>
  <si>
    <t>ITFLR</t>
  </si>
  <si>
    <t>FLR</t>
  </si>
  <si>
    <t>FIRENZE</t>
  </si>
  <si>
    <t>ITFOG</t>
  </si>
  <si>
    <t>FOG</t>
  </si>
  <si>
    <t>FOGGIA</t>
  </si>
  <si>
    <t>ITFOL</t>
  </si>
  <si>
    <t>FOLLONICA</t>
  </si>
  <si>
    <t>ITFRL</t>
  </si>
  <si>
    <t>FRL</t>
  </si>
  <si>
    <t>FORLI</t>
  </si>
  <si>
    <t>ITGAE</t>
  </si>
  <si>
    <t>GAE</t>
  </si>
  <si>
    <t>GAETA</t>
  </si>
  <si>
    <t>ITGAL</t>
  </si>
  <si>
    <t>GALLIPOLI</t>
  </si>
  <si>
    <t>ITGEA</t>
  </si>
  <si>
    <t>GEA</t>
  </si>
  <si>
    <t>GELA</t>
  </si>
  <si>
    <t>ITGIT</t>
  </si>
  <si>
    <t>GIT</t>
  </si>
  <si>
    <t>GIOIA TAURO</t>
  </si>
  <si>
    <t>ITGOA</t>
  </si>
  <si>
    <t>GENOA</t>
  </si>
  <si>
    <t>ITGRS</t>
  </si>
  <si>
    <t>GRS</t>
  </si>
  <si>
    <t>GROSSETO</t>
  </si>
  <si>
    <t>ITIMP</t>
  </si>
  <si>
    <t>IMPERIA</t>
  </si>
  <si>
    <t>ITISH</t>
  </si>
  <si>
    <t>ISH</t>
  </si>
  <si>
    <t>ISCHIA</t>
  </si>
  <si>
    <t>ITJLO</t>
  </si>
  <si>
    <t>JLO</t>
  </si>
  <si>
    <t>JESOLO</t>
  </si>
  <si>
    <t>ITLCC</t>
  </si>
  <si>
    <t>LCC</t>
  </si>
  <si>
    <t>LECCE</t>
  </si>
  <si>
    <t>ITLIC</t>
  </si>
  <si>
    <t>LICATA</t>
  </si>
  <si>
    <t>ITLIN</t>
  </si>
  <si>
    <t>MILANO-LINATE</t>
  </si>
  <si>
    <t>ITLIV</t>
  </si>
  <si>
    <t>LIVORNO</t>
  </si>
  <si>
    <t>ITLMP</t>
  </si>
  <si>
    <t>LMP</t>
  </si>
  <si>
    <t>LAMPEDUSA</t>
  </si>
  <si>
    <t>ITMAZ</t>
  </si>
  <si>
    <t>MAZARA DEL VALLO</t>
  </si>
  <si>
    <t>ITMDA</t>
  </si>
  <si>
    <t>MADDALENA</t>
  </si>
  <si>
    <t>ITMDC</t>
  </si>
  <si>
    <t>MARINA DI CARRARA</t>
  </si>
  <si>
    <t>ITMEL</t>
  </si>
  <si>
    <t>MELILLI</t>
  </si>
  <si>
    <t>ITMIL</t>
  </si>
  <si>
    <t>MILANO</t>
  </si>
  <si>
    <t>ITMLZ</t>
  </si>
  <si>
    <t>MLZ</t>
  </si>
  <si>
    <t>MILAZZO</t>
  </si>
  <si>
    <t>ITMNF</t>
  </si>
  <si>
    <t>MONFALCONE</t>
  </si>
  <si>
    <t>ITMNP</t>
  </si>
  <si>
    <t>MNP</t>
  </si>
  <si>
    <t>MONOPOLI</t>
  </si>
  <si>
    <t>ITMOL</t>
  </si>
  <si>
    <t>MOL</t>
  </si>
  <si>
    <t>MOLFETTA</t>
  </si>
  <si>
    <t>ITMON</t>
  </si>
  <si>
    <t>MONCALIERI</t>
  </si>
  <si>
    <t>ITMRA</t>
  </si>
  <si>
    <t>MRA</t>
  </si>
  <si>
    <t>MARSALA</t>
  </si>
  <si>
    <t>ITMSA</t>
  </si>
  <si>
    <t>MASSA</t>
  </si>
  <si>
    <t>ITMSN</t>
  </si>
  <si>
    <t>MSN</t>
  </si>
  <si>
    <t>MESSINA</t>
  </si>
  <si>
    <t>ITMXP</t>
  </si>
  <si>
    <t>MXP</t>
  </si>
  <si>
    <t>MILANO-MALPENSA</t>
  </si>
  <si>
    <t>ITNAP</t>
  </si>
  <si>
    <t>NAP</t>
  </si>
  <si>
    <t>NAPOLI</t>
  </si>
  <si>
    <t>ITNSY</t>
  </si>
  <si>
    <t>NSY</t>
  </si>
  <si>
    <t>SIGONELLA</t>
  </si>
  <si>
    <t>ITOLB</t>
  </si>
  <si>
    <t>OLBIA (TERRANOVA)</t>
  </si>
  <si>
    <t>ITPAZ</t>
  </si>
  <si>
    <t>PORTO AZZURRO</t>
  </si>
  <si>
    <t>ITPEG</t>
  </si>
  <si>
    <t>PERUGIA</t>
  </si>
  <si>
    <t>ITPEM</t>
  </si>
  <si>
    <t>PEM</t>
  </si>
  <si>
    <t>PORT EMPEDOCLE</t>
  </si>
  <si>
    <t>ITPES</t>
  </si>
  <si>
    <t>PES</t>
  </si>
  <si>
    <t>PESARO</t>
  </si>
  <si>
    <t>ITPFE</t>
  </si>
  <si>
    <t>PFE</t>
  </si>
  <si>
    <t>PORTOFERRAIO</t>
  </si>
  <si>
    <t>ITPFX</t>
  </si>
  <si>
    <t>PFX</t>
  </si>
  <si>
    <t>PORTO FOXI (SARROCH)</t>
  </si>
  <si>
    <t>ITPGL</t>
  </si>
  <si>
    <t>PGL</t>
  </si>
  <si>
    <t>PORTIGLIONI</t>
  </si>
  <si>
    <t>ITPIO</t>
  </si>
  <si>
    <t>PIO</t>
  </si>
  <si>
    <t>PIOMBINO</t>
  </si>
  <si>
    <t>ITPMA</t>
  </si>
  <si>
    <t>PORTO MARGHERA</t>
  </si>
  <si>
    <t>ITPMO</t>
  </si>
  <si>
    <t>PALERMO</t>
  </si>
  <si>
    <t>ITPNL</t>
  </si>
  <si>
    <t>PNL</t>
  </si>
  <si>
    <t>PANTELLERIA</t>
  </si>
  <si>
    <t>ITPOK</t>
  </si>
  <si>
    <t>POK</t>
  </si>
  <si>
    <t>POKE</t>
  </si>
  <si>
    <t>ITPOM</t>
  </si>
  <si>
    <t>POMEZIA</t>
  </si>
  <si>
    <t>ITPOZ</t>
  </si>
  <si>
    <t>POZ</t>
  </si>
  <si>
    <t>POZZUOLI</t>
  </si>
  <si>
    <t>ITPRE</t>
  </si>
  <si>
    <t>PRESSURO</t>
  </si>
  <si>
    <t>ITPRJ</t>
  </si>
  <si>
    <t>PRJ</t>
  </si>
  <si>
    <t>CAPRI</t>
  </si>
  <si>
    <t>ITPSA</t>
  </si>
  <si>
    <t>PSA</t>
  </si>
  <si>
    <t>PISA</t>
  </si>
  <si>
    <t>ITPSR</t>
  </si>
  <si>
    <t>PSR</t>
  </si>
  <si>
    <t>PESCARA</t>
  </si>
  <si>
    <t>ITPSS</t>
  </si>
  <si>
    <t>PORTO SANTO STEFANO</t>
  </si>
  <si>
    <t>ITPTO</t>
  </si>
  <si>
    <t>PORTO TORRES</t>
  </si>
  <si>
    <t>ITPVE</t>
  </si>
  <si>
    <t>PVE</t>
  </si>
  <si>
    <t>PORTO VESME (PORTOSCUSO)</t>
  </si>
  <si>
    <t>ITQCS</t>
  </si>
  <si>
    <t>QCS</t>
  </si>
  <si>
    <t>COSENZA</t>
  </si>
  <si>
    <t>ITQCZ</t>
  </si>
  <si>
    <t>QCZ</t>
  </si>
  <si>
    <t>CATANZARO</t>
  </si>
  <si>
    <t>ITQSS</t>
  </si>
  <si>
    <t>QSS</t>
  </si>
  <si>
    <t>SASSARI</t>
  </si>
  <si>
    <t>ITRAN</t>
  </si>
  <si>
    <t>RAVENNA</t>
  </si>
  <si>
    <t>ITREG</t>
  </si>
  <si>
    <t>REGGIO CALABRIA</t>
  </si>
  <si>
    <t>ITRMA</t>
  </si>
  <si>
    <t>RIO MARINA</t>
  </si>
  <si>
    <t>ITRMI</t>
  </si>
  <si>
    <t>RMI</t>
  </si>
  <si>
    <t>RIMINI</t>
  </si>
  <si>
    <t>ITROM</t>
  </si>
  <si>
    <t>ROM</t>
  </si>
  <si>
    <t>ROMA</t>
  </si>
  <si>
    <t>ITRRO</t>
  </si>
  <si>
    <t>RRO</t>
  </si>
  <si>
    <t>SORRENTO</t>
  </si>
  <si>
    <t>ITSAL</t>
  </si>
  <si>
    <t>SALERNO</t>
  </si>
  <si>
    <t>ITSGE</t>
  </si>
  <si>
    <t>SEGRATE</t>
  </si>
  <si>
    <t>ITSIR</t>
  </si>
  <si>
    <t>SIRACUSA</t>
  </si>
  <si>
    <t>ITSMA</t>
  </si>
  <si>
    <t>ITSOO</t>
  </si>
  <si>
    <t>SOO</t>
  </si>
  <si>
    <t>SOLARO</t>
  </si>
  <si>
    <t>ITSPA</t>
  </si>
  <si>
    <t>SANTA PANAGIA</t>
  </si>
  <si>
    <t>ITSPE</t>
  </si>
  <si>
    <t>LA SPEZIA</t>
  </si>
  <si>
    <t>ITSRE</t>
  </si>
  <si>
    <t>SAN REMO</t>
  </si>
  <si>
    <t>ITSUF</t>
  </si>
  <si>
    <t>SUF</t>
  </si>
  <si>
    <t>LAMETIA-TERME</t>
  </si>
  <si>
    <t>ITSVN</t>
  </si>
  <si>
    <t>SVN</t>
  </si>
  <si>
    <t>SAVONA</t>
  </si>
  <si>
    <t>ITTAL</t>
  </si>
  <si>
    <t>TALAMONE</t>
  </si>
  <si>
    <t>ITTAR</t>
  </si>
  <si>
    <t>TARANTO</t>
  </si>
  <si>
    <t>ITTOA</t>
  </si>
  <si>
    <t>TOA</t>
  </si>
  <si>
    <t>TORRE ANNUNZIATA</t>
  </si>
  <si>
    <t>ITTPS</t>
  </si>
  <si>
    <t>TPS</t>
  </si>
  <si>
    <t>TRAPANI</t>
  </si>
  <si>
    <t>ITTRN</t>
  </si>
  <si>
    <t>TRN</t>
  </si>
  <si>
    <t>TORINO</t>
  </si>
  <si>
    <t>ITTRS</t>
  </si>
  <si>
    <t>TRS</t>
  </si>
  <si>
    <t>TRIESTE</t>
  </si>
  <si>
    <t>ITTRV</t>
  </si>
  <si>
    <t>TREVISO</t>
  </si>
  <si>
    <t>ITUDN</t>
  </si>
  <si>
    <t>UDN</t>
  </si>
  <si>
    <t>UDINE</t>
  </si>
  <si>
    <t>ITVAD</t>
  </si>
  <si>
    <t>VADO/BOLOGNA</t>
  </si>
  <si>
    <t>ITVCE</t>
  </si>
  <si>
    <t>VCE</t>
  </si>
  <si>
    <t>VENEZIA</t>
  </si>
  <si>
    <t>ITVIA</t>
  </si>
  <si>
    <t>VIA</t>
  </si>
  <si>
    <t>VIAREGGIO</t>
  </si>
  <si>
    <t>ITVIC</t>
  </si>
  <si>
    <t>VICENZA</t>
  </si>
  <si>
    <t>ITVRN</t>
  </si>
  <si>
    <t>VRN</t>
  </si>
  <si>
    <t>VERONA</t>
  </si>
  <si>
    <t>ITVTI</t>
  </si>
  <si>
    <t>VTI</t>
  </si>
  <si>
    <t>VOLTRI</t>
  </si>
  <si>
    <t>ITZZZ</t>
  </si>
  <si>
    <t>AVIANO</t>
  </si>
  <si>
    <t>AVB</t>
  </si>
  <si>
    <t>BENTIVOGLIO</t>
  </si>
  <si>
    <t>BQY</t>
  </si>
  <si>
    <t>MARINA DI MAS</t>
  </si>
  <si>
    <t>QMM</t>
  </si>
  <si>
    <t xml:space="preserve">SEGRATE             </t>
  </si>
  <si>
    <t>SWK</t>
  </si>
  <si>
    <t>BRESCIA MONTICHIARI</t>
  </si>
  <si>
    <t>VBS</t>
  </si>
  <si>
    <t>JAMAICA</t>
  </si>
  <si>
    <t>ジャマイカ</t>
  </si>
  <si>
    <t>JMALP</t>
  </si>
  <si>
    <t>JM</t>
  </si>
  <si>
    <t>ALP</t>
  </si>
  <si>
    <t>ALLIGATOR POND</t>
  </si>
  <si>
    <t>JMBLR</t>
  </si>
  <si>
    <t>BLACK RIVER</t>
  </si>
  <si>
    <t>JMBWN</t>
  </si>
  <si>
    <t>BOWDEN</t>
  </si>
  <si>
    <t>JMFMH</t>
  </si>
  <si>
    <t>FMH</t>
  </si>
  <si>
    <t>JMGGT</t>
  </si>
  <si>
    <t>JMKIN</t>
  </si>
  <si>
    <t>KINGSTON</t>
  </si>
  <si>
    <t>JMMBJ</t>
  </si>
  <si>
    <t>MBJ</t>
  </si>
  <si>
    <t>MONTEGO BAY</t>
  </si>
  <si>
    <t>JMMVJ</t>
  </si>
  <si>
    <t>MVJ</t>
  </si>
  <si>
    <t>MANDEVILLE</t>
  </si>
  <si>
    <t>JMNEG</t>
  </si>
  <si>
    <t>NEGRIL</t>
  </si>
  <si>
    <t>JMOCJ</t>
  </si>
  <si>
    <t>OCJ</t>
  </si>
  <si>
    <t>OCHO RIOS</t>
  </si>
  <si>
    <t>JMORC</t>
  </si>
  <si>
    <t>ORACA-BESSA</t>
  </si>
  <si>
    <t>JMPEV</t>
  </si>
  <si>
    <t>PEV</t>
  </si>
  <si>
    <t>PORT ESQUIVEL</t>
  </si>
  <si>
    <t>JMPKS</t>
  </si>
  <si>
    <t>PORT KAISER</t>
  </si>
  <si>
    <t>JMPMO</t>
  </si>
  <si>
    <t>PORT MORANT</t>
  </si>
  <si>
    <t>JMPOT</t>
  </si>
  <si>
    <t>POT</t>
  </si>
  <si>
    <t>PORT ANTONIO</t>
  </si>
  <si>
    <t>JMPRH</t>
  </si>
  <si>
    <t>PRH</t>
  </si>
  <si>
    <t>PORT RHOADES</t>
  </si>
  <si>
    <t>JMPRO</t>
  </si>
  <si>
    <t>PORT ROYAL</t>
  </si>
  <si>
    <t>JMSAW</t>
  </si>
  <si>
    <t>SAW</t>
  </si>
  <si>
    <t>ST ANNS BAY</t>
  </si>
  <si>
    <t>JMSRI</t>
  </si>
  <si>
    <t>SALT RIVER</t>
  </si>
  <si>
    <t>JMZZZ</t>
  </si>
  <si>
    <t>JORDAN</t>
  </si>
  <si>
    <t>ヨルダン</t>
  </si>
  <si>
    <t>JOAMM</t>
  </si>
  <si>
    <t>JO</t>
  </si>
  <si>
    <t>AMM</t>
  </si>
  <si>
    <t>AMMAN</t>
  </si>
  <si>
    <t>JOR</t>
  </si>
  <si>
    <t>JOAQB</t>
  </si>
  <si>
    <t>AQB</t>
  </si>
  <si>
    <t>AQABA FREE ZONE</t>
  </si>
  <si>
    <t>JOAQJ</t>
  </si>
  <si>
    <t>AQJ</t>
  </si>
  <si>
    <t>AQABA (EL AKABA)</t>
  </si>
  <si>
    <t>JOMPQ</t>
  </si>
  <si>
    <t>MPQ</t>
  </si>
  <si>
    <t>MAAN</t>
  </si>
  <si>
    <t>JOZZZ</t>
  </si>
  <si>
    <t>ADJ</t>
  </si>
  <si>
    <t>MAFRAQ</t>
  </si>
  <si>
    <t>OMF</t>
  </si>
  <si>
    <t>JAPAN</t>
  </si>
  <si>
    <t>日本</t>
  </si>
  <si>
    <t>JPAAI</t>
  </si>
  <si>
    <t>JP</t>
  </si>
  <si>
    <t>COSMO SEKIYU - KAGAWA</t>
  </si>
  <si>
    <t>香川県</t>
  </si>
  <si>
    <t>コスモ石油</t>
  </si>
  <si>
    <t>○</t>
  </si>
  <si>
    <t>JPAAM</t>
  </si>
  <si>
    <t>AAM</t>
  </si>
  <si>
    <t>AMA - SHIMANE</t>
  </si>
  <si>
    <t>島根県</t>
  </si>
  <si>
    <t>海士</t>
  </si>
  <si>
    <t>JPABA</t>
  </si>
  <si>
    <t>ABA</t>
  </si>
  <si>
    <t>ABASHIRI - HOKKAIDO</t>
  </si>
  <si>
    <t>北海道</t>
  </si>
  <si>
    <t>網走</t>
  </si>
  <si>
    <t>◎</t>
  </si>
  <si>
    <t>JPABT</t>
  </si>
  <si>
    <t>ABT</t>
  </si>
  <si>
    <t>ABUTO</t>
  </si>
  <si>
    <t>広島県</t>
  </si>
  <si>
    <t>阿伏兎</t>
  </si>
  <si>
    <t>JPABU</t>
  </si>
  <si>
    <t>ABURATSU - MIYAZAKI</t>
  </si>
  <si>
    <t>宮崎県</t>
  </si>
  <si>
    <t>油津</t>
  </si>
  <si>
    <t>JPACH</t>
  </si>
  <si>
    <t>AJISU</t>
  </si>
  <si>
    <t>山口県</t>
  </si>
  <si>
    <t>阿知須</t>
  </si>
  <si>
    <t>JPADE</t>
  </si>
  <si>
    <t>ADE</t>
  </si>
  <si>
    <t>兵庫県</t>
  </si>
  <si>
    <t>網手</t>
  </si>
  <si>
    <t>JPADO</t>
  </si>
  <si>
    <t>安戸</t>
  </si>
  <si>
    <t>JPAGJ</t>
  </si>
  <si>
    <t>AGJ</t>
  </si>
  <si>
    <t>AGUNI</t>
  </si>
  <si>
    <t>沖縄県</t>
  </si>
  <si>
    <t>粟国</t>
  </si>
  <si>
    <t>JPAGN</t>
  </si>
  <si>
    <t>AGENOSHO</t>
  </si>
  <si>
    <t>安下庄</t>
  </si>
  <si>
    <t>JPAGR</t>
  </si>
  <si>
    <t>AGONOURA</t>
  </si>
  <si>
    <t>安護の浦</t>
  </si>
  <si>
    <t>JPAGS</t>
  </si>
  <si>
    <t>AGS</t>
  </si>
  <si>
    <t>AGESHIMA</t>
  </si>
  <si>
    <t>揚島</t>
  </si>
  <si>
    <t>JPAIA</t>
  </si>
  <si>
    <t>AIA</t>
  </si>
  <si>
    <t>AINOURAAOKI - NAGASAKI</t>
  </si>
  <si>
    <t>長崎県</t>
  </si>
  <si>
    <t>相ノ浦青木</t>
  </si>
  <si>
    <t>JPAII</t>
  </si>
  <si>
    <t>AIO</t>
  </si>
  <si>
    <t>秋穂</t>
  </si>
  <si>
    <t>JPAIK</t>
  </si>
  <si>
    <t>AIK</t>
  </si>
  <si>
    <t>AIKAWANIIGATA</t>
  </si>
  <si>
    <t>新潟県</t>
  </si>
  <si>
    <t>相川</t>
  </si>
  <si>
    <t>JPAIM</t>
  </si>
  <si>
    <t>AIM</t>
  </si>
  <si>
    <t>AISHIMA</t>
  </si>
  <si>
    <t>相島</t>
  </si>
  <si>
    <t>JPAIN</t>
  </si>
  <si>
    <t>AIN</t>
  </si>
  <si>
    <t>AINOURA - NAGASAKI</t>
  </si>
  <si>
    <t>相ノ浦</t>
  </si>
  <si>
    <t>JPAIO</t>
  </si>
  <si>
    <t>AIOI - HYOGO</t>
  </si>
  <si>
    <t>相生</t>
  </si>
  <si>
    <t>JPAIW</t>
  </si>
  <si>
    <t>AIW</t>
  </si>
  <si>
    <t>AIKAWA - NAGASAKI</t>
  </si>
  <si>
    <t>相河</t>
  </si>
  <si>
    <t>JPAIZ</t>
  </si>
  <si>
    <t>AIZ</t>
  </si>
  <si>
    <t>AIZUKUMAMOTO</t>
  </si>
  <si>
    <t>熊本県</t>
  </si>
  <si>
    <t>合津</t>
  </si>
  <si>
    <t>JPAJI</t>
  </si>
  <si>
    <t>AJI</t>
  </si>
  <si>
    <t>AJI - KAGAWA</t>
  </si>
  <si>
    <t>庵治</t>
  </si>
  <si>
    <t>JPAJK</t>
  </si>
  <si>
    <t>AJK</t>
  </si>
  <si>
    <t>AJIGASAWA</t>
  </si>
  <si>
    <t>青森県</t>
  </si>
  <si>
    <t>鰺ヶ沢</t>
  </si>
  <si>
    <t>JPAJN</t>
  </si>
  <si>
    <t>AJN</t>
  </si>
  <si>
    <t>AJINO</t>
  </si>
  <si>
    <t>岡山県</t>
  </si>
  <si>
    <t>児島[味野]</t>
  </si>
  <si>
    <t>JPAJO</t>
  </si>
  <si>
    <t>AJO</t>
  </si>
  <si>
    <t>ANJO</t>
  </si>
  <si>
    <t>愛知県</t>
  </si>
  <si>
    <t>安城</t>
  </si>
  <si>
    <t>JPAJR</t>
  </si>
  <si>
    <t>AJR</t>
  </si>
  <si>
    <t>AJIROSHIZUOKA</t>
  </si>
  <si>
    <t>静岡県</t>
  </si>
  <si>
    <t>網代</t>
  </si>
  <si>
    <t>JPAJX</t>
  </si>
  <si>
    <t>AJX</t>
  </si>
  <si>
    <t>安謝</t>
  </si>
  <si>
    <t>JPAKA</t>
  </si>
  <si>
    <t>AKASHI</t>
  </si>
  <si>
    <t>明石</t>
  </si>
  <si>
    <t>JPAKB</t>
  </si>
  <si>
    <t>AKB</t>
  </si>
  <si>
    <t>AKOHBARU</t>
  </si>
  <si>
    <t>鹿児島県</t>
  </si>
  <si>
    <t>赤生原</t>
  </si>
  <si>
    <t>JPAKD</t>
  </si>
  <si>
    <t>AKD</t>
  </si>
  <si>
    <t>AKADOMARI</t>
  </si>
  <si>
    <t>赤泊</t>
  </si>
  <si>
    <t>JPAKE</t>
  </si>
  <si>
    <t>AKKESHI - HOKKAIDO</t>
  </si>
  <si>
    <t>厚岸</t>
  </si>
  <si>
    <t>JPAKG</t>
  </si>
  <si>
    <t>AKG</t>
  </si>
  <si>
    <t>AKAKINA - KAGOSHIMA</t>
  </si>
  <si>
    <t>赤木名</t>
  </si>
  <si>
    <t>JPAKH</t>
  </si>
  <si>
    <t>AKEHAMA - EHIME</t>
  </si>
  <si>
    <t>愛媛県</t>
  </si>
  <si>
    <t>明浜</t>
  </si>
  <si>
    <t>JPAKI</t>
  </si>
  <si>
    <t>AKI</t>
  </si>
  <si>
    <t>AIKAKITA</t>
  </si>
  <si>
    <t>秋鹿北</t>
  </si>
  <si>
    <t>JPAKJ</t>
  </si>
  <si>
    <t>AKJ</t>
  </si>
  <si>
    <t>ASAHIKAWA APT - HOKKAIDO</t>
  </si>
  <si>
    <t>旭川空港</t>
  </si>
  <si>
    <t>T31</t>
  </si>
  <si>
    <t>JPAKK</t>
  </si>
  <si>
    <t>AKK</t>
  </si>
  <si>
    <t>AKASAKIKUMAMOTO</t>
  </si>
  <si>
    <t>赤崎</t>
  </si>
  <si>
    <t>JPAKM</t>
  </si>
  <si>
    <t>AKM</t>
  </si>
  <si>
    <t>AKAMIZU - KAGOSHIMA</t>
  </si>
  <si>
    <t>赤水</t>
  </si>
  <si>
    <t>JPAKN</t>
  </si>
  <si>
    <t>AKN</t>
  </si>
  <si>
    <t>AKUNE - KAGOSHIMA</t>
  </si>
  <si>
    <t>阿久根</t>
  </si>
  <si>
    <t>JPAKO</t>
  </si>
  <si>
    <t>AKO</t>
  </si>
  <si>
    <t>AKO - HYOGO</t>
  </si>
  <si>
    <t>赤穂</t>
  </si>
  <si>
    <t>JPAKP</t>
  </si>
  <si>
    <t>AKP</t>
  </si>
  <si>
    <t>AKITA APT - AKITA</t>
  </si>
  <si>
    <t>秋田県</t>
  </si>
  <si>
    <t>秋田空港</t>
  </si>
  <si>
    <t>AXT</t>
  </si>
  <si>
    <t>JPAKT</t>
  </si>
  <si>
    <t>AKITSU - HIROSHIMA</t>
  </si>
  <si>
    <t>安芸津</t>
  </si>
  <si>
    <t>JPAKW</t>
  </si>
  <si>
    <t>AKW</t>
  </si>
  <si>
    <t>AZAKO - KAGOSHIMA</t>
  </si>
  <si>
    <t>浅川</t>
  </si>
  <si>
    <t>JPAKZ</t>
  </si>
  <si>
    <t>AKZ</t>
  </si>
  <si>
    <t>AIKA</t>
  </si>
  <si>
    <t>秋鹿</t>
  </si>
  <si>
    <t>JPAMA</t>
  </si>
  <si>
    <t>AMAGASAKI</t>
  </si>
  <si>
    <t>尼崎</t>
  </si>
  <si>
    <t>JPAMG</t>
  </si>
  <si>
    <t>AMG</t>
  </si>
  <si>
    <t>ASAMOGAWA</t>
  </si>
  <si>
    <t>京都府</t>
  </si>
  <si>
    <t>浅茂川</t>
  </si>
  <si>
    <t>JPAMI</t>
  </si>
  <si>
    <t>ATAMI</t>
  </si>
  <si>
    <t>熱海</t>
  </si>
  <si>
    <t>JPAMJ</t>
  </si>
  <si>
    <t>AMAJI - KOCHI</t>
  </si>
  <si>
    <t>高知県</t>
  </si>
  <si>
    <t>安満地</t>
  </si>
  <si>
    <t>JPAMM</t>
  </si>
  <si>
    <t>AMAHYOGO</t>
  </si>
  <si>
    <t>阿万</t>
  </si>
  <si>
    <t>JPAMR</t>
  </si>
  <si>
    <t>ARIMURA - KAGOSHIMA</t>
  </si>
  <si>
    <t>有村</t>
  </si>
  <si>
    <t>JPAMS</t>
  </si>
  <si>
    <t>AMS</t>
  </si>
  <si>
    <t>AMASAKI</t>
  </si>
  <si>
    <t>甘崎</t>
  </si>
  <si>
    <t>JPAMT</t>
  </si>
  <si>
    <t>AMATSUKE</t>
  </si>
  <si>
    <t>天附</t>
  </si>
  <si>
    <t>JPAMU</t>
  </si>
  <si>
    <t>AMU</t>
  </si>
  <si>
    <t>AMURA</t>
  </si>
  <si>
    <t>阿村</t>
  </si>
  <si>
    <t>JPAMX</t>
  </si>
  <si>
    <t>AMAGASAKI-NISHINOMIYA-ASHIYA-HYOG</t>
  </si>
  <si>
    <t>尼崎西宮芦屋［阪神（尼崎西宮芦屋）］</t>
  </si>
  <si>
    <t>JPAMY</t>
  </si>
  <si>
    <t>AMY</t>
  </si>
  <si>
    <t>AMIYA</t>
  </si>
  <si>
    <t>網屋</t>
  </si>
  <si>
    <t>JPANA</t>
  </si>
  <si>
    <t>ANA</t>
  </si>
  <si>
    <t>ANAN</t>
  </si>
  <si>
    <t>徳島県</t>
  </si>
  <si>
    <t>阿南</t>
  </si>
  <si>
    <t>JPANB</t>
  </si>
  <si>
    <t>ANB</t>
  </si>
  <si>
    <t>ANBO - KAGOSHIMA</t>
  </si>
  <si>
    <t>安房</t>
  </si>
  <si>
    <t>JPANE</t>
  </si>
  <si>
    <t>ANEGASAKI</t>
  </si>
  <si>
    <t>千葉県</t>
  </si>
  <si>
    <t>姉ヶ崎</t>
  </si>
  <si>
    <t>JPANI</t>
  </si>
  <si>
    <t>KANI - GIFU</t>
  </si>
  <si>
    <t>岐阜県</t>
  </si>
  <si>
    <t>可児</t>
  </si>
  <si>
    <t>JPANM</t>
  </si>
  <si>
    <t>ANM</t>
  </si>
  <si>
    <t>ANAMIZU</t>
  </si>
  <si>
    <t>石川県</t>
  </si>
  <si>
    <t>穴水</t>
  </si>
  <si>
    <t>JPAOE</t>
  </si>
  <si>
    <t>AOE</t>
  </si>
  <si>
    <t>青江</t>
  </si>
  <si>
    <t>JPAOG</t>
  </si>
  <si>
    <t>AOG</t>
  </si>
  <si>
    <t>AOGASHIMA</t>
  </si>
  <si>
    <t>東京都</t>
  </si>
  <si>
    <t>青ヶ島</t>
  </si>
  <si>
    <t>JPAOI</t>
  </si>
  <si>
    <t>AOKI</t>
  </si>
  <si>
    <t>青木</t>
  </si>
  <si>
    <t>JPAOJ</t>
  </si>
  <si>
    <t>AOJ</t>
  </si>
  <si>
    <t>AOMORI APT - AOMORI</t>
  </si>
  <si>
    <t>青森空港</t>
  </si>
  <si>
    <t>JPAOK</t>
  </si>
  <si>
    <t>AOKATA - NAGASAKI</t>
  </si>
  <si>
    <t>青方</t>
  </si>
  <si>
    <t>JPAOM</t>
  </si>
  <si>
    <t>AOM</t>
  </si>
  <si>
    <t>AOMORI - AOMORI</t>
  </si>
  <si>
    <t>青森</t>
  </si>
  <si>
    <t>JPAON</t>
  </si>
  <si>
    <t>AON</t>
  </si>
  <si>
    <t>AONAE</t>
  </si>
  <si>
    <t>青苗</t>
  </si>
  <si>
    <t>JPAOS</t>
  </si>
  <si>
    <t>AOS</t>
  </si>
  <si>
    <t>AOSHIMA - NAGASAKI</t>
  </si>
  <si>
    <t>青島</t>
  </si>
  <si>
    <t>JPARA</t>
  </si>
  <si>
    <t>ARA</t>
  </si>
  <si>
    <t>ARARI - SHIZUOKA</t>
  </si>
  <si>
    <t>安良里</t>
  </si>
  <si>
    <t>JPARG</t>
  </si>
  <si>
    <t>AMUROGAMA - KAGOSHIMA</t>
  </si>
  <si>
    <t>阿室釜</t>
  </si>
  <si>
    <t>JPARK</t>
  </si>
  <si>
    <t>ARIKAWA</t>
  </si>
  <si>
    <t>有川</t>
  </si>
  <si>
    <t>JPARO</t>
  </si>
  <si>
    <t>ARAO</t>
  </si>
  <si>
    <t>荒尾</t>
  </si>
  <si>
    <t>JPARZ</t>
  </si>
  <si>
    <t>AROUZU</t>
  </si>
  <si>
    <t>有津</t>
  </si>
  <si>
    <t>JPASA</t>
  </si>
  <si>
    <t>厚狭</t>
  </si>
  <si>
    <t>JPASB</t>
  </si>
  <si>
    <t>ASB</t>
  </si>
  <si>
    <t>ASHIBE</t>
  </si>
  <si>
    <t>芦辺</t>
  </si>
  <si>
    <t>JPASH</t>
  </si>
  <si>
    <t>ASHINOURA</t>
  </si>
  <si>
    <t>芦ノ浦</t>
  </si>
  <si>
    <t>JPASI</t>
  </si>
  <si>
    <t>ASI</t>
  </si>
  <si>
    <t>ASAHIMACHI</t>
  </si>
  <si>
    <t>神奈川県</t>
  </si>
  <si>
    <t>旭町</t>
  </si>
  <si>
    <t>JPASJ</t>
  </si>
  <si>
    <t>ASJ</t>
  </si>
  <si>
    <t>AMAMIOSHIMA</t>
  </si>
  <si>
    <t>奄美大島</t>
  </si>
  <si>
    <t>JPASK</t>
  </si>
  <si>
    <t>AKASAKITOTTORI</t>
  </si>
  <si>
    <t>鳥取県</t>
  </si>
  <si>
    <t>赤碕</t>
  </si>
  <si>
    <t>JPASM</t>
  </si>
  <si>
    <t>ASAMI - KUMAMOTO</t>
  </si>
  <si>
    <t>浅海</t>
  </si>
  <si>
    <t>JPASR</t>
  </si>
  <si>
    <t>ASR</t>
  </si>
  <si>
    <t>ASHIZURI - KOCHI</t>
  </si>
  <si>
    <t>足摺</t>
  </si>
  <si>
    <t>JPAST</t>
  </si>
  <si>
    <t>ASHITOKU</t>
  </si>
  <si>
    <t>芦徳</t>
  </si>
  <si>
    <t>JPASW</t>
  </si>
  <si>
    <t>ASAKAWA</t>
  </si>
  <si>
    <t>JPASZ</t>
  </si>
  <si>
    <t>ASZ</t>
  </si>
  <si>
    <t>ASHIYAFUKUOKA</t>
  </si>
  <si>
    <t>福岡県</t>
  </si>
  <si>
    <t>芦屋</t>
  </si>
  <si>
    <t>JPATA</t>
  </si>
  <si>
    <t>ATA</t>
  </si>
  <si>
    <t>ATAKA</t>
  </si>
  <si>
    <t>安宅</t>
  </si>
  <si>
    <t>JPATK</t>
  </si>
  <si>
    <t>ATK</t>
  </si>
  <si>
    <t>ATSUKI - YAMAGUCHI</t>
  </si>
  <si>
    <t>阿月</t>
  </si>
  <si>
    <t>JPATM</t>
  </si>
  <si>
    <t>ATSUMI - AICHI</t>
  </si>
  <si>
    <t>渥美</t>
  </si>
  <si>
    <t>JPATT</t>
  </si>
  <si>
    <t>ATT</t>
  </si>
  <si>
    <t>ATATAJIMA - HIROSHIMA</t>
  </si>
  <si>
    <t>阿多田島</t>
  </si>
  <si>
    <t>JPAWA</t>
  </si>
  <si>
    <t>AWA - OKINAWA</t>
  </si>
  <si>
    <t>安和</t>
  </si>
  <si>
    <t>JPAWM</t>
  </si>
  <si>
    <t>AWM</t>
  </si>
  <si>
    <t>AWASHIMANISHI</t>
  </si>
  <si>
    <t>粟島西</t>
  </si>
  <si>
    <t>JPAWS</t>
  </si>
  <si>
    <t>AWS</t>
  </si>
  <si>
    <t>AWASHIMA - KAGAWA</t>
  </si>
  <si>
    <t>粟島</t>
  </si>
  <si>
    <t>JPAWZ</t>
  </si>
  <si>
    <t>AWAZU - TOKUSHIMA</t>
  </si>
  <si>
    <t>粟津</t>
  </si>
  <si>
    <t>JPAXT</t>
  </si>
  <si>
    <t>AKITA - AKITA</t>
  </si>
  <si>
    <t>秋田[秋田船川]</t>
  </si>
  <si>
    <t>JPAYS</t>
  </si>
  <si>
    <t>AYS</t>
  </si>
  <si>
    <t>AYASE-SHI</t>
  </si>
  <si>
    <t>綾瀬</t>
  </si>
  <si>
    <t>JPAYU</t>
  </si>
  <si>
    <t>AYU</t>
  </si>
  <si>
    <t>AYUKAWA</t>
  </si>
  <si>
    <t>宮城県</t>
  </si>
  <si>
    <t>鮎川</t>
  </si>
  <si>
    <t>JPAZJ</t>
  </si>
  <si>
    <t>AZJ</t>
  </si>
  <si>
    <t>AJIROTOTTORI</t>
  </si>
  <si>
    <t>JPAZR</t>
  </si>
  <si>
    <t>AJIROOKAYAMA</t>
  </si>
  <si>
    <t>JPAZU</t>
  </si>
  <si>
    <t>AZU</t>
  </si>
  <si>
    <t>AZU - NAGASAKI</t>
  </si>
  <si>
    <t>阿須</t>
  </si>
  <si>
    <t>JPBAN</t>
  </si>
  <si>
    <t>BANDO-IBARAKI</t>
  </si>
  <si>
    <t>茨城県</t>
  </si>
  <si>
    <t>JPBDM</t>
  </si>
  <si>
    <t>BDM</t>
  </si>
  <si>
    <t>BODOMARI - KAGOSHIMA</t>
  </si>
  <si>
    <t>坊泊</t>
  </si>
  <si>
    <t>JPBEP</t>
  </si>
  <si>
    <t>BEP</t>
  </si>
  <si>
    <t>BEPPUSHIMANE</t>
  </si>
  <si>
    <t>別府</t>
  </si>
  <si>
    <t>JPBFS</t>
  </si>
  <si>
    <t>BEPPUSHINKO</t>
  </si>
  <si>
    <t>大分県</t>
  </si>
  <si>
    <t>別府新港</t>
  </si>
  <si>
    <t>JPBOM</t>
  </si>
  <si>
    <t>母間</t>
  </si>
  <si>
    <t>JPBPU</t>
  </si>
  <si>
    <t>BPU</t>
  </si>
  <si>
    <t>BEPPU - OITA</t>
  </si>
  <si>
    <t>JPBYO</t>
  </si>
  <si>
    <t>BYO</t>
  </si>
  <si>
    <t>BYOBU</t>
  </si>
  <si>
    <t>屏風</t>
  </si>
  <si>
    <t>JPCAU</t>
  </si>
  <si>
    <t>CHIYODA-KU</t>
  </si>
  <si>
    <t>千代田区</t>
  </si>
  <si>
    <t>JPCHB</t>
  </si>
  <si>
    <t>CHIBA - CHIBA</t>
  </si>
  <si>
    <t>千葉</t>
  </si>
  <si>
    <t>JPCHF</t>
  </si>
  <si>
    <t>CHOFU - YAMAGUCHI</t>
  </si>
  <si>
    <t>長府</t>
  </si>
  <si>
    <t>JPCHG</t>
  </si>
  <si>
    <t>CHG</t>
  </si>
  <si>
    <t>CHIGASAKI</t>
  </si>
  <si>
    <t>茅ヶ崎</t>
  </si>
  <si>
    <t>JPCHH</t>
  </si>
  <si>
    <t>CHH</t>
  </si>
  <si>
    <t>CHICHII</t>
  </si>
  <si>
    <t>知々井</t>
  </si>
  <si>
    <t>JPCHI</t>
  </si>
  <si>
    <t>知名</t>
  </si>
  <si>
    <t>JPCHK</t>
  </si>
  <si>
    <t>CHK</t>
  </si>
  <si>
    <t>CHIKUBUSHIMA</t>
  </si>
  <si>
    <t>滋賀県</t>
  </si>
  <si>
    <t>竹生島</t>
  </si>
  <si>
    <t>JPCHO</t>
  </si>
  <si>
    <t>CHO</t>
  </si>
  <si>
    <t>CHOSHI - CHIBA/IBARAKI</t>
  </si>
  <si>
    <t>茨城県・千葉県</t>
  </si>
  <si>
    <t>銚子</t>
  </si>
  <si>
    <t>JPCHT</t>
  </si>
  <si>
    <t>CHITOSE - HIROSHIMA</t>
  </si>
  <si>
    <t>千年</t>
  </si>
  <si>
    <t>JPCHU</t>
  </si>
  <si>
    <t>CHU</t>
  </si>
  <si>
    <t>CHURUI</t>
  </si>
  <si>
    <t>忠類</t>
  </si>
  <si>
    <t>JPCHY</t>
  </si>
  <si>
    <t>CHY</t>
  </si>
  <si>
    <t>CHIYODA</t>
  </si>
  <si>
    <t>千代田</t>
  </si>
  <si>
    <t>JPCIO</t>
  </si>
  <si>
    <t>CIO</t>
  </si>
  <si>
    <t>CHIO</t>
  </si>
  <si>
    <t>知尾</t>
  </si>
  <si>
    <t>JPCJU</t>
  </si>
  <si>
    <t>CJU</t>
  </si>
  <si>
    <t>CHIJU</t>
  </si>
  <si>
    <t>知十</t>
  </si>
  <si>
    <t>JPCKM</t>
  </si>
  <si>
    <t>CKM</t>
  </si>
  <si>
    <t>CHIKUMI</t>
  </si>
  <si>
    <t>千酌</t>
  </si>
  <si>
    <t>JPCNS</t>
  </si>
  <si>
    <t>CHINASE</t>
  </si>
  <si>
    <t>知名瀬</t>
  </si>
  <si>
    <t>JPCTA</t>
  </si>
  <si>
    <t>CHITA</t>
  </si>
  <si>
    <t>知多</t>
  </si>
  <si>
    <t>JPCYZ</t>
  </si>
  <si>
    <t>CYZ</t>
  </si>
  <si>
    <t>CHIYOZAKI</t>
  </si>
  <si>
    <t>三重県</t>
  </si>
  <si>
    <t>千代崎</t>
  </si>
  <si>
    <t>JPDAT</t>
  </si>
  <si>
    <t>DATE</t>
  </si>
  <si>
    <t>伊達</t>
  </si>
  <si>
    <t>JPDKI</t>
  </si>
  <si>
    <t>DAIKOKU ISLAND</t>
  </si>
  <si>
    <t>大黒島</t>
  </si>
  <si>
    <t>JPDNA</t>
  </si>
  <si>
    <t>DNA</t>
  </si>
  <si>
    <t>KADENA-OKINAWA</t>
  </si>
  <si>
    <t>嘉手納</t>
  </si>
  <si>
    <t>JPDSR</t>
  </si>
  <si>
    <t>DSR</t>
  </si>
  <si>
    <t>DOHSHIRO</t>
  </si>
  <si>
    <t>堂代</t>
  </si>
  <si>
    <t>JPDTU</t>
  </si>
  <si>
    <t>DTU</t>
  </si>
  <si>
    <t>DAITO</t>
  </si>
  <si>
    <t>大塔</t>
  </si>
  <si>
    <t>JPDZK</t>
  </si>
  <si>
    <t>DZK</t>
  </si>
  <si>
    <t>DOHZAKI</t>
  </si>
  <si>
    <t>堂崎</t>
  </si>
  <si>
    <t>JPEBI</t>
  </si>
  <si>
    <t>EBI</t>
  </si>
  <si>
    <t>EBITO</t>
  </si>
  <si>
    <t>江樋戸</t>
  </si>
  <si>
    <t>JPEGO</t>
  </si>
  <si>
    <t>EGO</t>
  </si>
  <si>
    <t>江後</t>
  </si>
  <si>
    <t>JPEGS</t>
  </si>
  <si>
    <t>EIGASHIMA</t>
  </si>
  <si>
    <t>江井ヶ島</t>
  </si>
  <si>
    <t>JPEII</t>
  </si>
  <si>
    <t>EII</t>
  </si>
  <si>
    <t>EI</t>
  </si>
  <si>
    <t>江井</t>
  </si>
  <si>
    <t>JPEIS</t>
  </si>
  <si>
    <t>EIS</t>
  </si>
  <si>
    <t>EISHI</t>
  </si>
  <si>
    <t>江石</t>
  </si>
  <si>
    <t>JPEJM</t>
  </si>
  <si>
    <t>EJM</t>
  </si>
  <si>
    <t>EJIMA</t>
  </si>
  <si>
    <t>江島</t>
  </si>
  <si>
    <t>JPEKZ</t>
  </si>
  <si>
    <t>EKZ</t>
  </si>
  <si>
    <t>ENOKIZU</t>
  </si>
  <si>
    <t>榎津</t>
  </si>
  <si>
    <t>JPEMM</t>
  </si>
  <si>
    <t>ERIMO</t>
  </si>
  <si>
    <t>えりも</t>
  </si>
  <si>
    <t>JPEMU</t>
  </si>
  <si>
    <t>EMU</t>
  </si>
  <si>
    <t>EMUKAE</t>
  </si>
  <si>
    <t>江迎</t>
  </si>
  <si>
    <t>JPENA</t>
  </si>
  <si>
    <t>ENA</t>
  </si>
  <si>
    <t>福島県</t>
  </si>
  <si>
    <t>江名</t>
  </si>
  <si>
    <t>JPENH</t>
  </si>
  <si>
    <t>ENOHAMA</t>
  </si>
  <si>
    <t>江の浜</t>
  </si>
  <si>
    <t>JPENN</t>
  </si>
  <si>
    <t>ENN</t>
  </si>
  <si>
    <t>EN</t>
  </si>
  <si>
    <t>円</t>
  </si>
  <si>
    <t>JPENO</t>
  </si>
  <si>
    <t>ENO</t>
  </si>
  <si>
    <t>ENOURASHIZUOKA</t>
  </si>
  <si>
    <t>江之浦</t>
  </si>
  <si>
    <t>JPENR</t>
  </si>
  <si>
    <t>ENOURAKAGAWA</t>
  </si>
  <si>
    <t>江の浦</t>
  </si>
  <si>
    <t>JPESI</t>
  </si>
  <si>
    <t>ESASHI/HIYAMA</t>
  </si>
  <si>
    <t>江差</t>
  </si>
  <si>
    <t>JPESK</t>
  </si>
  <si>
    <t>ESK</t>
  </si>
  <si>
    <t>ESAKI</t>
  </si>
  <si>
    <t>江崎</t>
  </si>
  <si>
    <t>JPESM</t>
  </si>
  <si>
    <t>ESHIMA</t>
  </si>
  <si>
    <t>JPESS</t>
  </si>
  <si>
    <t>ESASHI/SOYA</t>
  </si>
  <si>
    <t>枝幸</t>
  </si>
  <si>
    <t>JPETA</t>
  </si>
  <si>
    <t>ETA</t>
  </si>
  <si>
    <t>ETAJIMAWAN - HIROSHIMA</t>
  </si>
  <si>
    <t>江田島湾</t>
  </si>
  <si>
    <t>JPETM</t>
  </si>
  <si>
    <t>ETM</t>
  </si>
  <si>
    <t>ETOMO</t>
  </si>
  <si>
    <t>恵曇</t>
  </si>
  <si>
    <t>JPEZA</t>
  </si>
  <si>
    <t>EZA</t>
  </si>
  <si>
    <t>EZAKI</t>
  </si>
  <si>
    <t>JPFAE</t>
  </si>
  <si>
    <t>FUKAE - NAGASAKI</t>
  </si>
  <si>
    <t>深江</t>
  </si>
  <si>
    <t>JPFCH</t>
  </si>
  <si>
    <t>FCH</t>
  </si>
  <si>
    <t>FUCHU-SHI</t>
  </si>
  <si>
    <t>府中</t>
  </si>
  <si>
    <t>JPFCM</t>
  </si>
  <si>
    <t>FUCHINOMOTO</t>
  </si>
  <si>
    <t>淵ノ元</t>
  </si>
  <si>
    <t>JPFGS</t>
  </si>
  <si>
    <t>FGS</t>
  </si>
  <si>
    <t>FUGUSAKI</t>
  </si>
  <si>
    <t>冨具崎</t>
  </si>
  <si>
    <t>JPFGW</t>
  </si>
  <si>
    <t>FGW</t>
  </si>
  <si>
    <t>FUTAGAWA</t>
  </si>
  <si>
    <t>二川</t>
  </si>
  <si>
    <t>JPFHR</t>
  </si>
  <si>
    <t>FHR</t>
  </si>
  <si>
    <t>FURUBIRA</t>
  </si>
  <si>
    <t>古平</t>
  </si>
  <si>
    <t>JPFJK</t>
  </si>
  <si>
    <t>FJK</t>
  </si>
  <si>
    <t>FUJIOKA</t>
  </si>
  <si>
    <t>藤岡</t>
  </si>
  <si>
    <t>JPFJN</t>
  </si>
  <si>
    <t>FJN</t>
  </si>
  <si>
    <t>FUJINO</t>
  </si>
  <si>
    <t>藤野</t>
  </si>
  <si>
    <t>JPFKA</t>
  </si>
  <si>
    <t>FKA</t>
  </si>
  <si>
    <t>FUKAYA</t>
  </si>
  <si>
    <t>埼玉県</t>
  </si>
  <si>
    <t>深谷</t>
  </si>
  <si>
    <t>JPFKD</t>
  </si>
  <si>
    <t>FKD</t>
  </si>
  <si>
    <t>FUKUDA</t>
  </si>
  <si>
    <t>福田</t>
  </si>
  <si>
    <t>JPFKE</t>
  </si>
  <si>
    <t>FKE</t>
  </si>
  <si>
    <t>FUKUE - AICHI</t>
  </si>
  <si>
    <t>福江</t>
  </si>
  <si>
    <t>JPFKH</t>
  </si>
  <si>
    <t>FUKAE - HIROSHIMA</t>
  </si>
  <si>
    <t>JPFKI</t>
  </si>
  <si>
    <t>FUKAI - OKAYAMA</t>
  </si>
  <si>
    <t>深井</t>
  </si>
  <si>
    <t>JPFKJ</t>
  </si>
  <si>
    <t>FKJ</t>
  </si>
  <si>
    <t>FUKUI - FUKUI</t>
  </si>
  <si>
    <t>福井県</t>
  </si>
  <si>
    <t>福井</t>
  </si>
  <si>
    <t>JPFKK</t>
  </si>
  <si>
    <t>FKK</t>
  </si>
  <si>
    <t>FUKAURAAOMORI</t>
  </si>
  <si>
    <t>深浦</t>
  </si>
  <si>
    <t>JPFKM</t>
  </si>
  <si>
    <t>FKM</t>
  </si>
  <si>
    <t>FUKUSHIMA - NAGASAKI</t>
  </si>
  <si>
    <t>福島[伊万里]</t>
  </si>
  <si>
    <t>JPFKN</t>
  </si>
  <si>
    <t>FKN</t>
  </si>
  <si>
    <t>FUKUE - NAGASAKI</t>
  </si>
  <si>
    <t>JPFKR</t>
  </si>
  <si>
    <t>FKR</t>
  </si>
  <si>
    <t>FUKAURA - EHIME</t>
  </si>
  <si>
    <t>JPFKS</t>
  </si>
  <si>
    <t>FKS</t>
  </si>
  <si>
    <t>FUKUSHIMA APT - FUKUSHIMA</t>
  </si>
  <si>
    <t>福島空港</t>
  </si>
  <si>
    <t>JPFKU</t>
  </si>
  <si>
    <t>FKU</t>
  </si>
  <si>
    <t>FUKUSHIMAHOKKAIDO</t>
  </si>
  <si>
    <t>福島</t>
  </si>
  <si>
    <t>JPFKW</t>
  </si>
  <si>
    <t>FKW</t>
  </si>
  <si>
    <t>FURUKAWA</t>
  </si>
  <si>
    <t>古川</t>
  </si>
  <si>
    <t>JPFKY</t>
  </si>
  <si>
    <t>FKY</t>
  </si>
  <si>
    <t>FUKUYAMA - HIROSHIMA</t>
  </si>
  <si>
    <t>福山</t>
  </si>
  <si>
    <t>JPFMD</t>
  </si>
  <si>
    <t>FMD</t>
  </si>
  <si>
    <t>FUTAMADO</t>
  </si>
  <si>
    <t>二間戸</t>
  </si>
  <si>
    <t>JPFMS</t>
  </si>
  <si>
    <t>FMS</t>
  </si>
  <si>
    <t>FUKUSHIMA - MIYAZAKI</t>
  </si>
  <si>
    <t>JPFMT</t>
  </si>
  <si>
    <t>FMT</t>
  </si>
  <si>
    <t>FUTAMATAKAGOSHIMA</t>
  </si>
  <si>
    <t>二俣</t>
  </si>
  <si>
    <t>JPFNA</t>
  </si>
  <si>
    <t>FNA</t>
  </si>
  <si>
    <t>FUNAYA - EHIME</t>
  </si>
  <si>
    <t>船屋</t>
  </si>
  <si>
    <t>JPFNB</t>
  </si>
  <si>
    <t>FNB</t>
  </si>
  <si>
    <t>FUNABASHI</t>
  </si>
  <si>
    <t>船橋</t>
  </si>
  <si>
    <t>JPFND</t>
  </si>
  <si>
    <t>FND</t>
  </si>
  <si>
    <t>FUNADOMARI</t>
  </si>
  <si>
    <t>船泊</t>
  </si>
  <si>
    <t>JPFNK</t>
  </si>
  <si>
    <t>FNK</t>
  </si>
  <si>
    <t>FUNAKAWA-AKITA</t>
  </si>
  <si>
    <t>船川[秋田船川]</t>
  </si>
  <si>
    <t>JPFNR</t>
  </si>
  <si>
    <t>FNR</t>
  </si>
  <si>
    <t>FUNAURA - OKINAWA</t>
  </si>
  <si>
    <t>船浦</t>
  </si>
  <si>
    <t>JPFNS</t>
  </si>
  <si>
    <t>FNS</t>
  </si>
  <si>
    <t>FUNAKOSHI - EHIME</t>
  </si>
  <si>
    <t>船越</t>
  </si>
  <si>
    <t>JPFNU</t>
  </si>
  <si>
    <t>FNU</t>
  </si>
  <si>
    <t>FUNAUKI</t>
  </si>
  <si>
    <t>船浮</t>
  </si>
  <si>
    <t>JPFNZ</t>
  </si>
  <si>
    <t>FNZ</t>
  </si>
  <si>
    <t>FUNAZU</t>
  </si>
  <si>
    <t>舟津</t>
  </si>
  <si>
    <t>JPFRA</t>
  </si>
  <si>
    <t>FUKURA - HYOGO</t>
  </si>
  <si>
    <t>福良</t>
  </si>
  <si>
    <t>JPFRE</t>
  </si>
  <si>
    <t>FURUE - NAGASAKI</t>
  </si>
  <si>
    <t>古江</t>
  </si>
  <si>
    <t>JPFRI</t>
  </si>
  <si>
    <t>FUKARI - NAGASAKI</t>
  </si>
  <si>
    <t>深里</t>
  </si>
  <si>
    <t>JPFRJ</t>
  </si>
  <si>
    <t>FUKUURAISHIKAWA</t>
  </si>
  <si>
    <t>福浦</t>
  </si>
  <si>
    <t>JPFRK</t>
  </si>
  <si>
    <t>FRK</t>
  </si>
  <si>
    <t>FURUIKE</t>
  </si>
  <si>
    <t>古池</t>
  </si>
  <si>
    <t>JPFRM</t>
  </si>
  <si>
    <t>FURUE - MIYAZAKI</t>
  </si>
  <si>
    <t>古江[北浦]</t>
  </si>
  <si>
    <t>JPFRS</t>
  </si>
  <si>
    <t>FURUSATONAGASAKI</t>
  </si>
  <si>
    <t>古里</t>
  </si>
  <si>
    <t>JPFRU</t>
  </si>
  <si>
    <t>FRU</t>
  </si>
  <si>
    <t>FURUE - KAGOSHIMA</t>
  </si>
  <si>
    <t>JPFRX</t>
  </si>
  <si>
    <t>FRX</t>
  </si>
  <si>
    <t>FURUEEHIME</t>
  </si>
  <si>
    <t>JPFSH</t>
  </si>
  <si>
    <t>FSH</t>
  </si>
  <si>
    <t>FUNAKAKUSHI</t>
  </si>
  <si>
    <t>船隠</t>
  </si>
  <si>
    <t>JPFSK</t>
  </si>
  <si>
    <t>FSK</t>
  </si>
  <si>
    <t>FUSHIKI - TOYAMA</t>
  </si>
  <si>
    <t>富山県</t>
  </si>
  <si>
    <t>伏木[伏木富山]</t>
  </si>
  <si>
    <t>JPFST</t>
  </si>
  <si>
    <t>FURUSATOKAGOSHIMA</t>
  </si>
  <si>
    <t>JPFSW</t>
  </si>
  <si>
    <t>FSW</t>
  </si>
  <si>
    <t>FURUSAWAKOZAI - HIROSHIMA</t>
  </si>
  <si>
    <t>古沢鋼材</t>
  </si>
  <si>
    <t>JPFSZ</t>
  </si>
  <si>
    <t>FSZ</t>
  </si>
  <si>
    <t>SHIZUOKA APT - SHIZUOKA</t>
  </si>
  <si>
    <t>静岡空港</t>
  </si>
  <si>
    <t>JPFTE</t>
  </si>
  <si>
    <t>FUTAE</t>
  </si>
  <si>
    <t>二江</t>
  </si>
  <si>
    <t>JPFTG</t>
  </si>
  <si>
    <t>FTG</t>
  </si>
  <si>
    <t>FUTAGO</t>
  </si>
  <si>
    <t>二子</t>
  </si>
  <si>
    <t>JPFTM</t>
  </si>
  <si>
    <t>FTM</t>
  </si>
  <si>
    <t>FUTENMA TARAMA - OKINAWA</t>
  </si>
  <si>
    <t>普天間</t>
  </si>
  <si>
    <t>JPFTS</t>
  </si>
  <si>
    <t>FTS</t>
  </si>
  <si>
    <t>FUTTSU</t>
  </si>
  <si>
    <t>富津</t>
  </si>
  <si>
    <t>JPFTT</t>
  </si>
  <si>
    <t>FTT</t>
  </si>
  <si>
    <t>FUTAMATASHIMANE</t>
  </si>
  <si>
    <t>JPFUA</t>
  </si>
  <si>
    <t>FUA</t>
  </si>
  <si>
    <t>FUKUURA - KUMAMOTO</t>
  </si>
  <si>
    <t>JPFUE</t>
  </si>
  <si>
    <t>FUKE</t>
  </si>
  <si>
    <t>大阪府</t>
  </si>
  <si>
    <t>深日</t>
  </si>
  <si>
    <t>JPFUI</t>
  </si>
  <si>
    <t>FUKAMI - KUMAMOTOFUJI</t>
  </si>
  <si>
    <t>深海</t>
  </si>
  <si>
    <t>JPFUJ</t>
  </si>
  <si>
    <t>FUJ</t>
  </si>
  <si>
    <t>FUKUENAGASAKI</t>
  </si>
  <si>
    <t>JPFUK</t>
  </si>
  <si>
    <t>FUK</t>
  </si>
  <si>
    <t>FUKUOKA APT - FUKUOKA</t>
  </si>
  <si>
    <t>福岡空港</t>
  </si>
  <si>
    <t>JPFUM</t>
  </si>
  <si>
    <t>FUM</t>
  </si>
  <si>
    <t>FUKAMI - KUMAMOTO</t>
  </si>
  <si>
    <t>深水</t>
  </si>
  <si>
    <t>JPFUO</t>
  </si>
  <si>
    <t>FUKURO</t>
  </si>
  <si>
    <t>和歌山県</t>
  </si>
  <si>
    <t>袋</t>
  </si>
  <si>
    <t>JPFUR</t>
  </si>
  <si>
    <t>FUR</t>
  </si>
  <si>
    <t>FUKUURA - EHIME</t>
  </si>
  <si>
    <t>JPFUT</t>
  </si>
  <si>
    <t>FUT</t>
  </si>
  <si>
    <t>FUTAJIMA</t>
  </si>
  <si>
    <t>二島</t>
  </si>
  <si>
    <t>JPFUU</t>
  </si>
  <si>
    <t>FUU</t>
  </si>
  <si>
    <t>FUKURAKAGOSHIMA</t>
  </si>
  <si>
    <t>古河良</t>
  </si>
  <si>
    <t>JPFUW</t>
  </si>
  <si>
    <t>FUW</t>
  </si>
  <si>
    <t>FUKAWA</t>
  </si>
  <si>
    <t>深川</t>
  </si>
  <si>
    <t>JPFYM</t>
  </si>
  <si>
    <t>FYM</t>
  </si>
  <si>
    <t>FUKUYAMAKAGOSHIMA</t>
  </si>
  <si>
    <t>JPGAJ</t>
  </si>
  <si>
    <t>GAJ</t>
  </si>
  <si>
    <t>YAMAGATA</t>
  </si>
  <si>
    <t>山形県</t>
  </si>
  <si>
    <t>山形</t>
  </si>
  <si>
    <t>JPGAM</t>
  </si>
  <si>
    <t>GAMAGORI-AICHI</t>
  </si>
  <si>
    <t>蒲郡</t>
  </si>
  <si>
    <t>JPGIF</t>
  </si>
  <si>
    <t>GIFU</t>
  </si>
  <si>
    <t>岐阜</t>
  </si>
  <si>
    <t>JPGKA</t>
  </si>
  <si>
    <t>GKA</t>
  </si>
  <si>
    <t>GUSHIKAWA</t>
  </si>
  <si>
    <t>具志川</t>
  </si>
  <si>
    <t>JPGKB</t>
  </si>
  <si>
    <t>GKB</t>
  </si>
  <si>
    <t>GONOKUBI - NAGASAKI</t>
  </si>
  <si>
    <t>郷ノ首</t>
  </si>
  <si>
    <t>JPGKN</t>
  </si>
  <si>
    <t>GKN</t>
  </si>
  <si>
    <t>GOKAN</t>
  </si>
  <si>
    <t>後閑</t>
  </si>
  <si>
    <t>JPGKS</t>
  </si>
  <si>
    <t>GKS</t>
  </si>
  <si>
    <t>GOKASHO</t>
  </si>
  <si>
    <t>五ヶ所</t>
  </si>
  <si>
    <t>JPGNG</t>
  </si>
  <si>
    <t>GNG</t>
  </si>
  <si>
    <t>GUNGE</t>
  </si>
  <si>
    <t>郡家</t>
  </si>
  <si>
    <t>JPGNW</t>
  </si>
  <si>
    <t>GNW</t>
  </si>
  <si>
    <t>GINOWAN - OKINAWA</t>
  </si>
  <si>
    <t>宜野湾</t>
  </si>
  <si>
    <t>JPGOI</t>
  </si>
  <si>
    <t>GOI/ICHIHARA</t>
  </si>
  <si>
    <t>五井／市原</t>
  </si>
  <si>
    <t>JPGON</t>
  </si>
  <si>
    <t>GONOURA - NAGASAKI</t>
  </si>
  <si>
    <t>郷ノ浦</t>
  </si>
  <si>
    <t>JPGOT</t>
  </si>
  <si>
    <t>GOT</t>
  </si>
  <si>
    <t>GOTSU - SHIMANE</t>
  </si>
  <si>
    <t>江津</t>
  </si>
  <si>
    <t>JPGPT</t>
  </si>
  <si>
    <t>GPT</t>
  </si>
  <si>
    <t>GENDENTOKAI - IBARAKI</t>
  </si>
  <si>
    <t>原電東海</t>
  </si>
  <si>
    <t>JPGYA</t>
  </si>
  <si>
    <t>GYOHDA</t>
  </si>
  <si>
    <t>行田</t>
  </si>
  <si>
    <t>JPHAA</t>
  </si>
  <si>
    <t>HAA</t>
  </si>
  <si>
    <t>HAMI - KAGOSHIMA</t>
  </si>
  <si>
    <t>波見</t>
  </si>
  <si>
    <t>JPHAB</t>
  </si>
  <si>
    <t>HAB</t>
  </si>
  <si>
    <t>HABU - HIROSHIMA</t>
  </si>
  <si>
    <t>土生</t>
  </si>
  <si>
    <t>JPHAC</t>
  </si>
  <si>
    <t>HAC</t>
  </si>
  <si>
    <t>HACHIJOJIMA</t>
  </si>
  <si>
    <t>八丈島</t>
  </si>
  <si>
    <t>JPHAD</t>
  </si>
  <si>
    <t>HEDA</t>
  </si>
  <si>
    <t>戸田</t>
  </si>
  <si>
    <t>JPHAE</t>
  </si>
  <si>
    <t>HAE</t>
  </si>
  <si>
    <t>HAENOHAMA</t>
  </si>
  <si>
    <t>南之浜</t>
  </si>
  <si>
    <t>JPHAG</t>
  </si>
  <si>
    <t>HAGI - YAMAGUCHI</t>
  </si>
  <si>
    <t>萩</t>
  </si>
  <si>
    <t>JPHAH</t>
  </si>
  <si>
    <t>HAH</t>
  </si>
  <si>
    <t>HASHIMA</t>
  </si>
  <si>
    <t>羽島</t>
  </si>
  <si>
    <t>JPHAI</t>
  </si>
  <si>
    <t>HAIKI</t>
  </si>
  <si>
    <t>早岐</t>
  </si>
  <si>
    <t>JPHAM</t>
  </si>
  <si>
    <t>HAMASARUFUTSU</t>
  </si>
  <si>
    <t>浜猿払</t>
  </si>
  <si>
    <t>JPHAN</t>
  </si>
  <si>
    <t>HANNAN - OSAKA</t>
  </si>
  <si>
    <t>阪南</t>
  </si>
  <si>
    <t>JPHAO</t>
  </si>
  <si>
    <t>HAO</t>
  </si>
  <si>
    <t>HACHIOJI</t>
  </si>
  <si>
    <t>八王子</t>
  </si>
  <si>
    <t>JPHAR</t>
  </si>
  <si>
    <t>HARA</t>
  </si>
  <si>
    <t>原</t>
  </si>
  <si>
    <t>JPHAS</t>
  </si>
  <si>
    <t>HAS</t>
  </si>
  <si>
    <t>HASHIHAMA</t>
  </si>
  <si>
    <t>波止浜</t>
  </si>
  <si>
    <t>JPHAU</t>
  </si>
  <si>
    <t>HABUTOKYO</t>
  </si>
  <si>
    <t>波浮</t>
  </si>
  <si>
    <t>JPHBA</t>
  </si>
  <si>
    <t>HAIBARA</t>
  </si>
  <si>
    <t>榛原</t>
  </si>
  <si>
    <t>JPHBB</t>
  </si>
  <si>
    <t>HBB</t>
  </si>
  <si>
    <t>HABUYAMAGUCHI</t>
  </si>
  <si>
    <t>埴生</t>
  </si>
  <si>
    <t>JPHBO</t>
  </si>
  <si>
    <t>HABORO</t>
  </si>
  <si>
    <t>羽幌</t>
  </si>
  <si>
    <t>JPHBR</t>
  </si>
  <si>
    <t>HIBURI - EHIME</t>
  </si>
  <si>
    <t>日振</t>
  </si>
  <si>
    <t>JPHDA</t>
  </si>
  <si>
    <t>HDA</t>
  </si>
  <si>
    <t>HANDA</t>
  </si>
  <si>
    <t>半田</t>
  </si>
  <si>
    <t>JPHDK</t>
  </si>
  <si>
    <t>HDK</t>
  </si>
  <si>
    <t>HIDAKA - WAKAYAMA</t>
  </si>
  <si>
    <t>日高</t>
  </si>
  <si>
    <t>JPHDO</t>
  </si>
  <si>
    <t>HDO</t>
  </si>
  <si>
    <t>HIMEDO - KUMAMOTO</t>
  </si>
  <si>
    <t>姫戸</t>
  </si>
  <si>
    <t>JPHEA</t>
  </si>
  <si>
    <t>HIKETA - KAGAWA</t>
  </si>
  <si>
    <t>引田</t>
  </si>
  <si>
    <t>JPHED</t>
  </si>
  <si>
    <t>HETONO - KAGOSHIMA</t>
  </si>
  <si>
    <t>平土野</t>
  </si>
  <si>
    <t>JPHEI</t>
  </si>
  <si>
    <t>KIN-NAKAGUSUKU-HENZA</t>
  </si>
  <si>
    <t>平安座［金武中城］</t>
  </si>
  <si>
    <t>JPHES</t>
  </si>
  <si>
    <t>HES</t>
  </si>
  <si>
    <t>HESAKI - FUKUOKA</t>
  </si>
  <si>
    <t>部埼</t>
  </si>
  <si>
    <t>JPHET</t>
  </si>
  <si>
    <t>HETA - KAGOSHIMA</t>
  </si>
  <si>
    <t>辺田</t>
  </si>
  <si>
    <t>JPHGH</t>
  </si>
  <si>
    <t>HIGASHIHAZU</t>
  </si>
  <si>
    <t>東幡豆</t>
  </si>
  <si>
    <t>JPHGO</t>
  </si>
  <si>
    <t>HACHIGO</t>
  </si>
  <si>
    <t>八郷</t>
  </si>
  <si>
    <t>JPHGS</t>
  </si>
  <si>
    <t>HGS</t>
  </si>
  <si>
    <t>HAGI-OSHIMA - YAMAGUCHI</t>
  </si>
  <si>
    <t>大島</t>
  </si>
  <si>
    <t>JPHGU</t>
  </si>
  <si>
    <t>HGU</t>
  </si>
  <si>
    <t>HIRUGAURA - NAGASAKI</t>
  </si>
  <si>
    <t>昼ヶ浦</t>
  </si>
  <si>
    <t>JPHHE</t>
  </si>
  <si>
    <t>HHE</t>
  </si>
  <si>
    <t>HACHINOHE - AOMORI</t>
  </si>
  <si>
    <t>八戸</t>
  </si>
  <si>
    <t>JPHHH</t>
  </si>
  <si>
    <t>HHH</t>
  </si>
  <si>
    <t>HIGASHINOHAMA</t>
  </si>
  <si>
    <t>東之浜</t>
  </si>
  <si>
    <t>JPHHM</t>
  </si>
  <si>
    <t>HHM</t>
  </si>
  <si>
    <t>HOHOMI</t>
  </si>
  <si>
    <t>保々見</t>
  </si>
  <si>
    <t>JPHHR</t>
  </si>
  <si>
    <t>HHR</t>
  </si>
  <si>
    <t>HIGASHIHARIMA - HYOGO</t>
  </si>
  <si>
    <t>東播磨</t>
  </si>
  <si>
    <t>JPHIA</t>
  </si>
  <si>
    <t>HIAGARI/KITAKIUSHU</t>
  </si>
  <si>
    <t>日明［関門（門司）］</t>
  </si>
  <si>
    <t>JPHIB</t>
  </si>
  <si>
    <t>HIB</t>
  </si>
  <si>
    <t>HIBI - OKAYAMA</t>
  </si>
  <si>
    <t>日比</t>
  </si>
  <si>
    <t>JPHIC</t>
  </si>
  <si>
    <t>HIC</t>
  </si>
  <si>
    <t>HITACHINAKA - IBARAKI</t>
  </si>
  <si>
    <t>茨城［常陸那珂］</t>
  </si>
  <si>
    <t>JPHIE</t>
  </si>
  <si>
    <t>HIKONE</t>
  </si>
  <si>
    <t>彦根</t>
  </si>
  <si>
    <t>JPHIG</t>
  </si>
  <si>
    <t>HIGASHISHIOYA</t>
  </si>
  <si>
    <t>東塩屋</t>
  </si>
  <si>
    <t>JPHII</t>
  </si>
  <si>
    <t>HII</t>
  </si>
  <si>
    <t>HIRASAKI</t>
  </si>
  <si>
    <t>平崎</t>
  </si>
  <si>
    <t>JPHIJ</t>
  </si>
  <si>
    <t>HIJ</t>
  </si>
  <si>
    <t>HIROSHIMA - HIROSHIMA</t>
  </si>
  <si>
    <t>広島</t>
  </si>
  <si>
    <t>JPHIK</t>
  </si>
  <si>
    <t>HIK</t>
  </si>
  <si>
    <t>HIKI</t>
  </si>
  <si>
    <t>日置</t>
  </si>
  <si>
    <t>JPHIM</t>
  </si>
  <si>
    <t>HIM</t>
  </si>
  <si>
    <t>HIMEJI - HYOGO</t>
  </si>
  <si>
    <t>姫路</t>
  </si>
  <si>
    <t>JPHIN</t>
  </si>
  <si>
    <t>HIN</t>
  </si>
  <si>
    <t>HINASE - OKAYAMA</t>
  </si>
  <si>
    <t>東備[日生］</t>
  </si>
  <si>
    <t>JPHIO</t>
  </si>
  <si>
    <t>HIO</t>
  </si>
  <si>
    <t>HIGASHI-OGISHIMA-KANAGAWA</t>
  </si>
  <si>
    <t>東扇島</t>
  </si>
  <si>
    <t>JPHIR</t>
  </si>
  <si>
    <t>HIROO</t>
  </si>
  <si>
    <t>広尾［十勝］</t>
  </si>
  <si>
    <t>JPHIS</t>
  </si>
  <si>
    <t>HIKOSHIMA - YAMAGUCHI</t>
  </si>
  <si>
    <t>彦島</t>
  </si>
  <si>
    <t>JPHIT</t>
  </si>
  <si>
    <t>HIT</t>
  </si>
  <si>
    <t>HIROSHIMA APT - HIROSHIMA</t>
  </si>
  <si>
    <t>広島空港</t>
  </si>
  <si>
    <t>JPHIU</t>
  </si>
  <si>
    <t>HIU</t>
  </si>
  <si>
    <t>HIRATSUKA</t>
  </si>
  <si>
    <t>平塚</t>
  </si>
  <si>
    <t>JPHIZ</t>
  </si>
  <si>
    <t>HIZ</t>
  </si>
  <si>
    <t>HIZENOHSHIMA</t>
  </si>
  <si>
    <t>肥前大島</t>
  </si>
  <si>
    <t>JPHJA</t>
  </si>
  <si>
    <t>HJA</t>
  </si>
  <si>
    <t>HONJIMA - KAGAWA</t>
  </si>
  <si>
    <t>本島</t>
  </si>
  <si>
    <t>JPHJI</t>
  </si>
  <si>
    <t>HJI</t>
  </si>
  <si>
    <t>HIJI - OITA</t>
  </si>
  <si>
    <t>日出</t>
  </si>
  <si>
    <t>JPHJM</t>
  </si>
  <si>
    <t>HJM</t>
  </si>
  <si>
    <t>HAMAJIMA - MIE</t>
  </si>
  <si>
    <t>浜島</t>
  </si>
  <si>
    <t>JPHJO</t>
  </si>
  <si>
    <t>HJO</t>
  </si>
  <si>
    <t>HOJO</t>
  </si>
  <si>
    <t>北条</t>
  </si>
  <si>
    <t>JPHJR</t>
  </si>
  <si>
    <t>HAMAJIRI</t>
  </si>
  <si>
    <t>浜尻</t>
  </si>
  <si>
    <t>JPHJT</t>
  </si>
  <si>
    <t>HJT</t>
  </si>
  <si>
    <t>HIROTAKAGOSHIMA</t>
  </si>
  <si>
    <t>広田</t>
  </si>
  <si>
    <t>JPHKA</t>
  </si>
  <si>
    <t>HKA</t>
  </si>
  <si>
    <t>HIRAKATA</t>
  </si>
  <si>
    <t>枚方</t>
  </si>
  <si>
    <t>JPHKD</t>
  </si>
  <si>
    <t>HKD</t>
  </si>
  <si>
    <t>HAKODATE APT - HOKKAIDO</t>
  </si>
  <si>
    <t>函館空港</t>
  </si>
  <si>
    <t>JPHKI</t>
  </si>
  <si>
    <t>HKI</t>
  </si>
  <si>
    <t>HIKAMI</t>
  </si>
  <si>
    <t>氷上</t>
  </si>
  <si>
    <t>JPHKJ</t>
  </si>
  <si>
    <t>HKJ</t>
  </si>
  <si>
    <t>HAMASAKA</t>
  </si>
  <si>
    <t>浜坂</t>
  </si>
  <si>
    <t>JPHKK</t>
  </si>
  <si>
    <t>HKK</t>
  </si>
  <si>
    <t>HYAKKAN</t>
  </si>
  <si>
    <t>百貫</t>
  </si>
  <si>
    <t>JPHKM</t>
  </si>
  <si>
    <t>HKM</t>
  </si>
  <si>
    <t>HONKUSHIMA - EHIME</t>
  </si>
  <si>
    <t>本九島</t>
  </si>
  <si>
    <t>JPHKN</t>
  </si>
  <si>
    <t>HEKINAN</t>
  </si>
  <si>
    <t>碧南［衣浦］</t>
  </si>
  <si>
    <t>JPHKP</t>
  </si>
  <si>
    <t>HKP</t>
  </si>
  <si>
    <t>HAKODATE - HOKKAIDO</t>
  </si>
  <si>
    <t>函館</t>
  </si>
  <si>
    <t>JPHKR</t>
  </si>
  <si>
    <t>HKR</t>
  </si>
  <si>
    <t>HIKARI - YAMAGUCHI</t>
  </si>
  <si>
    <t>光[徳山下松]</t>
  </si>
  <si>
    <t>JPHKS</t>
  </si>
  <si>
    <t>HKS</t>
  </si>
  <si>
    <t>HAKATA - EHIME</t>
  </si>
  <si>
    <t>伯方</t>
  </si>
  <si>
    <t>JPHKT</t>
  </si>
  <si>
    <t>HKT</t>
  </si>
  <si>
    <t>HAKATA - FUKUOKA</t>
  </si>
  <si>
    <t>博多</t>
  </si>
  <si>
    <t>JPHKU</t>
  </si>
  <si>
    <t>HKU</t>
  </si>
  <si>
    <t>HAKOURA</t>
  </si>
  <si>
    <t>箱浦</t>
  </si>
  <si>
    <t>JPHKW</t>
  </si>
  <si>
    <t>HKW</t>
  </si>
  <si>
    <t>HAMAKANAYA</t>
  </si>
  <si>
    <t>浜金谷</t>
  </si>
  <si>
    <t>JPHKZ</t>
  </si>
  <si>
    <t>HKZ</t>
  </si>
  <si>
    <t>HIKOZAKI</t>
  </si>
  <si>
    <t>彦崎</t>
  </si>
  <si>
    <t>JPHMA</t>
  </si>
  <si>
    <t>HMA</t>
  </si>
  <si>
    <t>HISHIMA</t>
  </si>
  <si>
    <t>肥島</t>
  </si>
  <si>
    <t>JPHMC</t>
  </si>
  <si>
    <t>HAMOCHI</t>
  </si>
  <si>
    <t>羽茂</t>
  </si>
  <si>
    <t>JPHMD</t>
  </si>
  <si>
    <t>HMD</t>
  </si>
  <si>
    <t>HAMADA - SHIMANE</t>
  </si>
  <si>
    <t>浜田</t>
  </si>
  <si>
    <t>JPHMG</t>
  </si>
  <si>
    <t>HAMAGURI - EHIME</t>
  </si>
  <si>
    <t>蛤</t>
  </si>
  <si>
    <t>JPHMH</t>
  </si>
  <si>
    <t>HMH</t>
  </si>
  <si>
    <t>HIMESHIMA</t>
  </si>
  <si>
    <t>姫島</t>
  </si>
  <si>
    <t>JPHMI</t>
  </si>
  <si>
    <t>HATAMI</t>
  </si>
  <si>
    <t>波多見</t>
  </si>
  <si>
    <t>JPHMJ</t>
  </si>
  <si>
    <t>HMJ</t>
  </si>
  <si>
    <t>HIMI</t>
  </si>
  <si>
    <t>氷見</t>
  </si>
  <si>
    <t>JPHMK</t>
  </si>
  <si>
    <t>HMK</t>
  </si>
  <si>
    <t>HIMEKAWA - NIIGATA</t>
  </si>
  <si>
    <t>姫川</t>
  </si>
  <si>
    <t>JPHMM</t>
  </si>
  <si>
    <t>HAMAMATSU</t>
  </si>
  <si>
    <t>浜松</t>
  </si>
  <si>
    <t>JPHMN</t>
  </si>
  <si>
    <t>HAMANA</t>
  </si>
  <si>
    <t>浜名</t>
  </si>
  <si>
    <t>JPHMS</t>
  </si>
  <si>
    <t>HMS</t>
  </si>
  <si>
    <t>HIMOSASHI</t>
  </si>
  <si>
    <t>紐差</t>
  </si>
  <si>
    <t>JPHMT</t>
  </si>
  <si>
    <t>HMT</t>
  </si>
  <si>
    <t>HIKIMOTO</t>
  </si>
  <si>
    <t>引本</t>
  </si>
  <si>
    <t>JPHMW</t>
  </si>
  <si>
    <t>HMW</t>
  </si>
  <si>
    <t>HAMAWAKI</t>
  </si>
  <si>
    <t>浜脇</t>
  </si>
  <si>
    <t>JPHMX</t>
  </si>
  <si>
    <t>HMX</t>
  </si>
  <si>
    <t>HAMASAKI</t>
  </si>
  <si>
    <t>浜崎</t>
  </si>
  <si>
    <t>JPHNA</t>
  </si>
  <si>
    <t>HNA</t>
  </si>
  <si>
    <t>HANAMAKI</t>
  </si>
  <si>
    <t>岩手県</t>
  </si>
  <si>
    <t>花巻</t>
  </si>
  <si>
    <t>花巻空港</t>
  </si>
  <si>
    <t>JPHND</t>
  </si>
  <si>
    <t>HND</t>
  </si>
  <si>
    <t>HANEDA APT - TOKYO</t>
  </si>
  <si>
    <t>東京国際空港（羽田空港）</t>
  </si>
  <si>
    <t>東京国際空港</t>
  </si>
  <si>
    <t>JPHNE</t>
  </si>
  <si>
    <t>HNE</t>
  </si>
  <si>
    <t>HANE</t>
  </si>
  <si>
    <t>羽根</t>
  </si>
  <si>
    <t>JPHNG</t>
  </si>
  <si>
    <t>HNG</t>
  </si>
  <si>
    <t>HINAGU</t>
  </si>
  <si>
    <t>日奈久</t>
  </si>
  <si>
    <t>JPHNJ</t>
  </si>
  <si>
    <t>HNJ</t>
  </si>
  <si>
    <t>HONJOKYOTO</t>
  </si>
  <si>
    <t>本庄</t>
  </si>
  <si>
    <t>JPHNK</t>
  </si>
  <si>
    <t>HANASAKI - HOKKAIDO</t>
  </si>
  <si>
    <t>花咲</t>
  </si>
  <si>
    <t>JPHNN</t>
  </si>
  <si>
    <t>HONMOKU</t>
  </si>
  <si>
    <t>本牧［京浜（横浜）］</t>
  </si>
  <si>
    <t>JPHNO</t>
  </si>
  <si>
    <t>HNO</t>
  </si>
  <si>
    <t>HADANO</t>
  </si>
  <si>
    <t>秦野</t>
  </si>
  <si>
    <t>JPHNR</t>
  </si>
  <si>
    <t>HNR</t>
  </si>
  <si>
    <t>HIMENOURA</t>
  </si>
  <si>
    <t>姫の浦</t>
  </si>
  <si>
    <t>JPHNS</t>
  </si>
  <si>
    <t>HNS</t>
  </si>
  <si>
    <t>HINOSHIMA</t>
  </si>
  <si>
    <t>樋島</t>
  </si>
  <si>
    <t>JPHNY</t>
  </si>
  <si>
    <t>HANYU</t>
  </si>
  <si>
    <t>波入</t>
  </si>
  <si>
    <t>JPHNZ</t>
  </si>
  <si>
    <t>HNZ</t>
  </si>
  <si>
    <t>HINOZU</t>
  </si>
  <si>
    <t>日之津</t>
  </si>
  <si>
    <t>JPHOD</t>
  </si>
  <si>
    <t>HONDO</t>
  </si>
  <si>
    <t>本渡</t>
  </si>
  <si>
    <t>JPHON</t>
  </si>
  <si>
    <t>HONJOAKITA</t>
  </si>
  <si>
    <t>本荘</t>
  </si>
  <si>
    <t>JPHOS</t>
  </si>
  <si>
    <t>HOSHIKASAGA</t>
  </si>
  <si>
    <t>佐賀県</t>
  </si>
  <si>
    <t>星賀</t>
  </si>
  <si>
    <t>JPHOT</t>
  </si>
  <si>
    <t>HOTOKEGAURA</t>
  </si>
  <si>
    <t>仏ケ浦</t>
  </si>
  <si>
    <t>JPHPP</t>
  </si>
  <si>
    <t>HPP</t>
  </si>
  <si>
    <t>HOPPOZAKI</t>
  </si>
  <si>
    <t>北方崎</t>
  </si>
  <si>
    <t>JPHRA</t>
  </si>
  <si>
    <t>HRA</t>
  </si>
  <si>
    <t>HIRAO - YAMAGUCHI</t>
  </si>
  <si>
    <t>平生</t>
  </si>
  <si>
    <t>JPHRD</t>
  </si>
  <si>
    <t>HIRADO</t>
  </si>
  <si>
    <t>平戸</t>
  </si>
  <si>
    <t>JPHRE</t>
  </si>
  <si>
    <t>HORIE</t>
  </si>
  <si>
    <t>堀江</t>
  </si>
  <si>
    <t>JPHRH</t>
  </si>
  <si>
    <t>HIROHATA</t>
  </si>
  <si>
    <t>広畑［姫路］</t>
  </si>
  <si>
    <t>JPHRI</t>
  </si>
  <si>
    <t>HRI</t>
  </si>
  <si>
    <t>HORIKAPPU</t>
  </si>
  <si>
    <t>堀株</t>
  </si>
  <si>
    <t>JPHRJ</t>
  </si>
  <si>
    <t>HRJ</t>
  </si>
  <si>
    <t>HIRAI</t>
  </si>
  <si>
    <t>日良居</t>
  </si>
  <si>
    <t>JPHRK</t>
  </si>
  <si>
    <t>HRK</t>
  </si>
  <si>
    <t>平潟</t>
  </si>
  <si>
    <t>JPHRM</t>
  </si>
  <si>
    <t>HARAMACHI - FUKUSHIMA</t>
  </si>
  <si>
    <t>原町</t>
  </si>
  <si>
    <t>JPHRO</t>
  </si>
  <si>
    <t>HRO</t>
  </si>
  <si>
    <t>HIRO</t>
  </si>
  <si>
    <t>広［呉］</t>
  </si>
  <si>
    <t>JPHRR</t>
  </si>
  <si>
    <t>HIRARA - OKINAWA</t>
  </si>
  <si>
    <t>平良</t>
  </si>
  <si>
    <t>JPHRS</t>
  </si>
  <si>
    <t>HRS</t>
  </si>
  <si>
    <t>HIRASE - KUMAMOTO</t>
  </si>
  <si>
    <t>平瀬</t>
  </si>
  <si>
    <t>JPHRU</t>
  </si>
  <si>
    <t>HRU</t>
  </si>
  <si>
    <t>HIROURA</t>
  </si>
  <si>
    <t>広浦</t>
  </si>
  <si>
    <t>JPHRW</t>
  </si>
  <si>
    <t>HIRAIWA</t>
  </si>
  <si>
    <t>平岩</t>
  </si>
  <si>
    <t>JPHSH</t>
  </si>
  <si>
    <t>HSH</t>
  </si>
  <si>
    <t>HASHI</t>
  </si>
  <si>
    <t>波止</t>
  </si>
  <si>
    <t>JPHSI</t>
  </si>
  <si>
    <t>HSI</t>
  </si>
  <si>
    <t>HOSHIKA - NAGASAKI</t>
  </si>
  <si>
    <t>星鹿</t>
  </si>
  <si>
    <t>JPHSK</t>
  </si>
  <si>
    <t>HSK</t>
  </si>
  <si>
    <t>HAMASAKO</t>
  </si>
  <si>
    <t>浜窄</t>
  </si>
  <si>
    <t>JPHSM</t>
  </si>
  <si>
    <t>HOSOSHIMA - MIYAZAKI</t>
  </si>
  <si>
    <t>細島</t>
  </si>
  <si>
    <t>JPHSN</t>
  </si>
  <si>
    <t>HISANOHAMA</t>
  </si>
  <si>
    <t>久之浜</t>
  </si>
  <si>
    <t>JPHSR</t>
  </si>
  <si>
    <t>HSR</t>
  </si>
  <si>
    <t>HASHIRAJIMA</t>
  </si>
  <si>
    <t>柱島</t>
  </si>
  <si>
    <t>JPHSS</t>
  </si>
  <si>
    <t>HSS</t>
  </si>
  <si>
    <t>HASE</t>
  </si>
  <si>
    <t>長谷</t>
  </si>
  <si>
    <t>JPHSU</t>
  </si>
  <si>
    <t>HSU</t>
  </si>
  <si>
    <t>HAMASUKI</t>
  </si>
  <si>
    <t>浜漉</t>
  </si>
  <si>
    <t>JPHSW</t>
  </si>
  <si>
    <t>HSW</t>
  </si>
  <si>
    <t>HIRASAWA</t>
  </si>
  <si>
    <t>平沢</t>
  </si>
  <si>
    <t>JPHTA</t>
  </si>
  <si>
    <t>HTA</t>
  </si>
  <si>
    <t>HIROTAIWATE</t>
  </si>
  <si>
    <t>JPHTC</t>
  </si>
  <si>
    <t>HTC</t>
  </si>
  <si>
    <t>HITACHI - IBARAKI</t>
  </si>
  <si>
    <t>茨城[日立]</t>
  </si>
  <si>
    <t>JPHTD</t>
  </si>
  <si>
    <t>HTD</t>
  </si>
  <si>
    <t>HAKATA</t>
  </si>
  <si>
    <t>波方</t>
  </si>
  <si>
    <t>JPHTK</t>
  </si>
  <si>
    <t>HTK</t>
  </si>
  <si>
    <t>HITAKATSU - NAGASAKI</t>
  </si>
  <si>
    <t>比田勝</t>
  </si>
  <si>
    <t>JPHTM</t>
  </si>
  <si>
    <t>HTM</t>
  </si>
  <si>
    <t>FUTAMI - TOKYO</t>
  </si>
  <si>
    <t>二見</t>
  </si>
  <si>
    <t>JPHTO</t>
  </si>
  <si>
    <t>HTO</t>
  </si>
  <si>
    <t>HATOMA</t>
  </si>
  <si>
    <t>鳩間</t>
  </si>
  <si>
    <t>JPHTR</t>
  </si>
  <si>
    <t>HTR</t>
  </si>
  <si>
    <t>HATERUMA</t>
  </si>
  <si>
    <t>波照間</t>
  </si>
  <si>
    <t>JPHTS</t>
  </si>
  <si>
    <t>HTS</t>
  </si>
  <si>
    <t>HITSUSHIMA</t>
  </si>
  <si>
    <t>櫃島</t>
  </si>
  <si>
    <t>JPHTT</t>
  </si>
  <si>
    <t>HTT</t>
  </si>
  <si>
    <t>HATA</t>
  </si>
  <si>
    <t>幡</t>
  </si>
  <si>
    <t>JPHUD</t>
  </si>
  <si>
    <t>HUD</t>
  </si>
  <si>
    <t>HODA</t>
  </si>
  <si>
    <t>法田</t>
  </si>
  <si>
    <t>JPHUR</t>
  </si>
  <si>
    <t>HUR</t>
  </si>
  <si>
    <t>HANNOURA</t>
  </si>
  <si>
    <t>半ノ浦</t>
  </si>
  <si>
    <t>JPHUT</t>
  </si>
  <si>
    <t>HUT</t>
  </si>
  <si>
    <t>FUTAMI - NIIGATA</t>
  </si>
  <si>
    <t>JPHWA</t>
  </si>
  <si>
    <t>HWA</t>
  </si>
  <si>
    <t>HAMATSUWAKI</t>
  </si>
  <si>
    <t>浜津脇</t>
  </si>
  <si>
    <t>JPHWS</t>
  </si>
  <si>
    <t>HWS</t>
  </si>
  <si>
    <t>HIWASA</t>
  </si>
  <si>
    <t>日和佐</t>
  </si>
  <si>
    <t>JPHYG</t>
  </si>
  <si>
    <t>HYG</t>
  </si>
  <si>
    <t>HYUGADOMARI - OITA</t>
  </si>
  <si>
    <t>日向泊</t>
  </si>
  <si>
    <t>JPHYK</t>
  </si>
  <si>
    <t>HYK</t>
  </si>
  <si>
    <t>HAYAKAWA</t>
  </si>
  <si>
    <t>早川</t>
  </si>
  <si>
    <t>JPHYM</t>
  </si>
  <si>
    <t>HAYAMA</t>
  </si>
  <si>
    <t>葉山</t>
  </si>
  <si>
    <t>JPHYR</t>
  </si>
  <si>
    <t>HYR</t>
  </si>
  <si>
    <t>HYAKUNOURA - EHIME</t>
  </si>
  <si>
    <t>百ノ浦</t>
  </si>
  <si>
    <t>JPHYS</t>
  </si>
  <si>
    <t>HYS</t>
  </si>
  <si>
    <t>HISAYOSHI - EHIME</t>
  </si>
  <si>
    <t>久良</t>
  </si>
  <si>
    <t>JPHYT</t>
  </si>
  <si>
    <t>HYT</t>
  </si>
  <si>
    <t>HAYATO</t>
  </si>
  <si>
    <t>隼人</t>
  </si>
  <si>
    <t>JPIBI</t>
  </si>
  <si>
    <t>IBI</t>
  </si>
  <si>
    <t>IBIWAGA</t>
  </si>
  <si>
    <t>揖斐川</t>
  </si>
  <si>
    <t>JPIBK</t>
  </si>
  <si>
    <t>IBK</t>
  </si>
  <si>
    <t>IBARAKI APT - IBARAKI</t>
  </si>
  <si>
    <t>茨城空港（百里飛行場）</t>
  </si>
  <si>
    <t>IBR</t>
  </si>
  <si>
    <t>JPIBR</t>
  </si>
  <si>
    <t>IBURI</t>
  </si>
  <si>
    <t>以布利</t>
  </si>
  <si>
    <t>JPIBS</t>
  </si>
  <si>
    <t>IBS</t>
  </si>
  <si>
    <t>IBUSUKI</t>
  </si>
  <si>
    <t>指宿</t>
  </si>
  <si>
    <t>JPICD</t>
  </si>
  <si>
    <t>ICD</t>
  </si>
  <si>
    <t>ICCHODA</t>
  </si>
  <si>
    <t>一町田</t>
  </si>
  <si>
    <t>JPICH</t>
  </si>
  <si>
    <t>ICH</t>
  </si>
  <si>
    <t>ICHIHARA-CHIBA</t>
  </si>
  <si>
    <t>市原</t>
  </si>
  <si>
    <t>JPICK</t>
  </si>
  <si>
    <t>ICK</t>
  </si>
  <si>
    <t>ICHIKAWA</t>
  </si>
  <si>
    <t>市川［千葉］</t>
  </si>
  <si>
    <t>JPIDA</t>
  </si>
  <si>
    <t>IDA</t>
  </si>
  <si>
    <t>IIDA</t>
  </si>
  <si>
    <t>飯田</t>
  </si>
  <si>
    <t>JPIDJ</t>
  </si>
  <si>
    <t>IDJ</t>
  </si>
  <si>
    <t>INDOHJI</t>
  </si>
  <si>
    <t>印通寺</t>
  </si>
  <si>
    <t>JPIDM</t>
  </si>
  <si>
    <t>IDM</t>
  </si>
  <si>
    <t>IWAYADOMARI</t>
  </si>
  <si>
    <t>岩屋泊</t>
  </si>
  <si>
    <t>JPIEJ</t>
  </si>
  <si>
    <t>IEJ</t>
  </si>
  <si>
    <t>IEJIMA/OKINAWA</t>
  </si>
  <si>
    <t>伊江</t>
  </si>
  <si>
    <t>JPIER</t>
  </si>
  <si>
    <t>IER</t>
  </si>
  <si>
    <t>IEURA</t>
  </si>
  <si>
    <t>家浦</t>
  </si>
  <si>
    <t>JPIES</t>
  </si>
  <si>
    <t>IES</t>
  </si>
  <si>
    <t>IESHIMA - HYOGO</t>
  </si>
  <si>
    <t>家島</t>
  </si>
  <si>
    <t>JPIGK</t>
  </si>
  <si>
    <t>IGK</t>
  </si>
  <si>
    <t>ISHIGAKI APT - OKINAWA</t>
  </si>
  <si>
    <t>新石垣空港</t>
  </si>
  <si>
    <t>JPIGO</t>
  </si>
  <si>
    <t>伊後</t>
  </si>
  <si>
    <t>JPIGR</t>
  </si>
  <si>
    <t>IMAGIRE - TOKUSHIMA</t>
  </si>
  <si>
    <t>今切</t>
  </si>
  <si>
    <t>JPIHA</t>
  </si>
  <si>
    <t>IHA</t>
  </si>
  <si>
    <t>NIIHAMA - EHIME</t>
  </si>
  <si>
    <t>新居浜</t>
  </si>
  <si>
    <t>JPIHN</t>
  </si>
  <si>
    <t>IHN</t>
  </si>
  <si>
    <t>ICHINOMIYA</t>
  </si>
  <si>
    <t>一宮</t>
  </si>
  <si>
    <t>JPIHO</t>
  </si>
  <si>
    <t>IHO</t>
  </si>
  <si>
    <t>IHOTA</t>
  </si>
  <si>
    <t>伊保田</t>
  </si>
  <si>
    <t>JPIIB</t>
  </si>
  <si>
    <t>IIB</t>
  </si>
  <si>
    <t>IIBI</t>
  </si>
  <si>
    <t>飯美</t>
  </si>
  <si>
    <t>JPIII</t>
  </si>
  <si>
    <t>III</t>
  </si>
  <si>
    <t>II</t>
  </si>
  <si>
    <t>飯井</t>
  </si>
  <si>
    <t>JPIIN</t>
  </si>
  <si>
    <t>IIN</t>
  </si>
  <si>
    <t>NISHINOOMOTE - KAGOSHIMA</t>
  </si>
  <si>
    <t>西之表</t>
  </si>
  <si>
    <t>JPIKA</t>
  </si>
  <si>
    <t>IKEDAKAGAWA</t>
  </si>
  <si>
    <t>池田</t>
  </si>
  <si>
    <t>JPIKC</t>
  </si>
  <si>
    <t>IKC</t>
  </si>
  <si>
    <t>IKUCHI</t>
  </si>
  <si>
    <t>生口</t>
  </si>
  <si>
    <t>JPIKD</t>
  </si>
  <si>
    <t>IKEDAWAKAYAMA</t>
  </si>
  <si>
    <t>JPIKE</t>
  </si>
  <si>
    <t>IKE</t>
  </si>
  <si>
    <t>IKESHIMA</t>
  </si>
  <si>
    <t>池島</t>
  </si>
  <si>
    <t>JPIKI</t>
  </si>
  <si>
    <t>IKI</t>
  </si>
  <si>
    <t>壱岐</t>
  </si>
  <si>
    <t>JPIKJ</t>
  </si>
  <si>
    <t>IKJ</t>
  </si>
  <si>
    <t>ISSHIKI</t>
  </si>
  <si>
    <t>一色</t>
  </si>
  <si>
    <t>JPIKK</t>
  </si>
  <si>
    <t>IKK</t>
  </si>
  <si>
    <t>IKITSUKI</t>
  </si>
  <si>
    <t>生月</t>
  </si>
  <si>
    <t>JPIKN</t>
  </si>
  <si>
    <t>IKN</t>
  </si>
  <si>
    <t>IKINA</t>
  </si>
  <si>
    <t>生名</t>
  </si>
  <si>
    <t>JPIKR</t>
  </si>
  <si>
    <t>IKR</t>
  </si>
  <si>
    <t>IKARA</t>
  </si>
  <si>
    <t>伊唐</t>
  </si>
  <si>
    <t>JPIKS</t>
  </si>
  <si>
    <t>IKS</t>
  </si>
  <si>
    <t>IKITSUKISHIMA - NAGASAKI</t>
  </si>
  <si>
    <t>生月島</t>
  </si>
  <si>
    <t>JPIKT</t>
  </si>
  <si>
    <t>IKT</t>
  </si>
  <si>
    <t>IKATA - EHIME</t>
  </si>
  <si>
    <t>伊方</t>
  </si>
  <si>
    <t>JPIKU</t>
  </si>
  <si>
    <t>IKU</t>
  </si>
  <si>
    <t>IKUNOHAMA</t>
  </si>
  <si>
    <t>生ノ浜</t>
  </si>
  <si>
    <t>JPIKW</t>
  </si>
  <si>
    <t>IKW</t>
  </si>
  <si>
    <t>ISHIKAWA</t>
  </si>
  <si>
    <t>石川</t>
  </si>
  <si>
    <t>JPIMA</t>
  </si>
  <si>
    <t>IMAFUKU</t>
  </si>
  <si>
    <t>今福</t>
  </si>
  <si>
    <t>JPIMB</t>
  </si>
  <si>
    <t>IMABARI - EHIME</t>
  </si>
  <si>
    <t>今治</t>
  </si>
  <si>
    <t>JPIMI</t>
  </si>
  <si>
    <t>IMI</t>
  </si>
  <si>
    <t>IMARI - SAGA</t>
  </si>
  <si>
    <t>伊万里</t>
  </si>
  <si>
    <t>JPIMM</t>
  </si>
  <si>
    <t>伊美</t>
  </si>
  <si>
    <t>JPIMT</t>
  </si>
  <si>
    <t>IMT</t>
  </si>
  <si>
    <t>IMAZATO - NAGASAKI</t>
  </si>
  <si>
    <t>今里</t>
  </si>
  <si>
    <t>JPIMZ</t>
  </si>
  <si>
    <t>IMAZU - EHIME</t>
  </si>
  <si>
    <t>今出</t>
  </si>
  <si>
    <t>JPINA</t>
  </si>
  <si>
    <t>INA</t>
  </si>
  <si>
    <t>INA - NAGASAKI</t>
  </si>
  <si>
    <t>伊奈</t>
  </si>
  <si>
    <t>JPIND</t>
  </si>
  <si>
    <t>IND</t>
  </si>
  <si>
    <t>INONADA</t>
  </si>
  <si>
    <t>伊野灘</t>
  </si>
  <si>
    <t>JPINE</t>
  </si>
  <si>
    <t>INE</t>
  </si>
  <si>
    <t>伊根</t>
  </si>
  <si>
    <t>JPING</t>
  </si>
  <si>
    <t>INUGAURA - NAGASAKI</t>
  </si>
  <si>
    <t>犬ヶ浦</t>
  </si>
  <si>
    <t>JPINK</t>
  </si>
  <si>
    <t>INK</t>
  </si>
  <si>
    <t>INOKUSHI - OITA</t>
  </si>
  <si>
    <t>猪串</t>
  </si>
  <si>
    <t>JPINO</t>
  </si>
  <si>
    <t>INOBE</t>
  </si>
  <si>
    <t>伊延</t>
  </si>
  <si>
    <t>JPINR</t>
  </si>
  <si>
    <t>INR</t>
  </si>
  <si>
    <t>INATORI</t>
  </si>
  <si>
    <t>稲取</t>
  </si>
  <si>
    <t>JPINS</t>
  </si>
  <si>
    <t>INS</t>
  </si>
  <si>
    <t>INNOSHIMA-HIROSHIMA</t>
  </si>
  <si>
    <t>因島</t>
  </si>
  <si>
    <t>JPINT</t>
  </si>
  <si>
    <t>INT</t>
  </si>
  <si>
    <t>IINOSETO - NAGASAKI</t>
  </si>
  <si>
    <t>飯ノ瀬戸</t>
  </si>
  <si>
    <t>JPINY</t>
  </si>
  <si>
    <t>INY</t>
  </si>
  <si>
    <t>INUYAMA</t>
  </si>
  <si>
    <t>犬山</t>
  </si>
  <si>
    <t>JPINZ</t>
  </si>
  <si>
    <t>INUJIMA</t>
  </si>
  <si>
    <t>犬島</t>
  </si>
  <si>
    <t>JPIOU</t>
  </si>
  <si>
    <t>IOU</t>
  </si>
  <si>
    <t>IOUJIMA - KAGOSHIMA</t>
  </si>
  <si>
    <t>硫黄島</t>
  </si>
  <si>
    <t>JPIRK</t>
  </si>
  <si>
    <t>IRK</t>
  </si>
  <si>
    <t>IRAGO</t>
  </si>
  <si>
    <t>伊良湖</t>
  </si>
  <si>
    <t>JPISA</t>
  </si>
  <si>
    <t>ISSAI - KOCHI</t>
  </si>
  <si>
    <t>一切</t>
  </si>
  <si>
    <t>JPISB</t>
  </si>
  <si>
    <t>ISB</t>
  </si>
  <si>
    <t>ISHIBA</t>
  </si>
  <si>
    <t>石場</t>
  </si>
  <si>
    <t>JPISC</t>
  </si>
  <si>
    <t>ISHIWAKI</t>
  </si>
  <si>
    <t>石脇</t>
  </si>
  <si>
    <t>JPISD</t>
  </si>
  <si>
    <t>ISHIDA</t>
  </si>
  <si>
    <t>石田</t>
  </si>
  <si>
    <t>JPISE</t>
  </si>
  <si>
    <t>伊勢</t>
  </si>
  <si>
    <t>JPISG</t>
  </si>
  <si>
    <t>ISHIGAKI - OKINAWA</t>
  </si>
  <si>
    <t>石垣</t>
  </si>
  <si>
    <t>JPISH</t>
  </si>
  <si>
    <t>ISHIMA - OKAYAMA</t>
  </si>
  <si>
    <t>石島</t>
  </si>
  <si>
    <t>JPISI</t>
  </si>
  <si>
    <t>ISHIKARI</t>
  </si>
  <si>
    <t>石狩</t>
  </si>
  <si>
    <t>JPISK</t>
  </si>
  <si>
    <t>ISEKI</t>
  </si>
  <si>
    <t>伊関</t>
  </si>
  <si>
    <t>JPISM</t>
  </si>
  <si>
    <t>ISHINOMAKI - MIYAGI</t>
  </si>
  <si>
    <t>石巻</t>
  </si>
  <si>
    <t>JPISS</t>
  </si>
  <si>
    <t>ISS</t>
  </si>
  <si>
    <t>ISHIKARIWANSHINKO-HOKKAIDO</t>
  </si>
  <si>
    <t>石狩湾新港［石狩湾］</t>
  </si>
  <si>
    <t>JPISU</t>
  </si>
  <si>
    <t>ISU</t>
  </si>
  <si>
    <t>ISUWAN - KAGOSHIMA</t>
  </si>
  <si>
    <t>伊須湾</t>
  </si>
  <si>
    <t>JPISW</t>
  </si>
  <si>
    <t>ISW</t>
  </si>
  <si>
    <t>ISHIKARIWAN - HOKKAIDO</t>
  </si>
  <si>
    <t>石狩湾</t>
  </si>
  <si>
    <t>JPISX</t>
  </si>
  <si>
    <t>ISX</t>
  </si>
  <si>
    <t>ISOZAKI</t>
  </si>
  <si>
    <t>磯崎</t>
  </si>
  <si>
    <t>JPISY</t>
  </si>
  <si>
    <t>ISY</t>
  </si>
  <si>
    <t>ISAHAYA</t>
  </si>
  <si>
    <t>諌早</t>
  </si>
  <si>
    <t>JPISZ</t>
  </si>
  <si>
    <t>ISZ</t>
  </si>
  <si>
    <t>ISEZAKI</t>
  </si>
  <si>
    <t>群馬県</t>
  </si>
  <si>
    <t>伊勢崎</t>
  </si>
  <si>
    <t>JPITA</t>
  </si>
  <si>
    <t>ITAMI/HYOGO</t>
  </si>
  <si>
    <t>伊丹</t>
  </si>
  <si>
    <t>JPITC</t>
  </si>
  <si>
    <t>ITOCHU OIL TERMINAL</t>
  </si>
  <si>
    <t>伊藤忠ｵｲﾙﾀｰﾐﾅﾙ</t>
  </si>
  <si>
    <t>JPITJ</t>
  </si>
  <si>
    <t>ITOHSHIZUOKA</t>
  </si>
  <si>
    <t>伊東</t>
  </si>
  <si>
    <t>JPITK</t>
  </si>
  <si>
    <t>ITK</t>
  </si>
  <si>
    <t>ITAKO</t>
  </si>
  <si>
    <t>潮来</t>
  </si>
  <si>
    <t>JPITO</t>
  </si>
  <si>
    <t>ITO</t>
  </si>
  <si>
    <t>ITOZAKI</t>
  </si>
  <si>
    <t>糸崎［尾道糸崎］</t>
  </si>
  <si>
    <t>JPITS</t>
  </si>
  <si>
    <t>ITS</t>
  </si>
  <si>
    <t>ITSUKUSHIMA</t>
  </si>
  <si>
    <t>厳島</t>
  </si>
  <si>
    <t>JPITU</t>
  </si>
  <si>
    <t>ITU</t>
  </si>
  <si>
    <t>ITOHSHIMANE</t>
  </si>
  <si>
    <t>意東</t>
  </si>
  <si>
    <t>JPIUH</t>
  </si>
  <si>
    <t>IUH</t>
  </si>
  <si>
    <t>INOKUCHIEHIME</t>
  </si>
  <si>
    <t>井ノ口</t>
  </si>
  <si>
    <t>JPIWA</t>
  </si>
  <si>
    <t>IWA</t>
  </si>
  <si>
    <t>IWAMATSU</t>
  </si>
  <si>
    <t>岩松</t>
  </si>
  <si>
    <t>JPIWG</t>
  </si>
  <si>
    <t>IWG</t>
  </si>
  <si>
    <t>IWAGI - EHIME</t>
  </si>
  <si>
    <t>岩城</t>
  </si>
  <si>
    <t>JPIWH</t>
  </si>
  <si>
    <t>IWH</t>
  </si>
  <si>
    <t>IWAFUNE</t>
  </si>
  <si>
    <t>岩船</t>
  </si>
  <si>
    <t>JPIWI</t>
  </si>
  <si>
    <t>IWI</t>
  </si>
  <si>
    <t>IWAKI</t>
  </si>
  <si>
    <t>いわき</t>
  </si>
  <si>
    <t>JPIWK</t>
  </si>
  <si>
    <t>IWK</t>
  </si>
  <si>
    <t>IWAKUNI - YAMAGUCHI</t>
  </si>
  <si>
    <t>岩国</t>
  </si>
  <si>
    <t>JPIWN</t>
  </si>
  <si>
    <t>IWN</t>
  </si>
  <si>
    <t>IWANAI - HOKKAIDO</t>
  </si>
  <si>
    <t>岩内</t>
  </si>
  <si>
    <t>JPIWO</t>
  </si>
  <si>
    <t>IWO</t>
  </si>
  <si>
    <t>IOUTOU - TOKYO</t>
  </si>
  <si>
    <t>JPIWT</t>
  </si>
  <si>
    <t>IWT</t>
  </si>
  <si>
    <t>IOUJIMA - NAGASAKI</t>
  </si>
  <si>
    <t>伊王島</t>
  </si>
  <si>
    <t>JPIWY</t>
  </si>
  <si>
    <t>IWY</t>
  </si>
  <si>
    <t>IWAYA</t>
  </si>
  <si>
    <t>岩屋</t>
  </si>
  <si>
    <t>JPIYA</t>
  </si>
  <si>
    <t>IYA</t>
  </si>
  <si>
    <t>揖屋</t>
  </si>
  <si>
    <t>JPIYM</t>
  </si>
  <si>
    <t>IYM</t>
  </si>
  <si>
    <t>IYOMISHIMA-EHIME</t>
  </si>
  <si>
    <t>三島川之江</t>
  </si>
  <si>
    <t>JPIYO</t>
  </si>
  <si>
    <t>IYO</t>
  </si>
  <si>
    <t>郡中</t>
  </si>
  <si>
    <t>JPIZH</t>
  </si>
  <si>
    <t>IZH</t>
  </si>
  <si>
    <t>IZUHARA - NAGASAKI</t>
  </si>
  <si>
    <t>厳原</t>
  </si>
  <si>
    <t>JPIZI</t>
  </si>
  <si>
    <t>IZI</t>
  </si>
  <si>
    <t>IZUMI - NAGASAKI</t>
  </si>
  <si>
    <t>泉</t>
  </si>
  <si>
    <t>JPIZM</t>
  </si>
  <si>
    <t>IZM</t>
  </si>
  <si>
    <t>IZUMIAICHI</t>
  </si>
  <si>
    <t>JPIZO</t>
  </si>
  <si>
    <t>IZO</t>
  </si>
  <si>
    <t>IZUMO</t>
  </si>
  <si>
    <t>出雲</t>
  </si>
  <si>
    <t>JPIZS</t>
  </si>
  <si>
    <t>IZS</t>
  </si>
  <si>
    <t>IZUMISANO</t>
  </si>
  <si>
    <t>泉佐野[阪南]</t>
  </si>
  <si>
    <t>JPIZU</t>
  </si>
  <si>
    <t>IZU</t>
  </si>
  <si>
    <t>IZUKA</t>
  </si>
  <si>
    <t>猪塚</t>
  </si>
  <si>
    <t>JPIZW</t>
  </si>
  <si>
    <t>IZW</t>
  </si>
  <si>
    <t>INAZAWA</t>
  </si>
  <si>
    <t>稲沢</t>
  </si>
  <si>
    <t>JPJKT</t>
  </si>
  <si>
    <t>KOTOURA</t>
  </si>
  <si>
    <t>琴浦</t>
  </si>
  <si>
    <t>JPJKW</t>
  </si>
  <si>
    <t>JKW</t>
  </si>
  <si>
    <t>JOKAWAUCHI</t>
  </si>
  <si>
    <t>城川内</t>
  </si>
  <si>
    <t>JPJON</t>
  </si>
  <si>
    <t>JON</t>
  </si>
  <si>
    <t>JONOSHITA</t>
  </si>
  <si>
    <t>城の下</t>
  </si>
  <si>
    <t>JPJTS</t>
  </si>
  <si>
    <t>JTS</t>
  </si>
  <si>
    <t>JOETSU</t>
  </si>
  <si>
    <t>直江津</t>
  </si>
  <si>
    <t>JPKAA</t>
  </si>
  <si>
    <t>KAA</t>
  </si>
  <si>
    <t>KADA</t>
  </si>
  <si>
    <t>加太</t>
  </si>
  <si>
    <t>JPKAB</t>
  </si>
  <si>
    <t>KABANOKI</t>
  </si>
  <si>
    <t>椛ノ木</t>
  </si>
  <si>
    <t>JPKAC</t>
  </si>
  <si>
    <t>KAC</t>
  </si>
  <si>
    <t>KASAURA</t>
  </si>
  <si>
    <t>笠浦</t>
  </si>
  <si>
    <t>JPKAD</t>
  </si>
  <si>
    <t>KAD</t>
  </si>
  <si>
    <t>KAITA-HIROSHIMA</t>
  </si>
  <si>
    <t>海田</t>
  </si>
  <si>
    <t>JPKAE</t>
  </si>
  <si>
    <t>KASHIMAE - NAGASAKI</t>
  </si>
  <si>
    <t>鹿子前</t>
  </si>
  <si>
    <t>JPKAF</t>
  </si>
  <si>
    <t>KAF</t>
  </si>
  <si>
    <t>KAFURI</t>
  </si>
  <si>
    <t>加布里</t>
  </si>
  <si>
    <t>JPKAG</t>
  </si>
  <si>
    <t>KAG</t>
  </si>
  <si>
    <t>KAWARAGO</t>
  </si>
  <si>
    <t>河原子</t>
  </si>
  <si>
    <t>JPKAH</t>
  </si>
  <si>
    <t>KAMIHIRA</t>
  </si>
  <si>
    <t>上平</t>
  </si>
  <si>
    <t>JPKAI</t>
  </si>
  <si>
    <t>KAINAN-WAKAYAMA</t>
  </si>
  <si>
    <t>海南</t>
  </si>
  <si>
    <t>JPKAJ</t>
  </si>
  <si>
    <t>KAMASHIMANE</t>
  </si>
  <si>
    <t>釜</t>
  </si>
  <si>
    <t>JPKAK</t>
  </si>
  <si>
    <t>KASUKABE</t>
  </si>
  <si>
    <t>春日部</t>
  </si>
  <si>
    <t>JPKAM</t>
  </si>
  <si>
    <t>KAM</t>
  </si>
  <si>
    <t>KAMETOKU - KAGOSHIMA</t>
  </si>
  <si>
    <t>亀徳</t>
  </si>
  <si>
    <t>JPKAN</t>
  </si>
  <si>
    <t>KARUNO</t>
  </si>
  <si>
    <t>軽野</t>
  </si>
  <si>
    <t>JPKAO</t>
  </si>
  <si>
    <t>KASHINO</t>
  </si>
  <si>
    <t>鹿忍</t>
  </si>
  <si>
    <t>JPKAR</t>
  </si>
  <si>
    <t>KARATSU - SAGA</t>
  </si>
  <si>
    <t>唐津</t>
  </si>
  <si>
    <t>JPKAT</t>
  </si>
  <si>
    <t>KATSUURA - WAKAYAMA</t>
  </si>
  <si>
    <t>勝浦</t>
  </si>
  <si>
    <t>JPKAU</t>
  </si>
  <si>
    <t>KASUMIGAURA</t>
  </si>
  <si>
    <t>霞ヶ浦</t>
  </si>
  <si>
    <t>JPKAW</t>
  </si>
  <si>
    <t>KAW</t>
  </si>
  <si>
    <t>KAWAUCHI</t>
  </si>
  <si>
    <t>川内</t>
  </si>
  <si>
    <t>JPKAX</t>
  </si>
  <si>
    <t>KOMOE</t>
  </si>
  <si>
    <t>古茂江</t>
  </si>
  <si>
    <t>JPKAZ</t>
  </si>
  <si>
    <t>KAIZAKI</t>
  </si>
  <si>
    <t>海崎</t>
  </si>
  <si>
    <t>JPKBA</t>
  </si>
  <si>
    <t>KBA</t>
  </si>
  <si>
    <t>KATASOBA</t>
  </si>
  <si>
    <t>片側</t>
  </si>
  <si>
    <t>JPKBI</t>
  </si>
  <si>
    <t>KOBUI</t>
  </si>
  <si>
    <t>古武井</t>
  </si>
  <si>
    <t>JPKBK</t>
  </si>
  <si>
    <t>KBK</t>
  </si>
  <si>
    <t>KAFUKA</t>
  </si>
  <si>
    <t>香深</t>
  </si>
  <si>
    <t>JPKBM</t>
  </si>
  <si>
    <t>KBM</t>
  </si>
  <si>
    <t>KABASHIMA</t>
  </si>
  <si>
    <t>椛島</t>
  </si>
  <si>
    <t>JPKBR</t>
  </si>
  <si>
    <t>KBR</t>
  </si>
  <si>
    <t>KUBURA - OKINAWA</t>
  </si>
  <si>
    <t>久部良</t>
  </si>
  <si>
    <t>JPKBS</t>
  </si>
  <si>
    <t>KOBISHIMA</t>
  </si>
  <si>
    <t>小飛島</t>
  </si>
  <si>
    <t>JPKBT</t>
  </si>
  <si>
    <t>KOBATO</t>
  </si>
  <si>
    <t>小波止</t>
  </si>
  <si>
    <t>JPKBU</t>
  </si>
  <si>
    <t>KUBUKI</t>
  </si>
  <si>
    <t>久吹</t>
  </si>
  <si>
    <t>JPKCF</t>
  </si>
  <si>
    <t>KCF</t>
  </si>
  <si>
    <t>KUCHINOFUKUURA</t>
  </si>
  <si>
    <t>口之福浦</t>
  </si>
  <si>
    <t>JPKCH</t>
  </si>
  <si>
    <t>KCH</t>
  </si>
  <si>
    <t>KAWACHIKUMAMOTO</t>
  </si>
  <si>
    <t>河内</t>
  </si>
  <si>
    <t>JPKCZ</t>
  </si>
  <si>
    <t>KCZ</t>
  </si>
  <si>
    <t>KOCHI - KOCHI</t>
  </si>
  <si>
    <t>高知</t>
  </si>
  <si>
    <t>JPKDA</t>
  </si>
  <si>
    <t>KDA</t>
  </si>
  <si>
    <t>KISHIWADA</t>
  </si>
  <si>
    <t>岸和田［阪南］</t>
  </si>
  <si>
    <t>JPKDI</t>
  </si>
  <si>
    <t>KODAI - NAGASAKI</t>
  </si>
  <si>
    <t>小鯛</t>
  </si>
  <si>
    <t>JPKDJ</t>
  </si>
  <si>
    <t>KASEDO</t>
  </si>
  <si>
    <t>加世堂</t>
  </si>
  <si>
    <t>JPKDK</t>
  </si>
  <si>
    <t>KDK</t>
  </si>
  <si>
    <t>KODAKASHIMA</t>
  </si>
  <si>
    <t>小高島</t>
  </si>
  <si>
    <t>JPKDM</t>
  </si>
  <si>
    <t>KDM</t>
  </si>
  <si>
    <t>KODOMARIKUMAMOTO</t>
  </si>
  <si>
    <t>小泊</t>
  </si>
  <si>
    <t>JPKDO</t>
  </si>
  <si>
    <t>KDO</t>
  </si>
  <si>
    <t>KADOKURA</t>
  </si>
  <si>
    <t>門倉</t>
  </si>
  <si>
    <t>JPKDR</t>
  </si>
  <si>
    <t>KDR</t>
  </si>
  <si>
    <t>KATADOMARI</t>
  </si>
  <si>
    <t>片泊</t>
  </si>
  <si>
    <t>JPKDW</t>
  </si>
  <si>
    <t>KDW</t>
  </si>
  <si>
    <t>KADOKAWA GYOKO - MIYAZAKI</t>
  </si>
  <si>
    <t>門川</t>
  </si>
  <si>
    <t>JPKDX</t>
  </si>
  <si>
    <t>KDX</t>
  </si>
  <si>
    <t>KITA/MINAMIDAITO</t>
  </si>
  <si>
    <t>北／南大東</t>
  </si>
  <si>
    <t>JPKEB</t>
  </si>
  <si>
    <t>KEB</t>
  </si>
  <si>
    <t>KEBUKI</t>
  </si>
  <si>
    <t>毛吹</t>
  </si>
  <si>
    <t>JPKEC</t>
  </si>
  <si>
    <t>KECHI - NAGASAKI</t>
  </si>
  <si>
    <t>鶏知</t>
  </si>
  <si>
    <t>JPKEE</t>
  </si>
  <si>
    <t>KAMEIKE</t>
  </si>
  <si>
    <t>亀池</t>
  </si>
  <si>
    <t>JPKEG</t>
  </si>
  <si>
    <t>KEG</t>
  </si>
  <si>
    <t>KEGOYA - HIROSHIMA</t>
  </si>
  <si>
    <t>警固屋</t>
  </si>
  <si>
    <t>JPKEJ</t>
  </si>
  <si>
    <t>KEJ</t>
  </si>
  <si>
    <t>KERAJI</t>
  </si>
  <si>
    <t>花良治</t>
  </si>
  <si>
    <t>JPKEM</t>
  </si>
  <si>
    <t>KERUMA</t>
  </si>
  <si>
    <t>慶留間</t>
  </si>
  <si>
    <t>JPKER</t>
  </si>
  <si>
    <t>KAKEROMA</t>
  </si>
  <si>
    <t>加計呂麻</t>
  </si>
  <si>
    <t>JPKFU</t>
  </si>
  <si>
    <t>KFU</t>
  </si>
  <si>
    <t>KOHTSUFUKAE</t>
  </si>
  <si>
    <t>上津深江</t>
  </si>
  <si>
    <t>JPKGA</t>
  </si>
  <si>
    <t>KAKOGAWA</t>
  </si>
  <si>
    <t>加古川［東播磨］</t>
  </si>
  <si>
    <t>JPKGB</t>
  </si>
  <si>
    <t>KGB</t>
  </si>
  <si>
    <t>KUKA</t>
  </si>
  <si>
    <t>久賀</t>
  </si>
  <si>
    <t>JPKGC</t>
  </si>
  <si>
    <t>KOGUCHI</t>
  </si>
  <si>
    <t>小口</t>
  </si>
  <si>
    <t>JPKGE</t>
  </si>
  <si>
    <t>KGE</t>
  </si>
  <si>
    <t>KUMAGE</t>
  </si>
  <si>
    <t>熊毛</t>
  </si>
  <si>
    <t>JPKGI</t>
  </si>
  <si>
    <t>KASUGAI</t>
  </si>
  <si>
    <t>春日井</t>
  </si>
  <si>
    <t>JPKGJ</t>
  </si>
  <si>
    <t>KGJ</t>
  </si>
  <si>
    <t>KIGASAJIMA - KAGAWA</t>
  </si>
  <si>
    <t>亀笠島</t>
  </si>
  <si>
    <t>JPKGM</t>
  </si>
  <si>
    <t>KGM</t>
  </si>
  <si>
    <t>KAGAMI</t>
  </si>
  <si>
    <t>鏡</t>
  </si>
  <si>
    <t>JPKGO</t>
  </si>
  <si>
    <t>KGO</t>
  </si>
  <si>
    <t>KUMAGO</t>
  </si>
  <si>
    <t>熊口</t>
  </si>
  <si>
    <t>JPKGR</t>
  </si>
  <si>
    <t>KAMAGARI - HIROSHIMA</t>
  </si>
  <si>
    <t>蒲刈</t>
  </si>
  <si>
    <t>JPKGS</t>
  </si>
  <si>
    <t>KOGUSHIYAMAGUCHI</t>
  </si>
  <si>
    <t>小串</t>
  </si>
  <si>
    <t>JPKGT</t>
  </si>
  <si>
    <t>KGT</t>
  </si>
  <si>
    <t>KAIGATA - KAGOSHIMA</t>
  </si>
  <si>
    <t>海潟</t>
  </si>
  <si>
    <t>JPKGU</t>
  </si>
  <si>
    <t>KGU</t>
  </si>
  <si>
    <t>KANEGUSUKU</t>
  </si>
  <si>
    <t>兼城</t>
  </si>
  <si>
    <t>JPKGW</t>
  </si>
  <si>
    <t>KGW</t>
  </si>
  <si>
    <t>KAKEGAWA</t>
  </si>
  <si>
    <t>掛川</t>
  </si>
  <si>
    <t>JPKHJ</t>
  </si>
  <si>
    <t>KHJ</t>
  </si>
  <si>
    <t>KURIMAMAEHAMA</t>
  </si>
  <si>
    <t>来間前浜</t>
  </si>
  <si>
    <t>JPKHM</t>
  </si>
  <si>
    <t>KHM</t>
  </si>
  <si>
    <t>OHAMAKAGOSHIMA</t>
  </si>
  <si>
    <t>小浜</t>
  </si>
  <si>
    <t>JPKHR</t>
  </si>
  <si>
    <t>KHR</t>
  </si>
  <si>
    <t>KIHARA</t>
  </si>
  <si>
    <t>木原［尾道糸崎］</t>
  </si>
  <si>
    <t>JPKHS</t>
  </si>
  <si>
    <t>KHS</t>
  </si>
  <si>
    <t>KURAHASHI - HIROSHIMA</t>
  </si>
  <si>
    <t>倉橋</t>
  </si>
  <si>
    <t>JPKIA</t>
  </si>
  <si>
    <t>KIA</t>
  </si>
  <si>
    <t>KIAMI</t>
  </si>
  <si>
    <t>喜阿弥</t>
  </si>
  <si>
    <t>JPKIB</t>
  </si>
  <si>
    <t>KIB</t>
  </si>
  <si>
    <t>KIBE</t>
  </si>
  <si>
    <t>岐部</t>
  </si>
  <si>
    <t>JPKII</t>
  </si>
  <si>
    <t>KII</t>
  </si>
  <si>
    <t>KIIRE - KAGOSHIMA</t>
  </si>
  <si>
    <t>喜入</t>
  </si>
  <si>
    <t>JPKIJ</t>
  </si>
  <si>
    <t>KIJ</t>
  </si>
  <si>
    <t>NIIGATA</t>
  </si>
  <si>
    <t>新潟</t>
  </si>
  <si>
    <t>JPKIK</t>
  </si>
  <si>
    <t>KIKUMA - EHIME</t>
  </si>
  <si>
    <t>菊間</t>
  </si>
  <si>
    <t>JPKIM</t>
  </si>
  <si>
    <t>KINESHIMA - KAGAWA</t>
  </si>
  <si>
    <t>杵島</t>
  </si>
  <si>
    <t>JPKIN</t>
  </si>
  <si>
    <t>KINWAN</t>
  </si>
  <si>
    <t>金武湾［金武中城］</t>
  </si>
  <si>
    <t>JPKIR</t>
  </si>
  <si>
    <t>KIR</t>
  </si>
  <si>
    <t>KITAURAEHIME</t>
  </si>
  <si>
    <t>北浦</t>
  </si>
  <si>
    <t>JPKIS</t>
  </si>
  <si>
    <t>KIS</t>
  </si>
  <si>
    <t>KAMAISHI - IWATE</t>
  </si>
  <si>
    <t>釜石</t>
  </si>
  <si>
    <t>JPKIT</t>
  </si>
  <si>
    <t>KITAURA GYOKO-MIYAZAKI</t>
  </si>
  <si>
    <t>JPKIW</t>
  </si>
  <si>
    <t>KIW</t>
  </si>
  <si>
    <t>KISAWA</t>
  </si>
  <si>
    <t>木沢</t>
  </si>
  <si>
    <t>JPKIX</t>
  </si>
  <si>
    <t>KIX</t>
  </si>
  <si>
    <t>KANSAI INT APT - OSAKA</t>
  </si>
  <si>
    <t>関西国際空港</t>
  </si>
  <si>
    <t>JPKIY</t>
  </si>
  <si>
    <t>KIY</t>
  </si>
  <si>
    <t>KORIYAMA</t>
  </si>
  <si>
    <t>郡山</t>
  </si>
  <si>
    <t>JPKJA</t>
  </si>
  <si>
    <t>KJA</t>
  </si>
  <si>
    <t>KOHJIMA</t>
  </si>
  <si>
    <t>幸島［岡山］</t>
  </si>
  <si>
    <t>JPKJD</t>
  </si>
  <si>
    <t>KJD</t>
  </si>
  <si>
    <t>KUDADON</t>
  </si>
  <si>
    <t>管鈍</t>
  </si>
  <si>
    <t>JPKJG</t>
  </si>
  <si>
    <t>KJG</t>
  </si>
  <si>
    <t>KAGASHIMANE</t>
  </si>
  <si>
    <t>加賀</t>
  </si>
  <si>
    <t>JPKJI</t>
  </si>
  <si>
    <t>KJI</t>
  </si>
  <si>
    <t>KUJI - IWATE</t>
  </si>
  <si>
    <t>久慈</t>
  </si>
  <si>
    <t>JPKJJ</t>
  </si>
  <si>
    <t>KJJ</t>
  </si>
  <si>
    <t>KOSHIMA</t>
  </si>
  <si>
    <t>小島</t>
  </si>
  <si>
    <t>JPKJK</t>
  </si>
  <si>
    <t>KJK</t>
  </si>
  <si>
    <t>KAJIKI -KAGOSHIMA</t>
  </si>
  <si>
    <t>加治木</t>
  </si>
  <si>
    <t>JPKJM</t>
  </si>
  <si>
    <t>KJM</t>
  </si>
  <si>
    <t>KAMEURAKUMAMOTO</t>
  </si>
  <si>
    <t>亀浦</t>
  </si>
  <si>
    <t>JPKJN</t>
  </si>
  <si>
    <t>KJN</t>
  </si>
  <si>
    <t>KANNONJI</t>
  </si>
  <si>
    <t>観音寺</t>
  </si>
  <si>
    <t>JPKJO</t>
  </si>
  <si>
    <t>KJO</t>
  </si>
  <si>
    <t>KINJO</t>
  </si>
  <si>
    <t>金城［名古屋］</t>
  </si>
  <si>
    <t>JPKJP</t>
  </si>
  <si>
    <t>KJP</t>
  </si>
  <si>
    <t>KERAMA</t>
  </si>
  <si>
    <t>慶良間</t>
  </si>
  <si>
    <t>JPKJR</t>
  </si>
  <si>
    <t>KJR</t>
  </si>
  <si>
    <t>KIRIISHI</t>
  </si>
  <si>
    <t>切石</t>
  </si>
  <si>
    <t>JPKJT</t>
  </si>
  <si>
    <t>KJT</t>
  </si>
  <si>
    <t>KITAURAAKITA</t>
  </si>
  <si>
    <t>JPKJU</t>
  </si>
  <si>
    <t>KJU</t>
  </si>
  <si>
    <t>KOURAKAGOSHIMA</t>
  </si>
  <si>
    <t>小浦</t>
  </si>
  <si>
    <t>JPKKA</t>
  </si>
  <si>
    <t>KKA</t>
  </si>
  <si>
    <t>KARAKUMA</t>
  </si>
  <si>
    <t>唐隈</t>
  </si>
  <si>
    <t>JPKKB</t>
  </si>
  <si>
    <t>KKB</t>
  </si>
  <si>
    <t>KOKUBO - EHIME</t>
  </si>
  <si>
    <t>石応</t>
  </si>
  <si>
    <t>JPKKE</t>
  </si>
  <si>
    <t>KKE</t>
  </si>
  <si>
    <t>KOMUKAE</t>
  </si>
  <si>
    <t>小迎</t>
  </si>
  <si>
    <t>JPKKI</t>
  </si>
  <si>
    <t>KKI</t>
  </si>
  <si>
    <t>KOMAKI</t>
  </si>
  <si>
    <t>小牧</t>
  </si>
  <si>
    <t>JPKKJ</t>
  </si>
  <si>
    <t>KKJ</t>
  </si>
  <si>
    <t>SHINKITAKYUSHU APT/FUKUOKA</t>
  </si>
  <si>
    <t>北九州空港</t>
  </si>
  <si>
    <t>JPKKK</t>
  </si>
  <si>
    <t>KKK</t>
  </si>
  <si>
    <t>KUSHIKU</t>
  </si>
  <si>
    <t>櫛来</t>
  </si>
  <si>
    <t>JPKKL</t>
  </si>
  <si>
    <t>KKL</t>
  </si>
  <si>
    <t>KOHZAKI - NAGASAKI</t>
  </si>
  <si>
    <t>神崎</t>
  </si>
  <si>
    <t>JPKKM</t>
  </si>
  <si>
    <t>KKM</t>
  </si>
  <si>
    <t>KATAKAMI - OKAYAMA</t>
  </si>
  <si>
    <t>東備[片上］</t>
  </si>
  <si>
    <t>JPKKO</t>
  </si>
  <si>
    <t>KKO</t>
  </si>
  <si>
    <t>KOMENOTSU - KAGOSHIMA</t>
  </si>
  <si>
    <t>米ノ津</t>
  </si>
  <si>
    <t>JPKKR</t>
  </si>
  <si>
    <t>KOURI</t>
  </si>
  <si>
    <t>古宇利</t>
  </si>
  <si>
    <t>JPKKT</t>
  </si>
  <si>
    <t>KKT</t>
  </si>
  <si>
    <t>KAMIKATETSU</t>
  </si>
  <si>
    <t>上嘉鉄</t>
  </si>
  <si>
    <t>JPKKU</t>
  </si>
  <si>
    <t>KKU</t>
  </si>
  <si>
    <t>KUJI - KAGOSHIMA</t>
  </si>
  <si>
    <t>JPKKW</t>
  </si>
  <si>
    <t>KANOKAWA - HIROSHIMA</t>
  </si>
  <si>
    <t>鹿川</t>
  </si>
  <si>
    <t>JPKKX</t>
  </si>
  <si>
    <t>KKX</t>
  </si>
  <si>
    <t>KIKAISHIMA</t>
  </si>
  <si>
    <t>喜界島</t>
  </si>
  <si>
    <t>JPKKZ</t>
  </si>
  <si>
    <t>KKZ</t>
  </si>
  <si>
    <t>KASHIKOJIMA</t>
  </si>
  <si>
    <t>賢島</t>
  </si>
  <si>
    <t>JPKMA</t>
  </si>
  <si>
    <t>KAMA</t>
  </si>
  <si>
    <t>JPKMD</t>
  </si>
  <si>
    <t>KOMODA - NAGASAKI</t>
  </si>
  <si>
    <t>小茂田</t>
  </si>
  <si>
    <t>JPKME</t>
  </si>
  <si>
    <t>KME</t>
  </si>
  <si>
    <t>KAMAE - OITA</t>
  </si>
  <si>
    <t>蒲江</t>
  </si>
  <si>
    <t>JPKMF</t>
  </si>
  <si>
    <t>KMF</t>
  </si>
  <si>
    <t>KAMINOFURUTA</t>
  </si>
  <si>
    <t>上ノ古田</t>
  </si>
  <si>
    <t>JPKMG</t>
  </si>
  <si>
    <t>KUMAGAYA</t>
  </si>
  <si>
    <t>熊谷</t>
  </si>
  <si>
    <t>JPKMH</t>
  </si>
  <si>
    <t>KMH</t>
  </si>
  <si>
    <t>KUMIHAMA</t>
  </si>
  <si>
    <t>久美浜</t>
  </si>
  <si>
    <t>JPKMI</t>
  </si>
  <si>
    <t>MIYAZAKI - MIYAZAKI</t>
  </si>
  <si>
    <t>宮崎</t>
  </si>
  <si>
    <t>JPKMJ</t>
  </si>
  <si>
    <t>KMJ</t>
  </si>
  <si>
    <t>KUMAMOTO APT - KUMAMOTO</t>
  </si>
  <si>
    <t>熊本空港</t>
  </si>
  <si>
    <t>JPKMK</t>
  </si>
  <si>
    <t>KAMINOKAE - KOCHI</t>
  </si>
  <si>
    <t>上ノ加江</t>
  </si>
  <si>
    <t>JPKMM</t>
  </si>
  <si>
    <t>KAMINATO</t>
  </si>
  <si>
    <t>神湊</t>
  </si>
  <si>
    <t>JPKMN</t>
  </si>
  <si>
    <t>KOMINATO</t>
  </si>
  <si>
    <t>小湊</t>
  </si>
  <si>
    <t>JPKMO</t>
  </si>
  <si>
    <t>KMO</t>
  </si>
  <si>
    <t>KAMO</t>
  </si>
  <si>
    <t>加茂</t>
  </si>
  <si>
    <t>JPKMP</t>
  </si>
  <si>
    <t>KMP</t>
  </si>
  <si>
    <t>KUMAMOTO - KUMAMOTO</t>
  </si>
  <si>
    <t>熊本</t>
  </si>
  <si>
    <t>JPKMQ</t>
  </si>
  <si>
    <t>KMQ</t>
  </si>
  <si>
    <t>KOMATSU APT - ISHIKAWA</t>
  </si>
  <si>
    <t>小松飛行場</t>
  </si>
  <si>
    <t>JPKMR</t>
  </si>
  <si>
    <t>KAMEURATOKUSHIMA</t>
  </si>
  <si>
    <t>JPKMS</t>
  </si>
  <si>
    <t>KUMESHIMA</t>
  </si>
  <si>
    <t>久米島</t>
  </si>
  <si>
    <t>JPKMT</t>
  </si>
  <si>
    <t>KMT</t>
  </si>
  <si>
    <t>KIMITSU</t>
  </si>
  <si>
    <t>君津</t>
  </si>
  <si>
    <t>JPKMU</t>
  </si>
  <si>
    <t>KMU</t>
  </si>
  <si>
    <t>KAMIURA-EHIME</t>
  </si>
  <si>
    <t>上浦</t>
  </si>
  <si>
    <t>JPKMW</t>
  </si>
  <si>
    <t>KMW</t>
  </si>
  <si>
    <t>KAMIKAWAGUCHI</t>
  </si>
  <si>
    <t>上川口</t>
  </si>
  <si>
    <t>JPKMX</t>
  </si>
  <si>
    <t>KMX</t>
  </si>
  <si>
    <t>KOMATSUYAMAGUCHI</t>
  </si>
  <si>
    <t>小松</t>
  </si>
  <si>
    <t>JPKMY</t>
  </si>
  <si>
    <t>KMY</t>
  </si>
  <si>
    <t>KAMIYAKUNAGATA</t>
  </si>
  <si>
    <t>上屋久永田</t>
  </si>
  <si>
    <t>JPKNA</t>
  </si>
  <si>
    <t>KUWANA</t>
  </si>
  <si>
    <t>桑名</t>
  </si>
  <si>
    <t>JPKNB</t>
  </si>
  <si>
    <t>KNB</t>
  </si>
  <si>
    <t>KONBUKARIISHI</t>
  </si>
  <si>
    <t>昆布刈石</t>
  </si>
  <si>
    <t>JPKND</t>
  </si>
  <si>
    <t>KANDA - FUKUOKA</t>
  </si>
  <si>
    <t>苅田</t>
  </si>
  <si>
    <t>JPKNE</t>
  </si>
  <si>
    <t>KNE</t>
  </si>
  <si>
    <t>KINOE - HIROSHIMA</t>
  </si>
  <si>
    <t>木ノ江</t>
  </si>
  <si>
    <t>JPKNG</t>
  </si>
  <si>
    <t>KUNIGA</t>
  </si>
  <si>
    <t>国賀</t>
  </si>
  <si>
    <t>JPKNH</t>
  </si>
  <si>
    <t>KNH</t>
  </si>
  <si>
    <t>KUNEHAMA - NAGASAKI</t>
  </si>
  <si>
    <t>久根浜</t>
  </si>
  <si>
    <t>JPKNI</t>
  </si>
  <si>
    <t>KONAGAI</t>
  </si>
  <si>
    <t>小長井</t>
  </si>
  <si>
    <t>JPKNJ</t>
  </si>
  <si>
    <t>KISANE</t>
  </si>
  <si>
    <t>木佐根</t>
  </si>
  <si>
    <t>JPKNK</t>
  </si>
  <si>
    <t>KNK</t>
  </si>
  <si>
    <t>KINKASAN</t>
  </si>
  <si>
    <t>金華山</t>
  </si>
  <si>
    <t>JPKNN</t>
  </si>
  <si>
    <t>KIN - NAGASAKI</t>
  </si>
  <si>
    <t>琴</t>
  </si>
  <si>
    <t>JPKNO</t>
  </si>
  <si>
    <t>KONOURA</t>
  </si>
  <si>
    <t>金浦</t>
  </si>
  <si>
    <t>JPKNR</t>
  </si>
  <si>
    <t>KNR</t>
  </si>
  <si>
    <t>KOHNOURA</t>
  </si>
  <si>
    <t>神ノ浦</t>
  </si>
  <si>
    <t>JPKNS</t>
  </si>
  <si>
    <t>KUNISAKI</t>
  </si>
  <si>
    <t>国東</t>
  </si>
  <si>
    <t>JPKNT</t>
  </si>
  <si>
    <t>KNT</t>
  </si>
  <si>
    <t>KINOMOTO</t>
  </si>
  <si>
    <t>木本</t>
  </si>
  <si>
    <t>JPKNU</t>
  </si>
  <si>
    <t>KINUURA - AICHI</t>
  </si>
  <si>
    <t>衣浦</t>
  </si>
  <si>
    <t>JPKNX</t>
  </si>
  <si>
    <t>KIN-NAKAGUSUKU - OKINAWA</t>
  </si>
  <si>
    <t>金武中城</t>
  </si>
  <si>
    <t>JPKNY</t>
  </si>
  <si>
    <t>KONIYA - KAGOSHIMA</t>
  </si>
  <si>
    <t>古仁屋</t>
  </si>
  <si>
    <t>JPKNZ</t>
  </si>
  <si>
    <t>KNZ</t>
  </si>
  <si>
    <t>KANAZAWA - ISHIKAWA</t>
  </si>
  <si>
    <t>金沢</t>
  </si>
  <si>
    <t>JPKOA</t>
  </si>
  <si>
    <t>KOA</t>
  </si>
  <si>
    <t>KOSHIGAYA</t>
  </si>
  <si>
    <t>越谷</t>
  </si>
  <si>
    <t>JPKOB</t>
  </si>
  <si>
    <t>KOZA</t>
  </si>
  <si>
    <t>古座[古座西向]</t>
  </si>
  <si>
    <t>JPKOD</t>
  </si>
  <si>
    <t>KODOMARIAOMORI</t>
  </si>
  <si>
    <t>JPKOF</t>
  </si>
  <si>
    <t>KOF</t>
  </si>
  <si>
    <t>KONAN</t>
  </si>
  <si>
    <t>湖南</t>
  </si>
  <si>
    <t>JPKOG</t>
  </si>
  <si>
    <t>KOGUSHIOKAYAMA</t>
  </si>
  <si>
    <t>小串［岡山]</t>
  </si>
  <si>
    <t>JPKOH</t>
  </si>
  <si>
    <t>KOHAMA</t>
  </si>
  <si>
    <t>JPKOI</t>
  </si>
  <si>
    <t>KOIKE - EHIME</t>
  </si>
  <si>
    <t>小池</t>
  </si>
  <si>
    <t>JPKOJ</t>
  </si>
  <si>
    <t>KOJ</t>
  </si>
  <si>
    <t>KAGOSHIMA - KAGOSHIMA</t>
  </si>
  <si>
    <t>鹿児島</t>
  </si>
  <si>
    <t>JPKOK</t>
  </si>
  <si>
    <t>KOKURA-FUKUOKA</t>
  </si>
  <si>
    <t>小倉［関門（門司）］</t>
  </si>
  <si>
    <t>JPKOM</t>
  </si>
  <si>
    <t>KOMATSUSHIMA</t>
  </si>
  <si>
    <t>小松島[徳島小松島]</t>
  </si>
  <si>
    <t>JPKON</t>
  </si>
  <si>
    <t>KONOSHIMA - OKAYAMA</t>
  </si>
  <si>
    <t>神島</t>
  </si>
  <si>
    <t>JPKOO</t>
  </si>
  <si>
    <t>KOHMEN - KAGOSHIMA</t>
  </si>
  <si>
    <t>高免</t>
  </si>
  <si>
    <t>JPKOP</t>
  </si>
  <si>
    <t>KOP</t>
  </si>
  <si>
    <t>KAGOSHIMA APT - KAGOSHIMA</t>
  </si>
  <si>
    <t>鹿児島空港</t>
  </si>
  <si>
    <t>JPKOR</t>
  </si>
  <si>
    <t>KOURAKAGAWA</t>
  </si>
  <si>
    <t>JPKOS</t>
  </si>
  <si>
    <t>KOSE</t>
  </si>
  <si>
    <t>小瀬</t>
  </si>
  <si>
    <t>JPKOU</t>
  </si>
  <si>
    <t>KOHZUJIMA</t>
  </si>
  <si>
    <t>神津島</t>
  </si>
  <si>
    <t>JPKOX</t>
  </si>
  <si>
    <t>KAMINOSEKI</t>
  </si>
  <si>
    <t>上関</t>
  </si>
  <si>
    <t>JPKOY</t>
  </si>
  <si>
    <t>KOY</t>
  </si>
  <si>
    <t>KOYOETAJIMA - HIROSHIMA</t>
  </si>
  <si>
    <t>小用／江田島</t>
  </si>
  <si>
    <t>JPKOZ</t>
  </si>
  <si>
    <t>KOZ</t>
  </si>
  <si>
    <t>KOZUNA - NAGASAKI</t>
  </si>
  <si>
    <t>小綱</t>
  </si>
  <si>
    <t>JPKRA</t>
  </si>
  <si>
    <t>KANNOURA</t>
  </si>
  <si>
    <t>甲浦</t>
  </si>
  <si>
    <t>JPKRB</t>
  </si>
  <si>
    <t>KARUBI</t>
  </si>
  <si>
    <t>軽尾</t>
  </si>
  <si>
    <t>JPKRC</t>
  </si>
  <si>
    <t>KURAMAI</t>
  </si>
  <si>
    <t>倉舞</t>
  </si>
  <si>
    <t>JPKRD</t>
  </si>
  <si>
    <t>KURODA</t>
  </si>
  <si>
    <t>黒田</t>
  </si>
  <si>
    <t>JPKRE</t>
  </si>
  <si>
    <t>KURE - HIROSHIMA</t>
  </si>
  <si>
    <t>呉</t>
  </si>
  <si>
    <t>JPKRH</t>
  </si>
  <si>
    <t>KRH</t>
  </si>
  <si>
    <t>KURIHAMA</t>
  </si>
  <si>
    <t>久里浜</t>
  </si>
  <si>
    <t>JPKRI</t>
  </si>
  <si>
    <t>KURIO</t>
  </si>
  <si>
    <t>栗生</t>
  </si>
  <si>
    <t>JPKRJ</t>
  </si>
  <si>
    <t>KRJ</t>
  </si>
  <si>
    <t>KUROSHIMAOKINAWA</t>
  </si>
  <si>
    <t>黒島</t>
  </si>
  <si>
    <t>JPKRK</t>
  </si>
  <si>
    <t>KARAKIZAKI - KUMAMOTO</t>
  </si>
  <si>
    <t>唐木崎</t>
  </si>
  <si>
    <t>JPKRM</t>
  </si>
  <si>
    <t>KUROKAMI - KAGOSHIMA</t>
  </si>
  <si>
    <t>黒神</t>
  </si>
  <si>
    <t>JPKRN</t>
  </si>
  <si>
    <t>KURANOTANI</t>
  </si>
  <si>
    <t>倉の谷</t>
  </si>
  <si>
    <t>JPKRO</t>
  </si>
  <si>
    <t>KUROSHIMA - NAGASAKI</t>
  </si>
  <si>
    <t>JPKRR</t>
  </si>
  <si>
    <t>KUJIRAGAURA</t>
  </si>
  <si>
    <t>鯨ヶ浦</t>
  </si>
  <si>
    <t>JPKRS</t>
  </si>
  <si>
    <t>KURUSHIMA</t>
  </si>
  <si>
    <t>来島［今治］</t>
  </si>
  <si>
    <t>JPKRT</t>
  </si>
  <si>
    <t>KRT</t>
  </si>
  <si>
    <t>KIRITAPPU</t>
  </si>
  <si>
    <t>霧多布</t>
  </si>
  <si>
    <t>JPKRU</t>
  </si>
  <si>
    <t>KRU</t>
  </si>
  <si>
    <t>KURII</t>
  </si>
  <si>
    <t>来居</t>
  </si>
  <si>
    <t>JPKRX</t>
  </si>
  <si>
    <t>KRX</t>
  </si>
  <si>
    <t>KUROI</t>
  </si>
  <si>
    <t>黒井</t>
  </si>
  <si>
    <t>JPKRY</t>
  </si>
  <si>
    <t>KARIYA - SAGA</t>
  </si>
  <si>
    <t>仮屋</t>
  </si>
  <si>
    <t>JPKSA</t>
  </si>
  <si>
    <t>KASAOKA-OKAYAMA</t>
  </si>
  <si>
    <t>笠岡</t>
  </si>
  <si>
    <t>JPKSB</t>
  </si>
  <si>
    <t>KSB</t>
  </si>
  <si>
    <t>KUSUBO - NAGASAKI</t>
  </si>
  <si>
    <t>久須保</t>
  </si>
  <si>
    <t>JPKSC</t>
  </si>
  <si>
    <t>KSC</t>
  </si>
  <si>
    <t>KASHIMASAGA</t>
  </si>
  <si>
    <t>鹿島</t>
  </si>
  <si>
    <t>JPKSD</t>
  </si>
  <si>
    <t>KSD</t>
  </si>
  <si>
    <t>KASADO</t>
  </si>
  <si>
    <t>笠戸［徳山下松］</t>
  </si>
  <si>
    <t>JPKSE</t>
  </si>
  <si>
    <t>KSE</t>
  </si>
  <si>
    <t>KAMOISE - NAGASAKI</t>
  </si>
  <si>
    <t>鴨居瀬</t>
  </si>
  <si>
    <t>JPKSH</t>
  </si>
  <si>
    <t>KSH</t>
  </si>
  <si>
    <t>KISHIKU - NAGASAKI</t>
  </si>
  <si>
    <t>岐宿</t>
  </si>
  <si>
    <t>JPKSI</t>
  </si>
  <si>
    <t>KATSUTA</t>
  </si>
  <si>
    <t>勝田</t>
  </si>
  <si>
    <t>JPKSK</t>
  </si>
  <si>
    <t>KSK</t>
  </si>
  <si>
    <t>KUROSAKI</t>
  </si>
  <si>
    <t>黒崎［関門（若松）］</t>
  </si>
  <si>
    <t>JPKSM</t>
  </si>
  <si>
    <t>KSM</t>
  </si>
  <si>
    <t>KASHIMA - IBARAKI</t>
  </si>
  <si>
    <t>JPKSN</t>
  </si>
  <si>
    <t>KSN</t>
  </si>
  <si>
    <t>KESENNUMA - MIYAGI</t>
  </si>
  <si>
    <t>気仙沼</t>
  </si>
  <si>
    <t>JPKSO</t>
  </si>
  <si>
    <t>KUSHIKINO - KAGOSHIMA</t>
  </si>
  <si>
    <t>串木野新[串木野］</t>
  </si>
  <si>
    <t>JPKSR</t>
  </si>
  <si>
    <t>KSR</t>
  </si>
  <si>
    <t>KISHIRA</t>
  </si>
  <si>
    <t>岸良</t>
  </si>
  <si>
    <t>JPKSS</t>
  </si>
  <si>
    <t>KSS</t>
  </si>
  <si>
    <t>KASASA - KAGOSHIMA</t>
  </si>
  <si>
    <t>笠沙</t>
  </si>
  <si>
    <t>JPKST</t>
  </si>
  <si>
    <t>KST</t>
  </si>
  <si>
    <t>KISAKATA</t>
  </si>
  <si>
    <t>象潟</t>
  </si>
  <si>
    <t>JPKSU</t>
  </si>
  <si>
    <t>KSU</t>
  </si>
  <si>
    <t>KATSUMOTO</t>
  </si>
  <si>
    <t>勝本</t>
  </si>
  <si>
    <t>JPKSW</t>
  </si>
  <si>
    <t>KSW</t>
  </si>
  <si>
    <t>KASHIWA - EHIME</t>
  </si>
  <si>
    <t>柏</t>
  </si>
  <si>
    <t>JPKSX</t>
  </si>
  <si>
    <t>KSX</t>
  </si>
  <si>
    <t>KOSUKI</t>
  </si>
  <si>
    <t>小漉</t>
  </si>
  <si>
    <t>JPKSY</t>
  </si>
  <si>
    <t>KSY</t>
  </si>
  <si>
    <t>KASASAYAMAGUCHI</t>
  </si>
  <si>
    <t>笠佐</t>
  </si>
  <si>
    <t>JPKTA</t>
  </si>
  <si>
    <t>KITANADA - EHIME</t>
  </si>
  <si>
    <t>北灘</t>
  </si>
  <si>
    <t>JPKTG</t>
  </si>
  <si>
    <t>KUTSUGATA</t>
  </si>
  <si>
    <t>沓形</t>
  </si>
  <si>
    <t>JPKTI</t>
  </si>
  <si>
    <t>KTI</t>
  </si>
  <si>
    <t>KATAICHI</t>
  </si>
  <si>
    <t>JPKTJ</t>
  </si>
  <si>
    <t>KTJ</t>
  </si>
  <si>
    <t>KOTAKARAJIMA</t>
  </si>
  <si>
    <t>小宝島</t>
  </si>
  <si>
    <t>JPKTK</t>
  </si>
  <si>
    <t>KATAKU</t>
  </si>
  <si>
    <t>堅来</t>
  </si>
  <si>
    <t>JPKTL</t>
  </si>
  <si>
    <t>KTL</t>
  </si>
  <si>
    <t>KITAKIJIMA</t>
  </si>
  <si>
    <t>北木島</t>
  </si>
  <si>
    <t>JPKTM</t>
  </si>
  <si>
    <t>KARATOMARI - FUKUOKA</t>
  </si>
  <si>
    <t>唐泊</t>
  </si>
  <si>
    <t>JPKTN</t>
  </si>
  <si>
    <t>KTN</t>
  </si>
  <si>
    <t>KITAKAMI</t>
  </si>
  <si>
    <t>北上</t>
  </si>
  <si>
    <t>JPKTO</t>
  </si>
  <si>
    <t>KOTTOI</t>
  </si>
  <si>
    <t>特牛</t>
  </si>
  <si>
    <t>JPKTR</t>
  </si>
  <si>
    <t>KITAURAKAGAWA</t>
  </si>
  <si>
    <t>JPKTS</t>
  </si>
  <si>
    <t>KTS</t>
  </si>
  <si>
    <t>KATASHIMA - KOCHI</t>
  </si>
  <si>
    <t>片島</t>
  </si>
  <si>
    <t>JPKTU</t>
  </si>
  <si>
    <t>KTU</t>
  </si>
  <si>
    <t>KOHTSUURA</t>
  </si>
  <si>
    <t>上津浦</t>
  </si>
  <si>
    <t>JPKTX</t>
  </si>
  <si>
    <t>KTX</t>
  </si>
  <si>
    <t>KITA/KITADAITO</t>
  </si>
  <si>
    <t>北／北大東</t>
  </si>
  <si>
    <t>JPKTZ</t>
  </si>
  <si>
    <t>KTZ</t>
  </si>
  <si>
    <t>KATA</t>
  </si>
  <si>
    <t>賀田</t>
  </si>
  <si>
    <t>JPKUA</t>
  </si>
  <si>
    <t>KUA</t>
  </si>
  <si>
    <t>KURASHIKI</t>
  </si>
  <si>
    <t>倉敷</t>
  </si>
  <si>
    <t>JPKUC</t>
  </si>
  <si>
    <t>KUC</t>
  </si>
  <si>
    <t>KUCHINOTSU</t>
  </si>
  <si>
    <t>口ノ津</t>
  </si>
  <si>
    <t>JPKUD</t>
  </si>
  <si>
    <t>KUD</t>
  </si>
  <si>
    <t>KUDAMATSU - YAMAGUCHI</t>
  </si>
  <si>
    <t>下松[徳山下松]</t>
  </si>
  <si>
    <t>JPKUE</t>
  </si>
  <si>
    <t>KUE</t>
  </si>
  <si>
    <t>KUREKOCHI</t>
  </si>
  <si>
    <t>久礼</t>
  </si>
  <si>
    <t>JPKUF</t>
  </si>
  <si>
    <t>KUF</t>
  </si>
  <si>
    <t>KOFU</t>
  </si>
  <si>
    <t>山梨県</t>
  </si>
  <si>
    <t>甲府</t>
  </si>
  <si>
    <t>JPKUG</t>
  </si>
  <si>
    <t>KUG</t>
  </si>
  <si>
    <t>KUGUI</t>
  </si>
  <si>
    <t>久々井</t>
  </si>
  <si>
    <t>JPKUH</t>
  </si>
  <si>
    <t>KUH</t>
  </si>
  <si>
    <t>KUSHIRO - HOKKAIDO</t>
  </si>
  <si>
    <t>釧路</t>
  </si>
  <si>
    <t>JPKUJ</t>
  </si>
  <si>
    <t>KUJ</t>
  </si>
  <si>
    <t>KUSHIMOTO-WAKAYAMA</t>
  </si>
  <si>
    <t>串本</t>
  </si>
  <si>
    <t>JPKUK</t>
  </si>
  <si>
    <t>KUK</t>
  </si>
  <si>
    <t>SUZUKA</t>
  </si>
  <si>
    <t>鈴鹿</t>
  </si>
  <si>
    <t>JPKUM</t>
  </si>
  <si>
    <t>YAKUSHIMA</t>
  </si>
  <si>
    <t>屋久島</t>
  </si>
  <si>
    <t>JPKUR</t>
  </si>
  <si>
    <t>KATSUURACHIBA</t>
  </si>
  <si>
    <t>JPKUT</t>
  </si>
  <si>
    <t>KUT</t>
  </si>
  <si>
    <t>KUTE</t>
  </si>
  <si>
    <t>久手</t>
  </si>
  <si>
    <t>JPKUU</t>
  </si>
  <si>
    <t>KUMANOE - MIYAZAKI</t>
  </si>
  <si>
    <t>熊野江</t>
  </si>
  <si>
    <t>JPKUW</t>
  </si>
  <si>
    <t>KUW</t>
  </si>
  <si>
    <t>KUWANOURA</t>
  </si>
  <si>
    <t>桑之浦</t>
  </si>
  <si>
    <t>JPKUX</t>
  </si>
  <si>
    <t>KUX</t>
  </si>
  <si>
    <t>KURONOHAMA</t>
  </si>
  <si>
    <t>黒之浜</t>
  </si>
  <si>
    <t>JPKUZ</t>
  </si>
  <si>
    <t>KUZ</t>
  </si>
  <si>
    <t>KUZU</t>
  </si>
  <si>
    <t>久通</t>
  </si>
  <si>
    <t>JPKWA</t>
  </si>
  <si>
    <t>KWA</t>
  </si>
  <si>
    <t>KAWANAZU - EHIME</t>
  </si>
  <si>
    <t>川名津</t>
  </si>
  <si>
    <t>JPKWC</t>
  </si>
  <si>
    <t>KWC</t>
  </si>
  <si>
    <t>KAWACHINAGASAKI</t>
  </si>
  <si>
    <t>JPKWE</t>
  </si>
  <si>
    <t>KAWAGOE</t>
  </si>
  <si>
    <t>川越</t>
  </si>
  <si>
    <t>JPKWI</t>
  </si>
  <si>
    <t>KAWANOISHI</t>
  </si>
  <si>
    <t>川之石</t>
  </si>
  <si>
    <t>JPKWJ</t>
  </si>
  <si>
    <t>KWJ</t>
  </si>
  <si>
    <t>KAWAJIRI - HIROSHIMA</t>
  </si>
  <si>
    <t>川尻</t>
  </si>
  <si>
    <t>JPKWM</t>
  </si>
  <si>
    <t>KAWASHIMO</t>
  </si>
  <si>
    <t>河下</t>
  </si>
  <si>
    <t>JPKWN</t>
  </si>
  <si>
    <t>KAWANOE</t>
  </si>
  <si>
    <t>川之江［三島川之江］</t>
  </si>
  <si>
    <t>JPKWR</t>
  </si>
  <si>
    <t>KWR</t>
  </si>
  <si>
    <t>KAWAJIRIIBARAKI</t>
  </si>
  <si>
    <t>JPKWS</t>
  </si>
  <si>
    <t>KWS</t>
  </si>
  <si>
    <t>KAWASAKI - KANAGAWA</t>
  </si>
  <si>
    <t>川崎［京浜（川崎）］</t>
  </si>
  <si>
    <t>JPKWT</t>
  </si>
  <si>
    <t>KWT</t>
  </si>
  <si>
    <t>KAWATANA</t>
  </si>
  <si>
    <t>川棚</t>
  </si>
  <si>
    <t>JPKWX</t>
  </si>
  <si>
    <t>KWX</t>
  </si>
  <si>
    <t>KOWA</t>
  </si>
  <si>
    <t>河和</t>
  </si>
  <si>
    <t>JPKWZ</t>
  </si>
  <si>
    <t>KASHIWAZAKI - NIIGATA</t>
  </si>
  <si>
    <t>柏崎</t>
  </si>
  <si>
    <t>JPKXK</t>
  </si>
  <si>
    <t>KXK</t>
  </si>
  <si>
    <t>KUSUKAWA</t>
  </si>
  <si>
    <t>楠川</t>
  </si>
  <si>
    <t>JPKXS</t>
  </si>
  <si>
    <t>KXS</t>
  </si>
  <si>
    <t>KASUMI</t>
  </si>
  <si>
    <t>香住</t>
  </si>
  <si>
    <t>JPKYA</t>
  </si>
  <si>
    <t>KYA</t>
  </si>
  <si>
    <t>KANOYA</t>
  </si>
  <si>
    <t>鹿屋</t>
  </si>
  <si>
    <t>JPKYK</t>
  </si>
  <si>
    <t>KYK</t>
  </si>
  <si>
    <t>KANAYAKI</t>
  </si>
  <si>
    <t>金焼</t>
  </si>
  <si>
    <t>JPKYM</t>
  </si>
  <si>
    <t>KYM</t>
  </si>
  <si>
    <t>KUYAMA</t>
  </si>
  <si>
    <t>久山</t>
  </si>
  <si>
    <t>JPKYO</t>
  </si>
  <si>
    <t>KYO</t>
  </si>
  <si>
    <t>KOYOH/KAWAJIRI</t>
  </si>
  <si>
    <t>小用／川尻</t>
  </si>
  <si>
    <t>JPKYR</t>
  </si>
  <si>
    <t>ISSO - KAGOSHIMA</t>
  </si>
  <si>
    <t>一湊</t>
  </si>
  <si>
    <t>JPKZA</t>
  </si>
  <si>
    <t>KZA</t>
  </si>
  <si>
    <t>KAIZUKA</t>
  </si>
  <si>
    <t>貝塚［阪南］</t>
  </si>
  <si>
    <t>JPKZE</t>
  </si>
  <si>
    <t>KZE</t>
  </si>
  <si>
    <t>KOZERA</t>
  </si>
  <si>
    <t>小瀬良</t>
  </si>
  <si>
    <t>JPKZH</t>
  </si>
  <si>
    <t>KZH</t>
  </si>
  <si>
    <t>KAZUHARA</t>
  </si>
  <si>
    <t>葛原</t>
  </si>
  <si>
    <t>JPKZI</t>
  </si>
  <si>
    <t>KIJIMA</t>
  </si>
  <si>
    <t>黄島</t>
  </si>
  <si>
    <t>JPKZJ</t>
  </si>
  <si>
    <t>KZJ</t>
  </si>
  <si>
    <t>KOZAI</t>
  </si>
  <si>
    <t>香西［高松]</t>
  </si>
  <si>
    <t>JPKZK</t>
  </si>
  <si>
    <t>KZK</t>
  </si>
  <si>
    <t>KOZUKUSHI - KOCHI</t>
  </si>
  <si>
    <t>小筑紫</t>
  </si>
  <si>
    <t>JPKZM</t>
  </si>
  <si>
    <t>KZM</t>
  </si>
  <si>
    <t>KAZUME</t>
  </si>
  <si>
    <t>カヅメ</t>
  </si>
  <si>
    <t>JPKZR</t>
  </si>
  <si>
    <t>KZR</t>
  </si>
  <si>
    <t>KOHJIRO</t>
  </si>
  <si>
    <t>神代</t>
  </si>
  <si>
    <t>JPKZS</t>
  </si>
  <si>
    <t>KZS</t>
  </si>
  <si>
    <t>KAZUSAMINATO</t>
  </si>
  <si>
    <t>上総湊</t>
  </si>
  <si>
    <t>JPKZU</t>
  </si>
  <si>
    <t>KZU</t>
  </si>
  <si>
    <t>KISARAZU - CHIBA</t>
  </si>
  <si>
    <t>木更津</t>
  </si>
  <si>
    <t>JPLIO</t>
  </si>
  <si>
    <t>LION OLEO CHEMICAL -KAGAWA</t>
  </si>
  <si>
    <t>ﾗｲｵﾝｵﾚｵｹﾐｶﾙ</t>
  </si>
  <si>
    <t>JPMAB</t>
  </si>
  <si>
    <t>MARUICHIBI</t>
  </si>
  <si>
    <t>丸市尾</t>
  </si>
  <si>
    <t>JPMAD</t>
  </si>
  <si>
    <t>MAEDOMARI/IHEYA</t>
  </si>
  <si>
    <t>前泊／伊平屋</t>
  </si>
  <si>
    <t>JPMAE</t>
  </si>
  <si>
    <t>MAE</t>
  </si>
  <si>
    <t>MAEBASHI</t>
  </si>
  <si>
    <t>前橋</t>
  </si>
  <si>
    <t>JPMAG</t>
  </si>
  <si>
    <t>MAG</t>
  </si>
  <si>
    <t>MATEGATA - EHIME</t>
  </si>
  <si>
    <t>馬刀潟</t>
  </si>
  <si>
    <t>JPMAI</t>
  </si>
  <si>
    <t>MAIZURU - KYOTO</t>
  </si>
  <si>
    <t>舞鶴</t>
  </si>
  <si>
    <t>JPMAK</t>
  </si>
  <si>
    <t>MAKIYAMA</t>
  </si>
  <si>
    <t>牧山［関門（若松）］</t>
  </si>
  <si>
    <t>JPMAM</t>
  </si>
  <si>
    <t>MAM</t>
  </si>
  <si>
    <t>MATAMA</t>
  </si>
  <si>
    <t>真玉</t>
  </si>
  <si>
    <t>JPMAO</t>
  </si>
  <si>
    <t>MATSUO</t>
  </si>
  <si>
    <t>松尾</t>
  </si>
  <si>
    <t>JPMAR</t>
  </si>
  <si>
    <t>MARUGAME - KAGAWA</t>
  </si>
  <si>
    <t>丸亀</t>
  </si>
  <si>
    <t>JPMAS</t>
  </si>
  <si>
    <t>MAS</t>
  </si>
  <si>
    <t>MASAKI - EHIME</t>
  </si>
  <si>
    <t>松前</t>
  </si>
  <si>
    <t>JPMAT</t>
  </si>
  <si>
    <t>MATSUSHIMA - NAGASAKI</t>
  </si>
  <si>
    <t>松島</t>
  </si>
  <si>
    <t>JPMAU</t>
  </si>
  <si>
    <t>MAU</t>
  </si>
  <si>
    <t>MATSUURAKAGOSHIMA</t>
  </si>
  <si>
    <t>松浦</t>
  </si>
  <si>
    <t>JPMAW</t>
  </si>
  <si>
    <t>NISHIMAIZURU</t>
  </si>
  <si>
    <t>西舞鶴［舞鶴］</t>
  </si>
  <si>
    <t>JPMAY</t>
  </si>
  <si>
    <t>MATSUYAMA APT - EHIME</t>
  </si>
  <si>
    <t>松山空港</t>
  </si>
  <si>
    <t>MYJ</t>
  </si>
  <si>
    <t>JPMBE</t>
  </si>
  <si>
    <t>MBE</t>
  </si>
  <si>
    <t>MONBETSU - HOKKAIDO</t>
  </si>
  <si>
    <t>紋別</t>
  </si>
  <si>
    <t>JPMBI</t>
  </si>
  <si>
    <t>MITSUBISHI KAGAKU -KAGAWA</t>
  </si>
  <si>
    <t>三菱化学</t>
  </si>
  <si>
    <t>JPMBR</t>
  </si>
  <si>
    <t>MBR</t>
  </si>
  <si>
    <t>MEBARUZAKI - HIROSHIMA</t>
  </si>
  <si>
    <t>鮴崎</t>
  </si>
  <si>
    <t>JPMBT</t>
  </si>
  <si>
    <t>MBT</t>
  </si>
  <si>
    <t>MOTOBU - OKINAWA</t>
  </si>
  <si>
    <t>本部</t>
  </si>
  <si>
    <t>JPMCD</t>
  </si>
  <si>
    <t>MICHIDOI - NAGASAKI</t>
  </si>
  <si>
    <t>道土井</t>
  </si>
  <si>
    <t>JPMCH</t>
  </si>
  <si>
    <t>MOCHIISHI</t>
  </si>
  <si>
    <t>持石</t>
  </si>
  <si>
    <t>JPMDJ</t>
  </si>
  <si>
    <t>MDJ</t>
  </si>
  <si>
    <t>MASUDAKAGOSHIMA</t>
  </si>
  <si>
    <t>増田</t>
  </si>
  <si>
    <t>JPMDR</t>
  </si>
  <si>
    <t>MDR</t>
  </si>
  <si>
    <t>MAEDOMARI/TARAMA</t>
  </si>
  <si>
    <t>前泊／多良間</t>
  </si>
  <si>
    <t>JPMEG</t>
  </si>
  <si>
    <t>MEGI</t>
  </si>
  <si>
    <t>女木</t>
  </si>
  <si>
    <t>JPMEI</t>
  </si>
  <si>
    <t>MEI</t>
  </si>
  <si>
    <t>MEIHAMA</t>
  </si>
  <si>
    <t>姪浜［博多］</t>
  </si>
  <si>
    <t>JPMEN</t>
  </si>
  <si>
    <t>MEI - NAGASAKI</t>
  </si>
  <si>
    <t>銘</t>
  </si>
  <si>
    <t>JPMER</t>
  </si>
  <si>
    <t>MAEURA</t>
  </si>
  <si>
    <t>前浦</t>
  </si>
  <si>
    <t>JPMET</t>
  </si>
  <si>
    <t>MEITSU - MIYAZAKI</t>
  </si>
  <si>
    <t>目井津</t>
  </si>
  <si>
    <t>JPMGA</t>
  </si>
  <si>
    <t>MGA</t>
  </si>
  <si>
    <t>MATSUGAURA</t>
  </si>
  <si>
    <t>松ヶ浦</t>
  </si>
  <si>
    <t>JPMGC</t>
  </si>
  <si>
    <t>MGC</t>
  </si>
  <si>
    <t>MAGUCHI</t>
  </si>
  <si>
    <t>間口</t>
  </si>
  <si>
    <t>JPMGM</t>
  </si>
  <si>
    <t>MGM</t>
  </si>
  <si>
    <t>MAGOME - NAGASAKI</t>
  </si>
  <si>
    <t>馬込</t>
  </si>
  <si>
    <t>JPMGN</t>
  </si>
  <si>
    <t>MOGINE</t>
  </si>
  <si>
    <t>茂木根</t>
  </si>
  <si>
    <t>JPMGS</t>
  </si>
  <si>
    <t>MEGOSHIMA - NAGASAKI</t>
  </si>
  <si>
    <t>女護島</t>
  </si>
  <si>
    <t>JPMGU</t>
  </si>
  <si>
    <t>MAGUSA</t>
  </si>
  <si>
    <t>馬草</t>
  </si>
  <si>
    <t>JPMGY</t>
  </si>
  <si>
    <t>MGY</t>
  </si>
  <si>
    <t>NAGAYAMA - OKINAWA</t>
  </si>
  <si>
    <t>長山</t>
  </si>
  <si>
    <t>JPMHI</t>
  </si>
  <si>
    <t>MINACHI</t>
  </si>
  <si>
    <t>皆地</t>
  </si>
  <si>
    <t>JPMHM</t>
  </si>
  <si>
    <t>MHM</t>
  </si>
  <si>
    <t>MAEHAMA</t>
  </si>
  <si>
    <t>前浜</t>
  </si>
  <si>
    <t>JPMHN</t>
  </si>
  <si>
    <t>MHN</t>
  </si>
  <si>
    <t>MIHOWAN - TOTTORI</t>
  </si>
  <si>
    <t>美保湾</t>
  </si>
  <si>
    <t>JPMHR</t>
  </si>
  <si>
    <t>MHR</t>
  </si>
  <si>
    <t>MIHARA-HIROSHIMA</t>
  </si>
  <si>
    <t>三原</t>
  </si>
  <si>
    <t>JPMIH</t>
  </si>
  <si>
    <t>MIHONOSEKI</t>
  </si>
  <si>
    <t>美保関</t>
  </si>
  <si>
    <t>JPMII</t>
  </si>
  <si>
    <t>MIIKE - FUKUOKA</t>
  </si>
  <si>
    <t>三池</t>
  </si>
  <si>
    <t>JPMIJ</t>
  </si>
  <si>
    <t>MIJ</t>
  </si>
  <si>
    <t>MIIKETOKYO</t>
  </si>
  <si>
    <t>JPMIK</t>
  </si>
  <si>
    <t>MISAKI - KANAGAWA</t>
  </si>
  <si>
    <t>三崎</t>
  </si>
  <si>
    <t>JPMIN</t>
  </si>
  <si>
    <t>MINAMATA - KUMAMOTO</t>
  </si>
  <si>
    <t>水俣</t>
  </si>
  <si>
    <t>JPMIR</t>
  </si>
  <si>
    <t>MIURA - NAGASAKI</t>
  </si>
  <si>
    <t>三浦</t>
  </si>
  <si>
    <t>JPMIS</t>
  </si>
  <si>
    <t>MISUMI - KUMAMOTO</t>
  </si>
  <si>
    <t>三角</t>
  </si>
  <si>
    <t>JPMIT</t>
  </si>
  <si>
    <t>MIT</t>
  </si>
  <si>
    <t>MITAKAHIROSHIMA</t>
  </si>
  <si>
    <t>三高</t>
  </si>
  <si>
    <t>JPMIY</t>
  </si>
  <si>
    <t>MIYAZU - KYOTO</t>
  </si>
  <si>
    <t>宮津</t>
  </si>
  <si>
    <t>JPMIZ</t>
  </si>
  <si>
    <t>MIZUSHIMA - OKAYAMA</t>
  </si>
  <si>
    <t>水島</t>
  </si>
  <si>
    <t>JPMKA</t>
  </si>
  <si>
    <t>MUKATA</t>
  </si>
  <si>
    <t>向田</t>
  </si>
  <si>
    <t>JPMKG</t>
  </si>
  <si>
    <t>MKG</t>
  </si>
  <si>
    <t>MAKIGAWA</t>
  </si>
  <si>
    <t>牧川</t>
  </si>
  <si>
    <t>JPMKI</t>
  </si>
  <si>
    <t>MISAKIKOCHI</t>
  </si>
  <si>
    <t>JPMKJ</t>
  </si>
  <si>
    <t>MIKISATO</t>
  </si>
  <si>
    <t>三木里</t>
  </si>
  <si>
    <t>JPMKK</t>
  </si>
  <si>
    <t>MKK</t>
  </si>
  <si>
    <t>MAKURAZAKI - KAGOSHIMA</t>
  </si>
  <si>
    <t>枕崎</t>
  </si>
  <si>
    <t>JPMKM</t>
  </si>
  <si>
    <t>MKM</t>
  </si>
  <si>
    <t>MIKAME - EHIME</t>
  </si>
  <si>
    <t>三瓶</t>
  </si>
  <si>
    <t>JPMKR</t>
  </si>
  <si>
    <t>MIKURAJIMA</t>
  </si>
  <si>
    <t>御蔵島</t>
  </si>
  <si>
    <t>JPMKS</t>
  </si>
  <si>
    <t>MITSUKOJIMA - HIROSHIMA</t>
  </si>
  <si>
    <t>三ツ子島</t>
  </si>
  <si>
    <t>JPMKU</t>
  </si>
  <si>
    <t>MUKUNOURA</t>
  </si>
  <si>
    <t>椋浦</t>
  </si>
  <si>
    <t>JPMKW</t>
  </si>
  <si>
    <t>MIKAWA - AICHI</t>
  </si>
  <si>
    <t>三河</t>
  </si>
  <si>
    <t>JPMKX</t>
  </si>
  <si>
    <t>MKX</t>
  </si>
  <si>
    <t>MISHIMA-KAWANOE - EHIME</t>
  </si>
  <si>
    <t>JPMM5</t>
  </si>
  <si>
    <t>MM5</t>
  </si>
  <si>
    <t>MOCHIMUNE-SHIZUOKA</t>
  </si>
  <si>
    <t>用宗</t>
  </si>
  <si>
    <t>JPMMA</t>
  </si>
  <si>
    <t>MMA</t>
  </si>
  <si>
    <t>MAENOHAMA</t>
  </si>
  <si>
    <t>前之浜</t>
  </si>
  <si>
    <t>JPMMB</t>
  </si>
  <si>
    <t>MMB</t>
  </si>
  <si>
    <t>MEMANBETSU</t>
  </si>
  <si>
    <t>女満別</t>
  </si>
  <si>
    <t>JPMMD</t>
  </si>
  <si>
    <t>MMD</t>
  </si>
  <si>
    <t>MINAMIDAITO</t>
  </si>
  <si>
    <t>南大東</t>
  </si>
  <si>
    <t>JPMMI</t>
  </si>
  <si>
    <t>MMI</t>
  </si>
  <si>
    <t>MISUMI - SHIMANE</t>
  </si>
  <si>
    <t>三隅</t>
  </si>
  <si>
    <t>JPMMJ</t>
  </si>
  <si>
    <t>MMJ</t>
  </si>
  <si>
    <t>MATSUMOTO</t>
  </si>
  <si>
    <t>長野県</t>
  </si>
  <si>
    <t>松本</t>
  </si>
  <si>
    <t>JPMMM</t>
  </si>
  <si>
    <t>MMM</t>
  </si>
  <si>
    <t>MAGESHIMAMISAKI</t>
  </si>
  <si>
    <t>馬毛島岬</t>
  </si>
  <si>
    <t>JPMMT</t>
  </si>
  <si>
    <t>MMT</t>
  </si>
  <si>
    <t>MIMITSU</t>
  </si>
  <si>
    <t>美々津</t>
  </si>
  <si>
    <t>JPMMY</t>
  </si>
  <si>
    <t>MMY</t>
  </si>
  <si>
    <t>MIYAKOJIMA</t>
  </si>
  <si>
    <t>宮古島</t>
  </si>
  <si>
    <t>JPMNA</t>
  </si>
  <si>
    <t>MANAZURU</t>
  </si>
  <si>
    <t>真鶴</t>
  </si>
  <si>
    <t>JPMNE</t>
  </si>
  <si>
    <t>MINE - NAGASAKI</t>
  </si>
  <si>
    <t>三根</t>
  </si>
  <si>
    <t>JPMNG</t>
  </si>
  <si>
    <t>MATSUNAGA-HIROSHIMA</t>
  </si>
  <si>
    <t>松永</t>
  </si>
  <si>
    <t>JPMNJ</t>
  </si>
  <si>
    <t>MNJ</t>
  </si>
  <si>
    <t>MINNA/MOTOBU</t>
  </si>
  <si>
    <t>水納／本部</t>
  </si>
  <si>
    <t>JPMNM</t>
  </si>
  <si>
    <t>MNM</t>
  </si>
  <si>
    <t>MINAMI</t>
  </si>
  <si>
    <t>御波</t>
  </si>
  <si>
    <t>JPMNN</t>
  </si>
  <si>
    <t>MNN</t>
  </si>
  <si>
    <t>MINNA/TARAMA</t>
  </si>
  <si>
    <t>水納／多良間</t>
  </si>
  <si>
    <t>JPMNO</t>
  </si>
  <si>
    <t>MIYANOURA - KAGOSHIMA</t>
  </si>
  <si>
    <t>宮之浦／上屋久</t>
  </si>
  <si>
    <t>JPMNR</t>
  </si>
  <si>
    <t>MNR</t>
  </si>
  <si>
    <t>MIYANOURANAGASAKI</t>
  </si>
  <si>
    <t>宮浦</t>
  </si>
  <si>
    <t>JPMNT</t>
  </si>
  <si>
    <t>MINATO - HYOGO</t>
  </si>
  <si>
    <t>湊</t>
  </si>
  <si>
    <t>JPMNX</t>
  </si>
  <si>
    <t>MITAJIRI-NAKANOSEKI</t>
  </si>
  <si>
    <t>三田尻中関</t>
  </si>
  <si>
    <t>JPMNY</t>
  </si>
  <si>
    <t>MNY</t>
  </si>
  <si>
    <t>MINMAYA</t>
  </si>
  <si>
    <t>三厩</t>
  </si>
  <si>
    <t>JPMOG</t>
  </si>
  <si>
    <t>MOG</t>
  </si>
  <si>
    <t>MOGI</t>
  </si>
  <si>
    <t>茂木</t>
  </si>
  <si>
    <t>JPMOJ</t>
  </si>
  <si>
    <t>MOJ</t>
  </si>
  <si>
    <t>MOJI - FUKUOKA</t>
  </si>
  <si>
    <t>門司［関門（門司）］</t>
  </si>
  <si>
    <t>JPMOM</t>
  </si>
  <si>
    <t>MOM</t>
  </si>
  <si>
    <t>MORODOMI</t>
  </si>
  <si>
    <t>諸富</t>
  </si>
  <si>
    <t>JPMOO</t>
  </si>
  <si>
    <t>MOO</t>
  </si>
  <si>
    <t>MORIE</t>
  </si>
  <si>
    <t>守江</t>
  </si>
  <si>
    <t>JPMOR</t>
  </si>
  <si>
    <t>MORI</t>
  </si>
  <si>
    <t>森</t>
  </si>
  <si>
    <t>JPMOT</t>
  </si>
  <si>
    <t>MOTOMACHI</t>
  </si>
  <si>
    <t>元町</t>
  </si>
  <si>
    <t>JPMOU</t>
  </si>
  <si>
    <t>MOTOURA/TOSHIMA</t>
  </si>
  <si>
    <t>元浦</t>
  </si>
  <si>
    <t>JPMOX</t>
  </si>
  <si>
    <t>MOX</t>
  </si>
  <si>
    <t>MONOI</t>
  </si>
  <si>
    <t>物井</t>
  </si>
  <si>
    <t>JPMQT</t>
  </si>
  <si>
    <t>MQT</t>
  </si>
  <si>
    <t>MITOKAGAWA</t>
  </si>
  <si>
    <t>三都</t>
  </si>
  <si>
    <t>JPMRA</t>
  </si>
  <si>
    <t>MATSUSHIMAMIYAGI</t>
  </si>
  <si>
    <t>JPMRE</t>
  </si>
  <si>
    <t>MRE</t>
  </si>
  <si>
    <t>MURE</t>
  </si>
  <si>
    <t>牟礼</t>
  </si>
  <si>
    <t>JPMRG</t>
  </si>
  <si>
    <t>MORIAGE</t>
  </si>
  <si>
    <t>森上</t>
  </si>
  <si>
    <t>JPMRH</t>
  </si>
  <si>
    <t>MRH</t>
  </si>
  <si>
    <t>MORINOHAMA</t>
  </si>
  <si>
    <t>森ノ浜</t>
  </si>
  <si>
    <t>JPMRJ</t>
  </si>
  <si>
    <t>MUROTOMISAKI</t>
  </si>
  <si>
    <t>室戸岬</t>
  </si>
  <si>
    <t>JPMRK</t>
  </si>
  <si>
    <t>MORAKUI</t>
  </si>
  <si>
    <t>諸喰</t>
  </si>
  <si>
    <t>JPMRM</t>
  </si>
  <si>
    <t>MUROMOTO</t>
  </si>
  <si>
    <t>室本</t>
  </si>
  <si>
    <t>JPMRO</t>
  </si>
  <si>
    <t>MRO</t>
  </si>
  <si>
    <t>MUROKITA</t>
  </si>
  <si>
    <t>室生北</t>
  </si>
  <si>
    <t>JPMRS</t>
  </si>
  <si>
    <t>MUROTSUHYOGO</t>
  </si>
  <si>
    <t>室津</t>
  </si>
  <si>
    <t>JPMRT</t>
  </si>
  <si>
    <t>MUROTSUYAMAGUCHI</t>
  </si>
  <si>
    <t>JPMRU</t>
  </si>
  <si>
    <t>MRU</t>
  </si>
  <si>
    <t>MARUO</t>
  </si>
  <si>
    <t>丸尾</t>
  </si>
  <si>
    <t>JPMRW</t>
  </si>
  <si>
    <t>MRW</t>
  </si>
  <si>
    <t>MORIOKA</t>
  </si>
  <si>
    <t>盛岡</t>
  </si>
  <si>
    <t>JPMRZ</t>
  </si>
  <si>
    <t>MOROZAKI</t>
  </si>
  <si>
    <t>師崎</t>
  </si>
  <si>
    <t>JPMSA</t>
  </si>
  <si>
    <t>MATSUSAKA - MIE</t>
  </si>
  <si>
    <t>松阪</t>
  </si>
  <si>
    <t>JPMSD</t>
  </si>
  <si>
    <t>MSD</t>
  </si>
  <si>
    <t>MASUDASHIMANE</t>
  </si>
  <si>
    <t>益田</t>
  </si>
  <si>
    <t>JPMSH</t>
  </si>
  <si>
    <t>MUSASHI</t>
  </si>
  <si>
    <t>武蔵</t>
  </si>
  <si>
    <t>JPMSI</t>
  </si>
  <si>
    <t>MIESHIKIMI</t>
  </si>
  <si>
    <t>長崎[長崎三重式見]</t>
  </si>
  <si>
    <t>JPMSJ</t>
  </si>
  <si>
    <t>MSJ</t>
  </si>
  <si>
    <t>MISAWA-AOMORI</t>
  </si>
  <si>
    <t>三沢</t>
  </si>
  <si>
    <t>JPMSK</t>
  </si>
  <si>
    <t>MASHIKE - HOKKAIDO</t>
  </si>
  <si>
    <t>増毛</t>
  </si>
  <si>
    <t>JPMSM</t>
  </si>
  <si>
    <t>MISHIMASHIZUOKA</t>
  </si>
  <si>
    <t>三島</t>
  </si>
  <si>
    <t>JPMSO</t>
  </si>
  <si>
    <t>MSO</t>
  </si>
  <si>
    <t>MISHO - EHIME</t>
  </si>
  <si>
    <t>御荘</t>
  </si>
  <si>
    <t>JPMSR</t>
  </si>
  <si>
    <t>MISHIRO</t>
  </si>
  <si>
    <t>三代</t>
  </si>
  <si>
    <t>JPMSS</t>
  </si>
  <si>
    <t>MSS</t>
  </si>
  <si>
    <t>MATSUSHIMAOKAYAMA</t>
  </si>
  <si>
    <t>JPMST</t>
  </si>
  <si>
    <t>MST</t>
  </si>
  <si>
    <t>MISATO</t>
  </si>
  <si>
    <t>三里</t>
  </si>
  <si>
    <t>JPMSX</t>
  </si>
  <si>
    <t>MISAKIEHIME</t>
  </si>
  <si>
    <t>JPMTA</t>
  </si>
  <si>
    <t>MTA</t>
  </si>
  <si>
    <t>MITAKATOKYO</t>
  </si>
  <si>
    <t>三鷹</t>
  </si>
  <si>
    <t>JPMTC</t>
  </si>
  <si>
    <t>MTC</t>
  </si>
  <si>
    <t>MITACHI</t>
  </si>
  <si>
    <t>見立</t>
  </si>
  <si>
    <t>JPMTD</t>
  </si>
  <si>
    <t>MATSUDO</t>
  </si>
  <si>
    <t>松戸</t>
  </si>
  <si>
    <t>JPMTE</t>
  </si>
  <si>
    <t>MATSUE</t>
  </si>
  <si>
    <t>松江</t>
  </si>
  <si>
    <t>JPMTH</t>
  </si>
  <si>
    <t>MITSUHAMA</t>
  </si>
  <si>
    <t>三津浜［松山］</t>
  </si>
  <si>
    <t>JPMTI</t>
  </si>
  <si>
    <t>MITARAI - HIROSHIMA</t>
  </si>
  <si>
    <t>御手洗</t>
  </si>
  <si>
    <t>JPMTK</t>
  </si>
  <si>
    <t>MTK</t>
  </si>
  <si>
    <t>MITSUKUE</t>
  </si>
  <si>
    <t>三机</t>
  </si>
  <si>
    <t>JPMTM</t>
  </si>
  <si>
    <t>MTM</t>
  </si>
  <si>
    <t>MATSUMAE</t>
  </si>
  <si>
    <t>JPMTO</t>
  </si>
  <si>
    <t>MTO</t>
  </si>
  <si>
    <t>MOTOURA/AZUMA</t>
  </si>
  <si>
    <t>本浦</t>
  </si>
  <si>
    <t>JPMTR</t>
  </si>
  <si>
    <t>OFF-MUTSURE - YAMAGUCHI</t>
  </si>
  <si>
    <t>六連</t>
  </si>
  <si>
    <t>JPMTS</t>
  </si>
  <si>
    <t>MTS</t>
  </si>
  <si>
    <t>MATSUURA - NAGASAKI</t>
  </si>
  <si>
    <t>JPMTU</t>
  </si>
  <si>
    <t>MTU</t>
  </si>
  <si>
    <t>MATSUURA - OITA</t>
  </si>
  <si>
    <t>JPMTY</t>
  </si>
  <si>
    <t>MTY</t>
  </si>
  <si>
    <t>MATOYA</t>
  </si>
  <si>
    <t>的矢</t>
  </si>
  <si>
    <t>JPMTZ</t>
  </si>
  <si>
    <t>MATSUZAKI</t>
  </si>
  <si>
    <t>松崎</t>
  </si>
  <si>
    <t>JPMUG</t>
  </si>
  <si>
    <t>MUGI</t>
  </si>
  <si>
    <t>牟岐</t>
  </si>
  <si>
    <t>JPMUK</t>
  </si>
  <si>
    <t>MUKAISHIMA</t>
  </si>
  <si>
    <t>向島［尾道糸崎］</t>
  </si>
  <si>
    <t>JPMUR</t>
  </si>
  <si>
    <t>MURORAN - HOKKAIDO</t>
  </si>
  <si>
    <t>室蘭</t>
  </si>
  <si>
    <t>JPMUT</t>
  </si>
  <si>
    <t>MUT</t>
  </si>
  <si>
    <t>MUTSUOGAWARA - AOMORI</t>
  </si>
  <si>
    <t>むつ小川原</t>
  </si>
  <si>
    <t>JPMUX</t>
  </si>
  <si>
    <t>MUX</t>
  </si>
  <si>
    <t>MUROTSUKOCHI</t>
  </si>
  <si>
    <t>JPMUY</t>
  </si>
  <si>
    <t>MIYANOURAKAGAWA</t>
  </si>
  <si>
    <t>JPMWA</t>
  </si>
  <si>
    <t>MWA</t>
  </si>
  <si>
    <t>MARUIWA</t>
  </si>
  <si>
    <t>丸岩</t>
  </si>
  <si>
    <t>JPMWR</t>
  </si>
  <si>
    <t>MWR</t>
  </si>
  <si>
    <t>MAWARI - NAGASAKI</t>
  </si>
  <si>
    <t>廻</t>
  </si>
  <si>
    <t>JPMXT</t>
  </si>
  <si>
    <t>MXT</t>
  </si>
  <si>
    <t>MITA</t>
  </si>
  <si>
    <t>美田</t>
  </si>
  <si>
    <t>JPMYA</t>
  </si>
  <si>
    <t>MUYA</t>
  </si>
  <si>
    <t>撫養</t>
  </si>
  <si>
    <t>JPMYG</t>
  </si>
  <si>
    <t>MIYAGAHAMA</t>
  </si>
  <si>
    <t>宮ヶ浜</t>
  </si>
  <si>
    <t>JPMYI</t>
  </si>
  <si>
    <t>MIYAGI</t>
  </si>
  <si>
    <t>宮城</t>
  </si>
  <si>
    <t>JPMYJ</t>
  </si>
  <si>
    <t>MATSUYAMA - EHIME</t>
  </si>
  <si>
    <t>松山</t>
  </si>
  <si>
    <t>JPMYK</t>
  </si>
  <si>
    <t>MYK</t>
  </si>
  <si>
    <t>MIYAKO - IWATE</t>
  </si>
  <si>
    <t>宮古</t>
  </si>
  <si>
    <t>JPMYN</t>
  </si>
  <si>
    <t>MYN</t>
  </si>
  <si>
    <t>MIYANOURA/AZUMA</t>
  </si>
  <si>
    <t>宮之浦／長島東町</t>
  </si>
  <si>
    <t>JPMYU</t>
  </si>
  <si>
    <t>MYU</t>
  </si>
  <si>
    <t>MIYAURA - EHIME</t>
  </si>
  <si>
    <t>JPMZA</t>
  </si>
  <si>
    <t>MIYAZAKI APT - MIYAZAKI</t>
  </si>
  <si>
    <t>宮崎空港</t>
  </si>
  <si>
    <t>JPMZK</t>
  </si>
  <si>
    <t>MZK</t>
  </si>
  <si>
    <t>MIYAZAKI - EHIME</t>
  </si>
  <si>
    <t>JPMZM</t>
  </si>
  <si>
    <t>MUROZUMI</t>
  </si>
  <si>
    <t>室積</t>
  </si>
  <si>
    <t>JPMZR</t>
  </si>
  <si>
    <t>MOTOZARU - OITA</t>
  </si>
  <si>
    <t>元猿</t>
  </si>
  <si>
    <t>JPMZS</t>
  </si>
  <si>
    <t>MZS</t>
  </si>
  <si>
    <t>MIZUSAKI - NAGASAKI</t>
  </si>
  <si>
    <t>水崎</t>
  </si>
  <si>
    <t>JPNAA</t>
  </si>
  <si>
    <t>NAGAURANAGASAKI</t>
  </si>
  <si>
    <t>長浦</t>
  </si>
  <si>
    <t>JPNAB</t>
  </si>
  <si>
    <t>NAGARA</t>
  </si>
  <si>
    <t>名柄</t>
  </si>
  <si>
    <t>JPNAD</t>
  </si>
  <si>
    <t>NAD</t>
  </si>
  <si>
    <t>NADAHAMA</t>
  </si>
  <si>
    <t>灘浜</t>
  </si>
  <si>
    <t>JPNAG</t>
  </si>
  <si>
    <t>NAGAHAMASHIMANE</t>
  </si>
  <si>
    <t>長浜［境］</t>
  </si>
  <si>
    <t>JPNAH</t>
  </si>
  <si>
    <t>NAHA - OKINAWA</t>
  </si>
  <si>
    <t>那覇</t>
  </si>
  <si>
    <t>JPNAI</t>
  </si>
  <si>
    <t>NARASHINO</t>
  </si>
  <si>
    <t>習志野［千葉］</t>
  </si>
  <si>
    <t>JPNAK</t>
  </si>
  <si>
    <t>NAKAGUSUKU</t>
  </si>
  <si>
    <t>中城［金武中城］</t>
  </si>
  <si>
    <t>JPNAM</t>
  </si>
  <si>
    <t>NAMA - NAGASAKI</t>
  </si>
  <si>
    <t>奈摩</t>
  </si>
  <si>
    <t>JPNAN</t>
  </si>
  <si>
    <t>NAKANOSEKI-YAMAGUCHI</t>
  </si>
  <si>
    <t>中関［三田尻中関］</t>
  </si>
  <si>
    <t>JPNAO</t>
  </si>
  <si>
    <t>NAOETSU - NIIGATA</t>
  </si>
  <si>
    <t>JPNAP</t>
  </si>
  <si>
    <t>NAHA APT - OKINAWA</t>
  </si>
  <si>
    <t>那覇空港</t>
  </si>
  <si>
    <t>OKA</t>
  </si>
  <si>
    <t>JPNAR</t>
  </si>
  <si>
    <t>NAARAI</t>
  </si>
  <si>
    <t>名洗</t>
  </si>
  <si>
    <t>JPNAS</t>
  </si>
  <si>
    <t>NAOSHIMA - KAGAWA</t>
  </si>
  <si>
    <t>直島</t>
  </si>
  <si>
    <t>JPNAT</t>
  </si>
  <si>
    <t>NAKATSU - OITA</t>
  </si>
  <si>
    <t>中津</t>
  </si>
  <si>
    <t>JPNAY</t>
  </si>
  <si>
    <t>NAY</t>
  </si>
  <si>
    <t>NAGAYO</t>
  </si>
  <si>
    <t>長与</t>
  </si>
  <si>
    <t>JPNAZ</t>
  </si>
  <si>
    <t>NAZ</t>
  </si>
  <si>
    <t>NAZE - KAGOSHIMA</t>
  </si>
  <si>
    <t>名瀬</t>
  </si>
  <si>
    <t>JPNBS</t>
  </si>
  <si>
    <t>NBS</t>
  </si>
  <si>
    <t>NOBEOKASHINKO - MIYAZAKI</t>
  </si>
  <si>
    <t>延岡新</t>
  </si>
  <si>
    <t>JPNBU</t>
  </si>
  <si>
    <t>NBU</t>
  </si>
  <si>
    <t>NOBU - NAGASAKI</t>
  </si>
  <si>
    <t>濃部</t>
  </si>
  <si>
    <t>JPNCO</t>
  </si>
  <si>
    <t>NCO</t>
  </si>
  <si>
    <t>NONOICHIISHIKAWA</t>
  </si>
  <si>
    <t>野々市</t>
  </si>
  <si>
    <t>JPNDI</t>
  </si>
  <si>
    <t>NDI</t>
  </si>
  <si>
    <t>NISHI/MINAMIDAITO</t>
  </si>
  <si>
    <t>西／南大東</t>
  </si>
  <si>
    <t>JPNDY</t>
  </si>
  <si>
    <t>NADAYAMA</t>
  </si>
  <si>
    <t>灘山</t>
  </si>
  <si>
    <t>JPNEJ</t>
  </si>
  <si>
    <t>NEJ</t>
  </si>
  <si>
    <t>NEJIME - KAGOSHIMA</t>
  </si>
  <si>
    <t>根占</t>
  </si>
  <si>
    <t>JPNEM</t>
  </si>
  <si>
    <t>NEM</t>
  </si>
  <si>
    <t>NEMURO - HOKKAIDO</t>
  </si>
  <si>
    <t>根室</t>
  </si>
  <si>
    <t>JPNEO</t>
  </si>
  <si>
    <t>NEO</t>
  </si>
  <si>
    <t>NEO - NAGASAKI</t>
  </si>
  <si>
    <t>根緒</t>
  </si>
  <si>
    <t>JPNEX</t>
  </si>
  <si>
    <t>NAGAEEHIME</t>
  </si>
  <si>
    <t>長江</t>
  </si>
  <si>
    <t>JPNEZ</t>
  </si>
  <si>
    <t>NEZ</t>
  </si>
  <si>
    <t>NEZUGASEKI</t>
  </si>
  <si>
    <t>鼠ヶ関</t>
  </si>
  <si>
    <t>JPNGA</t>
  </si>
  <si>
    <t>CHUBU APT - AICHI</t>
  </si>
  <si>
    <t>中部国際空港</t>
  </si>
  <si>
    <t>NGO</t>
  </si>
  <si>
    <t>JPNGD</t>
  </si>
  <si>
    <t>NAGOUDA</t>
  </si>
  <si>
    <t>長尾田</t>
  </si>
  <si>
    <t>JPNGE</t>
  </si>
  <si>
    <t>NAGAESHIMANE</t>
  </si>
  <si>
    <t>JPNGG</t>
  </si>
  <si>
    <t>NGG</t>
  </si>
  <si>
    <t>NAGAME</t>
  </si>
  <si>
    <t>永目</t>
  </si>
  <si>
    <t>JPNGH</t>
  </si>
  <si>
    <t>NGH</t>
  </si>
  <si>
    <t>NAGAHAMA - EHIME</t>
  </si>
  <si>
    <t>長浜</t>
  </si>
  <si>
    <t>JPNGI</t>
  </si>
  <si>
    <t>NEGHISHI/YOKOHAMA</t>
  </si>
  <si>
    <t>根岸／横浜［京浜（横浜）］</t>
  </si>
  <si>
    <t>JPNGK</t>
  </si>
  <si>
    <t>NGK</t>
  </si>
  <si>
    <t>NAKAKOSHI</t>
  </si>
  <si>
    <t>中越</t>
  </si>
  <si>
    <t>JPNGM</t>
  </si>
  <si>
    <t>NGM</t>
  </si>
  <si>
    <t>NAGIMI - EHIME</t>
  </si>
  <si>
    <t>南君</t>
  </si>
  <si>
    <t>JPNGN</t>
  </si>
  <si>
    <t>NGN</t>
  </si>
  <si>
    <t>NAIGAINOURA - KOCHI</t>
  </si>
  <si>
    <t>内外ノ浦</t>
  </si>
  <si>
    <t>JPNGO</t>
  </si>
  <si>
    <t>NAGOYA - AICHI</t>
  </si>
  <si>
    <t>名古屋</t>
  </si>
  <si>
    <t>JPNGR</t>
  </si>
  <si>
    <t>NGR</t>
  </si>
  <si>
    <t>NAGAURA/YOKOSUKA</t>
  </si>
  <si>
    <t>長浦／横須賀［横須賀］</t>
  </si>
  <si>
    <t>JPNGS</t>
  </si>
  <si>
    <t>NGS</t>
  </si>
  <si>
    <t>NAGASAKI APT - NAGASAKI</t>
  </si>
  <si>
    <t>長崎空港</t>
  </si>
  <si>
    <t>JPNGU</t>
  </si>
  <si>
    <t>NGU</t>
  </si>
  <si>
    <t>NAGASU - KUMAMOTO</t>
  </si>
  <si>
    <t>長洲</t>
  </si>
  <si>
    <t>JPNGY</t>
  </si>
  <si>
    <t>NGY</t>
  </si>
  <si>
    <t>NAGOYA - OITA</t>
  </si>
  <si>
    <t>名護屋</t>
  </si>
  <si>
    <t>JPNHA</t>
  </si>
  <si>
    <t>NAKAHAMAHIROSHIMA</t>
  </si>
  <si>
    <t>中浜</t>
  </si>
  <si>
    <t>JPNHI</t>
  </si>
  <si>
    <t>NHI</t>
  </si>
  <si>
    <t>NAHARI - KOCHI</t>
  </si>
  <si>
    <t>奈半利</t>
  </si>
  <si>
    <t>JPNHJ</t>
  </si>
  <si>
    <t>NHJ</t>
  </si>
  <si>
    <t>NOHEJI</t>
  </si>
  <si>
    <t>野辺地</t>
  </si>
  <si>
    <t>JPNHM</t>
  </si>
  <si>
    <t>NHM</t>
  </si>
  <si>
    <t>NAGAHAMASHIGA</t>
  </si>
  <si>
    <t>JPNHN</t>
  </si>
  <si>
    <t>NAGASAKINOHANA</t>
  </si>
  <si>
    <t>長崎鼻</t>
  </si>
  <si>
    <t>JPNHO</t>
  </si>
  <si>
    <t>NISHIO</t>
  </si>
  <si>
    <t>西尾</t>
  </si>
  <si>
    <t>JPNHR</t>
  </si>
  <si>
    <t>NHR</t>
  </si>
  <si>
    <t>KIN-NAKAGUSUKU-NISHIHARA</t>
  </si>
  <si>
    <t>西原［金武中城］</t>
  </si>
  <si>
    <t>JPNIA</t>
  </si>
  <si>
    <t>NIA</t>
  </si>
  <si>
    <t>NITA</t>
  </si>
  <si>
    <t>仁田</t>
  </si>
  <si>
    <t>JPNIC</t>
  </si>
  <si>
    <t>NICHINAN</t>
  </si>
  <si>
    <t>日南［油津］</t>
  </si>
  <si>
    <t>JPNID</t>
  </si>
  <si>
    <t>NID</t>
  </si>
  <si>
    <t>NISHI/KITADAITO</t>
  </si>
  <si>
    <t>西／北大東</t>
  </si>
  <si>
    <t>JPNIH</t>
  </si>
  <si>
    <t>NIH</t>
  </si>
  <si>
    <t>NIIGATA(HIGASHI) - NIIGATA</t>
  </si>
  <si>
    <t>新潟／東地区［新潟］</t>
  </si>
  <si>
    <t>JPNII</t>
  </si>
  <si>
    <t>NIIGATA APT - NIIGATA</t>
  </si>
  <si>
    <t>新潟空港</t>
  </si>
  <si>
    <t>JPNIJ</t>
  </si>
  <si>
    <t>NIJ</t>
  </si>
  <si>
    <t>NIIJIMA</t>
  </si>
  <si>
    <t>新島</t>
  </si>
  <si>
    <t>JPNIM</t>
  </si>
  <si>
    <t>NIMA</t>
  </si>
  <si>
    <t>仁万</t>
  </si>
  <si>
    <t>JPNIN</t>
  </si>
  <si>
    <t>NIN</t>
  </si>
  <si>
    <t>NIIGATA(NISHI) - NIIGATA</t>
  </si>
  <si>
    <t>新潟／西地区［新潟］</t>
  </si>
  <si>
    <t>JPNIO</t>
  </si>
  <si>
    <t>仁尾</t>
  </si>
  <si>
    <t>JPNIS</t>
  </si>
  <si>
    <t>NIS</t>
  </si>
  <si>
    <t>NISHINAKA</t>
  </si>
  <si>
    <t>西中</t>
  </si>
  <si>
    <t>JPNIT</t>
  </si>
  <si>
    <t>NAMIKATA - EHIME</t>
  </si>
  <si>
    <t>JPNIX</t>
  </si>
  <si>
    <t>NIX</t>
  </si>
  <si>
    <t>仁位</t>
  </si>
  <si>
    <t>JPNJA</t>
  </si>
  <si>
    <t>NJA</t>
  </si>
  <si>
    <t>ATSUGI-KANAGAWA</t>
  </si>
  <si>
    <t>厚木</t>
  </si>
  <si>
    <t>JPNJM</t>
  </si>
  <si>
    <t>NJM</t>
  </si>
  <si>
    <t>NAKAJIMA - EHIME</t>
  </si>
  <si>
    <t>中島</t>
  </si>
  <si>
    <t>JPNJR</t>
  </si>
  <si>
    <t>NJR</t>
  </si>
  <si>
    <t>NOJIRI - KAGOSHIMA</t>
  </si>
  <si>
    <t>野尻</t>
  </si>
  <si>
    <t>JPNKD</t>
  </si>
  <si>
    <t>NKD</t>
  </si>
  <si>
    <t>NAKADA</t>
  </si>
  <si>
    <t>仲田</t>
  </si>
  <si>
    <t>JPNKH</t>
  </si>
  <si>
    <t>NKH</t>
  </si>
  <si>
    <t>NAKAHAMATOTTORI</t>
  </si>
  <si>
    <t>JPNKJ</t>
  </si>
  <si>
    <t>NKJ</t>
  </si>
  <si>
    <t>NAKAHAMAKYOTO</t>
  </si>
  <si>
    <t>JPNKK</t>
  </si>
  <si>
    <t>NKK</t>
  </si>
  <si>
    <t>NAKAKOSHIKI</t>
  </si>
  <si>
    <t>中甑</t>
  </si>
  <si>
    <t>JPNKL</t>
  </si>
  <si>
    <t>NAKAMAKAGOSHIMA</t>
  </si>
  <si>
    <t>中間</t>
  </si>
  <si>
    <t>JPNKM</t>
  </si>
  <si>
    <t>NKM</t>
  </si>
  <si>
    <t>NAKAMAOKINAWA</t>
  </si>
  <si>
    <t>仲間</t>
  </si>
  <si>
    <t>JPNKN</t>
  </si>
  <si>
    <t>NAKANOURA</t>
  </si>
  <si>
    <t>中浦</t>
  </si>
  <si>
    <t>JPNKO</t>
  </si>
  <si>
    <t>NKO</t>
  </si>
  <si>
    <t>NANKO-OSAKA</t>
  </si>
  <si>
    <t>南港［阪神］</t>
  </si>
  <si>
    <t>JPNKR</t>
  </si>
  <si>
    <t>NKR</t>
  </si>
  <si>
    <t>NAKIRI</t>
  </si>
  <si>
    <t>波切</t>
  </si>
  <si>
    <t>JPNKS</t>
  </si>
  <si>
    <t>NAKANOSHIMA - KAGOSHIMA</t>
  </si>
  <si>
    <t>中之島</t>
  </si>
  <si>
    <t>JPNKT</t>
  </si>
  <si>
    <t>NKT</t>
  </si>
  <si>
    <t>NAKATA - HIROSHIMA</t>
  </si>
  <si>
    <t>中田</t>
  </si>
  <si>
    <t>JPNKX</t>
  </si>
  <si>
    <t>NKX</t>
  </si>
  <si>
    <t>NAKANOSAKU</t>
  </si>
  <si>
    <t>中之作</t>
  </si>
  <si>
    <t>JPNKY</t>
  </si>
  <si>
    <t>NAKAYAMA</t>
  </si>
  <si>
    <t>中山</t>
  </si>
  <si>
    <t>JPNKZ</t>
  </si>
  <si>
    <t>NKZ</t>
  </si>
  <si>
    <t>NAKASHIMA</t>
  </si>
  <si>
    <t>JPNMA</t>
  </si>
  <si>
    <t>NMA</t>
  </si>
  <si>
    <t>NAGAHAMAKAGOSHIMA</t>
  </si>
  <si>
    <t>JPNMC</t>
  </si>
  <si>
    <t>NAKAMICHI</t>
  </si>
  <si>
    <t>中道</t>
  </si>
  <si>
    <t>JPNMI</t>
  </si>
  <si>
    <t>NMI</t>
  </si>
  <si>
    <t>NOMI - MIYAZAKI</t>
  </si>
  <si>
    <t>直海</t>
  </si>
  <si>
    <t>JPNMK</t>
  </si>
  <si>
    <t>NMK</t>
  </si>
  <si>
    <t>NOMAIKE</t>
  </si>
  <si>
    <t>野間池</t>
  </si>
  <si>
    <t>JPNMT</t>
  </si>
  <si>
    <t>NMT</t>
  </si>
  <si>
    <t>NAKAMINATO</t>
  </si>
  <si>
    <t>那珂湊</t>
  </si>
  <si>
    <t>JPNMX</t>
  </si>
  <si>
    <t>NMX</t>
  </si>
  <si>
    <t>NAGASAKI-MIE-SHIKIMI- NAGASAKI</t>
  </si>
  <si>
    <t>JPNNG</t>
  </si>
  <si>
    <t>NAGANO</t>
  </si>
  <si>
    <t>長野</t>
  </si>
  <si>
    <t>JPNNH</t>
  </si>
  <si>
    <t>NNH</t>
  </si>
  <si>
    <t>NUNOHAMA</t>
  </si>
  <si>
    <t>布浜</t>
  </si>
  <si>
    <t>JPNNK</t>
  </si>
  <si>
    <t>NNK</t>
  </si>
  <si>
    <t>NENOKUCHI</t>
  </si>
  <si>
    <t>子ノ口</t>
  </si>
  <si>
    <t>JPNNO</t>
  </si>
  <si>
    <t>NANAO - ISHIKAWA</t>
  </si>
  <si>
    <t>七尾</t>
  </si>
  <si>
    <t>JPNNT</t>
  </si>
  <si>
    <t>NNT</t>
  </si>
  <si>
    <t>NANATSUGAMA</t>
  </si>
  <si>
    <t>七ツ釜</t>
  </si>
  <si>
    <t>JPNNX</t>
  </si>
  <si>
    <t>NAKANOSE</t>
  </si>
  <si>
    <t>中の瀬</t>
  </si>
  <si>
    <t>JPNOB</t>
  </si>
  <si>
    <t>NOB</t>
  </si>
  <si>
    <t>NOBEOKA</t>
  </si>
  <si>
    <t>延岡</t>
  </si>
  <si>
    <t>JPNOH</t>
  </si>
  <si>
    <t>NOH</t>
  </si>
  <si>
    <t>NOHARA</t>
  </si>
  <si>
    <t>野原</t>
  </si>
  <si>
    <t>JPNOM</t>
  </si>
  <si>
    <t>NOMIZAKI</t>
  </si>
  <si>
    <t>呑崎</t>
  </si>
  <si>
    <t>JPNON</t>
  </si>
  <si>
    <t>NONOHAMA</t>
  </si>
  <si>
    <t>野々浜</t>
  </si>
  <si>
    <t>JPNOU</t>
  </si>
  <si>
    <t>能生</t>
  </si>
  <si>
    <t>JPNQH</t>
  </si>
  <si>
    <t>NQH</t>
  </si>
  <si>
    <t>NOHO</t>
  </si>
  <si>
    <t>野甫</t>
  </si>
  <si>
    <t>JPNRI</t>
  </si>
  <si>
    <t>NRI</t>
  </si>
  <si>
    <t>NARITACHIBA</t>
  </si>
  <si>
    <t>成田</t>
  </si>
  <si>
    <t>JPNRO</t>
  </si>
  <si>
    <t>NRO</t>
  </si>
  <si>
    <t>NARAO</t>
  </si>
  <si>
    <t>奈良尾</t>
  </si>
  <si>
    <t>JPNRS</t>
  </si>
  <si>
    <t>NARUSHIMA - NAGASAKI</t>
  </si>
  <si>
    <t>奈留島</t>
  </si>
  <si>
    <t>JPNRT</t>
  </si>
  <si>
    <t>NRT</t>
  </si>
  <si>
    <t>NARITA APT - TOKYO</t>
  </si>
  <si>
    <t>成田国際空港</t>
  </si>
  <si>
    <t>JPNRU</t>
  </si>
  <si>
    <t>NRU</t>
  </si>
  <si>
    <t>NARUTO</t>
  </si>
  <si>
    <t>鳴門［撫養］</t>
  </si>
  <si>
    <t>JPNSA</t>
  </si>
  <si>
    <t>NAGASHIMA</t>
  </si>
  <si>
    <t>長島</t>
  </si>
  <si>
    <t>JPNSB</t>
  </si>
  <si>
    <t>NISHIBE</t>
  </si>
  <si>
    <t>西部</t>
  </si>
  <si>
    <t>JPNSH</t>
  </si>
  <si>
    <t>NISHISHIOYA</t>
  </si>
  <si>
    <t>西塩屋</t>
  </si>
  <si>
    <t>JPNSI</t>
  </si>
  <si>
    <t>NISHIESAN</t>
  </si>
  <si>
    <t>西恵山</t>
  </si>
  <si>
    <t>JPNSK</t>
  </si>
  <si>
    <t>NSK</t>
  </si>
  <si>
    <t>NISHIKI</t>
  </si>
  <si>
    <t>二色[阪南]</t>
  </si>
  <si>
    <t>JPNSM</t>
  </si>
  <si>
    <t>NISHIMURA</t>
  </si>
  <si>
    <t>西村</t>
  </si>
  <si>
    <t>JPNSR</t>
  </si>
  <si>
    <t>NSR</t>
  </si>
  <si>
    <t>NOSHIRO - AKITA</t>
  </si>
  <si>
    <t>能代</t>
  </si>
  <si>
    <t>JPNST</t>
  </si>
  <si>
    <t>NST</t>
  </si>
  <si>
    <t>NISHIKATA</t>
  </si>
  <si>
    <t>西方</t>
  </si>
  <si>
    <t>JPNSU</t>
  </si>
  <si>
    <t>NAGASUOITA</t>
  </si>
  <si>
    <t>JPNSX</t>
  </si>
  <si>
    <t>NSX</t>
  </si>
  <si>
    <t>NASA</t>
  </si>
  <si>
    <t>那佐</t>
  </si>
  <si>
    <t>JPNTX</t>
  </si>
  <si>
    <t>NTX</t>
  </si>
  <si>
    <t>NAKATAKUMAMOTO</t>
  </si>
  <si>
    <t>JPNTY</t>
  </si>
  <si>
    <t>NTY</t>
  </si>
  <si>
    <t>NANATSUYAMA</t>
  </si>
  <si>
    <t>七ツ山</t>
  </si>
  <si>
    <t>JPNUM</t>
  </si>
  <si>
    <t>NUM</t>
  </si>
  <si>
    <t>NUMAZU - SHIZUOKA</t>
  </si>
  <si>
    <t>沼津</t>
  </si>
  <si>
    <t>JPNUR</t>
  </si>
  <si>
    <t>NISHIURA - SHIZUOKA</t>
  </si>
  <si>
    <t>西浦</t>
  </si>
  <si>
    <t>JPNWA</t>
  </si>
  <si>
    <t>NWA</t>
  </si>
  <si>
    <t>NYUGAWA - EHIME</t>
  </si>
  <si>
    <t>壬生川</t>
  </si>
  <si>
    <t>JPNXG</t>
  </si>
  <si>
    <t>NXG</t>
  </si>
  <si>
    <t>NIGISHIMA</t>
  </si>
  <si>
    <t>二木島</t>
  </si>
  <si>
    <t>JPNYA</t>
  </si>
  <si>
    <t>NYA</t>
  </si>
  <si>
    <t>NISHINOMIYA</t>
  </si>
  <si>
    <t>西宮［阪神（尼崎西宮芦屋）］</t>
  </si>
  <si>
    <t>JPNYK</t>
  </si>
  <si>
    <t>NYK</t>
  </si>
  <si>
    <t>NYUKOU</t>
  </si>
  <si>
    <t>入江</t>
  </si>
  <si>
    <t>JPNYM</t>
  </si>
  <si>
    <t>NAGAREYAMA</t>
  </si>
  <si>
    <t>JPNYO</t>
  </si>
  <si>
    <t>NYO</t>
  </si>
  <si>
    <t>NANYO</t>
  </si>
  <si>
    <t>南陽</t>
  </si>
  <si>
    <t>JPNYW</t>
  </si>
  <si>
    <t>NYW</t>
  </si>
  <si>
    <t>NEYAGAWA</t>
  </si>
  <si>
    <t>寝屋川</t>
  </si>
  <si>
    <t>JPNYZ</t>
  </si>
  <si>
    <t>NYZ</t>
  </si>
  <si>
    <t>NYUZU - OITA</t>
  </si>
  <si>
    <t>入津</t>
  </si>
  <si>
    <t>JPOAA</t>
  </si>
  <si>
    <t>OAA</t>
  </si>
  <si>
    <t>OKADA</t>
  </si>
  <si>
    <t>岡田</t>
  </si>
  <si>
    <t>JPOAD</t>
  </si>
  <si>
    <t>OAD</t>
  </si>
  <si>
    <t>ONOAIDA</t>
  </si>
  <si>
    <t>尾之間</t>
  </si>
  <si>
    <t>JPOAM</t>
  </si>
  <si>
    <t>OAM</t>
  </si>
  <si>
    <t>OYAMA</t>
  </si>
  <si>
    <t>栃木県</t>
  </si>
  <si>
    <t>小山</t>
  </si>
  <si>
    <t>JPOAR</t>
  </si>
  <si>
    <t>OAR</t>
  </si>
  <si>
    <t>OARAI - IBARAKI</t>
  </si>
  <si>
    <t>茨城[大洗]</t>
  </si>
  <si>
    <t>JPOAT</t>
  </si>
  <si>
    <t>OAT</t>
  </si>
  <si>
    <t>OGATSU</t>
  </si>
  <si>
    <t>雄勝</t>
  </si>
  <si>
    <t>JPOAX</t>
  </si>
  <si>
    <t>OAX</t>
  </si>
  <si>
    <t>OMA</t>
  </si>
  <si>
    <t>大間</t>
  </si>
  <si>
    <t>JPOBA</t>
  </si>
  <si>
    <t>OBAMAMIE</t>
  </si>
  <si>
    <t>JPOBB</t>
  </si>
  <si>
    <t>OBB</t>
  </si>
  <si>
    <t>OBAMANAGASAKI</t>
  </si>
  <si>
    <t>JPOBE</t>
  </si>
  <si>
    <t>OBE - EHIME</t>
  </si>
  <si>
    <t>小部</t>
  </si>
  <si>
    <t>JPOBM</t>
  </si>
  <si>
    <t>OBM</t>
  </si>
  <si>
    <t>OBAMAFUKUI</t>
  </si>
  <si>
    <t>JPOBO</t>
  </si>
  <si>
    <t>OBO</t>
  </si>
  <si>
    <t>OBIHIRO</t>
  </si>
  <si>
    <t>帯広</t>
  </si>
  <si>
    <t>JPOBS</t>
  </si>
  <si>
    <t>OHBISHIMA</t>
  </si>
  <si>
    <t>大飛島</t>
  </si>
  <si>
    <t>JPOBX</t>
  </si>
  <si>
    <t>OBX</t>
  </si>
  <si>
    <t>OHBEKAGAWA</t>
  </si>
  <si>
    <t>大部</t>
  </si>
  <si>
    <t>JPOCH</t>
  </si>
  <si>
    <t>OCH</t>
  </si>
  <si>
    <t>OKUNOUCHI</t>
  </si>
  <si>
    <t>奥ノ内</t>
  </si>
  <si>
    <t>JPODA</t>
  </si>
  <si>
    <t>ODAHIGASHI</t>
  </si>
  <si>
    <t>小田東</t>
  </si>
  <si>
    <t>JPODM</t>
  </si>
  <si>
    <t>ODM</t>
  </si>
  <si>
    <t>ODOMARI</t>
  </si>
  <si>
    <t>大泊</t>
  </si>
  <si>
    <t>JPODN</t>
  </si>
  <si>
    <t>ODN</t>
  </si>
  <si>
    <t>OHDANA</t>
  </si>
  <si>
    <t>大棚</t>
  </si>
  <si>
    <t>JPODO</t>
  </si>
  <si>
    <t>ODO</t>
  </si>
  <si>
    <t>ODOH</t>
  </si>
  <si>
    <t>大道</t>
  </si>
  <si>
    <t>JPODS</t>
  </si>
  <si>
    <t>ODS</t>
  </si>
  <si>
    <t>ODESHIMA</t>
  </si>
  <si>
    <t>小豊島</t>
  </si>
  <si>
    <t>JPOFK</t>
  </si>
  <si>
    <t>OFK</t>
  </si>
  <si>
    <t>OFUNAKOSHI - NAGASAKI</t>
  </si>
  <si>
    <t>大船越</t>
  </si>
  <si>
    <t>JPOFR</t>
  </si>
  <si>
    <t>OFR</t>
  </si>
  <si>
    <t>OFUKAURA - KOCHI</t>
  </si>
  <si>
    <t>大深浦</t>
  </si>
  <si>
    <t>JPOFT</t>
  </si>
  <si>
    <t>OFT</t>
  </si>
  <si>
    <t>OFUNATO - IWATE</t>
  </si>
  <si>
    <t>大船渡</t>
  </si>
  <si>
    <t>JPOGA</t>
  </si>
  <si>
    <t>OGA</t>
  </si>
  <si>
    <t>OGASAWARA - TOKYO</t>
  </si>
  <si>
    <t>小笠原</t>
  </si>
  <si>
    <t>JPOGC</t>
  </si>
  <si>
    <t>OGC</t>
  </si>
  <si>
    <t>ONGACHI</t>
  </si>
  <si>
    <t>思勝</t>
  </si>
  <si>
    <t>JPOGE</t>
  </si>
  <si>
    <t>OGE</t>
  </si>
  <si>
    <t>OHGE</t>
  </si>
  <si>
    <t>大下</t>
  </si>
  <si>
    <t>JPOGF</t>
  </si>
  <si>
    <t>OGF</t>
  </si>
  <si>
    <t>OGIFUSHI</t>
  </si>
  <si>
    <t>荻伏</t>
  </si>
  <si>
    <t>JPOGG</t>
  </si>
  <si>
    <t>OGG</t>
  </si>
  <si>
    <t>OGAKI</t>
  </si>
  <si>
    <t>大垣</t>
  </si>
  <si>
    <t>JPOGH</t>
  </si>
  <si>
    <t>OGH</t>
  </si>
  <si>
    <t>OGINOHAMA</t>
  </si>
  <si>
    <t>荻浜</t>
  </si>
  <si>
    <t>JPOGI</t>
  </si>
  <si>
    <t>OGI</t>
  </si>
  <si>
    <t>OGI - NIIGATA</t>
  </si>
  <si>
    <t>小木</t>
  </si>
  <si>
    <t>JPOGK</t>
  </si>
  <si>
    <t>OGK</t>
  </si>
  <si>
    <t>OGIKAGAWA</t>
  </si>
  <si>
    <t>男木</t>
  </si>
  <si>
    <t>JPOGM</t>
  </si>
  <si>
    <t>OGM</t>
  </si>
  <si>
    <t>OGOMORI</t>
  </si>
  <si>
    <t>王籠</t>
  </si>
  <si>
    <t>JPOGN</t>
  </si>
  <si>
    <t>OGN</t>
  </si>
  <si>
    <t>YONAGUNIJIMA</t>
  </si>
  <si>
    <t>与那国</t>
  </si>
  <si>
    <t>JPOGS</t>
  </si>
  <si>
    <t>OGS</t>
  </si>
  <si>
    <t>OHGISHIMA</t>
  </si>
  <si>
    <t>扇島［京浜］</t>
  </si>
  <si>
    <t>JPOGU</t>
  </si>
  <si>
    <t>OGU</t>
  </si>
  <si>
    <t>OGUSHI - NAGASAKI</t>
  </si>
  <si>
    <t>大串</t>
  </si>
  <si>
    <t>JPOHA</t>
  </si>
  <si>
    <t>OHA</t>
  </si>
  <si>
    <t>OHAMA - KAGAWA</t>
  </si>
  <si>
    <t>大浜</t>
  </si>
  <si>
    <t>JPOHM</t>
  </si>
  <si>
    <t>OHM</t>
  </si>
  <si>
    <t>OHAMA - EHIME</t>
  </si>
  <si>
    <t>JPOHO</t>
  </si>
  <si>
    <t>OHO</t>
  </si>
  <si>
    <t>OHI</t>
  </si>
  <si>
    <t>大井［京浜（東京）］</t>
  </si>
  <si>
    <t>JPOHT</t>
  </si>
  <si>
    <t>OHT</t>
  </si>
  <si>
    <t>OHATA</t>
  </si>
  <si>
    <t>大畑</t>
  </si>
  <si>
    <t>JPOIG</t>
  </si>
  <si>
    <t>OIG</t>
  </si>
  <si>
    <t>OIGAWA - SHIZUOKA</t>
  </si>
  <si>
    <t>大井川</t>
  </si>
  <si>
    <t>JPOII</t>
  </si>
  <si>
    <t>OII</t>
  </si>
  <si>
    <t>OGIISHIKAWA</t>
  </si>
  <si>
    <t>JPOIM</t>
  </si>
  <si>
    <t>OIM</t>
  </si>
  <si>
    <t>OHSHIMATOKYO</t>
  </si>
  <si>
    <t>JPOIP</t>
  </si>
  <si>
    <t>OIP</t>
  </si>
  <si>
    <t>OITA - OITA</t>
  </si>
  <si>
    <t>大分</t>
  </si>
  <si>
    <t>JPOIR</t>
  </si>
  <si>
    <t>OIR</t>
  </si>
  <si>
    <t>OKUSHIRI</t>
  </si>
  <si>
    <t>奥尻</t>
  </si>
  <si>
    <t>JPOIS</t>
  </si>
  <si>
    <t>OIS</t>
  </si>
  <si>
    <t>OISO</t>
  </si>
  <si>
    <t>大磯</t>
  </si>
  <si>
    <t>JPOIT</t>
  </si>
  <si>
    <t>OIT</t>
  </si>
  <si>
    <t>OITA APT - OITA</t>
  </si>
  <si>
    <t>大分空港</t>
  </si>
  <si>
    <t>JPOIU</t>
  </si>
  <si>
    <t>OIU</t>
  </si>
  <si>
    <t>OKIURA - HIROSHIMA</t>
  </si>
  <si>
    <t>沖浦</t>
  </si>
  <si>
    <t>JPOJI</t>
  </si>
  <si>
    <t>OJI</t>
  </si>
  <si>
    <t>OJIKA</t>
  </si>
  <si>
    <t>小値賀</t>
  </si>
  <si>
    <t>JPOJM</t>
  </si>
  <si>
    <t>OJM</t>
  </si>
  <si>
    <t>OMOSU</t>
  </si>
  <si>
    <t>重栖</t>
  </si>
  <si>
    <t>JPOJO</t>
  </si>
  <si>
    <t>OJO</t>
  </si>
  <si>
    <t>OSAKO</t>
  </si>
  <si>
    <t>大迫</t>
  </si>
  <si>
    <t>JPOKA</t>
  </si>
  <si>
    <t>OKINAWA</t>
  </si>
  <si>
    <t>沖縄</t>
  </si>
  <si>
    <t>JPOKB</t>
  </si>
  <si>
    <t>OKUBOTOKYO</t>
  </si>
  <si>
    <t>大久保</t>
  </si>
  <si>
    <t>JPOKC</t>
  </si>
  <si>
    <t>OKC</t>
  </si>
  <si>
    <t>OKITSUCHIBA</t>
  </si>
  <si>
    <t>興津</t>
  </si>
  <si>
    <t>JPOKE</t>
  </si>
  <si>
    <t>OKE</t>
  </si>
  <si>
    <t>OKINOERABU</t>
  </si>
  <si>
    <t>沖永良部</t>
  </si>
  <si>
    <t>JPOKG</t>
  </si>
  <si>
    <t>OKOGI - EHIME</t>
  </si>
  <si>
    <t>小漕</t>
  </si>
  <si>
    <t>JPOKH</t>
  </si>
  <si>
    <t>OHKAWARA</t>
  </si>
  <si>
    <t>大川原</t>
  </si>
  <si>
    <t>JPOKI</t>
  </si>
  <si>
    <t>OKI</t>
  </si>
  <si>
    <t>隠岐</t>
  </si>
  <si>
    <t>JPOKJ</t>
  </si>
  <si>
    <t>OKJ</t>
  </si>
  <si>
    <t>OKAYAMA APT - OKAYAMA</t>
  </si>
  <si>
    <t>岡山空港</t>
  </si>
  <si>
    <t>JPOKK</t>
  </si>
  <si>
    <t>OKK</t>
  </si>
  <si>
    <t>OKIKOJIMA - KAGOSHIMA</t>
  </si>
  <si>
    <t>沖小島</t>
  </si>
  <si>
    <t>JPOKM</t>
  </si>
  <si>
    <t>OKM</t>
  </si>
  <si>
    <t>OKAMOTO</t>
  </si>
  <si>
    <t>岡本</t>
  </si>
  <si>
    <t>JPOKN</t>
  </si>
  <si>
    <t>OKINAJIMA</t>
  </si>
  <si>
    <t>翁島</t>
  </si>
  <si>
    <t>JPOKP</t>
  </si>
  <si>
    <t>OKP</t>
  </si>
  <si>
    <t>OKAYAMA - OKAYAMA</t>
  </si>
  <si>
    <t>岡山</t>
  </si>
  <si>
    <t>JPOKR</t>
  </si>
  <si>
    <t>OBUKURA - EHIME</t>
  </si>
  <si>
    <t>大福浦</t>
  </si>
  <si>
    <t>JPOKS</t>
  </si>
  <si>
    <t>OKS</t>
  </si>
  <si>
    <t>OKIURANISHI</t>
  </si>
  <si>
    <t>沖浦西</t>
  </si>
  <si>
    <t>JPOKT</t>
  </si>
  <si>
    <t>OKT</t>
  </si>
  <si>
    <t>OKITSUSHIZUOKA</t>
  </si>
  <si>
    <t>JPOKU</t>
  </si>
  <si>
    <t>OKU</t>
  </si>
  <si>
    <t>奥</t>
  </si>
  <si>
    <t>JPOKW</t>
  </si>
  <si>
    <t>OKW</t>
  </si>
  <si>
    <t>OKAWAWAKAYAMA</t>
  </si>
  <si>
    <t>大川</t>
  </si>
  <si>
    <t>JPOKX</t>
  </si>
  <si>
    <t>OKX</t>
  </si>
  <si>
    <t>OKIURAYAMAGUCHI</t>
  </si>
  <si>
    <t>JPOKY</t>
  </si>
  <si>
    <t>OKAYA</t>
  </si>
  <si>
    <t>岡谷</t>
  </si>
  <si>
    <t>JPOKZ</t>
  </si>
  <si>
    <t>OKZ</t>
  </si>
  <si>
    <t>OKAZAKI</t>
  </si>
  <si>
    <t>岡崎</t>
  </si>
  <si>
    <t>JPOMD</t>
  </si>
  <si>
    <t>OMD</t>
  </si>
  <si>
    <t>OMODAKA</t>
  </si>
  <si>
    <t>面高</t>
  </si>
  <si>
    <t>JPOMH</t>
  </si>
  <si>
    <t>OMOTEHAMA</t>
  </si>
  <si>
    <t>表浜</t>
  </si>
  <si>
    <t>JPOMI</t>
  </si>
  <si>
    <t>OMI</t>
  </si>
  <si>
    <t>大見</t>
  </si>
  <si>
    <t>JPOMJ</t>
  </si>
  <si>
    <t>OMJ</t>
  </si>
  <si>
    <t>OMURA</t>
  </si>
  <si>
    <t>大村</t>
  </si>
  <si>
    <t>JPOMN</t>
  </si>
  <si>
    <t>OMN</t>
  </si>
  <si>
    <t>OMON</t>
  </si>
  <si>
    <t>大門[本渡]</t>
  </si>
  <si>
    <t>JPOMO</t>
  </si>
  <si>
    <t>OMOTO</t>
  </si>
  <si>
    <t>小本</t>
  </si>
  <si>
    <t>JPOMR</t>
  </si>
  <si>
    <t>OMR</t>
  </si>
  <si>
    <t>OKAMURA</t>
  </si>
  <si>
    <t>岡村</t>
  </si>
  <si>
    <t>JPOMS</t>
  </si>
  <si>
    <t>OMS</t>
  </si>
  <si>
    <t>OMISHIMA</t>
  </si>
  <si>
    <t>大三島［宮浦］</t>
  </si>
  <si>
    <t>JPOMT</t>
  </si>
  <si>
    <t>OMT</t>
  </si>
  <si>
    <t>OMINATO - AOMORI</t>
  </si>
  <si>
    <t>大湊</t>
  </si>
  <si>
    <t>JPOMU</t>
  </si>
  <si>
    <t>OMU</t>
  </si>
  <si>
    <t>OMUTA - FUKUOKA</t>
  </si>
  <si>
    <t>大牟田</t>
  </si>
  <si>
    <t>JPOMW</t>
  </si>
  <si>
    <t>OMW</t>
  </si>
  <si>
    <t>OMONAWA</t>
  </si>
  <si>
    <t>面縄</t>
  </si>
  <si>
    <t>JPOMX</t>
  </si>
  <si>
    <t>OMX</t>
  </si>
  <si>
    <t>OHAMATOTTORI</t>
  </si>
  <si>
    <t>JPOMY</t>
  </si>
  <si>
    <t>OMY</t>
  </si>
  <si>
    <t>OMIYAJI</t>
  </si>
  <si>
    <t>大宮地</t>
  </si>
  <si>
    <t>JPOMZ</t>
  </si>
  <si>
    <t>OMZ</t>
  </si>
  <si>
    <t>OMAEZAKI - SHIZUOKA</t>
  </si>
  <si>
    <t>御前崎</t>
  </si>
  <si>
    <t>JPONA</t>
  </si>
  <si>
    <t>ONA</t>
  </si>
  <si>
    <t>ONAHAMA - FUKUSHIMA</t>
  </si>
  <si>
    <t>小名浜</t>
  </si>
  <si>
    <t>JPONB</t>
  </si>
  <si>
    <t>ONB</t>
  </si>
  <si>
    <t>ONNEBETSU</t>
  </si>
  <si>
    <t>JPOND</t>
  </si>
  <si>
    <t>OND</t>
  </si>
  <si>
    <t>ONODA - YAMAGUCHI</t>
  </si>
  <si>
    <t>小野田</t>
  </si>
  <si>
    <t>JPONE</t>
  </si>
  <si>
    <t>ONE</t>
  </si>
  <si>
    <t>ONEJIME - KAGASHIMA</t>
  </si>
  <si>
    <t>大根占</t>
  </si>
  <si>
    <t>JPONG</t>
  </si>
  <si>
    <t>ONAGAWA - MIYAGI</t>
  </si>
  <si>
    <t>女川</t>
  </si>
  <si>
    <t>JPONI</t>
  </si>
  <si>
    <t>ONISHI - EHIME</t>
  </si>
  <si>
    <t>大西</t>
  </si>
  <si>
    <t>JPONJ</t>
  </si>
  <si>
    <t>ONJ</t>
  </si>
  <si>
    <t>ONIIKE</t>
  </si>
  <si>
    <t>鬼池</t>
  </si>
  <si>
    <t>JPONK</t>
  </si>
  <si>
    <t>ONK</t>
  </si>
  <si>
    <t>ONIKI</t>
  </si>
  <si>
    <t>魚貫</t>
  </si>
  <si>
    <t>JPONO</t>
  </si>
  <si>
    <t>ONO</t>
  </si>
  <si>
    <t>ONOMICHI</t>
  </si>
  <si>
    <t>尾道［尾道糸崎］</t>
  </si>
  <si>
    <t>JPONS</t>
  </si>
  <si>
    <t>ONISHI - HIROSHIMA</t>
  </si>
  <si>
    <t>JPONU</t>
  </si>
  <si>
    <t>ONUKI</t>
  </si>
  <si>
    <t>大貫</t>
  </si>
  <si>
    <t>JPONW</t>
  </si>
  <si>
    <t>ONW</t>
  </si>
  <si>
    <t>ONIWAKI</t>
  </si>
  <si>
    <t>鬼脇</t>
  </si>
  <si>
    <t>JPONX</t>
  </si>
  <si>
    <t>ONX</t>
  </si>
  <si>
    <t>ONOMICHI-ITOZAKI - HIROSHIMA</t>
  </si>
  <si>
    <t>尾道糸崎</t>
  </si>
  <si>
    <t>JPOOA</t>
  </si>
  <si>
    <t>OOA</t>
  </si>
  <si>
    <t>OURASAGA</t>
  </si>
  <si>
    <t>大浦</t>
  </si>
  <si>
    <t>JPOOB</t>
  </si>
  <si>
    <t>OOB</t>
  </si>
  <si>
    <t>OBATAKE</t>
  </si>
  <si>
    <t>大畠</t>
  </si>
  <si>
    <t>JPOOC</t>
  </si>
  <si>
    <t>OOC</t>
  </si>
  <si>
    <t>OCHIYO</t>
  </si>
  <si>
    <t>大千代</t>
  </si>
  <si>
    <t>JPOOG</t>
  </si>
  <si>
    <t>OOG</t>
  </si>
  <si>
    <t>OHGAKI</t>
  </si>
  <si>
    <t>大柿</t>
  </si>
  <si>
    <t>JPOOH</t>
  </si>
  <si>
    <t>OOH</t>
  </si>
  <si>
    <t>OHAMAOKAYAMA</t>
  </si>
  <si>
    <t>JPOOJ</t>
  </si>
  <si>
    <t>OOJ</t>
  </si>
  <si>
    <t>OKUBOKAGOSHIMA</t>
  </si>
  <si>
    <t>JPOOM</t>
  </si>
  <si>
    <t>OOM</t>
  </si>
  <si>
    <t>OHSHIMAKAGAWA</t>
  </si>
  <si>
    <t>JPOON</t>
  </si>
  <si>
    <t>OON</t>
  </si>
  <si>
    <t>OHNOH</t>
  </si>
  <si>
    <t>大納</t>
  </si>
  <si>
    <t>JPOOO</t>
  </si>
  <si>
    <t>OOO</t>
  </si>
  <si>
    <t>OZU</t>
  </si>
  <si>
    <t>大須</t>
  </si>
  <si>
    <t>JPOOR</t>
  </si>
  <si>
    <t>OURA/KASAOKA</t>
  </si>
  <si>
    <t>JPOOW</t>
  </si>
  <si>
    <t>OOW</t>
  </si>
  <si>
    <t>OKAWANAGASAKI</t>
  </si>
  <si>
    <t>JPOPA</t>
  </si>
  <si>
    <t>OPPAMA</t>
  </si>
  <si>
    <t>追浜［横須賀］</t>
  </si>
  <si>
    <t>JPORA</t>
  </si>
  <si>
    <t>ORA - EHIME</t>
  </si>
  <si>
    <t>大良</t>
  </si>
  <si>
    <t>JPORG</t>
  </si>
  <si>
    <t>ORG</t>
  </si>
  <si>
    <t>ORIGAMI</t>
  </si>
  <si>
    <t>折紙</t>
  </si>
  <si>
    <t>JPORN</t>
  </si>
  <si>
    <t>ORINO - TOKUSHIMA</t>
  </si>
  <si>
    <t>折野</t>
  </si>
  <si>
    <t>JPORR</t>
  </si>
  <si>
    <t>OURA/UCHINOURA</t>
  </si>
  <si>
    <t>JPORX</t>
  </si>
  <si>
    <t>ORX</t>
  </si>
  <si>
    <t>OURA/MARUGAME</t>
  </si>
  <si>
    <t>JPOSA</t>
  </si>
  <si>
    <t>OSA</t>
  </si>
  <si>
    <t>OSAKA - OSAKA</t>
  </si>
  <si>
    <t>大阪［阪神（大阪）］</t>
  </si>
  <si>
    <t>JPOSD</t>
  </si>
  <si>
    <t>OSD</t>
  </si>
  <si>
    <t>OSHIDOMARI</t>
  </si>
  <si>
    <t>鴛泊</t>
  </si>
  <si>
    <t>JPOSE</t>
  </si>
  <si>
    <t>OSOE</t>
  </si>
  <si>
    <t>遅江</t>
  </si>
  <si>
    <t>JPOSH</t>
  </si>
  <si>
    <t>OHSHIMAWAKAYAMA</t>
  </si>
  <si>
    <t>大島[串本]</t>
  </si>
  <si>
    <t>JPOSI</t>
  </si>
  <si>
    <t>OSHIMA - EHIME</t>
  </si>
  <si>
    <t>JPOSJ</t>
  </si>
  <si>
    <t>OSJ</t>
  </si>
  <si>
    <t>OTSUIBARAKI</t>
  </si>
  <si>
    <t>大津</t>
  </si>
  <si>
    <t>JPOSK</t>
  </si>
  <si>
    <t>OSK</t>
  </si>
  <si>
    <t>OSAKIMIYAGI</t>
  </si>
  <si>
    <t>御崎</t>
  </si>
  <si>
    <t>JPOSL</t>
  </si>
  <si>
    <t>OSL</t>
  </si>
  <si>
    <t>OSHIMAYAMAGUCHI</t>
  </si>
  <si>
    <t>尾島</t>
  </si>
  <si>
    <t>JPOSM</t>
  </si>
  <si>
    <t>OSHIMA - NAGASAKI</t>
  </si>
  <si>
    <t>JPOSN</t>
  </si>
  <si>
    <t>OSAKI - NAGASAKI</t>
  </si>
  <si>
    <t>尾崎</t>
  </si>
  <si>
    <t>JPOSO</t>
  </si>
  <si>
    <t>OSO</t>
  </si>
  <si>
    <t>OHSHIMAMIYAZAKI</t>
  </si>
  <si>
    <t>JPOSR</t>
  </si>
  <si>
    <t>OHGASARI</t>
  </si>
  <si>
    <t>大笠利</t>
  </si>
  <si>
    <t>JPOSS</t>
  </si>
  <si>
    <t>OHSHIMAFUKUOKA</t>
  </si>
  <si>
    <t>JPOST</t>
  </si>
  <si>
    <t>OSETOYANAGI</t>
  </si>
  <si>
    <t>大瀬戸柳</t>
  </si>
  <si>
    <t>JPOSU</t>
  </si>
  <si>
    <t>OSU</t>
  </si>
  <si>
    <t>OSUKI</t>
  </si>
  <si>
    <t>大漉</t>
  </si>
  <si>
    <t>JPOSX</t>
  </si>
  <si>
    <t>OSX</t>
  </si>
  <si>
    <t>OSAKIKAGOSHIMA</t>
  </si>
  <si>
    <t>大崎</t>
  </si>
  <si>
    <t>JPOTA</t>
  </si>
  <si>
    <t>OTAO</t>
  </si>
  <si>
    <t>太田尾</t>
  </si>
  <si>
    <t>JPOTG</t>
  </si>
  <si>
    <t>OTG</t>
  </si>
  <si>
    <t>OTAGUNMA</t>
  </si>
  <si>
    <t>太田</t>
  </si>
  <si>
    <t>JPOTJ</t>
  </si>
  <si>
    <t>OTJ</t>
  </si>
  <si>
    <t>OTSUCHI</t>
  </si>
  <si>
    <t>大槌</t>
  </si>
  <si>
    <t>JPOTK</t>
  </si>
  <si>
    <t>OTK</t>
  </si>
  <si>
    <t>OTAKE - HIROSHIMA</t>
  </si>
  <si>
    <t>大竹</t>
  </si>
  <si>
    <t>JPOTM</t>
  </si>
  <si>
    <t>OTM</t>
  </si>
  <si>
    <t>OTOMI</t>
  </si>
  <si>
    <t>音海［内浦］</t>
  </si>
  <si>
    <t>JPOTO</t>
  </si>
  <si>
    <t>OTO</t>
  </si>
  <si>
    <t>OSATO</t>
  </si>
  <si>
    <t>大里</t>
  </si>
  <si>
    <t>JPOTR</t>
  </si>
  <si>
    <t>OTARU - HOKKAIDO</t>
  </si>
  <si>
    <t>小樽</t>
  </si>
  <si>
    <t>JPOTU</t>
  </si>
  <si>
    <t>OTSUSHIGA</t>
  </si>
  <si>
    <t>JPOTW</t>
  </si>
  <si>
    <t>OTW</t>
  </si>
  <si>
    <t>OTAWA</t>
  </si>
  <si>
    <t>太田和</t>
  </si>
  <si>
    <t>JPOUA</t>
  </si>
  <si>
    <t>OURA - KUMAMOTO</t>
  </si>
  <si>
    <t>JPOUK</t>
  </si>
  <si>
    <t>OUK</t>
  </si>
  <si>
    <t>OSAKATOTTORI</t>
  </si>
  <si>
    <t>逢坂</t>
  </si>
  <si>
    <t>JPOUM</t>
  </si>
  <si>
    <t>OUM</t>
  </si>
  <si>
    <t>雄武</t>
  </si>
  <si>
    <t>JPOUR</t>
  </si>
  <si>
    <t>OURA - NAGASAKI</t>
  </si>
  <si>
    <t>JPOUS</t>
  </si>
  <si>
    <t>OHSE</t>
  </si>
  <si>
    <t>会瀬</t>
  </si>
  <si>
    <t>JPOWA</t>
  </si>
  <si>
    <t>OWA</t>
  </si>
  <si>
    <t>OWASE - MIE</t>
  </si>
  <si>
    <t>尾鷲</t>
  </si>
  <si>
    <t>JPOYA</t>
  </si>
  <si>
    <t>OJOYA</t>
  </si>
  <si>
    <t>大塩屋</t>
  </si>
  <si>
    <t>JPOYB</t>
  </si>
  <si>
    <t>OYB</t>
  </si>
  <si>
    <t>OYABU</t>
  </si>
  <si>
    <t>大籔</t>
  </si>
  <si>
    <t>JPOYM</t>
  </si>
  <si>
    <t>OYM</t>
  </si>
  <si>
    <t>OYAMA - NAGASAKI</t>
  </si>
  <si>
    <t>大山</t>
  </si>
  <si>
    <t>JPOZJ</t>
  </si>
  <si>
    <t>OZJ</t>
  </si>
  <si>
    <t>OHZUKU</t>
  </si>
  <si>
    <t>大津久</t>
  </si>
  <si>
    <t>JPOZU</t>
  </si>
  <si>
    <t>OZUKU</t>
  </si>
  <si>
    <t>小津久</t>
  </si>
  <si>
    <t>JPOZX</t>
  </si>
  <si>
    <t>OZX</t>
  </si>
  <si>
    <t>OZAKI</t>
  </si>
  <si>
    <t>JPQSG</t>
  </si>
  <si>
    <t>QSG</t>
  </si>
  <si>
    <t>SAGA APT - SAGA</t>
  </si>
  <si>
    <t>佐賀空港</t>
  </si>
  <si>
    <t>JPRAU</t>
  </si>
  <si>
    <t>RAUSU - HOKKAIDO</t>
  </si>
  <si>
    <t>羅臼</t>
  </si>
  <si>
    <t>JPRBJ</t>
  </si>
  <si>
    <t>RBJ</t>
  </si>
  <si>
    <t>REBUN</t>
  </si>
  <si>
    <t>礼文</t>
  </si>
  <si>
    <t>JPRHK</t>
  </si>
  <si>
    <t>RHK</t>
  </si>
  <si>
    <t>REIHOKU - KUMAMOTO</t>
  </si>
  <si>
    <t>苓北</t>
  </si>
  <si>
    <t>JPRIS</t>
  </si>
  <si>
    <t>RIS</t>
  </si>
  <si>
    <t>RISHIRI</t>
  </si>
  <si>
    <t>利尻</t>
  </si>
  <si>
    <t>JPRKO</t>
  </si>
  <si>
    <t>RKO</t>
  </si>
  <si>
    <t>ROKKO ISLAND</t>
  </si>
  <si>
    <t>六甲アイランド［阪神（神戸）］</t>
  </si>
  <si>
    <t>JPRMI</t>
  </si>
  <si>
    <t>RUMOI - HOKKAIDO</t>
  </si>
  <si>
    <t>留萌</t>
  </si>
  <si>
    <t>JPRND</t>
  </si>
  <si>
    <t>RND</t>
  </si>
  <si>
    <t>RONDEN</t>
  </si>
  <si>
    <t>論田</t>
  </si>
  <si>
    <t>JPRNJ</t>
  </si>
  <si>
    <t>RNJ</t>
  </si>
  <si>
    <t>YORONJIMA - KAGOSHIMA</t>
  </si>
  <si>
    <t>与論</t>
  </si>
  <si>
    <t>JPRYG</t>
  </si>
  <si>
    <t>RYG</t>
  </si>
  <si>
    <t>RYUGAMIZU - KAGOSHIMA</t>
  </si>
  <si>
    <t>竜ヶ水</t>
  </si>
  <si>
    <t>JPRYO</t>
  </si>
  <si>
    <t>RYOTSU - NIIGATA</t>
  </si>
  <si>
    <t>両津</t>
  </si>
  <si>
    <t>JPRYS</t>
  </si>
  <si>
    <t>RYS</t>
  </si>
  <si>
    <t>RYOSHIDA - HIROSHIMA</t>
  </si>
  <si>
    <t>釣士田</t>
  </si>
  <si>
    <t>JPSAA</t>
  </si>
  <si>
    <t>SAYAMA</t>
  </si>
  <si>
    <t>狭山</t>
  </si>
  <si>
    <t>JPSAB</t>
  </si>
  <si>
    <t>SABA - EHIME</t>
  </si>
  <si>
    <t>砂場</t>
  </si>
  <si>
    <t>JPSAC</t>
  </si>
  <si>
    <t>SAC</t>
  </si>
  <si>
    <t>SAISHIMANE</t>
  </si>
  <si>
    <t>才</t>
  </si>
  <si>
    <t>JPSAD</t>
  </si>
  <si>
    <t>SAIDOH</t>
  </si>
  <si>
    <t>西道</t>
  </si>
  <si>
    <t>JPSAE</t>
  </si>
  <si>
    <t>SAIKI - OITA</t>
  </si>
  <si>
    <t>佐伯</t>
  </si>
  <si>
    <t>JPSAG</t>
  </si>
  <si>
    <t>SAGANOSEKI - OITA</t>
  </si>
  <si>
    <t>佐賀関</t>
  </si>
  <si>
    <t>JPSAI</t>
  </si>
  <si>
    <t>SAIGO - SHIMANE</t>
  </si>
  <si>
    <t>西郷</t>
  </si>
  <si>
    <t>JPSAJ</t>
  </si>
  <si>
    <t>SAIJO - EHIME</t>
  </si>
  <si>
    <t>東予[西条］</t>
  </si>
  <si>
    <t>JPSAK</t>
  </si>
  <si>
    <t>SAKAI - OSAKA</t>
  </si>
  <si>
    <t>堺</t>
  </si>
  <si>
    <t>JPSAM</t>
  </si>
  <si>
    <t>SAMANI</t>
  </si>
  <si>
    <t>様似</t>
  </si>
  <si>
    <t>JPSAN</t>
  </si>
  <si>
    <t>SANBONMATSU</t>
  </si>
  <si>
    <t>三本松</t>
  </si>
  <si>
    <t>JPSAO</t>
  </si>
  <si>
    <t>SATO</t>
  </si>
  <si>
    <t>里</t>
  </si>
  <si>
    <t>JPSAR</t>
  </si>
  <si>
    <t>SHIKAURA</t>
  </si>
  <si>
    <t>鹿浦</t>
  </si>
  <si>
    <t>JPSAS</t>
  </si>
  <si>
    <t>SASAGO</t>
  </si>
  <si>
    <t>笹子</t>
  </si>
  <si>
    <t>JPSAT</t>
  </si>
  <si>
    <t>SAKATE</t>
  </si>
  <si>
    <t>坂手</t>
  </si>
  <si>
    <t>JPSAU</t>
  </si>
  <si>
    <t>SAKITSU - KUMAMOTO</t>
  </si>
  <si>
    <t>崎津</t>
  </si>
  <si>
    <t>JPSAW</t>
  </si>
  <si>
    <t>SANGAWA</t>
  </si>
  <si>
    <t>寒川</t>
  </si>
  <si>
    <t>JPSAZ</t>
  </si>
  <si>
    <t>SAZ</t>
  </si>
  <si>
    <t>SAZA</t>
  </si>
  <si>
    <t>佐々</t>
  </si>
  <si>
    <t>JPSBK</t>
  </si>
  <si>
    <t>SAKAISENBOKU-OSAKA</t>
  </si>
  <si>
    <t>堺泉北［阪神（堺泉北）］</t>
  </si>
  <si>
    <t>JPSBS</t>
  </si>
  <si>
    <t>SHIBUSHI - KAGOSHIMA</t>
  </si>
  <si>
    <t>志布志</t>
  </si>
  <si>
    <t>JPSBU</t>
  </si>
  <si>
    <t>SHIBAURA</t>
  </si>
  <si>
    <t>芝浦［京浜（東京）］</t>
  </si>
  <si>
    <t>JPSBY</t>
  </si>
  <si>
    <t>SBY</t>
  </si>
  <si>
    <t>SHIBAYAMA</t>
  </si>
  <si>
    <t>柴山</t>
  </si>
  <si>
    <t>JPSCH</t>
  </si>
  <si>
    <t>SHICHIRINAGAHAMA - AOMORI</t>
  </si>
  <si>
    <t>七里長浜</t>
  </si>
  <si>
    <t>JPSCR</t>
  </si>
  <si>
    <t>SHICHIRUI</t>
  </si>
  <si>
    <t>七類</t>
  </si>
  <si>
    <t>JPSDA</t>
  </si>
  <si>
    <t>MUTA</t>
  </si>
  <si>
    <t>牟田</t>
  </si>
  <si>
    <t>JPSDJ</t>
  </si>
  <si>
    <t>SDJ</t>
  </si>
  <si>
    <t>SENDAI APT - MIYAGI</t>
  </si>
  <si>
    <t>仙台空港</t>
  </si>
  <si>
    <t>JPSDK</t>
  </si>
  <si>
    <t>SDK</t>
  </si>
  <si>
    <t>SHITOOKE</t>
  </si>
  <si>
    <t>志戸桶</t>
  </si>
  <si>
    <t>JPSDO</t>
  </si>
  <si>
    <t>SDO</t>
  </si>
  <si>
    <t>SADO</t>
  </si>
  <si>
    <t>佐渡</t>
  </si>
  <si>
    <t>JPSDS</t>
  </si>
  <si>
    <t>SDS</t>
  </si>
  <si>
    <t>SENDAISHINKO</t>
  </si>
  <si>
    <t>JPSDU</t>
  </si>
  <si>
    <t>SODEGAURA</t>
  </si>
  <si>
    <t>袖ヶ浦［千葉］</t>
  </si>
  <si>
    <t>JPSDZ</t>
  </si>
  <si>
    <t>SDZ</t>
  </si>
  <si>
    <t>SAIDAIJI</t>
  </si>
  <si>
    <t>西大寺</t>
  </si>
  <si>
    <t>JPSEA</t>
  </si>
  <si>
    <t>SETAGAYA-KU/TOKYO</t>
  </si>
  <si>
    <t>世田谷区</t>
  </si>
  <si>
    <t>JPSEB</t>
  </si>
  <si>
    <t>SEIBU-TOKYO</t>
  </si>
  <si>
    <t>JPSEG</t>
  </si>
  <si>
    <t>SEIGAURA</t>
  </si>
  <si>
    <t>聖ヶ浦</t>
  </si>
  <si>
    <t>JPSEK</t>
  </si>
  <si>
    <t>SEKINEHAMA</t>
  </si>
  <si>
    <t>関根浜</t>
  </si>
  <si>
    <t>JPSEN</t>
  </si>
  <si>
    <t>SENDAI - KAGOSHIMA</t>
  </si>
  <si>
    <t>JPSEQ</t>
  </si>
  <si>
    <t>SE - NAGASAKI</t>
  </si>
  <si>
    <t>瀬</t>
  </si>
  <si>
    <t>JPSES</t>
  </si>
  <si>
    <t>SES</t>
  </si>
  <si>
    <t>SESOKO</t>
  </si>
  <si>
    <t>瀬底</t>
  </si>
  <si>
    <t>JPSEZ</t>
  </si>
  <si>
    <t>SEZ</t>
  </si>
  <si>
    <t>SEZAKI</t>
  </si>
  <si>
    <t>瀬崎</t>
  </si>
  <si>
    <t>JPSGA</t>
  </si>
  <si>
    <t>SAGA - KOCHI</t>
  </si>
  <si>
    <t>佐賀</t>
  </si>
  <si>
    <t>JPSGE</t>
  </si>
  <si>
    <t>SUGE - EHIME</t>
  </si>
  <si>
    <t>須下</t>
  </si>
  <si>
    <t>JPSGH</t>
  </si>
  <si>
    <t>SGH</t>
  </si>
  <si>
    <t>SAGAMIHARA-KANAGAWA</t>
  </si>
  <si>
    <t>相模原</t>
  </si>
  <si>
    <t>JPSGI</t>
  </si>
  <si>
    <t>SGI</t>
  </si>
  <si>
    <t>SHIGETOMI</t>
  </si>
  <si>
    <t>重富</t>
  </si>
  <si>
    <t>JPSGJ</t>
  </si>
  <si>
    <t>SGJ</t>
  </si>
  <si>
    <t>SAGI</t>
  </si>
  <si>
    <t>佐木</t>
  </si>
  <si>
    <t>JPSGM</t>
  </si>
  <si>
    <t>SGM</t>
  </si>
  <si>
    <t>SENDAISHIOGAMA - MIYAGI</t>
  </si>
  <si>
    <t>仙台塩釜</t>
  </si>
  <si>
    <t>JPSGR</t>
  </si>
  <si>
    <t>SGR</t>
  </si>
  <si>
    <t>SAGARA</t>
  </si>
  <si>
    <t>相良</t>
  </si>
  <si>
    <t>JPSGT</t>
  </si>
  <si>
    <t>SGT</t>
  </si>
  <si>
    <t>SHIOGATANI - OITA</t>
  </si>
  <si>
    <t>塩ヶ谷</t>
  </si>
  <si>
    <t>JPSGU</t>
  </si>
  <si>
    <t>SAIGONAGASAKI</t>
  </si>
  <si>
    <t>JPSGW</t>
  </si>
  <si>
    <t>SGW</t>
  </si>
  <si>
    <t>SEGAWA</t>
  </si>
  <si>
    <t>瀬川</t>
  </si>
  <si>
    <t>JPSGX</t>
  </si>
  <si>
    <t>SGX</t>
  </si>
  <si>
    <t>SONOGI</t>
  </si>
  <si>
    <t>彼杵</t>
  </si>
  <si>
    <t>JPSHB</t>
  </si>
  <si>
    <t>NAKASHIBETSU</t>
  </si>
  <si>
    <t>中標津</t>
  </si>
  <si>
    <t>JPSHG</t>
  </si>
  <si>
    <t>SHINAGAWA-KU/TOKYO</t>
  </si>
  <si>
    <t>品川区</t>
  </si>
  <si>
    <t>JPSHH</t>
  </si>
  <si>
    <t>SHIRAHAMA - KAGOSHIMA</t>
  </si>
  <si>
    <t>白浜</t>
  </si>
  <si>
    <t>JPSHI</t>
  </si>
  <si>
    <t>SHIMOJISHIMA</t>
  </si>
  <si>
    <t>下地島</t>
  </si>
  <si>
    <t>JPSHJ</t>
  </si>
  <si>
    <t>SHINKO</t>
  </si>
  <si>
    <t>信更</t>
  </si>
  <si>
    <t>JPSHK</t>
  </si>
  <si>
    <t>SHINKIBA-TOKYO</t>
  </si>
  <si>
    <t>新木場</t>
  </si>
  <si>
    <t>JPSHM</t>
  </si>
  <si>
    <t>SHIRAHAMAWAKAYAMA</t>
  </si>
  <si>
    <t>JPSHN</t>
  </si>
  <si>
    <t>SHN</t>
  </si>
  <si>
    <t>SHINGU - WAKAYAMA</t>
  </si>
  <si>
    <t>新宮</t>
  </si>
  <si>
    <t>JPSHO</t>
  </si>
  <si>
    <t>SHIZUOKA</t>
  </si>
  <si>
    <t>静岡</t>
  </si>
  <si>
    <t>JPSHR</t>
  </si>
  <si>
    <t>SHR</t>
  </si>
  <si>
    <t>SHARI</t>
  </si>
  <si>
    <t>斜里</t>
  </si>
  <si>
    <t>JPSHS</t>
  </si>
  <si>
    <t>SHIMONOSEKI - YAMAGUCHI</t>
  </si>
  <si>
    <t>下関［関門（下関）］</t>
  </si>
  <si>
    <t>JPSHU</t>
  </si>
  <si>
    <t>SHUSHI - NAGASAKI</t>
  </si>
  <si>
    <t>舟志</t>
  </si>
  <si>
    <t>JPSHZ</t>
  </si>
  <si>
    <t>SHZ</t>
  </si>
  <si>
    <t>SHIMAZUYA</t>
  </si>
  <si>
    <t>島津屋</t>
  </si>
  <si>
    <t>JPSIA</t>
  </si>
  <si>
    <t>SHIMODAKUMAMOTO</t>
  </si>
  <si>
    <t>下田</t>
  </si>
  <si>
    <t>JPSID</t>
  </si>
  <si>
    <t>SHIDO - KAGAWA</t>
  </si>
  <si>
    <t>志度</t>
  </si>
  <si>
    <t>JPSIG</t>
  </si>
  <si>
    <t>SHIGEI - HIROSHIMA</t>
  </si>
  <si>
    <t>重井</t>
  </si>
  <si>
    <t>JPSIH</t>
  </si>
  <si>
    <t>SHIRAHAMA - OKINAWA</t>
  </si>
  <si>
    <t>JPSIK</t>
  </si>
  <si>
    <t>SHIKAMACHI - NAGASAKI</t>
  </si>
  <si>
    <t>鹿町</t>
  </si>
  <si>
    <t>JPSIM</t>
  </si>
  <si>
    <t>SHIMAMA - KAGOSHIMA</t>
  </si>
  <si>
    <t>島間</t>
  </si>
  <si>
    <t>JPSIN</t>
  </si>
  <si>
    <t>SHIINOKI</t>
  </si>
  <si>
    <t>椎ノ木</t>
  </si>
  <si>
    <t>JPSIO</t>
  </si>
  <si>
    <t>SHIOYAISHIKAWA</t>
  </si>
  <si>
    <t>塩屋</t>
  </si>
  <si>
    <t>JPSIR</t>
  </si>
  <si>
    <t>SHIRAHAMA - NAGASAKI</t>
  </si>
  <si>
    <t>JPSIS</t>
  </si>
  <si>
    <t>SHISHIKUI</t>
  </si>
  <si>
    <t>宍喰</t>
  </si>
  <si>
    <t>JPSIT</t>
  </si>
  <si>
    <t>SHITANOURA - NAGASAKI</t>
  </si>
  <si>
    <t>志多浦</t>
  </si>
  <si>
    <t>JPSJA</t>
  </si>
  <si>
    <t>SJA</t>
  </si>
  <si>
    <t>SAIAOMORI</t>
  </si>
  <si>
    <t>佐井</t>
  </si>
  <si>
    <t>JPSJI</t>
  </si>
  <si>
    <t>SJI</t>
  </si>
  <si>
    <t>SHISHIJIMA - KAGAWA</t>
  </si>
  <si>
    <t>志々島</t>
  </si>
  <si>
    <t>JPSJM</t>
  </si>
  <si>
    <t>SHISHIJIMAKAGOSHIM</t>
  </si>
  <si>
    <t>獅子島</t>
  </si>
  <si>
    <t>JPSJR</t>
  </si>
  <si>
    <t>SHIROKO</t>
  </si>
  <si>
    <t>白子</t>
  </si>
  <si>
    <t>JPSKB</t>
  </si>
  <si>
    <t>SHIBUKAWA</t>
  </si>
  <si>
    <t>渋川</t>
  </si>
  <si>
    <t>JPSKD</t>
  </si>
  <si>
    <t>SKD</t>
  </si>
  <si>
    <t>SAKAIDE - KAGAWA</t>
  </si>
  <si>
    <t>坂出</t>
  </si>
  <si>
    <t>JPSKH</t>
  </si>
  <si>
    <t>SKH</t>
  </si>
  <si>
    <t>SAKIHAMA</t>
  </si>
  <si>
    <t>佐喜浜</t>
  </si>
  <si>
    <t>JPSKK</t>
  </si>
  <si>
    <t>SKK</t>
  </si>
  <si>
    <t>SAKAKI - KOCHI</t>
  </si>
  <si>
    <t>栄喜</t>
  </si>
  <si>
    <t>JPSKM</t>
  </si>
  <si>
    <t>SHIKAMA-HYOGO</t>
  </si>
  <si>
    <t>飾磨</t>
  </si>
  <si>
    <t>JPSKN</t>
  </si>
  <si>
    <t>SKN</t>
  </si>
  <si>
    <t>SHIKINEJIMA</t>
  </si>
  <si>
    <t>式根島</t>
  </si>
  <si>
    <t>JPSKO</t>
  </si>
  <si>
    <t>SKO</t>
  </si>
  <si>
    <t>SAKOSHI</t>
  </si>
  <si>
    <t>坂越</t>
  </si>
  <si>
    <t>JPSKR</t>
  </si>
  <si>
    <t>SKR</t>
  </si>
  <si>
    <t>SAKURAIKAKO</t>
  </si>
  <si>
    <t>桜井河口</t>
  </si>
  <si>
    <t>JPSKT</t>
  </si>
  <si>
    <t>SKT</t>
  </si>
  <si>
    <t>SAKATA - YAMAGATA</t>
  </si>
  <si>
    <t>酒田</t>
  </si>
  <si>
    <t>JPSKU</t>
  </si>
  <si>
    <t>SHIRAKU</t>
  </si>
  <si>
    <t>師楽</t>
  </si>
  <si>
    <t>JPSKW</t>
  </si>
  <si>
    <t>SHINKAWAAICHI</t>
  </si>
  <si>
    <t>新川［衣浦］</t>
  </si>
  <si>
    <t>JPSKY</t>
  </si>
  <si>
    <t>SKY</t>
  </si>
  <si>
    <t>SEKIYA</t>
  </si>
  <si>
    <t>関谷</t>
  </si>
  <si>
    <t>JPSMA</t>
  </si>
  <si>
    <t>SOMA - FUKUSHIMA</t>
  </si>
  <si>
    <t>相馬</t>
  </si>
  <si>
    <t>JPSMB</t>
  </si>
  <si>
    <t>SHIMABARA - NAGASAKI</t>
  </si>
  <si>
    <t>島原</t>
  </si>
  <si>
    <t>JPSMD</t>
  </si>
  <si>
    <t>SMD</t>
  </si>
  <si>
    <t>SHIMODA - SHIZUOKA</t>
  </si>
  <si>
    <t>JPSME</t>
  </si>
  <si>
    <t>SME</t>
  </si>
  <si>
    <t>SAME</t>
  </si>
  <si>
    <t>鮫［八戸］</t>
  </si>
  <si>
    <t>JPSMH</t>
  </si>
  <si>
    <t>SMH</t>
  </si>
  <si>
    <t>SHIMOHISAGE - EHIME</t>
  </si>
  <si>
    <t>下久家</t>
  </si>
  <si>
    <t>JPSMI</t>
  </si>
  <si>
    <t>SUMIE MINAMIURA GYOKO - MIYAZAKI</t>
  </si>
  <si>
    <t>須美江</t>
  </si>
  <si>
    <t>JPSMK</t>
  </si>
  <si>
    <t>SMK</t>
  </si>
  <si>
    <t>SAMUKAWA</t>
  </si>
  <si>
    <t>JPSMM</t>
  </si>
  <si>
    <t>SMM</t>
  </si>
  <si>
    <t>SHIMAMAKI</t>
  </si>
  <si>
    <t>島牧</t>
  </si>
  <si>
    <t>JPSMN</t>
  </si>
  <si>
    <t>SAKAI - TOTTORI/SHIMANE</t>
  </si>
  <si>
    <t>鳥取県・島根県</t>
  </si>
  <si>
    <t>境</t>
  </si>
  <si>
    <t>JPSMO</t>
  </si>
  <si>
    <t>SMO</t>
  </si>
  <si>
    <t>SHIMODAKOCHI</t>
  </si>
  <si>
    <t>JPSMR</t>
  </si>
  <si>
    <t>SHIMODOMARI - EHIME</t>
  </si>
  <si>
    <t>下泊</t>
  </si>
  <si>
    <t>JPSMT</t>
  </si>
  <si>
    <t>SMT</t>
  </si>
  <si>
    <t>SHIMOTSU - WAKAYAMA</t>
  </si>
  <si>
    <t>下津[和歌山下津]</t>
  </si>
  <si>
    <t>JPSMU</t>
  </si>
  <si>
    <t>SMU</t>
  </si>
  <si>
    <t>SAKIMUI</t>
  </si>
  <si>
    <t>崎無異</t>
  </si>
  <si>
    <t>JPSMY</t>
  </si>
  <si>
    <t>SMY</t>
  </si>
  <si>
    <t>SUMIYOSHI</t>
  </si>
  <si>
    <t>住吉</t>
  </si>
  <si>
    <t>JPSMZ</t>
  </si>
  <si>
    <t>SMZ</t>
  </si>
  <si>
    <t>SHIMIZU - SHIZUOKA</t>
  </si>
  <si>
    <t>清水</t>
  </si>
  <si>
    <t>JPSNA</t>
  </si>
  <si>
    <t>SONAI YONAGUNI - OKINAWA</t>
  </si>
  <si>
    <t>祖納／与那国</t>
  </si>
  <si>
    <t>JPSNE</t>
  </si>
  <si>
    <t>SONE</t>
  </si>
  <si>
    <t>曽根</t>
  </si>
  <si>
    <t>JPSNI</t>
  </si>
  <si>
    <t>SONAI/TAKETOMI</t>
  </si>
  <si>
    <t>祖納／竹富</t>
  </si>
  <si>
    <t>JPSNJ</t>
  </si>
  <si>
    <t>SHINOJIMA</t>
  </si>
  <si>
    <t>篠島</t>
  </si>
  <si>
    <t>JPSNK</t>
  </si>
  <si>
    <t>SNK</t>
  </si>
  <si>
    <t>SHINKAWAKAGOSHIMA</t>
  </si>
  <si>
    <t>新川</t>
  </si>
  <si>
    <t>JPSNM</t>
  </si>
  <si>
    <t>SANAMI</t>
  </si>
  <si>
    <t>佐波</t>
  </si>
  <si>
    <t>JPSNN</t>
  </si>
  <si>
    <t>SHONAN</t>
  </si>
  <si>
    <t>湘南</t>
  </si>
  <si>
    <t>JPSNO</t>
  </si>
  <si>
    <t>SNO</t>
  </si>
  <si>
    <t>SHITANOE</t>
  </si>
  <si>
    <t>下ノ江</t>
  </si>
  <si>
    <t>JPSNR</t>
  </si>
  <si>
    <t>SHUKUNOURA - NAGASAKI</t>
  </si>
  <si>
    <t>宿ノ浦</t>
  </si>
  <si>
    <t>JPSNU</t>
  </si>
  <si>
    <t>SHIMANOURA GYOKO - MIYAZAKI</t>
  </si>
  <si>
    <t>島野浦</t>
  </si>
  <si>
    <t>JPSNW</t>
  </si>
  <si>
    <t>SHINOKAWA - KAGOSHIMA</t>
  </si>
  <si>
    <t>篠川</t>
  </si>
  <si>
    <t>JPSNX</t>
  </si>
  <si>
    <t>SANAGI</t>
  </si>
  <si>
    <t>佐柳</t>
  </si>
  <si>
    <t>JPSNZ</t>
  </si>
  <si>
    <t>SHINZAIKE</t>
  </si>
  <si>
    <t>新在家</t>
  </si>
  <si>
    <t>JPSOG</t>
  </si>
  <si>
    <t>SOG</t>
  </si>
  <si>
    <t>SOGO</t>
  </si>
  <si>
    <t>寒河</t>
  </si>
  <si>
    <t>JPSOH</t>
  </si>
  <si>
    <t>SHIOHAMA</t>
  </si>
  <si>
    <t>汐浜</t>
  </si>
  <si>
    <t>JPSOO</t>
  </si>
  <si>
    <t>SHIMONOKAE</t>
  </si>
  <si>
    <t>下ノ加江</t>
  </si>
  <si>
    <t>JPSOR</t>
  </si>
  <si>
    <t>SONOURA</t>
  </si>
  <si>
    <t>曽ノ浦</t>
  </si>
  <si>
    <t>JPSOT</t>
  </si>
  <si>
    <t>SOT</t>
  </si>
  <si>
    <t>SOTODOMARI - EHIME</t>
  </si>
  <si>
    <t>外泊</t>
  </si>
  <si>
    <t>JPSOY</t>
  </si>
  <si>
    <t>SOYA</t>
  </si>
  <si>
    <t>宗谷</t>
  </si>
  <si>
    <t>JPSOZ</t>
  </si>
  <si>
    <t>SOZU</t>
  </si>
  <si>
    <t>惣津</t>
  </si>
  <si>
    <t>JPSPK</t>
  </si>
  <si>
    <t>SPK</t>
  </si>
  <si>
    <t>SHIN CHITOSE APT,SAPPORO - HOKKAIDO</t>
  </si>
  <si>
    <t>新千歳空港</t>
  </si>
  <si>
    <t>JPSRA</t>
  </si>
  <si>
    <t>SHIRAKI</t>
  </si>
  <si>
    <t>白木</t>
  </si>
  <si>
    <t>JPSRH</t>
  </si>
  <si>
    <t>SRH</t>
  </si>
  <si>
    <t>SHIRAHAMAKAGAWA</t>
  </si>
  <si>
    <t>尻浜</t>
  </si>
  <si>
    <t>JPSRJ</t>
  </si>
  <si>
    <t>SHIRO</t>
  </si>
  <si>
    <t>代</t>
  </si>
  <si>
    <t>JPSRK</t>
  </si>
  <si>
    <t>SRK</t>
  </si>
  <si>
    <t>SHIROSAKI</t>
  </si>
  <si>
    <t>JPSRO</t>
  </si>
  <si>
    <t>SRO</t>
  </si>
  <si>
    <t>SHIRAOI-HOKKAIDO</t>
  </si>
  <si>
    <t>白老</t>
  </si>
  <si>
    <t>JPSRS</t>
  </si>
  <si>
    <t>SHIROSE</t>
  </si>
  <si>
    <t>白瀬</t>
  </si>
  <si>
    <t>JPSRT</t>
  </si>
  <si>
    <t>SRT</t>
  </si>
  <si>
    <t>SHIRAKATA</t>
  </si>
  <si>
    <t>白潟</t>
  </si>
  <si>
    <t>JPSRX</t>
  </si>
  <si>
    <t>SRX</t>
  </si>
  <si>
    <t>SHIRAHAMACHIBA</t>
  </si>
  <si>
    <t>JPSRZ</t>
  </si>
  <si>
    <t>SAKURAJIMA - KAGOSHIMA</t>
  </si>
  <si>
    <t>桜島</t>
  </si>
  <si>
    <t>JPSSA</t>
  </si>
  <si>
    <t>SHIMOTSUURA</t>
  </si>
  <si>
    <t>下津浦</t>
  </si>
  <si>
    <t>JPSSB</t>
  </si>
  <si>
    <t>SSB</t>
  </si>
  <si>
    <t>SASEBO - NAGASAKI</t>
  </si>
  <si>
    <t>佐世保</t>
  </si>
  <si>
    <t>JPSSE</t>
  </si>
  <si>
    <t>SSE</t>
  </si>
  <si>
    <t>SASUE</t>
  </si>
  <si>
    <t>指江</t>
  </si>
  <si>
    <t>JPSSH</t>
  </si>
  <si>
    <t>SHISHIBOE</t>
  </si>
  <si>
    <t>獅子吼</t>
  </si>
  <si>
    <t>JPSSI</t>
  </si>
  <si>
    <t>SSI</t>
  </si>
  <si>
    <t>SASHIKI</t>
  </si>
  <si>
    <t>佐敷</t>
  </si>
  <si>
    <t>JPSSJ</t>
  </si>
  <si>
    <t>SSJ</t>
  </si>
  <si>
    <t>SHISAKAJIMA</t>
  </si>
  <si>
    <t>四坂</t>
  </si>
  <si>
    <t>JPSSK</t>
  </si>
  <si>
    <t>SAIZAKI - HIROSHIMA</t>
  </si>
  <si>
    <t>幸崎</t>
  </si>
  <si>
    <t>JPSSM</t>
  </si>
  <si>
    <t>SHISHIMI</t>
  </si>
  <si>
    <t>鹿見</t>
  </si>
  <si>
    <t>JPSSN</t>
  </si>
  <si>
    <t>SASUNA</t>
  </si>
  <si>
    <t>佐須奈</t>
  </si>
  <si>
    <t>JPSTA</t>
  </si>
  <si>
    <t>SATA - KAGOSHIMA</t>
  </si>
  <si>
    <t>佐多</t>
  </si>
  <si>
    <t>JPSTB</t>
  </si>
  <si>
    <t>SHITABA - EHIME</t>
  </si>
  <si>
    <t>下波</t>
  </si>
  <si>
    <t>JPSTD</t>
  </si>
  <si>
    <t>SETODA - HIROSHIMA</t>
  </si>
  <si>
    <t>瀬戸田</t>
  </si>
  <si>
    <t>JPSTE</t>
  </si>
  <si>
    <t>SATOURA</t>
  </si>
  <si>
    <t>里浦</t>
  </si>
  <si>
    <t>JPSTI</t>
  </si>
  <si>
    <t>SHIMOTSUI</t>
  </si>
  <si>
    <t>下津井</t>
  </si>
  <si>
    <t>JPSTJ</t>
  </si>
  <si>
    <t>STJ</t>
  </si>
  <si>
    <t>SHIKATA</t>
  </si>
  <si>
    <t>鹿田</t>
  </si>
  <si>
    <t>JPSTN</t>
  </si>
  <si>
    <t>SETANA</t>
  </si>
  <si>
    <t>瀬棚</t>
  </si>
  <si>
    <t>JPSTO</t>
  </si>
  <si>
    <t>SAKITO</t>
  </si>
  <si>
    <t>崎戸</t>
  </si>
  <si>
    <t>JPSTR</t>
  </si>
  <si>
    <t>SHIROTORI</t>
  </si>
  <si>
    <t>白鳥</t>
  </si>
  <si>
    <t>JPSTT</t>
  </si>
  <si>
    <t>SETOKAGOSHIMA</t>
  </si>
  <si>
    <t>瀬戸</t>
  </si>
  <si>
    <t>JPSTU</t>
  </si>
  <si>
    <t>SUTTSU</t>
  </si>
  <si>
    <t>寿都</t>
  </si>
  <si>
    <t>JPSTW</t>
  </si>
  <si>
    <t>SATSUKAWAWAN - KAGOSHIMA</t>
  </si>
  <si>
    <t>薩川湾</t>
  </si>
  <si>
    <t>JPSTZ</t>
  </si>
  <si>
    <t>SAITOZAKI</t>
  </si>
  <si>
    <t>西戸崎［博多］</t>
  </si>
  <si>
    <t>JPSUE</t>
  </si>
  <si>
    <t>SUE</t>
  </si>
  <si>
    <t>SUNOE - HIROSHIMA</t>
  </si>
  <si>
    <t>洲江</t>
  </si>
  <si>
    <t>JPSUG</t>
  </si>
  <si>
    <t>SUGA</t>
  </si>
  <si>
    <t>須賀</t>
  </si>
  <si>
    <t>JPSUH</t>
  </si>
  <si>
    <t>SUH</t>
  </si>
  <si>
    <t>SUMOTO - HYOGO</t>
  </si>
  <si>
    <t>洲本</t>
  </si>
  <si>
    <t>JPSUK</t>
  </si>
  <si>
    <t>SUK</t>
  </si>
  <si>
    <t>SUKUMOWAN - KOCHI</t>
  </si>
  <si>
    <t>宿毛</t>
  </si>
  <si>
    <t>JPSUM</t>
  </si>
  <si>
    <t>SUMINOE-SAGA</t>
  </si>
  <si>
    <t>住之江</t>
  </si>
  <si>
    <t>JPSUR</t>
  </si>
  <si>
    <t>SUGEURA</t>
  </si>
  <si>
    <t>菅浦</t>
  </si>
  <si>
    <t>JPSUS</t>
  </si>
  <si>
    <t>SUSA</t>
  </si>
  <si>
    <t>須佐</t>
  </si>
  <si>
    <t>JPSUT</t>
  </si>
  <si>
    <t>SUT</t>
  </si>
  <si>
    <t>SUMOTOKUMAMOTO</t>
  </si>
  <si>
    <t>栖本</t>
  </si>
  <si>
    <t>JPSUU</t>
  </si>
  <si>
    <t>SUU</t>
  </si>
  <si>
    <t>SUGAWA</t>
  </si>
  <si>
    <t>須川</t>
  </si>
  <si>
    <t>JPSUW</t>
  </si>
  <si>
    <t>SUW</t>
  </si>
  <si>
    <t>SUWA</t>
  </si>
  <si>
    <t>諏訪</t>
  </si>
  <si>
    <t>JPSUZ</t>
  </si>
  <si>
    <t>SUSAKI - KOCHI</t>
  </si>
  <si>
    <t>須崎</t>
  </si>
  <si>
    <t>JPSWA</t>
  </si>
  <si>
    <t>SHIMOKAWAGUCHI</t>
  </si>
  <si>
    <t>下川口</t>
  </si>
  <si>
    <t>JPSWR</t>
  </si>
  <si>
    <t>SWR</t>
  </si>
  <si>
    <t>SAWARA</t>
  </si>
  <si>
    <t>佐原</t>
  </si>
  <si>
    <t>JPSXM</t>
  </si>
  <si>
    <t>SUNAMI</t>
  </si>
  <si>
    <t>須波</t>
  </si>
  <si>
    <t>JPSXT</t>
  </si>
  <si>
    <t>SXT</t>
  </si>
  <si>
    <t>SETOKAGAWA</t>
  </si>
  <si>
    <t>風戸</t>
  </si>
  <si>
    <t>JPSYA</t>
  </si>
  <si>
    <t>SYA</t>
  </si>
  <si>
    <t>SHIOYAOKINAWA</t>
  </si>
  <si>
    <t>JPSYG</t>
  </si>
  <si>
    <t>SYG</t>
  </si>
  <si>
    <t>SHIOYAGAMOTO</t>
  </si>
  <si>
    <t>塩屋ヶ元</t>
  </si>
  <si>
    <t>JPSYM</t>
  </si>
  <si>
    <t>SONOYAMA - KAGOSHIMA</t>
  </si>
  <si>
    <t>園山</t>
  </si>
  <si>
    <t>JPSYO</t>
  </si>
  <si>
    <t>SHOURA</t>
  </si>
  <si>
    <t>諸浦</t>
  </si>
  <si>
    <t>JPSYZ</t>
  </si>
  <si>
    <t>SHIRIYAZAKI - AOMORI</t>
  </si>
  <si>
    <t>尻屋岬</t>
  </si>
  <si>
    <t>JPSZG</t>
  </si>
  <si>
    <t>SHIZUGAWA</t>
  </si>
  <si>
    <t>志津川</t>
  </si>
  <si>
    <t>JPSZI</t>
  </si>
  <si>
    <t>SZI</t>
  </si>
  <si>
    <t>SHINJIMA</t>
  </si>
  <si>
    <t>JPSZK</t>
  </si>
  <si>
    <t>SZK</t>
  </si>
  <si>
    <t>SENZAKI - YAMAGUCHI</t>
  </si>
  <si>
    <t>仙崎</t>
  </si>
  <si>
    <t>JPSZU</t>
  </si>
  <si>
    <t>SZU</t>
  </si>
  <si>
    <t>SHIZUURA - SHIZUOKA</t>
  </si>
  <si>
    <t>静浦</t>
  </si>
  <si>
    <t>JPTAA</t>
  </si>
  <si>
    <t>TAA</t>
  </si>
  <si>
    <t>TAKAMIJIMA - KAGAWA</t>
  </si>
  <si>
    <t>高見島</t>
  </si>
  <si>
    <t>JPTAB</t>
  </si>
  <si>
    <t>TAB</t>
  </si>
  <si>
    <t>TABUGAWA</t>
  </si>
  <si>
    <t>椨川</t>
  </si>
  <si>
    <t>JPTAC</t>
  </si>
  <si>
    <t>TAC</t>
  </si>
  <si>
    <t>TACHIYAMA</t>
  </si>
  <si>
    <t>立山</t>
  </si>
  <si>
    <t>JPTAD</t>
  </si>
  <si>
    <t>TADOTSU - KAGAWA</t>
  </si>
  <si>
    <t>多度津</t>
  </si>
  <si>
    <t>JPTAE</t>
  </si>
  <si>
    <t>TAE</t>
  </si>
  <si>
    <t>TANABE - WAKAYAMA</t>
  </si>
  <si>
    <t>文里[田辺］</t>
  </si>
  <si>
    <t>JPTAG</t>
  </si>
  <si>
    <t>TAGI</t>
  </si>
  <si>
    <t>田儀</t>
  </si>
  <si>
    <t>JPTAH</t>
  </si>
  <si>
    <t>TAH</t>
  </si>
  <si>
    <t>TAKAHAMAEHIME</t>
  </si>
  <si>
    <t>高浜［松山］</t>
  </si>
  <si>
    <t>JPTAI</t>
  </si>
  <si>
    <t>TAMATSUKURI</t>
  </si>
  <si>
    <t>玉造</t>
  </si>
  <si>
    <t>JPTAJ</t>
  </si>
  <si>
    <t>TAJ</t>
  </si>
  <si>
    <t>TAJIRI</t>
  </si>
  <si>
    <t>田尻</t>
  </si>
  <si>
    <t>JPTAK</t>
  </si>
  <si>
    <t>TAK</t>
  </si>
  <si>
    <t>TAKAMATSU APT - KAGAWA</t>
  </si>
  <si>
    <t>高松空港</t>
  </si>
  <si>
    <t>JPTAL</t>
  </si>
  <si>
    <t>TAINOUCHI</t>
  </si>
  <si>
    <t>袋の内</t>
  </si>
  <si>
    <t>JPTAM</t>
  </si>
  <si>
    <t>TAM</t>
  </si>
  <si>
    <t>TAMANO-OKAYAMA</t>
  </si>
  <si>
    <t>玉野［宇野］</t>
  </si>
  <si>
    <t>JPTAN</t>
  </si>
  <si>
    <t>TANAGAWA</t>
  </si>
  <si>
    <t>多奈川［深日］</t>
  </si>
  <si>
    <t>JPTAO</t>
  </si>
  <si>
    <t>TAGO - SHIZUOKA</t>
  </si>
  <si>
    <t>田子</t>
  </si>
  <si>
    <t>JPTAP</t>
  </si>
  <si>
    <t>TAKAMATSU - KAGAWA</t>
  </si>
  <si>
    <t>高松</t>
  </si>
  <si>
    <t>JPTAQ</t>
  </si>
  <si>
    <t>TAIRA</t>
  </si>
  <si>
    <t>多比良</t>
  </si>
  <si>
    <t>JPTAR</t>
  </si>
  <si>
    <t>TAHARA - HIROSHIMA</t>
  </si>
  <si>
    <t>田原</t>
  </si>
  <si>
    <t>JPTAS</t>
  </si>
  <si>
    <t>TAKESHIKI - NAGASAKI</t>
  </si>
  <si>
    <t>竹敷</t>
  </si>
  <si>
    <t>JPTAT</t>
  </si>
  <si>
    <t>TAT</t>
  </si>
  <si>
    <t>TATSUGO - KAGOSHIMA</t>
  </si>
  <si>
    <t>龍郷</t>
  </si>
  <si>
    <t>JPTAU</t>
  </si>
  <si>
    <t>TAURA</t>
  </si>
  <si>
    <t>JPTAW</t>
  </si>
  <si>
    <t>TAW</t>
  </si>
  <si>
    <t>TANNOWA-OSAKA</t>
  </si>
  <si>
    <t>淡輪</t>
  </si>
  <si>
    <t>JPTAZ</t>
  </si>
  <si>
    <t>TAZ</t>
  </si>
  <si>
    <t>田井</t>
  </si>
  <si>
    <t>JPTBN</t>
  </si>
  <si>
    <t>TACHIBANA - TOKUSHIMA</t>
  </si>
  <si>
    <t>橘</t>
  </si>
  <si>
    <t>JPTBO</t>
  </si>
  <si>
    <t>TBO</t>
  </si>
  <si>
    <t>TOBO</t>
  </si>
  <si>
    <t>東望</t>
  </si>
  <si>
    <t>JPTBR</t>
  </si>
  <si>
    <t>TBR</t>
  </si>
  <si>
    <t>TABIRA</t>
  </si>
  <si>
    <t>田平</t>
  </si>
  <si>
    <t>JPTBS</t>
  </si>
  <si>
    <t>AWAJIKORYUNOTSUBASA</t>
  </si>
  <si>
    <t>淡路交流の翼</t>
  </si>
  <si>
    <t>JPTBT</t>
  </si>
  <si>
    <t>TOBATA - FUKUOKA</t>
  </si>
  <si>
    <t>戸畑</t>
  </si>
  <si>
    <t>JPTBU</t>
  </si>
  <si>
    <t>TBU</t>
  </si>
  <si>
    <t>TABU</t>
  </si>
  <si>
    <t>田部</t>
  </si>
  <si>
    <t>JPTCC</t>
  </si>
  <si>
    <t>TCC</t>
  </si>
  <si>
    <t>TOKUCHI</t>
  </si>
  <si>
    <t>渡久地</t>
  </si>
  <si>
    <t>JPTCH</t>
  </si>
  <si>
    <t>TSUCHIURA</t>
  </si>
  <si>
    <t>土浦</t>
  </si>
  <si>
    <t>JPTDA</t>
  </si>
  <si>
    <t>TOHDA</t>
  </si>
  <si>
    <t>遠田</t>
  </si>
  <si>
    <t>JPTDJ</t>
  </si>
  <si>
    <t>TAKEDATSU</t>
  </si>
  <si>
    <t>竹田津</t>
  </si>
  <si>
    <t>JPTDN</t>
  </si>
  <si>
    <t>TDN</t>
  </si>
  <si>
    <t>TADANOUMI</t>
  </si>
  <si>
    <t>忠海</t>
  </si>
  <si>
    <t>JPTDT</t>
  </si>
  <si>
    <t>TDT</t>
  </si>
  <si>
    <t>TAIRADATE</t>
  </si>
  <si>
    <t>平館</t>
  </si>
  <si>
    <t>JPTEA</t>
  </si>
  <si>
    <t>TAKENA</t>
  </si>
  <si>
    <t>竹名</t>
  </si>
  <si>
    <t>JPTEE</t>
  </si>
  <si>
    <t>TAKE</t>
  </si>
  <si>
    <t>武</t>
  </si>
  <si>
    <t>JPTEI</t>
  </si>
  <si>
    <t>手結</t>
  </si>
  <si>
    <t>JPTEK</t>
  </si>
  <si>
    <t>TEK</t>
  </si>
  <si>
    <t>TEKUTSUKU</t>
  </si>
  <si>
    <t>手久津久</t>
  </si>
  <si>
    <t>JPTEN</t>
  </si>
  <si>
    <t>TENDO</t>
  </si>
  <si>
    <t>天童</t>
  </si>
  <si>
    <t>JPTER</t>
  </si>
  <si>
    <t>TEURI</t>
  </si>
  <si>
    <t>天売</t>
  </si>
  <si>
    <t>JPTET</t>
  </si>
  <si>
    <t>TET</t>
  </si>
  <si>
    <t>TATEISHIEHIME</t>
  </si>
  <si>
    <t>立石</t>
  </si>
  <si>
    <t>JPTEU</t>
  </si>
  <si>
    <t>TEU</t>
  </si>
  <si>
    <t>TEUCHI</t>
  </si>
  <si>
    <t>手打</t>
  </si>
  <si>
    <t>JPTGC</t>
  </si>
  <si>
    <t>TGC</t>
  </si>
  <si>
    <t>TOGUCHI</t>
  </si>
  <si>
    <t>戸口</t>
  </si>
  <si>
    <t>JPTGM</t>
  </si>
  <si>
    <t>TGM</t>
  </si>
  <si>
    <t>TAGUMA</t>
  </si>
  <si>
    <t>田熊</t>
  </si>
  <si>
    <t>JPTGO</t>
  </si>
  <si>
    <t>TAGONOURA - SHIZUOKA</t>
  </si>
  <si>
    <t>田子の浦</t>
  </si>
  <si>
    <t>JPTHA</t>
  </si>
  <si>
    <t>THA</t>
  </si>
  <si>
    <t>TOYOHIRA-KU</t>
  </si>
  <si>
    <t>豊平区</t>
  </si>
  <si>
    <t>JPTHM</t>
  </si>
  <si>
    <t>TANOHAMA</t>
  </si>
  <si>
    <t>田の浜</t>
  </si>
  <si>
    <t>JPTHR</t>
  </si>
  <si>
    <t>TAKEHARA - HIROSHIMA</t>
  </si>
  <si>
    <t>竹原</t>
  </si>
  <si>
    <t>JPTHS</t>
  </si>
  <si>
    <t>THS</t>
  </si>
  <si>
    <t>TOYOHASHI-AICHI</t>
  </si>
  <si>
    <t>豊橋[三河]</t>
  </si>
  <si>
    <t>JPTIA</t>
  </si>
  <si>
    <t>大社</t>
  </si>
  <si>
    <t>JPTIN</t>
  </si>
  <si>
    <t>TAINOURA - NAGASAKI</t>
  </si>
  <si>
    <t>鯛ノ浦</t>
  </si>
  <si>
    <t>JPTIS</t>
  </si>
  <si>
    <t>TEISHI</t>
  </si>
  <si>
    <t>手石</t>
  </si>
  <si>
    <t>JPTJI</t>
  </si>
  <si>
    <t>TAKARAJIMA</t>
  </si>
  <si>
    <t>宝島</t>
  </si>
  <si>
    <t>JPTJJ</t>
  </si>
  <si>
    <t>TJJ</t>
  </si>
  <si>
    <t>TOMAMAE</t>
  </si>
  <si>
    <t>苫前</t>
  </si>
  <si>
    <t>JPTJK</t>
  </si>
  <si>
    <t>TJK</t>
  </si>
  <si>
    <t>TAKASHIMA/MASUDA</t>
  </si>
  <si>
    <t>高島</t>
  </si>
  <si>
    <t>JPTJM</t>
  </si>
  <si>
    <t>TJM</t>
  </si>
  <si>
    <t>TOJIMA - EHIME</t>
  </si>
  <si>
    <t>戸島</t>
  </si>
  <si>
    <t>JPTJO</t>
  </si>
  <si>
    <t>TJO</t>
  </si>
  <si>
    <t>TOSHIMAHYOGO</t>
  </si>
  <si>
    <t>富島</t>
  </si>
  <si>
    <t>JPTJR</t>
  </si>
  <si>
    <t>TJR</t>
  </si>
  <si>
    <t>TAJIRITOTTORI</t>
  </si>
  <si>
    <t>田後</t>
  </si>
  <si>
    <t>JPTJS</t>
  </si>
  <si>
    <t>TOKASHIKI</t>
  </si>
  <si>
    <t>渡嘉敷</t>
  </si>
  <si>
    <t>JPTK8</t>
  </si>
  <si>
    <t>TK8</t>
  </si>
  <si>
    <t>OFF TOMAKOMAI - HOKKAIDO</t>
  </si>
  <si>
    <t>苫小牧沖</t>
  </si>
  <si>
    <t>JPTKA</t>
  </si>
  <si>
    <t>TOKAI-AICHI</t>
  </si>
  <si>
    <t>東海</t>
  </si>
  <si>
    <t>JPTKC</t>
  </si>
  <si>
    <t>TAKANOKUCHI</t>
  </si>
  <si>
    <t>高之口</t>
  </si>
  <si>
    <t>JPTKD</t>
  </si>
  <si>
    <t>TAKADA</t>
  </si>
  <si>
    <t>高田</t>
  </si>
  <si>
    <t>JPTKE</t>
  </si>
  <si>
    <t>TKE</t>
  </si>
  <si>
    <t>TAKENO</t>
  </si>
  <si>
    <t>竹野</t>
  </si>
  <si>
    <t>JPTKG</t>
  </si>
  <si>
    <t>TAKASUKAGOSHIMA</t>
  </si>
  <si>
    <t>高須</t>
  </si>
  <si>
    <t>JPTKH</t>
  </si>
  <si>
    <t>TKH</t>
  </si>
  <si>
    <t>TAKAHAMA - KUMAMOTO</t>
  </si>
  <si>
    <t>高浜</t>
  </si>
  <si>
    <t>JPTKI</t>
  </si>
  <si>
    <t>TKI</t>
  </si>
  <si>
    <t>TAKI</t>
  </si>
  <si>
    <t>滝</t>
  </si>
  <si>
    <t>JPTKJ</t>
  </si>
  <si>
    <t>TKJ</t>
  </si>
  <si>
    <t>TOKUJIN</t>
  </si>
  <si>
    <t>徳仁</t>
  </si>
  <si>
    <t>JPTKK</t>
  </si>
  <si>
    <t>TAKAOKA</t>
  </si>
  <si>
    <t>高岡[伏木富山]</t>
  </si>
  <si>
    <t>JPTKM</t>
  </si>
  <si>
    <t>TAKUMA - KAGAWA</t>
  </si>
  <si>
    <t>詫間</t>
  </si>
  <si>
    <t>JPTKN</t>
  </si>
  <si>
    <t>TKN</t>
  </si>
  <si>
    <t>TOKUNOSHIMA</t>
  </si>
  <si>
    <t>徳之島</t>
  </si>
  <si>
    <t>JPTKO</t>
  </si>
  <si>
    <t>TKO</t>
  </si>
  <si>
    <t>TOKONAMI</t>
  </si>
  <si>
    <t>床浪</t>
  </si>
  <si>
    <t>JPTKR</t>
  </si>
  <si>
    <t>TOKORO</t>
  </si>
  <si>
    <t>常呂</t>
  </si>
  <si>
    <t>JPTKS</t>
  </si>
  <si>
    <t>TKS</t>
  </si>
  <si>
    <t>TOKUSHIMA</t>
  </si>
  <si>
    <t>徳島[徳島小松島]</t>
  </si>
  <si>
    <t>JPTKT</t>
  </si>
  <si>
    <t>TKT</t>
  </si>
  <si>
    <t>TAKETOYO</t>
  </si>
  <si>
    <t>武豊[衣浦]</t>
  </si>
  <si>
    <t>JPTKU</t>
  </si>
  <si>
    <t>TAKUNO</t>
  </si>
  <si>
    <t>宅野</t>
  </si>
  <si>
    <t>JPTKW</t>
  </si>
  <si>
    <t>TKW</t>
  </si>
  <si>
    <t>TAINOKAWA</t>
  </si>
  <si>
    <t>鯛之川</t>
  </si>
  <si>
    <t>JPTKX</t>
  </si>
  <si>
    <t>TKX</t>
  </si>
  <si>
    <t>TOKUSHIMA-KOMATSUSHIMA - TOKUSHIMA</t>
  </si>
  <si>
    <t>徳島小松島</t>
  </si>
  <si>
    <t>JPTKY</t>
  </si>
  <si>
    <t>TOKUYAMA - YAMAGUCHI</t>
  </si>
  <si>
    <t>徳山[徳山下松]</t>
  </si>
  <si>
    <t>JPTKZ</t>
  </si>
  <si>
    <t>TKZ</t>
  </si>
  <si>
    <t>TAKEZAKI</t>
  </si>
  <si>
    <t>岳崎</t>
  </si>
  <si>
    <t>JPTMA</t>
  </si>
  <si>
    <t>TMA</t>
  </si>
  <si>
    <t>TOMARI - HOKKAIDO</t>
  </si>
  <si>
    <t>泊</t>
  </si>
  <si>
    <t>JPTME</t>
  </si>
  <si>
    <t>TOMIE - NAGASAKI</t>
  </si>
  <si>
    <t>富江</t>
  </si>
  <si>
    <t>JPTMI</t>
  </si>
  <si>
    <t>TMI</t>
  </si>
  <si>
    <t>TSUKUMI - OITA</t>
  </si>
  <si>
    <t>津久見</t>
  </si>
  <si>
    <t>JPTMJ</t>
  </si>
  <si>
    <t>TMJ</t>
  </si>
  <si>
    <t>TAKAMI</t>
  </si>
  <si>
    <t>高見</t>
  </si>
  <si>
    <t>JPTMK</t>
  </si>
  <si>
    <t>TMK</t>
  </si>
  <si>
    <t>TOMAKOMAI - HOKKAIDO</t>
  </si>
  <si>
    <t>苫小牧</t>
  </si>
  <si>
    <t>JPTMM</t>
  </si>
  <si>
    <t>TMM</t>
  </si>
  <si>
    <t>TOMIKU</t>
  </si>
  <si>
    <t>富来</t>
  </si>
  <si>
    <t>JPTMN</t>
  </si>
  <si>
    <t>TMN</t>
  </si>
  <si>
    <t>TAMANOURA - NAGASAKI</t>
  </si>
  <si>
    <t>玉之浦</t>
  </si>
  <si>
    <t>JPTMO</t>
  </si>
  <si>
    <t>TOMIOKA - KUMAMOTO</t>
  </si>
  <si>
    <t>富岡</t>
  </si>
  <si>
    <t>JPTMR</t>
  </si>
  <si>
    <t>TOMARIOKINAWA</t>
  </si>
  <si>
    <t>泊[那覇]</t>
  </si>
  <si>
    <t>JPTMS</t>
  </si>
  <si>
    <t>TMS</t>
  </si>
  <si>
    <t>TAMATSUEHIME</t>
  </si>
  <si>
    <t>玉津</t>
  </si>
  <si>
    <t>JPTMT</t>
  </si>
  <si>
    <t>TAMATSUOKAYAMA</t>
  </si>
  <si>
    <t>JPTMU</t>
  </si>
  <si>
    <t>TMU</t>
  </si>
  <si>
    <t>TOMITSU</t>
  </si>
  <si>
    <t>JPTMZ</t>
  </si>
  <si>
    <t>TMZ</t>
  </si>
  <si>
    <t>TARUMIZU</t>
  </si>
  <si>
    <t>垂水</t>
  </si>
  <si>
    <t>JPTNA</t>
  </si>
  <si>
    <t>TSUNA - HYOGO</t>
  </si>
  <si>
    <t>津名</t>
  </si>
  <si>
    <t>JPTNB</t>
  </si>
  <si>
    <t>TNB</t>
  </si>
  <si>
    <t>TAKANABE</t>
  </si>
  <si>
    <t>高鍋</t>
  </si>
  <si>
    <t>JPTND</t>
  </si>
  <si>
    <t>TONDA-YAMAGUCHI</t>
  </si>
  <si>
    <t>富田</t>
  </si>
  <si>
    <t>JPTNE</t>
  </si>
  <si>
    <t>TANEGASHIMA</t>
  </si>
  <si>
    <t>種子島</t>
  </si>
  <si>
    <t>JPTNH</t>
  </si>
  <si>
    <t>TNH</t>
  </si>
  <si>
    <t>TONOSHOHIGASH</t>
  </si>
  <si>
    <t>土庄東</t>
  </si>
  <si>
    <t>JPTNI</t>
  </si>
  <si>
    <t>TNI</t>
  </si>
  <si>
    <t>TSUNEISHI - HIROSHIMA</t>
  </si>
  <si>
    <t>常石</t>
  </si>
  <si>
    <t>JPTNK</t>
  </si>
  <si>
    <t>TNK</t>
  </si>
  <si>
    <t>TANASOKO</t>
  </si>
  <si>
    <t>棚底</t>
  </si>
  <si>
    <t>JPTNO</t>
  </si>
  <si>
    <t>TONOSHO</t>
  </si>
  <si>
    <t>土庄</t>
  </si>
  <si>
    <t>JPTNR</t>
  </si>
  <si>
    <t>TNR</t>
  </si>
  <si>
    <t>TANOURAKUMAMOTO</t>
  </si>
  <si>
    <t>田浦</t>
  </si>
  <si>
    <t>JPTNS</t>
  </si>
  <si>
    <t>TSUNOSHIMA</t>
  </si>
  <si>
    <t>角島</t>
  </si>
  <si>
    <t>JPTNU</t>
  </si>
  <si>
    <t>TNU</t>
  </si>
  <si>
    <t>TANOURA/KITAKYUSHU</t>
  </si>
  <si>
    <t>田野浦／北九州[関門（門司）]</t>
  </si>
  <si>
    <t>JPTNW</t>
  </si>
  <si>
    <t>TNW</t>
  </si>
  <si>
    <t>TANOWAKI</t>
  </si>
  <si>
    <t>田之脇</t>
  </si>
  <si>
    <t>JPTOB</t>
  </si>
  <si>
    <t>TOBA - MIE</t>
  </si>
  <si>
    <t>鳥羽</t>
  </si>
  <si>
    <t>JPTOD</t>
  </si>
  <si>
    <t>TODOHOKKE</t>
  </si>
  <si>
    <t>椴法華</t>
  </si>
  <si>
    <t>JPTOG</t>
  </si>
  <si>
    <t>TOG</t>
  </si>
  <si>
    <t>TOGI</t>
  </si>
  <si>
    <t>JPTOI</t>
  </si>
  <si>
    <t>TOI</t>
  </si>
  <si>
    <t>土肥</t>
  </si>
  <si>
    <t>JPTOJ</t>
  </si>
  <si>
    <t>TOGA</t>
  </si>
  <si>
    <t>戸賀</t>
  </si>
  <si>
    <t>JPTOK</t>
  </si>
  <si>
    <t>TOKACHI - HOKKAIDO</t>
  </si>
  <si>
    <t>十勝</t>
  </si>
  <si>
    <t>JPTOM</t>
  </si>
  <si>
    <t>TOMIOKA - TOKUSHIMA</t>
  </si>
  <si>
    <t>JPTON</t>
  </si>
  <si>
    <t>TONOURA</t>
  </si>
  <si>
    <t>外浦</t>
  </si>
  <si>
    <t>JPTOP</t>
  </si>
  <si>
    <t>TOP</t>
  </si>
  <si>
    <t>TOYAMA - TOYAMA</t>
  </si>
  <si>
    <t>富山[伏木富山]</t>
  </si>
  <si>
    <t>JPTOR</t>
  </si>
  <si>
    <t>TORIDE</t>
  </si>
  <si>
    <t>取手</t>
  </si>
  <si>
    <t>JPTOS</t>
  </si>
  <si>
    <t>TOYAMASHINKO</t>
  </si>
  <si>
    <t>富山新港[伏木富山港]</t>
  </si>
  <si>
    <t>JPTOT</t>
  </si>
  <si>
    <t>TOT</t>
  </si>
  <si>
    <t>TOTORO</t>
  </si>
  <si>
    <t>土々呂</t>
  </si>
  <si>
    <t>JPTOU</t>
  </si>
  <si>
    <t>TOU</t>
  </si>
  <si>
    <t>TOUYO - EHIME</t>
  </si>
  <si>
    <t>東予</t>
  </si>
  <si>
    <t>JPTOX</t>
  </si>
  <si>
    <t>TOX</t>
  </si>
  <si>
    <t>TOSHIMA/TOKYO</t>
  </si>
  <si>
    <t>利島</t>
  </si>
  <si>
    <t>JPTOY</t>
  </si>
  <si>
    <t>TOY</t>
  </si>
  <si>
    <t>TOYAMA APT - TOYAMA</t>
  </si>
  <si>
    <t>富山空港</t>
  </si>
  <si>
    <t>JPTRA</t>
  </si>
  <si>
    <t>TARAMAJIMA</t>
  </si>
  <si>
    <t>多良間</t>
  </si>
  <si>
    <t>JPTRC</t>
  </si>
  <si>
    <t>TRC</t>
  </si>
  <si>
    <t>TSURUUCHI - KAGAWA</t>
  </si>
  <si>
    <t>弦打</t>
  </si>
  <si>
    <t>JPTRD</t>
  </si>
  <si>
    <t>TRD</t>
  </si>
  <si>
    <t>TERADOMARI</t>
  </si>
  <si>
    <t>寺泊</t>
  </si>
  <si>
    <t>JPTRG</t>
  </si>
  <si>
    <t>TSURUGA - FUKUI</t>
  </si>
  <si>
    <t>敦賀</t>
  </si>
  <si>
    <t>JPTRH</t>
  </si>
  <si>
    <t>TRH</t>
  </si>
  <si>
    <t>TARUGAHAMA - NAGASAKI</t>
  </si>
  <si>
    <t>樽ヶ浜</t>
  </si>
  <si>
    <t>JPTRI</t>
  </si>
  <si>
    <t>TARUMI - HYOGO</t>
  </si>
  <si>
    <t>JPTRO</t>
  </si>
  <si>
    <t>TORORO</t>
  </si>
  <si>
    <t>都呂々</t>
  </si>
  <si>
    <t>JPTRR</t>
  </si>
  <si>
    <t>TOMARIURA - KOCHI</t>
  </si>
  <si>
    <t>泊浦</t>
  </si>
  <si>
    <t>JPTRU</t>
  </si>
  <si>
    <t>TSURUMIOKAYAMA</t>
  </si>
  <si>
    <t>東備[鶴海]</t>
  </si>
  <si>
    <t>JPTRZ</t>
  </si>
  <si>
    <t>TERAZU/YATSUKA</t>
  </si>
  <si>
    <t>寺津／八束</t>
  </si>
  <si>
    <t>JPTSA</t>
  </si>
  <si>
    <t>TSA</t>
  </si>
  <si>
    <t>TAKASAKI</t>
  </si>
  <si>
    <t>高崎</t>
  </si>
  <si>
    <t>JPTSB</t>
  </si>
  <si>
    <t>TSB</t>
  </si>
  <si>
    <t>TSUKUBA</t>
  </si>
  <si>
    <t>つくば</t>
  </si>
  <si>
    <t>JPTSG</t>
  </si>
  <si>
    <t>TSG</t>
  </si>
  <si>
    <t>TAKASAGO</t>
  </si>
  <si>
    <t>高砂[東播磨]</t>
  </si>
  <si>
    <t>JPTSH</t>
  </si>
  <si>
    <t>TSUSHI</t>
  </si>
  <si>
    <t>都志</t>
  </si>
  <si>
    <t>JPTSI</t>
  </si>
  <si>
    <t>TSI</t>
  </si>
  <si>
    <t>TESHIMA</t>
  </si>
  <si>
    <t>手島</t>
  </si>
  <si>
    <t>JPTSJ</t>
  </si>
  <si>
    <t>TSJ</t>
  </si>
  <si>
    <t>TSUSHIMA</t>
  </si>
  <si>
    <t>対馬</t>
  </si>
  <si>
    <t>JPTSK</t>
  </si>
  <si>
    <t>TSK</t>
  </si>
  <si>
    <t>TSURUSAKI</t>
  </si>
  <si>
    <t>鶴崎[大分]</t>
  </si>
  <si>
    <t>JPTSM</t>
  </si>
  <si>
    <t>TSM</t>
  </si>
  <si>
    <t>TAKASHIMA/NISHISONOGI</t>
  </si>
  <si>
    <t>JPTSN</t>
  </si>
  <si>
    <t>TSUNEISHI-KAGAWA</t>
  </si>
  <si>
    <t>JPTSO</t>
  </si>
  <si>
    <t>TESHIO</t>
  </si>
  <si>
    <t>天塩</t>
  </si>
  <si>
    <t>JPTSS</t>
  </si>
  <si>
    <t>TSS</t>
  </si>
  <si>
    <t>TASUMI</t>
  </si>
  <si>
    <t>手角</t>
  </si>
  <si>
    <t>JPTST</t>
  </si>
  <si>
    <t>TST</t>
  </si>
  <si>
    <t>TSUTSU - NAGASAKI</t>
  </si>
  <si>
    <t>豆酘</t>
  </si>
  <si>
    <t>JPTSU</t>
  </si>
  <si>
    <t>TSU</t>
  </si>
  <si>
    <t>TSU - MIE</t>
  </si>
  <si>
    <t>津松坂[津]</t>
  </si>
  <si>
    <t>JPTSX</t>
  </si>
  <si>
    <t>TSX</t>
  </si>
  <si>
    <t>TAKESHIMA</t>
  </si>
  <si>
    <t>竹島</t>
  </si>
  <si>
    <t>JPTSZ</t>
  </si>
  <si>
    <t>TSZ</t>
  </si>
  <si>
    <t>SHIMIZU - KOCHI</t>
  </si>
  <si>
    <t>JPTTH</t>
  </si>
  <si>
    <t>TTH</t>
  </si>
  <si>
    <t>TAKETOMIHIGASHI</t>
  </si>
  <si>
    <t>竹富東</t>
  </si>
  <si>
    <t>JPTTJ</t>
  </si>
  <si>
    <t>TTJ</t>
  </si>
  <si>
    <t>TOTTORI - TOTTORI</t>
  </si>
  <si>
    <t>鳥取</t>
  </si>
  <si>
    <t>JPTTM</t>
  </si>
  <si>
    <t>TSUTSUMI</t>
  </si>
  <si>
    <t>堤</t>
  </si>
  <si>
    <t>JPTTS</t>
  </si>
  <si>
    <t>TTS</t>
  </si>
  <si>
    <t>TATEISHIKAGAWA</t>
  </si>
  <si>
    <t>JPTTU</t>
  </si>
  <si>
    <t>TTU</t>
  </si>
  <si>
    <t>TOKITSU</t>
  </si>
  <si>
    <t>時津</t>
  </si>
  <si>
    <t>JPTTY</t>
  </si>
  <si>
    <t>TTY</t>
  </si>
  <si>
    <t>TATEYAMA - CHIBA</t>
  </si>
  <si>
    <t>館山</t>
  </si>
  <si>
    <t>JPTUD</t>
  </si>
  <si>
    <t>TUD</t>
  </si>
  <si>
    <t>TSUDA</t>
  </si>
  <si>
    <t>津田</t>
  </si>
  <si>
    <t>JPTUI</t>
  </si>
  <si>
    <t>TUI</t>
  </si>
  <si>
    <t>TSUI</t>
  </si>
  <si>
    <t>津井</t>
  </si>
  <si>
    <t>JPTUR</t>
  </si>
  <si>
    <t>TANOURAEHIME</t>
  </si>
  <si>
    <t>田ノ浦</t>
  </si>
  <si>
    <t>JPTUS</t>
  </si>
  <si>
    <t>TUS</t>
  </si>
  <si>
    <t>TOYOSHIGE</t>
  </si>
  <si>
    <t>豊成</t>
  </si>
  <si>
    <t>JPTUU</t>
  </si>
  <si>
    <t>TUU</t>
  </si>
  <si>
    <t>TSUKUMO</t>
  </si>
  <si>
    <t>津久茂</t>
  </si>
  <si>
    <t>JPTUZ</t>
  </si>
  <si>
    <t>TUZ</t>
  </si>
  <si>
    <t>TSUZU - YAMAGUCHI</t>
  </si>
  <si>
    <t>通津漁港</t>
  </si>
  <si>
    <t>JPTWA</t>
  </si>
  <si>
    <t>TWA</t>
  </si>
  <si>
    <t>TSUKINOKAWA - NAGASAKI</t>
  </si>
  <si>
    <t>調川</t>
  </si>
  <si>
    <t>JPTXK</t>
  </si>
  <si>
    <t>TXK</t>
  </si>
  <si>
    <t>TAKASUFUKUI</t>
  </si>
  <si>
    <t>鷹巣</t>
  </si>
  <si>
    <t>JPTXN</t>
  </si>
  <si>
    <t>TOKONAME</t>
  </si>
  <si>
    <t>常滑</t>
  </si>
  <si>
    <t>JPTYA</t>
  </si>
  <si>
    <t>TYA</t>
  </si>
  <si>
    <t>TOYOTA</t>
  </si>
  <si>
    <t>豊田</t>
  </si>
  <si>
    <t>JPTYH</t>
  </si>
  <si>
    <t>TYH</t>
  </si>
  <si>
    <t>TOYOHAMAKAGAWA</t>
  </si>
  <si>
    <t>豊浜</t>
  </si>
  <si>
    <t>JPTYJ</t>
  </si>
  <si>
    <t>TYJ</t>
  </si>
  <si>
    <t>TOYOHAMAAICHI</t>
  </si>
  <si>
    <t>JPTYN</t>
  </si>
  <si>
    <t>TSUIYAMA</t>
  </si>
  <si>
    <t>津居山</t>
  </si>
  <si>
    <t>JPTYO</t>
  </si>
  <si>
    <t>TYO</t>
  </si>
  <si>
    <t>TOKYO - TOKYO</t>
  </si>
  <si>
    <t>東京［京浜（東京）］</t>
  </si>
  <si>
    <t>JPTYP</t>
  </si>
  <si>
    <t>TSUYOSHI</t>
  </si>
  <si>
    <t>津吉</t>
  </si>
  <si>
    <t>JPTYR</t>
  </si>
  <si>
    <t>TYR</t>
  </si>
  <si>
    <t>TOYOURA</t>
  </si>
  <si>
    <t>豊浦</t>
  </si>
  <si>
    <t>JPTYU</t>
  </si>
  <si>
    <t>TYU</t>
  </si>
  <si>
    <t>TAYUI</t>
  </si>
  <si>
    <t>田結</t>
  </si>
  <si>
    <t>JPTZ3</t>
  </si>
  <si>
    <t>TZ3</t>
  </si>
  <si>
    <t>TSUNEISHIZOUSEN - KAGAWA</t>
  </si>
  <si>
    <t>常石造船</t>
  </si>
  <si>
    <t>JPTZA</t>
  </si>
  <si>
    <t>TAIZA</t>
  </si>
  <si>
    <t>間人</t>
  </si>
  <si>
    <t>JPTZU</t>
  </si>
  <si>
    <t>TZU</t>
  </si>
  <si>
    <t>TERAZU/MATSUE</t>
  </si>
  <si>
    <t>寺津／松江</t>
  </si>
  <si>
    <t>JPUAO</t>
  </si>
  <si>
    <t>UAO</t>
  </si>
  <si>
    <t>URAGO - SHIMANE</t>
  </si>
  <si>
    <t>浦郷</t>
  </si>
  <si>
    <t>JPUBJ</t>
  </si>
  <si>
    <t>UBJ</t>
  </si>
  <si>
    <t>UBE - YAMAGUCHI</t>
  </si>
  <si>
    <t>宇部</t>
  </si>
  <si>
    <t>JPUBK</t>
  </si>
  <si>
    <t>UBK</t>
  </si>
  <si>
    <t>USHIBUKA</t>
  </si>
  <si>
    <t>牛深</t>
  </si>
  <si>
    <t>JPUBY</t>
  </si>
  <si>
    <t>UBY</t>
  </si>
  <si>
    <t>UBUYU</t>
  </si>
  <si>
    <t>生湯</t>
  </si>
  <si>
    <t>JPUCH</t>
  </si>
  <si>
    <t>UCH</t>
  </si>
  <si>
    <t>UCHIUMI - MIYAZAKI</t>
  </si>
  <si>
    <t>内海</t>
  </si>
  <si>
    <t>JPUCN</t>
  </si>
  <si>
    <t>UCN</t>
  </si>
  <si>
    <t>UCHINOMI - KAGAWA</t>
  </si>
  <si>
    <t>JPUCR</t>
  </si>
  <si>
    <t>UCR</t>
  </si>
  <si>
    <t>UCHIURAISHIKAWA</t>
  </si>
  <si>
    <t>内浦</t>
  </si>
  <si>
    <t>JPUCU</t>
  </si>
  <si>
    <t>UCU</t>
  </si>
  <si>
    <t>UCHIURA - FUKUI</t>
  </si>
  <si>
    <t>JPUDD</t>
  </si>
  <si>
    <t>UDD</t>
  </si>
  <si>
    <t>UDO</t>
  </si>
  <si>
    <t>宇土</t>
  </si>
  <si>
    <t>JPUDO</t>
  </si>
  <si>
    <t>UDONO - MIE</t>
  </si>
  <si>
    <t>鵜殿</t>
  </si>
  <si>
    <t>JPUEC</t>
  </si>
  <si>
    <t>UEC</t>
  </si>
  <si>
    <t>UECHI</t>
  </si>
  <si>
    <t>上地</t>
  </si>
  <si>
    <t>JPUGA</t>
  </si>
  <si>
    <t>UGA</t>
  </si>
  <si>
    <t>宇賀</t>
  </si>
  <si>
    <t>JPUGU</t>
  </si>
  <si>
    <t>UGU</t>
  </si>
  <si>
    <t>UGUSU</t>
  </si>
  <si>
    <t>宇久須</t>
  </si>
  <si>
    <t>JPUHH</t>
  </si>
  <si>
    <t>UHH</t>
  </si>
  <si>
    <t>UCHIHANA</t>
  </si>
  <si>
    <t>内花</t>
  </si>
  <si>
    <t>JPUIA</t>
  </si>
  <si>
    <t>UIA</t>
  </si>
  <si>
    <t>HAKUI</t>
  </si>
  <si>
    <t>羽咋</t>
  </si>
  <si>
    <t>JPUJI</t>
  </si>
  <si>
    <t>UJI</t>
  </si>
  <si>
    <t>UJINA-HIROSHIMA</t>
  </si>
  <si>
    <t>宇品</t>
  </si>
  <si>
    <t>JPUJY</t>
  </si>
  <si>
    <t>UJY</t>
  </si>
  <si>
    <t>UJIYAMADA</t>
  </si>
  <si>
    <t>宇治山田</t>
  </si>
  <si>
    <t>JPUKA</t>
  </si>
  <si>
    <t>UKA</t>
  </si>
  <si>
    <t>USUKA - NAGASAKI</t>
  </si>
  <si>
    <t>薄香</t>
  </si>
  <si>
    <t>JPUKB</t>
  </si>
  <si>
    <t>UKB</t>
  </si>
  <si>
    <t>KOBE - HYOGO</t>
  </si>
  <si>
    <t>神戸［阪神（神戸）］</t>
  </si>
  <si>
    <t>JPUKI</t>
  </si>
  <si>
    <t>UKUI</t>
  </si>
  <si>
    <t>宇久井</t>
  </si>
  <si>
    <t>JPUKJ</t>
  </si>
  <si>
    <t>UKJ</t>
  </si>
  <si>
    <t>UKEJIMA</t>
  </si>
  <si>
    <t>請島</t>
  </si>
  <si>
    <t>JPUKN</t>
  </si>
  <si>
    <t>UKN</t>
  </si>
  <si>
    <t>UKEN - KAGOSHIMA</t>
  </si>
  <si>
    <t>宇検</t>
  </si>
  <si>
    <t>JPUKT</t>
  </si>
  <si>
    <t>UKT</t>
  </si>
  <si>
    <t>UKITSU</t>
  </si>
  <si>
    <t>浮津</t>
  </si>
  <si>
    <t>JPUKY</t>
  </si>
  <si>
    <t>UKY</t>
  </si>
  <si>
    <t>KYOTO</t>
  </si>
  <si>
    <t>京都</t>
  </si>
  <si>
    <t>JPUMG</t>
  </si>
  <si>
    <t>UMG</t>
  </si>
  <si>
    <t>UMAGOE</t>
  </si>
  <si>
    <t>馬越</t>
  </si>
  <si>
    <t>JPUNM</t>
  </si>
  <si>
    <t>UNM</t>
  </si>
  <si>
    <t>URANOMAE</t>
  </si>
  <si>
    <t>浦之前</t>
  </si>
  <si>
    <t>JPUNO</t>
  </si>
  <si>
    <t>UNO</t>
  </si>
  <si>
    <t>UNO - OKAYAMA</t>
  </si>
  <si>
    <t>宇野</t>
  </si>
  <si>
    <t>JPUNS</t>
  </si>
  <si>
    <t>UNS</t>
  </si>
  <si>
    <t>UNOSHIMA - FUKUOKA</t>
  </si>
  <si>
    <t>宇島</t>
  </si>
  <si>
    <t>JPUNT</t>
  </si>
  <si>
    <t>UNTEN - OKINAWA</t>
  </si>
  <si>
    <t>運天</t>
  </si>
  <si>
    <t>JPUNU</t>
  </si>
  <si>
    <t>UNU</t>
  </si>
  <si>
    <t>UCHINOURAHETSUKA</t>
  </si>
  <si>
    <t>内之浦辺塚</t>
  </si>
  <si>
    <t>JPUOM</t>
  </si>
  <si>
    <t>UOM</t>
  </si>
  <si>
    <t>UOMI</t>
  </si>
  <si>
    <t>魚見</t>
  </si>
  <si>
    <t>JPUOU</t>
  </si>
  <si>
    <t>UOU</t>
  </si>
  <si>
    <t>UOZUSHIMANE</t>
  </si>
  <si>
    <t>魚津</t>
  </si>
  <si>
    <t>JPUOZ</t>
  </si>
  <si>
    <t>UOZ</t>
  </si>
  <si>
    <t>UOZUTOYAMA</t>
  </si>
  <si>
    <t>JPURA</t>
  </si>
  <si>
    <t>URA</t>
  </si>
  <si>
    <t>浦</t>
  </si>
  <si>
    <t>JPURG</t>
  </si>
  <si>
    <t>URAGA</t>
  </si>
  <si>
    <t>浦賀[横須賀]</t>
  </si>
  <si>
    <t>JPURH</t>
  </si>
  <si>
    <t>URH</t>
  </si>
  <si>
    <t>URAHARA</t>
  </si>
  <si>
    <t>浦原</t>
  </si>
  <si>
    <t>JPURK</t>
  </si>
  <si>
    <t>URK</t>
  </si>
  <si>
    <t>URAKAWA - HOKKAIDO</t>
  </si>
  <si>
    <t>浦河</t>
  </si>
  <si>
    <t>JPURM</t>
  </si>
  <si>
    <t>URM</t>
  </si>
  <si>
    <t>URAGAMI</t>
  </si>
  <si>
    <t>浦神</t>
  </si>
  <si>
    <t>JPURR</t>
  </si>
  <si>
    <t>URASHIRO</t>
  </si>
  <si>
    <t>浦代</t>
  </si>
  <si>
    <t>JPURS</t>
  </si>
  <si>
    <t>URS</t>
  </si>
  <si>
    <t>URASOKO</t>
  </si>
  <si>
    <t>浦底</t>
  </si>
  <si>
    <t>JPURU</t>
  </si>
  <si>
    <t>URU</t>
  </si>
  <si>
    <t>FURUMI</t>
  </si>
  <si>
    <t>古海</t>
  </si>
  <si>
    <t>JPUSA</t>
  </si>
  <si>
    <t>USA</t>
  </si>
  <si>
    <t>USA - KOCHI</t>
  </si>
  <si>
    <t>宇佐</t>
  </si>
  <si>
    <t>JPUSG</t>
  </si>
  <si>
    <t>USG</t>
  </si>
  <si>
    <t>USHIGAKUBIJIMA - KAGAWA</t>
  </si>
  <si>
    <t>牛ヶ首島</t>
  </si>
  <si>
    <t>JPUSH</t>
  </si>
  <si>
    <t>USHIMADO</t>
  </si>
  <si>
    <t>牛窓</t>
  </si>
  <si>
    <t>JPUSI</t>
  </si>
  <si>
    <t>USHINE - KAGOSHIMA</t>
  </si>
  <si>
    <t>牛根</t>
  </si>
  <si>
    <t>JPUSJ</t>
  </si>
  <si>
    <t>USJ</t>
  </si>
  <si>
    <t>USUJIRI</t>
  </si>
  <si>
    <t>臼尻</t>
  </si>
  <si>
    <t>JPUSK</t>
  </si>
  <si>
    <t>USUKI - OITA</t>
  </si>
  <si>
    <t>臼杵</t>
  </si>
  <si>
    <t>JPUSN</t>
  </si>
  <si>
    <t>USN</t>
  </si>
  <si>
    <t>USUNO</t>
  </si>
  <si>
    <t>臼野</t>
  </si>
  <si>
    <t>JPUST</t>
  </si>
  <si>
    <t>UST</t>
  </si>
  <si>
    <t>USHITSU</t>
  </si>
  <si>
    <t>宇出津</t>
  </si>
  <si>
    <t>JPUSU</t>
  </si>
  <si>
    <t>USU</t>
  </si>
  <si>
    <t>USUNOURA</t>
  </si>
  <si>
    <t>臼ノ浦[臼浦]</t>
  </si>
  <si>
    <t>JPUTM</t>
  </si>
  <si>
    <t>UTM</t>
  </si>
  <si>
    <t>UTSUMIAICHI</t>
  </si>
  <si>
    <t>JPUTO</t>
  </si>
  <si>
    <t>UTO</t>
  </si>
  <si>
    <t>UTSUNOMIYA</t>
  </si>
  <si>
    <t>宇都宮</t>
  </si>
  <si>
    <t>JPUTS</t>
  </si>
  <si>
    <t>UTS</t>
  </si>
  <si>
    <t>UTSUMIHIROSHIMA</t>
  </si>
  <si>
    <t>JPUTZ</t>
  </si>
  <si>
    <t>UTZ</t>
  </si>
  <si>
    <t>UTAZU</t>
  </si>
  <si>
    <t>宇多津</t>
  </si>
  <si>
    <t>JPUUR</t>
  </si>
  <si>
    <t>UUR</t>
  </si>
  <si>
    <t>UCHINOURA - KAGOSHIMA</t>
  </si>
  <si>
    <t>内之浦</t>
  </si>
  <si>
    <t>JPUWA</t>
  </si>
  <si>
    <t>UWA</t>
  </si>
  <si>
    <t>UWAJIMA - EHIME</t>
  </si>
  <si>
    <t>宇和島</t>
  </si>
  <si>
    <t>JPUZK</t>
  </si>
  <si>
    <t>UZK</t>
  </si>
  <si>
    <t>UZUKI</t>
  </si>
  <si>
    <t>卯敷</t>
  </si>
  <si>
    <t>JPWAD</t>
  </si>
  <si>
    <t>WADOMARI</t>
  </si>
  <si>
    <t>和泊</t>
  </si>
  <si>
    <t>JPWAI</t>
  </si>
  <si>
    <t>WAITA - YAMAGUCHI</t>
  </si>
  <si>
    <t>涌田</t>
  </si>
  <si>
    <t>JPWAK</t>
  </si>
  <si>
    <t>WAK</t>
  </si>
  <si>
    <t>WAKAYAMA - WAKAYAMA</t>
  </si>
  <si>
    <t>和歌山</t>
  </si>
  <si>
    <t>JPWAM</t>
  </si>
  <si>
    <t>WAM</t>
  </si>
  <si>
    <t>WAKAMATSU/KITAKYUSHU</t>
  </si>
  <si>
    <t>若松／北九州[関門（若松）]</t>
  </si>
  <si>
    <t>JPWAN</t>
  </si>
  <si>
    <t>湾</t>
  </si>
  <si>
    <t>JPWAT</t>
  </si>
  <si>
    <t>WATANOHA</t>
  </si>
  <si>
    <t>渡波</t>
  </si>
  <si>
    <t>JPWDA</t>
  </si>
  <si>
    <t>WDA</t>
  </si>
  <si>
    <t>WADA</t>
  </si>
  <si>
    <t>和田</t>
  </si>
  <si>
    <t>JPWJM</t>
  </si>
  <si>
    <t>WJM</t>
  </si>
  <si>
    <t>WAJIMA</t>
  </si>
  <si>
    <t>輪島</t>
  </si>
  <si>
    <t>JPWKI</t>
  </si>
  <si>
    <t>WKI</t>
  </si>
  <si>
    <t>WAKIMISAKI - NAGASAKI</t>
  </si>
  <si>
    <t>脇岬</t>
  </si>
  <si>
    <t>JPWKJ</t>
  </si>
  <si>
    <t>WKJ</t>
  </si>
  <si>
    <t>WAKKANAI - HOKKAIDO</t>
  </si>
  <si>
    <t>稚内</t>
  </si>
  <si>
    <t>JPWKR</t>
  </si>
  <si>
    <t>WAKURA</t>
  </si>
  <si>
    <t>和倉</t>
  </si>
  <si>
    <t>JPWKT</t>
  </si>
  <si>
    <t>WKT</t>
  </si>
  <si>
    <t>WAKATSU</t>
  </si>
  <si>
    <t>若津</t>
  </si>
  <si>
    <t>JPWKW</t>
  </si>
  <si>
    <t>WKW</t>
  </si>
  <si>
    <t>WAKINOSAWA</t>
  </si>
  <si>
    <t>脇野沢</t>
  </si>
  <si>
    <t>JPWKZ</t>
  </si>
  <si>
    <t>WKZ</t>
  </si>
  <si>
    <t>WAKIZAKI</t>
  </si>
  <si>
    <t>脇崎</t>
  </si>
  <si>
    <t>JPWMT</t>
  </si>
  <si>
    <t>WMT</t>
  </si>
  <si>
    <t>WAKIMOTO - EHIME</t>
  </si>
  <si>
    <t>脇本</t>
  </si>
  <si>
    <t>JPWNA</t>
  </si>
  <si>
    <t>WNA</t>
  </si>
  <si>
    <t>WANO</t>
  </si>
  <si>
    <t>和野</t>
  </si>
  <si>
    <t>JPWNI</t>
  </si>
  <si>
    <t>WNI</t>
  </si>
  <si>
    <t>WANIURA - NAGASAKI</t>
  </si>
  <si>
    <t>鰐浦</t>
  </si>
  <si>
    <t>JPWSB</t>
  </si>
  <si>
    <t>WSB</t>
  </si>
  <si>
    <t>WASHIBEYANOURA</t>
  </si>
  <si>
    <t>鷲部矢の浦</t>
  </si>
  <si>
    <t>JPWTU</t>
  </si>
  <si>
    <t>WTU</t>
  </si>
  <si>
    <t>WAKAMATSU - NAGASAKI</t>
  </si>
  <si>
    <t>若松</t>
  </si>
  <si>
    <t>JPXAB</t>
  </si>
  <si>
    <t>XAB</t>
  </si>
  <si>
    <t>OFF ABURATSU PT - MIYAZAKI</t>
  </si>
  <si>
    <t>油津港沖</t>
  </si>
  <si>
    <t>JPXAE</t>
  </si>
  <si>
    <t>XAE</t>
  </si>
  <si>
    <t>OFF AKKESHI PT - HOKKAIDO</t>
  </si>
  <si>
    <t>厚岸港沖</t>
  </si>
  <si>
    <t>JPXAI</t>
  </si>
  <si>
    <t>XAI</t>
  </si>
  <si>
    <t>OFF AIOI PT - HYOGO</t>
  </si>
  <si>
    <t>相生港沖</t>
  </si>
  <si>
    <t>JPXAK</t>
  </si>
  <si>
    <t>XAK</t>
  </si>
  <si>
    <t>OFF AKOBARU - KAGOSHIMA</t>
  </si>
  <si>
    <t>赤生原沖</t>
  </si>
  <si>
    <t>JPXAO</t>
  </si>
  <si>
    <t>XAO</t>
  </si>
  <si>
    <t>OFF AOMORI PT - AOMORI</t>
  </si>
  <si>
    <t>青森港沖</t>
  </si>
  <si>
    <t>JPXAP</t>
  </si>
  <si>
    <t>OFF AKO PT-HYOGO</t>
  </si>
  <si>
    <t>赤穂港沖</t>
  </si>
  <si>
    <t>JPXAS</t>
  </si>
  <si>
    <t>XAS</t>
  </si>
  <si>
    <t>OFF ASAKAWA PT - TOKUSHIMA</t>
  </si>
  <si>
    <t>浅川港沖</t>
  </si>
  <si>
    <t>JPXAW</t>
  </si>
  <si>
    <t>XAW</t>
  </si>
  <si>
    <t>OFF AWATAGYOKOU - TOKUSHIMA</t>
  </si>
  <si>
    <t>粟田漁港沖</t>
  </si>
  <si>
    <t>JPXEM</t>
  </si>
  <si>
    <t>XEM</t>
  </si>
  <si>
    <t>OFF ERIMOMISAKI - HOKKAIDO</t>
  </si>
  <si>
    <t>襟裳岬沖</t>
  </si>
  <si>
    <t>JPXFY</t>
  </si>
  <si>
    <t>XFY</t>
  </si>
  <si>
    <t>OFF FUKUYAMA PT - HIROSHIMA</t>
  </si>
  <si>
    <t>福山港沖</t>
  </si>
  <si>
    <t>JPXHA</t>
  </si>
  <si>
    <t>XHA</t>
  </si>
  <si>
    <t>OFF HIRAO PT - YAMAGUCHI</t>
  </si>
  <si>
    <t>平生港沖</t>
  </si>
  <si>
    <t>JPXHE</t>
  </si>
  <si>
    <t>XHE</t>
  </si>
  <si>
    <t>OFF HACHINOHE PT - AOMORI</t>
  </si>
  <si>
    <t>八戸港沖</t>
  </si>
  <si>
    <t>JPXHH</t>
  </si>
  <si>
    <t>XHH</t>
  </si>
  <si>
    <t>OFF HIGASHIHARIMA PT- HYOGO</t>
  </si>
  <si>
    <t>東播磨港沖</t>
  </si>
  <si>
    <t>JPXHI</t>
  </si>
  <si>
    <t>XHI</t>
  </si>
  <si>
    <t>OFF HIMEJI PT - HYOGO</t>
  </si>
  <si>
    <t>姫路港沖</t>
  </si>
  <si>
    <t>JPXHK</t>
  </si>
  <si>
    <t>XHK</t>
  </si>
  <si>
    <t>OFF HAKODATE PT - HOKKAIDO</t>
  </si>
  <si>
    <t>函館港沖</t>
  </si>
  <si>
    <t>JPXHM</t>
  </si>
  <si>
    <t>XHM</t>
  </si>
  <si>
    <t>OFF HIROSHIMA PT - HIROSHIMA</t>
  </si>
  <si>
    <t>広島港沖</t>
  </si>
  <si>
    <t>JPXHN</t>
  </si>
  <si>
    <t>XHN</t>
  </si>
  <si>
    <t>OFF HANNAN PT - OSAKA</t>
  </si>
  <si>
    <t>阪南港沖</t>
  </si>
  <si>
    <t>JPXHR</t>
  </si>
  <si>
    <t>XHR</t>
  </si>
  <si>
    <t>OFF HIRO - HIROSHIMA</t>
  </si>
  <si>
    <t>広[呉]沖</t>
  </si>
  <si>
    <t>JPXHS</t>
  </si>
  <si>
    <t>XHS</t>
  </si>
  <si>
    <t>OFF HOSOSHIMA PT - MIYAZAKI</t>
  </si>
  <si>
    <t>細島港沖</t>
  </si>
  <si>
    <t>JPXHT</t>
  </si>
  <si>
    <t>XHT</t>
  </si>
  <si>
    <t>OFF HAKATA PT - FUKUOKA</t>
  </si>
  <si>
    <t>博多港沖</t>
  </si>
  <si>
    <t>JPXHW</t>
  </si>
  <si>
    <t>XHW</t>
  </si>
  <si>
    <t>OFF HIRAKAWA - KAGOSHIMA</t>
  </si>
  <si>
    <t>平川[鹿児島]沖</t>
  </si>
  <si>
    <t>JPXHY</t>
  </si>
  <si>
    <t>XHY</t>
  </si>
  <si>
    <t>OFF HYAKKANJIMA - EHIME</t>
  </si>
  <si>
    <t>百貫島沖</t>
  </si>
  <si>
    <t>JPXIM</t>
  </si>
  <si>
    <t>XIM</t>
  </si>
  <si>
    <t>OFF IMABARI PT - EHIME</t>
  </si>
  <si>
    <t>今治港沖</t>
  </si>
  <si>
    <t>JPXIP</t>
  </si>
  <si>
    <t>XIP</t>
  </si>
  <si>
    <t>OFF ISHIKARIWAN PT -HOKKAIDO</t>
  </si>
  <si>
    <t>石狩湾港沖</t>
  </si>
  <si>
    <t>JPXIS</t>
  </si>
  <si>
    <t>XIS</t>
  </si>
  <si>
    <t>ISEWAN SEABERTH - AICHI</t>
  </si>
  <si>
    <t>伊勢湾シーバース</t>
  </si>
  <si>
    <t>JPXIZ</t>
  </si>
  <si>
    <t>XIZ</t>
  </si>
  <si>
    <t>OFF IZUHARA PT - NAGASAKI</t>
  </si>
  <si>
    <t>厳原港沖</t>
  </si>
  <si>
    <t>JPXKA</t>
  </si>
  <si>
    <t>OFF KAMINOKUNI - HOKKAIDO</t>
  </si>
  <si>
    <t>上ノ国沖</t>
  </si>
  <si>
    <t>JPXKC</t>
  </si>
  <si>
    <t>XKC</t>
  </si>
  <si>
    <t>OFF KOCHI - KOCHI</t>
  </si>
  <si>
    <t>高知沖</t>
  </si>
  <si>
    <t>JPXKD</t>
  </si>
  <si>
    <t>XKD</t>
  </si>
  <si>
    <t>OFF KUDAMATSU PT - YAMAGUCHI</t>
  </si>
  <si>
    <t>下松[徳山下松]港沖</t>
  </si>
  <si>
    <t>JPXKE</t>
  </si>
  <si>
    <t>XKE</t>
  </si>
  <si>
    <t>OFF KOIKE - KAGOSHIMA</t>
  </si>
  <si>
    <t>小池沖</t>
  </si>
  <si>
    <t>JPXKH</t>
  </si>
  <si>
    <t>XKH</t>
  </si>
  <si>
    <t>OFF KASHIMA - HIROSHIMA</t>
  </si>
  <si>
    <t>鹿島沖</t>
  </si>
  <si>
    <t>JPXKK</t>
  </si>
  <si>
    <t>XKK</t>
  </si>
  <si>
    <t>OFF KIKONAI - HOKKAIDO</t>
  </si>
  <si>
    <t>木古内沖</t>
  </si>
  <si>
    <t>JPXKM</t>
  </si>
  <si>
    <t>XKM</t>
  </si>
  <si>
    <t>OFF KAMIISO - HOKKAIDO</t>
  </si>
  <si>
    <t>上磯沖</t>
  </si>
  <si>
    <t>JPXKN</t>
  </si>
  <si>
    <t>XKN</t>
  </si>
  <si>
    <t>OFF KANDA PT - FUKUOKA</t>
  </si>
  <si>
    <t>苅田港沖</t>
  </si>
  <si>
    <t>JPXKO</t>
  </si>
  <si>
    <t>OFF KODOMARI - AOMORI</t>
  </si>
  <si>
    <t>JPXKR</t>
  </si>
  <si>
    <t>XKR</t>
  </si>
  <si>
    <t>OFF KURE PT - HIROSHIMA</t>
  </si>
  <si>
    <t>呉港沖</t>
  </si>
  <si>
    <t>JPXKU</t>
  </si>
  <si>
    <t>XKU</t>
  </si>
  <si>
    <t>OFF KUSHIRO PT - HOKKAIDO</t>
  </si>
  <si>
    <t>釧路港沖</t>
  </si>
  <si>
    <t>JPXMA</t>
  </si>
  <si>
    <t>XMA</t>
  </si>
  <si>
    <t>OFF MATSUSHIMA - NAGASAKI</t>
  </si>
  <si>
    <t>松島沖</t>
  </si>
  <si>
    <t>JPXMI</t>
  </si>
  <si>
    <t>XMI</t>
  </si>
  <si>
    <t>OFF MIZUSHIMA PT - OKAYAMA</t>
  </si>
  <si>
    <t>水島港沖</t>
  </si>
  <si>
    <t>JPXMK</t>
  </si>
  <si>
    <t>XMK</t>
  </si>
  <si>
    <t>OFF MISAKI - KAGAWA</t>
  </si>
  <si>
    <t>三崎沖</t>
  </si>
  <si>
    <t>JPXMS</t>
  </si>
  <si>
    <t>OFF MISHIMAKAWANOE PT - EHIME</t>
  </si>
  <si>
    <t>三島川之江港沖</t>
  </si>
  <si>
    <t>JPXMT</t>
  </si>
  <si>
    <t>XMT</t>
  </si>
  <si>
    <t>OFF MATSUURA PT - NAGASAKI</t>
  </si>
  <si>
    <t>松浦港沖</t>
  </si>
  <si>
    <t>JPXMU</t>
  </si>
  <si>
    <t>XMU</t>
  </si>
  <si>
    <t>OFF MURORAN PT - HOKKAIDO</t>
  </si>
  <si>
    <t>室蘭港沖</t>
  </si>
  <si>
    <t>JPXMY</t>
  </si>
  <si>
    <t>OFF MATSUYAMA PT - EHIME</t>
  </si>
  <si>
    <t>松山港沖</t>
  </si>
  <si>
    <t>JPXNG</t>
  </si>
  <si>
    <t>XNG</t>
  </si>
  <si>
    <t>OFF NAGOYA PT - AICHI</t>
  </si>
  <si>
    <t>名古屋港沖</t>
  </si>
  <si>
    <t>JPXNI</t>
  </si>
  <si>
    <t>XNI</t>
  </si>
  <si>
    <t>OFF NISHI PT - KUMAMOTO</t>
  </si>
  <si>
    <t>西[三角]港沖</t>
  </si>
  <si>
    <t>JPXNM</t>
  </si>
  <si>
    <t>XNM</t>
  </si>
  <si>
    <t>NOMI-KOCHI</t>
  </si>
  <si>
    <t>野見</t>
  </si>
  <si>
    <t>JPXOB</t>
  </si>
  <si>
    <t>XOB</t>
  </si>
  <si>
    <t>OFF OTABUJIMA - OKAYAMA</t>
  </si>
  <si>
    <t>大多府島沖</t>
  </si>
  <si>
    <t>JPXOK</t>
  </si>
  <si>
    <t>XOK</t>
  </si>
  <si>
    <t>OFF OKUSHIRI - HOKKAIDO</t>
  </si>
  <si>
    <t>奥尻沖</t>
  </si>
  <si>
    <t>JPXOM</t>
  </si>
  <si>
    <t>XOM</t>
  </si>
  <si>
    <t>OFF OMORIHAMA - HOKKAIDO</t>
  </si>
  <si>
    <t>大森浜沖</t>
  </si>
  <si>
    <t>JPXOR</t>
  </si>
  <si>
    <t>XOR</t>
  </si>
  <si>
    <t>OFF OKUROKAMIJIMA -HIROSHIMA</t>
  </si>
  <si>
    <t>大黒神島沖</t>
  </si>
  <si>
    <t>JPXOS</t>
  </si>
  <si>
    <t>XOS</t>
  </si>
  <si>
    <t>OFF OOSHIMA - KOCHI</t>
  </si>
  <si>
    <t>大島沖</t>
  </si>
  <si>
    <t>JPXOT</t>
  </si>
  <si>
    <t>XOT</t>
  </si>
  <si>
    <t>OFF OTARU PT - HOKKAIDO</t>
  </si>
  <si>
    <t>小樽港沖</t>
  </si>
  <si>
    <t>JPXOU</t>
  </si>
  <si>
    <t>XOU</t>
  </si>
  <si>
    <t>OFF OOURAGYOKOU - TOKUSHIMA</t>
  </si>
  <si>
    <t>大浦漁港沖</t>
  </si>
  <si>
    <t>JPXOZ</t>
  </si>
  <si>
    <t>XOZ</t>
  </si>
  <si>
    <t>OFF OMAZAKI - AOMORI</t>
  </si>
  <si>
    <t>御前崎沖</t>
  </si>
  <si>
    <t>JPXRB</t>
  </si>
  <si>
    <t>XRB</t>
  </si>
  <si>
    <t>OFF REBUN - HOKKAIDO</t>
  </si>
  <si>
    <t>礼文沖</t>
  </si>
  <si>
    <t>JPXRI</t>
  </si>
  <si>
    <t>XRI</t>
  </si>
  <si>
    <t>OFF RISHIRI - HOKKAIDO</t>
  </si>
  <si>
    <t>利尻沖</t>
  </si>
  <si>
    <t>JPXRM</t>
  </si>
  <si>
    <t>XRM</t>
  </si>
  <si>
    <t>OFF RUMOI PT - HOKKAIDO</t>
  </si>
  <si>
    <t>留萌港沖</t>
  </si>
  <si>
    <t>JPXSB</t>
  </si>
  <si>
    <t>XSB</t>
  </si>
  <si>
    <t>OFF SHIBUSHI PT - KAGOSHIMA</t>
  </si>
  <si>
    <t>志布志港沖</t>
  </si>
  <si>
    <t>JPXSD</t>
  </si>
  <si>
    <t>XSD</t>
  </si>
  <si>
    <t>OFF SHODOSHIMA - KAGAWA</t>
  </si>
  <si>
    <t>小豆島沖</t>
  </si>
  <si>
    <t>JPXSK</t>
  </si>
  <si>
    <t>XSK</t>
  </si>
  <si>
    <t>OFF SAKAIDE PT - KAGAWA</t>
  </si>
  <si>
    <t>坂出港沖</t>
  </si>
  <si>
    <t>JPXSM</t>
  </si>
  <si>
    <t>XSM</t>
  </si>
  <si>
    <t>OFF SHIMIZU PT - SHIZUOKA</t>
  </si>
  <si>
    <t>清水港沖</t>
  </si>
  <si>
    <t>JPXSS</t>
  </si>
  <si>
    <t>XSS</t>
  </si>
  <si>
    <t>OFF SASHIMA - EHIME</t>
  </si>
  <si>
    <t>佐島沖</t>
  </si>
  <si>
    <t>JPXSU</t>
  </si>
  <si>
    <t>XSU</t>
  </si>
  <si>
    <t>OFF SUKUMO - KOCHI</t>
  </si>
  <si>
    <t>宿毛沖</t>
  </si>
  <si>
    <t>JPXSZ</t>
  </si>
  <si>
    <t>XSZ</t>
  </si>
  <si>
    <t>OFF SUSAKI PT - KOCHI</t>
  </si>
  <si>
    <t>須崎港沖</t>
  </si>
  <si>
    <t>JPXTA</t>
  </si>
  <si>
    <t>XTA</t>
  </si>
  <si>
    <t>OFF TADOTSU PT - KAGAWA</t>
  </si>
  <si>
    <t>多度津港沖</t>
  </si>
  <si>
    <t>JPXTB</t>
  </si>
  <si>
    <t>XTB</t>
  </si>
  <si>
    <t>OFF TACHIBANA PT - TOKUSHIMA</t>
  </si>
  <si>
    <t>橘港沖</t>
  </si>
  <si>
    <t>JPXTH</t>
  </si>
  <si>
    <t>XTH</t>
  </si>
  <si>
    <t>OFF TAKEHARA PT - HIROSHIMA</t>
  </si>
  <si>
    <t>竹原港沖</t>
  </si>
  <si>
    <t>JPXTK</t>
  </si>
  <si>
    <t>XTK</t>
  </si>
  <si>
    <t>OFF TOKUYAMA PT - YAMAGUCHI</t>
  </si>
  <si>
    <t>徳山[徳山下松]港沖</t>
  </si>
  <si>
    <t>JPXTM</t>
  </si>
  <si>
    <t>XTM</t>
  </si>
  <si>
    <t>JPXTO</t>
  </si>
  <si>
    <t>OFF TOKACHI PT - HOKKAIDO</t>
  </si>
  <si>
    <t>十勝港沖</t>
  </si>
  <si>
    <t>JPXTS</t>
  </si>
  <si>
    <t>XTS</t>
  </si>
  <si>
    <t>OFF TSUSHIMA - EHIME</t>
  </si>
  <si>
    <t>津島沖</t>
  </si>
  <si>
    <t>JPXTT</t>
  </si>
  <si>
    <t>XTT</t>
  </si>
  <si>
    <t>OFF TOKUSHIMAKOMATSUSHIMA PT - TOKU</t>
  </si>
  <si>
    <t>徳島小松島港沖</t>
  </si>
  <si>
    <t>JPXUB</t>
  </si>
  <si>
    <t>XUB</t>
  </si>
  <si>
    <t>OFF UBE PT- YAMAGUCHI</t>
  </si>
  <si>
    <t>宇部港沖</t>
  </si>
  <si>
    <t>JPXUK</t>
  </si>
  <si>
    <t>XUK</t>
  </si>
  <si>
    <t>OFF KOBE PT - HYOGO</t>
  </si>
  <si>
    <t>神戸[阪神（神戸）]港沖</t>
  </si>
  <si>
    <t>JPXUN</t>
  </si>
  <si>
    <t>XUN</t>
  </si>
  <si>
    <t>OFF UNO PT - OKAYAMA</t>
  </si>
  <si>
    <t>宇野港沖</t>
  </si>
  <si>
    <t>JPXYA</t>
  </si>
  <si>
    <t>XYA</t>
  </si>
  <si>
    <t>OFF YAMAGAWA - KAGOSHIMA</t>
  </si>
  <si>
    <t>山川沖</t>
  </si>
  <si>
    <t>JPXYK</t>
  </si>
  <si>
    <t>XYK</t>
  </si>
  <si>
    <t>OFF YOKOSHIMA - HIROSHIMA</t>
  </si>
  <si>
    <t>横島沖</t>
  </si>
  <si>
    <t>JPYAA</t>
  </si>
  <si>
    <t>YAA</t>
  </si>
  <si>
    <t>YANAGI</t>
  </si>
  <si>
    <t>柳</t>
  </si>
  <si>
    <t>JPYAD</t>
  </si>
  <si>
    <t>YAD</t>
  </si>
  <si>
    <t>YAMADAIWATE</t>
  </si>
  <si>
    <t>山田</t>
  </si>
  <si>
    <t>JPYAE</t>
  </si>
  <si>
    <t>YAEYAMA ISLAND</t>
  </si>
  <si>
    <t>八重山諸島</t>
  </si>
  <si>
    <t>JPYAG</t>
  </si>
  <si>
    <t>YAGIHYOGO</t>
  </si>
  <si>
    <t>八木［姫路]</t>
  </si>
  <si>
    <t>JPYAM</t>
  </si>
  <si>
    <t>YAMAGAWA-KAGOSHIMA</t>
  </si>
  <si>
    <t>山川</t>
  </si>
  <si>
    <t>JPYAN</t>
  </si>
  <si>
    <t>YANAI - YAMAGUCHI</t>
  </si>
  <si>
    <t>柳井</t>
  </si>
  <si>
    <t>JPYAS</t>
  </si>
  <si>
    <t>YAS</t>
  </si>
  <si>
    <t>YASUMIYA</t>
  </si>
  <si>
    <t>休屋</t>
  </si>
  <si>
    <t>JPYAT</t>
  </si>
  <si>
    <t>YATSUSHIRO - KUMAMOTO</t>
  </si>
  <si>
    <t>八代</t>
  </si>
  <si>
    <t>JPYBK</t>
  </si>
  <si>
    <t>YBK</t>
  </si>
  <si>
    <t>YOBUKO - SAGA</t>
  </si>
  <si>
    <t>呼子</t>
  </si>
  <si>
    <t>JPYBT</t>
  </si>
  <si>
    <t>YUBETSU</t>
  </si>
  <si>
    <t>湧別</t>
  </si>
  <si>
    <t>JPYCH</t>
  </si>
  <si>
    <t>YCH</t>
  </si>
  <si>
    <t>YACHIYO</t>
  </si>
  <si>
    <t>八千代</t>
  </si>
  <si>
    <t>JPYDA</t>
  </si>
  <si>
    <t>YOSHIDAAICHI</t>
  </si>
  <si>
    <t>吉田</t>
  </si>
  <si>
    <t>JPYDM</t>
  </si>
  <si>
    <t>YDM</t>
  </si>
  <si>
    <t>YUDOMARI</t>
  </si>
  <si>
    <t>湯泊</t>
  </si>
  <si>
    <t>JPYGE</t>
  </si>
  <si>
    <t>YUGE</t>
  </si>
  <si>
    <t>弓削</t>
  </si>
  <si>
    <t>JPYGH</t>
  </si>
  <si>
    <t>YAMAGUCHIHIGASHI</t>
  </si>
  <si>
    <t>山口東</t>
  </si>
  <si>
    <t>JPYGI</t>
  </si>
  <si>
    <t>YGI</t>
  </si>
  <si>
    <t>YAGIIWATE</t>
  </si>
  <si>
    <t>八木</t>
  </si>
  <si>
    <t>JPYGJ</t>
  </si>
  <si>
    <t>YGJ</t>
  </si>
  <si>
    <t>YONAGO - TOTTORI</t>
  </si>
  <si>
    <t>美保飛行場</t>
  </si>
  <si>
    <t>美保（米子）飛行場</t>
  </si>
  <si>
    <t>JPYGR</t>
  </si>
  <si>
    <t>YAGISHIRI</t>
  </si>
  <si>
    <t>焼尻</t>
  </si>
  <si>
    <t>JPYHA</t>
  </si>
  <si>
    <t>YHA</t>
  </si>
  <si>
    <t>YOSHIURA/YUNOTSU</t>
  </si>
  <si>
    <t>吉浦／温泉津</t>
  </si>
  <si>
    <t>JPYHI</t>
  </si>
  <si>
    <t>YOSHIUMI - EHIME</t>
  </si>
  <si>
    <t>吉海</t>
  </si>
  <si>
    <t>JPYIC</t>
  </si>
  <si>
    <t>YOICHI</t>
  </si>
  <si>
    <t>余市</t>
  </si>
  <si>
    <t>JPYKI</t>
  </si>
  <si>
    <t>YUKI</t>
  </si>
  <si>
    <t>結城</t>
  </si>
  <si>
    <t>JPYKK</t>
  </si>
  <si>
    <t>YKK</t>
  </si>
  <si>
    <t>YOKKAICHI - MIE</t>
  </si>
  <si>
    <t>四日市</t>
  </si>
  <si>
    <t>JPYKS</t>
  </si>
  <si>
    <t>YKS</t>
  </si>
  <si>
    <t>YOKOSHIMA/KURAHASHI</t>
  </si>
  <si>
    <t>横島／倉橋</t>
  </si>
  <si>
    <t>JPYKT</t>
  </si>
  <si>
    <t>YKT</t>
  </si>
  <si>
    <t>YOKOTAHIROSHIMA</t>
  </si>
  <si>
    <t>横田</t>
  </si>
  <si>
    <t>JPYKU</t>
  </si>
  <si>
    <t>YKU</t>
  </si>
  <si>
    <t>YAKUZU</t>
  </si>
  <si>
    <t>屋久津</t>
  </si>
  <si>
    <t>JPYMA</t>
  </si>
  <si>
    <t>YASURAHAMA</t>
  </si>
  <si>
    <t>やすら浜</t>
  </si>
  <si>
    <t>JPYMC</t>
  </si>
  <si>
    <t>YMC</t>
  </si>
  <si>
    <t>YUMACHI</t>
  </si>
  <si>
    <t>湯町</t>
  </si>
  <si>
    <t>JPYMD</t>
  </si>
  <si>
    <t>YAMADAOKAYAMA</t>
  </si>
  <si>
    <t>JPYMG</t>
  </si>
  <si>
    <t>YMG</t>
  </si>
  <si>
    <t>YAMAGUCHI - YAMAGUCHI</t>
  </si>
  <si>
    <t>山口</t>
  </si>
  <si>
    <t>JPYMN</t>
  </si>
  <si>
    <t>YMN</t>
  </si>
  <si>
    <t>YAMANOURA - KUMAMOTO</t>
  </si>
  <si>
    <t>山の浦</t>
  </si>
  <si>
    <t>JPYMT</t>
  </si>
  <si>
    <t>YAMATANI</t>
  </si>
  <si>
    <t>山谷</t>
  </si>
  <si>
    <t>JPYMU</t>
  </si>
  <si>
    <t>YMU</t>
  </si>
  <si>
    <t>YUMUGI</t>
  </si>
  <si>
    <t>湯向</t>
  </si>
  <si>
    <t>JPYNE</t>
  </si>
  <si>
    <t>YAENE</t>
  </si>
  <si>
    <t>八重根</t>
  </si>
  <si>
    <t>JPYNG</t>
  </si>
  <si>
    <t>YNG</t>
  </si>
  <si>
    <t>YONAGO</t>
  </si>
  <si>
    <t>米子</t>
  </si>
  <si>
    <t>JPYNI</t>
  </si>
  <si>
    <t>YANI</t>
  </si>
  <si>
    <t>屋仁</t>
  </si>
  <si>
    <t>JPYNM</t>
  </si>
  <si>
    <t>YUNOMOCHIKI</t>
  </si>
  <si>
    <t>湯之持木</t>
  </si>
  <si>
    <t>JPYNN</t>
  </si>
  <si>
    <t>YNN</t>
  </si>
  <si>
    <t>YANMA</t>
  </si>
  <si>
    <t>山間</t>
  </si>
  <si>
    <t>JPYNS</t>
  </si>
  <si>
    <t>YNS</t>
  </si>
  <si>
    <t>YAMANASHI</t>
  </si>
  <si>
    <t>山梨</t>
  </si>
  <si>
    <t>JPYNT</t>
  </si>
  <si>
    <t>YUNOTSU</t>
  </si>
  <si>
    <t>温泉津</t>
  </si>
  <si>
    <t>JPYNZ</t>
  </si>
  <si>
    <t>YONOUZU - OITA</t>
  </si>
  <si>
    <t>米水津</t>
  </si>
  <si>
    <t>JPYOC</t>
  </si>
  <si>
    <t>YOICHIGAURA</t>
  </si>
  <si>
    <t>与一ヶ浦</t>
  </si>
  <si>
    <t>JPYOG</t>
  </si>
  <si>
    <t>YONEGURA</t>
  </si>
  <si>
    <t>米倉</t>
  </si>
  <si>
    <t>JPYOK</t>
  </si>
  <si>
    <t>YOK</t>
  </si>
  <si>
    <t>YOKOHAMA - KANAGAWA</t>
  </si>
  <si>
    <t>横浜［京浜（横浜）］</t>
  </si>
  <si>
    <t>JPYOR</t>
  </si>
  <si>
    <t>YOR</t>
  </si>
  <si>
    <t>与路</t>
  </si>
  <si>
    <t>JPYOS</t>
  </si>
  <si>
    <t>YOS</t>
  </si>
  <si>
    <t>YOKOSUKA - KANAGAWA</t>
  </si>
  <si>
    <t>横須賀</t>
  </si>
  <si>
    <t>JPYOT</t>
  </si>
  <si>
    <t>YOT</t>
  </si>
  <si>
    <t>YOTSUKURA</t>
  </si>
  <si>
    <t>四倉</t>
  </si>
  <si>
    <t>JPYOU</t>
  </si>
  <si>
    <t>YOURA</t>
  </si>
  <si>
    <t>四浦</t>
  </si>
  <si>
    <t>JPYQD</t>
  </si>
  <si>
    <t>YAMADA</t>
  </si>
  <si>
    <t>JPYRA</t>
  </si>
  <si>
    <t>YRA</t>
  </si>
  <si>
    <t>YURAHYOGO</t>
  </si>
  <si>
    <t>由良</t>
  </si>
  <si>
    <t>JPYRG</t>
  </si>
  <si>
    <t>YRG</t>
  </si>
  <si>
    <t>YURIGAHAMA</t>
  </si>
  <si>
    <t>百合ヶ浜</t>
  </si>
  <si>
    <t>JPYSD</t>
  </si>
  <si>
    <t>YOSHIDA - EHIME</t>
  </si>
  <si>
    <t>JPYSG</t>
  </si>
  <si>
    <t>YSG</t>
  </si>
  <si>
    <t>YASUGI - SHIMANE</t>
  </si>
  <si>
    <t>安来</t>
  </si>
  <si>
    <t>JPYSH</t>
  </si>
  <si>
    <t>YUASAHIRO</t>
  </si>
  <si>
    <t>湯浅広</t>
  </si>
  <si>
    <t>JPYSM</t>
  </si>
  <si>
    <t>YOSHIMA</t>
  </si>
  <si>
    <t>与島</t>
  </si>
  <si>
    <t>JPYSN</t>
  </si>
  <si>
    <t>YSN</t>
  </si>
  <si>
    <t>YOSHINOZAKI</t>
  </si>
  <si>
    <t>吉野崎</t>
  </si>
  <si>
    <t>JPYSR</t>
  </si>
  <si>
    <t>YOSHIURA/MISUMI</t>
  </si>
  <si>
    <t>吉浦／三隅</t>
  </si>
  <si>
    <t>JPYSS</t>
  </si>
  <si>
    <t>YOSHIASE</t>
  </si>
  <si>
    <t>吉悪</t>
  </si>
  <si>
    <t>JPYSU</t>
  </si>
  <si>
    <t>YOSHIURA</t>
  </si>
  <si>
    <t>吉浦</t>
  </si>
  <si>
    <t>JPYSZ</t>
  </si>
  <si>
    <t>YOSHIZU</t>
  </si>
  <si>
    <t>吉津</t>
  </si>
  <si>
    <t>JPYTI</t>
  </si>
  <si>
    <t>YUTAI - EHIME</t>
  </si>
  <si>
    <t>油袋</t>
  </si>
  <si>
    <t>JPYUA</t>
  </si>
  <si>
    <t>YUA</t>
  </si>
  <si>
    <t>YURAYAMAGUCHI</t>
  </si>
  <si>
    <t>油良</t>
  </si>
  <si>
    <t>JPYUJ</t>
  </si>
  <si>
    <t>YUJ</t>
  </si>
  <si>
    <t>YURAYAMAGATA</t>
  </si>
  <si>
    <t>JPYUK</t>
  </si>
  <si>
    <t>YUK</t>
  </si>
  <si>
    <t>由岐</t>
  </si>
  <si>
    <t>JPYUR</t>
  </si>
  <si>
    <t>YUR</t>
  </si>
  <si>
    <t>YURA - WAKAYAMA</t>
  </si>
  <si>
    <t>JPYUS</t>
  </si>
  <si>
    <t>YUS</t>
  </si>
  <si>
    <t>YUSU - EHIME</t>
  </si>
  <si>
    <t>遊子</t>
  </si>
  <si>
    <t>JPYUU</t>
  </si>
  <si>
    <t>YUU</t>
  </si>
  <si>
    <t>由宇</t>
  </si>
  <si>
    <t>JPYUZ</t>
  </si>
  <si>
    <t>YUZ</t>
  </si>
  <si>
    <t>YUZA</t>
  </si>
  <si>
    <t>遊佐</t>
  </si>
  <si>
    <t>JPYWH</t>
  </si>
  <si>
    <t>YAWATAHAMA</t>
  </si>
  <si>
    <t>八幡浜</t>
  </si>
  <si>
    <t>JPYWN</t>
  </si>
  <si>
    <t>YUWAN</t>
  </si>
  <si>
    <t>湯湾</t>
  </si>
  <si>
    <t>JPYWT</t>
  </si>
  <si>
    <t>YWT</t>
  </si>
  <si>
    <t>YAWATA/KITAKYUSHU-FUKUOKA</t>
  </si>
  <si>
    <t>八幡／北九州[関門（若松）]</t>
  </si>
  <si>
    <t>JPYYA</t>
  </si>
  <si>
    <t>YYA</t>
  </si>
  <si>
    <t>AWANO - YAMAGUCHI</t>
  </si>
  <si>
    <t>油谷[栗野]</t>
  </si>
  <si>
    <t>JPYZU</t>
  </si>
  <si>
    <t>YAIZU - SHIZUOKA</t>
  </si>
  <si>
    <t>焼津</t>
  </si>
  <si>
    <t>JPZAM</t>
  </si>
  <si>
    <t>ZAM</t>
  </si>
  <si>
    <t>ZAMA-KANAGAWA</t>
  </si>
  <si>
    <t>座間</t>
  </si>
  <si>
    <t>JPZMM</t>
  </si>
  <si>
    <t>ZMM</t>
  </si>
  <si>
    <t>ZAMAMI</t>
  </si>
  <si>
    <t>座間味</t>
  </si>
  <si>
    <t>JPZNO</t>
  </si>
  <si>
    <t>ZNO</t>
  </si>
  <si>
    <t>ZENNO BERTH - HIROSHIMA</t>
  </si>
  <si>
    <t>全農バース</t>
  </si>
  <si>
    <t>JPZZ1</t>
  </si>
  <si>
    <t>ZZ1</t>
  </si>
  <si>
    <t>TOK-C-KANKATSU</t>
  </si>
  <si>
    <t>JPZZ2</t>
  </si>
  <si>
    <t>ZZ2</t>
  </si>
  <si>
    <t>YOK-C-KANKATSU</t>
  </si>
  <si>
    <t>JPZZ3</t>
  </si>
  <si>
    <t>ZZ3</t>
  </si>
  <si>
    <t>KOB-C-KANKATSU</t>
  </si>
  <si>
    <t>JPZZ4</t>
  </si>
  <si>
    <t>ZZ4</t>
  </si>
  <si>
    <t>OSA-C-KANKATSU</t>
  </si>
  <si>
    <t>JPZZ5</t>
  </si>
  <si>
    <t>ZZ5</t>
  </si>
  <si>
    <t>NAG-C-KANKATSU</t>
  </si>
  <si>
    <t>JPZZ6</t>
  </si>
  <si>
    <t>ZZ6</t>
  </si>
  <si>
    <t>MOJ-C-KANKATSU</t>
  </si>
  <si>
    <t>JPZZ7</t>
  </si>
  <si>
    <t>ZZ7</t>
  </si>
  <si>
    <t>NAS-C-KANKATSU</t>
  </si>
  <si>
    <t>JPZZ8</t>
  </si>
  <si>
    <t>ZZ8</t>
  </si>
  <si>
    <t>HAK-C-KANKATSU</t>
  </si>
  <si>
    <t>JPZZ9</t>
  </si>
  <si>
    <t>ZZ9</t>
  </si>
  <si>
    <t>OKI-C-KANKATSU</t>
  </si>
  <si>
    <t>JPZZA</t>
  </si>
  <si>
    <t>ZZA</t>
  </si>
  <si>
    <t>OTHER APT</t>
  </si>
  <si>
    <t>JPZZZ</t>
  </si>
  <si>
    <t>UNKNOWN</t>
  </si>
  <si>
    <t>粟国空港</t>
  </si>
  <si>
    <t>奄美空港</t>
  </si>
  <si>
    <t>KADENA APT-OKINAWA</t>
  </si>
  <si>
    <t>嘉手納飛行場</t>
  </si>
  <si>
    <t>福井空港</t>
  </si>
  <si>
    <t>FUKUE, NAGASAKI</t>
  </si>
  <si>
    <t>福江空港</t>
  </si>
  <si>
    <t>山形空港</t>
  </si>
  <si>
    <t>八丈島空港</t>
  </si>
  <si>
    <t>HIROSHIMANISHI</t>
  </si>
  <si>
    <t>広島西飛行場</t>
  </si>
  <si>
    <t>HIW</t>
  </si>
  <si>
    <t>波照間空港</t>
  </si>
  <si>
    <t>伊江島空港</t>
  </si>
  <si>
    <t>壱岐空港</t>
  </si>
  <si>
    <t>ITAMI</t>
  </si>
  <si>
    <t>大阪国際空港（伊丹空港）</t>
  </si>
  <si>
    <t>ITM</t>
  </si>
  <si>
    <t>IWAMI</t>
  </si>
  <si>
    <t>石見空港</t>
  </si>
  <si>
    <t>IWJ</t>
  </si>
  <si>
    <t>IWAKUNI APT</t>
  </si>
  <si>
    <t>出雲空港</t>
  </si>
  <si>
    <t>高知空港</t>
  </si>
  <si>
    <t>喜界空港</t>
  </si>
  <si>
    <t>KITADAITO APT</t>
  </si>
  <si>
    <t>北大東空港</t>
  </si>
  <si>
    <t>釧路空港</t>
  </si>
  <si>
    <t>屋久島空港</t>
  </si>
  <si>
    <t>紋別空港</t>
  </si>
  <si>
    <t>女満別空港</t>
  </si>
  <si>
    <t>南大東空港</t>
  </si>
  <si>
    <t>松本空港</t>
  </si>
  <si>
    <t>宮古島空港</t>
  </si>
  <si>
    <t>三沢飛行場</t>
  </si>
  <si>
    <t>MIYAKEJIMA APT/TOKYO</t>
  </si>
  <si>
    <t>三宅島空港</t>
  </si>
  <si>
    <t>MYE</t>
  </si>
  <si>
    <t>NAGOYA</t>
  </si>
  <si>
    <t>県営名古屋空港</t>
  </si>
  <si>
    <t>NOTO</t>
  </si>
  <si>
    <t>能登空港</t>
  </si>
  <si>
    <t>NTQ</t>
  </si>
  <si>
    <t>帯広空港</t>
  </si>
  <si>
    <t>与那国空港</t>
  </si>
  <si>
    <t>OHSHIMA, TOKYO</t>
  </si>
  <si>
    <t>大島空港</t>
  </si>
  <si>
    <t>奥尻空港</t>
  </si>
  <si>
    <t>OKADAMA APT/SAPPORO</t>
  </si>
  <si>
    <t>札幌（丘珠）飛行場</t>
  </si>
  <si>
    <t>OKD</t>
  </si>
  <si>
    <t>沖永良部空港</t>
  </si>
  <si>
    <t>隠岐空港</t>
  </si>
  <si>
    <t>YOKOTA APT-TOKYO</t>
  </si>
  <si>
    <t>横田飛行場</t>
  </si>
  <si>
    <t>OKO</t>
  </si>
  <si>
    <t>ODATE-NOSHIRO</t>
  </si>
  <si>
    <t>大館能代空港</t>
  </si>
  <si>
    <t>礼文空港</t>
  </si>
  <si>
    <t>利尻空港</t>
  </si>
  <si>
    <t>YORONJIMA</t>
  </si>
  <si>
    <t>世論空港</t>
  </si>
  <si>
    <t>佐渡空港</t>
  </si>
  <si>
    <t>中標津空港</t>
  </si>
  <si>
    <t>下地島空港</t>
  </si>
  <si>
    <t>SHIRAHAMA, WAKAYAMA</t>
  </si>
  <si>
    <t>南紀白浜空港</t>
  </si>
  <si>
    <t>SHONAI</t>
  </si>
  <si>
    <t>庄内空港</t>
  </si>
  <si>
    <t>TAJIMA</t>
  </si>
  <si>
    <t>但馬飛行場</t>
  </si>
  <si>
    <t>TJH</t>
  </si>
  <si>
    <t>徳之島空港</t>
  </si>
  <si>
    <t>徳島飛行場</t>
  </si>
  <si>
    <t>新種子島空港</t>
  </si>
  <si>
    <t>多良間空港</t>
  </si>
  <si>
    <t>対馬空港</t>
  </si>
  <si>
    <t>鳥取空港</t>
  </si>
  <si>
    <t>山口宇部空港</t>
  </si>
  <si>
    <t>久米島空港</t>
  </si>
  <si>
    <t>UEO</t>
  </si>
  <si>
    <t>神戸空港</t>
  </si>
  <si>
    <t>稚内空港</t>
  </si>
  <si>
    <t>KENYA</t>
  </si>
  <si>
    <t>ケニア</t>
  </si>
  <si>
    <t>KEBMQ</t>
  </si>
  <si>
    <t>KE</t>
  </si>
  <si>
    <t>BMQ</t>
  </si>
  <si>
    <t>BAMBURI</t>
  </si>
  <si>
    <t>KEEDL</t>
  </si>
  <si>
    <t>EDL</t>
  </si>
  <si>
    <t>ELDORET</t>
  </si>
  <si>
    <t>KEEYS</t>
  </si>
  <si>
    <t>EYS</t>
  </si>
  <si>
    <t>ELIYE SPRINGS</t>
  </si>
  <si>
    <t>KEFER</t>
  </si>
  <si>
    <t>FERGUSONS GUL</t>
  </si>
  <si>
    <t>KEGAS</t>
  </si>
  <si>
    <t>GAS</t>
  </si>
  <si>
    <t>GARISSA</t>
  </si>
  <si>
    <t>KEHOA</t>
  </si>
  <si>
    <t>HOA</t>
  </si>
  <si>
    <t>HOLA</t>
  </si>
  <si>
    <t>KEKEY</t>
  </si>
  <si>
    <t>KEY</t>
  </si>
  <si>
    <t>KERICHO</t>
  </si>
  <si>
    <t>KEKIS</t>
  </si>
  <si>
    <t>KISUMU</t>
  </si>
  <si>
    <t>KEKIU</t>
  </si>
  <si>
    <t>KIU</t>
  </si>
  <si>
    <t>KIUNGA</t>
  </si>
  <si>
    <t>KEKRV</t>
  </si>
  <si>
    <t>KRV</t>
  </si>
  <si>
    <t>KERIO VALLEY</t>
  </si>
  <si>
    <t>KEKTL</t>
  </si>
  <si>
    <t>KITALE</t>
  </si>
  <si>
    <t>KEKWY</t>
  </si>
  <si>
    <t>KWY</t>
  </si>
  <si>
    <t>KIWAYU</t>
  </si>
  <si>
    <t>KELAU</t>
  </si>
  <si>
    <t>LAMU</t>
  </si>
  <si>
    <t>KELBN</t>
  </si>
  <si>
    <t>LBN</t>
  </si>
  <si>
    <t>LAKE BARINGO</t>
  </si>
  <si>
    <t>KELKU</t>
  </si>
  <si>
    <t>LAKE RUDOLF</t>
  </si>
  <si>
    <t>KELOY</t>
  </si>
  <si>
    <t>LOY</t>
  </si>
  <si>
    <t>LOYANGALANI</t>
  </si>
  <si>
    <t>KEMBA</t>
  </si>
  <si>
    <t>MBA</t>
  </si>
  <si>
    <t>MOMBASA</t>
  </si>
  <si>
    <t>KEMRE</t>
  </si>
  <si>
    <t>MARA LODGES</t>
  </si>
  <si>
    <t>KEMUM</t>
  </si>
  <si>
    <t>MUM</t>
  </si>
  <si>
    <t>MUMIAS</t>
  </si>
  <si>
    <t>KEMYD</t>
  </si>
  <si>
    <t>MYD</t>
  </si>
  <si>
    <t>MALINDI</t>
  </si>
  <si>
    <t>KENBO</t>
  </si>
  <si>
    <t>NBO</t>
  </si>
  <si>
    <t>NAIROBI</t>
  </si>
  <si>
    <t>KENDE</t>
  </si>
  <si>
    <t>NDE</t>
  </si>
  <si>
    <t>MANDERA</t>
  </si>
  <si>
    <t>KENUU</t>
  </si>
  <si>
    <t>NUU</t>
  </si>
  <si>
    <t>NAKURU</t>
  </si>
  <si>
    <t>KENZO</t>
  </si>
  <si>
    <t>NZO</t>
  </si>
  <si>
    <t>NZOIA</t>
  </si>
  <si>
    <t>KEOYL</t>
  </si>
  <si>
    <t>OYL</t>
  </si>
  <si>
    <t>KERBT</t>
  </si>
  <si>
    <t>RBT</t>
  </si>
  <si>
    <t>MARSABIT</t>
  </si>
  <si>
    <t>KEWIL</t>
  </si>
  <si>
    <t>WILSON APT/NAIROBI</t>
  </si>
  <si>
    <t>KEWJR</t>
  </si>
  <si>
    <t>WJR</t>
  </si>
  <si>
    <t>WAJIR</t>
  </si>
  <si>
    <t>KEZZZ</t>
  </si>
  <si>
    <t>KYRGYZ</t>
  </si>
  <si>
    <t>キルギス</t>
  </si>
  <si>
    <t>KGFRU</t>
  </si>
  <si>
    <t xml:space="preserve">BISHKEK(EX FRUNZE) </t>
  </si>
  <si>
    <t>KYRGY</t>
  </si>
  <si>
    <t>KGZZZ</t>
  </si>
  <si>
    <t>CAMBODIA</t>
  </si>
  <si>
    <t>カンボジア</t>
  </si>
  <si>
    <t>KHBBM</t>
  </si>
  <si>
    <t>KH</t>
  </si>
  <si>
    <t>BBM</t>
  </si>
  <si>
    <t>BATTAMBANG</t>
  </si>
  <si>
    <t>CAMBO</t>
  </si>
  <si>
    <t>KHCHE</t>
  </si>
  <si>
    <t>CHEKO</t>
  </si>
  <si>
    <t>KHKKO</t>
  </si>
  <si>
    <t>KAS KONG</t>
  </si>
  <si>
    <t>KHKMT</t>
  </si>
  <si>
    <t>KAMPOT</t>
  </si>
  <si>
    <t>KHKOS</t>
  </si>
  <si>
    <t>KOMPONGSOM</t>
  </si>
  <si>
    <t>KHKTI</t>
  </si>
  <si>
    <t>KRATIE</t>
  </si>
  <si>
    <t>KHKZC</t>
  </si>
  <si>
    <t>KZC</t>
  </si>
  <si>
    <t>KOMPONG-CHHNA</t>
  </si>
  <si>
    <t>KHKZD</t>
  </si>
  <si>
    <t>KZD</t>
  </si>
  <si>
    <t>KRAKOR</t>
  </si>
  <si>
    <t>KHKZK</t>
  </si>
  <si>
    <t>KOMPONG THOM</t>
  </si>
  <si>
    <t>KHOMY</t>
  </si>
  <si>
    <t>ODDOR MEANCHE</t>
  </si>
  <si>
    <t>KHPAI</t>
  </si>
  <si>
    <t>PAILIN</t>
  </si>
  <si>
    <t>KHPNH</t>
  </si>
  <si>
    <t>PNH</t>
  </si>
  <si>
    <t>PHNOMPENH</t>
  </si>
  <si>
    <t>KHREP</t>
  </si>
  <si>
    <t>REP</t>
  </si>
  <si>
    <t>SIEM REAP</t>
  </si>
  <si>
    <t>KHSIH</t>
  </si>
  <si>
    <t>SIHANOUKVILLE</t>
  </si>
  <si>
    <t>KHSVR</t>
  </si>
  <si>
    <t>SVR</t>
  </si>
  <si>
    <t>SVAY RIENG</t>
  </si>
  <si>
    <t>KHZZZ</t>
  </si>
  <si>
    <t>KIRIBATI</t>
  </si>
  <si>
    <t>キリバス</t>
  </si>
  <si>
    <t>KIAAK</t>
  </si>
  <si>
    <t>KI</t>
  </si>
  <si>
    <t>AAK</t>
  </si>
  <si>
    <t>ARANUKA</t>
  </si>
  <si>
    <t>GIL I</t>
  </si>
  <si>
    <t>KIABF</t>
  </si>
  <si>
    <t>ABAIANG</t>
  </si>
  <si>
    <t>KIAEA</t>
  </si>
  <si>
    <t>AEA</t>
  </si>
  <si>
    <t>ABEMAMA</t>
  </si>
  <si>
    <t>KIAIS</t>
  </si>
  <si>
    <t>AIS</t>
  </si>
  <si>
    <t>ARORAE ISLAND</t>
  </si>
  <si>
    <t>KIBBG</t>
  </si>
  <si>
    <t>BUTARITARI</t>
  </si>
  <si>
    <t>KIBEZ</t>
  </si>
  <si>
    <t>BEZ</t>
  </si>
  <si>
    <t>BERU</t>
  </si>
  <si>
    <t>KICIS</t>
  </si>
  <si>
    <t>CIS</t>
  </si>
  <si>
    <t>CANTON ISLAND</t>
  </si>
  <si>
    <t>KICXI</t>
  </si>
  <si>
    <t>CXI</t>
  </si>
  <si>
    <t>CHRISTMAS ISL</t>
  </si>
  <si>
    <t>KIFIS</t>
  </si>
  <si>
    <t>FANNING ISLANDS</t>
  </si>
  <si>
    <t>KIKUC</t>
  </si>
  <si>
    <t>KURIA</t>
  </si>
  <si>
    <t>KIMNK</t>
  </si>
  <si>
    <t>MNK</t>
  </si>
  <si>
    <t>MAIANA</t>
  </si>
  <si>
    <t>KIMTK</t>
  </si>
  <si>
    <t>MAKIN ISLAND</t>
  </si>
  <si>
    <t>KIMZK</t>
  </si>
  <si>
    <t>MARAKEI</t>
  </si>
  <si>
    <t>KINIG</t>
  </si>
  <si>
    <t>NIG</t>
  </si>
  <si>
    <t>NIKUNAU</t>
  </si>
  <si>
    <t>KINON</t>
  </si>
  <si>
    <t>NONOUTI</t>
  </si>
  <si>
    <t>KIOOT</t>
  </si>
  <si>
    <t>OOT</t>
  </si>
  <si>
    <t>ONOTOA</t>
  </si>
  <si>
    <t>KIPHO</t>
  </si>
  <si>
    <t>PHO</t>
  </si>
  <si>
    <t>PHOENIX ISLANDS</t>
  </si>
  <si>
    <t>KITBF</t>
  </si>
  <si>
    <t>TBF</t>
  </si>
  <si>
    <t>TABITEUEA NORTH</t>
  </si>
  <si>
    <t>KITMN</t>
  </si>
  <si>
    <t>TAMANA ISLAND</t>
  </si>
  <si>
    <t>KITRW</t>
  </si>
  <si>
    <t>TRW</t>
  </si>
  <si>
    <t>TARAWA</t>
  </si>
  <si>
    <t>KITSU</t>
  </si>
  <si>
    <t>TABITEUEA SOU</t>
  </si>
  <si>
    <t>KIWNI</t>
  </si>
  <si>
    <t>WASHINGTON ISLANDS</t>
  </si>
  <si>
    <t>KIZZZ</t>
  </si>
  <si>
    <t>COMOROS</t>
  </si>
  <si>
    <t>コモロ</t>
  </si>
  <si>
    <t>KMAJN</t>
  </si>
  <si>
    <t>KM</t>
  </si>
  <si>
    <t>ANJOUAN</t>
  </si>
  <si>
    <t>COM I</t>
  </si>
  <si>
    <t>KMDZA</t>
  </si>
  <si>
    <t>DZA</t>
  </si>
  <si>
    <t>DZAOUDZI</t>
  </si>
  <si>
    <t>KMHAH</t>
  </si>
  <si>
    <t>HAHAYA APT/MORONI</t>
  </si>
  <si>
    <t>KMNWA</t>
  </si>
  <si>
    <t>MOHELI</t>
  </si>
  <si>
    <t>KMYVA</t>
  </si>
  <si>
    <t>YVA</t>
  </si>
  <si>
    <t>MORONI</t>
  </si>
  <si>
    <t>KMZZZ</t>
  </si>
  <si>
    <t>ST. KITTS-NEVIS</t>
  </si>
  <si>
    <t>セントクリストファー・ネービス</t>
  </si>
  <si>
    <t>KNBAS</t>
  </si>
  <si>
    <t>KN</t>
  </si>
  <si>
    <t>BASSETERRE - ST KITTS</t>
  </si>
  <si>
    <t>KNNEV</t>
  </si>
  <si>
    <t>NEV</t>
  </si>
  <si>
    <t>CHARLESTOWNNEVIS</t>
  </si>
  <si>
    <t>S KIT</t>
  </si>
  <si>
    <t>KNSKB</t>
  </si>
  <si>
    <t>ST KITTS</t>
  </si>
  <si>
    <t>KNZZZ</t>
  </si>
  <si>
    <t>KOREA,DEMOCRATIC,PEOPLE'S REPUBLIC OF</t>
  </si>
  <si>
    <t>北朝鮮</t>
  </si>
  <si>
    <t>KPCHO</t>
  </si>
  <si>
    <t>KP</t>
  </si>
  <si>
    <t>CHONGJIN</t>
  </si>
  <si>
    <t>KPFNJ</t>
  </si>
  <si>
    <t>FNJ</t>
  </si>
  <si>
    <t>PYONGYANG</t>
  </si>
  <si>
    <t>N KOR</t>
  </si>
  <si>
    <t>KPGEN</t>
  </si>
  <si>
    <t>GEN</t>
  </si>
  <si>
    <t>GENSAN</t>
  </si>
  <si>
    <t>KPHAE</t>
  </si>
  <si>
    <t>HAEJU</t>
  </si>
  <si>
    <t>KPHGM</t>
  </si>
  <si>
    <t>HUNGNAM</t>
  </si>
  <si>
    <t>KPNAM</t>
  </si>
  <si>
    <t>NAMPO</t>
  </si>
  <si>
    <t>KPODA</t>
  </si>
  <si>
    <t>ODAEJIN</t>
  </si>
  <si>
    <t>KPRIW</t>
  </si>
  <si>
    <t>RIW</t>
  </si>
  <si>
    <t>RIWON</t>
  </si>
  <si>
    <t>KPSAM</t>
  </si>
  <si>
    <t>SAMCHA DO</t>
  </si>
  <si>
    <t>KPSIN</t>
  </si>
  <si>
    <t>SINPO</t>
  </si>
  <si>
    <t>KPWON</t>
  </si>
  <si>
    <t>WONSAN</t>
  </si>
  <si>
    <t>KPZZZ</t>
  </si>
  <si>
    <t>KOREA, REPUBLIC OF</t>
  </si>
  <si>
    <t>大韓民国</t>
  </si>
  <si>
    <t>KRBNP</t>
  </si>
  <si>
    <t>KR</t>
  </si>
  <si>
    <t>BNP</t>
  </si>
  <si>
    <t>BUSAN NEW PORT</t>
  </si>
  <si>
    <t>KRCHA</t>
  </si>
  <si>
    <t>CHEJU</t>
  </si>
  <si>
    <t>KRCHF</t>
  </si>
  <si>
    <t>CHINHAE</t>
  </si>
  <si>
    <t>S KOR</t>
  </si>
  <si>
    <t>KRCHN</t>
  </si>
  <si>
    <t>CHN</t>
  </si>
  <si>
    <t>CHONJU</t>
  </si>
  <si>
    <t>KRCJU</t>
  </si>
  <si>
    <t>KRGMP</t>
  </si>
  <si>
    <t>GMP</t>
  </si>
  <si>
    <t>GIMPO</t>
  </si>
  <si>
    <t>KRHIN</t>
  </si>
  <si>
    <t>CHINJU</t>
  </si>
  <si>
    <t>KRICN</t>
  </si>
  <si>
    <t>ICN</t>
  </si>
  <si>
    <t>INCHEON INTL APT/SEOUL</t>
  </si>
  <si>
    <t>KRINC</t>
  </si>
  <si>
    <t>INCHEON</t>
  </si>
  <si>
    <t>KRKAG</t>
  </si>
  <si>
    <t>KANGNUNG</t>
  </si>
  <si>
    <t>KRKAN</t>
  </si>
  <si>
    <t>KWANGYANG</t>
  </si>
  <si>
    <t>KRKHN</t>
  </si>
  <si>
    <t>KOHYON</t>
  </si>
  <si>
    <t>KRKJE</t>
  </si>
  <si>
    <t>KJE</t>
  </si>
  <si>
    <t>KOJE</t>
  </si>
  <si>
    <t>KRKPO</t>
  </si>
  <si>
    <t>KPO</t>
  </si>
  <si>
    <t>POHANG</t>
  </si>
  <si>
    <t>KRKUV</t>
  </si>
  <si>
    <t>KUV</t>
  </si>
  <si>
    <t>KUNSAN</t>
  </si>
  <si>
    <t>KRKUZ</t>
  </si>
  <si>
    <t>KUSAN</t>
  </si>
  <si>
    <t>KRKWJ</t>
  </si>
  <si>
    <t>GWANGJU</t>
  </si>
  <si>
    <t>KRMAS</t>
  </si>
  <si>
    <t>MASAN</t>
  </si>
  <si>
    <t>KRMIP</t>
  </si>
  <si>
    <t>MIPO</t>
  </si>
  <si>
    <t>KRMOK</t>
  </si>
  <si>
    <t>MOKPO</t>
  </si>
  <si>
    <t>KRMUK</t>
  </si>
  <si>
    <t>MUKHO</t>
  </si>
  <si>
    <t>KROKK</t>
  </si>
  <si>
    <t>OKKYE</t>
  </si>
  <si>
    <t>KROKP</t>
  </si>
  <si>
    <t>OKPO</t>
  </si>
  <si>
    <t>KRONS</t>
  </si>
  <si>
    <t>ONSAN</t>
  </si>
  <si>
    <t>KROSN</t>
  </si>
  <si>
    <t>OSAN</t>
  </si>
  <si>
    <t>KRPTK</t>
  </si>
  <si>
    <t>PYEONGTAEK</t>
  </si>
  <si>
    <t>KRPUS</t>
  </si>
  <si>
    <t>PUS</t>
  </si>
  <si>
    <t>PUSAN</t>
  </si>
  <si>
    <t>KRRSU</t>
  </si>
  <si>
    <t>YEOSU</t>
  </si>
  <si>
    <t>KRSCP</t>
  </si>
  <si>
    <t>SAMCHONPO</t>
  </si>
  <si>
    <t>KRSEL</t>
  </si>
  <si>
    <t>SEOUL</t>
  </si>
  <si>
    <t>KRSHO</t>
  </si>
  <si>
    <t>SOCKCHO</t>
  </si>
  <si>
    <t>KRSUK</t>
  </si>
  <si>
    <t>SAMCHEOK</t>
  </si>
  <si>
    <t>KRTAE</t>
  </si>
  <si>
    <t>TAEGU</t>
  </si>
  <si>
    <t>KRTGH</t>
  </si>
  <si>
    <t>TGH</t>
  </si>
  <si>
    <t>TONGHAE</t>
  </si>
  <si>
    <t>KRTSN</t>
  </si>
  <si>
    <t>DAESAN/SEOSAN</t>
  </si>
  <si>
    <t>KRTYG</t>
  </si>
  <si>
    <t>TONGYOUNG</t>
  </si>
  <si>
    <t>KRUSN</t>
  </si>
  <si>
    <t>ULSAN</t>
  </si>
  <si>
    <t>KRWND</t>
  </si>
  <si>
    <t>WANDO</t>
  </si>
  <si>
    <t>KRYOC</t>
  </si>
  <si>
    <t>YOCHON</t>
  </si>
  <si>
    <t>KRYOS</t>
  </si>
  <si>
    <t>KRZZZ</t>
  </si>
  <si>
    <t>CHEONGJU</t>
  </si>
  <si>
    <t>CJJ</t>
  </si>
  <si>
    <t>MUAN</t>
  </si>
  <si>
    <t>MWX</t>
  </si>
  <si>
    <t>YANGYANG</t>
  </si>
  <si>
    <t>YNY</t>
  </si>
  <si>
    <t>KUWAIT</t>
  </si>
  <si>
    <t>クウェート</t>
  </si>
  <si>
    <t>KWJAH</t>
  </si>
  <si>
    <t>KW</t>
  </si>
  <si>
    <t>JAH</t>
  </si>
  <si>
    <t>JAHRAN</t>
  </si>
  <si>
    <t>KWJBD</t>
  </si>
  <si>
    <t>JBD</t>
  </si>
  <si>
    <t>JEBEL DHANA</t>
  </si>
  <si>
    <t>KWJUA</t>
  </si>
  <si>
    <t>JUAYMAH</t>
  </si>
  <si>
    <t>KWKWI</t>
  </si>
  <si>
    <t>KWKWM</t>
  </si>
  <si>
    <t>KHOR AL MUFATTA</t>
  </si>
  <si>
    <t>KWMEA</t>
  </si>
  <si>
    <t>MINA' AL AHMADI</t>
  </si>
  <si>
    <t>KWMIB</t>
  </si>
  <si>
    <t>MIB</t>
  </si>
  <si>
    <t>MINA ABD ALLAH</t>
  </si>
  <si>
    <t>KWMIS</t>
  </si>
  <si>
    <t>MINA SAUD</t>
  </si>
  <si>
    <t>KWRAK</t>
  </si>
  <si>
    <t>RAK</t>
  </si>
  <si>
    <t>RAS AL-KHAFJI</t>
  </si>
  <si>
    <t>KWSAA</t>
  </si>
  <si>
    <t>SHUAIBA</t>
  </si>
  <si>
    <t>KWSWK</t>
  </si>
  <si>
    <t>SHUWAIKH</t>
  </si>
  <si>
    <t>KWZZZ</t>
  </si>
  <si>
    <t>CAYMAN ISLANDS</t>
  </si>
  <si>
    <t>ケイマン諸島（英）</t>
  </si>
  <si>
    <t>KYCYB</t>
  </si>
  <si>
    <t>KY</t>
  </si>
  <si>
    <t>CYB</t>
  </si>
  <si>
    <t>CAYMAN BRAC IS</t>
  </si>
  <si>
    <t>CAY I</t>
  </si>
  <si>
    <t>KYGCM</t>
  </si>
  <si>
    <t>GCM</t>
  </si>
  <si>
    <t>GRAND CAYMAN</t>
  </si>
  <si>
    <t>KYLYB</t>
  </si>
  <si>
    <t>LYB</t>
  </si>
  <si>
    <t>LITTLE CAYMAN</t>
  </si>
  <si>
    <t>KYZZZ</t>
  </si>
  <si>
    <t>KAZAKHSTAN</t>
  </si>
  <si>
    <t>カザフスタン</t>
  </si>
  <si>
    <t>KZAAU</t>
  </si>
  <si>
    <t>KZ</t>
  </si>
  <si>
    <t>AAU</t>
  </si>
  <si>
    <t>AKTAU</t>
  </si>
  <si>
    <t>KZAKX</t>
  </si>
  <si>
    <t>AKX</t>
  </si>
  <si>
    <t>AKHTUBINSK</t>
  </si>
  <si>
    <t>KAZAK</t>
  </si>
  <si>
    <t>KZALA</t>
  </si>
  <si>
    <t>ALMATY</t>
  </si>
  <si>
    <t>KZZZZ</t>
  </si>
  <si>
    <t>ASTANA</t>
  </si>
  <si>
    <t>TSE</t>
  </si>
  <si>
    <t>LAO PEOPLE'S DEMOCRATIC REPUBLIC</t>
  </si>
  <si>
    <t>ラオス</t>
  </si>
  <si>
    <t>LAAOU</t>
  </si>
  <si>
    <t>LA</t>
  </si>
  <si>
    <t>AOU</t>
  </si>
  <si>
    <t>ATTOPEU</t>
  </si>
  <si>
    <t>LAO</t>
  </si>
  <si>
    <t>LAKOG</t>
  </si>
  <si>
    <t>KHONG</t>
  </si>
  <si>
    <t>LALPQ</t>
  </si>
  <si>
    <t>LPQ</t>
  </si>
  <si>
    <t>LUANG PRABANG</t>
  </si>
  <si>
    <t>LALXG</t>
  </si>
  <si>
    <t>LXG</t>
  </si>
  <si>
    <t>LUANG NAMTHA</t>
  </si>
  <si>
    <t>LAOUI</t>
  </si>
  <si>
    <t>OUI</t>
  </si>
  <si>
    <t>BAN HOUEI</t>
  </si>
  <si>
    <t>LAPKS</t>
  </si>
  <si>
    <t>PAKSANE</t>
  </si>
  <si>
    <t>LAPKZ</t>
  </si>
  <si>
    <t>PKZ</t>
  </si>
  <si>
    <t>PAKSE</t>
  </si>
  <si>
    <t>LASND</t>
  </si>
  <si>
    <t>SENO</t>
  </si>
  <si>
    <t>LATHK</t>
  </si>
  <si>
    <t>THK</t>
  </si>
  <si>
    <t>THAKHEK</t>
  </si>
  <si>
    <t>LAUON</t>
  </si>
  <si>
    <t>UON</t>
  </si>
  <si>
    <t>MUONG SAI</t>
  </si>
  <si>
    <t>LAVGG</t>
  </si>
  <si>
    <t>VGG</t>
  </si>
  <si>
    <t>VANGRIENG</t>
  </si>
  <si>
    <t>LAVTE</t>
  </si>
  <si>
    <t>VTE</t>
  </si>
  <si>
    <t>VIENTIANE</t>
  </si>
  <si>
    <t>LAXIE</t>
  </si>
  <si>
    <t>XIE</t>
  </si>
  <si>
    <t>XIENGLOM</t>
  </si>
  <si>
    <t>LAZBY</t>
  </si>
  <si>
    <t>ZBY</t>
  </si>
  <si>
    <t>SAYABOURY</t>
  </si>
  <si>
    <t>LAZZZ</t>
  </si>
  <si>
    <t>SAVANNAKHET</t>
  </si>
  <si>
    <t>ZVK</t>
  </si>
  <si>
    <t>LEBANON</t>
  </si>
  <si>
    <t>レバノン</t>
  </si>
  <si>
    <t>LBBEY</t>
  </si>
  <si>
    <t>LB</t>
  </si>
  <si>
    <t>BEIRUT</t>
  </si>
  <si>
    <t>LEBE</t>
  </si>
  <si>
    <t>LBCHK</t>
  </si>
  <si>
    <t>CHEKKA</t>
  </si>
  <si>
    <t>LBKYE</t>
  </si>
  <si>
    <t>KYE</t>
  </si>
  <si>
    <t>TRIPOLI</t>
  </si>
  <si>
    <t>LBSAY</t>
  </si>
  <si>
    <t>SAY</t>
  </si>
  <si>
    <t>SAYDA</t>
  </si>
  <si>
    <t>LBSDN</t>
  </si>
  <si>
    <t>SDN</t>
  </si>
  <si>
    <t>SIDON</t>
  </si>
  <si>
    <t>LBSUR</t>
  </si>
  <si>
    <t>SUR (TYRE)</t>
  </si>
  <si>
    <t>LBZZZ</t>
  </si>
  <si>
    <t>SAINT LUCIA</t>
  </si>
  <si>
    <t>セントルシア</t>
  </si>
  <si>
    <t>LCSLU</t>
  </si>
  <si>
    <t>LC</t>
  </si>
  <si>
    <t>SLU</t>
  </si>
  <si>
    <t>ST LUCIA</t>
  </si>
  <si>
    <t>S LUC</t>
  </si>
  <si>
    <t>LCUVF</t>
  </si>
  <si>
    <t>UVF</t>
  </si>
  <si>
    <t>LCZZZ</t>
  </si>
  <si>
    <t>LIECHTENSTEIN</t>
  </si>
  <si>
    <t>スイス（リヒテンシュタインのみ）</t>
  </si>
  <si>
    <t>LIZZZ</t>
  </si>
  <si>
    <t>LI</t>
  </si>
  <si>
    <t>SRI LANKA</t>
  </si>
  <si>
    <t>スリランカ</t>
  </si>
  <si>
    <t>LKADP</t>
  </si>
  <si>
    <t>LK</t>
  </si>
  <si>
    <t>ADP</t>
  </si>
  <si>
    <t>ANURADHAPURA</t>
  </si>
  <si>
    <t>LANKA</t>
  </si>
  <si>
    <t>LKBRW</t>
  </si>
  <si>
    <t>BERUWALA</t>
  </si>
  <si>
    <t>LKBTC</t>
  </si>
  <si>
    <t>BTC</t>
  </si>
  <si>
    <t>BATTICOLOA</t>
  </si>
  <si>
    <t>LKCMB</t>
  </si>
  <si>
    <t>CMB</t>
  </si>
  <si>
    <t>COLOMBO</t>
  </si>
  <si>
    <t>LKGAL</t>
  </si>
  <si>
    <t>GALLE</t>
  </si>
  <si>
    <t>LKGOY</t>
  </si>
  <si>
    <t>GOY</t>
  </si>
  <si>
    <t>GAL OYA</t>
  </si>
  <si>
    <t>LKHBA</t>
  </si>
  <si>
    <t>HAMBANTOTA</t>
  </si>
  <si>
    <t>LKJAF</t>
  </si>
  <si>
    <t>JAF</t>
  </si>
  <si>
    <t>JAFFNA</t>
  </si>
  <si>
    <t>LKKAL</t>
  </si>
  <si>
    <t>KALPITIYA</t>
  </si>
  <si>
    <t>LKKAY</t>
  </si>
  <si>
    <t>KAYTS</t>
  </si>
  <si>
    <t>LKKNK</t>
  </si>
  <si>
    <t>KANKESANTURAI</t>
  </si>
  <si>
    <t>LKMAN</t>
  </si>
  <si>
    <t>MANNAR</t>
  </si>
  <si>
    <t>LKMUL</t>
  </si>
  <si>
    <t>MULATIVU</t>
  </si>
  <si>
    <t>LKPPE</t>
  </si>
  <si>
    <t>POINT PEDRO</t>
  </si>
  <si>
    <t>LKRML</t>
  </si>
  <si>
    <t>RML</t>
  </si>
  <si>
    <t>RATMALANA APT/COLOMBO</t>
  </si>
  <si>
    <t>LKTAL</t>
  </si>
  <si>
    <t>TALAIMANNAR</t>
  </si>
  <si>
    <t>LKTRR</t>
  </si>
  <si>
    <t>TRINCOMALEE</t>
  </si>
  <si>
    <t>LKZZZ</t>
  </si>
  <si>
    <t>リベリア</t>
  </si>
  <si>
    <t>LRBYL</t>
  </si>
  <si>
    <t>LR</t>
  </si>
  <si>
    <t>BYL</t>
  </si>
  <si>
    <t>BELLA YELLA</t>
  </si>
  <si>
    <t>LIBER</t>
  </si>
  <si>
    <t>LRCMT</t>
  </si>
  <si>
    <t>CAPE MOUNT</t>
  </si>
  <si>
    <t>LRCPA</t>
  </si>
  <si>
    <t>CPA</t>
  </si>
  <si>
    <t>CAPE PALMAS</t>
  </si>
  <si>
    <t>LRFIM</t>
  </si>
  <si>
    <t>FIM</t>
  </si>
  <si>
    <t>FIMIBO</t>
  </si>
  <si>
    <t>LRFOY</t>
  </si>
  <si>
    <t>FOYA</t>
  </si>
  <si>
    <t>LRGBS</t>
  </si>
  <si>
    <t>GBS</t>
  </si>
  <si>
    <t>GRAND BASSA</t>
  </si>
  <si>
    <t>LRGRC</t>
  </si>
  <si>
    <t>GRC</t>
  </si>
  <si>
    <t>GRAND CESS</t>
  </si>
  <si>
    <t>LRGRE</t>
  </si>
  <si>
    <t>GREENVILLE</t>
  </si>
  <si>
    <t>LRHAR</t>
  </si>
  <si>
    <t>HARPER</t>
  </si>
  <si>
    <t>LRHBL</t>
  </si>
  <si>
    <t>HBL</t>
  </si>
  <si>
    <t>HARBEL</t>
  </si>
  <si>
    <t>LRMAR</t>
  </si>
  <si>
    <t>MARSHALL</t>
  </si>
  <si>
    <t>LRMLW</t>
  </si>
  <si>
    <t>MLW</t>
  </si>
  <si>
    <t>MONROVIA</t>
  </si>
  <si>
    <t>LRNIA</t>
  </si>
  <si>
    <t>NIMBA</t>
  </si>
  <si>
    <t>LRROX</t>
  </si>
  <si>
    <t>ROX</t>
  </si>
  <si>
    <t>ROBERTSPORT</t>
  </si>
  <si>
    <t>LRRVC</t>
  </si>
  <si>
    <t>RVC</t>
  </si>
  <si>
    <t>RIVERCESS</t>
  </si>
  <si>
    <t>LRSAB</t>
  </si>
  <si>
    <t>SARIOE BAY</t>
  </si>
  <si>
    <t>LRSAZ</t>
  </si>
  <si>
    <t>SASSTOWN</t>
  </si>
  <si>
    <t>LRSNI</t>
  </si>
  <si>
    <t>SINOE</t>
  </si>
  <si>
    <t>LRTHC</t>
  </si>
  <si>
    <t>THC</t>
  </si>
  <si>
    <t>TCHIEN</t>
  </si>
  <si>
    <t>LRTPT</t>
  </si>
  <si>
    <t>TAPETA</t>
  </si>
  <si>
    <t>LRTRT</t>
  </si>
  <si>
    <t>TRADE TOWN</t>
  </si>
  <si>
    <t>LRUCN</t>
  </si>
  <si>
    <t>BUCHANAN</t>
  </si>
  <si>
    <t>LRVOI</t>
  </si>
  <si>
    <t>VOI</t>
  </si>
  <si>
    <t>VOINJAMA</t>
  </si>
  <si>
    <t>LRWES</t>
  </si>
  <si>
    <t>WEASUA</t>
  </si>
  <si>
    <t>LRWOI</t>
  </si>
  <si>
    <t>WOI</t>
  </si>
  <si>
    <t>WOLOGISSI</t>
  </si>
  <si>
    <t>LRZZZ</t>
  </si>
  <si>
    <t>ROB</t>
  </si>
  <si>
    <t>XSA</t>
  </si>
  <si>
    <t>LESOTHO</t>
  </si>
  <si>
    <t>レソト</t>
  </si>
  <si>
    <t>LSLES</t>
  </si>
  <si>
    <t>LS</t>
  </si>
  <si>
    <t>LES</t>
  </si>
  <si>
    <t>LESOBENG</t>
  </si>
  <si>
    <t>LESO</t>
  </si>
  <si>
    <t>LSLRB</t>
  </si>
  <si>
    <t>LRB</t>
  </si>
  <si>
    <t>LERIBE</t>
  </si>
  <si>
    <t>LSMKH</t>
  </si>
  <si>
    <t>MKH</t>
  </si>
  <si>
    <t>MOKHOTLONG</t>
  </si>
  <si>
    <t>LSMSU</t>
  </si>
  <si>
    <t>MSU</t>
  </si>
  <si>
    <t>MASERU</t>
  </si>
  <si>
    <t>LSNKU</t>
  </si>
  <si>
    <t>NKU</t>
  </si>
  <si>
    <t>NKOUS</t>
  </si>
  <si>
    <t>LSPEL</t>
  </si>
  <si>
    <t>PELANENG</t>
  </si>
  <si>
    <t>LSSHK</t>
  </si>
  <si>
    <t>SEHONGHONG</t>
  </si>
  <si>
    <t>LSSHZ</t>
  </si>
  <si>
    <t>SESHUTES</t>
  </si>
  <si>
    <t>LSSKQ</t>
  </si>
  <si>
    <t>SKQ</t>
  </si>
  <si>
    <t>SEKAKES</t>
  </si>
  <si>
    <t>LSSOK</t>
  </si>
  <si>
    <t>SEMONGKONG</t>
  </si>
  <si>
    <t>LSTHB</t>
  </si>
  <si>
    <t>THABA-TSEKA</t>
  </si>
  <si>
    <t>LSTKO</t>
  </si>
  <si>
    <t>TLOKOENG</t>
  </si>
  <si>
    <t>LSUNE</t>
  </si>
  <si>
    <t>UNE</t>
  </si>
  <si>
    <t>QACHAS NEK</t>
  </si>
  <si>
    <t>LSUTG</t>
  </si>
  <si>
    <t>UTG</t>
  </si>
  <si>
    <t>QUTHING</t>
  </si>
  <si>
    <t>LSZZZ</t>
  </si>
  <si>
    <t>LITHUANIA</t>
  </si>
  <si>
    <t>リトアニア</t>
  </si>
  <si>
    <t>LTKLJ</t>
  </si>
  <si>
    <t>LT</t>
  </si>
  <si>
    <t>KLJ</t>
  </si>
  <si>
    <t>KLAIPEDA</t>
  </si>
  <si>
    <t>LTVNO</t>
  </si>
  <si>
    <t>VNO</t>
  </si>
  <si>
    <t>VILNIUS</t>
  </si>
  <si>
    <t>LITHU</t>
  </si>
  <si>
    <t>LTZZZ</t>
  </si>
  <si>
    <t>PALANGA</t>
  </si>
  <si>
    <t>PLQ</t>
  </si>
  <si>
    <t>LUXEMBOURG</t>
  </si>
  <si>
    <t>ルクセンブルク</t>
  </si>
  <si>
    <t>LULUX</t>
  </si>
  <si>
    <t>LU</t>
  </si>
  <si>
    <t>LUX</t>
  </si>
  <si>
    <t>LUXEM</t>
  </si>
  <si>
    <t>LUZZZ</t>
  </si>
  <si>
    <t>LATVIA</t>
  </si>
  <si>
    <t>ラトビア</t>
  </si>
  <si>
    <t>LVRIX</t>
  </si>
  <si>
    <t>LV</t>
  </si>
  <si>
    <t>RIX</t>
  </si>
  <si>
    <t>RIGA</t>
  </si>
  <si>
    <t>LATVI</t>
  </si>
  <si>
    <t>LVVNT</t>
  </si>
  <si>
    <t>VNT</t>
  </si>
  <si>
    <t>VENTSPILS-LETONIA</t>
  </si>
  <si>
    <t>LVZZZ</t>
  </si>
  <si>
    <t>LYBIAN ARAB JAMAHIRIYA</t>
  </si>
  <si>
    <t>リビア</t>
  </si>
  <si>
    <t>LYABA</t>
  </si>
  <si>
    <t>LY</t>
  </si>
  <si>
    <t>AL BAYDA</t>
  </si>
  <si>
    <t>LYAKF</t>
  </si>
  <si>
    <t>AKF</t>
  </si>
  <si>
    <t>AL KHOFRA (KUFRA)</t>
  </si>
  <si>
    <t>LYAPO</t>
  </si>
  <si>
    <t>APOLLONIA</t>
  </si>
  <si>
    <t>LYBAR</t>
  </si>
  <si>
    <t>EL BARDIA</t>
  </si>
  <si>
    <t>LYBEN</t>
  </si>
  <si>
    <t>BINGAZI</t>
  </si>
  <si>
    <t>LIBYA</t>
  </si>
  <si>
    <t>LYBUA</t>
  </si>
  <si>
    <t>BUERT EL HSUN</t>
  </si>
  <si>
    <t>LYDRX</t>
  </si>
  <si>
    <t>DRX</t>
  </si>
  <si>
    <t>DARNAH</t>
  </si>
  <si>
    <t>LYESI</t>
  </si>
  <si>
    <t>ES SIDER</t>
  </si>
  <si>
    <t>LYGHT</t>
  </si>
  <si>
    <t>GHT</t>
  </si>
  <si>
    <t>GHAT</t>
  </si>
  <si>
    <t>LYKHO</t>
  </si>
  <si>
    <t>KHOMS</t>
  </si>
  <si>
    <t>LYLAQ</t>
  </si>
  <si>
    <t>LAQ</t>
  </si>
  <si>
    <t>BEIDA</t>
  </si>
  <si>
    <t>LYLMQ</t>
  </si>
  <si>
    <t>LMQ</t>
  </si>
  <si>
    <t>MARSA BREGA</t>
  </si>
  <si>
    <t>LYLTD</t>
  </si>
  <si>
    <t>LTD</t>
  </si>
  <si>
    <t>GHADAMES</t>
  </si>
  <si>
    <t>LYMBR</t>
  </si>
  <si>
    <t>MARSA BREGHA</t>
  </si>
  <si>
    <t>LYMEH</t>
  </si>
  <si>
    <t>MEH</t>
  </si>
  <si>
    <t>MARSA EL HANIA</t>
  </si>
  <si>
    <t>LYMRA</t>
  </si>
  <si>
    <t>MISRATAH</t>
  </si>
  <si>
    <t>LYRLA</t>
  </si>
  <si>
    <t>RLA</t>
  </si>
  <si>
    <t>RAS LANUF</t>
  </si>
  <si>
    <t>LYSEB</t>
  </si>
  <si>
    <t>SABHA</t>
  </si>
  <si>
    <t>LYSOU</t>
  </si>
  <si>
    <t>SOUSSAH</t>
  </si>
  <si>
    <t>LYSRT</t>
  </si>
  <si>
    <t>SIRTE (SURT)</t>
  </si>
  <si>
    <t>LYSRX</t>
  </si>
  <si>
    <t>SERT</t>
  </si>
  <si>
    <t>LYTAG</t>
  </si>
  <si>
    <t>TAGIURA</t>
  </si>
  <si>
    <t>LYTIP</t>
  </si>
  <si>
    <t>TIP</t>
  </si>
  <si>
    <t>LYTOA</t>
  </si>
  <si>
    <t>TOULMEITHA</t>
  </si>
  <si>
    <t>LYTOB</t>
  </si>
  <si>
    <t>TOBRUK</t>
  </si>
  <si>
    <t>LYTUK</t>
  </si>
  <si>
    <t>TUKRAH</t>
  </si>
  <si>
    <t>LYZLI</t>
  </si>
  <si>
    <t>ZLI</t>
  </si>
  <si>
    <t>ZLITEN</t>
  </si>
  <si>
    <t>LYZUA</t>
  </si>
  <si>
    <t>ZUA</t>
  </si>
  <si>
    <t>ZUARA</t>
  </si>
  <si>
    <t>LYZZZ</t>
  </si>
  <si>
    <t>HOUN</t>
  </si>
  <si>
    <t>HUQ</t>
  </si>
  <si>
    <t>MURZUQ</t>
  </si>
  <si>
    <t>QMQ</t>
  </si>
  <si>
    <t>UBARI</t>
  </si>
  <si>
    <t>MOROCCO</t>
  </si>
  <si>
    <t>モロッコ</t>
  </si>
  <si>
    <t>MAAGA</t>
  </si>
  <si>
    <t>MA</t>
  </si>
  <si>
    <t>AGA</t>
  </si>
  <si>
    <t>AGADIR</t>
  </si>
  <si>
    <t>MAAHU</t>
  </si>
  <si>
    <t>AL HOCEIMA</t>
  </si>
  <si>
    <t>MAASI</t>
  </si>
  <si>
    <t>ASILAH</t>
  </si>
  <si>
    <t>MAAZE</t>
  </si>
  <si>
    <t>AZE</t>
  </si>
  <si>
    <t>AZEMMOUR</t>
  </si>
  <si>
    <t>CASABLANCA</t>
  </si>
  <si>
    <t>MACMN</t>
  </si>
  <si>
    <t>CMN</t>
  </si>
  <si>
    <t>MAELJ</t>
  </si>
  <si>
    <t>ELJADIDA</t>
  </si>
  <si>
    <t>MAESS</t>
  </si>
  <si>
    <t>ESSAOUIRA</t>
  </si>
  <si>
    <t>MAEUN</t>
  </si>
  <si>
    <t>EUN</t>
  </si>
  <si>
    <t>LAAYOUNE</t>
  </si>
  <si>
    <t>MAFEZ</t>
  </si>
  <si>
    <t>FEZ</t>
  </si>
  <si>
    <t>MALAR</t>
  </si>
  <si>
    <t>LARACHE</t>
  </si>
  <si>
    <t>MAMAZ</t>
  </si>
  <si>
    <t>MAZAGAN</t>
  </si>
  <si>
    <t>MAMEK</t>
  </si>
  <si>
    <t>MEK</t>
  </si>
  <si>
    <t>MEKNES</t>
  </si>
  <si>
    <t>MAMOG</t>
  </si>
  <si>
    <t>MOGADOR</t>
  </si>
  <si>
    <t>MAMOH</t>
  </si>
  <si>
    <t>MOHAMMEDIA</t>
  </si>
  <si>
    <t>MANDR</t>
  </si>
  <si>
    <t>NDR</t>
  </si>
  <si>
    <t>NADOR</t>
  </si>
  <si>
    <t>MANNA</t>
  </si>
  <si>
    <t>NNA</t>
  </si>
  <si>
    <t>KENITRA</t>
  </si>
  <si>
    <t>MAOUD</t>
  </si>
  <si>
    <t>OUD</t>
  </si>
  <si>
    <t>OUJDA</t>
  </si>
  <si>
    <t>MAOZZ</t>
  </si>
  <si>
    <t>OZZ</t>
  </si>
  <si>
    <t>OUARZAZATE</t>
  </si>
  <si>
    <t>MARAK</t>
  </si>
  <si>
    <t>MARRAKECH</t>
  </si>
  <si>
    <t>MARBA</t>
  </si>
  <si>
    <t>RABAT</t>
  </si>
  <si>
    <t>MASAL</t>
  </si>
  <si>
    <t>SALE</t>
  </si>
  <si>
    <t>MASEK</t>
  </si>
  <si>
    <t>KSAR ES SOUK</t>
  </si>
  <si>
    <t>MASFI</t>
  </si>
  <si>
    <t>SFI</t>
  </si>
  <si>
    <t>SAFI</t>
  </si>
  <si>
    <t>MASII</t>
  </si>
  <si>
    <t>SIDI IFNI</t>
  </si>
  <si>
    <t>MASMW</t>
  </si>
  <si>
    <t>SMW</t>
  </si>
  <si>
    <t>SMARA</t>
  </si>
  <si>
    <t>MATFY</t>
  </si>
  <si>
    <t>TFY</t>
  </si>
  <si>
    <t>TARFAYA</t>
  </si>
  <si>
    <t>MATNG</t>
  </si>
  <si>
    <t>TNG</t>
  </si>
  <si>
    <t>TANGIER</t>
  </si>
  <si>
    <t>MATTA</t>
  </si>
  <si>
    <t>TTA</t>
  </si>
  <si>
    <t>TAN TAN</t>
  </si>
  <si>
    <t>MATTU</t>
  </si>
  <si>
    <t>TETUAN</t>
  </si>
  <si>
    <t>MAVIL</t>
  </si>
  <si>
    <t>DAKHLA</t>
  </si>
  <si>
    <t>MAZZZ</t>
  </si>
  <si>
    <t>MONACO</t>
  </si>
  <si>
    <t>モナコ</t>
  </si>
  <si>
    <t>MCMCM</t>
  </si>
  <si>
    <t>MC</t>
  </si>
  <si>
    <t>MCM</t>
  </si>
  <si>
    <t>MONTE CARLO</t>
  </si>
  <si>
    <t>MCMON</t>
  </si>
  <si>
    <t>MCZZZ</t>
  </si>
  <si>
    <t>REPUBLIC OF MOLDOVA</t>
  </si>
  <si>
    <t>モルドバ</t>
  </si>
  <si>
    <t>MDKIV</t>
  </si>
  <si>
    <t>MD</t>
  </si>
  <si>
    <t>KIV</t>
  </si>
  <si>
    <t>CHISINAU</t>
  </si>
  <si>
    <t>MOLDO</t>
  </si>
  <si>
    <t>MDUNG</t>
  </si>
  <si>
    <t>UNG</t>
  </si>
  <si>
    <t>UNGHENI</t>
  </si>
  <si>
    <t>MDZZZ</t>
  </si>
  <si>
    <t>MONTENEGRO</t>
  </si>
  <si>
    <t>モンテネグロ</t>
  </si>
  <si>
    <t>MEBAR</t>
  </si>
  <si>
    <t>ME</t>
  </si>
  <si>
    <t>MEHNO</t>
  </si>
  <si>
    <t>HERCEGNOVI</t>
  </si>
  <si>
    <t>MONTN</t>
  </si>
  <si>
    <t>MEIVG</t>
  </si>
  <si>
    <t>IVANGRAD</t>
  </si>
  <si>
    <t>MEKOT</t>
  </si>
  <si>
    <t>KOTOR</t>
  </si>
  <si>
    <t>METGD</t>
  </si>
  <si>
    <t>TGD</t>
  </si>
  <si>
    <t>PODGORICA</t>
  </si>
  <si>
    <t>METIV</t>
  </si>
  <si>
    <t>TIVAT</t>
  </si>
  <si>
    <t>MEZBK</t>
  </si>
  <si>
    <t>ZBK</t>
  </si>
  <si>
    <t>ZABLJAK</t>
  </si>
  <si>
    <t>MEZZZ</t>
  </si>
  <si>
    <t>MADAGASCAR</t>
  </si>
  <si>
    <t>マダガスカル</t>
  </si>
  <si>
    <t>MGADK</t>
  </si>
  <si>
    <t>MG</t>
  </si>
  <si>
    <t>ADK</t>
  </si>
  <si>
    <t>ANDROKA</t>
  </si>
  <si>
    <t>MGAHY</t>
  </si>
  <si>
    <t>AHY</t>
  </si>
  <si>
    <t>AMBATOLAHY</t>
  </si>
  <si>
    <t>MALAG</t>
  </si>
  <si>
    <t>MGAMB</t>
  </si>
  <si>
    <t>AMBILOBE</t>
  </si>
  <si>
    <t>MGAMP</t>
  </si>
  <si>
    <t>AMPANIHY</t>
  </si>
  <si>
    <t>MGAMY</t>
  </si>
  <si>
    <t>AMBATOMAINTY</t>
  </si>
  <si>
    <t>MGANM</t>
  </si>
  <si>
    <t>ANTALAHA</t>
  </si>
  <si>
    <t>MGBIK</t>
  </si>
  <si>
    <t>BRICKAVILLE</t>
  </si>
  <si>
    <t>MGBKU</t>
  </si>
  <si>
    <t>BKU</t>
  </si>
  <si>
    <t>BETIOKY</t>
  </si>
  <si>
    <t>MGBMD</t>
  </si>
  <si>
    <t>BMD</t>
  </si>
  <si>
    <t>BELO</t>
  </si>
  <si>
    <t>MGBPY</t>
  </si>
  <si>
    <t>BESALAMPY</t>
  </si>
  <si>
    <t>MGBRR</t>
  </si>
  <si>
    <t>BARREN ISLANDS</t>
  </si>
  <si>
    <t>MGDIE</t>
  </si>
  <si>
    <t>DIE</t>
  </si>
  <si>
    <t>ANTSIRANANA</t>
  </si>
  <si>
    <t>MGDOA</t>
  </si>
  <si>
    <t>DOA</t>
  </si>
  <si>
    <t>DOANY</t>
  </si>
  <si>
    <t>MGDWB</t>
  </si>
  <si>
    <t>DWB</t>
  </si>
  <si>
    <t>SOALALA</t>
  </si>
  <si>
    <t>MGEHL</t>
  </si>
  <si>
    <t>EHOALA</t>
  </si>
  <si>
    <t>MGFTU</t>
  </si>
  <si>
    <t>FTU</t>
  </si>
  <si>
    <t>FORT DAUPHIN (TOALAGNARO)</t>
  </si>
  <si>
    <t>MGHLV</t>
  </si>
  <si>
    <t>HLV</t>
  </si>
  <si>
    <t>HELL-VILLE</t>
  </si>
  <si>
    <t>MGHVA</t>
  </si>
  <si>
    <t>ANALALAVA</t>
  </si>
  <si>
    <t>MGIHO</t>
  </si>
  <si>
    <t>IHOSY</t>
  </si>
  <si>
    <t>MGILK</t>
  </si>
  <si>
    <t>ILK</t>
  </si>
  <si>
    <t>ILAKA</t>
  </si>
  <si>
    <t>MGIVA</t>
  </si>
  <si>
    <t>IVA</t>
  </si>
  <si>
    <t>AMBANJA</t>
  </si>
  <si>
    <t>MGJVA</t>
  </si>
  <si>
    <t>JVA</t>
  </si>
  <si>
    <t>ANKAVANDRA</t>
  </si>
  <si>
    <t>MGMJA</t>
  </si>
  <si>
    <t>MJA</t>
  </si>
  <si>
    <t>MANJA</t>
  </si>
  <si>
    <t>MGMJN</t>
  </si>
  <si>
    <t>MJN</t>
  </si>
  <si>
    <t>MAJUNGA (MAHAJANGA)</t>
  </si>
  <si>
    <t>MGMNJ</t>
  </si>
  <si>
    <t>MANANJARY</t>
  </si>
  <si>
    <t>MGMOB</t>
  </si>
  <si>
    <t>MANOMBO</t>
  </si>
  <si>
    <t>MGMOQ</t>
  </si>
  <si>
    <t>MOQ</t>
  </si>
  <si>
    <t>MORONDAVA</t>
  </si>
  <si>
    <t>MGMXM</t>
  </si>
  <si>
    <t>MXM</t>
  </si>
  <si>
    <t>MOROMBE</t>
  </si>
  <si>
    <t>MGMXT</t>
  </si>
  <si>
    <t>MAINTIRANO</t>
  </si>
  <si>
    <t>MGNOS</t>
  </si>
  <si>
    <t>NOS</t>
  </si>
  <si>
    <t>NOSSI BE</t>
  </si>
  <si>
    <t>MGNOV</t>
  </si>
  <si>
    <t>NOSY-VARIKA</t>
  </si>
  <si>
    <t>MGOVA</t>
  </si>
  <si>
    <t>OVA</t>
  </si>
  <si>
    <t>BEKILY</t>
  </si>
  <si>
    <t>MGRVA</t>
  </si>
  <si>
    <t>RVA</t>
  </si>
  <si>
    <t>FARAFANGANA</t>
  </si>
  <si>
    <t>MGSMS</t>
  </si>
  <si>
    <t>SMS</t>
  </si>
  <si>
    <t>SAINTE MARIE</t>
  </si>
  <si>
    <t>MGSVB</t>
  </si>
  <si>
    <t>SVB</t>
  </si>
  <si>
    <t>SAMBAVA</t>
  </si>
  <si>
    <t>MGTDV</t>
  </si>
  <si>
    <t>TDV</t>
  </si>
  <si>
    <t>TANANDAVA</t>
  </si>
  <si>
    <t>MGTLE</t>
  </si>
  <si>
    <t>TLE</t>
  </si>
  <si>
    <t>TULEAR (TOLIARA)</t>
  </si>
  <si>
    <t>MGTMM</t>
  </si>
  <si>
    <t>TAMATAVE (TOAMASINA)</t>
  </si>
  <si>
    <t>MGTNR</t>
  </si>
  <si>
    <t>ANTANANARIVO</t>
  </si>
  <si>
    <t>MGTTS</t>
  </si>
  <si>
    <t>TSARATANANA</t>
  </si>
  <si>
    <t>MGTVA</t>
  </si>
  <si>
    <t>MORAFENOBE</t>
  </si>
  <si>
    <t>MGVAT</t>
  </si>
  <si>
    <t>VATOMANDRY</t>
  </si>
  <si>
    <t>MGVEH</t>
  </si>
  <si>
    <t>VEH</t>
  </si>
  <si>
    <t>VEHIPERRO</t>
  </si>
  <si>
    <t>MGVOH</t>
  </si>
  <si>
    <t>VOH</t>
  </si>
  <si>
    <t>VOHEMAR</t>
  </si>
  <si>
    <t>MGVVB</t>
  </si>
  <si>
    <t>VVB</t>
  </si>
  <si>
    <t>MAHANORO</t>
  </si>
  <si>
    <t>MGWAD</t>
  </si>
  <si>
    <t>ANDRIAMENA</t>
  </si>
  <si>
    <t>MGWAI</t>
  </si>
  <si>
    <t>ANTSOHIHY</t>
  </si>
  <si>
    <t>MGWAK</t>
  </si>
  <si>
    <t>ANKAZOABO</t>
  </si>
  <si>
    <t>MGWAM</t>
  </si>
  <si>
    <t>AMBATONDRAZAKA</t>
  </si>
  <si>
    <t>MGWAQ</t>
  </si>
  <si>
    <t>WAQ</t>
  </si>
  <si>
    <t>ANTSALOVA</t>
  </si>
  <si>
    <t>MGWBD</t>
  </si>
  <si>
    <t>WBD</t>
  </si>
  <si>
    <t>BEFANDRIANA</t>
  </si>
  <si>
    <t>MGWBE</t>
  </si>
  <si>
    <t>WBE</t>
  </si>
  <si>
    <t>BEALANANA</t>
  </si>
  <si>
    <t>MGWBO</t>
  </si>
  <si>
    <t>WBO</t>
  </si>
  <si>
    <t>BEROROHA</t>
  </si>
  <si>
    <t>MGWFI</t>
  </si>
  <si>
    <t>WFI</t>
  </si>
  <si>
    <t>FIANARANTSOA</t>
  </si>
  <si>
    <t>MGWMA</t>
  </si>
  <si>
    <t>WMA</t>
  </si>
  <si>
    <t>MANDRITSARA</t>
  </si>
  <si>
    <t>MGWMD</t>
  </si>
  <si>
    <t>WMD</t>
  </si>
  <si>
    <t>MANDABE</t>
  </si>
  <si>
    <t>MGWML</t>
  </si>
  <si>
    <t>WML</t>
  </si>
  <si>
    <t>MALAIMBANDY</t>
  </si>
  <si>
    <t>MGWMN</t>
  </si>
  <si>
    <t>WMN</t>
  </si>
  <si>
    <t>MAROANTSETRA</t>
  </si>
  <si>
    <t>MGWMR</t>
  </si>
  <si>
    <t>WMR</t>
  </si>
  <si>
    <t>MANANARA</t>
  </si>
  <si>
    <t>MGWMV</t>
  </si>
  <si>
    <t>WMV</t>
  </si>
  <si>
    <t>MADIROVALO</t>
  </si>
  <si>
    <t>MGWPB</t>
  </si>
  <si>
    <t>WPB</t>
  </si>
  <si>
    <t>PORT BERGE (VAOVAO)</t>
  </si>
  <si>
    <t>MGWTA</t>
  </si>
  <si>
    <t>WTA</t>
  </si>
  <si>
    <t>TAMBOHORANO</t>
  </si>
  <si>
    <t>MGWTS</t>
  </si>
  <si>
    <t>TSIROANOMANDIDY</t>
  </si>
  <si>
    <t>MGWVK</t>
  </si>
  <si>
    <t>WVK</t>
  </si>
  <si>
    <t>MANAKARA</t>
  </si>
  <si>
    <t>MGZVA</t>
  </si>
  <si>
    <t>ZVA</t>
  </si>
  <si>
    <t>MIANDRIVAZO</t>
  </si>
  <si>
    <t>MGZWA</t>
  </si>
  <si>
    <t>ZWA</t>
  </si>
  <si>
    <t>ANDAPA</t>
  </si>
  <si>
    <t>MGZZZ</t>
  </si>
  <si>
    <t>MARSHALL ISLANDS</t>
  </si>
  <si>
    <t>マーシャル</t>
  </si>
  <si>
    <t>MHKWA</t>
  </si>
  <si>
    <t>MH</t>
  </si>
  <si>
    <t>KWAJALEIN</t>
  </si>
  <si>
    <t>MARSH</t>
  </si>
  <si>
    <t>MHLIK</t>
  </si>
  <si>
    <t>LIK</t>
  </si>
  <si>
    <t>LIKIEP ISLAND</t>
  </si>
  <si>
    <t>MHLML</t>
  </si>
  <si>
    <t>LML</t>
  </si>
  <si>
    <t>LAE ISLAND</t>
  </si>
  <si>
    <t>MHMAJ</t>
  </si>
  <si>
    <t>MAJ</t>
  </si>
  <si>
    <t>MAJURO</t>
  </si>
  <si>
    <t>MHMAV</t>
  </si>
  <si>
    <t>MAV</t>
  </si>
  <si>
    <t>MALOELAP ISL</t>
  </si>
  <si>
    <t>MHRNP</t>
  </si>
  <si>
    <t>RNP</t>
  </si>
  <si>
    <t>RONGELAP ISL</t>
  </si>
  <si>
    <t>MHTIC</t>
  </si>
  <si>
    <t>TIC</t>
  </si>
  <si>
    <t>TINAK ISLAND</t>
  </si>
  <si>
    <t>MHUTK</t>
  </si>
  <si>
    <t>UTK</t>
  </si>
  <si>
    <t>UTIRIK ISLAND</t>
  </si>
  <si>
    <t>MHZZZ</t>
  </si>
  <si>
    <t>BIKINI ATOLL</t>
  </si>
  <si>
    <t>BII</t>
  </si>
  <si>
    <t>ENIWETOK ISLA</t>
  </si>
  <si>
    <t>ENT</t>
  </si>
  <si>
    <t>INE ISLAND</t>
  </si>
  <si>
    <t>KILI ISLAND</t>
  </si>
  <si>
    <t>KIO</t>
  </si>
  <si>
    <t>JALUIT ISLAND</t>
  </si>
  <si>
    <t>UIT</t>
  </si>
  <si>
    <t>NORTH MACEDONIA</t>
  </si>
  <si>
    <t>北マケドニア</t>
  </si>
  <si>
    <t>MKOHD</t>
  </si>
  <si>
    <t>MK</t>
  </si>
  <si>
    <t>OHD</t>
  </si>
  <si>
    <t>OHRID</t>
  </si>
  <si>
    <t>N MAC</t>
  </si>
  <si>
    <t>MKSKP</t>
  </si>
  <si>
    <t>SKP</t>
  </si>
  <si>
    <t>SKOPJE</t>
  </si>
  <si>
    <t>MKZZZ</t>
  </si>
  <si>
    <t>MALI</t>
  </si>
  <si>
    <t>マリ</t>
  </si>
  <si>
    <t>MLBKO</t>
  </si>
  <si>
    <t>ML</t>
  </si>
  <si>
    <t>BKO</t>
  </si>
  <si>
    <t>BAMAKO</t>
  </si>
  <si>
    <t>MLGAQ</t>
  </si>
  <si>
    <t>GAQ</t>
  </si>
  <si>
    <t>MLKTX</t>
  </si>
  <si>
    <t>KOUTIALA</t>
  </si>
  <si>
    <t>MLKYS</t>
  </si>
  <si>
    <t>KYS</t>
  </si>
  <si>
    <t>KAYES</t>
  </si>
  <si>
    <t>MLMZI</t>
  </si>
  <si>
    <t>MZI</t>
  </si>
  <si>
    <t>MOPTI</t>
  </si>
  <si>
    <t>MLNIX</t>
  </si>
  <si>
    <t>NIORO</t>
  </si>
  <si>
    <t>MLNRM</t>
  </si>
  <si>
    <t>NRM</t>
  </si>
  <si>
    <t>NARA</t>
  </si>
  <si>
    <t>MLSZU</t>
  </si>
  <si>
    <t>SEGOU</t>
  </si>
  <si>
    <t>MLZZZ</t>
  </si>
  <si>
    <t>YELIMANE</t>
  </si>
  <si>
    <t>EYL</t>
  </si>
  <si>
    <t>GOUNDAM</t>
  </si>
  <si>
    <t>KENIEBA</t>
  </si>
  <si>
    <t>SIKASSO</t>
  </si>
  <si>
    <t>TOMBOUCTOU</t>
  </si>
  <si>
    <t>UNION OF MYANMAR</t>
  </si>
  <si>
    <t>ミャンマー</t>
  </si>
  <si>
    <t>MMAKY</t>
  </si>
  <si>
    <t>MM</t>
  </si>
  <si>
    <t>AKY</t>
  </si>
  <si>
    <t>AKYAB</t>
  </si>
  <si>
    <t>MYANM</t>
  </si>
  <si>
    <t>MMBIL</t>
  </si>
  <si>
    <t>BIL</t>
  </si>
  <si>
    <t>BILIN</t>
  </si>
  <si>
    <t>MMBMO</t>
  </si>
  <si>
    <t>BMO</t>
  </si>
  <si>
    <t>BHAMO</t>
  </si>
  <si>
    <t>MMBOG</t>
  </si>
  <si>
    <t>BOGALE</t>
  </si>
  <si>
    <t>MMBSX</t>
  </si>
  <si>
    <t>BSX</t>
  </si>
  <si>
    <t>BASSEIN</t>
  </si>
  <si>
    <t>MMGAW</t>
  </si>
  <si>
    <t>GAW</t>
  </si>
  <si>
    <t>GANGAW</t>
  </si>
  <si>
    <t>MMGWA</t>
  </si>
  <si>
    <t>GWA</t>
  </si>
  <si>
    <t>MMHEB</t>
  </si>
  <si>
    <t>HENZADA</t>
  </si>
  <si>
    <t>MMHEN</t>
  </si>
  <si>
    <t>HEHO</t>
  </si>
  <si>
    <t>MMHOX</t>
  </si>
  <si>
    <t>HOMALIN</t>
  </si>
  <si>
    <t>MMINS</t>
  </si>
  <si>
    <t>INSEIN</t>
  </si>
  <si>
    <t>MMKAW</t>
  </si>
  <si>
    <t>KAWTHAUNG</t>
  </si>
  <si>
    <t>MMKET</t>
  </si>
  <si>
    <t>KET</t>
  </si>
  <si>
    <t>KENGTUNG</t>
  </si>
  <si>
    <t>MMKHM</t>
  </si>
  <si>
    <t>KHAMTIS</t>
  </si>
  <si>
    <t>MMKMV</t>
  </si>
  <si>
    <t>KMV</t>
  </si>
  <si>
    <t>KALEMYO</t>
  </si>
  <si>
    <t>MMKYA</t>
  </si>
  <si>
    <t>KYAIKIAT</t>
  </si>
  <si>
    <t>MMKYP</t>
  </si>
  <si>
    <t>KYP</t>
  </si>
  <si>
    <t>KYAUKPYU</t>
  </si>
  <si>
    <t>MMKYT</t>
  </si>
  <si>
    <t>KYT</t>
  </si>
  <si>
    <t>KYAUKTAW</t>
  </si>
  <si>
    <t>MMLIW</t>
  </si>
  <si>
    <t>LIW</t>
  </si>
  <si>
    <t>LOIKAW</t>
  </si>
  <si>
    <t>MMLSH</t>
  </si>
  <si>
    <t>LSH</t>
  </si>
  <si>
    <t>LASHIO</t>
  </si>
  <si>
    <t>MMMAR</t>
  </si>
  <si>
    <t>MARTABAN</t>
  </si>
  <si>
    <t>MMMDL</t>
  </si>
  <si>
    <t>MDL</t>
  </si>
  <si>
    <t>MANDALAY</t>
  </si>
  <si>
    <t>MMMER</t>
  </si>
  <si>
    <t>MERGUI</t>
  </si>
  <si>
    <t>MMMGK</t>
  </si>
  <si>
    <t>MGK</t>
  </si>
  <si>
    <t>MONG TON</t>
  </si>
  <si>
    <t>MMMGU</t>
  </si>
  <si>
    <t>MANAUNG</t>
  </si>
  <si>
    <t>MMMNU</t>
  </si>
  <si>
    <t>MNU</t>
  </si>
  <si>
    <t>MOULMEIN</t>
  </si>
  <si>
    <t>MMMOE</t>
  </si>
  <si>
    <t>MOMEIK</t>
  </si>
  <si>
    <t>MMMOG</t>
  </si>
  <si>
    <t>MONG HSAT</t>
  </si>
  <si>
    <t>MMMUR</t>
  </si>
  <si>
    <t>MURDON</t>
  </si>
  <si>
    <t>MMMWQ</t>
  </si>
  <si>
    <t>MWQ</t>
  </si>
  <si>
    <t>MAGWE</t>
  </si>
  <si>
    <t>MMMYT</t>
  </si>
  <si>
    <t>MYT</t>
  </si>
  <si>
    <t>MYITKYINA</t>
  </si>
  <si>
    <t>MMNMS</t>
  </si>
  <si>
    <t>NAMSANG</t>
  </si>
  <si>
    <t>MMNMT</t>
  </si>
  <si>
    <t>NAMTU</t>
  </si>
  <si>
    <t>MMNYU</t>
  </si>
  <si>
    <t>NYU</t>
  </si>
  <si>
    <t>NYAUNG-U</t>
  </si>
  <si>
    <t>MMPAA</t>
  </si>
  <si>
    <t>PAA</t>
  </si>
  <si>
    <t>PA-AN</t>
  </si>
  <si>
    <t>MMPAU</t>
  </si>
  <si>
    <t>PAUK</t>
  </si>
  <si>
    <t>MMPBU</t>
  </si>
  <si>
    <t>PUTAO</t>
  </si>
  <si>
    <t>MMPEG</t>
  </si>
  <si>
    <t>PEGU</t>
  </si>
  <si>
    <t>MMPKK</t>
  </si>
  <si>
    <t>PKK</t>
  </si>
  <si>
    <t>PAKOKKU</t>
  </si>
  <si>
    <t>MMPPU</t>
  </si>
  <si>
    <t>PPU</t>
  </si>
  <si>
    <t>PAPUN</t>
  </si>
  <si>
    <t>MMRGN</t>
  </si>
  <si>
    <t>YANGON</t>
  </si>
  <si>
    <t>MMSNW</t>
  </si>
  <si>
    <t>SANDOWAY</t>
  </si>
  <si>
    <t>MMTAS</t>
  </si>
  <si>
    <t>TAH SALA</t>
  </si>
  <si>
    <t>MMTAV</t>
  </si>
  <si>
    <t>TAVOY</t>
  </si>
  <si>
    <t>MMTEN</t>
  </si>
  <si>
    <t>TENASSESIM</t>
  </si>
  <si>
    <t>MMTER</t>
  </si>
  <si>
    <t>TERUTAO ISLAND</t>
  </si>
  <si>
    <t>MMTHA</t>
  </si>
  <si>
    <t>THATON</t>
  </si>
  <si>
    <t>MMTHL</t>
  </si>
  <si>
    <t>THL</t>
  </si>
  <si>
    <t>TACHILEK</t>
  </si>
  <si>
    <t>MMTIO</t>
  </si>
  <si>
    <t>TIO</t>
  </si>
  <si>
    <t>TILIN</t>
  </si>
  <si>
    <t>MMVIC</t>
  </si>
  <si>
    <t>VICTORIA POINT</t>
  </si>
  <si>
    <t>MMXYE</t>
  </si>
  <si>
    <t>XYE</t>
  </si>
  <si>
    <t>YE</t>
  </si>
  <si>
    <t>MMZZZ</t>
  </si>
  <si>
    <t>HEH</t>
  </si>
  <si>
    <t>PROME</t>
  </si>
  <si>
    <t>MONGOLIA</t>
  </si>
  <si>
    <t>モンゴル</t>
  </si>
  <si>
    <t>MNULN</t>
  </si>
  <si>
    <t>MN</t>
  </si>
  <si>
    <t>ULN</t>
  </si>
  <si>
    <t>ULAANBAATAR</t>
  </si>
  <si>
    <t>MONG</t>
  </si>
  <si>
    <t>MNZZZ</t>
  </si>
  <si>
    <t>CHINGGIS KHAAN</t>
  </si>
  <si>
    <t>UBN</t>
  </si>
  <si>
    <t>MACAU</t>
  </si>
  <si>
    <t>マカオ</t>
  </si>
  <si>
    <t>MOMFM</t>
  </si>
  <si>
    <t>MO</t>
  </si>
  <si>
    <t>MFM</t>
  </si>
  <si>
    <t>MOZZZ</t>
  </si>
  <si>
    <t>NORTH MARIANA IS</t>
  </si>
  <si>
    <t>北マリアナ諸島（米）</t>
  </si>
  <si>
    <t>MPROP</t>
  </si>
  <si>
    <t>MP</t>
  </si>
  <si>
    <t>ROP</t>
  </si>
  <si>
    <t>ROTA</t>
  </si>
  <si>
    <t>N MAR</t>
  </si>
  <si>
    <t>MPSPN</t>
  </si>
  <si>
    <t>SPN</t>
  </si>
  <si>
    <t>SAIPAN</t>
  </si>
  <si>
    <t>MPTIQ</t>
  </si>
  <si>
    <t>TIQ</t>
  </si>
  <si>
    <t>TINIAN IS</t>
  </si>
  <si>
    <t>MPZZZ</t>
  </si>
  <si>
    <t>MARTINIQUE</t>
  </si>
  <si>
    <t>MQFDF</t>
  </si>
  <si>
    <t>MQ</t>
  </si>
  <si>
    <t>FDF</t>
  </si>
  <si>
    <t>FORT DE FRANCE</t>
  </si>
  <si>
    <t>MARTI</t>
  </si>
  <si>
    <t>MQMTQ</t>
  </si>
  <si>
    <t>MQZZZ</t>
  </si>
  <si>
    <t>MAURITANIA</t>
  </si>
  <si>
    <t>モーリタニア</t>
  </si>
  <si>
    <t>MRAEO</t>
  </si>
  <si>
    <t>MR</t>
  </si>
  <si>
    <t>AEO</t>
  </si>
  <si>
    <t>AIOUN EL ATROUSS</t>
  </si>
  <si>
    <t>MAUR</t>
  </si>
  <si>
    <t>MRAJJ</t>
  </si>
  <si>
    <t>AJJ</t>
  </si>
  <si>
    <t>AKJOUJT</t>
  </si>
  <si>
    <t>MRATR</t>
  </si>
  <si>
    <t>ATAR</t>
  </si>
  <si>
    <t>MRBGH</t>
  </si>
  <si>
    <t>BGH</t>
  </si>
  <si>
    <t>BOGHE</t>
  </si>
  <si>
    <t>MRCGT</t>
  </si>
  <si>
    <t>CGT</t>
  </si>
  <si>
    <t>CHINGUITTI</t>
  </si>
  <si>
    <t>MREMN</t>
  </si>
  <si>
    <t>NEMA</t>
  </si>
  <si>
    <t>MRFGD</t>
  </si>
  <si>
    <t>FGD</t>
  </si>
  <si>
    <t>F DERIK</t>
  </si>
  <si>
    <t>MRKED</t>
  </si>
  <si>
    <t>KED</t>
  </si>
  <si>
    <t>KAEDI</t>
  </si>
  <si>
    <t>MRKFA</t>
  </si>
  <si>
    <t>KFA</t>
  </si>
  <si>
    <t>KIFFA</t>
  </si>
  <si>
    <t>MRLEG</t>
  </si>
  <si>
    <t>LEG</t>
  </si>
  <si>
    <t>ALEG</t>
  </si>
  <si>
    <t>MRMBR</t>
  </si>
  <si>
    <t>MBOUT</t>
  </si>
  <si>
    <t>MRMOM</t>
  </si>
  <si>
    <t>MOUDJERIA</t>
  </si>
  <si>
    <t>MRNDB</t>
  </si>
  <si>
    <t>NDB</t>
  </si>
  <si>
    <t>NOUADHIBOU (FORMERLYPORT ETIENNE)</t>
  </si>
  <si>
    <t>MRNKC</t>
  </si>
  <si>
    <t>NKC</t>
  </si>
  <si>
    <t>NOUAKCHOTT</t>
  </si>
  <si>
    <t>MROTL</t>
  </si>
  <si>
    <t>OTL</t>
  </si>
  <si>
    <t>BOUTILIMIT</t>
  </si>
  <si>
    <t>MROUZ</t>
  </si>
  <si>
    <t>OUZ</t>
  </si>
  <si>
    <t>ZOUERATE</t>
  </si>
  <si>
    <t>MRSEY</t>
  </si>
  <si>
    <t>SEY</t>
  </si>
  <si>
    <t>SELIBABY</t>
  </si>
  <si>
    <t>MRTHI</t>
  </si>
  <si>
    <t>THI</t>
  </si>
  <si>
    <t>TICHITT</t>
  </si>
  <si>
    <t>MRTHT</t>
  </si>
  <si>
    <t>THT</t>
  </si>
  <si>
    <t>TAMCHAKETT</t>
  </si>
  <si>
    <t>MRTIY</t>
  </si>
  <si>
    <t>TIY</t>
  </si>
  <si>
    <t>TIDJIKJA</t>
  </si>
  <si>
    <t>MRTMD</t>
  </si>
  <si>
    <t>TMD</t>
  </si>
  <si>
    <t>TIMBEDRA</t>
  </si>
  <si>
    <t>MRZLG</t>
  </si>
  <si>
    <t>ZLG</t>
  </si>
  <si>
    <t>EL GOUERA</t>
  </si>
  <si>
    <t>MRZZZ</t>
  </si>
  <si>
    <t>MONTSERRAT</t>
  </si>
  <si>
    <t>モントセラト（英）</t>
  </si>
  <si>
    <t>MSMNI</t>
  </si>
  <si>
    <t>MS</t>
  </si>
  <si>
    <t>MNI</t>
  </si>
  <si>
    <t>MONTS</t>
  </si>
  <si>
    <t>MSZZZ</t>
  </si>
  <si>
    <t>MALTA</t>
  </si>
  <si>
    <t>マルタ</t>
  </si>
  <si>
    <t>MTGZA</t>
  </si>
  <si>
    <t>MT</t>
  </si>
  <si>
    <t>GZA</t>
  </si>
  <si>
    <t>GOZA</t>
  </si>
  <si>
    <t>MTGZM</t>
  </si>
  <si>
    <t>GZM</t>
  </si>
  <si>
    <t>GOZO</t>
  </si>
  <si>
    <t>MTMLA</t>
  </si>
  <si>
    <t>MLA</t>
  </si>
  <si>
    <t>MALTA (VALETTA)</t>
  </si>
  <si>
    <t>MTZZZ</t>
  </si>
  <si>
    <t>MAURITIUS</t>
  </si>
  <si>
    <t>モーリシャス</t>
  </si>
  <si>
    <t>MUCRS</t>
  </si>
  <si>
    <t>MU</t>
  </si>
  <si>
    <t>CRS</t>
  </si>
  <si>
    <t>CARAJOS</t>
  </si>
  <si>
    <t>MUMRU</t>
  </si>
  <si>
    <t>MAURI</t>
  </si>
  <si>
    <t>MUPLU</t>
  </si>
  <si>
    <t>PORT LOUIS</t>
  </si>
  <si>
    <t>MURRG</t>
  </si>
  <si>
    <t>RRG</t>
  </si>
  <si>
    <t>RODRIGUES IS</t>
  </si>
  <si>
    <t>MURRS</t>
  </si>
  <si>
    <t>RRS</t>
  </si>
  <si>
    <t>RODRIGUES</t>
  </si>
  <si>
    <t>MUZZZ</t>
  </si>
  <si>
    <t>MALDIVES</t>
  </si>
  <si>
    <t>モルディブ</t>
  </si>
  <si>
    <t>MVGAN</t>
  </si>
  <si>
    <t>MV</t>
  </si>
  <si>
    <t>GAN ISLAND</t>
  </si>
  <si>
    <t>R MAL</t>
  </si>
  <si>
    <t>MVMLE</t>
  </si>
  <si>
    <t>MLE</t>
  </si>
  <si>
    <t>MALE</t>
  </si>
  <si>
    <t>MVZZZ</t>
  </si>
  <si>
    <t>MALAWI</t>
  </si>
  <si>
    <t>マラウイ</t>
  </si>
  <si>
    <t>MWBLZ</t>
  </si>
  <si>
    <t>MW</t>
  </si>
  <si>
    <t>BLZ</t>
  </si>
  <si>
    <t>BLANTYRE</t>
  </si>
  <si>
    <t>MALAW</t>
  </si>
  <si>
    <t>MWKGJ</t>
  </si>
  <si>
    <t>KARONGA</t>
  </si>
  <si>
    <t>MWLLW</t>
  </si>
  <si>
    <t>LLW</t>
  </si>
  <si>
    <t>LILONGWE</t>
  </si>
  <si>
    <t>MWMAI</t>
  </si>
  <si>
    <t>MANGOCHI</t>
  </si>
  <si>
    <t>MWZZU</t>
  </si>
  <si>
    <t>MZUZU</t>
  </si>
  <si>
    <t>MWZZZ</t>
  </si>
  <si>
    <t>MONKEY BAY</t>
  </si>
  <si>
    <t>MYZ</t>
  </si>
  <si>
    <t>MEXICO</t>
  </si>
  <si>
    <t>メキシコ</t>
  </si>
  <si>
    <t>MXACA</t>
  </si>
  <si>
    <t>MX</t>
  </si>
  <si>
    <t>ACAPULCO - GRO</t>
  </si>
  <si>
    <t>MEX</t>
  </si>
  <si>
    <t>MXACN</t>
  </si>
  <si>
    <t>ACN</t>
  </si>
  <si>
    <t>CIUDAD ACUNA</t>
  </si>
  <si>
    <t>MXAGU</t>
  </si>
  <si>
    <t>AGU</t>
  </si>
  <si>
    <t>AGUASCALIENTES</t>
  </si>
  <si>
    <t>MXAJS</t>
  </si>
  <si>
    <t>AJS</t>
  </si>
  <si>
    <t>ABREOJOS</t>
  </si>
  <si>
    <t>MXAOB</t>
  </si>
  <si>
    <t>AOB</t>
  </si>
  <si>
    <t>ALVARO OBREGON</t>
  </si>
  <si>
    <t>MXAPD</t>
  </si>
  <si>
    <t>APD</t>
  </si>
  <si>
    <t>APODACA</t>
  </si>
  <si>
    <t>MXAPR</t>
  </si>
  <si>
    <t>AGUA PRIETA, SON</t>
  </si>
  <si>
    <t>MXATM</t>
  </si>
  <si>
    <t>MXAVD</t>
  </si>
  <si>
    <t>AVD</t>
  </si>
  <si>
    <t>ALVARADO - VER</t>
  </si>
  <si>
    <t>MXAZG</t>
  </si>
  <si>
    <t>AZG</t>
  </si>
  <si>
    <t>APATZINGAN</t>
  </si>
  <si>
    <t>MXBHL</t>
  </si>
  <si>
    <t>BHL</t>
  </si>
  <si>
    <t>BAHIA ANGELES</t>
  </si>
  <si>
    <t>MXCDF</t>
  </si>
  <si>
    <t>CIENEGA DE FLORES, NLE</t>
  </si>
  <si>
    <t>MXCEN</t>
  </si>
  <si>
    <t>CEN</t>
  </si>
  <si>
    <t>CIUDAD OBREGON</t>
  </si>
  <si>
    <t>MXCJS</t>
  </si>
  <si>
    <t>CJS</t>
  </si>
  <si>
    <t>CIUDAD JUAREZ</t>
  </si>
  <si>
    <t>MXCLQ</t>
  </si>
  <si>
    <t>CLQ</t>
  </si>
  <si>
    <t>COLIMA</t>
  </si>
  <si>
    <t>MXCME</t>
  </si>
  <si>
    <t>CME</t>
  </si>
  <si>
    <t>CIUDAD DEL CARMEN -CAM</t>
  </si>
  <si>
    <t>MXCOA</t>
  </si>
  <si>
    <t>COA</t>
  </si>
  <si>
    <t>COATZACOALCOS - VER</t>
  </si>
  <si>
    <t>MXCPE</t>
  </si>
  <si>
    <t>CPE</t>
  </si>
  <si>
    <t>CAMPECHE-LERWA</t>
  </si>
  <si>
    <t>MXCTM</t>
  </si>
  <si>
    <t>CTM</t>
  </si>
  <si>
    <t>CHETUMAL - ROV</t>
  </si>
  <si>
    <t>MXCUL</t>
  </si>
  <si>
    <t>CUL</t>
  </si>
  <si>
    <t>CULIACAN</t>
  </si>
  <si>
    <t>MXCUN</t>
  </si>
  <si>
    <t>CUN</t>
  </si>
  <si>
    <t>CANCUN - ROO</t>
  </si>
  <si>
    <t>MXCUU</t>
  </si>
  <si>
    <t>CUU</t>
  </si>
  <si>
    <t>CHIHUAHUA - CHI</t>
  </si>
  <si>
    <t>MXCVC</t>
  </si>
  <si>
    <t>CUERNAVACA, MOR</t>
  </si>
  <si>
    <t>MXCVM</t>
  </si>
  <si>
    <t>CVM</t>
  </si>
  <si>
    <t>CIUDAD VICTORA</t>
  </si>
  <si>
    <t>MXCZA</t>
  </si>
  <si>
    <t>CZA</t>
  </si>
  <si>
    <t>CHICHEN ITZA</t>
  </si>
  <si>
    <t>MXCZM</t>
  </si>
  <si>
    <t>CZM</t>
  </si>
  <si>
    <t>COZUMEL - ROO</t>
  </si>
  <si>
    <t>MXDGO</t>
  </si>
  <si>
    <t>DGO</t>
  </si>
  <si>
    <t>DURANGO</t>
  </si>
  <si>
    <t>MXESE</t>
  </si>
  <si>
    <t>ESE</t>
  </si>
  <si>
    <t>ENSENADA - BCN</t>
  </si>
  <si>
    <t>MXFRN</t>
  </si>
  <si>
    <t>FRONTERA - TAB</t>
  </si>
  <si>
    <t>MXFTZ</t>
  </si>
  <si>
    <t>FTZ</t>
  </si>
  <si>
    <t>FRONTERAS</t>
  </si>
  <si>
    <t>MXGDL</t>
  </si>
  <si>
    <t>GDL</t>
  </si>
  <si>
    <t>GUADALAJARA - GRO</t>
  </si>
  <si>
    <t>MXGUB</t>
  </si>
  <si>
    <t>GUERRERO NEGR</t>
  </si>
  <si>
    <t>MXGYM</t>
  </si>
  <si>
    <t>GYM</t>
  </si>
  <si>
    <t>GUAYMAS - SON</t>
  </si>
  <si>
    <t>MXHMO</t>
  </si>
  <si>
    <t>HERMOSILLO - SON</t>
  </si>
  <si>
    <t>MXISD</t>
  </si>
  <si>
    <t>ISLA CEDROS</t>
  </si>
  <si>
    <t>MXISJ</t>
  </si>
  <si>
    <t>ISJ</t>
  </si>
  <si>
    <t>ISLA MUJERES</t>
  </si>
  <si>
    <t>MXIZT</t>
  </si>
  <si>
    <t>IZT</t>
  </si>
  <si>
    <t>IXTEPEC</t>
  </si>
  <si>
    <t>MXJAL</t>
  </si>
  <si>
    <t>JAL</t>
  </si>
  <si>
    <t>JALAPA</t>
  </si>
  <si>
    <t>MXLAP</t>
  </si>
  <si>
    <t>LA PAZ - BCS</t>
  </si>
  <si>
    <t>MXLEN</t>
  </si>
  <si>
    <t>MXLMM</t>
  </si>
  <si>
    <t>LMM</t>
  </si>
  <si>
    <t>LOS MOCHIS</t>
  </si>
  <si>
    <t>MXLOV</t>
  </si>
  <si>
    <t>MONCLOVA</t>
  </si>
  <si>
    <t>MXLTO</t>
  </si>
  <si>
    <t>LTO</t>
  </si>
  <si>
    <t>LORETO</t>
  </si>
  <si>
    <t>MXLZC</t>
  </si>
  <si>
    <t>LZC</t>
  </si>
  <si>
    <t>LAZARO CARDENAS - MIC</t>
  </si>
  <si>
    <t>MXMAM</t>
  </si>
  <si>
    <t>MATAMOROS - TAM</t>
  </si>
  <si>
    <t>MXMEX</t>
  </si>
  <si>
    <t>MEXICO CITY</t>
  </si>
  <si>
    <t>MXMID</t>
  </si>
  <si>
    <t>MERIDA - YUC</t>
  </si>
  <si>
    <t>MXMLM</t>
  </si>
  <si>
    <t>MORELIA</t>
  </si>
  <si>
    <t>MXMMC</t>
  </si>
  <si>
    <t>MMC</t>
  </si>
  <si>
    <t>CIUDAD MANTE</t>
  </si>
  <si>
    <t>MXMTT</t>
  </si>
  <si>
    <t>MTT</t>
  </si>
  <si>
    <t>MINATITLAN</t>
  </si>
  <si>
    <t>MXMTY</t>
  </si>
  <si>
    <t>MONTERREY - NL</t>
  </si>
  <si>
    <t>MXMUG</t>
  </si>
  <si>
    <t>MULEGE</t>
  </si>
  <si>
    <t>MXMXL</t>
  </si>
  <si>
    <t>MXL</t>
  </si>
  <si>
    <t>MEXICALI - BCN</t>
  </si>
  <si>
    <t>MXMZT</t>
  </si>
  <si>
    <t>MZT</t>
  </si>
  <si>
    <t>MAZATLAN - SIN</t>
  </si>
  <si>
    <t>MXNCG</t>
  </si>
  <si>
    <t>NCG</t>
  </si>
  <si>
    <t>NUEVA CASAS G</t>
  </si>
  <si>
    <t>MXNLD</t>
  </si>
  <si>
    <t>NLD</t>
  </si>
  <si>
    <t>NUEVO LAREDO - TAM</t>
  </si>
  <si>
    <t>MXNOG</t>
  </si>
  <si>
    <t>NOG</t>
  </si>
  <si>
    <t>NOGALES - SON</t>
  </si>
  <si>
    <t>MXNTR</t>
  </si>
  <si>
    <t>MXOAX</t>
  </si>
  <si>
    <t>OAXACA - OAX</t>
  </si>
  <si>
    <t>MXOJI</t>
  </si>
  <si>
    <t>OJINAGA - CHI</t>
  </si>
  <si>
    <t>MXOYO</t>
  </si>
  <si>
    <t>OCOYOACAC</t>
  </si>
  <si>
    <t>MXPAZ</t>
  </si>
  <si>
    <t>POZA RICA</t>
  </si>
  <si>
    <t>MXPBC</t>
  </si>
  <si>
    <t>PBC</t>
  </si>
  <si>
    <t>PUEBLA, PUE</t>
  </si>
  <si>
    <t>MXPCO</t>
  </si>
  <si>
    <t>PUNTA COLORAD</t>
  </si>
  <si>
    <t>MXPCV</t>
  </si>
  <si>
    <t>PCV</t>
  </si>
  <si>
    <t>PUNTA CHIVATO</t>
  </si>
  <si>
    <t>MXPDS</t>
  </si>
  <si>
    <t>PDS</t>
  </si>
  <si>
    <t>PIEDRAS NEGRA</t>
  </si>
  <si>
    <t>MXPGO</t>
  </si>
  <si>
    <t>PGO</t>
  </si>
  <si>
    <t>PROGRESO - YUC</t>
  </si>
  <si>
    <t>MXPJZ</t>
  </si>
  <si>
    <t>PJZ</t>
  </si>
  <si>
    <t>PUERTO JUAREZ</t>
  </si>
  <si>
    <t>MXPMD</t>
  </si>
  <si>
    <t>PUERTO MADERO - CHI</t>
  </si>
  <si>
    <t>MXPMX</t>
  </si>
  <si>
    <t>PMX</t>
  </si>
  <si>
    <t>PUERTO MEXICO - COA</t>
  </si>
  <si>
    <t>MXPNO</t>
  </si>
  <si>
    <t>PNO</t>
  </si>
  <si>
    <t>PINOTEPA NACI</t>
  </si>
  <si>
    <t>MXPPE</t>
  </si>
  <si>
    <t>PUERTO PENASCO - SON</t>
  </si>
  <si>
    <t>MXPQM</t>
  </si>
  <si>
    <t>PQM</t>
  </si>
  <si>
    <t>MXPUH</t>
  </si>
  <si>
    <t>PUH</t>
  </si>
  <si>
    <t>POCHUTLA</t>
  </si>
  <si>
    <t>MXPVR</t>
  </si>
  <si>
    <t>PVR</t>
  </si>
  <si>
    <t>PUERTO VALLARTA - GRO</t>
  </si>
  <si>
    <t>MXPXM</t>
  </si>
  <si>
    <t>PXM</t>
  </si>
  <si>
    <t>PUERTO ESCOND</t>
  </si>
  <si>
    <t>MXREX</t>
  </si>
  <si>
    <t>REX</t>
  </si>
  <si>
    <t>REYNOSA - TAM</t>
  </si>
  <si>
    <t>MXSBS</t>
  </si>
  <si>
    <t>SAN BLAS - NAY</t>
  </si>
  <si>
    <t>MXSCR</t>
  </si>
  <si>
    <t>SAN CARLOS - BCS</t>
  </si>
  <si>
    <t>MXSCX</t>
  </si>
  <si>
    <t>SCX</t>
  </si>
  <si>
    <t>SALINA CRUZ</t>
  </si>
  <si>
    <t>MXSFH</t>
  </si>
  <si>
    <t>SFH</t>
  </si>
  <si>
    <t>SAN FELIPE - BCN</t>
  </si>
  <si>
    <t>MXSFS</t>
  </si>
  <si>
    <t>SAN FRANCISCO DE LOS ROMOS, AGU</t>
  </si>
  <si>
    <t>MXSGM</t>
  </si>
  <si>
    <t>MXSHO</t>
  </si>
  <si>
    <t>SABINAS HIDALGO, NLE</t>
  </si>
  <si>
    <t>MXSIL</t>
  </si>
  <si>
    <t>SILAO, GUA</t>
  </si>
  <si>
    <t>MXSJD</t>
  </si>
  <si>
    <t>SJD</t>
  </si>
  <si>
    <t>SAN JOSE CABO</t>
  </si>
  <si>
    <t>MXSLP</t>
  </si>
  <si>
    <t>SLP</t>
  </si>
  <si>
    <t>SAN LUIS POTOSI</t>
  </si>
  <si>
    <t>MXSLW</t>
  </si>
  <si>
    <t>SLW</t>
  </si>
  <si>
    <t>SALTILLO</t>
  </si>
  <si>
    <t>MXSMC</t>
  </si>
  <si>
    <t>MXSMI</t>
  </si>
  <si>
    <t>ISLA SAN MARCOS</t>
  </si>
  <si>
    <t>MXSNQ</t>
  </si>
  <si>
    <t>SNQ</t>
  </si>
  <si>
    <t>SAN QUINTIN</t>
  </si>
  <si>
    <t>MXSON</t>
  </si>
  <si>
    <t>SON</t>
  </si>
  <si>
    <t>SONOYT - SON</t>
  </si>
  <si>
    <t>MXSRL</t>
  </si>
  <si>
    <t>SRL</t>
  </si>
  <si>
    <t>SANTA ROSALIA - BCS</t>
  </si>
  <si>
    <t>MXTAM</t>
  </si>
  <si>
    <t>TAMPICO - TAM</t>
  </si>
  <si>
    <t>MXTAP</t>
  </si>
  <si>
    <t>TAPACHULA - CHI</t>
  </si>
  <si>
    <t>MXTCN</t>
  </si>
  <si>
    <t>TCN</t>
  </si>
  <si>
    <t>TEHUACAN</t>
  </si>
  <si>
    <t>MXTGZ</t>
  </si>
  <si>
    <t>TGZ</t>
  </si>
  <si>
    <t>TUXTLA GUTIERREZ</t>
  </si>
  <si>
    <t>MXTIJ</t>
  </si>
  <si>
    <t>TIJ</t>
  </si>
  <si>
    <t>TIJUANA - BCN</t>
  </si>
  <si>
    <t>MXTLC</t>
  </si>
  <si>
    <t>TLC</t>
  </si>
  <si>
    <t>TOLUCA</t>
  </si>
  <si>
    <t>MXTMO</t>
  </si>
  <si>
    <t>TLAJOMULCO DE ZUNIGA, JAL</t>
  </si>
  <si>
    <t>MXTPB</t>
  </si>
  <si>
    <t>TPB</t>
  </si>
  <si>
    <t>TOPOLOBAMPO - SIN</t>
  </si>
  <si>
    <t>MXTPQ</t>
  </si>
  <si>
    <t>TPQ</t>
  </si>
  <si>
    <t>TEPIC</t>
  </si>
  <si>
    <t>MXTRC</t>
  </si>
  <si>
    <t>TORREON - COA</t>
  </si>
  <si>
    <t>MXTSL</t>
  </si>
  <si>
    <t>TSL</t>
  </si>
  <si>
    <t>TAMUIN</t>
  </si>
  <si>
    <t>MXTUX</t>
  </si>
  <si>
    <t>TUX</t>
  </si>
  <si>
    <t>TUXPAN - JER</t>
  </si>
  <si>
    <t>MXTUY</t>
  </si>
  <si>
    <t>TULUM</t>
  </si>
  <si>
    <t>MXTZM</t>
  </si>
  <si>
    <t>TZM</t>
  </si>
  <si>
    <t>TIZIMIN</t>
  </si>
  <si>
    <t>MXUPN</t>
  </si>
  <si>
    <t>UPN</t>
  </si>
  <si>
    <t>URUAPAN</t>
  </si>
  <si>
    <t>MXVER</t>
  </si>
  <si>
    <t>VERACRUZ</t>
  </si>
  <si>
    <t>MXVIB</t>
  </si>
  <si>
    <t>VIB</t>
  </si>
  <si>
    <t>VILLA CONSTIT</t>
  </si>
  <si>
    <t>MXVSA</t>
  </si>
  <si>
    <t>VSA</t>
  </si>
  <si>
    <t>VILLAHERMOSA</t>
  </si>
  <si>
    <t>MXXIH</t>
  </si>
  <si>
    <t>XIH</t>
  </si>
  <si>
    <t>ZIHUATANEJO - GRO</t>
  </si>
  <si>
    <t>MXZCL</t>
  </si>
  <si>
    <t>ZCL</t>
  </si>
  <si>
    <t>ZACATECAS</t>
  </si>
  <si>
    <t>MXZIH</t>
  </si>
  <si>
    <t>ZIH</t>
  </si>
  <si>
    <t>IXTAPA/ZIHUAT</t>
  </si>
  <si>
    <t>MXZIP</t>
  </si>
  <si>
    <t>ZIP</t>
  </si>
  <si>
    <t>IXTAPALUCA, MEX</t>
  </si>
  <si>
    <t>MXZLO</t>
  </si>
  <si>
    <t>ZLO</t>
  </si>
  <si>
    <t>MANZANILLO - COL</t>
  </si>
  <si>
    <t>MXZZZ</t>
  </si>
  <si>
    <t>ATIZAPAN-JIMENEZ CANTU</t>
  </si>
  <si>
    <t>AZP</t>
  </si>
  <si>
    <t>LEON/GUANAJUA</t>
  </si>
  <si>
    <t>BJX</t>
  </si>
  <si>
    <t>CANANEA</t>
  </si>
  <si>
    <t>SANTA LUCIA AFB</t>
  </si>
  <si>
    <t>NLU</t>
  </si>
  <si>
    <t>QUERETARO</t>
  </si>
  <si>
    <t>QRO</t>
  </si>
  <si>
    <t>ALAMOS</t>
  </si>
  <si>
    <t>XAL</t>
  </si>
  <si>
    <t>MALAYSIA</t>
  </si>
  <si>
    <t>マレーシア</t>
  </si>
  <si>
    <t>MYAOR</t>
  </si>
  <si>
    <t>MY</t>
  </si>
  <si>
    <t>AOR</t>
  </si>
  <si>
    <t>ALOR SETAR</t>
  </si>
  <si>
    <t>MALAY</t>
  </si>
  <si>
    <t>MYBAG</t>
  </si>
  <si>
    <t>BAGAN DATOK</t>
  </si>
  <si>
    <t>MYBAT</t>
  </si>
  <si>
    <t>BATU PAHAT</t>
  </si>
  <si>
    <t>MYBAU</t>
  </si>
  <si>
    <t>BAU - SARAWAK</t>
  </si>
  <si>
    <t>MYBBA</t>
  </si>
  <si>
    <t>BATU BATU - SABAH</t>
  </si>
  <si>
    <t>MYBBN</t>
  </si>
  <si>
    <t>BBN</t>
  </si>
  <si>
    <t>BARIO</t>
  </si>
  <si>
    <t>MYBDV</t>
  </si>
  <si>
    <t>BANDAU - SABAH</t>
  </si>
  <si>
    <t>MYBEL</t>
  </si>
  <si>
    <t>BELURAN - SABAH</t>
  </si>
  <si>
    <t>MYBGG</t>
  </si>
  <si>
    <t>BUNAN GEGA - SARAWAK</t>
  </si>
  <si>
    <t>MYBGU</t>
  </si>
  <si>
    <t>BANGGAU - SABAH</t>
  </si>
  <si>
    <t>MYBIA</t>
  </si>
  <si>
    <t>BIAWAK - SARAWAK</t>
  </si>
  <si>
    <t>MYBKI</t>
  </si>
  <si>
    <t>KOTA KINABALU - SABAH</t>
  </si>
  <si>
    <t>MYBKM</t>
  </si>
  <si>
    <t>BAKALALAN</t>
  </si>
  <si>
    <t>MYBLG</t>
  </si>
  <si>
    <t>BLG</t>
  </si>
  <si>
    <t>BELAGA - SARAWAK</t>
  </si>
  <si>
    <t>MYBLI</t>
  </si>
  <si>
    <t>BLI</t>
  </si>
  <si>
    <t>BATU LINGTAN - SARAWAK</t>
  </si>
  <si>
    <t>MYBMA</t>
  </si>
  <si>
    <t>BMA</t>
  </si>
  <si>
    <t>BANDAR MAHARANI</t>
  </si>
  <si>
    <t>MYBNG</t>
  </si>
  <si>
    <t>BINATANG - SARAWAK</t>
  </si>
  <si>
    <t>MYBNT</t>
  </si>
  <si>
    <t>BNT</t>
  </si>
  <si>
    <t>BENUT - JOHOR</t>
  </si>
  <si>
    <t>MYBSE</t>
  </si>
  <si>
    <t>SEMATAN SARAW</t>
  </si>
  <si>
    <t>MYBST</t>
  </si>
  <si>
    <t>BESUT (KUALA BESUT)</t>
  </si>
  <si>
    <t>MYBTG</t>
  </si>
  <si>
    <t>BETONG - SARAWAK</t>
  </si>
  <si>
    <t>MYBTU</t>
  </si>
  <si>
    <t>BTU</t>
  </si>
  <si>
    <t>BINTULU - SARAWAK</t>
  </si>
  <si>
    <t>MYBWH</t>
  </si>
  <si>
    <t>BWH</t>
  </si>
  <si>
    <t>BAGAN LUAR (BUTTERWORTH)</t>
  </si>
  <si>
    <t>MYDDW</t>
  </si>
  <si>
    <t>DDW</t>
  </si>
  <si>
    <t>DANJINDAWAI</t>
  </si>
  <si>
    <t>MYDGN</t>
  </si>
  <si>
    <t>DGN</t>
  </si>
  <si>
    <t>DUNGUN (KUALA DUNGUN)</t>
  </si>
  <si>
    <t>MYDRO</t>
  </si>
  <si>
    <t>DARO - SARAWAK</t>
  </si>
  <si>
    <t>MYEND</t>
  </si>
  <si>
    <t>END</t>
  </si>
  <si>
    <t>ENDAU</t>
  </si>
  <si>
    <t>MYHUM</t>
  </si>
  <si>
    <t>HUM</t>
  </si>
  <si>
    <t>HUTAN MELINGTANG</t>
  </si>
  <si>
    <t>MYIPH</t>
  </si>
  <si>
    <t>IPH</t>
  </si>
  <si>
    <t>IPOH</t>
  </si>
  <si>
    <t>MYJAM</t>
  </si>
  <si>
    <t>JAMBONGAN - SABAH</t>
  </si>
  <si>
    <t>MYJHB</t>
  </si>
  <si>
    <t>JHB</t>
  </si>
  <si>
    <t>JOHOR BAHRU</t>
  </si>
  <si>
    <t>MYKAB</t>
  </si>
  <si>
    <t>KABONG - SARAWAK</t>
  </si>
  <si>
    <t>MYKBA</t>
  </si>
  <si>
    <t>KUALA BARAM</t>
  </si>
  <si>
    <t>MYKBD</t>
  </si>
  <si>
    <t>KOTA BELUD - SABAH</t>
  </si>
  <si>
    <t>MYKBE</t>
  </si>
  <si>
    <t>KBE</t>
  </si>
  <si>
    <t>KUALA BELUD - SABAH</t>
  </si>
  <si>
    <t>MYKBR</t>
  </si>
  <si>
    <t>KOTA BHARU</t>
  </si>
  <si>
    <t>MYKBS</t>
  </si>
  <si>
    <t>KUALA BESAR</t>
  </si>
  <si>
    <t>MYKCH</t>
  </si>
  <si>
    <t>KUCHING - SARAWAK</t>
  </si>
  <si>
    <t>MYKEM</t>
  </si>
  <si>
    <t>KEMAMAN</t>
  </si>
  <si>
    <t>MYKES</t>
  </si>
  <si>
    <t>KEJIT</t>
  </si>
  <si>
    <t>MYKGU</t>
  </si>
  <si>
    <t>KENINGAU</t>
  </si>
  <si>
    <t>MYKIJ</t>
  </si>
  <si>
    <t>KIJAL</t>
  </si>
  <si>
    <t>MYKIM</t>
  </si>
  <si>
    <t>KIMANIS - SABAH</t>
  </si>
  <si>
    <t>MYKKH</t>
  </si>
  <si>
    <t>KKH</t>
  </si>
  <si>
    <t>KUALA KEDAH</t>
  </si>
  <si>
    <t>MYKKP</t>
  </si>
  <si>
    <t>KUKUP</t>
  </si>
  <si>
    <t>MYKPI</t>
  </si>
  <si>
    <t>KPI</t>
  </si>
  <si>
    <t>KAPIT - SARAWAK</t>
  </si>
  <si>
    <t>MYKPS</t>
  </si>
  <si>
    <t>KUALA PERLIS</t>
  </si>
  <si>
    <t>MYKPU</t>
  </si>
  <si>
    <t>KPU</t>
  </si>
  <si>
    <t>KUALA PENYU - SABAH</t>
  </si>
  <si>
    <t>MYKRE</t>
  </si>
  <si>
    <t>KRETY</t>
  </si>
  <si>
    <t>MYKSD</t>
  </si>
  <si>
    <t>KUALA SEDILI</t>
  </si>
  <si>
    <t>MYKSG</t>
  </si>
  <si>
    <t>KSG</t>
  </si>
  <si>
    <t>KUALA SEGAMA - SABAH</t>
  </si>
  <si>
    <t>MYKSL</t>
  </si>
  <si>
    <t>KSL</t>
  </si>
  <si>
    <t>KUALA SELANGOR</t>
  </si>
  <si>
    <t>MYKTI</t>
  </si>
  <si>
    <t>KOTA TINGGI</t>
  </si>
  <si>
    <t>MYKUA</t>
  </si>
  <si>
    <t>KUANTAN (TANJONG GELANG)</t>
  </si>
  <si>
    <t>MYKUD</t>
  </si>
  <si>
    <t>KUDAT - SABAH</t>
  </si>
  <si>
    <t>MYKUG</t>
  </si>
  <si>
    <t>KUALA GULA</t>
  </si>
  <si>
    <t>MYKUL</t>
  </si>
  <si>
    <t>KUALA LUMPUR</t>
  </si>
  <si>
    <t>MYKUN</t>
  </si>
  <si>
    <t>KUNAK - SABAH</t>
  </si>
  <si>
    <t>MYLBH</t>
  </si>
  <si>
    <t>LBH</t>
  </si>
  <si>
    <t>LABUAN HADJI - SABAH</t>
  </si>
  <si>
    <t>MYLBU</t>
  </si>
  <si>
    <t>LBU</t>
  </si>
  <si>
    <t>LABUAN - SABAH</t>
  </si>
  <si>
    <t>MYLDU</t>
  </si>
  <si>
    <t>LDU</t>
  </si>
  <si>
    <t>LAHAD DATU - SABAH</t>
  </si>
  <si>
    <t>MYLGG</t>
  </si>
  <si>
    <t>LINGGA - SARAWAK</t>
  </si>
  <si>
    <t>MYLGK</t>
  </si>
  <si>
    <t>LGK</t>
  </si>
  <si>
    <t>LANGKAWI</t>
  </si>
  <si>
    <t>MYLMN</t>
  </si>
  <si>
    <t>LMN</t>
  </si>
  <si>
    <t>LIMBANG - SARAWAK</t>
  </si>
  <si>
    <t>MYLPK</t>
  </si>
  <si>
    <t>LPK</t>
  </si>
  <si>
    <t>NORTHPORT/PT KLANG</t>
  </si>
  <si>
    <t>MYLSM</t>
  </si>
  <si>
    <t>LSM</t>
  </si>
  <si>
    <t>LONG SEMADO</t>
  </si>
  <si>
    <t>MYLSU</t>
  </si>
  <si>
    <t>LSU</t>
  </si>
  <si>
    <t>LONG SUKANG</t>
  </si>
  <si>
    <t>MYLUM</t>
  </si>
  <si>
    <t>MYLUN</t>
  </si>
  <si>
    <t>LUNDU - SARAWAK</t>
  </si>
  <si>
    <t>MYLUT</t>
  </si>
  <si>
    <t>LUTONG - SARAWAK</t>
  </si>
  <si>
    <t>MYLWY</t>
  </si>
  <si>
    <t>LWY</t>
  </si>
  <si>
    <t>LAWAS - SARAWAK</t>
  </si>
  <si>
    <t>MYMEA</t>
  </si>
  <si>
    <t>MELAKA</t>
  </si>
  <si>
    <t>MYMEM</t>
  </si>
  <si>
    <t>MEMPAKUL - SABAH</t>
  </si>
  <si>
    <t>MYMEN</t>
  </si>
  <si>
    <t>MENASI</t>
  </si>
  <si>
    <t>MYMEP</t>
  </si>
  <si>
    <t>MERSING</t>
  </si>
  <si>
    <t>MYMKM</t>
  </si>
  <si>
    <t>MUKAH - SARAWAK</t>
  </si>
  <si>
    <t>MYMKZ</t>
  </si>
  <si>
    <t>MKZ</t>
  </si>
  <si>
    <t>MALACCA</t>
  </si>
  <si>
    <t>MYMUA</t>
  </si>
  <si>
    <t>MUAR</t>
  </si>
  <si>
    <t>MYMUR</t>
  </si>
  <si>
    <t>MARUDI - SARAWAK</t>
  </si>
  <si>
    <t>MYMYY</t>
  </si>
  <si>
    <t>MYY</t>
  </si>
  <si>
    <t>MIRI - SARAWAK</t>
  </si>
  <si>
    <t>MYODN</t>
  </si>
  <si>
    <t>LONG SERIDAN</t>
  </si>
  <si>
    <t>MYPAL</t>
  </si>
  <si>
    <t>PALOH - SARAWAK</t>
  </si>
  <si>
    <t>MYPAN</t>
  </si>
  <si>
    <t>PANCHANG</t>
  </si>
  <si>
    <t>MYPAS</t>
  </si>
  <si>
    <t>PASIR GOGOK</t>
  </si>
  <si>
    <t>MYPAY</t>
  </si>
  <si>
    <t>PAY</t>
  </si>
  <si>
    <t>PAMOL</t>
  </si>
  <si>
    <t>MYPBA</t>
  </si>
  <si>
    <t>PBA</t>
  </si>
  <si>
    <t>PULAU BATIK - SABAH</t>
  </si>
  <si>
    <t>MYPDI</t>
  </si>
  <si>
    <t>PORT DICKSON</t>
  </si>
  <si>
    <t>MYPED</t>
  </si>
  <si>
    <t>PED</t>
  </si>
  <si>
    <t>PEDENA</t>
  </si>
  <si>
    <t>MYPEN</t>
  </si>
  <si>
    <t>PENANG (GEORGETOWN)</t>
  </si>
  <si>
    <t>MYPGG</t>
  </si>
  <si>
    <t>PGG</t>
  </si>
  <si>
    <t>PENGERANG/TANJ.PENGILEH</t>
  </si>
  <si>
    <t>MYPGU</t>
  </si>
  <si>
    <t>PGU</t>
  </si>
  <si>
    <t>PASIR GUDANG - JOHOR(JOHOR PORT)</t>
  </si>
  <si>
    <t>MYPHI</t>
  </si>
  <si>
    <t>PASIR HITAM</t>
  </si>
  <si>
    <t>MYPKG</t>
  </si>
  <si>
    <t>PKG</t>
  </si>
  <si>
    <t>PORT KELANG (SWETTENHAM)</t>
  </si>
  <si>
    <t>MYPKK</t>
  </si>
  <si>
    <t>PENGKALAN KUBOR</t>
  </si>
  <si>
    <t>MYPOW</t>
  </si>
  <si>
    <t>PONTIAN</t>
  </si>
  <si>
    <t>MYPPI</t>
  </si>
  <si>
    <t>PULAU PISANG</t>
  </si>
  <si>
    <t>MYPRA</t>
  </si>
  <si>
    <t>PRAI</t>
  </si>
  <si>
    <t>MYPRN</t>
  </si>
  <si>
    <t>KUALA ROMPIN</t>
  </si>
  <si>
    <t>MYPTB</t>
  </si>
  <si>
    <t>PULAU TAMBISAN - SABAH</t>
  </si>
  <si>
    <t>MYPUN</t>
  </si>
  <si>
    <t>PUNANG - SARAWAK</t>
  </si>
  <si>
    <t>MYREJ</t>
  </si>
  <si>
    <t>REJ</t>
  </si>
  <si>
    <t>REJANG - SARAWAK</t>
  </si>
  <si>
    <t>MYRNU</t>
  </si>
  <si>
    <t>RNU</t>
  </si>
  <si>
    <t>RANAU</t>
  </si>
  <si>
    <t>MYSAM</t>
  </si>
  <si>
    <t>SAMBU - SARAWAK</t>
  </si>
  <si>
    <t>MYSAR</t>
  </si>
  <si>
    <t>SARIKAI - SARAWAK</t>
  </si>
  <si>
    <t>MYSBW</t>
  </si>
  <si>
    <t>SBW</t>
  </si>
  <si>
    <t>SIBU - SARAWAK</t>
  </si>
  <si>
    <t>MYSDK</t>
  </si>
  <si>
    <t>SANDAKAN - SABAH</t>
  </si>
  <si>
    <t>MYSDM</t>
  </si>
  <si>
    <t>SDM</t>
  </si>
  <si>
    <t>SINDUMIN</t>
  </si>
  <si>
    <t>MYSDR</t>
  </si>
  <si>
    <t>SUNDAR - SARAWAK</t>
  </si>
  <si>
    <t>MYSEJ</t>
  </si>
  <si>
    <t>SEJINGKAT - SARAWAK</t>
  </si>
  <si>
    <t>MYSEL</t>
  </si>
  <si>
    <t>SELALANG - SARAWAK</t>
  </si>
  <si>
    <t>MYSIL</t>
  </si>
  <si>
    <t>SILAY</t>
  </si>
  <si>
    <t>MYSIR</t>
  </si>
  <si>
    <t>SIRAN</t>
  </si>
  <si>
    <t>MYSME</t>
  </si>
  <si>
    <t>SRI MEDAN</t>
  </si>
  <si>
    <t>MYSMG</t>
  </si>
  <si>
    <t>SIMANGGANG - SARAWAK</t>
  </si>
  <si>
    <t>MYSMJ</t>
  </si>
  <si>
    <t>SIMUNJAN - SARAWAK</t>
  </si>
  <si>
    <t>MYSMM</t>
  </si>
  <si>
    <t>SEMPORNA - SABAH</t>
  </si>
  <si>
    <t>MYSPE</t>
  </si>
  <si>
    <t>SEPULOT</t>
  </si>
  <si>
    <t>MYSPG</t>
  </si>
  <si>
    <t>SIMPANGAN - SABAH</t>
  </si>
  <si>
    <t>MYSPT</t>
  </si>
  <si>
    <t>SIPITANG - SABAH</t>
  </si>
  <si>
    <t>MYSRE</t>
  </si>
  <si>
    <t>SUNGAI RENGIT</t>
  </si>
  <si>
    <t>MYSRK</t>
  </si>
  <si>
    <t>SIRIKIN - SARAWAK</t>
  </si>
  <si>
    <t>MYTAS</t>
  </si>
  <si>
    <t>TELOK INTAN</t>
  </si>
  <si>
    <t>MYTBA</t>
  </si>
  <si>
    <t>TANJONG BARAN</t>
  </si>
  <si>
    <t>MYTDA</t>
  </si>
  <si>
    <t>TANJONG DAWAI</t>
  </si>
  <si>
    <t>MYTEL</t>
  </si>
  <si>
    <t>TELUPID</t>
  </si>
  <si>
    <t>MYTEN</t>
  </si>
  <si>
    <t>TENGKU - SABAH</t>
  </si>
  <si>
    <t>MYTGG</t>
  </si>
  <si>
    <t>TGG</t>
  </si>
  <si>
    <t>KUALA TRENGGANU</t>
  </si>
  <si>
    <t>MYTKP</t>
  </si>
  <si>
    <t>TKP</t>
  </si>
  <si>
    <t>TANJONG KUPANG</t>
  </si>
  <si>
    <t>MYTMB</t>
  </si>
  <si>
    <t>TMB</t>
  </si>
  <si>
    <t>TUMBUM</t>
  </si>
  <si>
    <t>MYTMG</t>
  </si>
  <si>
    <t>TMG</t>
  </si>
  <si>
    <t>TOMANGGONG</t>
  </si>
  <si>
    <t>MYTMI</t>
  </si>
  <si>
    <t>TANJONG MANI - SARAWAK</t>
  </si>
  <si>
    <t>MYTOD</t>
  </si>
  <si>
    <t>TIOMAN</t>
  </si>
  <si>
    <t>MYTPP</t>
  </si>
  <si>
    <t>TANJUNG PELEPAS</t>
  </si>
  <si>
    <t>MYTRM</t>
  </si>
  <si>
    <t>TELOK RAMUNIA</t>
  </si>
  <si>
    <t>MYTSR</t>
  </si>
  <si>
    <t>TSR</t>
  </si>
  <si>
    <t>TANJONG SURAT</t>
  </si>
  <si>
    <t>MYTTE</t>
  </si>
  <si>
    <t>TANDJUNG TENGELILI</t>
  </si>
  <si>
    <t>MYTUM</t>
  </si>
  <si>
    <t>TUMPAT</t>
  </si>
  <si>
    <t>MYTUN</t>
  </si>
  <si>
    <t>TUN</t>
  </si>
  <si>
    <t>TUNGKU</t>
  </si>
  <si>
    <t>MYTWU</t>
  </si>
  <si>
    <t>TWU</t>
  </si>
  <si>
    <t>TAWAU - SABAH</t>
  </si>
  <si>
    <t>MYWAL</t>
  </si>
  <si>
    <t>WALLACE BAY - SABAH</t>
  </si>
  <si>
    <t>MYWES</t>
  </si>
  <si>
    <t>WESTON - SABAH</t>
  </si>
  <si>
    <t>MYWSP</t>
  </si>
  <si>
    <t>WSP</t>
  </si>
  <si>
    <t xml:space="preserve">WESTPORT/PORT KLANG </t>
  </si>
  <si>
    <t>MYZZZ</t>
  </si>
  <si>
    <t>LONG LELLANG</t>
  </si>
  <si>
    <t>LGL</t>
  </si>
  <si>
    <t>LONG LAMA</t>
  </si>
  <si>
    <t>LLM</t>
  </si>
  <si>
    <t>SIMANGGANG</t>
  </si>
  <si>
    <t>SGG</t>
  </si>
  <si>
    <t>MOZAMBIQUE</t>
  </si>
  <si>
    <t>モザンビーク</t>
  </si>
  <si>
    <t>MZAME</t>
  </si>
  <si>
    <t>MZ</t>
  </si>
  <si>
    <t>AME</t>
  </si>
  <si>
    <t>ALTO MOLOCUE</t>
  </si>
  <si>
    <t>MOZ</t>
  </si>
  <si>
    <t>MZANO</t>
  </si>
  <si>
    <t>ANO</t>
  </si>
  <si>
    <t>ANGOCHE</t>
  </si>
  <si>
    <t>MZAPL</t>
  </si>
  <si>
    <t>APL</t>
  </si>
  <si>
    <t>NAMPULA</t>
  </si>
  <si>
    <t>MZBEL</t>
  </si>
  <si>
    <t>BELA VISTA</t>
  </si>
  <si>
    <t>MZBEW</t>
  </si>
  <si>
    <t>BEW</t>
  </si>
  <si>
    <t>BEIRA</t>
  </si>
  <si>
    <t>MZBJN</t>
  </si>
  <si>
    <t>BJN</t>
  </si>
  <si>
    <t>BAJONE</t>
  </si>
  <si>
    <t>MZCMZ</t>
  </si>
  <si>
    <t>CMZ</t>
  </si>
  <si>
    <t>CAIA</t>
  </si>
  <si>
    <t>MZIBO</t>
  </si>
  <si>
    <t>IBO</t>
  </si>
  <si>
    <t>MZIMG</t>
  </si>
  <si>
    <t>IMG</t>
  </si>
  <si>
    <t>INHAMINGA</t>
  </si>
  <si>
    <t>MZINE</t>
  </si>
  <si>
    <t>CHINDE</t>
  </si>
  <si>
    <t>MZINH</t>
  </si>
  <si>
    <t>INH</t>
  </si>
  <si>
    <t>INHAMBANE</t>
  </si>
  <si>
    <t>MZLBM</t>
  </si>
  <si>
    <t>LBM</t>
  </si>
  <si>
    <t>LUABO</t>
  </si>
  <si>
    <t>MZLMZ</t>
  </si>
  <si>
    <t>LMZ</t>
  </si>
  <si>
    <t>MZMAT</t>
  </si>
  <si>
    <t>MATOLA</t>
  </si>
  <si>
    <t>MZMCU</t>
  </si>
  <si>
    <t>MACUSE</t>
  </si>
  <si>
    <t>MZMEM</t>
  </si>
  <si>
    <t>MEMBA</t>
  </si>
  <si>
    <t>MZMJS</t>
  </si>
  <si>
    <t>MAGANJA DA CO</t>
  </si>
  <si>
    <t>MZMMW</t>
  </si>
  <si>
    <t>MMW</t>
  </si>
  <si>
    <t>MOMA</t>
  </si>
  <si>
    <t>MZMNC</t>
  </si>
  <si>
    <t>NACALA</t>
  </si>
  <si>
    <t>MZMOR</t>
  </si>
  <si>
    <t>MORRUMBENE</t>
  </si>
  <si>
    <t>MZMPM</t>
  </si>
  <si>
    <t>MPM</t>
  </si>
  <si>
    <t>MAPUTO</t>
  </si>
  <si>
    <t>MZMSG</t>
  </si>
  <si>
    <t>MSG</t>
  </si>
  <si>
    <t>MASSINGA</t>
  </si>
  <si>
    <t>MZMTU</t>
  </si>
  <si>
    <t>MONTEPUEZ</t>
  </si>
  <si>
    <t>MZMUD</t>
  </si>
  <si>
    <t>MUD</t>
  </si>
  <si>
    <t>MUEDA</t>
  </si>
  <si>
    <t>MZMZB</t>
  </si>
  <si>
    <t>MZB</t>
  </si>
  <si>
    <t>MOCIMBOA PRAI</t>
  </si>
  <si>
    <t>MZMZQ</t>
  </si>
  <si>
    <t>MZQ</t>
  </si>
  <si>
    <t>MOCAMBIQUE</t>
  </si>
  <si>
    <t>MZNND</t>
  </si>
  <si>
    <t>NND</t>
  </si>
  <si>
    <t>NANGADE</t>
  </si>
  <si>
    <t>MZNSO</t>
  </si>
  <si>
    <t>NOVA SOFALA</t>
  </si>
  <si>
    <t>MZNTC</t>
  </si>
  <si>
    <t>NTC</t>
  </si>
  <si>
    <t>SANTA CAROLIN</t>
  </si>
  <si>
    <t>MZPEB</t>
  </si>
  <si>
    <t>PEB</t>
  </si>
  <si>
    <t>PEBANE</t>
  </si>
  <si>
    <t>MZPOL</t>
  </si>
  <si>
    <t>POL</t>
  </si>
  <si>
    <t>PEMBA</t>
  </si>
  <si>
    <t>MZRRM</t>
  </si>
  <si>
    <t>RRM</t>
  </si>
  <si>
    <t>MARROMEU</t>
  </si>
  <si>
    <t>MZTET</t>
  </si>
  <si>
    <t>TETE</t>
  </si>
  <si>
    <t>MZUEL</t>
  </si>
  <si>
    <t>QUELIMANE</t>
  </si>
  <si>
    <t>MZVJB</t>
  </si>
  <si>
    <t>VJB</t>
  </si>
  <si>
    <t>XAI XAI</t>
  </si>
  <si>
    <t>MZVJQ</t>
  </si>
  <si>
    <t>VJQ</t>
  </si>
  <si>
    <t>GURUE</t>
  </si>
  <si>
    <t>MZVXC</t>
  </si>
  <si>
    <t>VXC</t>
  </si>
  <si>
    <t>LICHINGA</t>
  </si>
  <si>
    <t>MZZZZ</t>
  </si>
  <si>
    <t>CUAMBA</t>
  </si>
  <si>
    <t>FXO</t>
  </si>
  <si>
    <t>TCV</t>
  </si>
  <si>
    <t>CHOKWE</t>
  </si>
  <si>
    <t>TGS</t>
  </si>
  <si>
    <t>VILANCULOS</t>
  </si>
  <si>
    <t>VNX</t>
  </si>
  <si>
    <t>NAMIBIA</t>
  </si>
  <si>
    <t>ナミビア</t>
  </si>
  <si>
    <t>NAADI</t>
  </si>
  <si>
    <t>NA</t>
  </si>
  <si>
    <t>ADI</t>
  </si>
  <si>
    <t>ARANDIS</t>
  </si>
  <si>
    <t>S W A</t>
  </si>
  <si>
    <t>NAERS</t>
  </si>
  <si>
    <t>ERS</t>
  </si>
  <si>
    <t>WINDHOEK-EROS APT</t>
  </si>
  <si>
    <t>NAGFY</t>
  </si>
  <si>
    <t>GFY</t>
  </si>
  <si>
    <t>GROOTFONTEIN</t>
  </si>
  <si>
    <t>NAHAL</t>
  </si>
  <si>
    <t>HALALI</t>
  </si>
  <si>
    <t>NAKAS</t>
  </si>
  <si>
    <t>KARASBURG</t>
  </si>
  <si>
    <t>NAKMP</t>
  </si>
  <si>
    <t>KEETMANSHOOP</t>
  </si>
  <si>
    <t>NALUD</t>
  </si>
  <si>
    <t>LUDERITZ</t>
  </si>
  <si>
    <t>NANDU</t>
  </si>
  <si>
    <t>NDU</t>
  </si>
  <si>
    <t>RUNDU</t>
  </si>
  <si>
    <t>NAOMG</t>
  </si>
  <si>
    <t>OMG</t>
  </si>
  <si>
    <t>OMEGA</t>
  </si>
  <si>
    <t>NAOND</t>
  </si>
  <si>
    <t>ONDANGWA</t>
  </si>
  <si>
    <t>NAOPW</t>
  </si>
  <si>
    <t>OPW</t>
  </si>
  <si>
    <t>OPUWA</t>
  </si>
  <si>
    <t>NASWP</t>
  </si>
  <si>
    <t>SWP</t>
  </si>
  <si>
    <t>SWAKOPMUND</t>
  </si>
  <si>
    <t>NATSB</t>
  </si>
  <si>
    <t>TSUMEB</t>
  </si>
  <si>
    <t>NAWDH</t>
  </si>
  <si>
    <t>WDH</t>
  </si>
  <si>
    <t>WINDHOEK-J.G. STRYDOM APT</t>
  </si>
  <si>
    <t>NAWVB</t>
  </si>
  <si>
    <t>WVB</t>
  </si>
  <si>
    <t>WALVIS BAY</t>
  </si>
  <si>
    <t>NAZZZ</t>
  </si>
  <si>
    <t>NEW CALEDONIA</t>
  </si>
  <si>
    <t>ニューカレドニア（仏）</t>
  </si>
  <si>
    <t>NCBMY</t>
  </si>
  <si>
    <t>NC</t>
  </si>
  <si>
    <t>BMY</t>
  </si>
  <si>
    <t>BELEP ISLAND</t>
  </si>
  <si>
    <t>N CAL</t>
  </si>
  <si>
    <t>NCHLU</t>
  </si>
  <si>
    <t>HLU</t>
  </si>
  <si>
    <t>HOUAILOU</t>
  </si>
  <si>
    <t>NCILP</t>
  </si>
  <si>
    <t>ILP</t>
  </si>
  <si>
    <t>ILE DES PINS</t>
  </si>
  <si>
    <t>NCKNQ</t>
  </si>
  <si>
    <t>KNQ</t>
  </si>
  <si>
    <t>KONE</t>
  </si>
  <si>
    <t>NCKOC</t>
  </si>
  <si>
    <t>KOC</t>
  </si>
  <si>
    <t>KOUMAC</t>
  </si>
  <si>
    <t>NCKOU</t>
  </si>
  <si>
    <t>KOUAOUA</t>
  </si>
  <si>
    <t>NCMEE</t>
  </si>
  <si>
    <t>MARE</t>
  </si>
  <si>
    <t>NCNAK</t>
  </si>
  <si>
    <t>NAKETY</t>
  </si>
  <si>
    <t>NCNEP</t>
  </si>
  <si>
    <t>NEPOUI</t>
  </si>
  <si>
    <t>NCNOU</t>
  </si>
  <si>
    <t>NOUMEA</t>
  </si>
  <si>
    <t>NCPDC</t>
  </si>
  <si>
    <t>PDC</t>
  </si>
  <si>
    <t>MUEO</t>
  </si>
  <si>
    <t>NCTHI</t>
  </si>
  <si>
    <t>THIO</t>
  </si>
  <si>
    <t>NCTON</t>
  </si>
  <si>
    <t>TONTOUTA</t>
  </si>
  <si>
    <t>NCTOU</t>
  </si>
  <si>
    <t>TOUHO</t>
  </si>
  <si>
    <t>NCUVE</t>
  </si>
  <si>
    <t>UVE</t>
  </si>
  <si>
    <t>OUVEA</t>
  </si>
  <si>
    <t>NCZZZ</t>
  </si>
  <si>
    <t>HIENGHENE</t>
  </si>
  <si>
    <t>ILE OUEN</t>
  </si>
  <si>
    <t>TIGA</t>
  </si>
  <si>
    <t>TGJ</t>
  </si>
  <si>
    <t>NIGER</t>
  </si>
  <si>
    <t>ニジェール</t>
  </si>
  <si>
    <t>NEAJY</t>
  </si>
  <si>
    <t>NE</t>
  </si>
  <si>
    <t>AJY</t>
  </si>
  <si>
    <t>AGADES</t>
  </si>
  <si>
    <t>NEBKN</t>
  </si>
  <si>
    <t>BKN</t>
  </si>
  <si>
    <t>BIRNI NKONI</t>
  </si>
  <si>
    <t>NEMFQ</t>
  </si>
  <si>
    <t>MFQ</t>
  </si>
  <si>
    <t>MARADI</t>
  </si>
  <si>
    <t>NENIM</t>
  </si>
  <si>
    <t>NIAMEY</t>
  </si>
  <si>
    <t>NERLT</t>
  </si>
  <si>
    <t>RLT</t>
  </si>
  <si>
    <t>ARLIT</t>
  </si>
  <si>
    <t>NETHZ</t>
  </si>
  <si>
    <t>THZ</t>
  </si>
  <si>
    <t>TAHOUA</t>
  </si>
  <si>
    <t>NEZND</t>
  </si>
  <si>
    <t>ZND</t>
  </si>
  <si>
    <t>ZINDER</t>
  </si>
  <si>
    <t>NEZZZ</t>
  </si>
  <si>
    <t>NORFOLK ISLAND</t>
  </si>
  <si>
    <t>NFNLK</t>
  </si>
  <si>
    <t>NF</t>
  </si>
  <si>
    <t>NLK</t>
  </si>
  <si>
    <t>NORFK</t>
  </si>
  <si>
    <t>NFZZZ</t>
  </si>
  <si>
    <t>NIGERIA</t>
  </si>
  <si>
    <t>ナイジェリア</t>
  </si>
  <si>
    <t>NGABO</t>
  </si>
  <si>
    <t>NG</t>
  </si>
  <si>
    <t>ABONNEMA</t>
  </si>
  <si>
    <t>NGABV</t>
  </si>
  <si>
    <t>ABV</t>
  </si>
  <si>
    <t>ABUJA</t>
  </si>
  <si>
    <t>NGADO</t>
  </si>
  <si>
    <t>NGAPP</t>
  </si>
  <si>
    <t>APAPA</t>
  </si>
  <si>
    <t>NGBAD</t>
  </si>
  <si>
    <t>BADAGRI</t>
  </si>
  <si>
    <t>NGBNI</t>
  </si>
  <si>
    <t>BNI</t>
  </si>
  <si>
    <t>BENIN CITY</t>
  </si>
  <si>
    <t>NGBON</t>
  </si>
  <si>
    <t>BONNY</t>
  </si>
  <si>
    <t>NGBRA</t>
  </si>
  <si>
    <t>BRASS</t>
  </si>
  <si>
    <t>NGBUR</t>
  </si>
  <si>
    <t>BURUTU</t>
  </si>
  <si>
    <t>NGCBQ</t>
  </si>
  <si>
    <t>CBQ</t>
  </si>
  <si>
    <t>CALABAR</t>
  </si>
  <si>
    <t>NGDEN</t>
  </si>
  <si>
    <t>DENEMA</t>
  </si>
  <si>
    <t>NGEKE</t>
  </si>
  <si>
    <t>EKET</t>
  </si>
  <si>
    <t>NGENU</t>
  </si>
  <si>
    <t>ENU</t>
  </si>
  <si>
    <t>ENUGU</t>
  </si>
  <si>
    <t>NGESC</t>
  </si>
  <si>
    <t>ESC</t>
  </si>
  <si>
    <t>ESCRAVOS</t>
  </si>
  <si>
    <t>NGFOR</t>
  </si>
  <si>
    <t>FORCADOS</t>
  </si>
  <si>
    <t>NGGRP</t>
  </si>
  <si>
    <t>GREEK PORT</t>
  </si>
  <si>
    <t>NGIBA</t>
  </si>
  <si>
    <t>IBA</t>
  </si>
  <si>
    <t>IBADAN</t>
  </si>
  <si>
    <t>NGILR</t>
  </si>
  <si>
    <t>ILORIN</t>
  </si>
  <si>
    <t>NGJOS</t>
  </si>
  <si>
    <t>JOS</t>
  </si>
  <si>
    <t>NGKAD</t>
  </si>
  <si>
    <t>KADUNA</t>
  </si>
  <si>
    <t>NGKAN</t>
  </si>
  <si>
    <t>KANO</t>
  </si>
  <si>
    <t>NGKOK</t>
  </si>
  <si>
    <t>KOKO</t>
  </si>
  <si>
    <t>NGKUL</t>
  </si>
  <si>
    <t>KULA</t>
  </si>
  <si>
    <t>NGLOS</t>
  </si>
  <si>
    <t>LAGOS</t>
  </si>
  <si>
    <t>NGMDI</t>
  </si>
  <si>
    <t>MDI</t>
  </si>
  <si>
    <t>MAKURDI</t>
  </si>
  <si>
    <t>NGMIU</t>
  </si>
  <si>
    <t>MIU</t>
  </si>
  <si>
    <t>MAIDUGURI</t>
  </si>
  <si>
    <t>NGOBO</t>
  </si>
  <si>
    <t>QUE OBOE TERMINAL/EKET</t>
  </si>
  <si>
    <t>NGOKR</t>
  </si>
  <si>
    <t>OKRIKA</t>
  </si>
  <si>
    <t>NGONN</t>
  </si>
  <si>
    <t>ONN</t>
  </si>
  <si>
    <t>ONNE</t>
  </si>
  <si>
    <t>NGORO</t>
  </si>
  <si>
    <t>ORON</t>
  </si>
  <si>
    <t>NGPHC</t>
  </si>
  <si>
    <t>PHC</t>
  </si>
  <si>
    <t>PORT HARCOURT</t>
  </si>
  <si>
    <t>NGSKO</t>
  </si>
  <si>
    <t>SOKOTO</t>
  </si>
  <si>
    <t>NGSPL</t>
  </si>
  <si>
    <t>SPL</t>
  </si>
  <si>
    <t>SAPELE</t>
  </si>
  <si>
    <t>NGTIN</t>
  </si>
  <si>
    <t>TINCAN/LAGOS</t>
  </si>
  <si>
    <t>NGWAR</t>
  </si>
  <si>
    <t>WARRI</t>
  </si>
  <si>
    <t>NGYOL</t>
  </si>
  <si>
    <t>YOL</t>
  </si>
  <si>
    <t>YOLA</t>
  </si>
  <si>
    <t>NGZAR</t>
  </si>
  <si>
    <t>ZAR</t>
  </si>
  <si>
    <t>ZARIA</t>
  </si>
  <si>
    <t>NGZZZ</t>
  </si>
  <si>
    <t>NICARAGUA</t>
  </si>
  <si>
    <t>ニカラグア</t>
  </si>
  <si>
    <t>NIBEF</t>
  </si>
  <si>
    <t>NI</t>
  </si>
  <si>
    <t>BEF</t>
  </si>
  <si>
    <t>BLUEFIELDS/EL BLUFF</t>
  </si>
  <si>
    <t>NIBZA</t>
  </si>
  <si>
    <t>BZA</t>
  </si>
  <si>
    <t>BONANZA</t>
  </si>
  <si>
    <t>NICIO</t>
  </si>
  <si>
    <t>CORINTO</t>
  </si>
  <si>
    <t>NIMGA</t>
  </si>
  <si>
    <t>MANAGUA</t>
  </si>
  <si>
    <t>NINCR</t>
  </si>
  <si>
    <t>NCR</t>
  </si>
  <si>
    <t>SAN CARLOS</t>
  </si>
  <si>
    <t>NIPSN</t>
  </si>
  <si>
    <t>PSN</t>
  </si>
  <si>
    <t>PUERTO SANDINO</t>
  </si>
  <si>
    <t>NIPUZ</t>
  </si>
  <si>
    <t>PUZ</t>
  </si>
  <si>
    <t>PUERTO CABEZAS</t>
  </si>
  <si>
    <t>NIRNI</t>
  </si>
  <si>
    <t>RNI</t>
  </si>
  <si>
    <t>CORN ISLAND</t>
  </si>
  <si>
    <t>NISIU</t>
  </si>
  <si>
    <t>SIU</t>
  </si>
  <si>
    <t>SIUNA</t>
  </si>
  <si>
    <t>NISJS</t>
  </si>
  <si>
    <t>SAN JUAN DEL SUR</t>
  </si>
  <si>
    <t>NIWSP</t>
  </si>
  <si>
    <t>WASPAM</t>
  </si>
  <si>
    <t>NIZZZ</t>
  </si>
  <si>
    <t>NUEVA GUINEA</t>
  </si>
  <si>
    <t>NVG</t>
  </si>
  <si>
    <t>NETHERLANDS</t>
  </si>
  <si>
    <t>オランダ</t>
  </si>
  <si>
    <t>NLALK</t>
  </si>
  <si>
    <t>NL</t>
  </si>
  <si>
    <t>ALKMAAR</t>
  </si>
  <si>
    <t>NLALM</t>
  </si>
  <si>
    <t>ALM</t>
  </si>
  <si>
    <t>ALMELO</t>
  </si>
  <si>
    <t>NLAME</t>
  </si>
  <si>
    <t>AMERSFOORT</t>
  </si>
  <si>
    <t>NLAMS</t>
  </si>
  <si>
    <t>AMSTERDAM</t>
  </si>
  <si>
    <t>NETH</t>
  </si>
  <si>
    <t>NLAPE</t>
  </si>
  <si>
    <t>APELDOORN</t>
  </si>
  <si>
    <t>NLAPN</t>
  </si>
  <si>
    <t>APN</t>
  </si>
  <si>
    <t>ALPHEN A/D RIJN</t>
  </si>
  <si>
    <t>NLARN</t>
  </si>
  <si>
    <t>ARNHEM</t>
  </si>
  <si>
    <t>NLBEH</t>
  </si>
  <si>
    <t>BERGH-AUTOWEG</t>
  </si>
  <si>
    <t>NLBER</t>
  </si>
  <si>
    <t>BERKEL EN RODENRIJS</t>
  </si>
  <si>
    <t>NLBEV</t>
  </si>
  <si>
    <t>BEVERWIJK</t>
  </si>
  <si>
    <t>NLBEY</t>
  </si>
  <si>
    <t>BERGEIJK</t>
  </si>
  <si>
    <t>NLBON</t>
  </si>
  <si>
    <t>BORN</t>
  </si>
  <si>
    <t>NLBRD</t>
  </si>
  <si>
    <t>BREDA</t>
  </si>
  <si>
    <t>NLBRR</t>
  </si>
  <si>
    <t>BARENDRECHT</t>
  </si>
  <si>
    <t>NLBRS</t>
  </si>
  <si>
    <t>BRESKENS</t>
  </si>
  <si>
    <t>NLBZM</t>
  </si>
  <si>
    <t>BZM</t>
  </si>
  <si>
    <t>BERGEN OP ZOOM</t>
  </si>
  <si>
    <t>NLCOE</t>
  </si>
  <si>
    <t>COE</t>
  </si>
  <si>
    <t>COEVORDEN</t>
  </si>
  <si>
    <t>NLDEN</t>
  </si>
  <si>
    <t>DENEKAMP-FRENSDORFERHAAR</t>
  </si>
  <si>
    <t>NLDEV</t>
  </si>
  <si>
    <t>DEV</t>
  </si>
  <si>
    <t>DEVENTER</t>
  </si>
  <si>
    <t>NLDFT</t>
  </si>
  <si>
    <t>DFT</t>
  </si>
  <si>
    <t>DELFT</t>
  </si>
  <si>
    <t>NLDHR</t>
  </si>
  <si>
    <t>DHR</t>
  </si>
  <si>
    <t>DEN HELDER</t>
  </si>
  <si>
    <t>NLDKP</t>
  </si>
  <si>
    <t>DKP</t>
  </si>
  <si>
    <t>DE KEMPEN</t>
  </si>
  <si>
    <t>NLDOE</t>
  </si>
  <si>
    <t>DOE</t>
  </si>
  <si>
    <t>DOESBURG</t>
  </si>
  <si>
    <t>NLDOR</t>
  </si>
  <si>
    <t>DORDRECHT</t>
  </si>
  <si>
    <t>NLDPS</t>
  </si>
  <si>
    <t>DE POPPE-SPRINGBIEL</t>
  </si>
  <si>
    <t>NLDRA</t>
  </si>
  <si>
    <t>DRACHTEN</t>
  </si>
  <si>
    <t>NLDUI</t>
  </si>
  <si>
    <t>DUIVEN</t>
  </si>
  <si>
    <t>NLDZL</t>
  </si>
  <si>
    <t>DZL</t>
  </si>
  <si>
    <t>DELFZIJL</t>
  </si>
  <si>
    <t>NLEDE</t>
  </si>
  <si>
    <t>EDE</t>
  </si>
  <si>
    <t>NLEED</t>
  </si>
  <si>
    <t>EED</t>
  </si>
  <si>
    <t>EEDE</t>
  </si>
  <si>
    <t>NLEEM</t>
  </si>
  <si>
    <t>EEM</t>
  </si>
  <si>
    <t>EEMSHAVEN</t>
  </si>
  <si>
    <t>NLEIN</t>
  </si>
  <si>
    <t>EIN</t>
  </si>
  <si>
    <t>EINDHOVEN</t>
  </si>
  <si>
    <t>NLEMM</t>
  </si>
  <si>
    <t>EMMEN</t>
  </si>
  <si>
    <t>NLENS</t>
  </si>
  <si>
    <t>ENS</t>
  </si>
  <si>
    <t>ENSCHEDE</t>
  </si>
  <si>
    <t>NLEUR</t>
  </si>
  <si>
    <t>EUR</t>
  </si>
  <si>
    <t>EUROPOORT</t>
  </si>
  <si>
    <t>NLEYS</t>
  </si>
  <si>
    <t>EIJSDEN</t>
  </si>
  <si>
    <t>NLGLA</t>
  </si>
  <si>
    <t>GLANERBRUG</t>
  </si>
  <si>
    <t>NLGOI</t>
  </si>
  <si>
    <t>GOIRLE</t>
  </si>
  <si>
    <t>NLGOR</t>
  </si>
  <si>
    <t>GORINCHEM</t>
  </si>
  <si>
    <t>NLGOU</t>
  </si>
  <si>
    <t>GOUDA</t>
  </si>
  <si>
    <t>NLGRQ</t>
  </si>
  <si>
    <t>GRQ</t>
  </si>
  <si>
    <t>GRONINGEN</t>
  </si>
  <si>
    <t>NLHAA</t>
  </si>
  <si>
    <t>HAARLEM</t>
  </si>
  <si>
    <t>NLHAG</t>
  </si>
  <si>
    <t>DEN HAAG (S-GRAVENHAGE)</t>
  </si>
  <si>
    <t>NLHAN</t>
  </si>
  <si>
    <t>HANSWEERT</t>
  </si>
  <si>
    <t>NLHAR</t>
  </si>
  <si>
    <t>HARLINGEN</t>
  </si>
  <si>
    <t>NLHEU</t>
  </si>
  <si>
    <t>HEU</t>
  </si>
  <si>
    <t>HEURNE</t>
  </si>
  <si>
    <t>NLHFD</t>
  </si>
  <si>
    <t>HFD</t>
  </si>
  <si>
    <t>HOOFDDORP</t>
  </si>
  <si>
    <t>NLHGL</t>
  </si>
  <si>
    <t>HENGELO</t>
  </si>
  <si>
    <t>NLHLM</t>
  </si>
  <si>
    <t>HLM</t>
  </si>
  <si>
    <t>HELMOND</t>
  </si>
  <si>
    <t>NLHRB</t>
  </si>
  <si>
    <t>S-HEERENBERG</t>
  </si>
  <si>
    <t>NLHRL</t>
  </si>
  <si>
    <t>HRL</t>
  </si>
  <si>
    <t>HEERLEN-AUTOWEG</t>
  </si>
  <si>
    <t>NLHRN</t>
  </si>
  <si>
    <t>HOORN</t>
  </si>
  <si>
    <t>NLHTB</t>
  </si>
  <si>
    <t>HTB</t>
  </si>
  <si>
    <t>S-HERTOGENBOSCH</t>
  </si>
  <si>
    <t>NLHUL</t>
  </si>
  <si>
    <t>HULST</t>
  </si>
  <si>
    <t>NLHVH</t>
  </si>
  <si>
    <t>HVH</t>
  </si>
  <si>
    <t>HOEK VAN HOLLAND</t>
  </si>
  <si>
    <t>NLHVS</t>
  </si>
  <si>
    <t>HVS</t>
  </si>
  <si>
    <t>HILVERSUM</t>
  </si>
  <si>
    <t>NLIJM</t>
  </si>
  <si>
    <t>IJM</t>
  </si>
  <si>
    <t>IJMUIDEN</t>
  </si>
  <si>
    <t>NLITT</t>
  </si>
  <si>
    <t>ITT</t>
  </si>
  <si>
    <t>ITTERVOORT</t>
  </si>
  <si>
    <t>NLKAM</t>
  </si>
  <si>
    <t>KAMPEN</t>
  </si>
  <si>
    <t>NLKAP</t>
  </si>
  <si>
    <t>KAPELLEBRUG</t>
  </si>
  <si>
    <t>NLLAN</t>
  </si>
  <si>
    <t>LANWERSOOG</t>
  </si>
  <si>
    <t>NLLID</t>
  </si>
  <si>
    <t>LID</t>
  </si>
  <si>
    <t>LEIDEN</t>
  </si>
  <si>
    <t>NLLOB</t>
  </si>
  <si>
    <t>LOBITH</t>
  </si>
  <si>
    <t>NLMEP</t>
  </si>
  <si>
    <t>MEPPEL</t>
  </si>
  <si>
    <t>NLMID</t>
  </si>
  <si>
    <t>MIDDELBURG</t>
  </si>
  <si>
    <t>NLMOE</t>
  </si>
  <si>
    <t>MOERDIJK</t>
  </si>
  <si>
    <t>NLMSL</t>
  </si>
  <si>
    <t>MSL</t>
  </si>
  <si>
    <t>MAASSLUIS</t>
  </si>
  <si>
    <t>NLMST</t>
  </si>
  <si>
    <t>MAASTRICHT</t>
  </si>
  <si>
    <t>NLNIJ</t>
  </si>
  <si>
    <t>NIJMEGEN</t>
  </si>
  <si>
    <t>NLNIS</t>
  </si>
  <si>
    <t>NISPEN</t>
  </si>
  <si>
    <t>NLNSC</t>
  </si>
  <si>
    <t>NIEUWE SCHANS</t>
  </si>
  <si>
    <t>NLOLZ</t>
  </si>
  <si>
    <t>OLZ</t>
  </si>
  <si>
    <t>OLDENZAAL</t>
  </si>
  <si>
    <t>NLOSS</t>
  </si>
  <si>
    <t>NLOVR</t>
  </si>
  <si>
    <t>OVR</t>
  </si>
  <si>
    <t>OUD VROENHOVEN</t>
  </si>
  <si>
    <t>NLPAP</t>
  </si>
  <si>
    <t>PAPENDRECHT</t>
  </si>
  <si>
    <t>NLPER</t>
  </si>
  <si>
    <t>PERNIS</t>
  </si>
  <si>
    <t>NLPUT</t>
  </si>
  <si>
    <t>PUTTE</t>
  </si>
  <si>
    <t>NLROO</t>
  </si>
  <si>
    <t>ROOSENDAAL</t>
  </si>
  <si>
    <t>NLRTM</t>
  </si>
  <si>
    <t>RTM</t>
  </si>
  <si>
    <t>ROTTERDAM</t>
  </si>
  <si>
    <t>NLSCE</t>
  </si>
  <si>
    <t>SCHEVENINGEN (S-GRAVENHAGE)</t>
  </si>
  <si>
    <t>NLSCI</t>
  </si>
  <si>
    <t>SCI</t>
  </si>
  <si>
    <t>SCHIEDAM</t>
  </si>
  <si>
    <t>NLSLS</t>
  </si>
  <si>
    <t>SLUIS</t>
  </si>
  <si>
    <t>NLSLU</t>
  </si>
  <si>
    <t>SLUISKIL</t>
  </si>
  <si>
    <t>NLSPI</t>
  </si>
  <si>
    <t>SPIJKENISSE</t>
  </si>
  <si>
    <t>NLSPL</t>
  </si>
  <si>
    <t>SCHIPHOL</t>
  </si>
  <si>
    <t>NLSVG</t>
  </si>
  <si>
    <t>SAS VAN GENT</t>
  </si>
  <si>
    <t>NLTEG</t>
  </si>
  <si>
    <t>TEGELEN</t>
  </si>
  <si>
    <t>NLTIE</t>
  </si>
  <si>
    <t>TIEL</t>
  </si>
  <si>
    <t>NLTLB</t>
  </si>
  <si>
    <t>TLB</t>
  </si>
  <si>
    <t>TILBURG</t>
  </si>
  <si>
    <t>NLTNZ</t>
  </si>
  <si>
    <t>TNZ</t>
  </si>
  <si>
    <t>TERNEUZEN</t>
  </si>
  <si>
    <t>NLUTC</t>
  </si>
  <si>
    <t>UTC</t>
  </si>
  <si>
    <t>UTRECHT</t>
  </si>
  <si>
    <t>NLVDM</t>
  </si>
  <si>
    <t>VEENDAM</t>
  </si>
  <si>
    <t>NLVEG</t>
  </si>
  <si>
    <t>VEGHEL</t>
  </si>
  <si>
    <t>NLVEN</t>
  </si>
  <si>
    <t>VENLO</t>
  </si>
  <si>
    <t>NLVLA</t>
  </si>
  <si>
    <t>VLAARDINGEN</t>
  </si>
  <si>
    <t>NLVLI</t>
  </si>
  <si>
    <t>VLI</t>
  </si>
  <si>
    <t>VLISSINGEN</t>
  </si>
  <si>
    <t>NLVLO</t>
  </si>
  <si>
    <t>VLO</t>
  </si>
  <si>
    <t>VENLO-AUTOWEG</t>
  </si>
  <si>
    <t>NLVNR</t>
  </si>
  <si>
    <t>VENRAY</t>
  </si>
  <si>
    <t>NLWHT</t>
  </si>
  <si>
    <t>WHT</t>
  </si>
  <si>
    <t>WERNHOUT</t>
  </si>
  <si>
    <t>NLWLK</t>
  </si>
  <si>
    <t>WLK</t>
  </si>
  <si>
    <t>WAALWIJK</t>
  </si>
  <si>
    <t>NLWRT</t>
  </si>
  <si>
    <t>WRT</t>
  </si>
  <si>
    <t>WEERT</t>
  </si>
  <si>
    <t>NLWSC</t>
  </si>
  <si>
    <t>WSC</t>
  </si>
  <si>
    <t>WINSCHOTEN</t>
  </si>
  <si>
    <t>NLWTE</t>
  </si>
  <si>
    <t>WTE</t>
  </si>
  <si>
    <t>WEST-TERSCHELLING</t>
  </si>
  <si>
    <t>NLWTW</t>
  </si>
  <si>
    <t>WTW</t>
  </si>
  <si>
    <t>WINTERSWIJK</t>
  </si>
  <si>
    <t>NLWTZ</t>
  </si>
  <si>
    <t>WTZ</t>
  </si>
  <si>
    <t>WESTZAAN</t>
  </si>
  <si>
    <t>NLZAA</t>
  </si>
  <si>
    <t>ZAANDAM</t>
  </si>
  <si>
    <t>NLZEV</t>
  </si>
  <si>
    <t>ZEVENAAR</t>
  </si>
  <si>
    <t>NLZOU</t>
  </si>
  <si>
    <t>ZOU</t>
  </si>
  <si>
    <t>ZOETERWOUDE</t>
  </si>
  <si>
    <t>NLZUT</t>
  </si>
  <si>
    <t>ZUT</t>
  </si>
  <si>
    <t>ZUTPHEN</t>
  </si>
  <si>
    <t>NLZWD</t>
  </si>
  <si>
    <t>ZWD</t>
  </si>
  <si>
    <t>ZOETERWOUDE-RIJNDIJK</t>
  </si>
  <si>
    <t>NLZWI</t>
  </si>
  <si>
    <t>ZWI</t>
  </si>
  <si>
    <t>ZWIJNDRECHT</t>
  </si>
  <si>
    <t>NLZWO</t>
  </si>
  <si>
    <t>ZWO</t>
  </si>
  <si>
    <t>ZWOLLE</t>
  </si>
  <si>
    <t>NLZZZ</t>
  </si>
  <si>
    <t>NORWAY</t>
  </si>
  <si>
    <t>ノルウェー</t>
  </si>
  <si>
    <t>NOAAN</t>
  </si>
  <si>
    <t>ARDAL</t>
  </si>
  <si>
    <t>NOAAV</t>
  </si>
  <si>
    <t>AAV</t>
  </si>
  <si>
    <t>ALVIK</t>
  </si>
  <si>
    <t>NOAES</t>
  </si>
  <si>
    <t>AES</t>
  </si>
  <si>
    <t>ALESUND</t>
  </si>
  <si>
    <t>NOAGO</t>
  </si>
  <si>
    <t>AGO</t>
  </si>
  <si>
    <t>AGOTNES</t>
  </si>
  <si>
    <t>NOALF</t>
  </si>
  <si>
    <t>ALTA</t>
  </si>
  <si>
    <t>NOAND</t>
  </si>
  <si>
    <t>ANDALSNES</t>
  </si>
  <si>
    <t>NOARD</t>
  </si>
  <si>
    <t>ARDALSTANGEN</t>
  </si>
  <si>
    <t>NOARE</t>
  </si>
  <si>
    <t>ARENDAL</t>
  </si>
  <si>
    <t>NOBAR</t>
  </si>
  <si>
    <t>BARUM</t>
  </si>
  <si>
    <t>NOBDU</t>
  </si>
  <si>
    <t>BDU</t>
  </si>
  <si>
    <t>BARDUFOSS</t>
  </si>
  <si>
    <t>NOBGO</t>
  </si>
  <si>
    <t>BERGEN</t>
  </si>
  <si>
    <t>NOBJF</t>
  </si>
  <si>
    <t>BJF</t>
  </si>
  <si>
    <t>BATSFJORD</t>
  </si>
  <si>
    <t>NOBJX</t>
  </si>
  <si>
    <t>BJORKAS</t>
  </si>
  <si>
    <t>NOBKD</t>
  </si>
  <si>
    <t>BKD</t>
  </si>
  <si>
    <t>BREKSTAD</t>
  </si>
  <si>
    <t>NOBNN</t>
  </si>
  <si>
    <t>BNN</t>
  </si>
  <si>
    <t>BRONNOYSUND</t>
  </si>
  <si>
    <t>NOBOO</t>
  </si>
  <si>
    <t>BOO</t>
  </si>
  <si>
    <t>BODO</t>
  </si>
  <si>
    <t>NOBRV</t>
  </si>
  <si>
    <t>BRATTVAG</t>
  </si>
  <si>
    <t>NOBUV</t>
  </si>
  <si>
    <t>BUV</t>
  </si>
  <si>
    <t>BUVIKEN</t>
  </si>
  <si>
    <t>NOBVK</t>
  </si>
  <si>
    <t>BVK</t>
  </si>
  <si>
    <t>BREVIK</t>
  </si>
  <si>
    <t>NODRM</t>
  </si>
  <si>
    <t>DRAMMEN</t>
  </si>
  <si>
    <t>NOEGD</t>
  </si>
  <si>
    <t>EGD</t>
  </si>
  <si>
    <t>EIGERSUND</t>
  </si>
  <si>
    <t>NOEGE</t>
  </si>
  <si>
    <t>EGE</t>
  </si>
  <si>
    <t>EGERSUND</t>
  </si>
  <si>
    <t>NOELV</t>
  </si>
  <si>
    <t>ELV</t>
  </si>
  <si>
    <t>ELVERUM</t>
  </si>
  <si>
    <t>NOEVE</t>
  </si>
  <si>
    <t>EVE</t>
  </si>
  <si>
    <t>EVENES/HARSTAD</t>
  </si>
  <si>
    <t>NOEYD</t>
  </si>
  <si>
    <t>EYD</t>
  </si>
  <si>
    <t>EYDEHAVN</t>
  </si>
  <si>
    <t>NOFAN</t>
  </si>
  <si>
    <t>FARSUND-LISTA</t>
  </si>
  <si>
    <t>NOFAU</t>
  </si>
  <si>
    <t>FAU</t>
  </si>
  <si>
    <t>FAUSKE</t>
  </si>
  <si>
    <t>NOFBU</t>
  </si>
  <si>
    <t>FBU</t>
  </si>
  <si>
    <t>FORNEBU APT/OSLO</t>
  </si>
  <si>
    <t>NOFDE</t>
  </si>
  <si>
    <t>FDE</t>
  </si>
  <si>
    <t>FORDE-DYRANA</t>
  </si>
  <si>
    <t>NOFFD</t>
  </si>
  <si>
    <t>FFD</t>
  </si>
  <si>
    <t>FLEKKEFJORD</t>
  </si>
  <si>
    <t>NOFNE</t>
  </si>
  <si>
    <t>FNE</t>
  </si>
  <si>
    <t>FINSENS</t>
  </si>
  <si>
    <t>NOFOL</t>
  </si>
  <si>
    <t>FOLLAFOSS</t>
  </si>
  <si>
    <t>NOFOS</t>
  </si>
  <si>
    <t>FOSNAVAG</t>
  </si>
  <si>
    <t>NOFRK</t>
  </si>
  <si>
    <t>FREDRIKSTAD</t>
  </si>
  <si>
    <t>NOFRO</t>
  </si>
  <si>
    <t>FRO</t>
  </si>
  <si>
    <t>FLORO</t>
  </si>
  <si>
    <t>NOFRS</t>
  </si>
  <si>
    <t>FORUS</t>
  </si>
  <si>
    <t>NOGEN</t>
  </si>
  <si>
    <t>GARDERMOEN APT/OSLO</t>
  </si>
  <si>
    <t>NOGLO</t>
  </si>
  <si>
    <t>GLOMFJORD</t>
  </si>
  <si>
    <t>NOGRE</t>
  </si>
  <si>
    <t>GREAKER</t>
  </si>
  <si>
    <t>NOGTD</t>
  </si>
  <si>
    <t>GTD</t>
  </si>
  <si>
    <t>GRIMSTAD</t>
  </si>
  <si>
    <t>NOGVK</t>
  </si>
  <si>
    <t>GVK</t>
  </si>
  <si>
    <t>GJOVIK</t>
  </si>
  <si>
    <t>NOHAL</t>
  </si>
  <si>
    <t>HALDEN</t>
  </si>
  <si>
    <t>NOHAU</t>
  </si>
  <si>
    <t>HAUGESUND</t>
  </si>
  <si>
    <t>NOHFT</t>
  </si>
  <si>
    <t>HFT</t>
  </si>
  <si>
    <t>HAMMERFEST</t>
  </si>
  <si>
    <t>NOHMR</t>
  </si>
  <si>
    <t>HAMAR</t>
  </si>
  <si>
    <t>NOHOK</t>
  </si>
  <si>
    <t>HOMMELVIK</t>
  </si>
  <si>
    <t>NOHOL</t>
  </si>
  <si>
    <t>HOLMESTRAND</t>
  </si>
  <si>
    <t>NOHOR</t>
  </si>
  <si>
    <t>HORTEN</t>
  </si>
  <si>
    <t>NOHOV</t>
  </si>
  <si>
    <t>HOV</t>
  </si>
  <si>
    <t>ORSTA-VOLDA</t>
  </si>
  <si>
    <t>NOHRI</t>
  </si>
  <si>
    <t>HAREID</t>
  </si>
  <si>
    <t>NOHRY</t>
  </si>
  <si>
    <t>HEROYA</t>
  </si>
  <si>
    <t>NOHUS</t>
  </si>
  <si>
    <t>HUSNES</t>
  </si>
  <si>
    <t>NOHVG</t>
  </si>
  <si>
    <t>HVG</t>
  </si>
  <si>
    <t>HONNINGSVAG</t>
  </si>
  <si>
    <t>NOHVI</t>
  </si>
  <si>
    <t>HVI</t>
  </si>
  <si>
    <t>HAVIK</t>
  </si>
  <si>
    <t>NOHYR</t>
  </si>
  <si>
    <t>HOYANGER</t>
  </si>
  <si>
    <t>NOIKR</t>
  </si>
  <si>
    <t>IKORNNES</t>
  </si>
  <si>
    <t>NOJAR</t>
  </si>
  <si>
    <t>JAR</t>
  </si>
  <si>
    <t>JARLSBERG APT/TONSBERG</t>
  </si>
  <si>
    <t>NOJSS</t>
  </si>
  <si>
    <t>JOSSINGHAMN</t>
  </si>
  <si>
    <t>NOKKN</t>
  </si>
  <si>
    <t>KKN</t>
  </si>
  <si>
    <t>KIRKENES</t>
  </si>
  <si>
    <t>NOKMO</t>
  </si>
  <si>
    <t>KAMBO</t>
  </si>
  <si>
    <t>NOKMY</t>
  </si>
  <si>
    <t>KARMOY</t>
  </si>
  <si>
    <t>NOKOP</t>
  </si>
  <si>
    <t>KOPERVIK</t>
  </si>
  <si>
    <t>NOKRA</t>
  </si>
  <si>
    <t>KRAGERO</t>
  </si>
  <si>
    <t>NOKRS</t>
  </si>
  <si>
    <t>KRISTIANSAND</t>
  </si>
  <si>
    <t>NOKSB</t>
  </si>
  <si>
    <t>KONGSBERG</t>
  </si>
  <si>
    <t>NOKSU</t>
  </si>
  <si>
    <t>KRISTIANSUND</t>
  </si>
  <si>
    <t>NOKSV</t>
  </si>
  <si>
    <t>KONGSVINGER</t>
  </si>
  <si>
    <t>NOKVD</t>
  </si>
  <si>
    <t>KVD</t>
  </si>
  <si>
    <t>KVINESDAL</t>
  </si>
  <si>
    <t>NOKYR</t>
  </si>
  <si>
    <t>KYRKSATERORA</t>
  </si>
  <si>
    <t>NOLAD</t>
  </si>
  <si>
    <t>LANGESUND</t>
  </si>
  <si>
    <t>NOLAR</t>
  </si>
  <si>
    <t>LARVIK</t>
  </si>
  <si>
    <t>NOLER</t>
  </si>
  <si>
    <t>LERVIK</t>
  </si>
  <si>
    <t>NOLEV</t>
  </si>
  <si>
    <t>LEVANGER</t>
  </si>
  <si>
    <t>NOLIL</t>
  </si>
  <si>
    <t>LILLESAND</t>
  </si>
  <si>
    <t>NOLKL</t>
  </si>
  <si>
    <t>LKL</t>
  </si>
  <si>
    <t>LAKSELV</t>
  </si>
  <si>
    <t>NOLND</t>
  </si>
  <si>
    <t>LND</t>
  </si>
  <si>
    <t>LYNGDAL</t>
  </si>
  <si>
    <t>NOLOD</t>
  </si>
  <si>
    <t>LOD</t>
  </si>
  <si>
    <t>LODINGEN</t>
  </si>
  <si>
    <t>NOLRI</t>
  </si>
  <si>
    <t>LEIRVIK</t>
  </si>
  <si>
    <t>NOLST</t>
  </si>
  <si>
    <t>LILLESTROM</t>
  </si>
  <si>
    <t>NOMAN</t>
  </si>
  <si>
    <t>MANDAL</t>
  </si>
  <si>
    <t>NOMAY</t>
  </si>
  <si>
    <t>MALOY</t>
  </si>
  <si>
    <t>NOMEH</t>
  </si>
  <si>
    <t>MEHAMN</t>
  </si>
  <si>
    <t>NOMEL</t>
  </si>
  <si>
    <t>MELBU</t>
  </si>
  <si>
    <t>NOMJF</t>
  </si>
  <si>
    <t>MJF</t>
  </si>
  <si>
    <t>MOSJOEN</t>
  </si>
  <si>
    <t>NOMLM</t>
  </si>
  <si>
    <t>MALM</t>
  </si>
  <si>
    <t>NOMOL</t>
  </si>
  <si>
    <t>MOLDE</t>
  </si>
  <si>
    <t>NOMON</t>
  </si>
  <si>
    <t>MONGSTAD</t>
  </si>
  <si>
    <t>NOMQN</t>
  </si>
  <si>
    <t>MQN</t>
  </si>
  <si>
    <t>MO I RANA</t>
  </si>
  <si>
    <t>NOMRV</t>
  </si>
  <si>
    <t>MRV</t>
  </si>
  <si>
    <t>MURVIK</t>
  </si>
  <si>
    <t>NOMSS</t>
  </si>
  <si>
    <t>MOSS</t>
  </si>
  <si>
    <t>NONVK</t>
  </si>
  <si>
    <t>NVK</t>
  </si>
  <si>
    <t>NARVIK</t>
  </si>
  <si>
    <t>NOODD</t>
  </si>
  <si>
    <t>ODDA</t>
  </si>
  <si>
    <t>NOOLA</t>
  </si>
  <si>
    <t>OLA</t>
  </si>
  <si>
    <t>ORLAND</t>
  </si>
  <si>
    <t>NOOSL</t>
  </si>
  <si>
    <t>OSLO</t>
  </si>
  <si>
    <t>NOOSY</t>
  </si>
  <si>
    <t>OSY</t>
  </si>
  <si>
    <t>NAMSOS</t>
  </si>
  <si>
    <t>NOOYE</t>
  </si>
  <si>
    <t>NOPOR</t>
  </si>
  <si>
    <t>PORSGRUNN</t>
  </si>
  <si>
    <t>NORET</t>
  </si>
  <si>
    <t>ROST</t>
  </si>
  <si>
    <t>NORIS</t>
  </si>
  <si>
    <t>RISOR</t>
  </si>
  <si>
    <t>NORRS</t>
  </si>
  <si>
    <t>ROROS</t>
  </si>
  <si>
    <t>NORVK</t>
  </si>
  <si>
    <t>RVK</t>
  </si>
  <si>
    <t>RORVIK</t>
  </si>
  <si>
    <t>NOSAD</t>
  </si>
  <si>
    <t>SANDEFJORD</t>
  </si>
  <si>
    <t>NOSAS</t>
  </si>
  <si>
    <t>SANDNES</t>
  </si>
  <si>
    <t>NOSAU</t>
  </si>
  <si>
    <t>SAUDA</t>
  </si>
  <si>
    <t>NOSDN</t>
  </si>
  <si>
    <t>SANDANE</t>
  </si>
  <si>
    <t>NOSDZ</t>
  </si>
  <si>
    <t>STORDAL</t>
  </si>
  <si>
    <t>NOSGJ</t>
  </si>
  <si>
    <t>STRAUMGJERDE</t>
  </si>
  <si>
    <t>NOSJA</t>
  </si>
  <si>
    <t>SENJA</t>
  </si>
  <si>
    <t>NOSKE</t>
  </si>
  <si>
    <t>SKE</t>
  </si>
  <si>
    <t>SKIEN</t>
  </si>
  <si>
    <t>NOSKN</t>
  </si>
  <si>
    <t>STOKMARKNES</t>
  </si>
  <si>
    <t>NOSKU</t>
  </si>
  <si>
    <t>SKUDENESHAVN</t>
  </si>
  <si>
    <t>NOSKX</t>
  </si>
  <si>
    <t>SKX</t>
  </si>
  <si>
    <t>SKOGN</t>
  </si>
  <si>
    <t>NOSLG</t>
  </si>
  <si>
    <t>SLAGENSTANGEN</t>
  </si>
  <si>
    <t>NOSLM</t>
  </si>
  <si>
    <t>SLEMMESTAD</t>
  </si>
  <si>
    <t>NOSLX</t>
  </si>
  <si>
    <t>SLX</t>
  </si>
  <si>
    <t>SORTLAND</t>
  </si>
  <si>
    <t>NOSOG</t>
  </si>
  <si>
    <t>SOGNDAL</t>
  </si>
  <si>
    <t>NOSPG</t>
  </si>
  <si>
    <t>SARPSBORG</t>
  </si>
  <si>
    <t>NOSPV</t>
  </si>
  <si>
    <t>SPV</t>
  </si>
  <si>
    <t>SPJELKAVIK</t>
  </si>
  <si>
    <t>NOSRN</t>
  </si>
  <si>
    <t>STRANDA</t>
  </si>
  <si>
    <t>NOSRP</t>
  </si>
  <si>
    <t>SRP</t>
  </si>
  <si>
    <t>STORD</t>
  </si>
  <si>
    <t>NOSRX</t>
  </si>
  <si>
    <t>SOTRA</t>
  </si>
  <si>
    <t>NOSSJ</t>
  </si>
  <si>
    <t>SANDNESSJOEN</t>
  </si>
  <si>
    <t>NOSTA</t>
  </si>
  <si>
    <t>STATHELLE</t>
  </si>
  <si>
    <t>NOSTE</t>
  </si>
  <si>
    <t>STEINKJAR</t>
  </si>
  <si>
    <t>NOSUN</t>
  </si>
  <si>
    <t>SUNNDALSORA</t>
  </si>
  <si>
    <t>NOSUZ</t>
  </si>
  <si>
    <t>STAMSUND</t>
  </si>
  <si>
    <t>NOSVE</t>
  </si>
  <si>
    <t>SVELGEN</t>
  </si>
  <si>
    <t>NOSVG</t>
  </si>
  <si>
    <t>STAVANGER</t>
  </si>
  <si>
    <t>NOSVJ</t>
  </si>
  <si>
    <t>SVJ</t>
  </si>
  <si>
    <t>SVOLVAER</t>
  </si>
  <si>
    <t>NOSVV</t>
  </si>
  <si>
    <t>SVV</t>
  </si>
  <si>
    <t>SVELVIK</t>
  </si>
  <si>
    <t>NOSYK</t>
  </si>
  <si>
    <t>SYKKYLVEN</t>
  </si>
  <si>
    <t>NOTAE</t>
  </si>
  <si>
    <t>TANANGER</t>
  </si>
  <si>
    <t>NOTAU</t>
  </si>
  <si>
    <t>NOTHA</t>
  </si>
  <si>
    <t>THAMSHAMN</t>
  </si>
  <si>
    <t>NOTJR</t>
  </si>
  <si>
    <t>TJORVAG</t>
  </si>
  <si>
    <t>NOTOF</t>
  </si>
  <si>
    <t>TOF</t>
  </si>
  <si>
    <t>TOFTE I HURUM</t>
  </si>
  <si>
    <t>NOTOM</t>
  </si>
  <si>
    <t>TOMREFJORD</t>
  </si>
  <si>
    <t>NOTON</t>
  </si>
  <si>
    <t>TONSBERG</t>
  </si>
  <si>
    <t>NOTOS</t>
  </si>
  <si>
    <t>TROMSO</t>
  </si>
  <si>
    <t>NOTRD</t>
  </si>
  <si>
    <t>TRONDHEIM</t>
  </si>
  <si>
    <t>NOTRF</t>
  </si>
  <si>
    <t>TRF</t>
  </si>
  <si>
    <t>TORP</t>
  </si>
  <si>
    <t>NOTSX</t>
  </si>
  <si>
    <t>TYSSEDAL</t>
  </si>
  <si>
    <t>NOTVE</t>
  </si>
  <si>
    <t>TVE</t>
  </si>
  <si>
    <t>TVEDESTRAND</t>
  </si>
  <si>
    <t>NOULS</t>
  </si>
  <si>
    <t>ULSTEINVIK</t>
  </si>
  <si>
    <t>NOVAK</t>
  </si>
  <si>
    <t>VAK</t>
  </si>
  <si>
    <t>VAKSDAL</t>
  </si>
  <si>
    <t>NOVAO</t>
  </si>
  <si>
    <t>VAO</t>
  </si>
  <si>
    <t>VARDO</t>
  </si>
  <si>
    <t>NOVDA</t>
  </si>
  <si>
    <t>VOLDA</t>
  </si>
  <si>
    <t>NOVDS</t>
  </si>
  <si>
    <t>VDS</t>
  </si>
  <si>
    <t>VADSO</t>
  </si>
  <si>
    <t>NOVER</t>
  </si>
  <si>
    <t>VERDAL</t>
  </si>
  <si>
    <t>NOVST</t>
  </si>
  <si>
    <t>VST</t>
  </si>
  <si>
    <t>VESTNES</t>
  </si>
  <si>
    <t>NOZZZ</t>
  </si>
  <si>
    <t>ANDENES</t>
  </si>
  <si>
    <t>ANX</t>
  </si>
  <si>
    <t>LEKNES</t>
  </si>
  <si>
    <t>SORKJOSEN</t>
  </si>
  <si>
    <t>SOJ</t>
  </si>
  <si>
    <t>VAEROY</t>
  </si>
  <si>
    <t>VRY</t>
  </si>
  <si>
    <t>NEPAL</t>
  </si>
  <si>
    <t>ネパール</t>
  </si>
  <si>
    <t>NPBDP</t>
  </si>
  <si>
    <t>NP</t>
  </si>
  <si>
    <t>BDP</t>
  </si>
  <si>
    <t>BHADRAPUR</t>
  </si>
  <si>
    <t>NPBGL</t>
  </si>
  <si>
    <t>BAGLUNG</t>
  </si>
  <si>
    <t>NPBHP</t>
  </si>
  <si>
    <t>BHP</t>
  </si>
  <si>
    <t>BHOJPUR</t>
  </si>
  <si>
    <t>NPBHR</t>
  </si>
  <si>
    <t>BHR</t>
  </si>
  <si>
    <t>BHARATPUR</t>
  </si>
  <si>
    <t>NPBIR</t>
  </si>
  <si>
    <t>BIR</t>
  </si>
  <si>
    <t>BIRATNAGAR</t>
  </si>
  <si>
    <t>NPBIT</t>
  </si>
  <si>
    <t>BAITADI</t>
  </si>
  <si>
    <t>NPBJH</t>
  </si>
  <si>
    <t>BJH</t>
  </si>
  <si>
    <t>BAJHANG</t>
  </si>
  <si>
    <t>NPBRG</t>
  </si>
  <si>
    <t>BIRGUNJ</t>
  </si>
  <si>
    <t>NPBWA</t>
  </si>
  <si>
    <t>BWA</t>
  </si>
  <si>
    <t>BHAIRAWA</t>
  </si>
  <si>
    <t>NPDHI</t>
  </si>
  <si>
    <t>DHI</t>
  </si>
  <si>
    <t>DHANGARHI</t>
  </si>
  <si>
    <t>NPDNP</t>
  </si>
  <si>
    <t>DNP</t>
  </si>
  <si>
    <t>DANG</t>
  </si>
  <si>
    <t>NPDOP</t>
  </si>
  <si>
    <t>DOP</t>
  </si>
  <si>
    <t>DOLPA</t>
  </si>
  <si>
    <t>NPFEB</t>
  </si>
  <si>
    <t>FEB</t>
  </si>
  <si>
    <t>SANFEBAGAR</t>
  </si>
  <si>
    <t>NPGKH</t>
  </si>
  <si>
    <t>GKH</t>
  </si>
  <si>
    <t>GORKHA</t>
  </si>
  <si>
    <t>NPHRJ</t>
  </si>
  <si>
    <t>CHAURJHARI</t>
  </si>
  <si>
    <t>NPIMK</t>
  </si>
  <si>
    <t>IMK</t>
  </si>
  <si>
    <t>SIMIKOT</t>
  </si>
  <si>
    <t>NPJIR</t>
  </si>
  <si>
    <t>JIR</t>
  </si>
  <si>
    <t>JIRI</t>
  </si>
  <si>
    <t>NPJKR</t>
  </si>
  <si>
    <t>JKR</t>
  </si>
  <si>
    <t>JANAKPUR</t>
  </si>
  <si>
    <t>NPJMO</t>
  </si>
  <si>
    <t>JMO</t>
  </si>
  <si>
    <t>JOMSOM</t>
  </si>
  <si>
    <t>NPJUM</t>
  </si>
  <si>
    <t>JUM</t>
  </si>
  <si>
    <t>JUMLA</t>
  </si>
  <si>
    <t>NPKAI</t>
  </si>
  <si>
    <t>KAILALI</t>
  </si>
  <si>
    <t>NPKAK</t>
  </si>
  <si>
    <t>KAKARBITTA (JHAPA)</t>
  </si>
  <si>
    <t>NPKEP</t>
  </si>
  <si>
    <t>KEP</t>
  </si>
  <si>
    <t>NEPALGANJ</t>
  </si>
  <si>
    <t>NPKTM</t>
  </si>
  <si>
    <t>KATHMANDU</t>
  </si>
  <si>
    <t>NPLDN</t>
  </si>
  <si>
    <t>LDN</t>
  </si>
  <si>
    <t>LAMIDANDA</t>
  </si>
  <si>
    <t>NPLTG</t>
  </si>
  <si>
    <t>LTG</t>
  </si>
  <si>
    <t>LANGTANG</t>
  </si>
  <si>
    <t>NPLUA</t>
  </si>
  <si>
    <t>LUA</t>
  </si>
  <si>
    <t>LUKLA</t>
  </si>
  <si>
    <t>NPMEY</t>
  </si>
  <si>
    <t>MEY</t>
  </si>
  <si>
    <t>MEGHAULI</t>
  </si>
  <si>
    <t>NPNGX</t>
  </si>
  <si>
    <t>NGX</t>
  </si>
  <si>
    <t>MANANG</t>
  </si>
  <si>
    <t>NPPKR</t>
  </si>
  <si>
    <t>POKHARA</t>
  </si>
  <si>
    <t>NPPPL</t>
  </si>
  <si>
    <t>PPL</t>
  </si>
  <si>
    <t>PHAPLU</t>
  </si>
  <si>
    <t>NPRHP</t>
  </si>
  <si>
    <t>RHP</t>
  </si>
  <si>
    <t>RAMECHHAP</t>
  </si>
  <si>
    <t>NPRJB</t>
  </si>
  <si>
    <t>RAJBIRAJ</t>
  </si>
  <si>
    <t>NPRPA</t>
  </si>
  <si>
    <t>RPA</t>
  </si>
  <si>
    <t>ROLPA</t>
  </si>
  <si>
    <t>NPRUK</t>
  </si>
  <si>
    <t>RUK</t>
  </si>
  <si>
    <t>RUKUMKOT</t>
  </si>
  <si>
    <t>NPRUM</t>
  </si>
  <si>
    <t>RUMJATAR</t>
  </si>
  <si>
    <t>NPSIF</t>
  </si>
  <si>
    <t>SIF</t>
  </si>
  <si>
    <t>SIMARA</t>
  </si>
  <si>
    <t>NPSIH</t>
  </si>
  <si>
    <t>SILGARHI DOTI</t>
  </si>
  <si>
    <t>NPSKH</t>
  </si>
  <si>
    <t>SURKHET</t>
  </si>
  <si>
    <t>NPSUN</t>
  </si>
  <si>
    <t>SUNAULI</t>
  </si>
  <si>
    <t>NPSYH</t>
  </si>
  <si>
    <t>SYH</t>
  </si>
  <si>
    <t>SYANGBOCHE</t>
  </si>
  <si>
    <t>NPTMI</t>
  </si>
  <si>
    <t>TUMLING TAR</t>
  </si>
  <si>
    <t>NPTPJ</t>
  </si>
  <si>
    <t>TPJ</t>
  </si>
  <si>
    <t>TAPLEJUNG</t>
  </si>
  <si>
    <t>NPZZZ</t>
  </si>
  <si>
    <t>MAHENDRANAGAR</t>
  </si>
  <si>
    <t>XMG</t>
  </si>
  <si>
    <t>NAURU</t>
  </si>
  <si>
    <t>ナウル</t>
  </si>
  <si>
    <t>NRINU</t>
  </si>
  <si>
    <t>NR</t>
  </si>
  <si>
    <t>INU</t>
  </si>
  <si>
    <t>NAURU ISLAND</t>
  </si>
  <si>
    <t>NAU I</t>
  </si>
  <si>
    <t>NRZZZ</t>
  </si>
  <si>
    <t>NIUE</t>
  </si>
  <si>
    <t>ニウエ</t>
  </si>
  <si>
    <t>NUIUE</t>
  </si>
  <si>
    <t>NU</t>
  </si>
  <si>
    <t>IUE</t>
  </si>
  <si>
    <t>NIUE ISLAND</t>
  </si>
  <si>
    <t>NUZZZ</t>
  </si>
  <si>
    <t>NEW ZEALAND</t>
  </si>
  <si>
    <t>ニュージーランド</t>
  </si>
  <si>
    <t>NZAKA</t>
  </si>
  <si>
    <t>NZ</t>
  </si>
  <si>
    <t>AKARON</t>
  </si>
  <si>
    <t>NZAKL</t>
  </si>
  <si>
    <t>AKL</t>
  </si>
  <si>
    <t>AUCKLAND</t>
  </si>
  <si>
    <t>N ZEA</t>
  </si>
  <si>
    <t>NZALR</t>
  </si>
  <si>
    <t>ALR</t>
  </si>
  <si>
    <t>ALEXANDRA</t>
  </si>
  <si>
    <t>NZAMZ</t>
  </si>
  <si>
    <t>AMZ</t>
  </si>
  <si>
    <t>NZASG</t>
  </si>
  <si>
    <t>ASG</t>
  </si>
  <si>
    <t>ASHBURTON</t>
  </si>
  <si>
    <t>NZBHE</t>
  </si>
  <si>
    <t>BLENHEIM</t>
  </si>
  <si>
    <t>NZBLU</t>
  </si>
  <si>
    <t>BLU</t>
  </si>
  <si>
    <t>BLUFF HARBOUR</t>
  </si>
  <si>
    <t>NZCHC</t>
  </si>
  <si>
    <t>CHC</t>
  </si>
  <si>
    <t>LYTTELTON/CHRISTCHURCH</t>
  </si>
  <si>
    <t>NZCHE</t>
  </si>
  <si>
    <t>CHEVIOT</t>
  </si>
  <si>
    <t>NZCHT</t>
  </si>
  <si>
    <t>CHATHAM ISLAND</t>
  </si>
  <si>
    <t>NZCMV</t>
  </si>
  <si>
    <t>CMV</t>
  </si>
  <si>
    <t>COROMANDEL</t>
  </si>
  <si>
    <t>NZCTS</t>
  </si>
  <si>
    <t>CTS</t>
  </si>
  <si>
    <t>CURTIS</t>
  </si>
  <si>
    <t>NZDEV</t>
  </si>
  <si>
    <t>DEVONPORT</t>
  </si>
  <si>
    <t>NZDGR</t>
  </si>
  <si>
    <t>DARGAVILLE</t>
  </si>
  <si>
    <t>NZDPC</t>
  </si>
  <si>
    <t>DPC</t>
  </si>
  <si>
    <t>DEEP COVE</t>
  </si>
  <si>
    <t>NZDUD</t>
  </si>
  <si>
    <t>DUD</t>
  </si>
  <si>
    <t>DUNEDIN</t>
  </si>
  <si>
    <t>NZFGL</t>
  </si>
  <si>
    <t>FGL</t>
  </si>
  <si>
    <t>FOX GLAZIER</t>
  </si>
  <si>
    <t>NZFOR</t>
  </si>
  <si>
    <t>FORTROSE</t>
  </si>
  <si>
    <t>NZFOX</t>
  </si>
  <si>
    <t>FOX</t>
  </si>
  <si>
    <t>FOXTON</t>
  </si>
  <si>
    <t>NZGBS</t>
  </si>
  <si>
    <t>PORT FITZROY</t>
  </si>
  <si>
    <t>NZGBZ</t>
  </si>
  <si>
    <t>GBZ</t>
  </si>
  <si>
    <t>GREAT BARRIER IS</t>
  </si>
  <si>
    <t>NZGIS</t>
  </si>
  <si>
    <t>GISBORNE</t>
  </si>
  <si>
    <t>NZGMN</t>
  </si>
  <si>
    <t>GMN</t>
  </si>
  <si>
    <t>GREYMOUTH</t>
  </si>
  <si>
    <t>NZGOB</t>
  </si>
  <si>
    <t>GOLDEN BAY</t>
  </si>
  <si>
    <t>NZHAS</t>
  </si>
  <si>
    <t>HASTINGS</t>
  </si>
  <si>
    <t>NZHKK</t>
  </si>
  <si>
    <t>HOKITIKA</t>
  </si>
  <si>
    <t>NZHLZ</t>
  </si>
  <si>
    <t>HLZ</t>
  </si>
  <si>
    <t>NZIVC</t>
  </si>
  <si>
    <t>IVC</t>
  </si>
  <si>
    <t>INVERCARGILL</t>
  </si>
  <si>
    <t>NZKAP</t>
  </si>
  <si>
    <t>KAIAPOI</t>
  </si>
  <si>
    <t>NZKAT</t>
  </si>
  <si>
    <t>KAITAIA</t>
  </si>
  <si>
    <t>NZKBZ</t>
  </si>
  <si>
    <t>KBZ</t>
  </si>
  <si>
    <t>KAIKOURA</t>
  </si>
  <si>
    <t>NZKKE</t>
  </si>
  <si>
    <t>KERIKERI</t>
  </si>
  <si>
    <t>NZKKO</t>
  </si>
  <si>
    <t>KAIKOHE</t>
  </si>
  <si>
    <t>NZKTG</t>
  </si>
  <si>
    <t>KAITANGATA</t>
  </si>
  <si>
    <t>NZKUI</t>
  </si>
  <si>
    <t>KUI</t>
  </si>
  <si>
    <t>KAWAU ISLAND</t>
  </si>
  <si>
    <t>NZKWU</t>
  </si>
  <si>
    <t>KWU</t>
  </si>
  <si>
    <t>MANSION HOUSE</t>
  </si>
  <si>
    <t>NZLYT</t>
  </si>
  <si>
    <t>LYTTELTON</t>
  </si>
  <si>
    <t>NZMAP</t>
  </si>
  <si>
    <t>MARSDEN POINT</t>
  </si>
  <si>
    <t>NZMHB</t>
  </si>
  <si>
    <t>MHB</t>
  </si>
  <si>
    <t>NZMMU</t>
  </si>
  <si>
    <t>MMU</t>
  </si>
  <si>
    <t>MOUNT MAUNGANUI</t>
  </si>
  <si>
    <t>NZMON</t>
  </si>
  <si>
    <t>MOUNT COOK</t>
  </si>
  <si>
    <t>NZMRO</t>
  </si>
  <si>
    <t>MASTERTON</t>
  </si>
  <si>
    <t>NZMTA</t>
  </si>
  <si>
    <t>MATAMATA</t>
  </si>
  <si>
    <t>NZMZP</t>
  </si>
  <si>
    <t>MZP</t>
  </si>
  <si>
    <t>MOTUEKA</t>
  </si>
  <si>
    <t>NZNPE</t>
  </si>
  <si>
    <t>NPE</t>
  </si>
  <si>
    <t>NAPIER</t>
  </si>
  <si>
    <t>NZNPL</t>
  </si>
  <si>
    <t>NPL</t>
  </si>
  <si>
    <t>NEW PLYMOUTH</t>
  </si>
  <si>
    <t>NZNSN</t>
  </si>
  <si>
    <t>NSN</t>
  </si>
  <si>
    <t>NELSON</t>
  </si>
  <si>
    <t>NZOAM</t>
  </si>
  <si>
    <t>OAMARU</t>
  </si>
  <si>
    <t>NZONE</t>
  </si>
  <si>
    <t>ONEHUNGA (MAMEKAU HARBOUR)</t>
  </si>
  <si>
    <t>NZOPX</t>
  </si>
  <si>
    <t>OPX</t>
  </si>
  <si>
    <t>OPUA (BAY OF ISLAND)</t>
  </si>
  <si>
    <t>NZORR</t>
  </si>
  <si>
    <t>OTAGO HARBOUR</t>
  </si>
  <si>
    <t>NZPCN</t>
  </si>
  <si>
    <t>PCN</t>
  </si>
  <si>
    <t>PICTON</t>
  </si>
  <si>
    <t>NZPEO</t>
  </si>
  <si>
    <t>PENROSE</t>
  </si>
  <si>
    <t>NZPKL</t>
  </si>
  <si>
    <t>PAKATOA ISLAN</t>
  </si>
  <si>
    <t>NZPMR</t>
  </si>
  <si>
    <t>PMR</t>
  </si>
  <si>
    <t>PALMERSTON</t>
  </si>
  <si>
    <t>NZPOE</t>
  </si>
  <si>
    <t>POE</t>
  </si>
  <si>
    <t>PORT CHALMERS</t>
  </si>
  <si>
    <t>NZRAG</t>
  </si>
  <si>
    <t>RAGLAN</t>
  </si>
  <si>
    <t>NZROT</t>
  </si>
  <si>
    <t>ROT</t>
  </si>
  <si>
    <t>ROTORUA</t>
  </si>
  <si>
    <t>NZSZS</t>
  </si>
  <si>
    <t>SZS</t>
  </si>
  <si>
    <t>STEWART ISLAN</t>
  </si>
  <si>
    <t>NZTEU</t>
  </si>
  <si>
    <t>TE ANAU</t>
  </si>
  <si>
    <t>NZTHH</t>
  </si>
  <si>
    <t>TAHAROA</t>
  </si>
  <si>
    <t>NZTIU</t>
  </si>
  <si>
    <t>TIU</t>
  </si>
  <si>
    <t>TIMARU</t>
  </si>
  <si>
    <t>NZTKZ</t>
  </si>
  <si>
    <t>TOKOROA</t>
  </si>
  <si>
    <t>NZTMZ</t>
  </si>
  <si>
    <t>THAMES</t>
  </si>
  <si>
    <t>NZTRG</t>
  </si>
  <si>
    <t>TAURANGA</t>
  </si>
  <si>
    <t>NZTUO</t>
  </si>
  <si>
    <t>TUO</t>
  </si>
  <si>
    <t>TAUPO</t>
  </si>
  <si>
    <t>NZWAG</t>
  </si>
  <si>
    <t>WANGANUI</t>
  </si>
  <si>
    <t>NZWAT</t>
  </si>
  <si>
    <t>WATAROA</t>
  </si>
  <si>
    <t>NZWAV</t>
  </si>
  <si>
    <t>WAVERLEY HARBOUR</t>
  </si>
  <si>
    <t>NZWGA</t>
  </si>
  <si>
    <t>WHALIGARI</t>
  </si>
  <si>
    <t>NZWHE</t>
  </si>
  <si>
    <t>WHE</t>
  </si>
  <si>
    <t>WHEKENUI</t>
  </si>
  <si>
    <t>NZWHK</t>
  </si>
  <si>
    <t>WHK</t>
  </si>
  <si>
    <t>WHAKATANE</t>
  </si>
  <si>
    <t>NZWHN</t>
  </si>
  <si>
    <t>WHN</t>
  </si>
  <si>
    <t>WHANGAPARAPARA</t>
  </si>
  <si>
    <t>NZWIK</t>
  </si>
  <si>
    <t>WIK</t>
  </si>
  <si>
    <t>SURFDALE</t>
  </si>
  <si>
    <t>NZWIR</t>
  </si>
  <si>
    <t>WIR</t>
  </si>
  <si>
    <t>WAIROA</t>
  </si>
  <si>
    <t>NZWKI</t>
  </si>
  <si>
    <t>WAIKARI</t>
  </si>
  <si>
    <t>NZWLG</t>
  </si>
  <si>
    <t>WLG</t>
  </si>
  <si>
    <t>WELLINGTON</t>
  </si>
  <si>
    <t>NZWRE</t>
  </si>
  <si>
    <t>WRE</t>
  </si>
  <si>
    <t>WHANGAREI</t>
  </si>
  <si>
    <t>NZWSZ</t>
  </si>
  <si>
    <t>WSZ</t>
  </si>
  <si>
    <t>NZWTI</t>
  </si>
  <si>
    <t>WTI</t>
  </si>
  <si>
    <t>WAITAKI</t>
  </si>
  <si>
    <t>NZWTZ</t>
  </si>
  <si>
    <t>WHITIANGA</t>
  </si>
  <si>
    <t>NZWWA</t>
  </si>
  <si>
    <t>WWA</t>
  </si>
  <si>
    <t>WALKWARTH</t>
  </si>
  <si>
    <t>NZZQN</t>
  </si>
  <si>
    <t>ZQN</t>
  </si>
  <si>
    <t>QUEENSTOWN</t>
  </si>
  <si>
    <t>NZZZZ</t>
  </si>
  <si>
    <t>MILFORD SOUND</t>
  </si>
  <si>
    <t>MFN</t>
  </si>
  <si>
    <t>WAITANGI</t>
  </si>
  <si>
    <t>WGN</t>
  </si>
  <si>
    <t>OMAN</t>
  </si>
  <si>
    <t>オマーン</t>
  </si>
  <si>
    <t>OMFAH</t>
  </si>
  <si>
    <t>OM</t>
  </si>
  <si>
    <t>FAHAL</t>
  </si>
  <si>
    <t>OMKHS</t>
  </si>
  <si>
    <t>KHASAB</t>
  </si>
  <si>
    <t>OMMCT</t>
  </si>
  <si>
    <t>MCT</t>
  </si>
  <si>
    <t>MUSCAT</t>
  </si>
  <si>
    <t>OMMFH</t>
  </si>
  <si>
    <t>MFH</t>
  </si>
  <si>
    <t>MINA-AL-FAH</t>
  </si>
  <si>
    <t>OMMSH</t>
  </si>
  <si>
    <t>MASIRAH</t>
  </si>
  <si>
    <t>OMMUT</t>
  </si>
  <si>
    <t>MUTHRA</t>
  </si>
  <si>
    <t>OMOMM</t>
  </si>
  <si>
    <t>OMM</t>
  </si>
  <si>
    <t>MARMUL</t>
  </si>
  <si>
    <t>OMOPQ</t>
  </si>
  <si>
    <t>OPQ</t>
  </si>
  <si>
    <t>PORT QABAS</t>
  </si>
  <si>
    <t>OMRAY</t>
  </si>
  <si>
    <t>RAYSUT</t>
  </si>
  <si>
    <t>OMSLL</t>
  </si>
  <si>
    <t>SLL</t>
  </si>
  <si>
    <t>SALALAH</t>
  </si>
  <si>
    <t>OMSOH</t>
  </si>
  <si>
    <t>SOHAR</t>
  </si>
  <si>
    <t>OMSTQ</t>
  </si>
  <si>
    <t>STQ</t>
  </si>
  <si>
    <t>MINA SULTAN QABOOS, MUSCAT</t>
  </si>
  <si>
    <t>OMTTH</t>
  </si>
  <si>
    <t>THUMRAIT</t>
  </si>
  <si>
    <t>OMZZZ</t>
  </si>
  <si>
    <t>PANAMA</t>
  </si>
  <si>
    <t>パナマ</t>
  </si>
  <si>
    <t>PAACU</t>
  </si>
  <si>
    <t>PA</t>
  </si>
  <si>
    <t>ACU</t>
  </si>
  <si>
    <t>ACHUTUPO</t>
  </si>
  <si>
    <t>PAAGD</t>
  </si>
  <si>
    <t>AGD</t>
  </si>
  <si>
    <t>AGUADULCE</t>
  </si>
  <si>
    <t>PAAIL</t>
  </si>
  <si>
    <t>AIL</t>
  </si>
  <si>
    <t>AILIGANDI</t>
  </si>
  <si>
    <t>PAAML</t>
  </si>
  <si>
    <t>AML</t>
  </si>
  <si>
    <t>PUERTO ARMUELLES</t>
  </si>
  <si>
    <t>PABLB</t>
  </si>
  <si>
    <t>BLB</t>
  </si>
  <si>
    <t>BALBOA</t>
  </si>
  <si>
    <t>PACDE</t>
  </si>
  <si>
    <t>CDE</t>
  </si>
  <si>
    <t>CALEDONIA</t>
  </si>
  <si>
    <t>PACHX</t>
  </si>
  <si>
    <t>CHX</t>
  </si>
  <si>
    <t>CHANGUINOLA</t>
  </si>
  <si>
    <t>PACTB</t>
  </si>
  <si>
    <t>CRISTOBAL</t>
  </si>
  <si>
    <t>PACTD</t>
  </si>
  <si>
    <t>CTD</t>
  </si>
  <si>
    <t>CHITRE</t>
  </si>
  <si>
    <t>PACTE</t>
  </si>
  <si>
    <t>CTE</t>
  </si>
  <si>
    <t>CARTI</t>
  </si>
  <si>
    <t>PACZJ</t>
  </si>
  <si>
    <t>CZJ</t>
  </si>
  <si>
    <t>CORAZON DE JESUS</t>
  </si>
  <si>
    <t>PADAV</t>
  </si>
  <si>
    <t>DAV</t>
  </si>
  <si>
    <t>DAVID</t>
  </si>
  <si>
    <t>PAELE</t>
  </si>
  <si>
    <t>EL REAL</t>
  </si>
  <si>
    <t>PAGHE</t>
  </si>
  <si>
    <t>GHE</t>
  </si>
  <si>
    <t>GARACHINE</t>
  </si>
  <si>
    <t>PAGTN</t>
  </si>
  <si>
    <t>GATUN</t>
  </si>
  <si>
    <t>PAHOW</t>
  </si>
  <si>
    <t>FORT KOBBE</t>
  </si>
  <si>
    <t>PAJQE</t>
  </si>
  <si>
    <t>JQE</t>
  </si>
  <si>
    <t>JAQUE</t>
  </si>
  <si>
    <t>PAMFS</t>
  </si>
  <si>
    <t>PAMIT</t>
  </si>
  <si>
    <t>PAMNP</t>
  </si>
  <si>
    <t>LAS MINAS</t>
  </si>
  <si>
    <t>PAMPI</t>
  </si>
  <si>
    <t>MPI</t>
  </si>
  <si>
    <t>MAMITUPO</t>
  </si>
  <si>
    <t>PAMPP</t>
  </si>
  <si>
    <t>MPP</t>
  </si>
  <si>
    <t>MULATUPO</t>
  </si>
  <si>
    <t>PANGN</t>
  </si>
  <si>
    <t>NARGANA</t>
  </si>
  <si>
    <t>PANMG</t>
  </si>
  <si>
    <t>NMG</t>
  </si>
  <si>
    <t>SAN MIGUEL</t>
  </si>
  <si>
    <t>PAONX</t>
  </si>
  <si>
    <t>PAOTD</t>
  </si>
  <si>
    <t>OTD</t>
  </si>
  <si>
    <t>CONTADORA</t>
  </si>
  <si>
    <t>PAPAC</t>
  </si>
  <si>
    <t>PANAMA CITY</t>
  </si>
  <si>
    <t>PAPAI</t>
  </si>
  <si>
    <t>PARAISO</t>
  </si>
  <si>
    <t>PAPAM</t>
  </si>
  <si>
    <t>PAM</t>
  </si>
  <si>
    <t>PUERTO ALMIRANTE</t>
  </si>
  <si>
    <t>PAPAY</t>
  </si>
  <si>
    <t>PAYARDI</t>
  </si>
  <si>
    <t>PAPBE</t>
  </si>
  <si>
    <t>PORTO BELLO</t>
  </si>
  <si>
    <t>PAPBM</t>
  </si>
  <si>
    <t>PBM</t>
  </si>
  <si>
    <t>BAHIA DE LAS MINAS</t>
  </si>
  <si>
    <t>PAPLP</t>
  </si>
  <si>
    <t>PLP</t>
  </si>
  <si>
    <t>LA PALMA</t>
  </si>
  <si>
    <t>PAPTY</t>
  </si>
  <si>
    <t>PTY</t>
  </si>
  <si>
    <t>PAPUE</t>
  </si>
  <si>
    <t>PUE</t>
  </si>
  <si>
    <t>PUERTO OBALDIA</t>
  </si>
  <si>
    <t>PAPVE</t>
  </si>
  <si>
    <t>PORVENIR.</t>
  </si>
  <si>
    <t>PAPYC</t>
  </si>
  <si>
    <t>PYC</t>
  </si>
  <si>
    <t>PLAYON CHICO</t>
  </si>
  <si>
    <t>PAPYV</t>
  </si>
  <si>
    <t>PYV</t>
  </si>
  <si>
    <t>YAVISA</t>
  </si>
  <si>
    <t>PARIT</t>
  </si>
  <si>
    <t>RIO TIGRE</t>
  </si>
  <si>
    <t>PARIZ</t>
  </si>
  <si>
    <t>RIZ</t>
  </si>
  <si>
    <t>RIO ALZUCAR</t>
  </si>
  <si>
    <t>PAROD</t>
  </si>
  <si>
    <t>RODMAN</t>
  </si>
  <si>
    <t>PARSI</t>
  </si>
  <si>
    <t>RSI</t>
  </si>
  <si>
    <t>RIO SIDRA</t>
  </si>
  <si>
    <t>PASAX</t>
  </si>
  <si>
    <t>SAMBU</t>
  </si>
  <si>
    <t>PASFW</t>
  </si>
  <si>
    <t>PATUE</t>
  </si>
  <si>
    <t>TUPILE</t>
  </si>
  <si>
    <t>PATUW</t>
  </si>
  <si>
    <t>TUW</t>
  </si>
  <si>
    <t>TUBALA</t>
  </si>
  <si>
    <t>PAUTU</t>
  </si>
  <si>
    <t>UTU</t>
  </si>
  <si>
    <t>USTOPO</t>
  </si>
  <si>
    <t>PAZZZ</t>
  </si>
  <si>
    <t>SAN BLAS</t>
  </si>
  <si>
    <t>NBL</t>
  </si>
  <si>
    <t>PERU</t>
  </si>
  <si>
    <t>ペルー</t>
  </si>
  <si>
    <t>PEALD</t>
  </si>
  <si>
    <t>PE</t>
  </si>
  <si>
    <t>ALERTA</t>
  </si>
  <si>
    <t>PEANC</t>
  </si>
  <si>
    <t>ANCON</t>
  </si>
  <si>
    <t>PEANS</t>
  </si>
  <si>
    <t>ANDAHUAYLAS</t>
  </si>
  <si>
    <t>PEAPE</t>
  </si>
  <si>
    <t>SAN JUAN APOS</t>
  </si>
  <si>
    <t>PEAQP</t>
  </si>
  <si>
    <t>AQP</t>
  </si>
  <si>
    <t>AREQUIPA</t>
  </si>
  <si>
    <t>PEATA</t>
  </si>
  <si>
    <t>ANTA</t>
  </si>
  <si>
    <t>PEATI</t>
  </si>
  <si>
    <t>ATI</t>
  </si>
  <si>
    <t>ATICO</t>
  </si>
  <si>
    <t>PEAYP</t>
  </si>
  <si>
    <t>AYP</t>
  </si>
  <si>
    <t>PEBLP</t>
  </si>
  <si>
    <t>BELLAVISTA</t>
  </si>
  <si>
    <t>PECAB</t>
  </si>
  <si>
    <t>CABO BLANCO</t>
  </si>
  <si>
    <t>PECHH</t>
  </si>
  <si>
    <t>CHACHAPOYAS</t>
  </si>
  <si>
    <t>PECHM</t>
  </si>
  <si>
    <t>CHIMBOTE</t>
  </si>
  <si>
    <t>PECHN</t>
  </si>
  <si>
    <t>CHANCAN</t>
  </si>
  <si>
    <t>PECHY</t>
  </si>
  <si>
    <t>PECIX</t>
  </si>
  <si>
    <t>CIX</t>
  </si>
  <si>
    <t>CHICLAYO</t>
  </si>
  <si>
    <t>PECJA</t>
  </si>
  <si>
    <t>CJA</t>
  </si>
  <si>
    <t>CAJAMARCA</t>
  </si>
  <si>
    <t>PECLL</t>
  </si>
  <si>
    <t>CALLAO</t>
  </si>
  <si>
    <t>PECUZ</t>
  </si>
  <si>
    <t>CUZ</t>
  </si>
  <si>
    <t>CUZCO</t>
  </si>
  <si>
    <t>PEEEN</t>
  </si>
  <si>
    <t>EEN</t>
  </si>
  <si>
    <t>ETEN</t>
  </si>
  <si>
    <t>PEGSM</t>
  </si>
  <si>
    <t>GSM</t>
  </si>
  <si>
    <t>GENERAL SAN MARTIN</t>
  </si>
  <si>
    <t>PEHCO</t>
  </si>
  <si>
    <t>HCO</t>
  </si>
  <si>
    <t>HUACHO</t>
  </si>
  <si>
    <t>PEHUU</t>
  </si>
  <si>
    <t>HUU</t>
  </si>
  <si>
    <t>HUANUCO</t>
  </si>
  <si>
    <t>PEHUY</t>
  </si>
  <si>
    <t>HUARMEY</t>
  </si>
  <si>
    <t>PEIBP</t>
  </si>
  <si>
    <t>IBP</t>
  </si>
  <si>
    <t>IBERIA</t>
  </si>
  <si>
    <t>PEILQ</t>
  </si>
  <si>
    <t>ILQ</t>
  </si>
  <si>
    <t>ILO</t>
  </si>
  <si>
    <t>PEIQT</t>
  </si>
  <si>
    <t>IQT</t>
  </si>
  <si>
    <t>IQUITOS</t>
  </si>
  <si>
    <t>PEJAU</t>
  </si>
  <si>
    <t>JAU</t>
  </si>
  <si>
    <t>JAUJA</t>
  </si>
  <si>
    <t>PEJJI</t>
  </si>
  <si>
    <t>JJI</t>
  </si>
  <si>
    <t>JUANJUI</t>
  </si>
  <si>
    <t>PEJUL</t>
  </si>
  <si>
    <t>JUL</t>
  </si>
  <si>
    <t>JULIACA</t>
  </si>
  <si>
    <t>PELIM</t>
  </si>
  <si>
    <t>LIMA</t>
  </si>
  <si>
    <t>PEMBP</t>
  </si>
  <si>
    <t>MBP</t>
  </si>
  <si>
    <t>MOYOBAMBA</t>
  </si>
  <si>
    <t>PEMLQ</t>
  </si>
  <si>
    <t>MLQ</t>
  </si>
  <si>
    <t>MOLLENDO</t>
  </si>
  <si>
    <t>PEMRI</t>
  </si>
  <si>
    <t>MRI</t>
  </si>
  <si>
    <t>MATARANI</t>
  </si>
  <si>
    <t>PEPAC</t>
  </si>
  <si>
    <t>PACASMAYO</t>
  </si>
  <si>
    <t>PEPAI</t>
  </si>
  <si>
    <t>PAITA</t>
  </si>
  <si>
    <t>PEPCH</t>
  </si>
  <si>
    <t>PCH</t>
  </si>
  <si>
    <t>PUERTO CHICAMA</t>
  </si>
  <si>
    <t>PEPCL</t>
  </si>
  <si>
    <t>PUCALLPA</t>
  </si>
  <si>
    <t>PEPEM</t>
  </si>
  <si>
    <t>PUERTO MALDONADO</t>
  </si>
  <si>
    <t>PEPIO</t>
  </si>
  <si>
    <t>PISCO</t>
  </si>
  <si>
    <t>PEPIU</t>
  </si>
  <si>
    <t>PIU</t>
  </si>
  <si>
    <t>PIURA</t>
  </si>
  <si>
    <t>PEPMT</t>
  </si>
  <si>
    <t>PIMENTEL</t>
  </si>
  <si>
    <t>PEPUN</t>
  </si>
  <si>
    <t>PUNO</t>
  </si>
  <si>
    <t>PERIJ</t>
  </si>
  <si>
    <t>RIJ</t>
  </si>
  <si>
    <t>RIOJA</t>
  </si>
  <si>
    <t>PERIM</t>
  </si>
  <si>
    <t>RODRIGUEZ DE</t>
  </si>
  <si>
    <t>PESAM</t>
  </si>
  <si>
    <t>SAMANCO</t>
  </si>
  <si>
    <t>PESJA</t>
  </si>
  <si>
    <t>PESMG</t>
  </si>
  <si>
    <t>PESNX</t>
  </si>
  <si>
    <t>PESUP</t>
  </si>
  <si>
    <t>SUPE</t>
  </si>
  <si>
    <t>PESVY</t>
  </si>
  <si>
    <t>SVY</t>
  </si>
  <si>
    <t>SALAVERRY</t>
  </si>
  <si>
    <t>PESYC</t>
  </si>
  <si>
    <t>SYC</t>
  </si>
  <si>
    <t>SHIRINGAYOC</t>
  </si>
  <si>
    <t>PETBP</t>
  </si>
  <si>
    <t>TBP</t>
  </si>
  <si>
    <t>TUMBES</t>
  </si>
  <si>
    <t>PETCQ</t>
  </si>
  <si>
    <t>TCQ</t>
  </si>
  <si>
    <t>TACNA</t>
  </si>
  <si>
    <t>PETDM</t>
  </si>
  <si>
    <t>TDM</t>
  </si>
  <si>
    <t>TAMBO DE MORA</t>
  </si>
  <si>
    <t>PETGI</t>
  </si>
  <si>
    <t>TGI</t>
  </si>
  <si>
    <t>TINGO MARIA</t>
  </si>
  <si>
    <t>PETPP</t>
  </si>
  <si>
    <t>TARAPOTO</t>
  </si>
  <si>
    <t>PETRU</t>
  </si>
  <si>
    <t>PETYL</t>
  </si>
  <si>
    <t>TYL</t>
  </si>
  <si>
    <t>TALARA</t>
  </si>
  <si>
    <t>PEUMI</t>
  </si>
  <si>
    <t>UMI</t>
  </si>
  <si>
    <t>QUINCEMIL</t>
  </si>
  <si>
    <t>PEYMS</t>
  </si>
  <si>
    <t>YMS</t>
  </si>
  <si>
    <t>YURIMAGUAS</t>
  </si>
  <si>
    <t>PEZOR</t>
  </si>
  <si>
    <t>ZOR</t>
  </si>
  <si>
    <t>ZORRITOS</t>
  </si>
  <si>
    <t>PEZZZ</t>
  </si>
  <si>
    <t>FRENCH POLYNESIA</t>
  </si>
  <si>
    <t>仏領ポリネシア</t>
  </si>
  <si>
    <t>PFAAA</t>
  </si>
  <si>
    <t>PF</t>
  </si>
  <si>
    <t>AAA</t>
  </si>
  <si>
    <t>ANAA</t>
  </si>
  <si>
    <t>F POL</t>
  </si>
  <si>
    <t>PFAPK</t>
  </si>
  <si>
    <t>APK</t>
  </si>
  <si>
    <t>APATAKI</t>
  </si>
  <si>
    <t>PFAUQ</t>
  </si>
  <si>
    <t>AUQ</t>
  </si>
  <si>
    <t>ATUONA</t>
  </si>
  <si>
    <t>PFAXR</t>
  </si>
  <si>
    <t>AXR</t>
  </si>
  <si>
    <t>ARUTUA</t>
  </si>
  <si>
    <t>PFBOB</t>
  </si>
  <si>
    <t>BOB</t>
  </si>
  <si>
    <t>BORA BORA</t>
  </si>
  <si>
    <t>PFFAV</t>
  </si>
  <si>
    <t>FAKARAVA</t>
  </si>
  <si>
    <t>PFFGU</t>
  </si>
  <si>
    <t>FGU</t>
  </si>
  <si>
    <t>FANGATAU</t>
  </si>
  <si>
    <t>PFGMR</t>
  </si>
  <si>
    <t>GMR</t>
  </si>
  <si>
    <t>GAMBIER ISLAND</t>
  </si>
  <si>
    <t>PFHIX</t>
  </si>
  <si>
    <t>HIX</t>
  </si>
  <si>
    <t>HIVA OA</t>
  </si>
  <si>
    <t>PFHOI</t>
  </si>
  <si>
    <t>HOI</t>
  </si>
  <si>
    <t>HAO IS</t>
  </si>
  <si>
    <t>PFHUH</t>
  </si>
  <si>
    <t>HUH</t>
  </si>
  <si>
    <t>HUAHINE</t>
  </si>
  <si>
    <t>PFKKR</t>
  </si>
  <si>
    <t>KAUKURA</t>
  </si>
  <si>
    <t>PFMAU</t>
  </si>
  <si>
    <t>MAUPITIA</t>
  </si>
  <si>
    <t>PFMKP</t>
  </si>
  <si>
    <t>MKP</t>
  </si>
  <si>
    <t>MAKEMO</t>
  </si>
  <si>
    <t>PFMOZ</t>
  </si>
  <si>
    <t>MOOREA</t>
  </si>
  <si>
    <t>PFMVT</t>
  </si>
  <si>
    <t>MVT</t>
  </si>
  <si>
    <t>MATAIVA</t>
  </si>
  <si>
    <t>PFNAU</t>
  </si>
  <si>
    <t>NAPUKA ISLAND</t>
  </si>
  <si>
    <t>PFNHV</t>
  </si>
  <si>
    <t>NUKU HIVA</t>
  </si>
  <si>
    <t>PFNUK</t>
  </si>
  <si>
    <t>NUK</t>
  </si>
  <si>
    <t>NUKUTAVAKE</t>
  </si>
  <si>
    <t>PFPKP</t>
  </si>
  <si>
    <t>PKP</t>
  </si>
  <si>
    <t>PUKA PUKA</t>
  </si>
  <si>
    <t>PFPPT</t>
  </si>
  <si>
    <t>PPT</t>
  </si>
  <si>
    <t>PAPEETE</t>
  </si>
  <si>
    <t>PFPUK</t>
  </si>
  <si>
    <t>PUK</t>
  </si>
  <si>
    <t>PUKARUA</t>
  </si>
  <si>
    <t>PFREA</t>
  </si>
  <si>
    <t>REA</t>
  </si>
  <si>
    <t>REAO</t>
  </si>
  <si>
    <t>PFRFP</t>
  </si>
  <si>
    <t>RFP</t>
  </si>
  <si>
    <t>RAIATEA IS</t>
  </si>
  <si>
    <t>PFRGI</t>
  </si>
  <si>
    <t>RGI</t>
  </si>
  <si>
    <t>RANGIROA IS</t>
  </si>
  <si>
    <t>PFRUR</t>
  </si>
  <si>
    <t>RUR</t>
  </si>
  <si>
    <t>RURUTU</t>
  </si>
  <si>
    <t>PFTIH</t>
  </si>
  <si>
    <t>TIH</t>
  </si>
  <si>
    <t>TIKEHAU</t>
  </si>
  <si>
    <t>PFTKP</t>
  </si>
  <si>
    <t>TAKAPOTO</t>
  </si>
  <si>
    <t>PFTKV</t>
  </si>
  <si>
    <t>TKV</t>
  </si>
  <si>
    <t>TATAKOTO</t>
  </si>
  <si>
    <t>PFTTI</t>
  </si>
  <si>
    <t>TTI</t>
  </si>
  <si>
    <t>TETIAROA IS</t>
  </si>
  <si>
    <t>PFTUB</t>
  </si>
  <si>
    <t>TUBUAI ISLANDS</t>
  </si>
  <si>
    <t>PFUAH</t>
  </si>
  <si>
    <t>UAH</t>
  </si>
  <si>
    <t>UA HUKA</t>
  </si>
  <si>
    <t>PFUAP</t>
  </si>
  <si>
    <t>UAP</t>
  </si>
  <si>
    <t>UA POU</t>
  </si>
  <si>
    <t>PFXMH</t>
  </si>
  <si>
    <t>XMH</t>
  </si>
  <si>
    <t>MANIHI</t>
  </si>
  <si>
    <t>PFZZZ</t>
  </si>
  <si>
    <t>RIMATARA</t>
  </si>
  <si>
    <t>RMT</t>
  </si>
  <si>
    <t>PAPUA NEW GUINEA</t>
  </si>
  <si>
    <t>パプアニューギニア</t>
  </si>
  <si>
    <t>PGABW</t>
  </si>
  <si>
    <t>PG</t>
  </si>
  <si>
    <t>ABW</t>
  </si>
  <si>
    <t>ABAU</t>
  </si>
  <si>
    <t>PAPUA</t>
  </si>
  <si>
    <t>PGAEK</t>
  </si>
  <si>
    <t>AEK</t>
  </si>
  <si>
    <t>ASEKI</t>
  </si>
  <si>
    <t>PGAFR</t>
  </si>
  <si>
    <t>AFR</t>
  </si>
  <si>
    <t>AFORE</t>
  </si>
  <si>
    <t>PGAGG</t>
  </si>
  <si>
    <t>ANGORAM</t>
  </si>
  <si>
    <t>PGAGK</t>
  </si>
  <si>
    <t>AGK</t>
  </si>
  <si>
    <t>KAGUA</t>
  </si>
  <si>
    <t>PGAGL</t>
  </si>
  <si>
    <t>AGL</t>
  </si>
  <si>
    <t>WANIGELA</t>
  </si>
  <si>
    <t>PGAIE</t>
  </si>
  <si>
    <t>AIE</t>
  </si>
  <si>
    <t>AIOME</t>
  </si>
  <si>
    <t>PGAKG</t>
  </si>
  <si>
    <t>ANGUGANAK</t>
  </si>
  <si>
    <t>PGAKI</t>
  </si>
  <si>
    <t>AKINUM</t>
  </si>
  <si>
    <t>PGAMF</t>
  </si>
  <si>
    <t>AMF</t>
  </si>
  <si>
    <t>PGAMG</t>
  </si>
  <si>
    <t>AMBOIN</t>
  </si>
  <si>
    <t>PGAMU</t>
  </si>
  <si>
    <t>AMANAB</t>
  </si>
  <si>
    <t>PGANB</t>
  </si>
  <si>
    <t>ANEWAY BAY</t>
  </si>
  <si>
    <t>PGAOA</t>
  </si>
  <si>
    <t>AOA</t>
  </si>
  <si>
    <t>AROA</t>
  </si>
  <si>
    <t>PGAOB</t>
  </si>
  <si>
    <t>ANNANBERG</t>
  </si>
  <si>
    <t>PGAON</t>
  </si>
  <si>
    <t>ARONA</t>
  </si>
  <si>
    <t>PGARP</t>
  </si>
  <si>
    <t>ARP</t>
  </si>
  <si>
    <t>ARAGIP</t>
  </si>
  <si>
    <t>PGATN</t>
  </si>
  <si>
    <t>ATN</t>
  </si>
  <si>
    <t>NAMATANAI - NEW HANOVER ISL.</t>
  </si>
  <si>
    <t>PGATP</t>
  </si>
  <si>
    <t>ATP</t>
  </si>
  <si>
    <t>AITAPE APT</t>
  </si>
  <si>
    <t>PGAUI</t>
  </si>
  <si>
    <t>AUI</t>
  </si>
  <si>
    <t>AUA ISLAND</t>
  </si>
  <si>
    <t>PGAUJ</t>
  </si>
  <si>
    <t>AUJ</t>
  </si>
  <si>
    <t>AMBUNTI</t>
  </si>
  <si>
    <t>PGAUP</t>
  </si>
  <si>
    <t>AUP</t>
  </si>
  <si>
    <t>AGAUN</t>
  </si>
  <si>
    <t>PGAWR</t>
  </si>
  <si>
    <t>AWAR</t>
  </si>
  <si>
    <t>PGAYU</t>
  </si>
  <si>
    <t>AIYURA</t>
  </si>
  <si>
    <t>PGAZB</t>
  </si>
  <si>
    <t>AZB</t>
  </si>
  <si>
    <t>AMAZON BAY</t>
  </si>
  <si>
    <t>PGBAA</t>
  </si>
  <si>
    <t>BAA</t>
  </si>
  <si>
    <t>BIALLA</t>
  </si>
  <si>
    <t>PGBAJ</t>
  </si>
  <si>
    <t>PGBAP</t>
  </si>
  <si>
    <t>BAP</t>
  </si>
  <si>
    <t>BAIBARA</t>
  </si>
  <si>
    <t>PGBDZ</t>
  </si>
  <si>
    <t>BDZ</t>
  </si>
  <si>
    <t>BAINDOUNG</t>
  </si>
  <si>
    <t>PGBEA</t>
  </si>
  <si>
    <t>BEREINA</t>
  </si>
  <si>
    <t>PGBGL</t>
  </si>
  <si>
    <t>BOUGAINVILLE</t>
  </si>
  <si>
    <t>PGBIJ</t>
  </si>
  <si>
    <t>BIJ</t>
  </si>
  <si>
    <t>BILIAU</t>
  </si>
  <si>
    <t>PGBMH</t>
  </si>
  <si>
    <t>BMH</t>
  </si>
  <si>
    <t>BOMAI</t>
  </si>
  <si>
    <t>PGBMZ</t>
  </si>
  <si>
    <t>BMZ</t>
  </si>
  <si>
    <t>BAMU</t>
  </si>
  <si>
    <t>PGBNA</t>
  </si>
  <si>
    <t>BUNA</t>
  </si>
  <si>
    <t>PGBNM</t>
  </si>
  <si>
    <t>BNM</t>
  </si>
  <si>
    <t>BODINUMU</t>
  </si>
  <si>
    <t>PGBNT</t>
  </si>
  <si>
    <t>BUNDI</t>
  </si>
  <si>
    <t>PGBNV</t>
  </si>
  <si>
    <t>BNV</t>
  </si>
  <si>
    <t>BOANA</t>
  </si>
  <si>
    <t>PGBNZ</t>
  </si>
  <si>
    <t>BNZ</t>
  </si>
  <si>
    <t>BANZ</t>
  </si>
  <si>
    <t>PGBOQ</t>
  </si>
  <si>
    <t>BOKU</t>
  </si>
  <si>
    <t>PGBOT</t>
  </si>
  <si>
    <t>BOSET</t>
  </si>
  <si>
    <t>PGBOV</t>
  </si>
  <si>
    <t>BOANG</t>
  </si>
  <si>
    <t>PGBRH</t>
  </si>
  <si>
    <t>BRAHMAN</t>
  </si>
  <si>
    <t>PGBRP</t>
  </si>
  <si>
    <t>BIARU</t>
  </si>
  <si>
    <t>PGBSP</t>
  </si>
  <si>
    <t>BSP</t>
  </si>
  <si>
    <t>BENSBACH</t>
  </si>
  <si>
    <t>PGBUA</t>
  </si>
  <si>
    <t>BUKA</t>
  </si>
  <si>
    <t>PGBUL</t>
  </si>
  <si>
    <t>BULOLO</t>
  </si>
  <si>
    <t>PGBWP</t>
  </si>
  <si>
    <t>BWP</t>
  </si>
  <si>
    <t>BEWANI</t>
  </si>
  <si>
    <t>PGCGC</t>
  </si>
  <si>
    <t>CGC</t>
  </si>
  <si>
    <t>CAPE GLOUCESTER</t>
  </si>
  <si>
    <t>PGCMU</t>
  </si>
  <si>
    <t>CMU</t>
  </si>
  <si>
    <t>KUNDIAWA</t>
  </si>
  <si>
    <t>PGCPN</t>
  </si>
  <si>
    <t>CPN</t>
  </si>
  <si>
    <t>CAPE RODNEY</t>
  </si>
  <si>
    <t>PGCVL</t>
  </si>
  <si>
    <t>CVL</t>
  </si>
  <si>
    <t>CAPE VOGEL</t>
  </si>
  <si>
    <t>PGDAU</t>
  </si>
  <si>
    <t>DAU</t>
  </si>
  <si>
    <t>DARU</t>
  </si>
  <si>
    <t>PGDER</t>
  </si>
  <si>
    <t>DER</t>
  </si>
  <si>
    <t>DERIM</t>
  </si>
  <si>
    <t>PGDGG</t>
  </si>
  <si>
    <t>DAUGO</t>
  </si>
  <si>
    <t>PGDLB</t>
  </si>
  <si>
    <t>DLB</t>
  </si>
  <si>
    <t>DALBERTIS</t>
  </si>
  <si>
    <t>PGDOI</t>
  </si>
  <si>
    <t>DOI</t>
  </si>
  <si>
    <t>DOINI</t>
  </si>
  <si>
    <t>PGDOO</t>
  </si>
  <si>
    <t>DOO</t>
  </si>
  <si>
    <t>DOROBISORO</t>
  </si>
  <si>
    <t>PGDOS</t>
  </si>
  <si>
    <t>DIOS</t>
  </si>
  <si>
    <t>PGDPU</t>
  </si>
  <si>
    <t>DPU</t>
  </si>
  <si>
    <t>DUMPU</t>
  </si>
  <si>
    <t>PGEFG</t>
  </si>
  <si>
    <t>EFG</t>
  </si>
  <si>
    <t>EFOGI</t>
  </si>
  <si>
    <t>PGEMI</t>
  </si>
  <si>
    <t>EMI</t>
  </si>
  <si>
    <t>EMIRAU</t>
  </si>
  <si>
    <t>PGEMO</t>
  </si>
  <si>
    <t>EMO</t>
  </si>
  <si>
    <t>PGEMS</t>
  </si>
  <si>
    <t>EMS</t>
  </si>
  <si>
    <t>EMBASSA</t>
  </si>
  <si>
    <t>PGERE</t>
  </si>
  <si>
    <t>ERE</t>
  </si>
  <si>
    <t>ERAVEZ</t>
  </si>
  <si>
    <t>PGERU</t>
  </si>
  <si>
    <t>ERU</t>
  </si>
  <si>
    <t>ERUME</t>
  </si>
  <si>
    <t>PGESA</t>
  </si>
  <si>
    <t>ESA</t>
  </si>
  <si>
    <t>ESA'ALA</t>
  </si>
  <si>
    <t>PGFIN</t>
  </si>
  <si>
    <t>FINSCHHAFEN</t>
  </si>
  <si>
    <t>PGFNE</t>
  </si>
  <si>
    <t>FANE</t>
  </si>
  <si>
    <t>PGFUB</t>
  </si>
  <si>
    <t>FUB</t>
  </si>
  <si>
    <t>FULLEBORN</t>
  </si>
  <si>
    <t>PGGAP</t>
  </si>
  <si>
    <t>GUSAP</t>
  </si>
  <si>
    <t>PGGAR</t>
  </si>
  <si>
    <t>GAR</t>
  </si>
  <si>
    <t>GARAINA</t>
  </si>
  <si>
    <t>PGGAZ</t>
  </si>
  <si>
    <t>GAZ</t>
  </si>
  <si>
    <t>GUASOPA</t>
  </si>
  <si>
    <t>PGGEW</t>
  </si>
  <si>
    <t>GEW</t>
  </si>
  <si>
    <t>GEWOIA</t>
  </si>
  <si>
    <t>PGGIL</t>
  </si>
  <si>
    <t>GILAU</t>
  </si>
  <si>
    <t>PGGKA</t>
  </si>
  <si>
    <t>GOROKA</t>
  </si>
  <si>
    <t>PGGMI</t>
  </si>
  <si>
    <t>GMI</t>
  </si>
  <si>
    <t>GASMATA ISLAND</t>
  </si>
  <si>
    <t>PGGOC</t>
  </si>
  <si>
    <t>GORA</t>
  </si>
  <si>
    <t>PGGOE</t>
  </si>
  <si>
    <t>GONALIA</t>
  </si>
  <si>
    <t>PGGRH</t>
  </si>
  <si>
    <t>GARUAHI</t>
  </si>
  <si>
    <t>PGGUE</t>
  </si>
  <si>
    <t>GURIASO</t>
  </si>
  <si>
    <t>PGGUG</t>
  </si>
  <si>
    <t>GUARI</t>
  </si>
  <si>
    <t>PGGUR</t>
  </si>
  <si>
    <t>GUR</t>
  </si>
  <si>
    <t>ALOTAU</t>
  </si>
  <si>
    <t>PGGVI</t>
  </si>
  <si>
    <t>GVI</t>
  </si>
  <si>
    <t>GREEN RIVER</t>
  </si>
  <si>
    <t>PGGWN</t>
  </si>
  <si>
    <t>GWN</t>
  </si>
  <si>
    <t>GNAROWEIN</t>
  </si>
  <si>
    <t>PGHAZ</t>
  </si>
  <si>
    <t>HAZ</t>
  </si>
  <si>
    <t>HATZFELDTHAVE</t>
  </si>
  <si>
    <t>PGHGU</t>
  </si>
  <si>
    <t>MOUNT HAGEN</t>
  </si>
  <si>
    <t>PGHKN</t>
  </si>
  <si>
    <t>HOSKINS</t>
  </si>
  <si>
    <t>PGHYF</t>
  </si>
  <si>
    <t>HYF</t>
  </si>
  <si>
    <t>HAYFIELDS</t>
  </si>
  <si>
    <t>PGIDN</t>
  </si>
  <si>
    <t>IDN</t>
  </si>
  <si>
    <t>INDAGEN</t>
  </si>
  <si>
    <t>PGIHU</t>
  </si>
  <si>
    <t>IHU</t>
  </si>
  <si>
    <t>PGIIS</t>
  </si>
  <si>
    <t>IIS</t>
  </si>
  <si>
    <t>NISSAN ISLAND</t>
  </si>
  <si>
    <t>PGILX</t>
  </si>
  <si>
    <t>ILX</t>
  </si>
  <si>
    <t>ILEG</t>
  </si>
  <si>
    <t>PGIMA</t>
  </si>
  <si>
    <t>IAMALELE</t>
  </si>
  <si>
    <t>PGIMD</t>
  </si>
  <si>
    <t>IMD</t>
  </si>
  <si>
    <t>IMONDA</t>
  </si>
  <si>
    <t>PGIMN</t>
  </si>
  <si>
    <t>IMN</t>
  </si>
  <si>
    <t>IMANE</t>
  </si>
  <si>
    <t>PGIOK</t>
  </si>
  <si>
    <t>IOK</t>
  </si>
  <si>
    <t>IOKEA</t>
  </si>
  <si>
    <t>PGIOP</t>
  </si>
  <si>
    <t>IOP</t>
  </si>
  <si>
    <t>IOMA</t>
  </si>
  <si>
    <t>PGITK</t>
  </si>
  <si>
    <t>ITOKOMA</t>
  </si>
  <si>
    <t>PGIUS</t>
  </si>
  <si>
    <t>IUS</t>
  </si>
  <si>
    <t>INUS</t>
  </si>
  <si>
    <t>PGJAQ</t>
  </si>
  <si>
    <t>JAQ</t>
  </si>
  <si>
    <t>JACQUINOT BAY</t>
  </si>
  <si>
    <t>PGJOP</t>
  </si>
  <si>
    <t>JOP</t>
  </si>
  <si>
    <t>JOSEPHSTAAL</t>
  </si>
  <si>
    <t>PGKAF</t>
  </si>
  <si>
    <t>KARATO</t>
  </si>
  <si>
    <t>PGKAK</t>
  </si>
  <si>
    <t>PGKBM</t>
  </si>
  <si>
    <t>KABWUM</t>
  </si>
  <si>
    <t>PGKDE</t>
  </si>
  <si>
    <t>KDE</t>
  </si>
  <si>
    <t>KOROBA</t>
  </si>
  <si>
    <t>PGKDP</t>
  </si>
  <si>
    <t>KDP</t>
  </si>
  <si>
    <t>KANDEP</t>
  </si>
  <si>
    <t>PGKDR</t>
  </si>
  <si>
    <t>KANDRIAN</t>
  </si>
  <si>
    <t>PGKEG</t>
  </si>
  <si>
    <t>KEGLSUGL</t>
  </si>
  <si>
    <t>PGKEX</t>
  </si>
  <si>
    <t>KEX</t>
  </si>
  <si>
    <t>KANABEA</t>
  </si>
  <si>
    <t>PGKGB</t>
  </si>
  <si>
    <t>KONGE</t>
  </si>
  <si>
    <t>PGKGH</t>
  </si>
  <si>
    <t>YONGAI</t>
  </si>
  <si>
    <t>PGKGM</t>
  </si>
  <si>
    <t>KUNGUM</t>
  </si>
  <si>
    <t>PGKGW</t>
  </si>
  <si>
    <t>KAGI</t>
  </si>
  <si>
    <t>PGKIA</t>
  </si>
  <si>
    <t>KAIAPIT</t>
  </si>
  <si>
    <t>PGKIE</t>
  </si>
  <si>
    <t>KIETA</t>
  </si>
  <si>
    <t>PGKIM</t>
  </si>
  <si>
    <t>KIMBE</t>
  </si>
  <si>
    <t>PGKIQ</t>
  </si>
  <si>
    <t>KIQ</t>
  </si>
  <si>
    <t>KIRA</t>
  </si>
  <si>
    <t>PGKIZ</t>
  </si>
  <si>
    <t>KIZ</t>
  </si>
  <si>
    <t>KIKINONDA</t>
  </si>
  <si>
    <t>PGKJU</t>
  </si>
  <si>
    <t>KAMIRABA</t>
  </si>
  <si>
    <t>PGKKD</t>
  </si>
  <si>
    <t>KOKODA</t>
  </si>
  <si>
    <t>PGKLO</t>
  </si>
  <si>
    <t>KLO</t>
  </si>
  <si>
    <t>KALO</t>
  </si>
  <si>
    <t>PGKMA</t>
  </si>
  <si>
    <t>KEREMA</t>
  </si>
  <si>
    <t>PGKMB</t>
  </si>
  <si>
    <t>KMB</t>
  </si>
  <si>
    <t>KOINAMBE</t>
  </si>
  <si>
    <t>PGKMR</t>
  </si>
  <si>
    <t>KARIMUI</t>
  </si>
  <si>
    <t>PGKNL</t>
  </si>
  <si>
    <t>KNL</t>
  </si>
  <si>
    <t>KELANOA</t>
  </si>
  <si>
    <t>PGKOM</t>
  </si>
  <si>
    <t>KOMA-MANDA</t>
  </si>
  <si>
    <t>PGKOR</t>
  </si>
  <si>
    <t>KOKORO</t>
  </si>
  <si>
    <t>PGKPA</t>
  </si>
  <si>
    <t>KPA</t>
  </si>
  <si>
    <t>KOPIAGO</t>
  </si>
  <si>
    <t>PGKPE</t>
  </si>
  <si>
    <t>KPE</t>
  </si>
  <si>
    <t>YAPSIEI</t>
  </si>
  <si>
    <t>PGKPM</t>
  </si>
  <si>
    <t>KPM</t>
  </si>
  <si>
    <t>KOMPIAM</t>
  </si>
  <si>
    <t>PGKPP</t>
  </si>
  <si>
    <t>KAKAPO</t>
  </si>
  <si>
    <t>PGKQL</t>
  </si>
  <si>
    <t>KQL</t>
  </si>
  <si>
    <t>PGKRI</t>
  </si>
  <si>
    <t>KIKORI</t>
  </si>
  <si>
    <t>PGKRK</t>
  </si>
  <si>
    <t>KAIRUKA</t>
  </si>
  <si>
    <t>PGKRU</t>
  </si>
  <si>
    <t>KERAU</t>
  </si>
  <si>
    <t>PGKRX</t>
  </si>
  <si>
    <t>KARKAR</t>
  </si>
  <si>
    <t>PGKSB</t>
  </si>
  <si>
    <t>KASANOMBE</t>
  </si>
  <si>
    <t>PGKSG</t>
  </si>
  <si>
    <t>KISENGAN</t>
  </si>
  <si>
    <t>PGKSP</t>
  </si>
  <si>
    <t>KSP</t>
  </si>
  <si>
    <t>KOSIPE</t>
  </si>
  <si>
    <t>PGKSX</t>
  </si>
  <si>
    <t>YASURU</t>
  </si>
  <si>
    <t>PGKTK</t>
  </si>
  <si>
    <t>KANUA</t>
  </si>
  <si>
    <t>PGKUP</t>
  </si>
  <si>
    <t>KUP</t>
  </si>
  <si>
    <t>KUPIANO</t>
  </si>
  <si>
    <t>PGKVG</t>
  </si>
  <si>
    <t>KVG</t>
  </si>
  <si>
    <t>KAVIENG</t>
  </si>
  <si>
    <t>PGKWO</t>
  </si>
  <si>
    <t>KWO</t>
  </si>
  <si>
    <t>KAWITO</t>
  </si>
  <si>
    <t>PGKWV</t>
  </si>
  <si>
    <t>KWV</t>
  </si>
  <si>
    <t>KURWINA</t>
  </si>
  <si>
    <t>PGKWX</t>
  </si>
  <si>
    <t>KIWAI</t>
  </si>
  <si>
    <t>PGKXR</t>
  </si>
  <si>
    <t>KXR</t>
  </si>
  <si>
    <t>KAROOLA</t>
  </si>
  <si>
    <t>PGKYX</t>
  </si>
  <si>
    <t>KYX</t>
  </si>
  <si>
    <t>YALUMET</t>
  </si>
  <si>
    <t>PGKZF</t>
  </si>
  <si>
    <t>KZF</t>
  </si>
  <si>
    <t>KAINTIBA</t>
  </si>
  <si>
    <t>PGLAB</t>
  </si>
  <si>
    <t>LABLAB</t>
  </si>
  <si>
    <t>PGLAE</t>
  </si>
  <si>
    <t>LAE - MOROBE</t>
  </si>
  <si>
    <t>PGLGM</t>
  </si>
  <si>
    <t>LGM</t>
  </si>
  <si>
    <t>LAIAGAM</t>
  </si>
  <si>
    <t>PGLGN</t>
  </si>
  <si>
    <t>LGN</t>
  </si>
  <si>
    <t>LINGA LINGA</t>
  </si>
  <si>
    <t>PGLHP</t>
  </si>
  <si>
    <t>LEHU</t>
  </si>
  <si>
    <t>PGLMI</t>
  </si>
  <si>
    <t>LMI</t>
  </si>
  <si>
    <t>LUMI</t>
  </si>
  <si>
    <t>PGLMY</t>
  </si>
  <si>
    <t>LMY</t>
  </si>
  <si>
    <t>LAKE MURRAY</t>
  </si>
  <si>
    <t>PGLNG</t>
  </si>
  <si>
    <t>LNG</t>
  </si>
  <si>
    <t>LESE</t>
  </si>
  <si>
    <t>PGLNM</t>
  </si>
  <si>
    <t>LNM</t>
  </si>
  <si>
    <t>LANGIMAR</t>
  </si>
  <si>
    <t>PGLNQ</t>
  </si>
  <si>
    <t>LNQ</t>
  </si>
  <si>
    <t>LOANI</t>
  </si>
  <si>
    <t>PGLOL</t>
  </si>
  <si>
    <t>LOLOHO</t>
  </si>
  <si>
    <t>PGLOR</t>
  </si>
  <si>
    <t>LORENGAU - MANUS ISLAND</t>
  </si>
  <si>
    <t>PGLPN</t>
  </si>
  <si>
    <t>LPN</t>
  </si>
  <si>
    <t>LERON PLAINS</t>
  </si>
  <si>
    <t>PGLSA</t>
  </si>
  <si>
    <t>LSA</t>
  </si>
  <si>
    <t>LOSIUA</t>
  </si>
  <si>
    <t>PGLWI</t>
  </si>
  <si>
    <t>LWI</t>
  </si>
  <si>
    <t>LOWAI</t>
  </si>
  <si>
    <t>PGMAG</t>
  </si>
  <si>
    <t>MADANG</t>
  </si>
  <si>
    <t>PGMAM</t>
  </si>
  <si>
    <t>MANAM ISLAND</t>
  </si>
  <si>
    <t>PGMAP</t>
  </si>
  <si>
    <t>MAMAI</t>
  </si>
  <si>
    <t>PGMAS</t>
  </si>
  <si>
    <t>ADMIRALTY ISL.=MANUSISL.</t>
  </si>
  <si>
    <t>PGMDM</t>
  </si>
  <si>
    <t>MDM</t>
  </si>
  <si>
    <t>MUNDUJU</t>
  </si>
  <si>
    <t>PGMDU</t>
  </si>
  <si>
    <t>MDU</t>
  </si>
  <si>
    <t>MENDI</t>
  </si>
  <si>
    <t>PGMGG</t>
  </si>
  <si>
    <t>MGG</t>
  </si>
  <si>
    <t>MARGARIMA</t>
  </si>
  <si>
    <t>PGMGP</t>
  </si>
  <si>
    <t>MGP</t>
  </si>
  <si>
    <t>MANGA</t>
  </si>
  <si>
    <t>PGMHY</t>
  </si>
  <si>
    <t>MHY</t>
  </si>
  <si>
    <t>MOREHEAD</t>
  </si>
  <si>
    <t>PGMIE</t>
  </si>
  <si>
    <t>MIELELEK</t>
  </si>
  <si>
    <t>PGMIS</t>
  </si>
  <si>
    <t>MISIMA ISLAND</t>
  </si>
  <si>
    <t>PGMKN</t>
  </si>
  <si>
    <t>MKN</t>
  </si>
  <si>
    <t>MALEKOLON</t>
  </si>
  <si>
    <t>PGMLQ</t>
  </si>
  <si>
    <t>MALALAUA</t>
  </si>
  <si>
    <t>PGMMV</t>
  </si>
  <si>
    <t>MMV</t>
  </si>
  <si>
    <t>PGMNP</t>
  </si>
  <si>
    <t>MARON</t>
  </si>
  <si>
    <t>PGMPU</t>
  </si>
  <si>
    <t>MPU</t>
  </si>
  <si>
    <t>MAPUA</t>
  </si>
  <si>
    <t>PGMRM</t>
  </si>
  <si>
    <t>MANARE</t>
  </si>
  <si>
    <t>PGMVI</t>
  </si>
  <si>
    <t>MVI</t>
  </si>
  <si>
    <t>MANETAI</t>
  </si>
  <si>
    <t>PGMWG</t>
  </si>
  <si>
    <t>MWG</t>
  </si>
  <si>
    <t>MARAWAKA</t>
  </si>
  <si>
    <t>PGMWI</t>
  </si>
  <si>
    <t>MWI</t>
  </si>
  <si>
    <t>MARAMUNI</t>
  </si>
  <si>
    <t>PGMWU</t>
  </si>
  <si>
    <t>MWU</t>
  </si>
  <si>
    <t>MUSSAU</t>
  </si>
  <si>
    <t>PGMXK</t>
  </si>
  <si>
    <t>MXK</t>
  </si>
  <si>
    <t>MINDIK</t>
  </si>
  <si>
    <t>PGMYX</t>
  </si>
  <si>
    <t>MYX</t>
  </si>
  <si>
    <t>MENYAMYA</t>
  </si>
  <si>
    <t>PGMZN</t>
  </si>
  <si>
    <t>MZN</t>
  </si>
  <si>
    <t>MINJ</t>
  </si>
  <si>
    <t>PGNBA</t>
  </si>
  <si>
    <t>NBA</t>
  </si>
  <si>
    <t>NAMBAIYUFA</t>
  </si>
  <si>
    <t>PGNDI</t>
  </si>
  <si>
    <t>NAMUDI</t>
  </si>
  <si>
    <t>PGNGR</t>
  </si>
  <si>
    <t>NINGERUM</t>
  </si>
  <si>
    <t>PGNMN</t>
  </si>
  <si>
    <t>NMN</t>
  </si>
  <si>
    <t>NOMANE</t>
  </si>
  <si>
    <t>PGNOM</t>
  </si>
  <si>
    <t>NOMAD RIVER</t>
  </si>
  <si>
    <t>PGNOO</t>
  </si>
  <si>
    <t>NOO</t>
  </si>
  <si>
    <t>NAORO</t>
  </si>
  <si>
    <t>PGNPG</t>
  </si>
  <si>
    <t>NPG</t>
  </si>
  <si>
    <t>NIPA</t>
  </si>
  <si>
    <t>PGNUG</t>
  </si>
  <si>
    <t>NUG</t>
  </si>
  <si>
    <t>NUGURIA</t>
  </si>
  <si>
    <t>PGNUT</t>
  </si>
  <si>
    <t>NUT</t>
  </si>
  <si>
    <t>NUTUVE</t>
  </si>
  <si>
    <t>PGNWT</t>
  </si>
  <si>
    <t>NWT</t>
  </si>
  <si>
    <t>NOWATA</t>
  </si>
  <si>
    <t>PGOBM</t>
  </si>
  <si>
    <t>MOROBE</t>
  </si>
  <si>
    <t>PGOBX</t>
  </si>
  <si>
    <t>PGOGE</t>
  </si>
  <si>
    <t>OGERANANG</t>
  </si>
  <si>
    <t>PGOKP</t>
  </si>
  <si>
    <t>OKSAPMIN</t>
  </si>
  <si>
    <t>PGOLQ</t>
  </si>
  <si>
    <t>OLQ</t>
  </si>
  <si>
    <t>OLSOBIP</t>
  </si>
  <si>
    <t>PGOML</t>
  </si>
  <si>
    <t>OML</t>
  </si>
  <si>
    <t>OMKALAI</t>
  </si>
  <si>
    <t>PGONB</t>
  </si>
  <si>
    <t>ONONGE</t>
  </si>
  <si>
    <t>PGOPB</t>
  </si>
  <si>
    <t>OPB</t>
  </si>
  <si>
    <t>OPEN BAY</t>
  </si>
  <si>
    <t>PGOPU</t>
  </si>
  <si>
    <t>OPU</t>
  </si>
  <si>
    <t>BALIMO</t>
  </si>
  <si>
    <t>PGOSG</t>
  </si>
  <si>
    <t>OSG</t>
  </si>
  <si>
    <t>OSSIMA</t>
  </si>
  <si>
    <t>PGOTY</t>
  </si>
  <si>
    <t>OTY</t>
  </si>
  <si>
    <t>ORIA</t>
  </si>
  <si>
    <t>PGPAW</t>
  </si>
  <si>
    <t>PAW</t>
  </si>
  <si>
    <t>PAMBWA</t>
  </si>
  <si>
    <t>PGPDI</t>
  </si>
  <si>
    <t>PINDIU</t>
  </si>
  <si>
    <t>PGPGN</t>
  </si>
  <si>
    <t>PGN</t>
  </si>
  <si>
    <t>PANGIA</t>
  </si>
  <si>
    <t>PGPMN</t>
  </si>
  <si>
    <t>PMN</t>
  </si>
  <si>
    <t>PUMANI</t>
  </si>
  <si>
    <t>PGPMP</t>
  </si>
  <si>
    <t>PMP</t>
  </si>
  <si>
    <t>PIMAGA</t>
  </si>
  <si>
    <t>PGPNP</t>
  </si>
  <si>
    <t>PNP</t>
  </si>
  <si>
    <t>POPONDETTA</t>
  </si>
  <si>
    <t>PGPOM</t>
  </si>
  <si>
    <t>PORT MORESBY</t>
  </si>
  <si>
    <t>PGPUA</t>
  </si>
  <si>
    <t>PUA</t>
  </si>
  <si>
    <t>PUAS</t>
  </si>
  <si>
    <t>PGPUI</t>
  </si>
  <si>
    <t>PURENI</t>
  </si>
  <si>
    <t>PGRAA</t>
  </si>
  <si>
    <t>RAKANDA</t>
  </si>
  <si>
    <t>PGRAB</t>
  </si>
  <si>
    <t>RABAUL</t>
  </si>
  <si>
    <t>PGRAM</t>
  </si>
  <si>
    <t>RAMBUTYO ISLAND</t>
  </si>
  <si>
    <t>PGRAW</t>
  </si>
  <si>
    <t>RAW</t>
  </si>
  <si>
    <t>ARAWA</t>
  </si>
  <si>
    <t>PGRBP</t>
  </si>
  <si>
    <t>RBP</t>
  </si>
  <si>
    <t>RABARABA</t>
  </si>
  <si>
    <t>PGRGE</t>
  </si>
  <si>
    <t>RGE</t>
  </si>
  <si>
    <t>PORGERA</t>
  </si>
  <si>
    <t>PGRKU</t>
  </si>
  <si>
    <t>RKU</t>
  </si>
  <si>
    <t>YULE ISLAND</t>
  </si>
  <si>
    <t>PGRMN</t>
  </si>
  <si>
    <t>RUMGINAE</t>
  </si>
  <si>
    <t>PGRNR</t>
  </si>
  <si>
    <t>RNR</t>
  </si>
  <si>
    <t>ROBINSON RIVER</t>
  </si>
  <si>
    <t>PGROR</t>
  </si>
  <si>
    <t>ROR</t>
  </si>
  <si>
    <t>OROBAY</t>
  </si>
  <si>
    <t>PGRUU</t>
  </si>
  <si>
    <t>RUU</t>
  </si>
  <si>
    <t>RUTI</t>
  </si>
  <si>
    <t>PGRVI</t>
  </si>
  <si>
    <t>RVI</t>
  </si>
  <si>
    <t>RUSSEL ISLAND</t>
  </si>
  <si>
    <t>PGSAM</t>
  </si>
  <si>
    <t>SALAMO</t>
  </si>
  <si>
    <t>PGSBV</t>
  </si>
  <si>
    <t>SBV</t>
  </si>
  <si>
    <t>SABAH</t>
  </si>
  <si>
    <t>PGSCH</t>
  </si>
  <si>
    <t>SCHAUTEN</t>
  </si>
  <si>
    <t>PGSDI</t>
  </si>
  <si>
    <t>SDI</t>
  </si>
  <si>
    <t>SAIDOR</t>
  </si>
  <si>
    <t>PGSFU</t>
  </si>
  <si>
    <t>SAFIA</t>
  </si>
  <si>
    <t>PGSGB</t>
  </si>
  <si>
    <t>SINGAUA</t>
  </si>
  <si>
    <t>PGSGJ</t>
  </si>
  <si>
    <t>SAGARAI</t>
  </si>
  <si>
    <t>PGSIL</t>
  </si>
  <si>
    <t>SILA</t>
  </si>
  <si>
    <t>PGSIM</t>
  </si>
  <si>
    <t>SIMBAI</t>
  </si>
  <si>
    <t>PGSKC</t>
  </si>
  <si>
    <t>SKC</t>
  </si>
  <si>
    <t>SUKI</t>
  </si>
  <si>
    <t>PGSMH</t>
  </si>
  <si>
    <t>SAPMANGA</t>
  </si>
  <si>
    <t>PGSMJ</t>
  </si>
  <si>
    <t>PGSMP</t>
  </si>
  <si>
    <t>SMP</t>
  </si>
  <si>
    <t>STOCKHOLM</t>
  </si>
  <si>
    <t>PGSMU</t>
  </si>
  <si>
    <t>SALAMAU</t>
  </si>
  <si>
    <t>PGSOI</t>
  </si>
  <si>
    <t>SOKAR ISLAND</t>
  </si>
  <si>
    <t>PGSPL</t>
  </si>
  <si>
    <t>SIPUL</t>
  </si>
  <si>
    <t>PGSPV</t>
  </si>
  <si>
    <t>SEPIK PLAINS</t>
  </si>
  <si>
    <t>PGSQT</t>
  </si>
  <si>
    <t>SQT</t>
  </si>
  <si>
    <t>SAMARAI</t>
  </si>
  <si>
    <t>PGSSS</t>
  </si>
  <si>
    <t>SIASSI</t>
  </si>
  <si>
    <t>PGSUZ</t>
  </si>
  <si>
    <t>SURIA</t>
  </si>
  <si>
    <t>PGSWE</t>
  </si>
  <si>
    <t>SIWEA</t>
  </si>
  <si>
    <t>PGSWG</t>
  </si>
  <si>
    <t>SATWAG</t>
  </si>
  <si>
    <t>PGSXA</t>
  </si>
  <si>
    <t>SXA</t>
  </si>
  <si>
    <t>SIALUM</t>
  </si>
  <si>
    <t>PGSXH</t>
  </si>
  <si>
    <t>SXH</t>
  </si>
  <si>
    <t>SEHULEA</t>
  </si>
  <si>
    <t>PGTAI</t>
  </si>
  <si>
    <t>TAMBUTYO ISLAND</t>
  </si>
  <si>
    <t>PGTAU</t>
  </si>
  <si>
    <t>TAUGU ISLAND</t>
  </si>
  <si>
    <t>PGTBA</t>
  </si>
  <si>
    <t>TABIBUGA</t>
  </si>
  <si>
    <t>PGTBG</t>
  </si>
  <si>
    <t>TABUBIL</t>
  </si>
  <si>
    <t>PGTBQ</t>
  </si>
  <si>
    <t>TBQ</t>
  </si>
  <si>
    <t>TARABO</t>
  </si>
  <si>
    <t>PGTDB</t>
  </si>
  <si>
    <t>TDB</t>
  </si>
  <si>
    <t>TETEBEDI</t>
  </si>
  <si>
    <t>PGTEO</t>
  </si>
  <si>
    <t>TEO</t>
  </si>
  <si>
    <t>TERAPO</t>
  </si>
  <si>
    <t>PGTEP</t>
  </si>
  <si>
    <t>TEP</t>
  </si>
  <si>
    <t>TEPTEP</t>
  </si>
  <si>
    <t>PGTFI</t>
  </si>
  <si>
    <t>TFI</t>
  </si>
  <si>
    <t>TUFI</t>
  </si>
  <si>
    <t>PGTFM</t>
  </si>
  <si>
    <t>TFM</t>
  </si>
  <si>
    <t>TELEFOMIN</t>
  </si>
  <si>
    <t>PGTGL</t>
  </si>
  <si>
    <t>TGL</t>
  </si>
  <si>
    <t>TAGULA</t>
  </si>
  <si>
    <t>PGTIG</t>
  </si>
  <si>
    <t>TIG</t>
  </si>
  <si>
    <t>TINGWON</t>
  </si>
  <si>
    <t>PGTIZ</t>
  </si>
  <si>
    <t>TIZ</t>
  </si>
  <si>
    <t>TARI</t>
  </si>
  <si>
    <t>PGTLO</t>
  </si>
  <si>
    <t>TLO</t>
  </si>
  <si>
    <t>PGTLW</t>
  </si>
  <si>
    <t>TLW</t>
  </si>
  <si>
    <t>TALASEA</t>
  </si>
  <si>
    <t>PGTOI</t>
  </si>
  <si>
    <t>TOLOKIWA ISLAND</t>
  </si>
  <si>
    <t>PGTOK</t>
  </si>
  <si>
    <t>TOROKINA</t>
  </si>
  <si>
    <t>PGTON</t>
  </si>
  <si>
    <t>TONU</t>
  </si>
  <si>
    <t>PGTPI</t>
  </si>
  <si>
    <t>TPI</t>
  </si>
  <si>
    <t>TAPINI</t>
  </si>
  <si>
    <t>PGTSI</t>
  </si>
  <si>
    <t>TSILI TSILI</t>
  </si>
  <si>
    <t>PGTSK</t>
  </si>
  <si>
    <t>TASKUL</t>
  </si>
  <si>
    <t>PGTUT</t>
  </si>
  <si>
    <t>TAUTA</t>
  </si>
  <si>
    <t>PGTWY</t>
  </si>
  <si>
    <t>TWY</t>
  </si>
  <si>
    <t>TAWA</t>
  </si>
  <si>
    <t>PGUBI</t>
  </si>
  <si>
    <t>UBI</t>
  </si>
  <si>
    <t>BUIN</t>
  </si>
  <si>
    <t>PGUKU</t>
  </si>
  <si>
    <t>UKU</t>
  </si>
  <si>
    <t>NUKU</t>
  </si>
  <si>
    <t>PGULE</t>
  </si>
  <si>
    <t>ULE</t>
  </si>
  <si>
    <t>SULE</t>
  </si>
  <si>
    <t>PGUNG</t>
  </si>
  <si>
    <t>PGUSO</t>
  </si>
  <si>
    <t>USO</t>
  </si>
  <si>
    <t>USINO</t>
  </si>
  <si>
    <t>PGUUU</t>
  </si>
  <si>
    <t>UUU</t>
  </si>
  <si>
    <t>MANUMU</t>
  </si>
  <si>
    <t>PGUVO</t>
  </si>
  <si>
    <t>UVO</t>
  </si>
  <si>
    <t>UVOL</t>
  </si>
  <si>
    <t>PGVAI</t>
  </si>
  <si>
    <t>VANIMO</t>
  </si>
  <si>
    <t>PGVIV</t>
  </si>
  <si>
    <t>VIV</t>
  </si>
  <si>
    <t>VIVIGANI</t>
  </si>
  <si>
    <t>PGVMU</t>
  </si>
  <si>
    <t>VMU</t>
  </si>
  <si>
    <t>BAIMURU</t>
  </si>
  <si>
    <t>PGWAB</t>
  </si>
  <si>
    <t>WAB</t>
  </si>
  <si>
    <t>WABAG</t>
  </si>
  <si>
    <t>PGWAO</t>
  </si>
  <si>
    <t>WAO</t>
  </si>
  <si>
    <t>WABO</t>
  </si>
  <si>
    <t>PGWBM</t>
  </si>
  <si>
    <t>WBM</t>
  </si>
  <si>
    <t>WAPENAMANDA</t>
  </si>
  <si>
    <t>PGWED</t>
  </si>
  <si>
    <t>WEDAU</t>
  </si>
  <si>
    <t>PGWEP</t>
  </si>
  <si>
    <t>WEAM</t>
  </si>
  <si>
    <t>PGWGU</t>
  </si>
  <si>
    <t>WGU</t>
  </si>
  <si>
    <t>WAGAU</t>
  </si>
  <si>
    <t>PGWIU</t>
  </si>
  <si>
    <t>WIU</t>
  </si>
  <si>
    <t>WITU</t>
  </si>
  <si>
    <t>PGWKN</t>
  </si>
  <si>
    <t>WKN</t>
  </si>
  <si>
    <t>WAKUNAI</t>
  </si>
  <si>
    <t>PGWNU</t>
  </si>
  <si>
    <t>WNU</t>
  </si>
  <si>
    <t>WANUMA</t>
  </si>
  <si>
    <t>PGWOA</t>
  </si>
  <si>
    <t>WOA</t>
  </si>
  <si>
    <t>WONENARA</t>
  </si>
  <si>
    <t>PGWOK</t>
  </si>
  <si>
    <t>WOK</t>
  </si>
  <si>
    <t>WOODLARK</t>
  </si>
  <si>
    <t>PGWPM</t>
  </si>
  <si>
    <t>WPM</t>
  </si>
  <si>
    <t>WIPIM</t>
  </si>
  <si>
    <t>PGWSU</t>
  </si>
  <si>
    <t>WSU</t>
  </si>
  <si>
    <t>WASU</t>
  </si>
  <si>
    <t>PGWTP</t>
  </si>
  <si>
    <t>WTP</t>
  </si>
  <si>
    <t>WOITAPE</t>
  </si>
  <si>
    <t>PGWTT</t>
  </si>
  <si>
    <t>WANTOAT</t>
  </si>
  <si>
    <t>PGWUG</t>
  </si>
  <si>
    <t>WUG</t>
  </si>
  <si>
    <t>WAU</t>
  </si>
  <si>
    <t>PGWUV</t>
  </si>
  <si>
    <t>WUV</t>
  </si>
  <si>
    <t>WUVULU IS</t>
  </si>
  <si>
    <t>PGWWK</t>
  </si>
  <si>
    <t>WWK</t>
  </si>
  <si>
    <t>WEWAK</t>
  </si>
  <si>
    <t>PGXBN</t>
  </si>
  <si>
    <t>XBN</t>
  </si>
  <si>
    <t>BINIGUNI</t>
  </si>
  <si>
    <t>PGXYR</t>
  </si>
  <si>
    <t>XYR</t>
  </si>
  <si>
    <t>YELLOW RIVER</t>
  </si>
  <si>
    <t>PGZEN</t>
  </si>
  <si>
    <t>ZEN</t>
  </si>
  <si>
    <t>ZENAG</t>
  </si>
  <si>
    <t>PGZZZ</t>
  </si>
  <si>
    <t>AITAPE</t>
  </si>
  <si>
    <t>PHILIPPINES</t>
  </si>
  <si>
    <t>フィリピン</t>
  </si>
  <si>
    <t>PHAAV</t>
  </si>
  <si>
    <t>PH</t>
  </si>
  <si>
    <t>ALAH</t>
  </si>
  <si>
    <t>PHIL</t>
  </si>
  <si>
    <t>PHABU</t>
  </si>
  <si>
    <t>ABULOG/APARRI</t>
  </si>
  <si>
    <t>PHADL</t>
  </si>
  <si>
    <t>ADLAY/BISLIG</t>
  </si>
  <si>
    <t>PHAHE</t>
  </si>
  <si>
    <t>AHE</t>
  </si>
  <si>
    <t>AHERON/OZAMIS</t>
  </si>
  <si>
    <t>PHALA</t>
  </si>
  <si>
    <t>ALASANG/SIAIN</t>
  </si>
  <si>
    <t>PHALE</t>
  </si>
  <si>
    <t>ALE</t>
  </si>
  <si>
    <t>ALERAN/OZAMIS</t>
  </si>
  <si>
    <t>PHAMU</t>
  </si>
  <si>
    <t>AMUNITAN/APARRI</t>
  </si>
  <si>
    <t>PHANA</t>
  </si>
  <si>
    <t>ANAKAN/MASAO</t>
  </si>
  <si>
    <t>PHAPR</t>
  </si>
  <si>
    <t>APARRI - LUZON</t>
  </si>
  <si>
    <t>PHARA</t>
  </si>
  <si>
    <t>ARAS ASAN/BISLIG</t>
  </si>
  <si>
    <t>PHATI</t>
  </si>
  <si>
    <t>ATIMONAN/SIAIN</t>
  </si>
  <si>
    <t>PHBAB</t>
  </si>
  <si>
    <t>BABATO/DADIANGAS</t>
  </si>
  <si>
    <t>PHBAG</t>
  </si>
  <si>
    <t>BAGUIO</t>
  </si>
  <si>
    <t>PHBAI</t>
  </si>
  <si>
    <t>BAIS/DUMAGUETE</t>
  </si>
  <si>
    <t>PHBAL</t>
  </si>
  <si>
    <t>BALABOE</t>
  </si>
  <si>
    <t>PHBAU</t>
  </si>
  <si>
    <t>BAUAN/BATANGAS</t>
  </si>
  <si>
    <t>PHBCD</t>
  </si>
  <si>
    <t>BCD</t>
  </si>
  <si>
    <t>BACOLOD - NEGROS</t>
  </si>
  <si>
    <t>PHBCO</t>
  </si>
  <si>
    <t>BACON/LEGASPI</t>
  </si>
  <si>
    <t>PHBCT</t>
  </si>
  <si>
    <t>BCT</t>
  </si>
  <si>
    <t>BASILAN CITY - BASILAN</t>
  </si>
  <si>
    <t>PHBCU</t>
  </si>
  <si>
    <t>BCU</t>
  </si>
  <si>
    <t>BACULIN/MATI</t>
  </si>
  <si>
    <t>PHBGI</t>
  </si>
  <si>
    <t>BAGUI BAY/SAN FERNANDO</t>
  </si>
  <si>
    <t>PHBGR</t>
  </si>
  <si>
    <t>BGR</t>
  </si>
  <si>
    <t>BUCAR GRANDE/SURIAGAO</t>
  </si>
  <si>
    <t>PHBGS</t>
  </si>
  <si>
    <t>BALINGASAG/CAGAY APTDE ORO</t>
  </si>
  <si>
    <t>PHBIY</t>
  </si>
  <si>
    <t>BIY</t>
  </si>
  <si>
    <t>BIYAWA/DAVAO</t>
  </si>
  <si>
    <t>PHBLA</t>
  </si>
  <si>
    <t>BLA</t>
  </si>
  <si>
    <t>BALANGA/BATAN</t>
  </si>
  <si>
    <t>PHBLC</t>
  </si>
  <si>
    <t>BALABAC/ILIGAN</t>
  </si>
  <si>
    <t>PHBLG</t>
  </si>
  <si>
    <t>BALOGO/BATANGAS</t>
  </si>
  <si>
    <t>PHBLN</t>
  </si>
  <si>
    <t>BALENGAN/SIAIN</t>
  </si>
  <si>
    <t>PHBLP</t>
  </si>
  <si>
    <t>BOLOS POINT/APARRI</t>
  </si>
  <si>
    <t>PHBLT</t>
  </si>
  <si>
    <t>BALINTANG/PUERTO PRINCESA</t>
  </si>
  <si>
    <t>PHBLU</t>
  </si>
  <si>
    <t>BALUMO/ZAMBOANGA</t>
  </si>
  <si>
    <t>PHBNQ</t>
  </si>
  <si>
    <t>BNQ</t>
  </si>
  <si>
    <t>BAGANGA/MATI</t>
  </si>
  <si>
    <t>PHBNW</t>
  </si>
  <si>
    <t>BANAWAN/DADIANGAS</t>
  </si>
  <si>
    <t>PHBOA</t>
  </si>
  <si>
    <t>BOAC - MARINDUQUE</t>
  </si>
  <si>
    <t>PHBOG</t>
  </si>
  <si>
    <t>BOGO/CAGAYAN DE ORO</t>
  </si>
  <si>
    <t>PHBOS</t>
  </si>
  <si>
    <t>BOSTON/DAVAO</t>
  </si>
  <si>
    <t>PHBPH</t>
  </si>
  <si>
    <t>BPH</t>
  </si>
  <si>
    <t>BISLIG - MINDANAO</t>
  </si>
  <si>
    <t>PHBQA</t>
  </si>
  <si>
    <t>BQA</t>
  </si>
  <si>
    <t>BALER/SIAIN</t>
  </si>
  <si>
    <t>PHBRB</t>
  </si>
  <si>
    <t>BAROBO/BISLIG</t>
  </si>
  <si>
    <t>PHBRP</t>
  </si>
  <si>
    <t>BROOKS POINT/SIAIN</t>
  </si>
  <si>
    <t>PHBRT</t>
  </si>
  <si>
    <t>BARTON/PUERTO PRINCESA</t>
  </si>
  <si>
    <t>PHBSO</t>
  </si>
  <si>
    <t>BSO</t>
  </si>
  <si>
    <t>BASCO</t>
  </si>
  <si>
    <t>PHBSY</t>
  </si>
  <si>
    <t>BSY</t>
  </si>
  <si>
    <t>BASEY/CATBALOGAN</t>
  </si>
  <si>
    <t>PHBTG</t>
  </si>
  <si>
    <t>BATANGAS - LUZON</t>
  </si>
  <si>
    <t>PHBTN</t>
  </si>
  <si>
    <t>BATAAN - MARIVELES</t>
  </si>
  <si>
    <t>PHBTS</t>
  </si>
  <si>
    <t>BTS</t>
  </si>
  <si>
    <t>BATARASA/PUERTO PRINCESA</t>
  </si>
  <si>
    <t>PHBTY</t>
  </si>
  <si>
    <t>BANTAYON/SAN JOSE</t>
  </si>
  <si>
    <t>PHBUD</t>
  </si>
  <si>
    <t>BUDBUD/DAVAO</t>
  </si>
  <si>
    <t>PHBUG</t>
  </si>
  <si>
    <t>BUGO</t>
  </si>
  <si>
    <t>PHBUL</t>
  </si>
  <si>
    <t>BULAN - LUZON</t>
  </si>
  <si>
    <t>PHBUR</t>
  </si>
  <si>
    <t>BURDEES/SIAIN</t>
  </si>
  <si>
    <t>PHBXU</t>
  </si>
  <si>
    <t>BXU</t>
  </si>
  <si>
    <t>BUTUAN BAY/MASAO</t>
  </si>
  <si>
    <t>PHBYB</t>
  </si>
  <si>
    <t>BYB</t>
  </si>
  <si>
    <t>BAYBAY/TACLOBAN</t>
  </si>
  <si>
    <t>PHBYP</t>
  </si>
  <si>
    <t>BAYANG POINT</t>
  </si>
  <si>
    <t>PHBYS</t>
  </si>
  <si>
    <t>BYS</t>
  </si>
  <si>
    <t>BAYABAS/BISLIG</t>
  </si>
  <si>
    <t>PHBYW</t>
  </si>
  <si>
    <t>BYW</t>
  </si>
  <si>
    <t>BAYAWAN/DUMAGUETE</t>
  </si>
  <si>
    <t>PHCAB</t>
  </si>
  <si>
    <t>CABUGAO BAY/LEGASPI</t>
  </si>
  <si>
    <t>PHCAJ</t>
  </si>
  <si>
    <t>CAJ</t>
  </si>
  <si>
    <t>CAJODIOCAN/SIAIN</t>
  </si>
  <si>
    <t>PHCBO</t>
  </si>
  <si>
    <t>CBO</t>
  </si>
  <si>
    <t>COTABATO - MINDANAO</t>
  </si>
  <si>
    <t>PHCBY</t>
  </si>
  <si>
    <t>CALBAYONG/CATBALOGAN</t>
  </si>
  <si>
    <t>PHCCG</t>
  </si>
  <si>
    <t>CCG</t>
  </si>
  <si>
    <t>CALAG-CALAG/DUMAGUETE</t>
  </si>
  <si>
    <t>PHCDB</t>
  </si>
  <si>
    <t>CDB</t>
  </si>
  <si>
    <t>CALDERA BAY/ZAMBOANGA</t>
  </si>
  <si>
    <t>PHCDY</t>
  </si>
  <si>
    <t>CDY</t>
  </si>
  <si>
    <t>CAGAYAN DE ZU</t>
  </si>
  <si>
    <t>PHCEB</t>
  </si>
  <si>
    <t>CEB</t>
  </si>
  <si>
    <t>CEBU</t>
  </si>
  <si>
    <t>PHCGG</t>
  </si>
  <si>
    <t>CGG</t>
  </si>
  <si>
    <t>CASIGURAN/SIAIN</t>
  </si>
  <si>
    <t>PHCGM</t>
  </si>
  <si>
    <t>CGM</t>
  </si>
  <si>
    <t>CAMIGUIN ISLAND/APARRI</t>
  </si>
  <si>
    <t>PHCGP</t>
  </si>
  <si>
    <t>CALUG POINT/ZAMBOANGA</t>
  </si>
  <si>
    <t>PHCGT</t>
  </si>
  <si>
    <t>CALAGUITAN/TACLOBAN</t>
  </si>
  <si>
    <t>PHCGY</t>
  </si>
  <si>
    <t>CGY</t>
  </si>
  <si>
    <t>CAGAYAN DE ORO - MINDANAO</t>
  </si>
  <si>
    <t>PHCLP</t>
  </si>
  <si>
    <t>CLP</t>
  </si>
  <si>
    <t>CALAPAN/BATANGAS</t>
  </si>
  <si>
    <t>PHCLV</t>
  </si>
  <si>
    <t>CLV</t>
  </si>
  <si>
    <t>CLAVERIA/APARRI</t>
  </si>
  <si>
    <t>PHCML</t>
  </si>
  <si>
    <t>CAMALAGAWAN/APARRI</t>
  </si>
  <si>
    <t>PHCNT</t>
  </si>
  <si>
    <t>CANTILAN/SURIGAO</t>
  </si>
  <si>
    <t>PHCNY</t>
  </si>
  <si>
    <t>CNY</t>
  </si>
  <si>
    <t>CANAYBON/CATBALOGAN</t>
  </si>
  <si>
    <t>PHCPL</t>
  </si>
  <si>
    <t>CAPALONGA/SIAIN</t>
  </si>
  <si>
    <t>PHCRG</t>
  </si>
  <si>
    <t>CARAGA/MATI</t>
  </si>
  <si>
    <t>PHCRK</t>
  </si>
  <si>
    <t>CRK</t>
  </si>
  <si>
    <t>LUZON IS</t>
  </si>
  <si>
    <t>PHCRM</t>
  </si>
  <si>
    <t>CRM</t>
  </si>
  <si>
    <t>CATARMAN</t>
  </si>
  <si>
    <t>PHCRT</t>
  </si>
  <si>
    <t>CARTAGENA/ILOILO</t>
  </si>
  <si>
    <t>PHCSB</t>
  </si>
  <si>
    <t>CSB</t>
  </si>
  <si>
    <t>CASUL BAY/OZAMIS</t>
  </si>
  <si>
    <t>PHCTB</t>
  </si>
  <si>
    <t>CATAMON BAY/ILOILO</t>
  </si>
  <si>
    <t>PHCTS</t>
  </si>
  <si>
    <t>CATBALOGAN - SAMAR</t>
  </si>
  <si>
    <t>PHCUG</t>
  </si>
  <si>
    <t>CUG</t>
  </si>
  <si>
    <t>CALUGIAN/TACLOBAN</t>
  </si>
  <si>
    <t>PHCUJ</t>
  </si>
  <si>
    <t>CUJ</t>
  </si>
  <si>
    <t>CULION</t>
  </si>
  <si>
    <t>PHCUN</t>
  </si>
  <si>
    <t>CATANAUAN</t>
  </si>
  <si>
    <t>PHCUR</t>
  </si>
  <si>
    <t>CURUAN/ZAMBOANGA</t>
  </si>
  <si>
    <t>PHCVE</t>
  </si>
  <si>
    <t>CAVITE - LUZON</t>
  </si>
  <si>
    <t>PHCWY</t>
  </si>
  <si>
    <t>CWY</t>
  </si>
  <si>
    <t>CALOWAYAN/CATABALOGAN</t>
  </si>
  <si>
    <t>PHCYP</t>
  </si>
  <si>
    <t>CALBAYOG APT</t>
  </si>
  <si>
    <t>PHCYU</t>
  </si>
  <si>
    <t>CYU</t>
  </si>
  <si>
    <t>CUYO</t>
  </si>
  <si>
    <t>PHCYZ</t>
  </si>
  <si>
    <t>CAUAYAN</t>
  </si>
  <si>
    <t>PHDAD</t>
  </si>
  <si>
    <t>DAD</t>
  </si>
  <si>
    <t>DADIANGAS - MINDANAO</t>
  </si>
  <si>
    <t>PHDDW</t>
  </si>
  <si>
    <t>DINADIAWAN/APARRI</t>
  </si>
  <si>
    <t>PHDGL</t>
  </si>
  <si>
    <t>DGL</t>
  </si>
  <si>
    <t>DINGALAN/SIAIN</t>
  </si>
  <si>
    <t>PHDGT</t>
  </si>
  <si>
    <t>DGT</t>
  </si>
  <si>
    <t>DUMAGUETE</t>
  </si>
  <si>
    <t>PHDIC</t>
  </si>
  <si>
    <t>DICULUM/ZAMBOANGA</t>
  </si>
  <si>
    <t>PHDID</t>
  </si>
  <si>
    <t>DID</t>
  </si>
  <si>
    <t>DIDADONGAN/APARRI</t>
  </si>
  <si>
    <t>PHDIO</t>
  </si>
  <si>
    <t>DIO</t>
  </si>
  <si>
    <t>DIOTORIN/SIAIN</t>
  </si>
  <si>
    <t>PHDIR</t>
  </si>
  <si>
    <t>DIRGALAN</t>
  </si>
  <si>
    <t>PHDIV</t>
  </si>
  <si>
    <t>DIVILACAN/APARRI</t>
  </si>
  <si>
    <t>PHDNG</t>
  </si>
  <si>
    <t>DNG</t>
  </si>
  <si>
    <t>DINAGAT ISLAND/SURIGAO</t>
  </si>
  <si>
    <t>PHDNL</t>
  </si>
  <si>
    <t>DNL</t>
  </si>
  <si>
    <t>DINALONGAN/SIAIN</t>
  </si>
  <si>
    <t>PHDPL</t>
  </si>
  <si>
    <t>DPL</t>
  </si>
  <si>
    <t>DIPOLOG/OZAMIS</t>
  </si>
  <si>
    <t>PHDPT</t>
  </si>
  <si>
    <t>DPT</t>
  </si>
  <si>
    <t>DIAPITAN/SIAIN</t>
  </si>
  <si>
    <t>PHDRB</t>
  </si>
  <si>
    <t>DIARABOAN/SIAIN</t>
  </si>
  <si>
    <t>PHDSG</t>
  </si>
  <si>
    <t>DSG</t>
  </si>
  <si>
    <t>DILASAG</t>
  </si>
  <si>
    <t>PHDVO</t>
  </si>
  <si>
    <t>DVO</t>
  </si>
  <si>
    <t>DAVAO - MINDANAO</t>
  </si>
  <si>
    <t>PHGAC</t>
  </si>
  <si>
    <t>GACHITORENA/JOSE PANGANIBAN</t>
  </si>
  <si>
    <t>PHGAS</t>
  </si>
  <si>
    <t>GASAN</t>
  </si>
  <si>
    <t>PHGES</t>
  </si>
  <si>
    <t>GENERAL SANTOS/DADIANGAS</t>
  </si>
  <si>
    <t>PHGGG</t>
  </si>
  <si>
    <t>GGG</t>
  </si>
  <si>
    <t>GIGAGUIT/SURIGAO</t>
  </si>
  <si>
    <t>PHGGM</t>
  </si>
  <si>
    <t>GGM</t>
  </si>
  <si>
    <t>GIGMOTE/LEGASPI</t>
  </si>
  <si>
    <t>PHGIN</t>
  </si>
  <si>
    <t>GIN</t>
  </si>
  <si>
    <t>GINGOOG/MASAO</t>
  </si>
  <si>
    <t>PHGMS</t>
  </si>
  <si>
    <t>GUIMARAS/ILOILO</t>
  </si>
  <si>
    <t>PHGNI</t>
  </si>
  <si>
    <t>GNI</t>
  </si>
  <si>
    <t>GENERAL ISLAND/BISLIG</t>
  </si>
  <si>
    <t>PHHIJ</t>
  </si>
  <si>
    <t>HIJO WHARF/DAVAO</t>
  </si>
  <si>
    <t>PHHIM</t>
  </si>
  <si>
    <t>HIMAMAYALAN/ILOILO</t>
  </si>
  <si>
    <t>PHHNB</t>
  </si>
  <si>
    <t>HNB</t>
  </si>
  <si>
    <t>HINOBAAN/ILOILO</t>
  </si>
  <si>
    <t>PHHNG</t>
  </si>
  <si>
    <t>HINIGARAN/ILOILO</t>
  </si>
  <si>
    <t>PHHNT</t>
  </si>
  <si>
    <t>HNT</t>
  </si>
  <si>
    <t>HINATUAN/BISLIG</t>
  </si>
  <si>
    <t>PHHON</t>
  </si>
  <si>
    <t>HONDAGUA/SIAIN</t>
  </si>
  <si>
    <t>PHHOO</t>
  </si>
  <si>
    <t>HOOK BAY/SIAIN</t>
  </si>
  <si>
    <t>PHICO</t>
  </si>
  <si>
    <t>ICO</t>
  </si>
  <si>
    <t>SICOGON ISLAN</t>
  </si>
  <si>
    <t>PHIGN</t>
  </si>
  <si>
    <t>IGN</t>
  </si>
  <si>
    <t>ILIGAN - MINDANAO</t>
  </si>
  <si>
    <t>PHILO</t>
  </si>
  <si>
    <t>ILOILO - PANAY</t>
  </si>
  <si>
    <t>PHIPE</t>
  </si>
  <si>
    <t>IPE</t>
  </si>
  <si>
    <t>IPIL/ZAMBOANGA</t>
  </si>
  <si>
    <t>PHISB</t>
  </si>
  <si>
    <t>ISABELA DE BASILAN/BASILAN</t>
  </si>
  <si>
    <t>PHISL</t>
  </si>
  <si>
    <t>ISL</t>
  </si>
  <si>
    <t>ISABEL</t>
  </si>
  <si>
    <t>PHJAS</t>
  </si>
  <si>
    <t>JAS</t>
  </si>
  <si>
    <t>JASAAN/CAGAYAN DE ORO</t>
  </si>
  <si>
    <t>PHJNZ</t>
  </si>
  <si>
    <t>JIMENEZ/OZAMIS</t>
  </si>
  <si>
    <t>PHJOL</t>
  </si>
  <si>
    <t>JOL</t>
  </si>
  <si>
    <t>JOLO</t>
  </si>
  <si>
    <t>PHJPM</t>
  </si>
  <si>
    <t>JPM</t>
  </si>
  <si>
    <t>JOSE PANGANIBAN - LUZON</t>
  </si>
  <si>
    <t>PHKAR</t>
  </si>
  <si>
    <t>KAROMATAN/ILIGAN</t>
  </si>
  <si>
    <t>PHKAS</t>
  </si>
  <si>
    <t>KABASALAN/ZAMBOANGA</t>
  </si>
  <si>
    <t>PHKAT</t>
  </si>
  <si>
    <t>KATIPUNAN/OZAMIS</t>
  </si>
  <si>
    <t>PHKIA</t>
  </si>
  <si>
    <t>KIAMBA/DADIANGAS</t>
  </si>
  <si>
    <t>PHKIL</t>
  </si>
  <si>
    <t>KILBAY POINT/JOSE PANGANIBAN</t>
  </si>
  <si>
    <t>PHKIP</t>
  </si>
  <si>
    <t>KIP</t>
  </si>
  <si>
    <t>KIPIT/OZAMIS</t>
  </si>
  <si>
    <t>PHKIW</t>
  </si>
  <si>
    <t>KIWALAN/ILIGAN</t>
  </si>
  <si>
    <t>PHKLO</t>
  </si>
  <si>
    <t>KALIBO</t>
  </si>
  <si>
    <t>PHKOL</t>
  </si>
  <si>
    <t>KOLAMBUGAN/ILIGAN</t>
  </si>
  <si>
    <t>PHKUM</t>
  </si>
  <si>
    <t>KUMALARANG/ZAMBOANGA</t>
  </si>
  <si>
    <t>PHLAB</t>
  </si>
  <si>
    <t>LABASON/ZAMBOANGA</t>
  </si>
  <si>
    <t>PHLAG</t>
  </si>
  <si>
    <t>LAGONOY/JOSE PANGANIBAN</t>
  </si>
  <si>
    <t>PHLAM</t>
  </si>
  <si>
    <t>LAMIT BAY/JOSE PANGANIBAN</t>
  </si>
  <si>
    <t>PHLAN</t>
  </si>
  <si>
    <t>LANUZA/BISLIG</t>
  </si>
  <si>
    <t>PHLAO</t>
  </si>
  <si>
    <t>LAOAG - LUZON</t>
  </si>
  <si>
    <t>PHLBK</t>
  </si>
  <si>
    <t>LBK</t>
  </si>
  <si>
    <t>LEBAK/PARANG</t>
  </si>
  <si>
    <t>PHLEY</t>
  </si>
  <si>
    <t>LEY</t>
  </si>
  <si>
    <t>LEYTE</t>
  </si>
  <si>
    <t>PHLGG</t>
  </si>
  <si>
    <t>LINGIG/BISLIG</t>
  </si>
  <si>
    <t>PHLGP</t>
  </si>
  <si>
    <t>LEGASPI - DAVAO</t>
  </si>
  <si>
    <t>PHLIA</t>
  </si>
  <si>
    <t>LIA</t>
  </si>
  <si>
    <t>LIANGA/BISLIG</t>
  </si>
  <si>
    <t>PHLIB</t>
  </si>
  <si>
    <t>LIBJO/SURIGAO</t>
  </si>
  <si>
    <t>PHLIM</t>
  </si>
  <si>
    <t>LIMAY/BATAAN</t>
  </si>
  <si>
    <t>PHLIN</t>
  </si>
  <si>
    <t>LINGAYEN - LUZON</t>
  </si>
  <si>
    <t>PHLNK</t>
  </si>
  <si>
    <t>LNK</t>
  </si>
  <si>
    <t>LINIK/DADIANGAS</t>
  </si>
  <si>
    <t>PHLNO</t>
  </si>
  <si>
    <t>LUNAO/CAGAYAN DE ORO</t>
  </si>
  <si>
    <t>PHLOM</t>
  </si>
  <si>
    <t>LOMUYON/DADIANGAS</t>
  </si>
  <si>
    <t>PHLOO</t>
  </si>
  <si>
    <t>LOOC BAY/SAN JOSE</t>
  </si>
  <si>
    <t>PHLOP</t>
  </si>
  <si>
    <t>LONG POINT/PUERTO PRINCESA</t>
  </si>
  <si>
    <t>PHLPA</t>
  </si>
  <si>
    <t>LIPA</t>
  </si>
  <si>
    <t>PHLPZ</t>
  </si>
  <si>
    <t>LPZ</t>
  </si>
  <si>
    <t>LA PAZ/ILOILO</t>
  </si>
  <si>
    <t>PHLRP</t>
  </si>
  <si>
    <t>LRP</t>
  </si>
  <si>
    <t>LA RAP/JOSE PANGANIBAN</t>
  </si>
  <si>
    <t>PHLUG</t>
  </si>
  <si>
    <t>LUGAIT/CAGAYAN DE ORO</t>
  </si>
  <si>
    <t>PHLUM</t>
  </si>
  <si>
    <t>LUMASAL/DADIANGAS</t>
  </si>
  <si>
    <t>PHLWA</t>
  </si>
  <si>
    <t>LWA</t>
  </si>
  <si>
    <t>LWBAK</t>
  </si>
  <si>
    <t>PHMAB</t>
  </si>
  <si>
    <t>MAIBINI/DAVAO</t>
  </si>
  <si>
    <t>PHMAC</t>
  </si>
  <si>
    <t>MAC</t>
  </si>
  <si>
    <t>MATHO CORTEZ/BISLIG</t>
  </si>
  <si>
    <t>PHMAD</t>
  </si>
  <si>
    <t>MADAUM/DAVAO</t>
  </si>
  <si>
    <t>PHMAI</t>
  </si>
  <si>
    <t>MAITUM/DADIANGAS</t>
  </si>
  <si>
    <t>PHMAK</t>
  </si>
  <si>
    <t>MAKAR/DADIANGAS</t>
  </si>
  <si>
    <t>PHMBO</t>
  </si>
  <si>
    <t>MBO</t>
  </si>
  <si>
    <t>MAMBURAO</t>
  </si>
  <si>
    <t>PHMBT</t>
  </si>
  <si>
    <t>MASBATE</t>
  </si>
  <si>
    <t>PHMCD</t>
  </si>
  <si>
    <t>MERCEDES/JOSE PANGANIBAN</t>
  </si>
  <si>
    <t>PHMCJ</t>
  </si>
  <si>
    <t>MACOJALAN/OZAMIS</t>
  </si>
  <si>
    <t>PHMCO</t>
  </si>
  <si>
    <t>MCO</t>
  </si>
  <si>
    <t>MACO/DAVAO</t>
  </si>
  <si>
    <t>PHMDN</t>
  </si>
  <si>
    <t>MDN</t>
  </si>
  <si>
    <t>MEDINA/CAGAYAN DE ORO</t>
  </si>
  <si>
    <t>PHMGA</t>
  </si>
  <si>
    <t>MAGALONA/ILOILO</t>
  </si>
  <si>
    <t>PHMGB</t>
  </si>
  <si>
    <t>MAGUEDA BAY/CATBALOGAN</t>
  </si>
  <si>
    <t>PHMGG</t>
  </si>
  <si>
    <t>MANGOGOY/BISLIG</t>
  </si>
  <si>
    <t>PHMHT</t>
  </si>
  <si>
    <t>MHT</t>
  </si>
  <si>
    <t>MARINHATAG/BISLIG</t>
  </si>
  <si>
    <t>PHMIC</t>
  </si>
  <si>
    <t>MIC</t>
  </si>
  <si>
    <t>MISAMIS OR./CAGAYANDE ORO</t>
  </si>
  <si>
    <t>PHMIL</t>
  </si>
  <si>
    <t>MILBUK/DADIANGAS</t>
  </si>
  <si>
    <t>PHMIO</t>
  </si>
  <si>
    <t>MIO</t>
  </si>
  <si>
    <t>MISAMIS OCC./OZAMIS</t>
  </si>
  <si>
    <t>PHMLB</t>
  </si>
  <si>
    <t>MLB</t>
  </si>
  <si>
    <t>MALUSOBAY</t>
  </si>
  <si>
    <t>PHMLL</t>
  </si>
  <si>
    <t>MLL</t>
  </si>
  <si>
    <t>MALALAG/DAVAO</t>
  </si>
  <si>
    <t>PHMLP</t>
  </si>
  <si>
    <t>MLP</t>
  </si>
  <si>
    <t>MALABANG</t>
  </si>
  <si>
    <t>PHMLS</t>
  </si>
  <si>
    <t>MLS</t>
  </si>
  <si>
    <t>MAGELLANES/MASAO</t>
  </si>
  <si>
    <t>PHMNL</t>
  </si>
  <si>
    <t>MNL</t>
  </si>
  <si>
    <t>MANILA</t>
  </si>
  <si>
    <t>PHMNN</t>
  </si>
  <si>
    <t>MANILA NORTH HARBOR</t>
  </si>
  <si>
    <t>PHMNS</t>
  </si>
  <si>
    <t>MANILA SOUTH HARBOR</t>
  </si>
  <si>
    <t>PHMNY</t>
  </si>
  <si>
    <t>MANAY/MATI</t>
  </si>
  <si>
    <t>PHMON</t>
  </si>
  <si>
    <t>MONSERRAT/MATI</t>
  </si>
  <si>
    <t>PHMOR</t>
  </si>
  <si>
    <t>MORONG/MARIVELES</t>
  </si>
  <si>
    <t>PHMRQ</t>
  </si>
  <si>
    <t>MRQ</t>
  </si>
  <si>
    <t>MARINDUQUE</t>
  </si>
  <si>
    <t>PHMSB</t>
  </si>
  <si>
    <t>MSB</t>
  </si>
  <si>
    <t>MALASUGAT BAY/ZAMBOANGA</t>
  </si>
  <si>
    <t>PHMSC</t>
  </si>
  <si>
    <t>MSC</t>
  </si>
  <si>
    <t>MASINLOC/SUAL</t>
  </si>
  <si>
    <t>PHMSS</t>
  </si>
  <si>
    <t>MISSION/APARRI</t>
  </si>
  <si>
    <t>PHMSY</t>
  </si>
  <si>
    <t>MSY</t>
  </si>
  <si>
    <t>MANANSALAY/BATANGAS</t>
  </si>
  <si>
    <t>PHMTA</t>
  </si>
  <si>
    <t>MATINA APLAYA/DAVAO</t>
  </si>
  <si>
    <t>PHMUL</t>
  </si>
  <si>
    <t>MULANAY/SIAIN</t>
  </si>
  <si>
    <t>PHMUR</t>
  </si>
  <si>
    <t>MURCILAGUS/OZAMIS</t>
  </si>
  <si>
    <t>PHMVS</t>
  </si>
  <si>
    <t>MVS</t>
  </si>
  <si>
    <t>MARIVELES - LUZON</t>
  </si>
  <si>
    <t>PHMXI</t>
  </si>
  <si>
    <t>MXI</t>
  </si>
  <si>
    <t>MATI - MINDANAO</t>
  </si>
  <si>
    <t>PHNAB</t>
  </si>
  <si>
    <t>NABULAO BAY/ILOILO</t>
  </si>
  <si>
    <t>PHNAL</t>
  </si>
  <si>
    <t>NAL</t>
  </si>
  <si>
    <t>NALUNGGA/ILOILO</t>
  </si>
  <si>
    <t>PHNAP</t>
  </si>
  <si>
    <t>NAPSAN/PUERTO PRINCESA</t>
  </si>
  <si>
    <t>PHNAR</t>
  </si>
  <si>
    <t>NARIS POINT/PUERTO PRINCESA</t>
  </si>
  <si>
    <t>PHNAS</t>
  </si>
  <si>
    <t>NASIPIT/MASAO</t>
  </si>
  <si>
    <t>PHNCP</t>
  </si>
  <si>
    <t>NCP</t>
  </si>
  <si>
    <t>PHNGH</t>
  </si>
  <si>
    <t>NAGH</t>
  </si>
  <si>
    <t>PHNON</t>
  </si>
  <si>
    <t>NONOC/SURIGAO DEL NORTE</t>
  </si>
  <si>
    <t>PHNOP</t>
  </si>
  <si>
    <t>NOP</t>
  </si>
  <si>
    <t>MACTAN ISLAND</t>
  </si>
  <si>
    <t>PHNSP</t>
  </si>
  <si>
    <t>NSP</t>
  </si>
  <si>
    <t>SANGLEY POINT</t>
  </si>
  <si>
    <t>PHNUG</t>
  </si>
  <si>
    <t>NASUGBU - LUZON</t>
  </si>
  <si>
    <t>PHOPO</t>
  </si>
  <si>
    <t>OPO</t>
  </si>
  <si>
    <t>OPOL/CAGAYAN DE ORO</t>
  </si>
  <si>
    <t>PHORA</t>
  </si>
  <si>
    <t>ORAYUITA</t>
  </si>
  <si>
    <t>PHORC</t>
  </si>
  <si>
    <t>ORMOC/TACLOBAN</t>
  </si>
  <si>
    <t>PHORS</t>
  </si>
  <si>
    <t>ORS</t>
  </si>
  <si>
    <t>ORAS/CATBALOGAN</t>
  </si>
  <si>
    <t>PHOTE</t>
  </si>
  <si>
    <t>OTE</t>
  </si>
  <si>
    <t>OTEIZA/BISLIG</t>
  </si>
  <si>
    <t>PHOZC</t>
  </si>
  <si>
    <t>OZC</t>
  </si>
  <si>
    <t>OZAMISMINDANAO</t>
  </si>
  <si>
    <t>PHPAG</t>
  </si>
  <si>
    <t>PAGADIAN/ZAMBOANGA</t>
  </si>
  <si>
    <t>PHPAS</t>
  </si>
  <si>
    <t>PASAY - LUZON</t>
  </si>
  <si>
    <t>PHPBA</t>
  </si>
  <si>
    <t>PORT BARTON/PALAWAN</t>
  </si>
  <si>
    <t>PHPCN</t>
  </si>
  <si>
    <t>PANACAN/DAVAO</t>
  </si>
  <si>
    <t>PHPDC</t>
  </si>
  <si>
    <t>POLANDOC/OZAMIS</t>
  </si>
  <si>
    <t>PHPDR</t>
  </si>
  <si>
    <t>PACIO DE ROZAS/BATANGAS</t>
  </si>
  <si>
    <t>PHPGT</t>
  </si>
  <si>
    <t>PGT</t>
  </si>
  <si>
    <t>PANGUTARAN/JOLO</t>
  </si>
  <si>
    <t>PHPIN</t>
  </si>
  <si>
    <t>PINAMALAYAN/BATANGAS</t>
  </si>
  <si>
    <t>PHPLA</t>
  </si>
  <si>
    <t>PLARIDEL/OZAMIS</t>
  </si>
  <si>
    <t>PHPLB</t>
  </si>
  <si>
    <t>PLB</t>
  </si>
  <si>
    <t>PALAMIT BAY/SAN JOSE</t>
  </si>
  <si>
    <t>PHPLL</t>
  </si>
  <si>
    <t>PLL</t>
  </si>
  <si>
    <t>POLLILIO/SIAIN</t>
  </si>
  <si>
    <t>PHPLP</t>
  </si>
  <si>
    <t>PALAPAG/SAN JOSE</t>
  </si>
  <si>
    <t>PHPLW</t>
  </si>
  <si>
    <t>PALAWAN/OZAMIS</t>
  </si>
  <si>
    <t>PHPMT</t>
  </si>
  <si>
    <t>PAMINTAYAN/ZAMBOANGA</t>
  </si>
  <si>
    <t>PHPNB</t>
  </si>
  <si>
    <t>PANABUTAN/ZAMBOANGA</t>
  </si>
  <si>
    <t>PHPNN</t>
  </si>
  <si>
    <t>PANINIRONGAN/SANJOSE</t>
  </si>
  <si>
    <t>PHPNT</t>
  </si>
  <si>
    <t>PUNTI/APARRI</t>
  </si>
  <si>
    <t>PHPPL</t>
  </si>
  <si>
    <t>PAMPLONA/APARRI</t>
  </si>
  <si>
    <t>PHPPP</t>
  </si>
  <si>
    <t>PASELANG PAGUDPUD/SAN FERNANDO</t>
  </si>
  <si>
    <t>PHPPS</t>
  </si>
  <si>
    <t>PPS</t>
  </si>
  <si>
    <t>PUERTO PRINCESA - PALAWAN</t>
  </si>
  <si>
    <t>PHPRA</t>
  </si>
  <si>
    <t>PARANG</t>
  </si>
  <si>
    <t>PHPRO</t>
  </si>
  <si>
    <t>PORO/SAN FERNANDO</t>
  </si>
  <si>
    <t>PHPSL</t>
  </si>
  <si>
    <t>PASALANG BAY/APARRI</t>
  </si>
  <si>
    <t>PHPTL</t>
  </si>
  <si>
    <t>PUNTALINAO/MATI</t>
  </si>
  <si>
    <t>PHPUG</t>
  </si>
  <si>
    <t>PUGAD/BISLIG</t>
  </si>
  <si>
    <t>PHQBL</t>
  </si>
  <si>
    <t>QBL</t>
  </si>
  <si>
    <t>QUINABLAGAN/MATI</t>
  </si>
  <si>
    <t>PHQPT</t>
  </si>
  <si>
    <t>QPT</t>
  </si>
  <si>
    <t>QUIPIT BAY/OZAMIS</t>
  </si>
  <si>
    <t>PHQUE</t>
  </si>
  <si>
    <t>QUESON/SIAIN</t>
  </si>
  <si>
    <t>PHQUI</t>
  </si>
  <si>
    <t>QUIDDIAO/APARRI</t>
  </si>
  <si>
    <t>PHREA</t>
  </si>
  <si>
    <t>REAL/SIAIN</t>
  </si>
  <si>
    <t>PHRLN</t>
  </si>
  <si>
    <t>RLN</t>
  </si>
  <si>
    <t>ROMBLON</t>
  </si>
  <si>
    <t>PHRXS</t>
  </si>
  <si>
    <t>RXS</t>
  </si>
  <si>
    <t>ROXAS/PUERTO PRINCESA</t>
  </si>
  <si>
    <t>PHSAG</t>
  </si>
  <si>
    <t>SAGAY/ILOILO</t>
  </si>
  <si>
    <t>PHSAN</t>
  </si>
  <si>
    <t>SANTA ANNA/APARRI</t>
  </si>
  <si>
    <t>PHSAS</t>
  </si>
  <si>
    <t>SASA/DAVAO</t>
  </si>
  <si>
    <t>PHSAY</t>
  </si>
  <si>
    <t>SAYAO/BATANGAS</t>
  </si>
  <si>
    <t>PHSBB</t>
  </si>
  <si>
    <t>SBB</t>
  </si>
  <si>
    <t>SABBOT/SIAIN</t>
  </si>
  <si>
    <t>PHSBG</t>
  </si>
  <si>
    <t>SABANG</t>
  </si>
  <si>
    <t>PHSBY</t>
  </si>
  <si>
    <t>SABLAYAN/BATANGAS</t>
  </si>
  <si>
    <t>PHSCA</t>
  </si>
  <si>
    <t>SAN CARLOS/DUMAGUETE</t>
  </si>
  <si>
    <t>PHSCR</t>
  </si>
  <si>
    <t>SANTA CRUZ/SUAL</t>
  </si>
  <si>
    <t>PHSCT</t>
  </si>
  <si>
    <t>SANTA CATALINA/DUMAGUETE</t>
  </si>
  <si>
    <t>PHSDG</t>
  </si>
  <si>
    <t>SINDANGAN/OZAMIS</t>
  </si>
  <si>
    <t>PHSFE</t>
  </si>
  <si>
    <t>SAN FERNANDO - LUZON</t>
  </si>
  <si>
    <t>PHSFS</t>
  </si>
  <si>
    <t>SUBIC BAY</t>
  </si>
  <si>
    <t>PHSGD</t>
  </si>
  <si>
    <t>SOGOD/TACLOBAN</t>
  </si>
  <si>
    <t>PHSGS</t>
  </si>
  <si>
    <t>SGS</t>
  </si>
  <si>
    <t>SANGASANGA</t>
  </si>
  <si>
    <t>PHSIG</t>
  </si>
  <si>
    <t>SIGAYAN/PARANG</t>
  </si>
  <si>
    <t>PHSIN</t>
  </si>
  <si>
    <t>SIAIN - LUZON</t>
  </si>
  <si>
    <t>PHSIO</t>
  </si>
  <si>
    <t>SAN IGNACIO/MATI</t>
  </si>
  <si>
    <t>PHSIR</t>
  </si>
  <si>
    <t>SIARI/OZAMIS</t>
  </si>
  <si>
    <t>PHSIS</t>
  </si>
  <si>
    <t>SAN ISIDRO/SANJOSE</t>
  </si>
  <si>
    <t>PHSIY</t>
  </si>
  <si>
    <t>SIY</t>
  </si>
  <si>
    <t>SIAY/ZAMBOANGA</t>
  </si>
  <si>
    <t>PHSJI</t>
  </si>
  <si>
    <t>SAN JOSE - SAMAR</t>
  </si>
  <si>
    <t>PHSKU</t>
  </si>
  <si>
    <t>SULTAN KUDARAT/DADIANGAS</t>
  </si>
  <si>
    <t>PHSLU</t>
  </si>
  <si>
    <t>SANTA LUCIA/PUERTO PRINCESA</t>
  </si>
  <si>
    <t>PHSMA</t>
  </si>
  <si>
    <t>SANTA MARIA/ZAMBOANGA</t>
  </si>
  <si>
    <t>PHSMR</t>
  </si>
  <si>
    <t>SEMIRARA</t>
  </si>
  <si>
    <t>PHSNG</t>
  </si>
  <si>
    <t>SANGI/CEBU</t>
  </si>
  <si>
    <t>PHSOR</t>
  </si>
  <si>
    <t>SORSOGON/LEGASPI</t>
  </si>
  <si>
    <t>PHSPQ</t>
  </si>
  <si>
    <t>SPQ</t>
  </si>
  <si>
    <t>SAN PIO QUINTO/APARRI</t>
  </si>
  <si>
    <t>PHSSV</t>
  </si>
  <si>
    <t>SSV</t>
  </si>
  <si>
    <t>SIASI</t>
  </si>
  <si>
    <t>PHSTE</t>
  </si>
  <si>
    <t>SAN TEODORO/BATANGAS</t>
  </si>
  <si>
    <t>PHSUA</t>
  </si>
  <si>
    <t>SUAL</t>
  </si>
  <si>
    <t>PHSUG</t>
  </si>
  <si>
    <t>SURIGAO - MINDANAO</t>
  </si>
  <si>
    <t>PHTAC</t>
  </si>
  <si>
    <t>TACLOBAN - LEYTE</t>
  </si>
  <si>
    <t>PHTAG</t>
  </si>
  <si>
    <t>TAGBILARAN - BOHOL</t>
  </si>
  <si>
    <t>PHTAY</t>
  </si>
  <si>
    <t>TAYTAY/PUERTO PRINCESA</t>
  </si>
  <si>
    <t>PHTBC</t>
  </si>
  <si>
    <t>TBC</t>
  </si>
  <si>
    <t>TABACO/LEGASPI</t>
  </si>
  <si>
    <t>PHTBG</t>
  </si>
  <si>
    <t>TABANGOA</t>
  </si>
  <si>
    <t>PHTBH</t>
  </si>
  <si>
    <t>TBH</t>
  </si>
  <si>
    <t>TABLAS</t>
  </si>
  <si>
    <t>PHTBU</t>
  </si>
  <si>
    <t>TAGABULI/DAVAO</t>
  </si>
  <si>
    <t>PHTDC</t>
  </si>
  <si>
    <t>TDC</t>
  </si>
  <si>
    <t>TANDOC</t>
  </si>
  <si>
    <t>PHTDG</t>
  </si>
  <si>
    <t>TDG</t>
  </si>
  <si>
    <t>TANDAG/BISLIG</t>
  </si>
  <si>
    <t>PHTGB</t>
  </si>
  <si>
    <t>TGB</t>
  </si>
  <si>
    <t>TAGBITA</t>
  </si>
  <si>
    <t>PHTGD</t>
  </si>
  <si>
    <t>TAGUDIN/SAN FERNANDO</t>
  </si>
  <si>
    <t>PHTGI</t>
  </si>
  <si>
    <t>TUGUIS/DADIANGAS</t>
  </si>
  <si>
    <t>PHTGL</t>
  </si>
  <si>
    <t>TAGUILON/OZAMIS</t>
  </si>
  <si>
    <t>PHTGN</t>
  </si>
  <si>
    <t>TAMBONGON/DAVAO</t>
  </si>
  <si>
    <t>PHTGO</t>
  </si>
  <si>
    <t>TAGOLOAN MIS. OR/CAGAYAN DE ORO</t>
  </si>
  <si>
    <t>PHTGT</t>
  </si>
  <si>
    <t>TGT</t>
  </si>
  <si>
    <t>TAGUITE BAY/ZAMBOANGA</t>
  </si>
  <si>
    <t>PHTGW</t>
  </si>
  <si>
    <t>TGW</t>
  </si>
  <si>
    <t>TUNGAWAN BAY/ZAMBOANGA</t>
  </si>
  <si>
    <t>PHTIB</t>
  </si>
  <si>
    <t>TIB</t>
  </si>
  <si>
    <t>TIBUNGCO/DAVAO</t>
  </si>
  <si>
    <t>PHTKW</t>
  </si>
  <si>
    <t>TAGKAWAYAN/SIAIN</t>
  </si>
  <si>
    <t>PHTLD</t>
  </si>
  <si>
    <t>TOLEDO/CEBU</t>
  </si>
  <si>
    <t>PHTLG</t>
  </si>
  <si>
    <t>TLG</t>
  </si>
  <si>
    <t>TOLONG/DUMAGUETE</t>
  </si>
  <si>
    <t>PHTLM</t>
  </si>
  <si>
    <t>TALOMO/DAVAO</t>
  </si>
  <si>
    <t>PHTLP</t>
  </si>
  <si>
    <t>TLP</t>
  </si>
  <si>
    <t>TOLOPO</t>
  </si>
  <si>
    <t>PHTLS</t>
  </si>
  <si>
    <t>TOLOSA/TACLOBAN</t>
  </si>
  <si>
    <t>PHTNU</t>
  </si>
  <si>
    <t>TANAUAN/TACLOBAN</t>
  </si>
  <si>
    <t>PHTOB</t>
  </si>
  <si>
    <t>TOBOSO/DUMAGUETE</t>
  </si>
  <si>
    <t>PHTUG</t>
  </si>
  <si>
    <t>TUG</t>
  </si>
  <si>
    <t>TUGUEGARAO</t>
  </si>
  <si>
    <t>PHTWT</t>
  </si>
  <si>
    <t>TWT</t>
  </si>
  <si>
    <t>TAWITAWI</t>
  </si>
  <si>
    <t>PHULY</t>
  </si>
  <si>
    <t>ULY</t>
  </si>
  <si>
    <t>ULUNGAN BAY</t>
  </si>
  <si>
    <t>PHURR</t>
  </si>
  <si>
    <t>UMRUR</t>
  </si>
  <si>
    <t>PHVCS</t>
  </si>
  <si>
    <t>VCS</t>
  </si>
  <si>
    <t>VICTORIAS - NEGROS</t>
  </si>
  <si>
    <t>PHVNV</t>
  </si>
  <si>
    <t>VNV</t>
  </si>
  <si>
    <t>VILLANUEVA</t>
  </si>
  <si>
    <t>PHVRC</t>
  </si>
  <si>
    <t>VRC</t>
  </si>
  <si>
    <t>VIRAC</t>
  </si>
  <si>
    <t>PHVTL</t>
  </si>
  <si>
    <t>VITALI/ZAMOANGA</t>
  </si>
  <si>
    <t>PHVTO</t>
  </si>
  <si>
    <t>VTO</t>
  </si>
  <si>
    <t>VITO/ILOILO</t>
  </si>
  <si>
    <t>PHWAS</t>
  </si>
  <si>
    <t>WASAG/DADIANGAS</t>
  </si>
  <si>
    <t>PHWAW</t>
  </si>
  <si>
    <t>WAW</t>
  </si>
  <si>
    <t>WAWA/BATANGAS</t>
  </si>
  <si>
    <t>PHWNP</t>
  </si>
  <si>
    <t>NAGA/ZAMBOANGA</t>
  </si>
  <si>
    <t>PHXCN</t>
  </si>
  <si>
    <t>XCN</t>
  </si>
  <si>
    <t>CORON</t>
  </si>
  <si>
    <t>PHXMA</t>
  </si>
  <si>
    <t>MARAMAG</t>
  </si>
  <si>
    <t>PHXSO</t>
  </si>
  <si>
    <t>XSO</t>
  </si>
  <si>
    <t>SIOCON/ZAMBOANGA</t>
  </si>
  <si>
    <t>PHZAM</t>
  </si>
  <si>
    <t>ZAMBOANGA - MINDANAO</t>
  </si>
  <si>
    <t>PHZZZ</t>
  </si>
  <si>
    <t>CATICLAN</t>
  </si>
  <si>
    <t>MPH</t>
  </si>
  <si>
    <t>SGL</t>
  </si>
  <si>
    <t>PAKISTAN</t>
  </si>
  <si>
    <t>パキスタン</t>
  </si>
  <si>
    <t>PKARH</t>
  </si>
  <si>
    <t>PK</t>
  </si>
  <si>
    <t>ARH</t>
  </si>
  <si>
    <t>ATHARAN HAZAR</t>
  </si>
  <si>
    <t>PAK</t>
  </si>
  <si>
    <t>PKBNP</t>
  </si>
  <si>
    <t>BANNU</t>
  </si>
  <si>
    <t>PKBQM</t>
  </si>
  <si>
    <t>BQM</t>
  </si>
  <si>
    <t>KARACHI-MUHAMMAD BINQASIM</t>
  </si>
  <si>
    <t>PKCJL</t>
  </si>
  <si>
    <t>CJL</t>
  </si>
  <si>
    <t>CHITRAL</t>
  </si>
  <si>
    <t>PKCWP</t>
  </si>
  <si>
    <t>CWP</t>
  </si>
  <si>
    <t>CAMPBELLPORE</t>
  </si>
  <si>
    <t>PKDDU</t>
  </si>
  <si>
    <t>DDU</t>
  </si>
  <si>
    <t>DADU</t>
  </si>
  <si>
    <t>PKDSK</t>
  </si>
  <si>
    <t>DSK</t>
  </si>
  <si>
    <t>DERA ISMAIL K</t>
  </si>
  <si>
    <t>PKGIL</t>
  </si>
  <si>
    <t>GILGIT</t>
  </si>
  <si>
    <t>PKGRT</t>
  </si>
  <si>
    <t>GRT</t>
  </si>
  <si>
    <t>GUJRAT</t>
  </si>
  <si>
    <t>PKGWD</t>
  </si>
  <si>
    <t>GWD</t>
  </si>
  <si>
    <t>GWADAR</t>
  </si>
  <si>
    <t>PKHDD</t>
  </si>
  <si>
    <t>PKISB</t>
  </si>
  <si>
    <t>ISLAMABAD</t>
  </si>
  <si>
    <t>PKJIW</t>
  </si>
  <si>
    <t>JIW</t>
  </si>
  <si>
    <t>JIWANI</t>
  </si>
  <si>
    <t>PKKBU</t>
  </si>
  <si>
    <t>KETI BUNDER</t>
  </si>
  <si>
    <t>PKKDU</t>
  </si>
  <si>
    <t>KDU</t>
  </si>
  <si>
    <t>SKARDU</t>
  </si>
  <si>
    <t>PKKHI</t>
  </si>
  <si>
    <t>KHI</t>
  </si>
  <si>
    <t>KARACHI</t>
  </si>
  <si>
    <t>PKLHE</t>
  </si>
  <si>
    <t>LHE</t>
  </si>
  <si>
    <t>LAHORE</t>
  </si>
  <si>
    <t>PKLYP</t>
  </si>
  <si>
    <t>LYP</t>
  </si>
  <si>
    <t>FAISALABAD</t>
  </si>
  <si>
    <t>PKMJD</t>
  </si>
  <si>
    <t>MJD</t>
  </si>
  <si>
    <t>MOHENJODARO</t>
  </si>
  <si>
    <t>PKMUX</t>
  </si>
  <si>
    <t>MULTAN</t>
  </si>
  <si>
    <t>PKNDD</t>
  </si>
  <si>
    <t>NOK KUNDI</t>
  </si>
  <si>
    <t>PKOHT</t>
  </si>
  <si>
    <t>KOHAT</t>
  </si>
  <si>
    <t>PKORW</t>
  </si>
  <si>
    <t>ORW</t>
  </si>
  <si>
    <t>ORMARA</t>
  </si>
  <si>
    <t>PKPEW</t>
  </si>
  <si>
    <t>PEW</t>
  </si>
  <si>
    <t>PESHAWAR</t>
  </si>
  <si>
    <t>PKPJG</t>
  </si>
  <si>
    <t>PANJGUR</t>
  </si>
  <si>
    <t>PKPSI</t>
  </si>
  <si>
    <t>PASNI</t>
  </si>
  <si>
    <t>PKPZH</t>
  </si>
  <si>
    <t>PZH</t>
  </si>
  <si>
    <t>ZHOB</t>
  </si>
  <si>
    <t>PKRWP</t>
  </si>
  <si>
    <t>RWP</t>
  </si>
  <si>
    <t>RAWALPINDI</t>
  </si>
  <si>
    <t>PKRYK</t>
  </si>
  <si>
    <t>RYK</t>
  </si>
  <si>
    <t>RAHIMYAR KHAN</t>
  </si>
  <si>
    <t>PKSDT</t>
  </si>
  <si>
    <t>SAIDU SHARIF</t>
  </si>
  <si>
    <t>PKSKT</t>
  </si>
  <si>
    <t>SIALKOT</t>
  </si>
  <si>
    <t>PKSKZ</t>
  </si>
  <si>
    <t>SKZ</t>
  </si>
  <si>
    <t>SUKKUR</t>
  </si>
  <si>
    <t>PKSUL</t>
  </si>
  <si>
    <t>SUL</t>
  </si>
  <si>
    <t>PKTLB</t>
  </si>
  <si>
    <t>TARBELA</t>
  </si>
  <si>
    <t>PKTOR</t>
  </si>
  <si>
    <t>TORKHAM</t>
  </si>
  <si>
    <t>PKTUK</t>
  </si>
  <si>
    <t>TURBAT</t>
  </si>
  <si>
    <t>PKUET</t>
  </si>
  <si>
    <t>QUETTA</t>
  </si>
  <si>
    <t>PKWNS</t>
  </si>
  <si>
    <t>WNS</t>
  </si>
  <si>
    <t>MAWABSHAH</t>
  </si>
  <si>
    <t>PKZZZ</t>
  </si>
  <si>
    <t>POLAND</t>
  </si>
  <si>
    <t>ポーランド</t>
  </si>
  <si>
    <t>PLBLO</t>
  </si>
  <si>
    <t>PL</t>
  </si>
  <si>
    <t>BLONIE</t>
  </si>
  <si>
    <t>PLBZG</t>
  </si>
  <si>
    <t>BZG</t>
  </si>
  <si>
    <t>BYDGOSZCZ</t>
  </si>
  <si>
    <t>PLCZW</t>
  </si>
  <si>
    <t>CZW</t>
  </si>
  <si>
    <t>CZESTOCHOWA</t>
  </si>
  <si>
    <t>PLDAR</t>
  </si>
  <si>
    <t>DARLOWO</t>
  </si>
  <si>
    <t>PLGDN</t>
  </si>
  <si>
    <t>GDANSK</t>
  </si>
  <si>
    <t>PLGDY</t>
  </si>
  <si>
    <t>GDY</t>
  </si>
  <si>
    <t>GDYNIA</t>
  </si>
  <si>
    <t>PLGWC</t>
  </si>
  <si>
    <t>GWC</t>
  </si>
  <si>
    <t>GLIWICE</t>
  </si>
  <si>
    <t>PLHEL</t>
  </si>
  <si>
    <t>PLIEG</t>
  </si>
  <si>
    <t>IEG</t>
  </si>
  <si>
    <t>ZIELONA GORA</t>
  </si>
  <si>
    <t>PLKOL</t>
  </si>
  <si>
    <t>KOLOBRZEG</t>
  </si>
  <si>
    <t>PLKRK</t>
  </si>
  <si>
    <t>KRAKOW</t>
  </si>
  <si>
    <t>PLKTW</t>
  </si>
  <si>
    <t>KTW</t>
  </si>
  <si>
    <t>KATOWICE</t>
  </si>
  <si>
    <t>PLLCJ</t>
  </si>
  <si>
    <t>LCJ</t>
  </si>
  <si>
    <t>LODZ WLADYSLAW REYMONT APT</t>
  </si>
  <si>
    <t>PLNFW</t>
  </si>
  <si>
    <t>NFW</t>
  </si>
  <si>
    <t>NEUFAHRWASSER</t>
  </si>
  <si>
    <t>PLNOW</t>
  </si>
  <si>
    <t>NOW</t>
  </si>
  <si>
    <t>NOWY PORT</t>
  </si>
  <si>
    <t>PLOSZ</t>
  </si>
  <si>
    <t>OSZ</t>
  </si>
  <si>
    <t>KOSZALIN</t>
  </si>
  <si>
    <t>PLPOZ</t>
  </si>
  <si>
    <t>POZNAN</t>
  </si>
  <si>
    <t>PLRZE</t>
  </si>
  <si>
    <t>RZE</t>
  </si>
  <si>
    <t>RZESZOW</t>
  </si>
  <si>
    <t>PLSWI</t>
  </si>
  <si>
    <t>SWI</t>
  </si>
  <si>
    <t>SWINOUJSCIE</t>
  </si>
  <si>
    <t>PLSZZ</t>
  </si>
  <si>
    <t>SZZ</t>
  </si>
  <si>
    <t>SZCZECIN</t>
  </si>
  <si>
    <t>PLUST</t>
  </si>
  <si>
    <t>USTKA</t>
  </si>
  <si>
    <t>PLWAW</t>
  </si>
  <si>
    <t>WARSZAWA</t>
  </si>
  <si>
    <t>PLWLA</t>
  </si>
  <si>
    <t>WLADYSLAWOWO</t>
  </si>
  <si>
    <t>PLWRO</t>
  </si>
  <si>
    <t>WRO</t>
  </si>
  <si>
    <t>WROCLAW</t>
  </si>
  <si>
    <t>PLZZZ</t>
  </si>
  <si>
    <t>SLUPSK</t>
  </si>
  <si>
    <t>OSP</t>
  </si>
  <si>
    <t>ST.PIERRE AND MIQUELON</t>
  </si>
  <si>
    <t>サンピエール及びミクロン（仏）</t>
  </si>
  <si>
    <t>PMFSP</t>
  </si>
  <si>
    <t>PM</t>
  </si>
  <si>
    <t>FSP</t>
  </si>
  <si>
    <t>ST PIERRE</t>
  </si>
  <si>
    <t>S P M</t>
  </si>
  <si>
    <t>PMZZZ</t>
  </si>
  <si>
    <t>PITCAIRN</t>
  </si>
  <si>
    <t>ピットケルン（英）</t>
  </si>
  <si>
    <t>PNZZZ</t>
  </si>
  <si>
    <t>PN</t>
  </si>
  <si>
    <t>プエルトリコ（米）</t>
  </si>
  <si>
    <t>PRARE</t>
  </si>
  <si>
    <t>PR</t>
  </si>
  <si>
    <t>ARECIBO</t>
  </si>
  <si>
    <t>PRARR</t>
  </si>
  <si>
    <t>ARROYO/GUAYAMA</t>
  </si>
  <si>
    <t>PRBQN</t>
  </si>
  <si>
    <t>BQN</t>
  </si>
  <si>
    <t>AGUADILLA</t>
  </si>
  <si>
    <t>PRCPX</t>
  </si>
  <si>
    <t>CPX</t>
  </si>
  <si>
    <t>CULEBRA</t>
  </si>
  <si>
    <t>PRDDP</t>
  </si>
  <si>
    <t>DDP</t>
  </si>
  <si>
    <t>DORADO</t>
  </si>
  <si>
    <t>PRFAJ</t>
  </si>
  <si>
    <t>FAJ</t>
  </si>
  <si>
    <t>FAJARDO</t>
  </si>
  <si>
    <t>PRGUX</t>
  </si>
  <si>
    <t>GUX</t>
  </si>
  <si>
    <t>GUANICA HARBOUR</t>
  </si>
  <si>
    <t>PRGUY</t>
  </si>
  <si>
    <t>GUY</t>
  </si>
  <si>
    <t>GUAYANILLA</t>
  </si>
  <si>
    <t>PRHUC</t>
  </si>
  <si>
    <t>HUMACAO</t>
  </si>
  <si>
    <t>PRMAZ</t>
  </si>
  <si>
    <t>MAYAGUEZ</t>
  </si>
  <si>
    <t>PRNRR</t>
  </si>
  <si>
    <t>NRR</t>
  </si>
  <si>
    <t>ROOSEVELT ROA</t>
  </si>
  <si>
    <t>PRPJO</t>
  </si>
  <si>
    <t>PJO</t>
  </si>
  <si>
    <t>PUERTO JOBOS</t>
  </si>
  <si>
    <t>PRPSE</t>
  </si>
  <si>
    <t>PSE</t>
  </si>
  <si>
    <t>PONCE</t>
  </si>
  <si>
    <t>PRPYA</t>
  </si>
  <si>
    <t>PYA</t>
  </si>
  <si>
    <t>PORT YABUCOA</t>
  </si>
  <si>
    <t>PRSIG</t>
  </si>
  <si>
    <t>PRSJU</t>
  </si>
  <si>
    <t>SJU</t>
  </si>
  <si>
    <t>PRVQS</t>
  </si>
  <si>
    <t>VQS</t>
  </si>
  <si>
    <t>VIEQUES</t>
  </si>
  <si>
    <t>PRZZZ</t>
  </si>
  <si>
    <t>PPD</t>
  </si>
  <si>
    <t>PORTUGAL</t>
  </si>
  <si>
    <t>ポルトガル</t>
  </si>
  <si>
    <t>PTAVE</t>
  </si>
  <si>
    <t>PT</t>
  </si>
  <si>
    <t>AVE</t>
  </si>
  <si>
    <t>AVEIRO</t>
  </si>
  <si>
    <t>PTBAN</t>
  </si>
  <si>
    <t>BANATICA/LISBOA</t>
  </si>
  <si>
    <t>PTBGC</t>
  </si>
  <si>
    <t>BGC</t>
  </si>
  <si>
    <t>BRAGANCA</t>
  </si>
  <si>
    <t>PORT</t>
  </si>
  <si>
    <t>PTCHV</t>
  </si>
  <si>
    <t>CHAVES</t>
  </si>
  <si>
    <t>PTCOV</t>
  </si>
  <si>
    <t>COV</t>
  </si>
  <si>
    <t>COVILHA</t>
  </si>
  <si>
    <t>PTCVU</t>
  </si>
  <si>
    <t>CVU</t>
  </si>
  <si>
    <t>CORVO ISLAND</t>
  </si>
  <si>
    <t>PTFAO</t>
  </si>
  <si>
    <t>FARO</t>
  </si>
  <si>
    <t>PTFDF</t>
  </si>
  <si>
    <t>FIGUEIRA DA FOZ</t>
  </si>
  <si>
    <t>PTFLW</t>
  </si>
  <si>
    <t>FLORES ISLAND</t>
  </si>
  <si>
    <t>PTFNC</t>
  </si>
  <si>
    <t>FNC</t>
  </si>
  <si>
    <t>FUNCHAL - MADEIRA</t>
  </si>
  <si>
    <t>PTGON</t>
  </si>
  <si>
    <t>GONDOMAR</t>
  </si>
  <si>
    <t>PTHOR</t>
  </si>
  <si>
    <t>HORTA</t>
  </si>
  <si>
    <t>PTLEI</t>
  </si>
  <si>
    <t>LEIXOES</t>
  </si>
  <si>
    <t>PTLIS</t>
  </si>
  <si>
    <t>LISBOA</t>
  </si>
  <si>
    <t>PTLOS</t>
  </si>
  <si>
    <t>PTOLH</t>
  </si>
  <si>
    <t>OLHAO</t>
  </si>
  <si>
    <t>PTOPO</t>
  </si>
  <si>
    <t>PORTO</t>
  </si>
  <si>
    <t>PTPDL</t>
  </si>
  <si>
    <t>PDL</t>
  </si>
  <si>
    <t>PONTA DELGADA</t>
  </si>
  <si>
    <t>PTPRM</t>
  </si>
  <si>
    <t>PORTIMAO</t>
  </si>
  <si>
    <t>PTPXO</t>
  </si>
  <si>
    <t>PXO</t>
  </si>
  <si>
    <t>PORTO SANTO</t>
  </si>
  <si>
    <t>PTSET</t>
  </si>
  <si>
    <t>SETUBAL</t>
  </si>
  <si>
    <t>PTSIE</t>
  </si>
  <si>
    <t>SIE</t>
  </si>
  <si>
    <t>SINES</t>
  </si>
  <si>
    <t>PTTER</t>
  </si>
  <si>
    <t>TERCEIRA ISLA</t>
  </si>
  <si>
    <t>PTVDC</t>
  </si>
  <si>
    <t>VIANA DO CASTELO</t>
  </si>
  <si>
    <t>PTVRL</t>
  </si>
  <si>
    <t>VRL</t>
  </si>
  <si>
    <t>VILA REAL DE SANTO ANTONIO</t>
  </si>
  <si>
    <t>PTVSE</t>
  </si>
  <si>
    <t>VSE</t>
  </si>
  <si>
    <t>VISEU</t>
  </si>
  <si>
    <t>PTZZZ</t>
  </si>
  <si>
    <t>PALAU</t>
  </si>
  <si>
    <t>パラオ</t>
  </si>
  <si>
    <t>PWROR</t>
  </si>
  <si>
    <t>PW</t>
  </si>
  <si>
    <t>KOROR</t>
  </si>
  <si>
    <t>PWZZZ</t>
  </si>
  <si>
    <t>PARAGUAY</t>
  </si>
  <si>
    <t>パラグアイ</t>
  </si>
  <si>
    <t>PYASU</t>
  </si>
  <si>
    <t>PY</t>
  </si>
  <si>
    <t>ASU</t>
  </si>
  <si>
    <t>ASUNCION</t>
  </si>
  <si>
    <t>PYCNP</t>
  </si>
  <si>
    <t>CNP</t>
  </si>
  <si>
    <t>PYECN</t>
  </si>
  <si>
    <t>ENCARNACION/PACU-CUA</t>
  </si>
  <si>
    <t>PYENO</t>
  </si>
  <si>
    <t>PYITE</t>
  </si>
  <si>
    <t>ITE</t>
  </si>
  <si>
    <t>ITA ENRAMADA</t>
  </si>
  <si>
    <t>PYPIL</t>
  </si>
  <si>
    <t>PILAR</t>
  </si>
  <si>
    <t>PYVLL</t>
  </si>
  <si>
    <t>VILLETA</t>
  </si>
  <si>
    <t>PYZZZ</t>
  </si>
  <si>
    <t>CIUDAD D ESTE</t>
  </si>
  <si>
    <t>AGT</t>
  </si>
  <si>
    <t>QATAR</t>
  </si>
  <si>
    <t>カタール</t>
  </si>
  <si>
    <t>QADOH</t>
  </si>
  <si>
    <t>QA</t>
  </si>
  <si>
    <t>DOH</t>
  </si>
  <si>
    <t>DOHA</t>
  </si>
  <si>
    <t>QAHAL</t>
  </si>
  <si>
    <t>HALUL</t>
  </si>
  <si>
    <t>QAHMD</t>
  </si>
  <si>
    <t>HAMAD</t>
  </si>
  <si>
    <t>QAHNA</t>
  </si>
  <si>
    <t>HANNA</t>
  </si>
  <si>
    <t>QAMES</t>
  </si>
  <si>
    <t>MESAIEED</t>
  </si>
  <si>
    <t>QARLF</t>
  </si>
  <si>
    <t>RLF</t>
  </si>
  <si>
    <t>RAS LAFFAN</t>
  </si>
  <si>
    <t>QAUMS</t>
  </si>
  <si>
    <t>UMS</t>
  </si>
  <si>
    <t>UMMSAID</t>
  </si>
  <si>
    <t>QAZZZ</t>
  </si>
  <si>
    <t>REUNION</t>
  </si>
  <si>
    <t>レユニオン（仏）</t>
  </si>
  <si>
    <t>REATM</t>
  </si>
  <si>
    <t>RE</t>
  </si>
  <si>
    <t>REPDG</t>
  </si>
  <si>
    <t>POINTE DES GALETS</t>
  </si>
  <si>
    <t>RERUN</t>
  </si>
  <si>
    <t>REUNION ISLAND</t>
  </si>
  <si>
    <t>REU I</t>
  </si>
  <si>
    <t>REZZZ</t>
  </si>
  <si>
    <t>ROMANIA</t>
  </si>
  <si>
    <t>ルーマニア</t>
  </si>
  <si>
    <t>ROARW</t>
  </si>
  <si>
    <t>RO</t>
  </si>
  <si>
    <t>ARW</t>
  </si>
  <si>
    <t>ARAD</t>
  </si>
  <si>
    <t>ROBAB</t>
  </si>
  <si>
    <t>BASARABI</t>
  </si>
  <si>
    <t>ROBAY</t>
  </si>
  <si>
    <t>BAIA MARE</t>
  </si>
  <si>
    <t>ROBBU</t>
  </si>
  <si>
    <t>BBU</t>
  </si>
  <si>
    <t>BUCURESTI-BANEASA APT</t>
  </si>
  <si>
    <t>ROBCM</t>
  </si>
  <si>
    <t>BCM</t>
  </si>
  <si>
    <t>BACAU</t>
  </si>
  <si>
    <t>ROBIT</t>
  </si>
  <si>
    <t>BISTRITA</t>
  </si>
  <si>
    <t>ROBOR</t>
  </si>
  <si>
    <t>BORS</t>
  </si>
  <si>
    <t>ROBOS</t>
  </si>
  <si>
    <t>BOTOSANI</t>
  </si>
  <si>
    <t>ROBRA</t>
  </si>
  <si>
    <t>BRAILA</t>
  </si>
  <si>
    <t>ROBRV</t>
  </si>
  <si>
    <t>BRASOV</t>
  </si>
  <si>
    <t>ROBUB</t>
  </si>
  <si>
    <t>BUCURESTI BASARAB</t>
  </si>
  <si>
    <t>ROBUH</t>
  </si>
  <si>
    <t>BUCHAREST</t>
  </si>
  <si>
    <t>ROBUI</t>
  </si>
  <si>
    <t>BUCURESTI INTREPOZITE</t>
  </si>
  <si>
    <t>ROBUN</t>
  </si>
  <si>
    <t>BUCURESTI NORD</t>
  </si>
  <si>
    <t>ROBUV</t>
  </si>
  <si>
    <t>BUCURESTI 50 VAMA</t>
  </si>
  <si>
    <t>ROBUZ</t>
  </si>
  <si>
    <t>BUZAU</t>
  </si>
  <si>
    <t>ROCAF</t>
  </si>
  <si>
    <t>CALAFAT</t>
  </si>
  <si>
    <t>ROCAR</t>
  </si>
  <si>
    <t>CAREI</t>
  </si>
  <si>
    <t>ROCAS</t>
  </si>
  <si>
    <t>CALARASI</t>
  </si>
  <si>
    <t>ROCEV</t>
  </si>
  <si>
    <t>CEV</t>
  </si>
  <si>
    <t>CERNAVODA</t>
  </si>
  <si>
    <t>ROCLJ</t>
  </si>
  <si>
    <t>CLUJ NAPOCA</t>
  </si>
  <si>
    <t>ROCND</t>
  </si>
  <si>
    <t>CND</t>
  </si>
  <si>
    <t>CONSTANTA</t>
  </si>
  <si>
    <t>ROCOB</t>
  </si>
  <si>
    <t>CORABIA</t>
  </si>
  <si>
    <t>ROCRA</t>
  </si>
  <si>
    <t>CRA</t>
  </si>
  <si>
    <t>CRAIOVA</t>
  </si>
  <si>
    <t>ROCSB</t>
  </si>
  <si>
    <t>CARANSEBES</t>
  </si>
  <si>
    <t>ROCUT</t>
  </si>
  <si>
    <t>CURTICI</t>
  </si>
  <si>
    <t>RODOR</t>
  </si>
  <si>
    <t>DORNESTI</t>
  </si>
  <si>
    <t>RODTS</t>
  </si>
  <si>
    <t>DTS</t>
  </si>
  <si>
    <t>DROBETA TURNU SEVERIN</t>
  </si>
  <si>
    <t>RODVA</t>
  </si>
  <si>
    <t>DVA</t>
  </si>
  <si>
    <t>DEVA</t>
  </si>
  <si>
    <t>ROEPB</t>
  </si>
  <si>
    <t>EPB</t>
  </si>
  <si>
    <t>EPISCOPIA BIHOR</t>
  </si>
  <si>
    <t>ROFAC</t>
  </si>
  <si>
    <t>FAC</t>
  </si>
  <si>
    <t>FALCIU</t>
  </si>
  <si>
    <t>ROFOS</t>
  </si>
  <si>
    <t>FOCSANI</t>
  </si>
  <si>
    <t>ROGAL</t>
  </si>
  <si>
    <t>GALATI</t>
  </si>
  <si>
    <t>ROGAT</t>
  </si>
  <si>
    <t>GALATI TRANSBORDARE</t>
  </si>
  <si>
    <t>ROGRG</t>
  </si>
  <si>
    <t>GIURGIU</t>
  </si>
  <si>
    <t>ROGRN</t>
  </si>
  <si>
    <t>GIURGIU NORD</t>
  </si>
  <si>
    <t>ROHAL</t>
  </si>
  <si>
    <t>HALMEU</t>
  </si>
  <si>
    <t>ROIAS</t>
  </si>
  <si>
    <t>IAS</t>
  </si>
  <si>
    <t>IASI</t>
  </si>
  <si>
    <t>ROJIL</t>
  </si>
  <si>
    <t>JIL</t>
  </si>
  <si>
    <t>JIMBOLIA</t>
  </si>
  <si>
    <t>ROMAG</t>
  </si>
  <si>
    <t>MANGALIA</t>
  </si>
  <si>
    <t>ROMED</t>
  </si>
  <si>
    <t>MED</t>
  </si>
  <si>
    <t>MEDGIDIA</t>
  </si>
  <si>
    <t>ROMID</t>
  </si>
  <si>
    <t>MIDIA</t>
  </si>
  <si>
    <t>ROMOV</t>
  </si>
  <si>
    <t>MOLDOVA VECHE</t>
  </si>
  <si>
    <t>RONAD</t>
  </si>
  <si>
    <t>NAIDAS</t>
  </si>
  <si>
    <t>RONEV</t>
  </si>
  <si>
    <t>NEGRU VODA</t>
  </si>
  <si>
    <t>RONIB</t>
  </si>
  <si>
    <t>NIB</t>
  </si>
  <si>
    <t>NICOLAE BALCESCU</t>
  </si>
  <si>
    <t>RONIN</t>
  </si>
  <si>
    <t>NICOLINA</t>
  </si>
  <si>
    <t>ROOLT</t>
  </si>
  <si>
    <t>OLTENITA</t>
  </si>
  <si>
    <t>ROOMR</t>
  </si>
  <si>
    <t>ORADEA</t>
  </si>
  <si>
    <t>ROORV</t>
  </si>
  <si>
    <t>ORV</t>
  </si>
  <si>
    <t>ORSOVA</t>
  </si>
  <si>
    <t>ROOTP</t>
  </si>
  <si>
    <t>OTP</t>
  </si>
  <si>
    <t>OTOPENI APT-BUCURESTI</t>
  </si>
  <si>
    <t>ROPFD</t>
  </si>
  <si>
    <t>PFD</t>
  </si>
  <si>
    <t>PORTILE DE FIER DOI</t>
  </si>
  <si>
    <t>ROPFU</t>
  </si>
  <si>
    <t>PFU</t>
  </si>
  <si>
    <t>PORTILE DE FIER UNU</t>
  </si>
  <si>
    <t>ROPIN</t>
  </si>
  <si>
    <t>PIATRA NEAMT</t>
  </si>
  <si>
    <t>ROPIT</t>
  </si>
  <si>
    <t>PIT</t>
  </si>
  <si>
    <t>PITESTI</t>
  </si>
  <si>
    <t>ROPLT</t>
  </si>
  <si>
    <t>PLOIESTI TRIAJ</t>
  </si>
  <si>
    <t>RORAU</t>
  </si>
  <si>
    <t>RADAUTI</t>
  </si>
  <si>
    <t>ROREN</t>
  </si>
  <si>
    <t>RESITA NORD</t>
  </si>
  <si>
    <t>RORES</t>
  </si>
  <si>
    <t>RESITA SUD</t>
  </si>
  <si>
    <t>RORIV</t>
  </si>
  <si>
    <t>RIV</t>
  </si>
  <si>
    <t>RIMNICU VILCEA</t>
  </si>
  <si>
    <t>ROSAT</t>
  </si>
  <si>
    <t>SALONTA</t>
  </si>
  <si>
    <t>ROSBZ</t>
  </si>
  <si>
    <t>SBZ</t>
  </si>
  <si>
    <t>SIBIU</t>
  </si>
  <si>
    <t>ROSCV</t>
  </si>
  <si>
    <t>SCV</t>
  </si>
  <si>
    <t>SUCEAVA</t>
  </si>
  <si>
    <t>ROSIM</t>
  </si>
  <si>
    <t>SIGHETU MARMATIEI</t>
  </si>
  <si>
    <t>ROSIT</t>
  </si>
  <si>
    <t>SIMERIA TRIAJ</t>
  </si>
  <si>
    <t>ROSOL</t>
  </si>
  <si>
    <t>SOCOLA</t>
  </si>
  <si>
    <t>ROSOM</t>
  </si>
  <si>
    <t>SOMESENI</t>
  </si>
  <si>
    <t>ROSTM</t>
  </si>
  <si>
    <t>STAMORA MORAVITA</t>
  </si>
  <si>
    <t>ROSUJ</t>
  </si>
  <si>
    <t>SUJ</t>
  </si>
  <si>
    <t>SATU MARE</t>
  </si>
  <si>
    <t>ROSUL</t>
  </si>
  <si>
    <t>SULINA (PORT ET ZONEFRANCHE)</t>
  </si>
  <si>
    <t>ROSUN</t>
  </si>
  <si>
    <t>SUCEAVA NORD</t>
  </si>
  <si>
    <t>ROTCE</t>
  </si>
  <si>
    <t>TCE</t>
  </si>
  <si>
    <t>TULCEA</t>
  </si>
  <si>
    <t>ROTGM</t>
  </si>
  <si>
    <t>TIRGU MURES</t>
  </si>
  <si>
    <t>ROTSN</t>
  </si>
  <si>
    <t>TIMISOARA NORD</t>
  </si>
  <si>
    <t>ROTSR</t>
  </si>
  <si>
    <t>TIMISOARA</t>
  </si>
  <si>
    <t>ROTUM</t>
  </si>
  <si>
    <t>TURNU MAGURELE</t>
  </si>
  <si>
    <t>ROVAM</t>
  </si>
  <si>
    <t>VALEA LUIMIHAI</t>
  </si>
  <si>
    <t>ROVAS</t>
  </si>
  <si>
    <t>VARSAND</t>
  </si>
  <si>
    <t>ROVAV</t>
  </si>
  <si>
    <t>VAV</t>
  </si>
  <si>
    <t>VAMA VECHE</t>
  </si>
  <si>
    <t>ROVIS</t>
  </si>
  <si>
    <t>VICSANI</t>
  </si>
  <si>
    <t>ROZIC</t>
  </si>
  <si>
    <t>ZIMNICEA</t>
  </si>
  <si>
    <t>ROZZZ</t>
  </si>
  <si>
    <t>SERBIA</t>
  </si>
  <si>
    <t>セルビア</t>
  </si>
  <si>
    <t>RSBEG</t>
  </si>
  <si>
    <t>RS</t>
  </si>
  <si>
    <t>BELGRADE(BEOGRAD)</t>
  </si>
  <si>
    <t>SERBI</t>
  </si>
  <si>
    <t>RSINI</t>
  </si>
  <si>
    <t>RSPRN</t>
  </si>
  <si>
    <t>PRISTINA</t>
  </si>
  <si>
    <t>RSZZZ</t>
  </si>
  <si>
    <t>RUSSIAN FEDERATION</t>
  </si>
  <si>
    <t>ロシア</t>
  </si>
  <si>
    <t>RUAER</t>
  </si>
  <si>
    <t>RU</t>
  </si>
  <si>
    <t>AER</t>
  </si>
  <si>
    <t>SOCHI-ADLER APT</t>
  </si>
  <si>
    <t>RUSSI</t>
  </si>
  <si>
    <t>RUARH</t>
  </si>
  <si>
    <t>ARKHANGELSK</t>
  </si>
  <si>
    <t>RUASF</t>
  </si>
  <si>
    <t>ASF</t>
  </si>
  <si>
    <t>ASTRAKHAN</t>
  </si>
  <si>
    <t>RUAZO</t>
  </si>
  <si>
    <t>AZO</t>
  </si>
  <si>
    <t>AZOV</t>
  </si>
  <si>
    <t>RUBEL</t>
  </si>
  <si>
    <t>BELUSHYE</t>
  </si>
  <si>
    <t>RUBEM</t>
  </si>
  <si>
    <t>BELOMORSK</t>
  </si>
  <si>
    <t>RUBER</t>
  </si>
  <si>
    <t>BERINGOVSKIY-PORT</t>
  </si>
  <si>
    <t>RUBGR</t>
  </si>
  <si>
    <t>BAGRATIONOVSK</t>
  </si>
  <si>
    <t>RUBIY</t>
  </si>
  <si>
    <t>BIYSK</t>
  </si>
  <si>
    <t>RUBLT</t>
  </si>
  <si>
    <t>BALTIYSK</t>
  </si>
  <si>
    <t>RUBTK</t>
  </si>
  <si>
    <t>BTK</t>
  </si>
  <si>
    <t>BRATSK</t>
  </si>
  <si>
    <t>RUCEE</t>
  </si>
  <si>
    <t>CEE</t>
  </si>
  <si>
    <t>CHEREPOVETS</t>
  </si>
  <si>
    <t>RUDKA</t>
  </si>
  <si>
    <t>DKA</t>
  </si>
  <si>
    <t>DE-KASTRI</t>
  </si>
  <si>
    <t>RUDME</t>
  </si>
  <si>
    <t>MOSCOW-DOMODEDOVO APT</t>
  </si>
  <si>
    <t>RUDUD</t>
  </si>
  <si>
    <t>DUDINKA</t>
  </si>
  <si>
    <t>RUDYR</t>
  </si>
  <si>
    <t>DYR</t>
  </si>
  <si>
    <t>ANADYR</t>
  </si>
  <si>
    <t>RUEGV</t>
  </si>
  <si>
    <t>EGV</t>
  </si>
  <si>
    <t>EGVEKINOT</t>
  </si>
  <si>
    <t>RUGDX</t>
  </si>
  <si>
    <t>GDX</t>
  </si>
  <si>
    <t>MAGADAN</t>
  </si>
  <si>
    <t>RUGRH</t>
  </si>
  <si>
    <t>GREMIKHA</t>
  </si>
  <si>
    <t>RUIAA</t>
  </si>
  <si>
    <t>IAA</t>
  </si>
  <si>
    <t>IGARKA</t>
  </si>
  <si>
    <t>RUIAR</t>
  </si>
  <si>
    <t>IAR</t>
  </si>
  <si>
    <t>YAROSLAVL</t>
  </si>
  <si>
    <t>RUIKS</t>
  </si>
  <si>
    <t>TIKSI</t>
  </si>
  <si>
    <t>RUIKT</t>
  </si>
  <si>
    <t>IRKUTSK</t>
  </si>
  <si>
    <t>RUIOK</t>
  </si>
  <si>
    <t>IOKANGA</t>
  </si>
  <si>
    <t>RUKAN</t>
  </si>
  <si>
    <t>KANDALAKSHA</t>
  </si>
  <si>
    <t>RUKEM</t>
  </si>
  <si>
    <t>RUKER</t>
  </si>
  <si>
    <t>KERET</t>
  </si>
  <si>
    <t>RUKGD</t>
  </si>
  <si>
    <t>KGD</t>
  </si>
  <si>
    <t>KALININGRAD</t>
  </si>
  <si>
    <t>RUKHO</t>
  </si>
  <si>
    <t>KHOLMSK</t>
  </si>
  <si>
    <t>RUKHV</t>
  </si>
  <si>
    <t>KHV</t>
  </si>
  <si>
    <t>KHABAROVSK</t>
  </si>
  <si>
    <t>RUKIN</t>
  </si>
  <si>
    <t>KINESHMA</t>
  </si>
  <si>
    <t>RUKJA</t>
  </si>
  <si>
    <t>KRASNOJARSK</t>
  </si>
  <si>
    <t>RUKLD</t>
  </si>
  <si>
    <t>KLD</t>
  </si>
  <si>
    <t>RUKMU</t>
  </si>
  <si>
    <t>KAMSKOYE USTYE</t>
  </si>
  <si>
    <t>RUKMV</t>
  </si>
  <si>
    <t>VELIKAYA KEMA</t>
  </si>
  <si>
    <t>RUKOR</t>
  </si>
  <si>
    <t>KORSAKOV</t>
  </si>
  <si>
    <t>RUKRR</t>
  </si>
  <si>
    <t>KRASNODAR</t>
  </si>
  <si>
    <t>RUKSL</t>
  </si>
  <si>
    <t>KISLAYA GUBA</t>
  </si>
  <si>
    <t>RUKUL</t>
  </si>
  <si>
    <t>KULTUK</t>
  </si>
  <si>
    <t>RUKZN</t>
  </si>
  <si>
    <t>KZN</t>
  </si>
  <si>
    <t>KAZAN</t>
  </si>
  <si>
    <t>RULAZ</t>
  </si>
  <si>
    <t>LAZAREV</t>
  </si>
  <si>
    <t>RULED</t>
  </si>
  <si>
    <t>LED</t>
  </si>
  <si>
    <t>ST PETERSBURG</t>
  </si>
  <si>
    <t>RUMAG</t>
  </si>
  <si>
    <t>MAGADANSKY PORT</t>
  </si>
  <si>
    <t>RUMCX</t>
  </si>
  <si>
    <t>MCX</t>
  </si>
  <si>
    <t>MAKHACHKALA</t>
  </si>
  <si>
    <t>RUMEG</t>
  </si>
  <si>
    <t>MEDVEZHYEGORSK</t>
  </si>
  <si>
    <t>RUMEZ</t>
  </si>
  <si>
    <t>MEZ</t>
  </si>
  <si>
    <t>MEZEN</t>
  </si>
  <si>
    <t>RUMGO</t>
  </si>
  <si>
    <t>MAGO</t>
  </si>
  <si>
    <t>RUMMK</t>
  </si>
  <si>
    <t>MMK</t>
  </si>
  <si>
    <t>MURMANSK</t>
  </si>
  <si>
    <t>RUMMO</t>
  </si>
  <si>
    <t>MAMONOVA</t>
  </si>
  <si>
    <t>RUMND</t>
  </si>
  <si>
    <t>MONDY</t>
  </si>
  <si>
    <t>RUMOW</t>
  </si>
  <si>
    <t>MOW</t>
  </si>
  <si>
    <t>MOSCOW</t>
  </si>
  <si>
    <t>RUMRV</t>
  </si>
  <si>
    <t>MINERAL NYYE</t>
  </si>
  <si>
    <t>RUMVO</t>
  </si>
  <si>
    <t>MVO</t>
  </si>
  <si>
    <t>MOSKALVO</t>
  </si>
  <si>
    <t>RUNAC</t>
  </si>
  <si>
    <t>NABERZHNIYE CHELNY</t>
  </si>
  <si>
    <t>RUNEV</t>
  </si>
  <si>
    <t>NEVELSK</t>
  </si>
  <si>
    <t>RUNIA</t>
  </si>
  <si>
    <t>NIKOLAEVSK-NA-AMURE</t>
  </si>
  <si>
    <t>RUNJK</t>
  </si>
  <si>
    <t>NJK</t>
  </si>
  <si>
    <t>NAKHODKA</t>
  </si>
  <si>
    <t>RUNKI</t>
  </si>
  <si>
    <t>NKI</t>
  </si>
  <si>
    <t>NAUSHKI</t>
  </si>
  <si>
    <t>RUNNM</t>
  </si>
  <si>
    <t>NNM</t>
  </si>
  <si>
    <t>NARYAN MAR</t>
  </si>
  <si>
    <t>RUNOZ</t>
  </si>
  <si>
    <t>NOZ</t>
  </si>
  <si>
    <t>NOVAYA ZEMLYA-O.</t>
  </si>
  <si>
    <t>RUNVS</t>
  </si>
  <si>
    <t>NOVOROSSIYSK</t>
  </si>
  <si>
    <t>RUOHO</t>
  </si>
  <si>
    <t>OKHOTSK</t>
  </si>
  <si>
    <t>RUOKT</t>
  </si>
  <si>
    <t>OKTYABRSKIY</t>
  </si>
  <si>
    <t>RUOLB</t>
  </si>
  <si>
    <t>BUKHTA OLGA</t>
  </si>
  <si>
    <t>RUOLG</t>
  </si>
  <si>
    <t>OLG</t>
  </si>
  <si>
    <t>OLENYA-GUBA</t>
  </si>
  <si>
    <t>RUOLO</t>
  </si>
  <si>
    <t>OLENIY-O.</t>
  </si>
  <si>
    <t>RUOMS</t>
  </si>
  <si>
    <t>OMSK</t>
  </si>
  <si>
    <t>RUONG</t>
  </si>
  <si>
    <t>ONEGA</t>
  </si>
  <si>
    <t>RUOVB</t>
  </si>
  <si>
    <t>OVB</t>
  </si>
  <si>
    <t>NOVOSIBIRSK-TOLMACHEVO APT</t>
  </si>
  <si>
    <t>RUPCE</t>
  </si>
  <si>
    <t>PCE</t>
  </si>
  <si>
    <t>PECHENGA</t>
  </si>
  <si>
    <t>RUPEK</t>
  </si>
  <si>
    <t>PETROKREPOST</t>
  </si>
  <si>
    <t>RUPES</t>
  </si>
  <si>
    <t>PETROZAVODSK</t>
  </si>
  <si>
    <t>RUPEX</t>
  </si>
  <si>
    <t>PECHORA</t>
  </si>
  <si>
    <t>RUPKC</t>
  </si>
  <si>
    <t>PKC</t>
  </si>
  <si>
    <t>PETROPAVLOVSK-KAMCHATSKIY</t>
  </si>
  <si>
    <t>RUPRB</t>
  </si>
  <si>
    <t>PROVIDENIYA-BUKHTA</t>
  </si>
  <si>
    <t>RUPRN</t>
  </si>
  <si>
    <t>PORONAISK</t>
  </si>
  <si>
    <t>RUPSE</t>
  </si>
  <si>
    <t>POSYET</t>
  </si>
  <si>
    <t>RUPTN</t>
  </si>
  <si>
    <t>PTN</t>
  </si>
  <si>
    <t>PLASTUN</t>
  </si>
  <si>
    <t>RUPUD</t>
  </si>
  <si>
    <t>PUDOZH</t>
  </si>
  <si>
    <t>RUPWE</t>
  </si>
  <si>
    <t>PEVEK</t>
  </si>
  <si>
    <t>RURDP</t>
  </si>
  <si>
    <t>RDP</t>
  </si>
  <si>
    <t>RUDNAYA PRISTAN</t>
  </si>
  <si>
    <t>RUROV</t>
  </si>
  <si>
    <t>ROSTOV</t>
  </si>
  <si>
    <t>RURYB</t>
  </si>
  <si>
    <t>RYB</t>
  </si>
  <si>
    <t>RYBINSK</t>
  </si>
  <si>
    <t>RUSEG</t>
  </si>
  <si>
    <t>SEGEZHA</t>
  </si>
  <si>
    <t>RUSEW</t>
  </si>
  <si>
    <t>SEVERODVINSK</t>
  </si>
  <si>
    <t>RUSHA</t>
  </si>
  <si>
    <t>SHAKHTERSK</t>
  </si>
  <si>
    <t>RUSKA</t>
  </si>
  <si>
    <t>SLAVYANKA</t>
  </si>
  <si>
    <t>RUSLV</t>
  </si>
  <si>
    <t>SLV</t>
  </si>
  <si>
    <t>SOLOVYEVSK</t>
  </si>
  <si>
    <t>RUSOC</t>
  </si>
  <si>
    <t>SOCHI</t>
  </si>
  <si>
    <t>RUSOG</t>
  </si>
  <si>
    <t>SOVETSKAYA GAVAN</t>
  </si>
  <si>
    <t>RUSPP</t>
  </si>
  <si>
    <t>SAINT PETERSBURG PETROLESPORT</t>
  </si>
  <si>
    <t>RUSRM</t>
  </si>
  <si>
    <t>SRM</t>
  </si>
  <si>
    <t>SEVEROMORSK</t>
  </si>
  <si>
    <t>RUSTW</t>
  </si>
  <si>
    <t>STAVROPOL</t>
  </si>
  <si>
    <t>RUSVE</t>
  </si>
  <si>
    <t>SVETLAYA</t>
  </si>
  <si>
    <t>RUSVK</t>
  </si>
  <si>
    <t>SEVERO-KURILSK</t>
  </si>
  <si>
    <t>RUSVO</t>
  </si>
  <si>
    <t>SVO</t>
  </si>
  <si>
    <t>MOSCOW-SHEREMETYEVOAPT</t>
  </si>
  <si>
    <t>RUSYZ</t>
  </si>
  <si>
    <t>SYZRAN</t>
  </si>
  <si>
    <t>RUTAG</t>
  </si>
  <si>
    <t>TAGANROG</t>
  </si>
  <si>
    <t>RUTTI</t>
  </si>
  <si>
    <t>TOLYATTI</t>
  </si>
  <si>
    <t>RUTUA</t>
  </si>
  <si>
    <t>TUAPSE</t>
  </si>
  <si>
    <t>RUUGL</t>
  </si>
  <si>
    <t>UGL</t>
  </si>
  <si>
    <t>UGLEGORSK</t>
  </si>
  <si>
    <t>RUUKK</t>
  </si>
  <si>
    <t>UKK</t>
  </si>
  <si>
    <t>UST-KAMCHATSK</t>
  </si>
  <si>
    <t>RUULY</t>
  </si>
  <si>
    <t>ULYANOVSK</t>
  </si>
  <si>
    <t>RUUMB</t>
  </si>
  <si>
    <t>UMBA</t>
  </si>
  <si>
    <t>RUURA</t>
  </si>
  <si>
    <t>URA GUBA</t>
  </si>
  <si>
    <t>RUUSK</t>
  </si>
  <si>
    <t>USINSK</t>
  </si>
  <si>
    <t>RUUUS</t>
  </si>
  <si>
    <t>UUS</t>
  </si>
  <si>
    <t>YUZHNO-SAKHAL</t>
  </si>
  <si>
    <t>RUVKO</t>
  </si>
  <si>
    <t>VKO</t>
  </si>
  <si>
    <t>MOSCOW-VNUKOVO APT</t>
  </si>
  <si>
    <t>RUVNN</t>
  </si>
  <si>
    <t>VNN</t>
  </si>
  <si>
    <t>VANINO</t>
  </si>
  <si>
    <t>RUVOG</t>
  </si>
  <si>
    <t>VOG</t>
  </si>
  <si>
    <t>VOLGOGRAD</t>
  </si>
  <si>
    <t>RUVVO</t>
  </si>
  <si>
    <t>VVO</t>
  </si>
  <si>
    <t>VLADIVOSTOK</t>
  </si>
  <si>
    <t>RUVYG</t>
  </si>
  <si>
    <t>VYG</t>
  </si>
  <si>
    <t>VYBORG</t>
  </si>
  <si>
    <t>RUVYP</t>
  </si>
  <si>
    <t>VYP</t>
  </si>
  <si>
    <t>VOSTOCHNYY PORT</t>
  </si>
  <si>
    <t>RUVZB</t>
  </si>
  <si>
    <t>VZB</t>
  </si>
  <si>
    <t>VOZROZHDENIYA-BUKHTA</t>
  </si>
  <si>
    <t>RUZAO</t>
  </si>
  <si>
    <t>ZAVYALOVA-O</t>
  </si>
  <si>
    <t>RUZAR</t>
  </si>
  <si>
    <t>ZARUBINO</t>
  </si>
  <si>
    <t>RUZBK</t>
  </si>
  <si>
    <t>ZABAIKALSK</t>
  </si>
  <si>
    <t>RUZZZ</t>
  </si>
  <si>
    <t>ABAKAN</t>
  </si>
  <si>
    <t>NIZHNIY NOVGO</t>
  </si>
  <si>
    <t>GOJ</t>
  </si>
  <si>
    <t>SAKKYRYR AIRPORT</t>
  </si>
  <si>
    <t>EKATERINBURG</t>
  </si>
  <si>
    <t>SVX</t>
  </si>
  <si>
    <t>YAKUTSK</t>
  </si>
  <si>
    <t>RWANDA</t>
  </si>
  <si>
    <t>ルワンダ</t>
  </si>
  <si>
    <t>RWBTQ</t>
  </si>
  <si>
    <t>RW</t>
  </si>
  <si>
    <t>BTQ</t>
  </si>
  <si>
    <t>BUTARE</t>
  </si>
  <si>
    <t>RWAN</t>
  </si>
  <si>
    <t>RWGYI</t>
  </si>
  <si>
    <t>GYI</t>
  </si>
  <si>
    <t>GISENYI</t>
  </si>
  <si>
    <t>RWKGL</t>
  </si>
  <si>
    <t>KGL</t>
  </si>
  <si>
    <t>KIGALI</t>
  </si>
  <si>
    <t>RWKME</t>
  </si>
  <si>
    <t>KAMEMBE</t>
  </si>
  <si>
    <t>RWRHG</t>
  </si>
  <si>
    <t>RHG</t>
  </si>
  <si>
    <t>RUHENGERI</t>
  </si>
  <si>
    <t>RWZZZ</t>
  </si>
  <si>
    <t>SAUDI ARABIA</t>
  </si>
  <si>
    <t>サウジアラビア</t>
  </si>
  <si>
    <t>SAAAK</t>
  </si>
  <si>
    <t>SA</t>
  </si>
  <si>
    <t>ABU AL KHOOSH</t>
  </si>
  <si>
    <t>SAAHA</t>
  </si>
  <si>
    <t>AHA</t>
  </si>
  <si>
    <t>AL HADA</t>
  </si>
  <si>
    <t>SAAHB</t>
  </si>
  <si>
    <t>AHB</t>
  </si>
  <si>
    <t>ABHA</t>
  </si>
  <si>
    <t>SAUDI</t>
  </si>
  <si>
    <t>SAAJF</t>
  </si>
  <si>
    <t>AJF</t>
  </si>
  <si>
    <t>JOUF</t>
  </si>
  <si>
    <t>SAAQI</t>
  </si>
  <si>
    <t>AQI</t>
  </si>
  <si>
    <t>QAISUMAH</t>
  </si>
  <si>
    <t>SAAWI</t>
  </si>
  <si>
    <t>AWI</t>
  </si>
  <si>
    <t>WAISUMAH</t>
  </si>
  <si>
    <t>SABDN</t>
  </si>
  <si>
    <t>BDN</t>
  </si>
  <si>
    <t>BADANA</t>
  </si>
  <si>
    <t>SABHH</t>
  </si>
  <si>
    <t>BISHA</t>
  </si>
  <si>
    <t>SADAS</t>
  </si>
  <si>
    <t>SADHA</t>
  </si>
  <si>
    <t>DHA</t>
  </si>
  <si>
    <t>DHAHRAN</t>
  </si>
  <si>
    <t>SADMM</t>
  </si>
  <si>
    <t>DMM</t>
  </si>
  <si>
    <t>DAMMAM</t>
  </si>
  <si>
    <t>SAEAM</t>
  </si>
  <si>
    <t>EAM</t>
  </si>
  <si>
    <t>NEJRAN</t>
  </si>
  <si>
    <t>SAEJH</t>
  </si>
  <si>
    <t>EJH</t>
  </si>
  <si>
    <t>WEDJH</t>
  </si>
  <si>
    <t>SAELQ</t>
  </si>
  <si>
    <t>ELQ</t>
  </si>
  <si>
    <t>GASSIM</t>
  </si>
  <si>
    <t>SAGIZ</t>
  </si>
  <si>
    <t>GIZ</t>
  </si>
  <si>
    <t>GIZAN</t>
  </si>
  <si>
    <t>SAHAS</t>
  </si>
  <si>
    <t>HAIL</t>
  </si>
  <si>
    <t>SAHOF</t>
  </si>
  <si>
    <t>HAFUF</t>
  </si>
  <si>
    <t>SAIEB</t>
  </si>
  <si>
    <t>IEB</t>
  </si>
  <si>
    <t>IENBO</t>
  </si>
  <si>
    <t>SAJED</t>
  </si>
  <si>
    <t>JEDDAH</t>
  </si>
  <si>
    <t>SAJUB</t>
  </si>
  <si>
    <t>JUB</t>
  </si>
  <si>
    <t>JUBAIL</t>
  </si>
  <si>
    <t>SAKAC</t>
  </si>
  <si>
    <t>KING ABDULLAH CITY</t>
  </si>
  <si>
    <t>SALIT</t>
  </si>
  <si>
    <t>LITH</t>
  </si>
  <si>
    <t>SAMAK</t>
  </si>
  <si>
    <t>MAKKAH</t>
  </si>
  <si>
    <t>SAMAN</t>
  </si>
  <si>
    <t>MANAILIH</t>
  </si>
  <si>
    <t>SAMED</t>
  </si>
  <si>
    <t>SAMJH</t>
  </si>
  <si>
    <t>MJH</t>
  </si>
  <si>
    <t>MAJMA</t>
  </si>
  <si>
    <t>SAMUF</t>
  </si>
  <si>
    <t>MANFOUHA</t>
  </si>
  <si>
    <t>SAQAL</t>
  </si>
  <si>
    <t>QAL</t>
  </si>
  <si>
    <t>QALSN</t>
  </si>
  <si>
    <t>SAQUR</t>
  </si>
  <si>
    <t>QUR</t>
  </si>
  <si>
    <t>QURAYYAH</t>
  </si>
  <si>
    <t>SARAB</t>
  </si>
  <si>
    <t>RABIGH</t>
  </si>
  <si>
    <t>SARAE</t>
  </si>
  <si>
    <t>RAE</t>
  </si>
  <si>
    <t>ARAR</t>
  </si>
  <si>
    <t>SARAH</t>
  </si>
  <si>
    <t>RAFHA</t>
  </si>
  <si>
    <t>SARAM</t>
  </si>
  <si>
    <t>RAS AL MISH AB</t>
  </si>
  <si>
    <t>SARAR</t>
  </si>
  <si>
    <t>RAS AL KHAFJI</t>
  </si>
  <si>
    <t>SARTA</t>
  </si>
  <si>
    <t>RAS TANURA</t>
  </si>
  <si>
    <t>SARUH</t>
  </si>
  <si>
    <t>RUH</t>
  </si>
  <si>
    <t>RIYADH</t>
  </si>
  <si>
    <t>SASHW</t>
  </si>
  <si>
    <t>SHW</t>
  </si>
  <si>
    <t>SHARAWRAH</t>
  </si>
  <si>
    <t>SASUH</t>
  </si>
  <si>
    <t>SALBOUKH</t>
  </si>
  <si>
    <t>SATIF</t>
  </si>
  <si>
    <t>TIF</t>
  </si>
  <si>
    <t>TAIF</t>
  </si>
  <si>
    <t>SATUI</t>
  </si>
  <si>
    <t>TURAIF</t>
  </si>
  <si>
    <t>SATUU</t>
  </si>
  <si>
    <t>TABUK</t>
  </si>
  <si>
    <t>SAURY</t>
  </si>
  <si>
    <t>URY</t>
  </si>
  <si>
    <t>GURAYAT</t>
  </si>
  <si>
    <t>SAUZH</t>
  </si>
  <si>
    <t>UZH</t>
  </si>
  <si>
    <t>UNAYZAH</t>
  </si>
  <si>
    <t>SAVLA</t>
  </si>
  <si>
    <t>UMM LAJI</t>
  </si>
  <si>
    <t>SAYNB</t>
  </si>
  <si>
    <t>YNB</t>
  </si>
  <si>
    <t>YANBU AL-BAHR</t>
  </si>
  <si>
    <t>SAZUL</t>
  </si>
  <si>
    <t>ZUL</t>
  </si>
  <si>
    <t>ZILFI</t>
  </si>
  <si>
    <t>SAZUY</t>
  </si>
  <si>
    <t>ZUY</t>
  </si>
  <si>
    <t>ZULAYFAYN</t>
  </si>
  <si>
    <t>SAZZZ</t>
  </si>
  <si>
    <t>SULAYEL</t>
  </si>
  <si>
    <t>SLF</t>
  </si>
  <si>
    <t>SOLOMON ISLANDS</t>
  </si>
  <si>
    <t>ソロモン</t>
  </si>
  <si>
    <t>SBAKS</t>
  </si>
  <si>
    <t>SB</t>
  </si>
  <si>
    <t>AKS</t>
  </si>
  <si>
    <t>AUKI - MALAITA ISLAND</t>
  </si>
  <si>
    <t>SOL I</t>
  </si>
  <si>
    <t>SBAVU</t>
  </si>
  <si>
    <t>AVU</t>
  </si>
  <si>
    <t>AVU AVU - GUADALCANAL ISLAND</t>
  </si>
  <si>
    <t>SBBAS</t>
  </si>
  <si>
    <t>BALALAE - SHORTLANDISLANDS</t>
  </si>
  <si>
    <t>SBBNY</t>
  </si>
  <si>
    <t>BNY</t>
  </si>
  <si>
    <t>BELLONA ISLAND</t>
  </si>
  <si>
    <t>SBCHY</t>
  </si>
  <si>
    <t>CHOISEUL BAY - CHOISEUL ISLAND</t>
  </si>
  <si>
    <t>SBEGM</t>
  </si>
  <si>
    <t>EGM</t>
  </si>
  <si>
    <t>SEGE - NEW GEORGIA</t>
  </si>
  <si>
    <t>SBFRE</t>
  </si>
  <si>
    <t>FERA ISLAND - SANTAISABEL ISLAND</t>
  </si>
  <si>
    <t>SBGZO</t>
  </si>
  <si>
    <t>GZO</t>
  </si>
  <si>
    <t>GIZO ISLAND</t>
  </si>
  <si>
    <t>SBHIR</t>
  </si>
  <si>
    <t>HONIARA - GUADALCANAL ISLAND</t>
  </si>
  <si>
    <t>SBIRA</t>
  </si>
  <si>
    <t>IRA</t>
  </si>
  <si>
    <t>KIRA KIRA - SAN CRISTOBAL ISLAND</t>
  </si>
  <si>
    <t>SBKWR</t>
  </si>
  <si>
    <t>KWAI HARBOUR</t>
  </si>
  <si>
    <t>SBLEV</t>
  </si>
  <si>
    <t>LEVER HARBOUR - NEWGEORGIA</t>
  </si>
  <si>
    <t>SBMBU</t>
  </si>
  <si>
    <t>MBU</t>
  </si>
  <si>
    <t>MBAMBANAKIRA - GUADALCANAL ISLAND</t>
  </si>
  <si>
    <t>SBMNY</t>
  </si>
  <si>
    <t>MONO</t>
  </si>
  <si>
    <t>SBMUA</t>
  </si>
  <si>
    <t>MUNDA - NEW GEORGIA</t>
  </si>
  <si>
    <t>SBNOR</t>
  </si>
  <si>
    <t>NORO - NEW GEORGIA</t>
  </si>
  <si>
    <t>SBONE</t>
  </si>
  <si>
    <t>ONEPUSA - MALAITA ISLAND</t>
  </si>
  <si>
    <t>SBPRS</t>
  </si>
  <si>
    <t>PARASI - MALAITA ISLAND</t>
  </si>
  <si>
    <t>SBRIN</t>
  </si>
  <si>
    <t>RINGI COVE - KOLOMBANGARA</t>
  </si>
  <si>
    <t>SBRNL</t>
  </si>
  <si>
    <t>RNL</t>
  </si>
  <si>
    <t>RENNELL ISLAND</t>
  </si>
  <si>
    <t>SBRRI</t>
  </si>
  <si>
    <t>BARORA</t>
  </si>
  <si>
    <t>SBRUS</t>
  </si>
  <si>
    <t>RUS</t>
  </si>
  <si>
    <t>MARAU SOUND - GUADALCANAL ISLAND</t>
  </si>
  <si>
    <t>SBSCZ</t>
  </si>
  <si>
    <t>SCZ</t>
  </si>
  <si>
    <t>SANTA CRUZ ISLAND</t>
  </si>
  <si>
    <t>SBSHH</t>
  </si>
  <si>
    <t>SHORTLAND HARBOUR -SHORTLAND ISL.</t>
  </si>
  <si>
    <t>SBSSG</t>
  </si>
  <si>
    <t>ALLARDYCE HARBOUR -SANTA ISABEL IS</t>
  </si>
  <si>
    <t>SBTAA</t>
  </si>
  <si>
    <t>TARAPAINA</t>
  </si>
  <si>
    <t>SBTLG</t>
  </si>
  <si>
    <t>TULAGINGELLA</t>
  </si>
  <si>
    <t>SBVEV</t>
  </si>
  <si>
    <t>VEV</t>
  </si>
  <si>
    <t>BARAKOMA</t>
  </si>
  <si>
    <t>SBXYA</t>
  </si>
  <si>
    <t>YANDINA - PAVUVU ISLAND</t>
  </si>
  <si>
    <t>SBZZZ</t>
  </si>
  <si>
    <t>GUADALCANAL</t>
  </si>
  <si>
    <t>GSI</t>
  </si>
  <si>
    <t>SEYCHELLES</t>
  </si>
  <si>
    <t>セーシェル</t>
  </si>
  <si>
    <t>SCBDI</t>
  </si>
  <si>
    <t>SC</t>
  </si>
  <si>
    <t>BDI</t>
  </si>
  <si>
    <t>BIRD ISLAND</t>
  </si>
  <si>
    <t>SEY I</t>
  </si>
  <si>
    <t>SCDEI</t>
  </si>
  <si>
    <t>DEI</t>
  </si>
  <si>
    <t>DENIS ISLAND</t>
  </si>
  <si>
    <t>SCMAW</t>
  </si>
  <si>
    <t>SCPOV</t>
  </si>
  <si>
    <t>PORT VICTORIA</t>
  </si>
  <si>
    <t>SCPRI</t>
  </si>
  <si>
    <t>PRASLIN ISLAND</t>
  </si>
  <si>
    <t>SCSEZ</t>
  </si>
  <si>
    <t>MAHE ISLAND APT</t>
  </si>
  <si>
    <t>SCZZZ</t>
  </si>
  <si>
    <t>SUDAN</t>
  </si>
  <si>
    <t>スーダン</t>
  </si>
  <si>
    <t>SDATB</t>
  </si>
  <si>
    <t>SD</t>
  </si>
  <si>
    <t>ATB</t>
  </si>
  <si>
    <t>ATBARA</t>
  </si>
  <si>
    <t>SDDNI</t>
  </si>
  <si>
    <t>DNI</t>
  </si>
  <si>
    <t>WAD MEDANI</t>
  </si>
  <si>
    <t>SDDNX</t>
  </si>
  <si>
    <t>DNX</t>
  </si>
  <si>
    <t>DINDER</t>
  </si>
  <si>
    <t>SDDOG</t>
  </si>
  <si>
    <t>DOG</t>
  </si>
  <si>
    <t>DONGOLA</t>
  </si>
  <si>
    <t>SDEBD</t>
  </si>
  <si>
    <t>EBD</t>
  </si>
  <si>
    <t>EL OBEID</t>
  </si>
  <si>
    <t>SDEDB</t>
  </si>
  <si>
    <t>EL DEBBA</t>
  </si>
  <si>
    <t>SDEGN</t>
  </si>
  <si>
    <t>EGN</t>
  </si>
  <si>
    <t>GENEINA</t>
  </si>
  <si>
    <t>SDELF</t>
  </si>
  <si>
    <t>ELF</t>
  </si>
  <si>
    <t>EL FASHER</t>
  </si>
  <si>
    <t>SDGBU</t>
  </si>
  <si>
    <t>GBU</t>
  </si>
  <si>
    <t>KHASHM EL GIR</t>
  </si>
  <si>
    <t>SDGSU</t>
  </si>
  <si>
    <t>GSU</t>
  </si>
  <si>
    <t>GEDAREF</t>
  </si>
  <si>
    <t>SDJUM</t>
  </si>
  <si>
    <t>JUBA</t>
  </si>
  <si>
    <t>SDKRT</t>
  </si>
  <si>
    <t>KHARTOUM</t>
  </si>
  <si>
    <t>SDKSL</t>
  </si>
  <si>
    <t>KASSALA</t>
  </si>
  <si>
    <t>SDKST</t>
  </si>
  <si>
    <t>KOSTI</t>
  </si>
  <si>
    <t>SDMWE</t>
  </si>
  <si>
    <t>MWE</t>
  </si>
  <si>
    <t>MEROWE</t>
  </si>
  <si>
    <t>SDNHF</t>
  </si>
  <si>
    <t>NHF</t>
  </si>
  <si>
    <t>NEW HALFA</t>
  </si>
  <si>
    <t>SDNUD</t>
  </si>
  <si>
    <t>NUD</t>
  </si>
  <si>
    <t>EN NAHUD</t>
  </si>
  <si>
    <t>SDPZU</t>
  </si>
  <si>
    <t>PZU</t>
  </si>
  <si>
    <t>PORT SUDAN</t>
  </si>
  <si>
    <t>SDRSS</t>
  </si>
  <si>
    <t>RSS</t>
  </si>
  <si>
    <t>ROSEIRES</t>
  </si>
  <si>
    <t>SDSWA</t>
  </si>
  <si>
    <t>SWAKIN</t>
  </si>
  <si>
    <t>SDUYL</t>
  </si>
  <si>
    <t>UYL</t>
  </si>
  <si>
    <t>NYALA</t>
  </si>
  <si>
    <t>SDZZZ</t>
  </si>
  <si>
    <t>SWEDEN</t>
  </si>
  <si>
    <t>スウェーデン</t>
  </si>
  <si>
    <t>SEAGH</t>
  </si>
  <si>
    <t>SE</t>
  </si>
  <si>
    <t>AGH</t>
  </si>
  <si>
    <t>HELSINGBORG-ANGELHOLM</t>
  </si>
  <si>
    <t>SWED</t>
  </si>
  <si>
    <t>SEAHR</t>
  </si>
  <si>
    <t>SEAHU</t>
  </si>
  <si>
    <t>AHUS</t>
  </si>
  <si>
    <t>SEALA</t>
  </si>
  <si>
    <t>SEALF</t>
  </si>
  <si>
    <t>ALFREDSHEM</t>
  </si>
  <si>
    <t>SEAMA</t>
  </si>
  <si>
    <t>AMAL</t>
  </si>
  <si>
    <t>SEANK</t>
  </si>
  <si>
    <t>ANK</t>
  </si>
  <si>
    <t>ANKARSVIK</t>
  </si>
  <si>
    <t>SEARB</t>
  </si>
  <si>
    <t>ARBRA</t>
  </si>
  <si>
    <t>SEARK</t>
  </si>
  <si>
    <t>ARNOVIKEN</t>
  </si>
  <si>
    <t>SEARN</t>
  </si>
  <si>
    <t>STOCKHOLM-ARLANDA</t>
  </si>
  <si>
    <t>SEARV</t>
  </si>
  <si>
    <t>ARV</t>
  </si>
  <si>
    <t>ARVIKA</t>
  </si>
  <si>
    <t>SEBAT</t>
  </si>
  <si>
    <t>BATSKARSNAS</t>
  </si>
  <si>
    <t>SEBEA</t>
  </si>
  <si>
    <t>BERGKVARA</t>
  </si>
  <si>
    <t>SEBIL</t>
  </si>
  <si>
    <t>BILLINGSFORS</t>
  </si>
  <si>
    <t>SEBLA</t>
  </si>
  <si>
    <t>BLANKAHOLM</t>
  </si>
  <si>
    <t>SEBLE</t>
  </si>
  <si>
    <t>BLE</t>
  </si>
  <si>
    <t>BORLANGE</t>
  </si>
  <si>
    <t>SEBMA</t>
  </si>
  <si>
    <t>STOCKHOLM-BROMMA</t>
  </si>
  <si>
    <t>SEBOL</t>
  </si>
  <si>
    <t>BOLLSTABRUK</t>
  </si>
  <si>
    <t>SEBON</t>
  </si>
  <si>
    <t>BORGHAMN</t>
  </si>
  <si>
    <t>SEBOS</t>
  </si>
  <si>
    <t>BORAS</t>
  </si>
  <si>
    <t>SEBRE</t>
  </si>
  <si>
    <t>BREDVIKEN</t>
  </si>
  <si>
    <t>SEBRO</t>
  </si>
  <si>
    <t>BROFJORDEN</t>
  </si>
  <si>
    <t>SEBRT</t>
  </si>
  <si>
    <t>BROTTBY</t>
  </si>
  <si>
    <t>SEBUR</t>
  </si>
  <si>
    <t>BUREA</t>
  </si>
  <si>
    <t>SEDEG</t>
  </si>
  <si>
    <t>DEGERHAMN</t>
  </si>
  <si>
    <t>SEDJU</t>
  </si>
  <si>
    <t>DJURMO</t>
  </si>
  <si>
    <t>DOMSJO</t>
  </si>
  <si>
    <t>SEDYN</t>
  </si>
  <si>
    <t>DYN</t>
  </si>
  <si>
    <t>DYNAS</t>
  </si>
  <si>
    <t>SEEKT</t>
  </si>
  <si>
    <t>EKT</t>
  </si>
  <si>
    <t>ESKILSTUNA</t>
  </si>
  <si>
    <t>SEENE</t>
  </si>
  <si>
    <t>ENEBYBERG</t>
  </si>
  <si>
    <t>SEENK</t>
  </si>
  <si>
    <t>ENKOPING</t>
  </si>
  <si>
    <t>SEESS</t>
  </si>
  <si>
    <t>ESSVIK</t>
  </si>
  <si>
    <t>SEEVG</t>
  </si>
  <si>
    <t>EVG</t>
  </si>
  <si>
    <t>SVEG</t>
  </si>
  <si>
    <t>SEFAG</t>
  </si>
  <si>
    <t>FALKENBERG</t>
  </si>
  <si>
    <t>SEFAK</t>
  </si>
  <si>
    <t>FAK</t>
  </si>
  <si>
    <t>FAGERVIK</t>
  </si>
  <si>
    <t>SEFAN</t>
  </si>
  <si>
    <t>FALUN</t>
  </si>
  <si>
    <t>SEFIG</t>
  </si>
  <si>
    <t>FIGEHOLM</t>
  </si>
  <si>
    <t>SEFIN</t>
  </si>
  <si>
    <t>FINSPANG</t>
  </si>
  <si>
    <t>SEFJA</t>
  </si>
  <si>
    <t>FJA</t>
  </si>
  <si>
    <t>FJALLBACKA</t>
  </si>
  <si>
    <t>SEFLE</t>
  </si>
  <si>
    <t>FLEN</t>
  </si>
  <si>
    <t>SEFRA</t>
  </si>
  <si>
    <t>FRANO</t>
  </si>
  <si>
    <t>SEGAM</t>
  </si>
  <si>
    <t>GAMLEBY</t>
  </si>
  <si>
    <t>SEGEV</t>
  </si>
  <si>
    <t>GALLIVARE</t>
  </si>
  <si>
    <t>SEGKS</t>
  </si>
  <si>
    <t>GUSTAFSVIK/STHLM</t>
  </si>
  <si>
    <t>SEGLA</t>
  </si>
  <si>
    <t>GLANSHAMMAR</t>
  </si>
  <si>
    <t>SEGOT</t>
  </si>
  <si>
    <t>GOTHENBURG</t>
  </si>
  <si>
    <t>SEGRA</t>
  </si>
  <si>
    <t>GRABO</t>
  </si>
  <si>
    <t>SEGRU</t>
  </si>
  <si>
    <t>GRUVON</t>
  </si>
  <si>
    <t>SEGUS</t>
  </si>
  <si>
    <t>GUS</t>
  </si>
  <si>
    <t>GUSTAFSVIK</t>
  </si>
  <si>
    <t>SEGVX</t>
  </si>
  <si>
    <t>GVX</t>
  </si>
  <si>
    <t>GAVLE</t>
  </si>
  <si>
    <t>SEHAA</t>
  </si>
  <si>
    <t>HAPARANDA</t>
  </si>
  <si>
    <t>SEHAD</t>
  </si>
  <si>
    <t>HALMSTAD</t>
  </si>
  <si>
    <t>SEHAK</t>
  </si>
  <si>
    <t>HALLSTAVIK</t>
  </si>
  <si>
    <t>SEHAN</t>
  </si>
  <si>
    <t>HARGSHAMN</t>
  </si>
  <si>
    <t>SEHAS</t>
  </si>
  <si>
    <t>HALLSTANAS</t>
  </si>
  <si>
    <t>SEHBB</t>
  </si>
  <si>
    <t>HOLSBYBRUNN</t>
  </si>
  <si>
    <t>SEHEL</t>
  </si>
  <si>
    <t>HELSINGBORG</t>
  </si>
  <si>
    <t>SEHER</t>
  </si>
  <si>
    <t>HERRANG</t>
  </si>
  <si>
    <t>SEHLD</t>
  </si>
  <si>
    <t>HOLMSUND</t>
  </si>
  <si>
    <t>SEHLF</t>
  </si>
  <si>
    <t>HLF</t>
  </si>
  <si>
    <t>HULTSFRED</t>
  </si>
  <si>
    <t>SEHND</t>
  </si>
  <si>
    <t>HARNOSAND</t>
  </si>
  <si>
    <t>SEHNF</t>
  </si>
  <si>
    <t>HNF</t>
  </si>
  <si>
    <t>HORNEFORS</t>
  </si>
  <si>
    <t>SEHOG</t>
  </si>
  <si>
    <t>HOGANAS</t>
  </si>
  <si>
    <t>SEHON</t>
  </si>
  <si>
    <t>HONSATER</t>
  </si>
  <si>
    <t>SEHUS</t>
  </si>
  <si>
    <t>SEHUV</t>
  </si>
  <si>
    <t>HUDIKSVALL</t>
  </si>
  <si>
    <t>SEIGG</t>
  </si>
  <si>
    <t>IGG</t>
  </si>
  <si>
    <t>IGGESUND</t>
  </si>
  <si>
    <t>SEJAR</t>
  </si>
  <si>
    <t>JARFALLA</t>
  </si>
  <si>
    <t>SEJKG</t>
  </si>
  <si>
    <t>JKG</t>
  </si>
  <si>
    <t>JONKOPING</t>
  </si>
  <si>
    <t>SEKAA</t>
  </si>
  <si>
    <t>KARLSKRONA</t>
  </si>
  <si>
    <t>SEKAG</t>
  </si>
  <si>
    <t>KAGE</t>
  </si>
  <si>
    <t>SEKAK</t>
  </si>
  <si>
    <t>KARLSVIK</t>
  </si>
  <si>
    <t>SEKAN</t>
  </si>
  <si>
    <t>KARLSHAMN</t>
  </si>
  <si>
    <t>SEKAX</t>
  </si>
  <si>
    <t>KALIX</t>
  </si>
  <si>
    <t>SEKHN</t>
  </si>
  <si>
    <t>KRISTINEHAMN</t>
  </si>
  <si>
    <t>SEKID</t>
  </si>
  <si>
    <t>KRISTIANSTAD</t>
  </si>
  <si>
    <t>SEKLI</t>
  </si>
  <si>
    <t>KLINTEHAMN</t>
  </si>
  <si>
    <t>SEKLR</t>
  </si>
  <si>
    <t>KALMAR</t>
  </si>
  <si>
    <t>SEKMH</t>
  </si>
  <si>
    <t>KOPMANHOLMEN</t>
  </si>
  <si>
    <t>SEKOG</t>
  </si>
  <si>
    <t>KOPING</t>
  </si>
  <si>
    <t>SEKOS</t>
  </si>
  <si>
    <t>KORSNAS</t>
  </si>
  <si>
    <t>SEKRF</t>
  </si>
  <si>
    <t>KRF</t>
  </si>
  <si>
    <t>KRAMFORS</t>
  </si>
  <si>
    <t>SEKRN</t>
  </si>
  <si>
    <t>KIRUNA</t>
  </si>
  <si>
    <t>SEKSD</t>
  </si>
  <si>
    <t>KARLSTAD</t>
  </si>
  <si>
    <t>SEKUB</t>
  </si>
  <si>
    <t>KUBIKENBORG</t>
  </si>
  <si>
    <t>SEKUN</t>
  </si>
  <si>
    <t>KUNGSHAMN</t>
  </si>
  <si>
    <t>SEKVM</t>
  </si>
  <si>
    <t>KVM</t>
  </si>
  <si>
    <t>KVANUM</t>
  </si>
  <si>
    <t>SEKXV</t>
  </si>
  <si>
    <t>KXV</t>
  </si>
  <si>
    <t>KARLSBORG AXELVIK</t>
  </si>
  <si>
    <t>SEKYR</t>
  </si>
  <si>
    <t>KYRKEBYN</t>
  </si>
  <si>
    <t>SELAA</t>
  </si>
  <si>
    <t>LANDSKRONA</t>
  </si>
  <si>
    <t>SELAN</t>
  </si>
  <si>
    <t>LANGASJO</t>
  </si>
  <si>
    <t>SELDK</t>
  </si>
  <si>
    <t>LDK</t>
  </si>
  <si>
    <t>LIDKOPING</t>
  </si>
  <si>
    <t>SELIM</t>
  </si>
  <si>
    <t>LIMHAMN</t>
  </si>
  <si>
    <t>SELIO</t>
  </si>
  <si>
    <t>LIDINGO</t>
  </si>
  <si>
    <t>SELIS</t>
  </si>
  <si>
    <t>LINANAS</t>
  </si>
  <si>
    <t>SELJU</t>
  </si>
  <si>
    <t>LJUSNE</t>
  </si>
  <si>
    <t>SELJY</t>
  </si>
  <si>
    <t>LJY</t>
  </si>
  <si>
    <t>LJUNGBY</t>
  </si>
  <si>
    <t>SELLA</t>
  </si>
  <si>
    <t>LLA</t>
  </si>
  <si>
    <t>LULEA</t>
  </si>
  <si>
    <t>SELOM</t>
  </si>
  <si>
    <t>LOMMA</t>
  </si>
  <si>
    <t>SELPI</t>
  </si>
  <si>
    <t>LPI</t>
  </si>
  <si>
    <t>LINKOPING</t>
  </si>
  <si>
    <t>SELUD</t>
  </si>
  <si>
    <t>LUND</t>
  </si>
  <si>
    <t>SELUG</t>
  </si>
  <si>
    <t>LUGNVIK</t>
  </si>
  <si>
    <t>SELUN</t>
  </si>
  <si>
    <t>LOVHOLMEN</t>
  </si>
  <si>
    <t>SELVR</t>
  </si>
  <si>
    <t>LVR</t>
  </si>
  <si>
    <t>LOVANGER</t>
  </si>
  <si>
    <t>SELYC</t>
  </si>
  <si>
    <t>LYC</t>
  </si>
  <si>
    <t>LYCKSELE</t>
  </si>
  <si>
    <t>SELYS</t>
  </si>
  <si>
    <t>LYSEKIL</t>
  </si>
  <si>
    <t>SEMAD</t>
  </si>
  <si>
    <t>MARIESTAD</t>
  </si>
  <si>
    <t>SEMAN</t>
  </si>
  <si>
    <t>MARSVIKEN</t>
  </si>
  <si>
    <t>SEMJB</t>
  </si>
  <si>
    <t>MJB</t>
  </si>
  <si>
    <t>MJOLBY</t>
  </si>
  <si>
    <t>SEMMA</t>
  </si>
  <si>
    <t>MALMO</t>
  </si>
  <si>
    <t>SEMOE</t>
  </si>
  <si>
    <t>MOLNLYCKE</t>
  </si>
  <si>
    <t>SEMON</t>
  </si>
  <si>
    <t>MONSTERAS</t>
  </si>
  <si>
    <t>SEMOP</t>
  </si>
  <si>
    <t>MOP</t>
  </si>
  <si>
    <t>MORARP</t>
  </si>
  <si>
    <t>SEMOR</t>
  </si>
  <si>
    <t>MORBYLANGA</t>
  </si>
  <si>
    <t>SEMOT</t>
  </si>
  <si>
    <t>MOTALA</t>
  </si>
  <si>
    <t>SEMRA</t>
  </si>
  <si>
    <t>MORA</t>
  </si>
  <si>
    <t>SEMTM</t>
  </si>
  <si>
    <t>MATTMAR</t>
  </si>
  <si>
    <t>SEMUN</t>
  </si>
  <si>
    <t>MUNKSUND</t>
  </si>
  <si>
    <t>SENAV</t>
  </si>
  <si>
    <t>NAVEKVARN</t>
  </si>
  <si>
    <t>SENHN</t>
  </si>
  <si>
    <t>NYHAMN</t>
  </si>
  <si>
    <t>SENOE</t>
  </si>
  <si>
    <t>NORRTALJE</t>
  </si>
  <si>
    <t>SENOG</t>
  </si>
  <si>
    <t>NORDMALING</t>
  </si>
  <si>
    <t>SENOR</t>
  </si>
  <si>
    <t>NORRBYSKAR</t>
  </si>
  <si>
    <t>SENOT</t>
  </si>
  <si>
    <t>NOT</t>
  </si>
  <si>
    <t>NORRSUNDET</t>
  </si>
  <si>
    <t>SENRK</t>
  </si>
  <si>
    <t>NRK</t>
  </si>
  <si>
    <t>NORRKOPING</t>
  </si>
  <si>
    <t>SENVK</t>
  </si>
  <si>
    <t>NASVIKEN</t>
  </si>
  <si>
    <t>SENYN</t>
  </si>
  <si>
    <t>NYNASHAMN</t>
  </si>
  <si>
    <t>SENYO</t>
  </si>
  <si>
    <t>NYKOPING</t>
  </si>
  <si>
    <t>SEOAX</t>
  </si>
  <si>
    <t>OAXEN</t>
  </si>
  <si>
    <t>SEOBB</t>
  </si>
  <si>
    <t>OBBOLA</t>
  </si>
  <si>
    <t>SEOCK</t>
  </si>
  <si>
    <t>OCK</t>
  </si>
  <si>
    <t>OCKELBO</t>
  </si>
  <si>
    <t>SEOER</t>
  </si>
  <si>
    <t>OER</t>
  </si>
  <si>
    <t>ORNSKOLDSVIK</t>
  </si>
  <si>
    <t>SEORB</t>
  </si>
  <si>
    <t>ORB</t>
  </si>
  <si>
    <t>OREBRO</t>
  </si>
  <si>
    <t>SEORV</t>
  </si>
  <si>
    <t>ORVIKEN</t>
  </si>
  <si>
    <t>SEOSD</t>
  </si>
  <si>
    <t>OSTERSUND</t>
  </si>
  <si>
    <t>SEOSK</t>
  </si>
  <si>
    <t>OSKARSHAMN</t>
  </si>
  <si>
    <t>SEOST</t>
  </si>
  <si>
    <t>OSTRAND</t>
  </si>
  <si>
    <t>SEOTT</t>
  </si>
  <si>
    <t>OTTERBACKEN</t>
  </si>
  <si>
    <t>SEOXE</t>
  </si>
  <si>
    <t>OXE</t>
  </si>
  <si>
    <t>OXELOSUND</t>
  </si>
  <si>
    <t>SEPAS</t>
  </si>
  <si>
    <t>PASKALLAVIK</t>
  </si>
  <si>
    <t>SEPIT</t>
  </si>
  <si>
    <t>PITEA</t>
  </si>
  <si>
    <t>SERAA</t>
  </si>
  <si>
    <t>SERAM</t>
  </si>
  <si>
    <t>RAMVIK</t>
  </si>
  <si>
    <t>SERNB</t>
  </si>
  <si>
    <t>RNB</t>
  </si>
  <si>
    <t>RONNEBY</t>
  </si>
  <si>
    <t>SEROE</t>
  </si>
  <si>
    <t>ROE</t>
  </si>
  <si>
    <t>RONE</t>
  </si>
  <si>
    <t>SEROR</t>
  </si>
  <si>
    <t>RONNSKAR</t>
  </si>
  <si>
    <t>SERUV</t>
  </si>
  <si>
    <t>RUV</t>
  </si>
  <si>
    <t>RUNDVIK</t>
  </si>
  <si>
    <t>SESAE</t>
  </si>
  <si>
    <t>SANDARNE</t>
  </si>
  <si>
    <t>SESAF</t>
  </si>
  <si>
    <t>SAF</t>
  </si>
  <si>
    <t>SAFFLE</t>
  </si>
  <si>
    <t>SESAN</t>
  </si>
  <si>
    <t>SANDVIKEN</t>
  </si>
  <si>
    <t>SESBN</t>
  </si>
  <si>
    <t>SBN</t>
  </si>
  <si>
    <t>SALTSTOBADEN</t>
  </si>
  <si>
    <t>SESDL</t>
  </si>
  <si>
    <t>SDL</t>
  </si>
  <si>
    <t>SUNDSVALL</t>
  </si>
  <si>
    <t>SESES</t>
  </si>
  <si>
    <t>SESKERO</t>
  </si>
  <si>
    <t>SESFT</t>
  </si>
  <si>
    <t>SFT</t>
  </si>
  <si>
    <t>SKELLEFTEA</t>
  </si>
  <si>
    <t>SESIK</t>
  </si>
  <si>
    <t>SIKEA</t>
  </si>
  <si>
    <t>SESIM</t>
  </si>
  <si>
    <t>SIMRISHAMN</t>
  </si>
  <si>
    <t>SESKB</t>
  </si>
  <si>
    <t>SKARBLACKA</t>
  </si>
  <si>
    <t>SESKE</t>
  </si>
  <si>
    <t>SKELLEFTEHAMN</t>
  </si>
  <si>
    <t>SESKK</t>
  </si>
  <si>
    <t>SKONVIK</t>
  </si>
  <si>
    <t>SESKN</t>
  </si>
  <si>
    <t>SKUTHAMN</t>
  </si>
  <si>
    <t>SESKU</t>
  </si>
  <si>
    <t>SKURUP</t>
  </si>
  <si>
    <t>SESKV</t>
  </si>
  <si>
    <t>SKOVDE</t>
  </si>
  <si>
    <t>SESLI</t>
  </si>
  <si>
    <t>SLITE</t>
  </si>
  <si>
    <t>SESMD</t>
  </si>
  <si>
    <t>STROMSTAD</t>
  </si>
  <si>
    <t>SESOE</t>
  </si>
  <si>
    <t>SODERTALJE</t>
  </si>
  <si>
    <t>SESOG</t>
  </si>
  <si>
    <t>SODERKOPING</t>
  </si>
  <si>
    <t>SESOL</t>
  </si>
  <si>
    <t>SOLVESBORG</t>
  </si>
  <si>
    <t>SESOO</t>
  </si>
  <si>
    <t>SODERHAMN</t>
  </si>
  <si>
    <t>SESOR</t>
  </si>
  <si>
    <t>SORAKER</t>
  </si>
  <si>
    <t>SESPA</t>
  </si>
  <si>
    <t>SPANGA</t>
  </si>
  <si>
    <t>SESPR</t>
  </si>
  <si>
    <t>SPRANGSVIKEN</t>
  </si>
  <si>
    <t>SESSR</t>
  </si>
  <si>
    <t>SSR</t>
  </si>
  <si>
    <t>SKUTSKAR</t>
  </si>
  <si>
    <t>SESTA</t>
  </si>
  <si>
    <t>STOCKA</t>
  </si>
  <si>
    <t>SESTE</t>
  </si>
  <si>
    <t>STENUNGSUND</t>
  </si>
  <si>
    <t>SESTK</t>
  </si>
  <si>
    <t>STOCKVIK</t>
  </si>
  <si>
    <t>SESTO</t>
  </si>
  <si>
    <t>SESTQ</t>
  </si>
  <si>
    <t>STRANGNAS</t>
  </si>
  <si>
    <t>SESTU</t>
  </si>
  <si>
    <t>STUGSUND</t>
  </si>
  <si>
    <t>SESTV</t>
  </si>
  <si>
    <t>STORA VIKA</t>
  </si>
  <si>
    <t>SESUD</t>
  </si>
  <si>
    <t>STOCKSUND</t>
  </si>
  <si>
    <t>SESUG</t>
  </si>
  <si>
    <t>SUNDBYBERG</t>
  </si>
  <si>
    <t>SESVK</t>
  </si>
  <si>
    <t>SVARTVIK</t>
  </si>
  <si>
    <t>SESVX</t>
  </si>
  <si>
    <t>SVANO</t>
  </si>
  <si>
    <t>SETAO</t>
  </si>
  <si>
    <t>TRANEMO</t>
  </si>
  <si>
    <t>SETHN</t>
  </si>
  <si>
    <t>THN</t>
  </si>
  <si>
    <t>TROLLHATTAN</t>
  </si>
  <si>
    <t>SETIB</t>
  </si>
  <si>
    <t>TIBRO</t>
  </si>
  <si>
    <t>SETID</t>
  </si>
  <si>
    <t>TID</t>
  </si>
  <si>
    <t>TIDAHOLM</t>
  </si>
  <si>
    <t>SETOA</t>
  </si>
  <si>
    <t>TORSHALLA</t>
  </si>
  <si>
    <t>SETOE</t>
  </si>
  <si>
    <t>TORE</t>
  </si>
  <si>
    <t>SETOM</t>
  </si>
  <si>
    <t>TOMELILLA</t>
  </si>
  <si>
    <t>SETOV</t>
  </si>
  <si>
    <t>TOREKOV</t>
  </si>
  <si>
    <t>SETRA</t>
  </si>
  <si>
    <t>TRANGSVIKEN</t>
  </si>
  <si>
    <t>SETRG</t>
  </si>
  <si>
    <t>TRELLEBORG</t>
  </si>
  <si>
    <t>SETRS</t>
  </si>
  <si>
    <t>TROSA</t>
  </si>
  <si>
    <t>SETUN</t>
  </si>
  <si>
    <t>TUNADAL</t>
  </si>
  <si>
    <t>SETYG</t>
  </si>
  <si>
    <t>TYGELSJO</t>
  </si>
  <si>
    <t>SEUDD</t>
  </si>
  <si>
    <t>UDDEVALLA</t>
  </si>
  <si>
    <t>SEUME</t>
  </si>
  <si>
    <t>UME</t>
  </si>
  <si>
    <t>UMEA</t>
  </si>
  <si>
    <t>SEUPP</t>
  </si>
  <si>
    <t>UPP</t>
  </si>
  <si>
    <t>UPPSALA</t>
  </si>
  <si>
    <t>SEURS</t>
  </si>
  <si>
    <t>URSVIKEN</t>
  </si>
  <si>
    <t>SEUTA</t>
  </si>
  <si>
    <t>UTA</t>
  </si>
  <si>
    <t>UTANSJO</t>
  </si>
  <si>
    <t>SEVAG</t>
  </si>
  <si>
    <t>VARBERG</t>
  </si>
  <si>
    <t>SEVAJ</t>
  </si>
  <si>
    <t>VAJ</t>
  </si>
  <si>
    <t>VAJA</t>
  </si>
  <si>
    <t>SEVAK</t>
  </si>
  <si>
    <t>VALDEMARSVIK</t>
  </si>
  <si>
    <t>SEVAL</t>
  </si>
  <si>
    <t>VAL</t>
  </si>
  <si>
    <t>VALLVIK</t>
  </si>
  <si>
    <t>SEVAN</t>
  </si>
  <si>
    <t>VANERSBORG</t>
  </si>
  <si>
    <t>SEVAR</t>
  </si>
  <si>
    <t>VARNAMO</t>
  </si>
  <si>
    <t>SEVBY</t>
  </si>
  <si>
    <t>VBY</t>
  </si>
  <si>
    <t>VISBY</t>
  </si>
  <si>
    <t>SEVHM</t>
  </si>
  <si>
    <t>VHM</t>
  </si>
  <si>
    <t>VILHELMINA</t>
  </si>
  <si>
    <t>SEVIV</t>
  </si>
  <si>
    <t>VIVSTAVARV</t>
  </si>
  <si>
    <t>SEVST</t>
  </si>
  <si>
    <t>VASTERAS</t>
  </si>
  <si>
    <t>SEVVK</t>
  </si>
  <si>
    <t>VVK</t>
  </si>
  <si>
    <t>VASTERVIK</t>
  </si>
  <si>
    <t>SEVXO</t>
  </si>
  <si>
    <t>VXO</t>
  </si>
  <si>
    <t>VAXJO</t>
  </si>
  <si>
    <t>SEWAL</t>
  </si>
  <si>
    <t>WALLHAMN</t>
  </si>
  <si>
    <t>SEYST</t>
  </si>
  <si>
    <t>YSTAD</t>
  </si>
  <si>
    <t>SEZZZ</t>
  </si>
  <si>
    <t>KVB</t>
  </si>
  <si>
    <t>MALMO STURUP AIRPORT</t>
  </si>
  <si>
    <t>MMX</t>
  </si>
  <si>
    <t>MXX</t>
  </si>
  <si>
    <t>SINGAPORE</t>
  </si>
  <si>
    <t>シンガポール</t>
  </si>
  <si>
    <t>SGAYC</t>
  </si>
  <si>
    <t>SG</t>
  </si>
  <si>
    <t>PULAN AYER CHAWAN</t>
  </si>
  <si>
    <t>SGJUR</t>
  </si>
  <si>
    <t>JURONG</t>
  </si>
  <si>
    <t>SGKEP</t>
  </si>
  <si>
    <t>KEPPEL WHARVES</t>
  </si>
  <si>
    <t>SGPAP</t>
  </si>
  <si>
    <t>PASIR PANJAN WHARVES</t>
  </si>
  <si>
    <t>SGSCT</t>
  </si>
  <si>
    <t>SINGAPORE CONTAINERTERMINAL</t>
  </si>
  <si>
    <t>SGSEM</t>
  </si>
  <si>
    <t>SEM</t>
  </si>
  <si>
    <t>SEMBAWANG PORT</t>
  </si>
  <si>
    <t>SGSIN</t>
  </si>
  <si>
    <t>SGTAY</t>
  </si>
  <si>
    <t>TELOK AYER BASIN</t>
  </si>
  <si>
    <t>SGTGA</t>
  </si>
  <si>
    <t>TGA</t>
  </si>
  <si>
    <t>TENGAH</t>
  </si>
  <si>
    <t>SGZZZ</t>
  </si>
  <si>
    <t>PAYA LEBAR AIRPORT</t>
  </si>
  <si>
    <t>QPG</t>
  </si>
  <si>
    <t>XSP</t>
  </si>
  <si>
    <t>ST. HELENA</t>
  </si>
  <si>
    <t>セントヘレナ及びその附属諸島（英）</t>
  </si>
  <si>
    <t>SHASC</t>
  </si>
  <si>
    <t>SH</t>
  </si>
  <si>
    <t>ASCENCION</t>
  </si>
  <si>
    <t>SHASI</t>
  </si>
  <si>
    <t>ASC I</t>
  </si>
  <si>
    <t>SHSHN</t>
  </si>
  <si>
    <t>JAMESTOWN</t>
  </si>
  <si>
    <t>SHTDC</t>
  </si>
  <si>
    <t>TRISTAN DA CUNHA</t>
  </si>
  <si>
    <t>SHZZZ</t>
  </si>
  <si>
    <t>SLOVENIA</t>
  </si>
  <si>
    <t>スロベニア</t>
  </si>
  <si>
    <t>SIIZO</t>
  </si>
  <si>
    <t>SI</t>
  </si>
  <si>
    <t>IZOLA</t>
  </si>
  <si>
    <t>SIKOP</t>
  </si>
  <si>
    <t>KOPER</t>
  </si>
  <si>
    <t>SILJU</t>
  </si>
  <si>
    <t>LJUBLJANA</t>
  </si>
  <si>
    <t>SLOVE</t>
  </si>
  <si>
    <t>SIMBX</t>
  </si>
  <si>
    <t>MBX</t>
  </si>
  <si>
    <t>MARIBOR</t>
  </si>
  <si>
    <t>SIPIR</t>
  </si>
  <si>
    <t>PIRAN</t>
  </si>
  <si>
    <t>SIPOW</t>
  </si>
  <si>
    <t>PORTOROZ</t>
  </si>
  <si>
    <t>SIZZZ</t>
  </si>
  <si>
    <t>SVALBARD AND JAN MAYEN</t>
  </si>
  <si>
    <t>ノルウェー（スバールバル諸島、ヤンマイエン島のみ）</t>
  </si>
  <si>
    <t>SJBAR</t>
  </si>
  <si>
    <t>SJ</t>
  </si>
  <si>
    <t>BARENTSBURG</t>
  </si>
  <si>
    <t>SJLYR</t>
  </si>
  <si>
    <t>LYR</t>
  </si>
  <si>
    <t>LONGYEARBYEN</t>
  </si>
  <si>
    <t>SJNYA</t>
  </si>
  <si>
    <t>NY ALESUND</t>
  </si>
  <si>
    <t>SJSVE</t>
  </si>
  <si>
    <t>SVEAGRUVA</t>
  </si>
  <si>
    <t>SJZZZ</t>
  </si>
  <si>
    <t>SLOVAK</t>
  </si>
  <si>
    <t>スロバキア</t>
  </si>
  <si>
    <t>SKBAA</t>
  </si>
  <si>
    <t>SK</t>
  </si>
  <si>
    <t>BRATISLAVA-DEVIN.N.VES</t>
  </si>
  <si>
    <t>SKBAB</t>
  </si>
  <si>
    <t>BRATISLAVA PORT</t>
  </si>
  <si>
    <t>SKBRP</t>
  </si>
  <si>
    <t>PETRZALKA/BRATISLAVA</t>
  </si>
  <si>
    <t>SKBTS</t>
  </si>
  <si>
    <t>BRATISLAVA APT</t>
  </si>
  <si>
    <t>SLOVA</t>
  </si>
  <si>
    <t>SKCAN</t>
  </si>
  <si>
    <t>CANA</t>
  </si>
  <si>
    <t>SKFIA</t>
  </si>
  <si>
    <t>FIA</t>
  </si>
  <si>
    <t>FILAKOVO</t>
  </si>
  <si>
    <t>SKILZ</t>
  </si>
  <si>
    <t>ILZ</t>
  </si>
  <si>
    <t>ZILINA</t>
  </si>
  <si>
    <t>SKKNA</t>
  </si>
  <si>
    <t>KOMARNO</t>
  </si>
  <si>
    <t>SKKNP</t>
  </si>
  <si>
    <t>KNP</t>
  </si>
  <si>
    <t>KOMARNO PORT</t>
  </si>
  <si>
    <t>SKKSC</t>
  </si>
  <si>
    <t>KOSICE</t>
  </si>
  <si>
    <t>SKLUE</t>
  </si>
  <si>
    <t>LUCENEC</t>
  </si>
  <si>
    <t>SKPOV</t>
  </si>
  <si>
    <t>PRESOV</t>
  </si>
  <si>
    <t>SKPZY</t>
  </si>
  <si>
    <t>PZY</t>
  </si>
  <si>
    <t>PIESTANY</t>
  </si>
  <si>
    <t>SKRSV</t>
  </si>
  <si>
    <t>RSV</t>
  </si>
  <si>
    <t>RUSOVCE</t>
  </si>
  <si>
    <t>SKSHA</t>
  </si>
  <si>
    <t>SAHY</t>
  </si>
  <si>
    <t>SKSLD</t>
  </si>
  <si>
    <t>SLD</t>
  </si>
  <si>
    <t>SLIAC</t>
  </si>
  <si>
    <t>SKSRA</t>
  </si>
  <si>
    <t>STUROVO</t>
  </si>
  <si>
    <t>SKTAT</t>
  </si>
  <si>
    <t>TATRY/POPRAD</t>
  </si>
  <si>
    <t>SKTSA</t>
  </si>
  <si>
    <t>TRSTENA</t>
  </si>
  <si>
    <t>SKZZZ</t>
  </si>
  <si>
    <t>SIERRA LEONE</t>
  </si>
  <si>
    <t>シエラレオネ</t>
  </si>
  <si>
    <t>SLBTE</t>
  </si>
  <si>
    <t>SL</t>
  </si>
  <si>
    <t>BTE</t>
  </si>
  <si>
    <t>BONTHE</t>
  </si>
  <si>
    <t>S L</t>
  </si>
  <si>
    <t>SLDSL</t>
  </si>
  <si>
    <t>DSL</t>
  </si>
  <si>
    <t>SLFNA</t>
  </si>
  <si>
    <t>FREETOWN</t>
  </si>
  <si>
    <t>SLGBK</t>
  </si>
  <si>
    <t>GBK</t>
  </si>
  <si>
    <t>GBANGBATOK</t>
  </si>
  <si>
    <t>SLHGS</t>
  </si>
  <si>
    <t>HASTINGS APT/FREETOWN</t>
  </si>
  <si>
    <t>SLKBA</t>
  </si>
  <si>
    <t>KABALA</t>
  </si>
  <si>
    <t>SLKBS</t>
  </si>
  <si>
    <t>SLKEN</t>
  </si>
  <si>
    <t>KENEMA</t>
  </si>
  <si>
    <t>SLNIT</t>
  </si>
  <si>
    <t>NITTI</t>
  </si>
  <si>
    <t>SLPEP</t>
  </si>
  <si>
    <t>PEP</t>
  </si>
  <si>
    <t>PEPEL</t>
  </si>
  <si>
    <t>SLSBO</t>
  </si>
  <si>
    <t>SBO</t>
  </si>
  <si>
    <t>SHERBRO</t>
  </si>
  <si>
    <t>SLZZZ</t>
  </si>
  <si>
    <t>YENGEMA</t>
  </si>
  <si>
    <t>WYE</t>
  </si>
  <si>
    <t>SAN MARINO</t>
  </si>
  <si>
    <t>サンマリノ</t>
  </si>
  <si>
    <t>SMSAI</t>
  </si>
  <si>
    <t>SMZZZ</t>
  </si>
  <si>
    <t>SENEGAL</t>
  </si>
  <si>
    <t>セネガル</t>
  </si>
  <si>
    <t>SNBXE</t>
  </si>
  <si>
    <t>SN</t>
  </si>
  <si>
    <t>BXE</t>
  </si>
  <si>
    <t>BAKEL</t>
  </si>
  <si>
    <t>SNCSK</t>
  </si>
  <si>
    <t>CSK</t>
  </si>
  <si>
    <t>CAP SKIRRING</t>
  </si>
  <si>
    <t>SNDKR</t>
  </si>
  <si>
    <t>DKR</t>
  </si>
  <si>
    <t>DAKAR</t>
  </si>
  <si>
    <t>SNKDA</t>
  </si>
  <si>
    <t>KOLDA</t>
  </si>
  <si>
    <t>SNKGG</t>
  </si>
  <si>
    <t>KGG</t>
  </si>
  <si>
    <t>KEDOUGOU</t>
  </si>
  <si>
    <t>SNKLC</t>
  </si>
  <si>
    <t>KLC</t>
  </si>
  <si>
    <t>KAOLACK</t>
  </si>
  <si>
    <t>SNMAX</t>
  </si>
  <si>
    <t>MAX</t>
  </si>
  <si>
    <t>MATAM</t>
  </si>
  <si>
    <t>SNNIK</t>
  </si>
  <si>
    <t>NIK</t>
  </si>
  <si>
    <t>NIOKOLO KOBA</t>
  </si>
  <si>
    <t>SNPOD</t>
  </si>
  <si>
    <t>POD</t>
  </si>
  <si>
    <t>PODOR</t>
  </si>
  <si>
    <t>SNRDT</t>
  </si>
  <si>
    <t>RDT</t>
  </si>
  <si>
    <t>RICHARD TOLL</t>
  </si>
  <si>
    <t>SNSMY</t>
  </si>
  <si>
    <t>SIMENTI</t>
  </si>
  <si>
    <t>SNTUD</t>
  </si>
  <si>
    <t>TAMBACOUNDA</t>
  </si>
  <si>
    <t>SNXLS</t>
  </si>
  <si>
    <t>XLS</t>
  </si>
  <si>
    <t>ST LOUIS</t>
  </si>
  <si>
    <t>SNZIG</t>
  </si>
  <si>
    <t>ZIG</t>
  </si>
  <si>
    <t>ZIGUINCHOR</t>
  </si>
  <si>
    <t>SNZZZ</t>
  </si>
  <si>
    <t>BLAISE DIAGNE INTL</t>
  </si>
  <si>
    <t>DSS</t>
  </si>
  <si>
    <t>SOMALIA</t>
  </si>
  <si>
    <t>ソマリア</t>
  </si>
  <si>
    <t>SOALU</t>
  </si>
  <si>
    <t>SO</t>
  </si>
  <si>
    <t>ALU</t>
  </si>
  <si>
    <t>ALULA</t>
  </si>
  <si>
    <t>SOM R</t>
  </si>
  <si>
    <t>SOBBO</t>
  </si>
  <si>
    <t>BBO</t>
  </si>
  <si>
    <t>BERBERA</t>
  </si>
  <si>
    <t>SOBSA</t>
  </si>
  <si>
    <t>BOSSASO</t>
  </si>
  <si>
    <t>SOBUO</t>
  </si>
  <si>
    <t>BUO</t>
  </si>
  <si>
    <t>BURAO</t>
  </si>
  <si>
    <t>SOCMO</t>
  </si>
  <si>
    <t>CMO</t>
  </si>
  <si>
    <t>OBBIA</t>
  </si>
  <si>
    <t>SOCMS</t>
  </si>
  <si>
    <t>CMS</t>
  </si>
  <si>
    <t>SCUSCIUBAN</t>
  </si>
  <si>
    <t>SOCXN</t>
  </si>
  <si>
    <t>CXN</t>
  </si>
  <si>
    <t>CANDALA</t>
  </si>
  <si>
    <t>SOERA</t>
  </si>
  <si>
    <t>ERA</t>
  </si>
  <si>
    <t>ERIGAVO</t>
  </si>
  <si>
    <t>SOGGR</t>
  </si>
  <si>
    <t>GGR</t>
  </si>
  <si>
    <t>GAROE</t>
  </si>
  <si>
    <t>SOGLK</t>
  </si>
  <si>
    <t>GLK</t>
  </si>
  <si>
    <t>GALCAIO</t>
  </si>
  <si>
    <t>SOGSR</t>
  </si>
  <si>
    <t>GSR</t>
  </si>
  <si>
    <t>GARDO</t>
  </si>
  <si>
    <t>SOHCM</t>
  </si>
  <si>
    <t>HCM</t>
  </si>
  <si>
    <t>EIL</t>
  </si>
  <si>
    <t>SOHGA</t>
  </si>
  <si>
    <t>HGA</t>
  </si>
  <si>
    <t>HARGEISA</t>
  </si>
  <si>
    <t>SOKMU</t>
  </si>
  <si>
    <t>KISMAYU</t>
  </si>
  <si>
    <t>SOLKR</t>
  </si>
  <si>
    <t>LKR</t>
  </si>
  <si>
    <t>LAS KHOREH</t>
  </si>
  <si>
    <t>SOMER</t>
  </si>
  <si>
    <t>MERCA</t>
  </si>
  <si>
    <t>SOMGQ</t>
  </si>
  <si>
    <t>MGQ</t>
  </si>
  <si>
    <t>MOGADISHU</t>
  </si>
  <si>
    <t>SOZZZ</t>
  </si>
  <si>
    <t>SURINAME</t>
  </si>
  <si>
    <t>スリナム</t>
  </si>
  <si>
    <t>SRABN</t>
  </si>
  <si>
    <t>SR</t>
  </si>
  <si>
    <t>ABN</t>
  </si>
  <si>
    <t>ALBINA</t>
  </si>
  <si>
    <t>SRAGI</t>
  </si>
  <si>
    <t>AGI</t>
  </si>
  <si>
    <t>WAGENINGEN</t>
  </si>
  <si>
    <t>SRDOE</t>
  </si>
  <si>
    <t>DJOEMOE</t>
  </si>
  <si>
    <t>SRICK</t>
  </si>
  <si>
    <t>NIEUW NICKERIE</t>
  </si>
  <si>
    <t>SRLDO</t>
  </si>
  <si>
    <t>LDO</t>
  </si>
  <si>
    <t>LADOUANIE</t>
  </si>
  <si>
    <t>SRMOJ</t>
  </si>
  <si>
    <t>MOENGO</t>
  </si>
  <si>
    <t>SRORG</t>
  </si>
  <si>
    <t>PARAMARIBO</t>
  </si>
  <si>
    <t>SRPBM</t>
  </si>
  <si>
    <t>SRPRM</t>
  </si>
  <si>
    <t>PARANAM</t>
  </si>
  <si>
    <t>SRSMA</t>
  </si>
  <si>
    <t>SMALKALDEN</t>
  </si>
  <si>
    <t>SRSMZ</t>
  </si>
  <si>
    <t>STOELMANSEILAND</t>
  </si>
  <si>
    <t>SRTOT</t>
  </si>
  <si>
    <t>TOTNESS</t>
  </si>
  <si>
    <t>SRWSO</t>
  </si>
  <si>
    <t>WSO</t>
  </si>
  <si>
    <t>WASHABO</t>
  </si>
  <si>
    <t>SRZZZ</t>
  </si>
  <si>
    <t>SOUTH SUDAN</t>
  </si>
  <si>
    <t>南スーダン</t>
  </si>
  <si>
    <t>SSJUB</t>
  </si>
  <si>
    <t>SS</t>
  </si>
  <si>
    <t>SSMAK</t>
  </si>
  <si>
    <t>MALAKAL</t>
  </si>
  <si>
    <t>SSWUU</t>
  </si>
  <si>
    <t>WUU</t>
  </si>
  <si>
    <t>SSZZZ</t>
  </si>
  <si>
    <t>SAO TOME AND PRINCIPE</t>
  </si>
  <si>
    <t>サントメ・プリンシペ</t>
  </si>
  <si>
    <t>STBOZ</t>
  </si>
  <si>
    <t>ST</t>
  </si>
  <si>
    <t>STBSO</t>
  </si>
  <si>
    <t>BISSAO</t>
  </si>
  <si>
    <t>STPCP</t>
  </si>
  <si>
    <t>PCP</t>
  </si>
  <si>
    <t>PRINCIPE</t>
  </si>
  <si>
    <t>STPGP</t>
  </si>
  <si>
    <t>PGP</t>
  </si>
  <si>
    <t>PORTO ALEGRE</t>
  </si>
  <si>
    <t>STTMS</t>
  </si>
  <si>
    <t>SAO TOME ISLAND</t>
  </si>
  <si>
    <t>STZZZ</t>
  </si>
  <si>
    <t>エルサルバドル</t>
  </si>
  <si>
    <t>SVAQJ</t>
  </si>
  <si>
    <t>SV</t>
  </si>
  <si>
    <t>ACAJUTLA</t>
  </si>
  <si>
    <t>SVBAN</t>
  </si>
  <si>
    <t>SVBAR</t>
  </si>
  <si>
    <t>SVBCH</t>
  </si>
  <si>
    <t>SVCJO</t>
  </si>
  <si>
    <t>CJO</t>
  </si>
  <si>
    <t>CABO JOJO</t>
  </si>
  <si>
    <t>SVHAI</t>
  </si>
  <si>
    <t>HAINA</t>
  </si>
  <si>
    <t>SVLLD</t>
  </si>
  <si>
    <t>SVLRO</t>
  </si>
  <si>
    <t>LRO</t>
  </si>
  <si>
    <t>SVMAN</t>
  </si>
  <si>
    <t>SVPAL</t>
  </si>
  <si>
    <t>SVPVA</t>
  </si>
  <si>
    <t>SVSAB</t>
  </si>
  <si>
    <t>SABANA</t>
  </si>
  <si>
    <t>SVSAL</t>
  </si>
  <si>
    <t>SAN SALVADOR</t>
  </si>
  <si>
    <t>SALV</t>
  </si>
  <si>
    <t>SVSCH</t>
  </si>
  <si>
    <t>SVSCI</t>
  </si>
  <si>
    <t>SANTO TOMAS DE CASTILLA</t>
  </si>
  <si>
    <t>SVSDO</t>
  </si>
  <si>
    <t>SVSFM</t>
  </si>
  <si>
    <t>SFM</t>
  </si>
  <si>
    <t>SVSPM</t>
  </si>
  <si>
    <t>SAN PEDRO DE MARCORIS</t>
  </si>
  <si>
    <t>SVZZZ</t>
  </si>
  <si>
    <t>SYRIAN ARAB REPUBLIC</t>
  </si>
  <si>
    <t>シリア</t>
  </si>
  <si>
    <t>SYALP</t>
  </si>
  <si>
    <t>SY</t>
  </si>
  <si>
    <t>ALEPPO</t>
  </si>
  <si>
    <t>SYRIA</t>
  </si>
  <si>
    <t>SYBAN</t>
  </si>
  <si>
    <t>BANIYAS</t>
  </si>
  <si>
    <t>SYDAM</t>
  </si>
  <si>
    <t>DAMASCUS</t>
  </si>
  <si>
    <t>SYDEZ</t>
  </si>
  <si>
    <t>DEZ</t>
  </si>
  <si>
    <t>DEIR-EZZOR</t>
  </si>
  <si>
    <t>SYKAC</t>
  </si>
  <si>
    <t>KAMESHLI</t>
  </si>
  <si>
    <t>SYLTK</t>
  </si>
  <si>
    <t>LATAKIA</t>
  </si>
  <si>
    <t>SYPMS</t>
  </si>
  <si>
    <t>PMS</t>
  </si>
  <si>
    <t>PALMYRA</t>
  </si>
  <si>
    <t>SYSOR</t>
  </si>
  <si>
    <t>AL THAURAH</t>
  </si>
  <si>
    <t>SYTTS</t>
  </si>
  <si>
    <t>TARTOUS</t>
  </si>
  <si>
    <t>SYZZZ</t>
  </si>
  <si>
    <t>ESWATINI</t>
  </si>
  <si>
    <t>エスワティニ</t>
  </si>
  <si>
    <t>SZMTS</t>
  </si>
  <si>
    <t>SZ</t>
  </si>
  <si>
    <t>MANZINI</t>
  </si>
  <si>
    <t>ESWAT</t>
  </si>
  <si>
    <t>SZZZZ</t>
  </si>
  <si>
    <t>TURKS AND CAICOS ISLANDS</t>
  </si>
  <si>
    <t>タークス及びカイコス諸島（英）</t>
  </si>
  <si>
    <t>TCGDT</t>
  </si>
  <si>
    <t>TC</t>
  </si>
  <si>
    <t>GDT</t>
  </si>
  <si>
    <t>GRAND TURK ISLAND</t>
  </si>
  <si>
    <t>TCMDS</t>
  </si>
  <si>
    <t>MDS</t>
  </si>
  <si>
    <t>MIDDLE CAICOS</t>
  </si>
  <si>
    <t>TCNCA</t>
  </si>
  <si>
    <t>NORTH CAICOS</t>
  </si>
  <si>
    <t>TCPIC</t>
  </si>
  <si>
    <t>PINE CAY</t>
  </si>
  <si>
    <t>TCPLS</t>
  </si>
  <si>
    <t>PLS</t>
  </si>
  <si>
    <t>PROVIDENCIALE</t>
  </si>
  <si>
    <t>TCSLX</t>
  </si>
  <si>
    <t>SALT CAY</t>
  </si>
  <si>
    <t>TCXSC</t>
  </si>
  <si>
    <t>XSC</t>
  </si>
  <si>
    <t>SOUTH CAICOS</t>
  </si>
  <si>
    <t>TCZZZ</t>
  </si>
  <si>
    <t>CHAD</t>
  </si>
  <si>
    <t>チャド</t>
  </si>
  <si>
    <t>TDAEH</t>
  </si>
  <si>
    <t>TD</t>
  </si>
  <si>
    <t>AEH</t>
  </si>
  <si>
    <t>ABECHER</t>
  </si>
  <si>
    <t>TDAKM</t>
  </si>
  <si>
    <t>ZAKOUMA</t>
  </si>
  <si>
    <t>TDAMC</t>
  </si>
  <si>
    <t>AMC</t>
  </si>
  <si>
    <t>AM TIMAN</t>
  </si>
  <si>
    <t>TDAMO</t>
  </si>
  <si>
    <t>AMO</t>
  </si>
  <si>
    <t>TDAOD</t>
  </si>
  <si>
    <t>AOD</t>
  </si>
  <si>
    <t>ABOU DEIA</t>
  </si>
  <si>
    <t>TDATV</t>
  </si>
  <si>
    <t>ATV</t>
  </si>
  <si>
    <t>TDBKR</t>
  </si>
  <si>
    <t>BOKORO</t>
  </si>
  <si>
    <t>TDFYT</t>
  </si>
  <si>
    <t>FYT</t>
  </si>
  <si>
    <t>FAYA</t>
  </si>
  <si>
    <t>TDLTC</t>
  </si>
  <si>
    <t>LTC</t>
  </si>
  <si>
    <t>TDMEF</t>
  </si>
  <si>
    <t>MEF</t>
  </si>
  <si>
    <t>MELFI</t>
  </si>
  <si>
    <t>TDMQQ</t>
  </si>
  <si>
    <t>MQQ</t>
  </si>
  <si>
    <t>MOUNDOU</t>
  </si>
  <si>
    <t>TDMVO</t>
  </si>
  <si>
    <t>MONGO</t>
  </si>
  <si>
    <t>TDNDJ</t>
  </si>
  <si>
    <t>NDJ</t>
  </si>
  <si>
    <t>NDJAMENA</t>
  </si>
  <si>
    <t>TDOGR</t>
  </si>
  <si>
    <t>OGR</t>
  </si>
  <si>
    <t>BONGOR</t>
  </si>
  <si>
    <t>TDOTC</t>
  </si>
  <si>
    <t>OTC</t>
  </si>
  <si>
    <t>TDOUM</t>
  </si>
  <si>
    <t>OUM HADJER</t>
  </si>
  <si>
    <t>TDOUT</t>
  </si>
  <si>
    <t>OUT</t>
  </si>
  <si>
    <t>BOUSSO</t>
  </si>
  <si>
    <t>TDPLF</t>
  </si>
  <si>
    <t>PLF</t>
  </si>
  <si>
    <t>PALA</t>
  </si>
  <si>
    <t>TDSRH</t>
  </si>
  <si>
    <t>SARH</t>
  </si>
  <si>
    <t>TDZZZ</t>
  </si>
  <si>
    <t>TOGO</t>
  </si>
  <si>
    <t>トーゴ</t>
  </si>
  <si>
    <t>TGANE</t>
  </si>
  <si>
    <t>TG</t>
  </si>
  <si>
    <t>ANECHO</t>
  </si>
  <si>
    <t>TGKPE</t>
  </si>
  <si>
    <t>KPEME</t>
  </si>
  <si>
    <t>TGLFW</t>
  </si>
  <si>
    <t>LFW</t>
  </si>
  <si>
    <t>LOME</t>
  </si>
  <si>
    <t>TGLRL</t>
  </si>
  <si>
    <t>LRL</t>
  </si>
  <si>
    <t>LAMA-KARA</t>
  </si>
  <si>
    <t>TGZZZ</t>
  </si>
  <si>
    <t>THAILAND</t>
  </si>
  <si>
    <t>タイ</t>
  </si>
  <si>
    <t>THBAO</t>
  </si>
  <si>
    <t>TH</t>
  </si>
  <si>
    <t>BAO</t>
  </si>
  <si>
    <t>BAN MAK KHAEN</t>
  </si>
  <si>
    <t>THAI</t>
  </si>
  <si>
    <t>THBKK</t>
  </si>
  <si>
    <t>BKK</t>
  </si>
  <si>
    <t>BANGKOK</t>
  </si>
  <si>
    <t>THBND</t>
  </si>
  <si>
    <t>BANDON</t>
  </si>
  <si>
    <t>THBNG</t>
  </si>
  <si>
    <t>BANGNARA</t>
  </si>
  <si>
    <t>THBNL</t>
  </si>
  <si>
    <t>BNL</t>
  </si>
  <si>
    <t>BANLAEM</t>
  </si>
  <si>
    <t>THBTP</t>
  </si>
  <si>
    <t>BTP</t>
  </si>
  <si>
    <t>BAN TAJUA PA</t>
  </si>
  <si>
    <t>THCEI</t>
  </si>
  <si>
    <t>CHIANG-RAI</t>
  </si>
  <si>
    <t>THCHU</t>
  </si>
  <si>
    <t>CHUMPORN</t>
  </si>
  <si>
    <t>THCNX</t>
  </si>
  <si>
    <t>CHIANG MAI</t>
  </si>
  <si>
    <t>THDMK</t>
  </si>
  <si>
    <t>DMK</t>
  </si>
  <si>
    <t>DON MUEANG INTERNATIONAL AIRPORT</t>
  </si>
  <si>
    <t>THHDY</t>
  </si>
  <si>
    <t>HDY</t>
  </si>
  <si>
    <t>HAT YAI</t>
  </si>
  <si>
    <t>THHGN</t>
  </si>
  <si>
    <t>MAE HONG SON</t>
  </si>
  <si>
    <t>THHKT</t>
  </si>
  <si>
    <t>PHUKET</t>
  </si>
  <si>
    <t>THKAN</t>
  </si>
  <si>
    <t>KANJANG</t>
  </si>
  <si>
    <t>THKBV</t>
  </si>
  <si>
    <t>KBV</t>
  </si>
  <si>
    <t>KRABI</t>
  </si>
  <si>
    <t>THKKC</t>
  </si>
  <si>
    <t>KKC</t>
  </si>
  <si>
    <t>KHON KAEN</t>
  </si>
  <si>
    <t>THKKM</t>
  </si>
  <si>
    <t>LOP BURI</t>
  </si>
  <si>
    <t>THKLA</t>
  </si>
  <si>
    <t>KOH LANTA</t>
  </si>
  <si>
    <t>THKLY</t>
  </si>
  <si>
    <t>KLONG-YAI</t>
  </si>
  <si>
    <t>THKNO</t>
  </si>
  <si>
    <t>KOH NOK</t>
  </si>
  <si>
    <t>THKOP</t>
  </si>
  <si>
    <t>NAKHOM PHANOM</t>
  </si>
  <si>
    <t>THKSI</t>
  </si>
  <si>
    <t>KOH SICHANG</t>
  </si>
  <si>
    <t>THKYO</t>
  </si>
  <si>
    <t>KOH YAO</t>
  </si>
  <si>
    <t>THLAS</t>
  </si>
  <si>
    <t>LANG SUAN</t>
  </si>
  <si>
    <t>THLCH</t>
  </si>
  <si>
    <t>LAEM CHABANG</t>
  </si>
  <si>
    <t>THLKR</t>
  </si>
  <si>
    <t>LAT KRABANG</t>
  </si>
  <si>
    <t>THLOE</t>
  </si>
  <si>
    <t>LOEI</t>
  </si>
  <si>
    <t>THLPT</t>
  </si>
  <si>
    <t>LPT</t>
  </si>
  <si>
    <t>LAMPANG</t>
  </si>
  <si>
    <t>THMAQ</t>
  </si>
  <si>
    <t>MAQ</t>
  </si>
  <si>
    <t>MAE-SOT</t>
  </si>
  <si>
    <t>THMEK</t>
  </si>
  <si>
    <t>MEKLONG</t>
  </si>
  <si>
    <t>THNAK</t>
  </si>
  <si>
    <t>NAKHON RATCHASIMA APT</t>
  </si>
  <si>
    <t>THNAW</t>
  </si>
  <si>
    <t>NAW</t>
  </si>
  <si>
    <t>NARATHIWAT</t>
  </si>
  <si>
    <t>THNNT</t>
  </si>
  <si>
    <t>THPAN</t>
  </si>
  <si>
    <t>PATTANI</t>
  </si>
  <si>
    <t>THPHA</t>
  </si>
  <si>
    <t>PHA</t>
  </si>
  <si>
    <t>PHANGNGA</t>
  </si>
  <si>
    <t>THPHS</t>
  </si>
  <si>
    <t>PHS</t>
  </si>
  <si>
    <t>PHITSANULOK</t>
  </si>
  <si>
    <t>THPKB</t>
  </si>
  <si>
    <t>PKB</t>
  </si>
  <si>
    <t>PAKBARA</t>
  </si>
  <si>
    <t>THPKN</t>
  </si>
  <si>
    <t>PAKNAM</t>
  </si>
  <si>
    <t>THPKP</t>
  </si>
  <si>
    <t>PAKPANANG</t>
  </si>
  <si>
    <t>THPMM</t>
  </si>
  <si>
    <t>PHANOM SARAKH</t>
  </si>
  <si>
    <t>THPRH</t>
  </si>
  <si>
    <t>PHRAE</t>
  </si>
  <si>
    <t>THSAT</t>
  </si>
  <si>
    <t>SATTAHIP</t>
  </si>
  <si>
    <t>THSGZ</t>
  </si>
  <si>
    <t>SGZ</t>
  </si>
  <si>
    <t>SONGKHLA</t>
  </si>
  <si>
    <t>THSIC</t>
  </si>
  <si>
    <t>SICHOL</t>
  </si>
  <si>
    <t>THSIN</t>
  </si>
  <si>
    <t>SINGORA</t>
  </si>
  <si>
    <t>THSNO</t>
  </si>
  <si>
    <t>SAKON NAKHON</t>
  </si>
  <si>
    <t>THSRI</t>
  </si>
  <si>
    <t>SRIRACHA</t>
  </si>
  <si>
    <t>THTAC</t>
  </si>
  <si>
    <t>TA-CHALAEB</t>
  </si>
  <si>
    <t>THTHA</t>
  </si>
  <si>
    <t>THA SALA</t>
  </si>
  <si>
    <t>THTKH</t>
  </si>
  <si>
    <t>TAKHLI</t>
  </si>
  <si>
    <t>THTKT</t>
  </si>
  <si>
    <t>THTST</t>
  </si>
  <si>
    <t>TRANG</t>
  </si>
  <si>
    <t>THUBP</t>
  </si>
  <si>
    <t>UBP</t>
  </si>
  <si>
    <t>UBON RATCHATHANI</t>
  </si>
  <si>
    <t>THUNN</t>
  </si>
  <si>
    <t>RANONG</t>
  </si>
  <si>
    <t>THURT</t>
  </si>
  <si>
    <t>URT</t>
  </si>
  <si>
    <t>SURAT THANI</t>
  </si>
  <si>
    <t>THUSM</t>
  </si>
  <si>
    <t>USM</t>
  </si>
  <si>
    <t>KOH SAMUI</t>
  </si>
  <si>
    <t>THUTH</t>
  </si>
  <si>
    <t>UTH</t>
  </si>
  <si>
    <t>UDON THANI</t>
  </si>
  <si>
    <t>THUTP</t>
  </si>
  <si>
    <t>UTP</t>
  </si>
  <si>
    <t>UTAPAO</t>
  </si>
  <si>
    <t>THUTR</t>
  </si>
  <si>
    <t>UTR</t>
  </si>
  <si>
    <t>UTTARADIT</t>
  </si>
  <si>
    <t>THZZZ</t>
  </si>
  <si>
    <t>SUKHOTHAI</t>
  </si>
  <si>
    <t>REPUBLIC OF TADZHIKISTAN</t>
  </si>
  <si>
    <t>タジキスタン</t>
  </si>
  <si>
    <t>TJDYU</t>
  </si>
  <si>
    <t>TJ</t>
  </si>
  <si>
    <t>DYU</t>
  </si>
  <si>
    <t>DUSHANBE</t>
  </si>
  <si>
    <t>TADZH</t>
  </si>
  <si>
    <t>TJZZZ</t>
  </si>
  <si>
    <t>TOKELAU ISLANDS</t>
  </si>
  <si>
    <t>トケラウ諸島（ニュージーランド）</t>
  </si>
  <si>
    <t>TKAFU</t>
  </si>
  <si>
    <t>TK</t>
  </si>
  <si>
    <t>AFU</t>
  </si>
  <si>
    <t>ATAFU</t>
  </si>
  <si>
    <t>TKFKU</t>
  </si>
  <si>
    <t>FAKAOFO</t>
  </si>
  <si>
    <t>TKNKU</t>
  </si>
  <si>
    <t>NUKUNONU</t>
  </si>
  <si>
    <t>TKZZZ</t>
  </si>
  <si>
    <t>TIMOR-LESTE</t>
  </si>
  <si>
    <t>東ティモール</t>
  </si>
  <si>
    <t>TLDIL</t>
  </si>
  <si>
    <t>TL</t>
  </si>
  <si>
    <t>TIMOR</t>
  </si>
  <si>
    <t>TLZZZ</t>
  </si>
  <si>
    <t>TURKMENISTAN</t>
  </si>
  <si>
    <t>トルクメニスタン</t>
  </si>
  <si>
    <t>TMASB</t>
  </si>
  <si>
    <t>TM</t>
  </si>
  <si>
    <t>ASHKHABAD</t>
  </si>
  <si>
    <t>TURKM</t>
  </si>
  <si>
    <t>TMZZZ</t>
  </si>
  <si>
    <t>TUNISIA</t>
  </si>
  <si>
    <t>チュニジア</t>
  </si>
  <si>
    <t>TNBEJ</t>
  </si>
  <si>
    <t>TN</t>
  </si>
  <si>
    <t>BEJA</t>
  </si>
  <si>
    <t>TNBGA</t>
  </si>
  <si>
    <t>BEN GARDANE</t>
  </si>
  <si>
    <t>TNBIZ</t>
  </si>
  <si>
    <t>BIZ</t>
  </si>
  <si>
    <t>BIZERTE</t>
  </si>
  <si>
    <t>TNDJE</t>
  </si>
  <si>
    <t>DJE</t>
  </si>
  <si>
    <t>DJERBA</t>
  </si>
  <si>
    <t>TNGAE</t>
  </si>
  <si>
    <t>GABES</t>
  </si>
  <si>
    <t>TNGAF</t>
  </si>
  <si>
    <t>GAF</t>
  </si>
  <si>
    <t>GAFSA</t>
  </si>
  <si>
    <t>TNKEL</t>
  </si>
  <si>
    <t>KELIBIA</t>
  </si>
  <si>
    <t>TNKER</t>
  </si>
  <si>
    <t>KERKENA</t>
  </si>
  <si>
    <t>TNKKE</t>
  </si>
  <si>
    <t>KALAA KEBIRA</t>
  </si>
  <si>
    <t>TNKOR</t>
  </si>
  <si>
    <t>KORBA</t>
  </si>
  <si>
    <t>TNLGN</t>
  </si>
  <si>
    <t>LA GOULETTE NORD (HALQUELOUED)</t>
  </si>
  <si>
    <t>TNLSK</t>
  </si>
  <si>
    <t>LSK</t>
  </si>
  <si>
    <t>LA SKHIRRA</t>
  </si>
  <si>
    <t>TNMAH</t>
  </si>
  <si>
    <t>MAHARES</t>
  </si>
  <si>
    <t>TNMAT</t>
  </si>
  <si>
    <t>MATEUR</t>
  </si>
  <si>
    <t>TNMBA</t>
  </si>
  <si>
    <t>MENZEL BOURGUIBA</t>
  </si>
  <si>
    <t>TNMIR</t>
  </si>
  <si>
    <t>MONASTIR</t>
  </si>
  <si>
    <t>TNMOK</t>
  </si>
  <si>
    <t>MOKNINE</t>
  </si>
  <si>
    <t>TNMTE</t>
  </si>
  <si>
    <t>MENZEL TEMIME</t>
  </si>
  <si>
    <t>TNNAB</t>
  </si>
  <si>
    <t>NABEUL</t>
  </si>
  <si>
    <t>TNSFA</t>
  </si>
  <si>
    <t>SFA</t>
  </si>
  <si>
    <t>SFAX</t>
  </si>
  <si>
    <t>TNSUS</t>
  </si>
  <si>
    <t>SOUSSE</t>
  </si>
  <si>
    <t>TNTBJ</t>
  </si>
  <si>
    <t>TBJ</t>
  </si>
  <si>
    <t>TABARKA</t>
  </si>
  <si>
    <t>TNTOE</t>
  </si>
  <si>
    <t>TOZEUR</t>
  </si>
  <si>
    <t>TNTUN</t>
  </si>
  <si>
    <t>TUNIS</t>
  </si>
  <si>
    <t>TNZZZ</t>
  </si>
  <si>
    <t>TONGA</t>
  </si>
  <si>
    <t>トンガ</t>
  </si>
  <si>
    <t>TOEUA</t>
  </si>
  <si>
    <t>TO</t>
  </si>
  <si>
    <t>EUA</t>
  </si>
  <si>
    <t>TOHPA</t>
  </si>
  <si>
    <t>HPA</t>
  </si>
  <si>
    <t>HA'APAI</t>
  </si>
  <si>
    <t>TONEI</t>
  </si>
  <si>
    <t>NEI</t>
  </si>
  <si>
    <t>NEIAFU</t>
  </si>
  <si>
    <t>TONTT</t>
  </si>
  <si>
    <t>NTT</t>
  </si>
  <si>
    <t>NIUATOPUTAPU</t>
  </si>
  <si>
    <t>TOTBU</t>
  </si>
  <si>
    <t>NUKU'ALOFA-TONGATAPU</t>
  </si>
  <si>
    <t>TOVAV</t>
  </si>
  <si>
    <t>VAVA'U</t>
  </si>
  <si>
    <t>TOZZZ</t>
  </si>
  <si>
    <t>EAST TIMOR</t>
  </si>
  <si>
    <t>東チモール</t>
  </si>
  <si>
    <t>TPDIL</t>
  </si>
  <si>
    <t>TP</t>
  </si>
  <si>
    <t>TPZZZ</t>
  </si>
  <si>
    <t>TURKEY</t>
  </si>
  <si>
    <t>トルコ</t>
  </si>
  <si>
    <t>TRADA</t>
  </si>
  <si>
    <t>TR</t>
  </si>
  <si>
    <t>ADANA</t>
  </si>
  <si>
    <t>TURK</t>
  </si>
  <si>
    <t>TRAFY</t>
  </si>
  <si>
    <t>AFY</t>
  </si>
  <si>
    <t>AFYON</t>
  </si>
  <si>
    <t>TRAKB</t>
  </si>
  <si>
    <t>AKCAABAT - TRABZON</t>
  </si>
  <si>
    <t>TRAKY</t>
  </si>
  <si>
    <t>AKCAY - BALIKESIR</t>
  </si>
  <si>
    <t>TRALA</t>
  </si>
  <si>
    <t>ALANYA - ANTALYA</t>
  </si>
  <si>
    <t>TRALI</t>
  </si>
  <si>
    <t>ALI</t>
  </si>
  <si>
    <t>ALIAGA</t>
  </si>
  <si>
    <t>TRANK</t>
  </si>
  <si>
    <t>ANKARA</t>
  </si>
  <si>
    <t>TRASR</t>
  </si>
  <si>
    <t>KAYSERI</t>
  </si>
  <si>
    <t>TRAYA</t>
  </si>
  <si>
    <t>AYANCIK - SINOP</t>
  </si>
  <si>
    <t>TRAYT</t>
  </si>
  <si>
    <t>AYT</t>
  </si>
  <si>
    <t>ANTALYA</t>
  </si>
  <si>
    <t>TRAYV</t>
  </si>
  <si>
    <t>AYV</t>
  </si>
  <si>
    <t>AYVALIK - BALIKESIR</t>
  </si>
  <si>
    <t>TRBAL</t>
  </si>
  <si>
    <t>BATMAN</t>
  </si>
  <si>
    <t>TRBDM</t>
  </si>
  <si>
    <t>BANDIRMA - BALIKESIR</t>
  </si>
  <si>
    <t>TRBOG</t>
  </si>
  <si>
    <t>BOGAZAGZI - ZONGULDAK</t>
  </si>
  <si>
    <t>TRBTZ</t>
  </si>
  <si>
    <t>BTZ</t>
  </si>
  <si>
    <t>BURSA</t>
  </si>
  <si>
    <t>TRBUY</t>
  </si>
  <si>
    <t>BUYUKCUKUR - BURSA</t>
  </si>
  <si>
    <t>TRBXN</t>
  </si>
  <si>
    <t>BXN</t>
  </si>
  <si>
    <t>BODRUM</t>
  </si>
  <si>
    <t>TRBZB</t>
  </si>
  <si>
    <t>BZB</t>
  </si>
  <si>
    <t>BOZBURUN - MUGLA</t>
  </si>
  <si>
    <t>TRBZC</t>
  </si>
  <si>
    <t>BZC</t>
  </si>
  <si>
    <t>BOZCAADA - CANAKKALE</t>
  </si>
  <si>
    <t>TRBZI</t>
  </si>
  <si>
    <t>BZI</t>
  </si>
  <si>
    <t>BALIKESIR</t>
  </si>
  <si>
    <t>TRCES</t>
  </si>
  <si>
    <t>CESME - IZMIR</t>
  </si>
  <si>
    <t>TRCIG</t>
  </si>
  <si>
    <t>CIGLI - IZMIR</t>
  </si>
  <si>
    <t>TRCKZ</t>
  </si>
  <si>
    <t>CKZ</t>
  </si>
  <si>
    <t>CANAKKALE</t>
  </si>
  <si>
    <t>TRCUB</t>
  </si>
  <si>
    <t>CUB</t>
  </si>
  <si>
    <t>CUBUKLU - ISTANBUL</t>
  </si>
  <si>
    <t>TRDAT</t>
  </si>
  <si>
    <t>DATCA - MUGLA</t>
  </si>
  <si>
    <t>TRDEK</t>
  </si>
  <si>
    <t>DEK</t>
  </si>
  <si>
    <t>DEREKOY - KIRKLARELI</t>
  </si>
  <si>
    <t>TRDIK</t>
  </si>
  <si>
    <t>DIK</t>
  </si>
  <si>
    <t>DIKILI - IZMIR</t>
  </si>
  <si>
    <t>TRDIY</t>
  </si>
  <si>
    <t>DIY</t>
  </si>
  <si>
    <t>DIYARBAKIR</t>
  </si>
  <si>
    <t>TRDLM</t>
  </si>
  <si>
    <t>DLM</t>
  </si>
  <si>
    <t>DALAMAN</t>
  </si>
  <si>
    <t>TRDRC</t>
  </si>
  <si>
    <t>DERINCE - KOCAELI</t>
  </si>
  <si>
    <t>TRENE</t>
  </si>
  <si>
    <t>ENEZ - EDIRNE</t>
  </si>
  <si>
    <t>TRERC</t>
  </si>
  <si>
    <t>ERC</t>
  </si>
  <si>
    <t>ERZINCAN</t>
  </si>
  <si>
    <t>TRERE</t>
  </si>
  <si>
    <t>EREGLI - ZONGULDAK</t>
  </si>
  <si>
    <t>TRERZ</t>
  </si>
  <si>
    <t>ERZ</t>
  </si>
  <si>
    <t>ERZURUM</t>
  </si>
  <si>
    <t>TRESB</t>
  </si>
  <si>
    <t>ESB</t>
  </si>
  <si>
    <t>ESENBOGA APT/ANKARA</t>
  </si>
  <si>
    <t>TRESK</t>
  </si>
  <si>
    <t>ESKISEHIR</t>
  </si>
  <si>
    <t>TREYP</t>
  </si>
  <si>
    <t>EVYAP PORT/KOCAELI</t>
  </si>
  <si>
    <t>TREZS</t>
  </si>
  <si>
    <t>EZS</t>
  </si>
  <si>
    <t>ELAZIG</t>
  </si>
  <si>
    <t>TRFAS</t>
  </si>
  <si>
    <t>FATSA - ORDU</t>
  </si>
  <si>
    <t>TRFET</t>
  </si>
  <si>
    <t>FET</t>
  </si>
  <si>
    <t>FETHIYE - MUGLA</t>
  </si>
  <si>
    <t>TRFIN</t>
  </si>
  <si>
    <t>FINIKE - ANTALYA</t>
  </si>
  <si>
    <t>TRFOC</t>
  </si>
  <si>
    <t>FOCA - IZMIR</t>
  </si>
  <si>
    <t>TRGCA</t>
  </si>
  <si>
    <t>GOKCEADA - CANAKKALE</t>
  </si>
  <si>
    <t>TRGCK</t>
  </si>
  <si>
    <t>GCK</t>
  </si>
  <si>
    <t>GOCEK - MUGLA</t>
  </si>
  <si>
    <t>TRGEL</t>
  </si>
  <si>
    <t>GELIBOLU - CANAKKALE</t>
  </si>
  <si>
    <t>TRGEM</t>
  </si>
  <si>
    <t>GEMLIK - BURSA</t>
  </si>
  <si>
    <t>TRGIR</t>
  </si>
  <si>
    <t>GIRESUN</t>
  </si>
  <si>
    <t>TRGKV</t>
  </si>
  <si>
    <t>GKV</t>
  </si>
  <si>
    <t>GOKOVA - MUGLA</t>
  </si>
  <si>
    <t>TRGOR</t>
  </si>
  <si>
    <t>GORELE - GIRESUN</t>
  </si>
  <si>
    <t>TRGUL</t>
  </si>
  <si>
    <t>GULLUK - MUGLA</t>
  </si>
  <si>
    <t>TRGZT</t>
  </si>
  <si>
    <t>GZT</t>
  </si>
  <si>
    <t>GAZIANTEP</t>
  </si>
  <si>
    <t>TRHAR</t>
  </si>
  <si>
    <t>HARAMIDERE - ISTANBUL</t>
  </si>
  <si>
    <t>TRHAY</t>
  </si>
  <si>
    <t>HAYDARPASA - ISTANBUL</t>
  </si>
  <si>
    <t>TRHER</t>
  </si>
  <si>
    <t>HEREKE - KOCAELI</t>
  </si>
  <si>
    <t>TRHOP</t>
  </si>
  <si>
    <t>HOPA - ARTVIN</t>
  </si>
  <si>
    <t>TRIGL</t>
  </si>
  <si>
    <t>IGL</t>
  </si>
  <si>
    <t>IZMIR-CIGLI AIRBASE</t>
  </si>
  <si>
    <t>TRIGN</t>
  </si>
  <si>
    <t>IGNEADA - KIRKLARELI</t>
  </si>
  <si>
    <t>TRINC</t>
  </si>
  <si>
    <t>INCIRLIK HAVAALANI -ADANA</t>
  </si>
  <si>
    <t>TRINE</t>
  </si>
  <si>
    <t>INEBOLU - KASTAMONU</t>
  </si>
  <si>
    <t>TRIPS</t>
  </si>
  <si>
    <t>IPSALA - EDIRNE</t>
  </si>
  <si>
    <t>TRISK</t>
  </si>
  <si>
    <t>ISKENDERUN - HATAY</t>
  </si>
  <si>
    <t>TRIST</t>
  </si>
  <si>
    <t>IST</t>
  </si>
  <si>
    <t>ISTANBUL</t>
  </si>
  <si>
    <t>TRIZM</t>
  </si>
  <si>
    <t>IZMIR (SMYRNA)</t>
  </si>
  <si>
    <t>TRIZT</t>
  </si>
  <si>
    <t>IZMIT - KOCAELI</t>
  </si>
  <si>
    <t>TRKAR</t>
  </si>
  <si>
    <t>KARTAL - ISTANBUL</t>
  </si>
  <si>
    <t>TRKAS</t>
  </si>
  <si>
    <t>KAS - ANTALYA</t>
  </si>
  <si>
    <t>TRKFZ</t>
  </si>
  <si>
    <t>KFZ</t>
  </si>
  <si>
    <t>KORFEZ</t>
  </si>
  <si>
    <t>TRKPU</t>
  </si>
  <si>
    <t>KAPIKULE - EDIRNE</t>
  </si>
  <si>
    <t>TRKPY</t>
  </si>
  <si>
    <t>KPY</t>
  </si>
  <si>
    <t>KAPIKOY - VAN</t>
  </si>
  <si>
    <t>TRKRB</t>
  </si>
  <si>
    <t>KARABIGA - CANAKKALE</t>
  </si>
  <si>
    <t>TRKUS</t>
  </si>
  <si>
    <t>KUSADASI - AYDIN</t>
  </si>
  <si>
    <t>TRKYA</t>
  </si>
  <si>
    <t>KONYA</t>
  </si>
  <si>
    <t>TRMER</t>
  </si>
  <si>
    <t>MERSIN - ICEL</t>
  </si>
  <si>
    <t>TRMLX</t>
  </si>
  <si>
    <t>MALATYA</t>
  </si>
  <si>
    <t>TRMRA</t>
  </si>
  <si>
    <t>MARMARA ADASI - BALIKESIR</t>
  </si>
  <si>
    <t>TRMRM</t>
  </si>
  <si>
    <t>MARMARIS - MUGLA</t>
  </si>
  <si>
    <t>TRMUD</t>
  </si>
  <si>
    <t>MUDANYA - BURSA</t>
  </si>
  <si>
    <t>TRMUG</t>
  </si>
  <si>
    <t>MUGLA</t>
  </si>
  <si>
    <t>TRODU</t>
  </si>
  <si>
    <t>ODU</t>
  </si>
  <si>
    <t>ODUNLUK - CANAKKALE</t>
  </si>
  <si>
    <t>TRORD</t>
  </si>
  <si>
    <t>ORD</t>
  </si>
  <si>
    <t>ORDU</t>
  </si>
  <si>
    <t>TRPAZ</t>
  </si>
  <si>
    <t>PAZARKULE - EDIRNE</t>
  </si>
  <si>
    <t>TRRIZ</t>
  </si>
  <si>
    <t>RIZE</t>
  </si>
  <si>
    <t>TRSAW</t>
  </si>
  <si>
    <t>SABIHA GOKCEN</t>
  </si>
  <si>
    <t>TRSER</t>
  </si>
  <si>
    <t>SERVIBURUN - ISTANBUL</t>
  </si>
  <si>
    <t>TRSEY</t>
  </si>
  <si>
    <t>SEYDISEHIR - KONYA</t>
  </si>
  <si>
    <t>TRSFQ</t>
  </si>
  <si>
    <t>SFQ</t>
  </si>
  <si>
    <t>GUNEY ANADOLU PROJESI (SANLIURFA)</t>
  </si>
  <si>
    <t>GNY</t>
  </si>
  <si>
    <t>TRSIC</t>
  </si>
  <si>
    <t>TRSIR</t>
  </si>
  <si>
    <t>SIRKECI - ISTANBUL</t>
  </si>
  <si>
    <t>TRSSX</t>
  </si>
  <si>
    <t>SSX</t>
  </si>
  <si>
    <t>SAMSUN</t>
  </si>
  <si>
    <t>TRTAS</t>
  </si>
  <si>
    <t>TASUCU - ICEL</t>
  </si>
  <si>
    <t>TRTEK</t>
  </si>
  <si>
    <t>TEKIRDAG</t>
  </si>
  <si>
    <t>TRTIR</t>
  </si>
  <si>
    <t>TIREBOLU - GIRESUN</t>
  </si>
  <si>
    <t>TRTUR</t>
  </si>
  <si>
    <t>TURAN - IZMIR</t>
  </si>
  <si>
    <t>TRTUT</t>
  </si>
  <si>
    <t>TUTUNCIFTLIK - KOCAELI</t>
  </si>
  <si>
    <t>TRTZX</t>
  </si>
  <si>
    <t>TZX</t>
  </si>
  <si>
    <t>TRABZON</t>
  </si>
  <si>
    <t>TRUNY</t>
  </si>
  <si>
    <t>UNY</t>
  </si>
  <si>
    <t>UNYE - ORDU</t>
  </si>
  <si>
    <t>TRVAN</t>
  </si>
  <si>
    <t>TRVAS</t>
  </si>
  <si>
    <t>SIVAS</t>
  </si>
  <si>
    <t>TRYAR</t>
  </si>
  <si>
    <t>YAR</t>
  </si>
  <si>
    <t>YARIMCA - KOCAELI</t>
  </si>
  <si>
    <t>TRYES</t>
  </si>
  <si>
    <t>YES</t>
  </si>
  <si>
    <t>YESILKOY - ISTANBUL</t>
  </si>
  <si>
    <t>TRZON</t>
  </si>
  <si>
    <t>ZON</t>
  </si>
  <si>
    <t>ZONGULDAK</t>
  </si>
  <si>
    <t>TRZZZ</t>
  </si>
  <si>
    <t>ADNAN MENDERES APT</t>
  </si>
  <si>
    <t>ISTANBUL(ATATURK)</t>
  </si>
  <si>
    <t>MARDIN</t>
  </si>
  <si>
    <t>MQM</t>
  </si>
  <si>
    <t>TRINIDAD AND TOBAGO</t>
  </si>
  <si>
    <t>トリニダード・トバゴ</t>
  </si>
  <si>
    <t>TTCHA</t>
  </si>
  <si>
    <t>TT</t>
  </si>
  <si>
    <t>CHAGUARAMAS</t>
  </si>
  <si>
    <t>TTLAB</t>
  </si>
  <si>
    <t>LA BREA (BRIGHTON)</t>
  </si>
  <si>
    <t>TTPOS</t>
  </si>
  <si>
    <t>POS</t>
  </si>
  <si>
    <t>PORT OF SPAIN</t>
  </si>
  <si>
    <t>TRIN</t>
  </si>
  <si>
    <t>TTPTF</t>
  </si>
  <si>
    <t>POINT FORTIN</t>
  </si>
  <si>
    <t>TTPTG</t>
  </si>
  <si>
    <t>PTG</t>
  </si>
  <si>
    <t>POINT GALEOTA</t>
  </si>
  <si>
    <t>TTPTP</t>
  </si>
  <si>
    <t>POINTE A PIERRE</t>
  </si>
  <si>
    <t>TTPTS</t>
  </si>
  <si>
    <t>PTS</t>
  </si>
  <si>
    <t>POINT LISAS</t>
  </si>
  <si>
    <t>TTSCA</t>
  </si>
  <si>
    <t>SCARBOROUGH/TOBAGO</t>
  </si>
  <si>
    <t>TTSFE</t>
  </si>
  <si>
    <t>TTTAB</t>
  </si>
  <si>
    <t>TOBAGO</t>
  </si>
  <si>
    <t>TTTEM</t>
  </si>
  <si>
    <t>TEMBLADORA</t>
  </si>
  <si>
    <t>TTZZZ</t>
  </si>
  <si>
    <t>TUVALU</t>
  </si>
  <si>
    <t>ツバル</t>
  </si>
  <si>
    <t>TVFUN</t>
  </si>
  <si>
    <t>TV</t>
  </si>
  <si>
    <t>FUN</t>
  </si>
  <si>
    <t>FUNAFUTI</t>
  </si>
  <si>
    <t>ELLIS</t>
  </si>
  <si>
    <t>TVZZZ</t>
  </si>
  <si>
    <t>TAIWAN, PROVINCE OF CHINA</t>
  </si>
  <si>
    <t>台湾</t>
  </si>
  <si>
    <t>TWAPG</t>
  </si>
  <si>
    <t>TW</t>
  </si>
  <si>
    <t>APG</t>
  </si>
  <si>
    <t>AN PING</t>
  </si>
  <si>
    <t>TWCYI</t>
  </si>
  <si>
    <t>CYI</t>
  </si>
  <si>
    <t>CHIAYI</t>
  </si>
  <si>
    <t>TAIWN</t>
  </si>
  <si>
    <t>TWHSZ</t>
  </si>
  <si>
    <t>HSZ</t>
  </si>
  <si>
    <t>HSINCHU</t>
  </si>
  <si>
    <t>TWHUN</t>
  </si>
  <si>
    <t>HUALIEN</t>
  </si>
  <si>
    <t>TWKEL</t>
  </si>
  <si>
    <t>KEELUNG (CHILUNG)</t>
  </si>
  <si>
    <t>TWKHH</t>
  </si>
  <si>
    <t>KHH</t>
  </si>
  <si>
    <t>KAOHSIUNG (TAKAO)</t>
  </si>
  <si>
    <t>TWLHN</t>
  </si>
  <si>
    <t>LHN</t>
  </si>
  <si>
    <t>LISHAN</t>
  </si>
  <si>
    <t>TWMLI</t>
  </si>
  <si>
    <t>MAI LIAO</t>
  </si>
  <si>
    <t>TWMZG</t>
  </si>
  <si>
    <t>MZG</t>
  </si>
  <si>
    <t>MAKUNG</t>
  </si>
  <si>
    <t>TWSMT</t>
  </si>
  <si>
    <t>SUN MOON LAKE</t>
  </si>
  <si>
    <t>TWSUO</t>
  </si>
  <si>
    <t>SUO</t>
  </si>
  <si>
    <t>SUAO</t>
  </si>
  <si>
    <t>TWTNN</t>
  </si>
  <si>
    <t>TNN</t>
  </si>
  <si>
    <t>TAINAN</t>
  </si>
  <si>
    <t>TWTPE</t>
  </si>
  <si>
    <t>TPE</t>
  </si>
  <si>
    <t>TAIPEI</t>
  </si>
  <si>
    <t>TWTSA</t>
  </si>
  <si>
    <t>TAIPEI SONGSHAN APT</t>
  </si>
  <si>
    <t>TWTTT</t>
  </si>
  <si>
    <t>TTT</t>
  </si>
  <si>
    <t>TAITUNG</t>
  </si>
  <si>
    <t>TWTXG</t>
  </si>
  <si>
    <t>TAICHUNG</t>
  </si>
  <si>
    <t>TWZZZ</t>
  </si>
  <si>
    <t>RMQ</t>
  </si>
  <si>
    <t>TANZANIA,UNITED REPUBLIC OF</t>
  </si>
  <si>
    <t>タンザニア</t>
  </si>
  <si>
    <t>TZARK</t>
  </si>
  <si>
    <t>TZ</t>
  </si>
  <si>
    <t>ARUSHA</t>
  </si>
  <si>
    <t>TANZ</t>
  </si>
  <si>
    <t>TZBKZ</t>
  </si>
  <si>
    <t>BKZ</t>
  </si>
  <si>
    <t>BUKOBA</t>
  </si>
  <si>
    <t>TZDAR</t>
  </si>
  <si>
    <t>DAR ES SALAAM</t>
  </si>
  <si>
    <t>TZDOD</t>
  </si>
  <si>
    <t>DOD</t>
  </si>
  <si>
    <t>DODOMA</t>
  </si>
  <si>
    <t>TZGIT</t>
  </si>
  <si>
    <t>GEITA</t>
  </si>
  <si>
    <t>TZIRI</t>
  </si>
  <si>
    <t>IRI</t>
  </si>
  <si>
    <t>IRINGA</t>
  </si>
  <si>
    <t>TZJOM</t>
  </si>
  <si>
    <t>JOM</t>
  </si>
  <si>
    <t>NJOMBE</t>
  </si>
  <si>
    <t>TZJRO</t>
  </si>
  <si>
    <t>JRO</t>
  </si>
  <si>
    <t>KILIMANJARO/ARUSHA</t>
  </si>
  <si>
    <t>TZKIK</t>
  </si>
  <si>
    <t>KILWA KIVINJE</t>
  </si>
  <si>
    <t>TZKIM</t>
  </si>
  <si>
    <t>KILWA MASOKO</t>
  </si>
  <si>
    <t>TZKIY</t>
  </si>
  <si>
    <t>TZLDI</t>
  </si>
  <si>
    <t>LDI</t>
  </si>
  <si>
    <t>LINDI</t>
  </si>
  <si>
    <t>TZLKY</t>
  </si>
  <si>
    <t>LKY</t>
  </si>
  <si>
    <t>LAKE MANYARA</t>
  </si>
  <si>
    <t>TZLUY</t>
  </si>
  <si>
    <t>LUY</t>
  </si>
  <si>
    <t>LUSHOTO</t>
  </si>
  <si>
    <t>TZMBI</t>
  </si>
  <si>
    <t>MBEYA</t>
  </si>
  <si>
    <t>TZMFA</t>
  </si>
  <si>
    <t>MFA</t>
  </si>
  <si>
    <t>MAFIA</t>
  </si>
  <si>
    <t>TZMIC</t>
  </si>
  <si>
    <t>MICHIUJA</t>
  </si>
  <si>
    <t>TZMIK</t>
  </si>
  <si>
    <t>MIKINDANI</t>
  </si>
  <si>
    <t>TZMKO</t>
  </si>
  <si>
    <t>MKO</t>
  </si>
  <si>
    <t>MKOKOTONI - ZANZIBAR</t>
  </si>
  <si>
    <t>TZMOH</t>
  </si>
  <si>
    <t>MOHORO</t>
  </si>
  <si>
    <t>TZMTS</t>
  </si>
  <si>
    <t>MTSORA</t>
  </si>
  <si>
    <t>TZMUZ</t>
  </si>
  <si>
    <t>MUZ</t>
  </si>
  <si>
    <t>MUSOMA</t>
  </si>
  <si>
    <t>TZMWZ</t>
  </si>
  <si>
    <t>MWZ</t>
  </si>
  <si>
    <t>MWANZA</t>
  </si>
  <si>
    <t>TZMYW</t>
  </si>
  <si>
    <t>MYW</t>
  </si>
  <si>
    <t>MTWARA</t>
  </si>
  <si>
    <t>TZNCH</t>
  </si>
  <si>
    <t>NCH</t>
  </si>
  <si>
    <t>NACHINGWEA</t>
  </si>
  <si>
    <t>TZPAN</t>
  </si>
  <si>
    <t>PANGANI</t>
  </si>
  <si>
    <t>TZPMA</t>
  </si>
  <si>
    <t>TZRIJ</t>
  </si>
  <si>
    <t>RIJIJU</t>
  </si>
  <si>
    <t>TZSAM</t>
  </si>
  <si>
    <t>SAMANGA</t>
  </si>
  <si>
    <t>TZSEU</t>
  </si>
  <si>
    <t>SEU</t>
  </si>
  <si>
    <t>SERONERA</t>
  </si>
  <si>
    <t>TZSGX</t>
  </si>
  <si>
    <t>SONGEA</t>
  </si>
  <si>
    <t>TZSHY</t>
  </si>
  <si>
    <t>SHY</t>
  </si>
  <si>
    <t>SHINYANGA</t>
  </si>
  <si>
    <t>TZTBO</t>
  </si>
  <si>
    <t>TABORA</t>
  </si>
  <si>
    <t>TZTGT</t>
  </si>
  <si>
    <t>TANGA</t>
  </si>
  <si>
    <t>TZTKQ</t>
  </si>
  <si>
    <t>TKQ</t>
  </si>
  <si>
    <t>KIGOMA</t>
  </si>
  <si>
    <t>TZTUN</t>
  </si>
  <si>
    <t>TUNDUNA</t>
  </si>
  <si>
    <t>TZXMI</t>
  </si>
  <si>
    <t>MASASI</t>
  </si>
  <si>
    <t>TZZNZ</t>
  </si>
  <si>
    <t>ZNZ</t>
  </si>
  <si>
    <t>ZANZIBAR</t>
  </si>
  <si>
    <t>TZZZZ</t>
  </si>
  <si>
    <t>UKRAINE</t>
  </si>
  <si>
    <t>ウクライナ</t>
  </si>
  <si>
    <t>UABGD</t>
  </si>
  <si>
    <t>UA</t>
  </si>
  <si>
    <t>BGD</t>
  </si>
  <si>
    <t xml:space="preserve">BILHOROD-DNISTROVSKYI </t>
  </si>
  <si>
    <t>UADOK</t>
  </si>
  <si>
    <t>DOK</t>
  </si>
  <si>
    <t>DONETSK</t>
  </si>
  <si>
    <t>UKRAI</t>
  </si>
  <si>
    <t>UAERD</t>
  </si>
  <si>
    <t>ERD</t>
  </si>
  <si>
    <t>BERDIANSK</t>
  </si>
  <si>
    <t>UAFEO</t>
  </si>
  <si>
    <t>FEO</t>
  </si>
  <si>
    <t>FEODOSIIA</t>
  </si>
  <si>
    <t>UAHRK</t>
  </si>
  <si>
    <t xml:space="preserve">KHARKIV </t>
  </si>
  <si>
    <t>UAIEV</t>
  </si>
  <si>
    <t>IEV</t>
  </si>
  <si>
    <t>KYIV-ZHULIANY APT</t>
  </si>
  <si>
    <t>UAILK</t>
  </si>
  <si>
    <t>CHORNOMORSK</t>
  </si>
  <si>
    <t>UAIZM</t>
  </si>
  <si>
    <t>IZMAIL</t>
  </si>
  <si>
    <t>UAKBP</t>
  </si>
  <si>
    <t>KBP</t>
  </si>
  <si>
    <t>KYIV-BORYSPIL APT</t>
  </si>
  <si>
    <t>UAKEH</t>
  </si>
  <si>
    <t>KERCH</t>
  </si>
  <si>
    <t>UAKHE</t>
  </si>
  <si>
    <t>KHE</t>
  </si>
  <si>
    <t>KHERSON</t>
  </si>
  <si>
    <t>UALWO</t>
  </si>
  <si>
    <t>LWO</t>
  </si>
  <si>
    <t xml:space="preserve">LVIV </t>
  </si>
  <si>
    <t>UAMKA</t>
  </si>
  <si>
    <t>MOSTISKA</t>
  </si>
  <si>
    <t>UAMPW</t>
  </si>
  <si>
    <t>MPW</t>
  </si>
  <si>
    <t>MARIUPOL</t>
  </si>
  <si>
    <t>UANIK</t>
  </si>
  <si>
    <t>MYKOLAIV</t>
  </si>
  <si>
    <t>UAODS</t>
  </si>
  <si>
    <t>ODESA</t>
  </si>
  <si>
    <t>UAOZH</t>
  </si>
  <si>
    <t>OZH</t>
  </si>
  <si>
    <t>ZAPORIZHZHIA</t>
  </si>
  <si>
    <t>UARAR</t>
  </si>
  <si>
    <t>RAVA RUSKAYA</t>
  </si>
  <si>
    <t>UARNI</t>
  </si>
  <si>
    <t>RENI</t>
  </si>
  <si>
    <t>UASIP</t>
  </si>
  <si>
    <t>SIP</t>
  </si>
  <si>
    <t>SIMFEROPOL</t>
  </si>
  <si>
    <t>UAUZH</t>
  </si>
  <si>
    <t>UZHGOROD</t>
  </si>
  <si>
    <t>UAVLV</t>
  </si>
  <si>
    <t>VLV</t>
  </si>
  <si>
    <t>VOLODYMYR-VOLYNSKYI</t>
  </si>
  <si>
    <t>UAYUZ</t>
  </si>
  <si>
    <t xml:space="preserve">PIVDENNYI </t>
  </si>
  <si>
    <t>UAZZZ</t>
  </si>
  <si>
    <t xml:space="preserve">DNIPRO  </t>
  </si>
  <si>
    <t>DNK</t>
  </si>
  <si>
    <t>UGANDA</t>
  </si>
  <si>
    <t>ウガンダ</t>
  </si>
  <si>
    <t>UGBUS</t>
  </si>
  <si>
    <t>UG</t>
  </si>
  <si>
    <t>BUSIA</t>
  </si>
  <si>
    <t>UGEBB</t>
  </si>
  <si>
    <t>ENTEBBE</t>
  </si>
  <si>
    <t>UGAN</t>
  </si>
  <si>
    <t>UGJIN</t>
  </si>
  <si>
    <t>JIN</t>
  </si>
  <si>
    <t>JINJA</t>
  </si>
  <si>
    <t>UGKBG</t>
  </si>
  <si>
    <t>KBG</t>
  </si>
  <si>
    <t>KABALEGA FALL</t>
  </si>
  <si>
    <t>UGKLA</t>
  </si>
  <si>
    <t>KAMPALA</t>
  </si>
  <si>
    <t>UGKSE</t>
  </si>
  <si>
    <t>KASESE</t>
  </si>
  <si>
    <t>UGMBQ</t>
  </si>
  <si>
    <t>MBQ</t>
  </si>
  <si>
    <t>MBARARA</t>
  </si>
  <si>
    <t>UGOYG</t>
  </si>
  <si>
    <t>OYG</t>
  </si>
  <si>
    <t>MOYO</t>
  </si>
  <si>
    <t>UGPAF</t>
  </si>
  <si>
    <t>PAKUBA</t>
  </si>
  <si>
    <t>UGRUA</t>
  </si>
  <si>
    <t>ARUA</t>
  </si>
  <si>
    <t>UGSRT</t>
  </si>
  <si>
    <t>SOROTI</t>
  </si>
  <si>
    <t>UGTRY</t>
  </si>
  <si>
    <t>TRY</t>
  </si>
  <si>
    <t>UGULU</t>
  </si>
  <si>
    <t>ULU</t>
  </si>
  <si>
    <t>GULU</t>
  </si>
  <si>
    <t>UGZZZ</t>
  </si>
  <si>
    <t>AMERICAN OCEANIA</t>
  </si>
  <si>
    <t>米領オセアニア</t>
  </si>
  <si>
    <t>UMAWK</t>
  </si>
  <si>
    <t>UM</t>
  </si>
  <si>
    <t>AWK</t>
  </si>
  <si>
    <t>WAKE ISLAND</t>
  </si>
  <si>
    <t>WAKE</t>
  </si>
  <si>
    <t>UMBAK</t>
  </si>
  <si>
    <t>BAKER ISLAND</t>
  </si>
  <si>
    <t>UMCLN</t>
  </si>
  <si>
    <t>CAROLINE</t>
  </si>
  <si>
    <t>UMHOW</t>
  </si>
  <si>
    <t>HOWLAND ISLAND</t>
  </si>
  <si>
    <t>UMJAR</t>
  </si>
  <si>
    <t>JARVIS ISLAND</t>
  </si>
  <si>
    <t>UMJON</t>
  </si>
  <si>
    <t>JOHNSTON ATOLL</t>
  </si>
  <si>
    <t>JON I</t>
  </si>
  <si>
    <t>UMKIN</t>
  </si>
  <si>
    <t>KINGMAN REEF</t>
  </si>
  <si>
    <t>UMMDY</t>
  </si>
  <si>
    <t>MDY</t>
  </si>
  <si>
    <t>MIDWAY ISLANDS</t>
  </si>
  <si>
    <t>MIDWY</t>
  </si>
  <si>
    <t>UMPAL</t>
  </si>
  <si>
    <t>PALMYRA ATOLL</t>
  </si>
  <si>
    <t>UMZZZ</t>
  </si>
  <si>
    <t>UNITED STATES</t>
  </si>
  <si>
    <t>アメリカ合衆国</t>
  </si>
  <si>
    <t>USAAC</t>
  </si>
  <si>
    <t>US</t>
  </si>
  <si>
    <t>BLOOMFIELD - CT</t>
  </si>
  <si>
    <t>USAAF</t>
  </si>
  <si>
    <t>AAF</t>
  </si>
  <si>
    <t>APALACHICOLA - FL</t>
  </si>
  <si>
    <t>USAAT</t>
  </si>
  <si>
    <t>DANVILLE - WA</t>
  </si>
  <si>
    <t>USABA</t>
  </si>
  <si>
    <t>ALABASTER</t>
  </si>
  <si>
    <t>USABC</t>
  </si>
  <si>
    <t>ABC</t>
  </si>
  <si>
    <t>PT HADLOCK - WA</t>
  </si>
  <si>
    <t>USABE</t>
  </si>
  <si>
    <t>ABE</t>
  </si>
  <si>
    <t>ALLENTOWN PA</t>
  </si>
  <si>
    <t>USABI</t>
  </si>
  <si>
    <t>ABI</t>
  </si>
  <si>
    <t>ABILENE TEX</t>
  </si>
  <si>
    <t>USABL</t>
  </si>
  <si>
    <t>ABL</t>
  </si>
  <si>
    <t>AMBLER ALS</t>
  </si>
  <si>
    <t>USABQ</t>
  </si>
  <si>
    <t>ABQ</t>
  </si>
  <si>
    <t>ALBUQUERQUE - NM</t>
  </si>
  <si>
    <t>USABR</t>
  </si>
  <si>
    <t>ABR</t>
  </si>
  <si>
    <t>ABERDEEN - SD</t>
  </si>
  <si>
    <t>USABY</t>
  </si>
  <si>
    <t>ABY</t>
  </si>
  <si>
    <t>ALBANY-GA</t>
  </si>
  <si>
    <t>USACB</t>
  </si>
  <si>
    <t>ACB</t>
  </si>
  <si>
    <t>BELLAIRE MIC</t>
  </si>
  <si>
    <t>USACC</t>
  </si>
  <si>
    <t>RAYMOND - WA</t>
  </si>
  <si>
    <t>USACF</t>
  </si>
  <si>
    <t>ACF</t>
  </si>
  <si>
    <t>SUMAS - WA</t>
  </si>
  <si>
    <t>USACJ</t>
  </si>
  <si>
    <t>ACJ</t>
  </si>
  <si>
    <t>SOUTH BEND - WA</t>
  </si>
  <si>
    <t>USACK</t>
  </si>
  <si>
    <t>ACK</t>
  </si>
  <si>
    <t>NANTUCKET MAS</t>
  </si>
  <si>
    <t>USACT</t>
  </si>
  <si>
    <t>ACT</t>
  </si>
  <si>
    <t>WACO TEX</t>
  </si>
  <si>
    <t>USACV</t>
  </si>
  <si>
    <t>ACV</t>
  </si>
  <si>
    <t>ARCATA CAL</t>
  </si>
  <si>
    <t>USADG</t>
  </si>
  <si>
    <t>ADG</t>
  </si>
  <si>
    <t>ADRIAN MIC</t>
  </si>
  <si>
    <t>USADK</t>
  </si>
  <si>
    <t>ADAK ISLAND - AK</t>
  </si>
  <si>
    <t>USADM</t>
  </si>
  <si>
    <t>ARDMORE OK</t>
  </si>
  <si>
    <t>USADQ</t>
  </si>
  <si>
    <t>ADQ</t>
  </si>
  <si>
    <t>KODIAK - AK</t>
  </si>
  <si>
    <t>USADR</t>
  </si>
  <si>
    <t>ANDREWS SC</t>
  </si>
  <si>
    <t>USADW</t>
  </si>
  <si>
    <t>ADW</t>
  </si>
  <si>
    <t>CAMP SPRIN MD</t>
  </si>
  <si>
    <t>USAEA</t>
  </si>
  <si>
    <t>FLORA - IL</t>
  </si>
  <si>
    <t>USAEE</t>
  </si>
  <si>
    <t>AEE</t>
  </si>
  <si>
    <t>GAFFNEY - SC</t>
  </si>
  <si>
    <t>USAEL</t>
  </si>
  <si>
    <t>AEL</t>
  </si>
  <si>
    <t>ALBERT LEA MN</t>
  </si>
  <si>
    <t>USAET</t>
  </si>
  <si>
    <t>AET</t>
  </si>
  <si>
    <t>ALLAKAKET ALS</t>
  </si>
  <si>
    <t>USAFF</t>
  </si>
  <si>
    <t>AFF</t>
  </si>
  <si>
    <t>COLORAD SPRNG</t>
  </si>
  <si>
    <t>USAFK</t>
  </si>
  <si>
    <t>AFK</t>
  </si>
  <si>
    <t>AFOGNAK - AK</t>
  </si>
  <si>
    <t>USAFN</t>
  </si>
  <si>
    <t>AFN</t>
  </si>
  <si>
    <t>JAFFREY NH</t>
  </si>
  <si>
    <t>USAFO</t>
  </si>
  <si>
    <t>AFO</t>
  </si>
  <si>
    <t>AFTON WYO</t>
  </si>
  <si>
    <t>USAGN</t>
  </si>
  <si>
    <t>ANGOON ALS</t>
  </si>
  <si>
    <t>USAGO</t>
  </si>
  <si>
    <t>MAGNOLIA ARK</t>
  </si>
  <si>
    <t>USAGS</t>
  </si>
  <si>
    <t>AUGUSTA GA</t>
  </si>
  <si>
    <t>USAHC</t>
  </si>
  <si>
    <t>AHC</t>
  </si>
  <si>
    <t>HERLONG CAL</t>
  </si>
  <si>
    <t>USAHH</t>
  </si>
  <si>
    <t>AHH</t>
  </si>
  <si>
    <t>AMERY WIS</t>
  </si>
  <si>
    <t>USAHN</t>
  </si>
  <si>
    <t>AHN</t>
  </si>
  <si>
    <t>ATHENS</t>
  </si>
  <si>
    <t>USAHT</t>
  </si>
  <si>
    <t>AHT</t>
  </si>
  <si>
    <t>AMCHITKA ALS</t>
  </si>
  <si>
    <t>USAHU</t>
  </si>
  <si>
    <t>ALACHUA, FL</t>
  </si>
  <si>
    <t>USAIA</t>
  </si>
  <si>
    <t>ALLIANCE NEB</t>
  </si>
  <si>
    <t>USAID</t>
  </si>
  <si>
    <t>AID</t>
  </si>
  <si>
    <t>ANDERSON IND</t>
  </si>
  <si>
    <t>USAIK</t>
  </si>
  <si>
    <t>AIKEN - SC</t>
  </si>
  <si>
    <t>USAIN</t>
  </si>
  <si>
    <t>WAINWRIGHT AK</t>
  </si>
  <si>
    <t>USAIO</t>
  </si>
  <si>
    <t>ATLANTIC IOWA</t>
  </si>
  <si>
    <t>USAIV</t>
  </si>
  <si>
    <t>AIV</t>
  </si>
  <si>
    <t>ALICEVILL ALA</t>
  </si>
  <si>
    <t>USAIY</t>
  </si>
  <si>
    <t>AIY</t>
  </si>
  <si>
    <t>ATLANTIC C NJ</t>
  </si>
  <si>
    <t>USAIZ</t>
  </si>
  <si>
    <t>KAISER LAK MO</t>
  </si>
  <si>
    <t>USAKB</t>
  </si>
  <si>
    <t>ATKA AK</t>
  </si>
  <si>
    <t>USAKH</t>
  </si>
  <si>
    <t>AKRON/CANTON</t>
  </si>
  <si>
    <t>CAK</t>
  </si>
  <si>
    <t>USAKI</t>
  </si>
  <si>
    <t>AKIAK ALS</t>
  </si>
  <si>
    <t>USAKK</t>
  </si>
  <si>
    <t>AKHIOK ALS</t>
  </si>
  <si>
    <t>USAKN</t>
  </si>
  <si>
    <t>KING SALMN AK</t>
  </si>
  <si>
    <t>USAKO</t>
  </si>
  <si>
    <t>AKRON COL</t>
  </si>
  <si>
    <t>USAKP</t>
  </si>
  <si>
    <t>ANAKTUVUK ALS</t>
  </si>
  <si>
    <t>USALB</t>
  </si>
  <si>
    <t>ALBANY - NY</t>
  </si>
  <si>
    <t>USALC</t>
  </si>
  <si>
    <t>ALCAN - AK</t>
  </si>
  <si>
    <t>USALE</t>
  </si>
  <si>
    <t>ALPINE TEX</t>
  </si>
  <si>
    <t>USALG</t>
  </si>
  <si>
    <t>ALGONAC - MI</t>
  </si>
  <si>
    <t>USALI</t>
  </si>
  <si>
    <t>ALICE TEX</t>
  </si>
  <si>
    <t>USALM</t>
  </si>
  <si>
    <t>ALAMOGORDO NM</t>
  </si>
  <si>
    <t>USALN</t>
  </si>
  <si>
    <t>ALTON ILL</t>
  </si>
  <si>
    <t>USALO</t>
  </si>
  <si>
    <t>ALO</t>
  </si>
  <si>
    <t>WATERLOO IOWA</t>
  </si>
  <si>
    <t>USALR</t>
  </si>
  <si>
    <t>ALBURG - VT</t>
  </si>
  <si>
    <t>USALS</t>
  </si>
  <si>
    <t>ALAMOSA COL</t>
  </si>
  <si>
    <t>USALW</t>
  </si>
  <si>
    <t>ALW</t>
  </si>
  <si>
    <t>WALLA WALLA WA</t>
  </si>
  <si>
    <t>USALX</t>
  </si>
  <si>
    <t>ALX</t>
  </si>
  <si>
    <t>ALEXANDER ALA</t>
  </si>
  <si>
    <t>USALZ</t>
  </si>
  <si>
    <t>ALZ</t>
  </si>
  <si>
    <t>ALITAK ALS</t>
  </si>
  <si>
    <t>USAMA</t>
  </si>
  <si>
    <t>AMARILLO - TX</t>
  </si>
  <si>
    <t>USAMB</t>
  </si>
  <si>
    <t>AMBROSE - ND</t>
  </si>
  <si>
    <t>USAMN</t>
  </si>
  <si>
    <t>AMN</t>
  </si>
  <si>
    <t>ALMA MIC</t>
  </si>
  <si>
    <t>USAMW</t>
  </si>
  <si>
    <t>AMW</t>
  </si>
  <si>
    <t>AMES IOWA</t>
  </si>
  <si>
    <t>USANA</t>
  </si>
  <si>
    <t>ANAHEIM CAL</t>
  </si>
  <si>
    <t>USANB</t>
  </si>
  <si>
    <t>ANNISTON ALA</t>
  </si>
  <si>
    <t>USANC</t>
  </si>
  <si>
    <t>ANCHORAGE - AK</t>
  </si>
  <si>
    <t>USAND</t>
  </si>
  <si>
    <t>ANDERSON - SC</t>
  </si>
  <si>
    <t>USANI</t>
  </si>
  <si>
    <t>ANIAK ALS</t>
  </si>
  <si>
    <t>USANN</t>
  </si>
  <si>
    <t>ANN</t>
  </si>
  <si>
    <t>ANNETTE I ALS</t>
  </si>
  <si>
    <t>USANP</t>
  </si>
  <si>
    <t>ANP</t>
  </si>
  <si>
    <t>ANNAPOLIS - MD</t>
  </si>
  <si>
    <t>USANQ</t>
  </si>
  <si>
    <t>ANQ</t>
  </si>
  <si>
    <t>ANGOLA IND</t>
  </si>
  <si>
    <t>USANT</t>
  </si>
  <si>
    <t>ANTLER - ND</t>
  </si>
  <si>
    <t>USANU</t>
  </si>
  <si>
    <t>ANDRADE - CA</t>
  </si>
  <si>
    <t>USANV</t>
  </si>
  <si>
    <t>ANV</t>
  </si>
  <si>
    <t>ANVIK ALS</t>
  </si>
  <si>
    <t>USANY</t>
  </si>
  <si>
    <t>ANY</t>
  </si>
  <si>
    <t>ANTHONY KAN</t>
  </si>
  <si>
    <t>USAOH</t>
  </si>
  <si>
    <t>AOH</t>
  </si>
  <si>
    <t>LIMA OH</t>
  </si>
  <si>
    <t>USAOO</t>
  </si>
  <si>
    <t>AOO</t>
  </si>
  <si>
    <t>ALTOONA PA</t>
  </si>
  <si>
    <t>USAOS</t>
  </si>
  <si>
    <t>AMOOK ALS</t>
  </si>
  <si>
    <t>USAPC</t>
  </si>
  <si>
    <t>APC</t>
  </si>
  <si>
    <t>NAPA CAL</t>
  </si>
  <si>
    <t>USAPF</t>
  </si>
  <si>
    <t>APF</t>
  </si>
  <si>
    <t>NAPLES FLA</t>
  </si>
  <si>
    <t>USAPG</t>
  </si>
  <si>
    <t>ABERDEEN MD</t>
  </si>
  <si>
    <t>USAPH</t>
  </si>
  <si>
    <t>APH</t>
  </si>
  <si>
    <t>BOWLING GR VA</t>
  </si>
  <si>
    <t>USAPN</t>
  </si>
  <si>
    <t>ALPENA - MI</t>
  </si>
  <si>
    <t>USAPT</t>
  </si>
  <si>
    <t>APT</t>
  </si>
  <si>
    <t>JASPER TEN</t>
  </si>
  <si>
    <t>USAPV</t>
  </si>
  <si>
    <t>APV</t>
  </si>
  <si>
    <t>APPLE VAL CAL</t>
  </si>
  <si>
    <t>USAQT</t>
  </si>
  <si>
    <t>AQT</t>
  </si>
  <si>
    <t>CANTON - PA</t>
  </si>
  <si>
    <t>USAQY</t>
  </si>
  <si>
    <t>AQY</t>
  </si>
  <si>
    <t>ALYESKA ALS</t>
  </si>
  <si>
    <t>USARA</t>
  </si>
  <si>
    <t>NEW IBERIA LA</t>
  </si>
  <si>
    <t>USARB</t>
  </si>
  <si>
    <t>ANN ARBOR - MI</t>
  </si>
  <si>
    <t>USARC</t>
  </si>
  <si>
    <t>ARCTIC VI ALS</t>
  </si>
  <si>
    <t>USARG</t>
  </si>
  <si>
    <t>WALNUT RI ARK</t>
  </si>
  <si>
    <t>USARJ</t>
  </si>
  <si>
    <t>ARLINGTON - TX</t>
  </si>
  <si>
    <t>USART</t>
  </si>
  <si>
    <t>WATERTOWN NY</t>
  </si>
  <si>
    <t>USARV</t>
  </si>
  <si>
    <t>MINOCQUA WIS</t>
  </si>
  <si>
    <t>USARX</t>
  </si>
  <si>
    <t>ARX</t>
  </si>
  <si>
    <t>ASBURY PAR NJ</t>
  </si>
  <si>
    <t>USASE</t>
  </si>
  <si>
    <t>ASE</t>
  </si>
  <si>
    <t>ASPEN COL</t>
  </si>
  <si>
    <t>USASF</t>
  </si>
  <si>
    <t>ASHTABULA - OH</t>
  </si>
  <si>
    <t>USASH</t>
  </si>
  <si>
    <t>NASHUA - NH</t>
  </si>
  <si>
    <t>USASL</t>
  </si>
  <si>
    <t>ASL</t>
  </si>
  <si>
    <t>MARSHALL TEX</t>
  </si>
  <si>
    <t>USASN</t>
  </si>
  <si>
    <t>TALLADEGA ALA</t>
  </si>
  <si>
    <t>USASQ</t>
  </si>
  <si>
    <t>ASQ</t>
  </si>
  <si>
    <t>AUSTIN NEV</t>
  </si>
  <si>
    <t>USAST</t>
  </si>
  <si>
    <t>ASTORIA - OR</t>
  </si>
  <si>
    <t>USASX</t>
  </si>
  <si>
    <t>ASX</t>
  </si>
  <si>
    <t>ASHLAND - WI</t>
  </si>
  <si>
    <t>USASY</t>
  </si>
  <si>
    <t>ASY</t>
  </si>
  <si>
    <t>ASHLEY ND</t>
  </si>
  <si>
    <t>USATK</t>
  </si>
  <si>
    <t>ATQASUK ALS</t>
  </si>
  <si>
    <t>USATL</t>
  </si>
  <si>
    <t>ATL</t>
  </si>
  <si>
    <t>ATLANTA - GA</t>
  </si>
  <si>
    <t>USATO</t>
  </si>
  <si>
    <t>ATO</t>
  </si>
  <si>
    <t>ATHENS OH</t>
  </si>
  <si>
    <t>USATR</t>
  </si>
  <si>
    <t>ATRECO - TX</t>
  </si>
  <si>
    <t>USATS</t>
  </si>
  <si>
    <t>ATS</t>
  </si>
  <si>
    <t>ARTESIA - NM</t>
  </si>
  <si>
    <t>USATT</t>
  </si>
  <si>
    <t>ATMAUTLUA ALS</t>
  </si>
  <si>
    <t>USATU</t>
  </si>
  <si>
    <t>ATU</t>
  </si>
  <si>
    <t>ATTU ISLA ALS</t>
  </si>
  <si>
    <t>USATV</t>
  </si>
  <si>
    <t>ALTAVISTA - VA</t>
  </si>
  <si>
    <t>USATW</t>
  </si>
  <si>
    <t>ATW</t>
  </si>
  <si>
    <t>APPLETON - WI</t>
  </si>
  <si>
    <t>USATY</t>
  </si>
  <si>
    <t>ATY</t>
  </si>
  <si>
    <t>WATERTOWN SD</t>
  </si>
  <si>
    <t>USAUG</t>
  </si>
  <si>
    <t>AUGUSTA ME</t>
  </si>
  <si>
    <t>USAUJ</t>
  </si>
  <si>
    <t>AUBURN - WA</t>
  </si>
  <si>
    <t>USAUK</t>
  </si>
  <si>
    <t>AUK</t>
  </si>
  <si>
    <t>ALAKANUK ALS</t>
  </si>
  <si>
    <t>USAUM</t>
  </si>
  <si>
    <t>AUM</t>
  </si>
  <si>
    <t>AUSTIN MIN</t>
  </si>
  <si>
    <t>USAUN</t>
  </si>
  <si>
    <t>AUN</t>
  </si>
  <si>
    <t>AUBURN CAL</t>
  </si>
  <si>
    <t>USAUO</t>
  </si>
  <si>
    <t>AUO</t>
  </si>
  <si>
    <t>AUBURN ALA</t>
  </si>
  <si>
    <t>USAUS</t>
  </si>
  <si>
    <t>AUS</t>
  </si>
  <si>
    <t>AUSTIN TX</t>
  </si>
  <si>
    <t>USAUW</t>
  </si>
  <si>
    <t>AUW</t>
  </si>
  <si>
    <t>WAUSAU WIS</t>
  </si>
  <si>
    <t>USAVD</t>
  </si>
  <si>
    <t>AVONDALE - LA</t>
  </si>
  <si>
    <t>USAVL</t>
  </si>
  <si>
    <t>AVL</t>
  </si>
  <si>
    <t>ASHEVILLE NC</t>
  </si>
  <si>
    <t>USAVO</t>
  </si>
  <si>
    <t>AVON PARK - FL</t>
  </si>
  <si>
    <t>USAVP</t>
  </si>
  <si>
    <t>AVP</t>
  </si>
  <si>
    <t>WILKES-BAR PA</t>
  </si>
  <si>
    <t>USAVX</t>
  </si>
  <si>
    <t>AVX</t>
  </si>
  <si>
    <t>CATALINA CAL</t>
  </si>
  <si>
    <t>USAWM</t>
  </si>
  <si>
    <t>W/MEMPHIS AR</t>
  </si>
  <si>
    <t>USAXB</t>
  </si>
  <si>
    <t>AXB</t>
  </si>
  <si>
    <t>ALEXANDRIA BAY - NY</t>
  </si>
  <si>
    <t>USAXG</t>
  </si>
  <si>
    <t>AXG</t>
  </si>
  <si>
    <t>ALGONA IOWA</t>
  </si>
  <si>
    <t>USAXN</t>
  </si>
  <si>
    <t>AXN</t>
  </si>
  <si>
    <t>ALEXANDRIA MN</t>
  </si>
  <si>
    <t>USAXV</t>
  </si>
  <si>
    <t>AXV</t>
  </si>
  <si>
    <t>WAPAKONETA OH</t>
  </si>
  <si>
    <t>USAYE</t>
  </si>
  <si>
    <t>AYE</t>
  </si>
  <si>
    <t>FORT DEVEN MA</t>
  </si>
  <si>
    <t>USAYS</t>
  </si>
  <si>
    <t>WAYCROSS GA</t>
  </si>
  <si>
    <t>USAYZ</t>
  </si>
  <si>
    <t>AYZ</t>
  </si>
  <si>
    <t>AMITYVLLE NY</t>
  </si>
  <si>
    <t>USAZO</t>
  </si>
  <si>
    <t xml:space="preserve">KALAMAZOO MI        </t>
  </si>
  <si>
    <t>USBAF</t>
  </si>
  <si>
    <t>BAF</t>
  </si>
  <si>
    <t>WESTFIELD MAS</t>
  </si>
  <si>
    <t>USBAL</t>
  </si>
  <si>
    <t>BALTIMORE - MD</t>
  </si>
  <si>
    <t>USBAM</t>
  </si>
  <si>
    <t>BATTLE MT NV</t>
  </si>
  <si>
    <t>USBAR</t>
  </si>
  <si>
    <t>BAKER ISL ALS</t>
  </si>
  <si>
    <t>USBAU</t>
  </si>
  <si>
    <t>BURGAW - NC</t>
  </si>
  <si>
    <t>USBAY</t>
  </si>
  <si>
    <t>BAYONNE - NJ</t>
  </si>
  <si>
    <t>USBBB</t>
  </si>
  <si>
    <t>BBB</t>
  </si>
  <si>
    <t>BENSON MIN</t>
  </si>
  <si>
    <t>USBBC</t>
  </si>
  <si>
    <t>BBC</t>
  </si>
  <si>
    <t>BAY CITY TEX</t>
  </si>
  <si>
    <t>USBBD</t>
  </si>
  <si>
    <t>BBD</t>
  </si>
  <si>
    <t>BRADY TEX</t>
  </si>
  <si>
    <t>USBBI</t>
  </si>
  <si>
    <t>BRADENTON - FL</t>
  </si>
  <si>
    <t>USBBW</t>
  </si>
  <si>
    <t>BBW</t>
  </si>
  <si>
    <t>BROKEN BOW NE</t>
  </si>
  <si>
    <t>USBBX</t>
  </si>
  <si>
    <t>BBX</t>
  </si>
  <si>
    <t>BLUE BELL PA</t>
  </si>
  <si>
    <t>USBCB</t>
  </si>
  <si>
    <t>BCB</t>
  </si>
  <si>
    <t>BLACKSBURG - VA</t>
  </si>
  <si>
    <t>USBCC</t>
  </si>
  <si>
    <t>BEAR CREEK AK</t>
  </si>
  <si>
    <t>USBCE</t>
  </si>
  <si>
    <t>BCE</t>
  </si>
  <si>
    <t>BRYCE UT</t>
  </si>
  <si>
    <t>USBCG</t>
  </si>
  <si>
    <t>BOCAGRANDE - FL</t>
  </si>
  <si>
    <t>USBCS</t>
  </si>
  <si>
    <t>BCS</t>
  </si>
  <si>
    <t>BELLE CHAS LA</t>
  </si>
  <si>
    <t>USBCT</t>
  </si>
  <si>
    <t>BOCA RATON - FL</t>
  </si>
  <si>
    <t>USBCX</t>
  </si>
  <si>
    <t>BCX</t>
  </si>
  <si>
    <t>BLANCHESTER - OH</t>
  </si>
  <si>
    <t>USBDE</t>
  </si>
  <si>
    <t>BDE</t>
  </si>
  <si>
    <t>BAUDETTE - MN</t>
  </si>
  <si>
    <t>USBDF</t>
  </si>
  <si>
    <t>BDF</t>
  </si>
  <si>
    <t>BRADFORD ILL</t>
  </si>
  <si>
    <t>USBDG</t>
  </si>
  <si>
    <t>BDG</t>
  </si>
  <si>
    <t>BLANDING UT</t>
  </si>
  <si>
    <t>USBDL</t>
  </si>
  <si>
    <t>BDL</t>
  </si>
  <si>
    <t>HARTFORD - CT</t>
  </si>
  <si>
    <t>USBDR</t>
  </si>
  <si>
    <t>BRIDGEPORT - CO</t>
  </si>
  <si>
    <t>USBDT</t>
  </si>
  <si>
    <t>BRIDGEWATER - ME</t>
  </si>
  <si>
    <t>USBDX</t>
  </si>
  <si>
    <t>BROADUS MONT</t>
  </si>
  <si>
    <t>USBDY</t>
  </si>
  <si>
    <t>BDY</t>
  </si>
  <si>
    <t>BANDON OR</t>
  </si>
  <si>
    <t>USBED</t>
  </si>
  <si>
    <t>BEDFORD MAS</t>
  </si>
  <si>
    <t>USBEF</t>
  </si>
  <si>
    <t>BEECHER FALLS - VT</t>
  </si>
  <si>
    <t>USBEH</t>
  </si>
  <si>
    <t>BENTON HA MI</t>
  </si>
  <si>
    <t>USBEL</t>
  </si>
  <si>
    <t>BELFAST - ME</t>
  </si>
  <si>
    <t>USBEO</t>
  </si>
  <si>
    <t>BEO</t>
  </si>
  <si>
    <t>BERNALILLO - NM</t>
  </si>
  <si>
    <t>USBER</t>
  </si>
  <si>
    <t>BERWICK - ME</t>
  </si>
  <si>
    <t>USBET</t>
  </si>
  <si>
    <t>BETHEL ALS</t>
  </si>
  <si>
    <t>USBEX</t>
  </si>
  <si>
    <t>BEX</t>
  </si>
  <si>
    <t>BETHLEHEM - PA</t>
  </si>
  <si>
    <t>USBFA</t>
  </si>
  <si>
    <t>BFA</t>
  </si>
  <si>
    <t>BUFORD - GA</t>
  </si>
  <si>
    <t>USBFB</t>
  </si>
  <si>
    <t>BFB</t>
  </si>
  <si>
    <t>BLUE FOX B AK</t>
  </si>
  <si>
    <t>USBFD</t>
  </si>
  <si>
    <t>BFD</t>
  </si>
  <si>
    <t>BRADFORD PA</t>
  </si>
  <si>
    <t>USBFF</t>
  </si>
  <si>
    <t>BFF</t>
  </si>
  <si>
    <t>SCOTTSBLFF NE</t>
  </si>
  <si>
    <t>USBFG</t>
  </si>
  <si>
    <t>BFG</t>
  </si>
  <si>
    <t>BULLFROG B VT</t>
  </si>
  <si>
    <t>USBFI</t>
  </si>
  <si>
    <t>BFI</t>
  </si>
  <si>
    <t>SEATTLE WA</t>
  </si>
  <si>
    <t>USBFL</t>
  </si>
  <si>
    <t>BAKERSFIED CA</t>
  </si>
  <si>
    <t>USBFM</t>
  </si>
  <si>
    <t>BFM</t>
  </si>
  <si>
    <t>MOREHEAD CITY/BEAUFORT - NC</t>
  </si>
  <si>
    <t>USBFP</t>
  </si>
  <si>
    <t>BFP</t>
  </si>
  <si>
    <t>BEAVER FAL PA</t>
  </si>
  <si>
    <t>USBFR</t>
  </si>
  <si>
    <t>BFR</t>
  </si>
  <si>
    <t>BEDFORD - IN</t>
  </si>
  <si>
    <t>USBFT</t>
  </si>
  <si>
    <t>BFT</t>
  </si>
  <si>
    <t>BEAUFORT SC</t>
  </si>
  <si>
    <t>USBGD</t>
  </si>
  <si>
    <t>BORGER TEX</t>
  </si>
  <si>
    <t>USBGE</t>
  </si>
  <si>
    <t>BGE</t>
  </si>
  <si>
    <t>BAINBRIDGE GA</t>
  </si>
  <si>
    <t>USBGM</t>
  </si>
  <si>
    <t>BGM</t>
  </si>
  <si>
    <t>BINGHAMTON NY</t>
  </si>
  <si>
    <t>USBGQ</t>
  </si>
  <si>
    <t>BGQ</t>
  </si>
  <si>
    <t>BIG LAKE AK</t>
  </si>
  <si>
    <t>USBGR</t>
  </si>
  <si>
    <t>BANGOR - ME</t>
  </si>
  <si>
    <t>USBGS</t>
  </si>
  <si>
    <t>BIG SPRIN TEX</t>
  </si>
  <si>
    <t>USBGT</t>
  </si>
  <si>
    <t>BAGDAD ARI</t>
  </si>
  <si>
    <t>USBHB</t>
  </si>
  <si>
    <t>BHB</t>
  </si>
  <si>
    <t>BAR HARBOR - ME</t>
  </si>
  <si>
    <t>USBHM</t>
  </si>
  <si>
    <t>BIRMINGHAM - AL</t>
  </si>
  <si>
    <t>USBID</t>
  </si>
  <si>
    <t>BLOCK ISLA RI</t>
  </si>
  <si>
    <t>USBIE</t>
  </si>
  <si>
    <t>BEATRICE NEB</t>
  </si>
  <si>
    <t>USBIG</t>
  </si>
  <si>
    <t>BIG</t>
  </si>
  <si>
    <t>BIG DELTA ALS</t>
  </si>
  <si>
    <t>USBIH</t>
  </si>
  <si>
    <t>BISHOP CAL</t>
  </si>
  <si>
    <t>USBIL</t>
  </si>
  <si>
    <t>BILLINGS MONT</t>
  </si>
  <si>
    <t>USBIS</t>
  </si>
  <si>
    <t>BIS</t>
  </si>
  <si>
    <t>BISMARCK ND</t>
  </si>
  <si>
    <t>USBIX</t>
  </si>
  <si>
    <t>BIX</t>
  </si>
  <si>
    <t>BILOXI MIS</t>
  </si>
  <si>
    <t>USBJC</t>
  </si>
  <si>
    <t>BJC</t>
  </si>
  <si>
    <t>BROOMFIEL COL</t>
  </si>
  <si>
    <t>USBJI</t>
  </si>
  <si>
    <t>BJI</t>
  </si>
  <si>
    <t>BEMIDJI MIN</t>
  </si>
  <si>
    <t>USBJJ</t>
  </si>
  <si>
    <t>BJJ</t>
  </si>
  <si>
    <t>WOOSTER OH</t>
  </si>
  <si>
    <t>USBKC</t>
  </si>
  <si>
    <t>BKC</t>
  </si>
  <si>
    <t>BUCKLAND ALS</t>
  </si>
  <si>
    <t>USBKD</t>
  </si>
  <si>
    <t>BRECKENRI TEX</t>
  </si>
  <si>
    <t>USBKE</t>
  </si>
  <si>
    <t>BAKER OR</t>
  </si>
  <si>
    <t>USBKG</t>
  </si>
  <si>
    <t>BKG</t>
  </si>
  <si>
    <t>BRIGHTON-CO</t>
  </si>
  <si>
    <t>USBKH</t>
  </si>
  <si>
    <t>BKH</t>
  </si>
  <si>
    <t xml:space="preserve">KEKAHA HI           </t>
  </si>
  <si>
    <t>USBKL</t>
  </si>
  <si>
    <t>BKL</t>
  </si>
  <si>
    <t>BERKLEY</t>
  </si>
  <si>
    <t>USBKT</t>
  </si>
  <si>
    <t>BKT</t>
  </si>
  <si>
    <t>BLACKSTONE VA</t>
  </si>
  <si>
    <t>USBKW</t>
  </si>
  <si>
    <t>BKW</t>
  </si>
  <si>
    <t>BECKLEY WV</t>
  </si>
  <si>
    <t>USBKX</t>
  </si>
  <si>
    <t>BKX</t>
  </si>
  <si>
    <t>BROOKINGS SD</t>
  </si>
  <si>
    <t>USBLA</t>
  </si>
  <si>
    <t>BLAINE - WI</t>
  </si>
  <si>
    <t>USBLD</t>
  </si>
  <si>
    <t>BLD</t>
  </si>
  <si>
    <t>BOULDER C NEV</t>
  </si>
  <si>
    <t>USBLH</t>
  </si>
  <si>
    <t>BLH</t>
  </si>
  <si>
    <t>BLYTHE CAL</t>
  </si>
  <si>
    <t>USBLI</t>
  </si>
  <si>
    <t>BELLINGHAM - WA</t>
  </si>
  <si>
    <t>USBLM</t>
  </si>
  <si>
    <t>BLM</t>
  </si>
  <si>
    <t>BELMAR NJ</t>
  </si>
  <si>
    <t>USBLU</t>
  </si>
  <si>
    <t>BLUE CANY CAL</t>
  </si>
  <si>
    <t>USBLV</t>
  </si>
  <si>
    <t>BELLEVILL ILL</t>
  </si>
  <si>
    <t>USBLW</t>
  </si>
  <si>
    <t xml:space="preserve">WAIMANALO HI        </t>
  </si>
  <si>
    <t>USBMC</t>
  </si>
  <si>
    <t>BMC</t>
  </si>
  <si>
    <t>BRIGHAM UT</t>
  </si>
  <si>
    <t>USBMG</t>
  </si>
  <si>
    <t>BMG</t>
  </si>
  <si>
    <t>BLOOMINGT IND</t>
  </si>
  <si>
    <t>USBMI</t>
  </si>
  <si>
    <t>BMI</t>
  </si>
  <si>
    <t>BLOOMINGT ILL</t>
  </si>
  <si>
    <t>USBML</t>
  </si>
  <si>
    <t>BML</t>
  </si>
  <si>
    <t>BERLIN NH</t>
  </si>
  <si>
    <t>USBMS</t>
  </si>
  <si>
    <t>BMS</t>
  </si>
  <si>
    <t>BILLERICA - MA</t>
  </si>
  <si>
    <t>USBMT</t>
  </si>
  <si>
    <t>BMT</t>
  </si>
  <si>
    <t>BEAUMONT TEX</t>
  </si>
  <si>
    <t>USBMX</t>
  </si>
  <si>
    <t>BMX</t>
  </si>
  <si>
    <t>BIG MOUNT ALS</t>
  </si>
  <si>
    <t>USBNA</t>
  </si>
  <si>
    <t>NASHVILLE - TN</t>
  </si>
  <si>
    <t>USBNC</t>
  </si>
  <si>
    <t>BENICIA - CA</t>
  </si>
  <si>
    <t>USBNF</t>
  </si>
  <si>
    <t>BNF</t>
  </si>
  <si>
    <t>BARANOF ALS</t>
  </si>
  <si>
    <t>USBNG</t>
  </si>
  <si>
    <t>BANNING CAL</t>
  </si>
  <si>
    <t>USBNH</t>
  </si>
  <si>
    <t>HARTFORD CON</t>
  </si>
  <si>
    <t>USBNL</t>
  </si>
  <si>
    <t>BARNWELL SC</t>
  </si>
  <si>
    <t>USBNO</t>
  </si>
  <si>
    <t>BNO</t>
  </si>
  <si>
    <t>BURNS OR</t>
  </si>
  <si>
    <t>USBNW</t>
  </si>
  <si>
    <t>BOONE IOWA</t>
  </si>
  <si>
    <t>USBOF</t>
  </si>
  <si>
    <t>BOF</t>
  </si>
  <si>
    <t>WASHINGTON DC</t>
  </si>
  <si>
    <t>USBOI</t>
  </si>
  <si>
    <t>BOI</t>
  </si>
  <si>
    <t>BOISE ID</t>
  </si>
  <si>
    <t>USBOK</t>
  </si>
  <si>
    <t>BROOKINGS OR</t>
  </si>
  <si>
    <t>USBOS</t>
  </si>
  <si>
    <t>BOSTON - MA</t>
  </si>
  <si>
    <t>USBOW</t>
  </si>
  <si>
    <t>BARTOW FLA</t>
  </si>
  <si>
    <t>USBOY</t>
  </si>
  <si>
    <t>BROOKLYN/NEW YORK -NY</t>
  </si>
  <si>
    <t>USBPA</t>
  </si>
  <si>
    <t>BPA</t>
  </si>
  <si>
    <t>BETHPAGE NY</t>
  </si>
  <si>
    <t>USBPT</t>
  </si>
  <si>
    <t>BPT</t>
  </si>
  <si>
    <t>BEAUMONT - TX</t>
  </si>
  <si>
    <t>USBQW</t>
  </si>
  <si>
    <t>BLACKWOOD - NJ</t>
  </si>
  <si>
    <t>USBRA</t>
  </si>
  <si>
    <t>BRADWOOD - OR</t>
  </si>
  <si>
    <t>USBRD</t>
  </si>
  <si>
    <t>BRAINERD MIN</t>
  </si>
  <si>
    <t>USBRG</t>
  </si>
  <si>
    <t>WHITESBURG KY</t>
  </si>
  <si>
    <t>USBRL</t>
  </si>
  <si>
    <t>BURLINGT IOWA</t>
  </si>
  <si>
    <t>USBRO</t>
  </si>
  <si>
    <t>BROWNSVILLE - TX</t>
  </si>
  <si>
    <t>USBRR</t>
  </si>
  <si>
    <t>BREWSTER - OH</t>
  </si>
  <si>
    <t>USBRW</t>
  </si>
  <si>
    <t>BARROW - AK</t>
  </si>
  <si>
    <t>USBRY</t>
  </si>
  <si>
    <t>BRY</t>
  </si>
  <si>
    <t>BARDSTOWN KY</t>
  </si>
  <si>
    <t>USBSF</t>
  </si>
  <si>
    <t xml:space="preserve">POHAKULOA HI        </t>
  </si>
  <si>
    <t>USBSI</t>
  </si>
  <si>
    <t>BSI</t>
  </si>
  <si>
    <t>BLAIRSVILL PA</t>
  </si>
  <si>
    <t>USBSP</t>
  </si>
  <si>
    <t>BARTLET</t>
  </si>
  <si>
    <t>USBSQ</t>
  </si>
  <si>
    <t>BSQ</t>
  </si>
  <si>
    <t>BISBEE ARI</t>
  </si>
  <si>
    <t>USBSW</t>
  </si>
  <si>
    <t>BSW</t>
  </si>
  <si>
    <t>BOSWELL BY AK</t>
  </si>
  <si>
    <t>USBTC</t>
  </si>
  <si>
    <t>BRAINTREE - MA</t>
  </si>
  <si>
    <t>USBTF</t>
  </si>
  <si>
    <t>BOUNTIFUL UT</t>
  </si>
  <si>
    <t>USBTH</t>
  </si>
  <si>
    <t>BATH - ME</t>
  </si>
  <si>
    <t>USBTI</t>
  </si>
  <si>
    <t>BTI</t>
  </si>
  <si>
    <t>BARTER IS ALS</t>
  </si>
  <si>
    <t>USBTL</t>
  </si>
  <si>
    <t>BATTLE CREEK - MI</t>
  </si>
  <si>
    <t>USBTM</t>
  </si>
  <si>
    <t>BUTTE - MT</t>
  </si>
  <si>
    <t>USBTN</t>
  </si>
  <si>
    <t>BENNETTSVI SC</t>
  </si>
  <si>
    <t>USBTP</t>
  </si>
  <si>
    <t>BUTLER PA</t>
  </si>
  <si>
    <t>USBTR</t>
  </si>
  <si>
    <t>BTR</t>
  </si>
  <si>
    <t>BATON ROUGE - LA</t>
  </si>
  <si>
    <t>USBTT</t>
  </si>
  <si>
    <t>BTT</t>
  </si>
  <si>
    <t>BETTLES ALS</t>
  </si>
  <si>
    <t>USBTV</t>
  </si>
  <si>
    <t>BTV</t>
  </si>
  <si>
    <t>BURLINGTON - VT</t>
  </si>
  <si>
    <t>USBTY</t>
  </si>
  <si>
    <t>BEATTY NEV</t>
  </si>
  <si>
    <t>USBUF</t>
  </si>
  <si>
    <t>BUFFALO - NY</t>
  </si>
  <si>
    <t>USBUM</t>
  </si>
  <si>
    <t>BUTLER MO</t>
  </si>
  <si>
    <t>USBUN</t>
  </si>
  <si>
    <t>BUENA PARK</t>
  </si>
  <si>
    <t>USBUP</t>
  </si>
  <si>
    <t>BUP</t>
  </si>
  <si>
    <t>BUCKSPORT/BELFAST -MA</t>
  </si>
  <si>
    <t>USBUR</t>
  </si>
  <si>
    <t>LOS ANGELES-BURBANKAPT</t>
  </si>
  <si>
    <t>USBUS</t>
  </si>
  <si>
    <t>BURAS - LA</t>
  </si>
  <si>
    <t>USBVE</t>
  </si>
  <si>
    <t>BELLEVUE WA</t>
  </si>
  <si>
    <t>USBVI</t>
  </si>
  <si>
    <t>BREINIGSVILLE - PA</t>
  </si>
  <si>
    <t>USBVO</t>
  </si>
  <si>
    <t>BVO</t>
  </si>
  <si>
    <t>BARTLESVIL OK</t>
  </si>
  <si>
    <t>USBVU</t>
  </si>
  <si>
    <t>BVU</t>
  </si>
  <si>
    <t>BELUGA AK</t>
  </si>
  <si>
    <t>USBVX</t>
  </si>
  <si>
    <t>BVX</t>
  </si>
  <si>
    <t>BATESVILL ARK</t>
  </si>
  <si>
    <t>USBVY</t>
  </si>
  <si>
    <t>BVY</t>
  </si>
  <si>
    <t>BEVERLY MAS</t>
  </si>
  <si>
    <t>USBWC</t>
  </si>
  <si>
    <t>BWC</t>
  </si>
  <si>
    <t>BRAWLEY - CA</t>
  </si>
  <si>
    <t>USBWD</t>
  </si>
  <si>
    <t>BROWNWOOD TEX</t>
  </si>
  <si>
    <t>USBWG</t>
  </si>
  <si>
    <t>BOWLING GR KY</t>
  </si>
  <si>
    <t>USBWI</t>
  </si>
  <si>
    <t>BALTIMORE MD</t>
  </si>
  <si>
    <t>USBWL</t>
  </si>
  <si>
    <t>BWL</t>
  </si>
  <si>
    <t>BLACKWELL OK</t>
  </si>
  <si>
    <t>USBWM</t>
  </si>
  <si>
    <t>BWM</t>
  </si>
  <si>
    <t>BOWMAN ND</t>
  </si>
  <si>
    <t>USBXA</t>
  </si>
  <si>
    <t>BXA</t>
  </si>
  <si>
    <t>BOGALUSA LA</t>
  </si>
  <si>
    <t>USBXK</t>
  </si>
  <si>
    <t>BXK</t>
  </si>
  <si>
    <t>BUCKEYE ARI</t>
  </si>
  <si>
    <t>USBXS</t>
  </si>
  <si>
    <t>BXS</t>
  </si>
  <si>
    <t>BORREGO S CAL</t>
  </si>
  <si>
    <t>USBXZ</t>
  </si>
  <si>
    <t>BXZ</t>
  </si>
  <si>
    <t>BLAIRS, VA</t>
  </si>
  <si>
    <t>USBYA</t>
  </si>
  <si>
    <t>BYA</t>
  </si>
  <si>
    <t>BOUNDARY - AK</t>
  </si>
  <si>
    <t>USBYG</t>
  </si>
  <si>
    <t>BYG</t>
  </si>
  <si>
    <t>BUFFALO WYO</t>
  </si>
  <si>
    <t>USBYH</t>
  </si>
  <si>
    <t>BYH</t>
  </si>
  <si>
    <t>BLYTHEVIL ARK</t>
  </si>
  <si>
    <t>USBYI</t>
  </si>
  <si>
    <t>BYI</t>
  </si>
  <si>
    <t>BURLEY ID</t>
  </si>
  <si>
    <t>USBYS</t>
  </si>
  <si>
    <t>FORT IRWI CAL</t>
  </si>
  <si>
    <t>USBYW</t>
  </si>
  <si>
    <t>BLAKELY ISLAND WA</t>
  </si>
  <si>
    <t>USBZN</t>
  </si>
  <si>
    <t>BZN</t>
  </si>
  <si>
    <t>BOZEMAN MONT</t>
  </si>
  <si>
    <t>USBZT</t>
  </si>
  <si>
    <t>BZT</t>
  </si>
  <si>
    <t>BRAZORIA TEX</t>
  </si>
  <si>
    <t>USCAD</t>
  </si>
  <si>
    <t>CADILLAC MIC</t>
  </si>
  <si>
    <t>USCAE</t>
  </si>
  <si>
    <t>COLUMBIA - SC</t>
  </si>
  <si>
    <t>USCAI</t>
  </si>
  <si>
    <t>CASTLE ISLAND - CA</t>
  </si>
  <si>
    <t>USCAK</t>
  </si>
  <si>
    <t>CLARK FORK - ID</t>
  </si>
  <si>
    <t>USCAL</t>
  </si>
  <si>
    <t>CALAIS - ME</t>
  </si>
  <si>
    <t>USCAM</t>
  </si>
  <si>
    <t>CAMBRIDGE - MD</t>
  </si>
  <si>
    <t>USCAO</t>
  </si>
  <si>
    <t>CAO</t>
  </si>
  <si>
    <t>CLAYTON NM</t>
  </si>
  <si>
    <t>USCAP</t>
  </si>
  <si>
    <t>CAPITAN - CA</t>
  </si>
  <si>
    <t>USCAR</t>
  </si>
  <si>
    <t>CARIBOU - ME</t>
  </si>
  <si>
    <t>USCBE</t>
  </si>
  <si>
    <t>CBE</t>
  </si>
  <si>
    <t>CUMBERLAND MD</t>
  </si>
  <si>
    <t>USCBF</t>
  </si>
  <si>
    <t>CBF</t>
  </si>
  <si>
    <t>COUNCIL BL IA</t>
  </si>
  <si>
    <t>USCBK</t>
  </si>
  <si>
    <t>COLBY KAN</t>
  </si>
  <si>
    <t>USCBM</t>
  </si>
  <si>
    <t>CBM</t>
  </si>
  <si>
    <t>COLUMBUS MIS</t>
  </si>
  <si>
    <t>USCBY</t>
  </si>
  <si>
    <t>CARBURY - ND</t>
  </si>
  <si>
    <t>USCCA</t>
  </si>
  <si>
    <t>FORT CHAFFEE - AR</t>
  </si>
  <si>
    <t>USCCB</t>
  </si>
  <si>
    <t>UPLAND CAL</t>
  </si>
  <si>
    <t>USCCC</t>
  </si>
  <si>
    <t>CCC</t>
  </si>
  <si>
    <t>CAPE CHARLES CITY -VA</t>
  </si>
  <si>
    <t>USCCD</t>
  </si>
  <si>
    <t>CCD</t>
  </si>
  <si>
    <t>USCCR</t>
  </si>
  <si>
    <t>CCR</t>
  </si>
  <si>
    <t>CONCORD</t>
  </si>
  <si>
    <t>USCCT</t>
  </si>
  <si>
    <t>CALVERT CITY - KT</t>
  </si>
  <si>
    <t>USCCY</t>
  </si>
  <si>
    <t>CCY</t>
  </si>
  <si>
    <t>CHARLES IOWA</t>
  </si>
  <si>
    <t>USCDB</t>
  </si>
  <si>
    <t>COLD BAY ALS</t>
  </si>
  <si>
    <t>USCDC</t>
  </si>
  <si>
    <t>CDC</t>
  </si>
  <si>
    <t>CEDAR CITY UT</t>
  </si>
  <si>
    <t>USCDE</t>
  </si>
  <si>
    <t>CAMDEN - NJ</t>
  </si>
  <si>
    <t>USCDH</t>
  </si>
  <si>
    <t>CDH</t>
  </si>
  <si>
    <t>CAMDEN ARK</t>
  </si>
  <si>
    <t>USCDK</t>
  </si>
  <si>
    <t>CDK</t>
  </si>
  <si>
    <t>CEDAR KEY FLA</t>
  </si>
  <si>
    <t>USCDL</t>
  </si>
  <si>
    <t>CANDLE ALS</t>
  </si>
  <si>
    <t>USCDN</t>
  </si>
  <si>
    <t>CDN</t>
  </si>
  <si>
    <t>CAMDEN SC</t>
  </si>
  <si>
    <t>USCDR</t>
  </si>
  <si>
    <t>CDR</t>
  </si>
  <si>
    <t>CHADRON NEB</t>
  </si>
  <si>
    <t>USCDS</t>
  </si>
  <si>
    <t>CDS</t>
  </si>
  <si>
    <t>CHILDRESS TEX</t>
  </si>
  <si>
    <t>USCDV</t>
  </si>
  <si>
    <t>CDV</t>
  </si>
  <si>
    <t>CORDOVA - AK</t>
  </si>
  <si>
    <t>USCDW</t>
  </si>
  <si>
    <t>CDW</t>
  </si>
  <si>
    <t>CALDWELL NJ</t>
  </si>
  <si>
    <t>USCDY</t>
  </si>
  <si>
    <t>CONNEAUT - OH</t>
  </si>
  <si>
    <t>USCEC</t>
  </si>
  <si>
    <t>CRESCENT CITY - CA</t>
  </si>
  <si>
    <t>USCEF</t>
  </si>
  <si>
    <t>CEF</t>
  </si>
  <si>
    <t>CHICOPEE MAS</t>
  </si>
  <si>
    <t>USCEK</t>
  </si>
  <si>
    <t>CERRITOS - CA</t>
  </si>
  <si>
    <t>USCEM</t>
  </si>
  <si>
    <t>CEM</t>
  </si>
  <si>
    <t>CENTRAL ALS</t>
  </si>
  <si>
    <t>USCEU</t>
  </si>
  <si>
    <t>CLEMSON SC</t>
  </si>
  <si>
    <t>USCEV</t>
  </si>
  <si>
    <t>CONNERSVI IND</t>
  </si>
  <si>
    <t>USCEW</t>
  </si>
  <si>
    <t>CEW</t>
  </si>
  <si>
    <t>CRESTVIEW FLA</t>
  </si>
  <si>
    <t>USCEX</t>
  </si>
  <si>
    <t>CEX</t>
  </si>
  <si>
    <t>CHENA HOT ALS</t>
  </si>
  <si>
    <t>USCEY</t>
  </si>
  <si>
    <t>CEY</t>
  </si>
  <si>
    <t>MURRAY KY</t>
  </si>
  <si>
    <t>USCEZ</t>
  </si>
  <si>
    <t>CEZ</t>
  </si>
  <si>
    <t>CORTEZ COL</t>
  </si>
  <si>
    <t>USCFD</t>
  </si>
  <si>
    <t>BRYAN TEX</t>
  </si>
  <si>
    <t>USCFT</t>
  </si>
  <si>
    <t>CFT</t>
  </si>
  <si>
    <t>CLIFTON ARI</t>
  </si>
  <si>
    <t>USCFU</t>
  </si>
  <si>
    <t>CLINTON - NJ</t>
  </si>
  <si>
    <t>USCFV</t>
  </si>
  <si>
    <t>CFV</t>
  </si>
  <si>
    <t>COFFEYVIL KAN</t>
  </si>
  <si>
    <t>USCGA</t>
  </si>
  <si>
    <t>CGA</t>
  </si>
  <si>
    <t>CRAIG ALS</t>
  </si>
  <si>
    <t>USCGE</t>
  </si>
  <si>
    <t>CGE</t>
  </si>
  <si>
    <t>CAMBRIDGE MD</t>
  </si>
  <si>
    <t>USCGF</t>
  </si>
  <si>
    <t>CGF</t>
  </si>
  <si>
    <t>CLEVELAND OH</t>
  </si>
  <si>
    <t>USCGI</t>
  </si>
  <si>
    <t>CGI</t>
  </si>
  <si>
    <t>CAPE GIRAR MO</t>
  </si>
  <si>
    <t>USCGS</t>
  </si>
  <si>
    <t>COLLEGE PA MD</t>
  </si>
  <si>
    <t>USCGX</t>
  </si>
  <si>
    <t>CGX</t>
  </si>
  <si>
    <t>CHICAGO ILL</t>
  </si>
  <si>
    <t>USCGZ</t>
  </si>
  <si>
    <t>CGZ</t>
  </si>
  <si>
    <t>CASA GRAND AZ</t>
  </si>
  <si>
    <t>USCHA</t>
  </si>
  <si>
    <t>CHATTANOOGA - TN</t>
  </si>
  <si>
    <t>USCHD</t>
  </si>
  <si>
    <t>CHANDLER ARI</t>
  </si>
  <si>
    <t>USCHI</t>
  </si>
  <si>
    <t>CHICAGO - IL</t>
  </si>
  <si>
    <t>USCHK</t>
  </si>
  <si>
    <t>CHICKASHA OK</t>
  </si>
  <si>
    <t>USCHL</t>
  </si>
  <si>
    <t>CHALLIS ID</t>
  </si>
  <si>
    <t>USCHO</t>
  </si>
  <si>
    <t>CHARLOTTES VA</t>
  </si>
  <si>
    <t>USCHP</t>
  </si>
  <si>
    <t>CHP</t>
  </si>
  <si>
    <t>CIRCLE HO ALS</t>
  </si>
  <si>
    <t>USCHS</t>
  </si>
  <si>
    <t>CHS</t>
  </si>
  <si>
    <t>CHARLESTON - SC</t>
  </si>
  <si>
    <t>USCHT</t>
  </si>
  <si>
    <t>CHESTER - PA</t>
  </si>
  <si>
    <t>USCHX</t>
  </si>
  <si>
    <t>CHERRY HILL, NJ</t>
  </si>
  <si>
    <t>USCHZ</t>
  </si>
  <si>
    <t>CHZ</t>
  </si>
  <si>
    <t>CHILOQUIN OR</t>
  </si>
  <si>
    <t>USCIB</t>
  </si>
  <si>
    <t>CIB</t>
  </si>
  <si>
    <t>USCIC</t>
  </si>
  <si>
    <t>CIC</t>
  </si>
  <si>
    <t>CHICO CAL</t>
  </si>
  <si>
    <t>USCID</t>
  </si>
  <si>
    <t>CID</t>
  </si>
  <si>
    <t>CEDAR RAPIDS - IA</t>
  </si>
  <si>
    <t>USCIG</t>
  </si>
  <si>
    <t>CRAIG COL</t>
  </si>
  <si>
    <t>USCIK</t>
  </si>
  <si>
    <t>CIK</t>
  </si>
  <si>
    <t>CHALKYITS ALS</t>
  </si>
  <si>
    <t>USCIL</t>
  </si>
  <si>
    <t>CIL</t>
  </si>
  <si>
    <t>COUNCIL ALS</t>
  </si>
  <si>
    <t>USCIN</t>
  </si>
  <si>
    <t>CARROLL IOWA</t>
  </si>
  <si>
    <t>USCIR</t>
  </si>
  <si>
    <t>CAIRO ILL</t>
  </si>
  <si>
    <t>USCJI</t>
  </si>
  <si>
    <t>CJI</t>
  </si>
  <si>
    <t>CRAFTON I ALS</t>
  </si>
  <si>
    <t>USCJN</t>
  </si>
  <si>
    <t>CJN</t>
  </si>
  <si>
    <t>EL CAJON CAL</t>
  </si>
  <si>
    <t>USCKA</t>
  </si>
  <si>
    <t>CKA</t>
  </si>
  <si>
    <t>CHEROKEE OK</t>
  </si>
  <si>
    <t>USCKB</t>
  </si>
  <si>
    <t>CKB</t>
  </si>
  <si>
    <t>CLARKSBURG WV</t>
  </si>
  <si>
    <t>USCKD</t>
  </si>
  <si>
    <t>CKD</t>
  </si>
  <si>
    <t>CROOKED CREEK AK</t>
  </si>
  <si>
    <t>USCKE</t>
  </si>
  <si>
    <t>CKE</t>
  </si>
  <si>
    <t>CLEAR LAK CAL</t>
  </si>
  <si>
    <t>USCKK</t>
  </si>
  <si>
    <t>CKK</t>
  </si>
  <si>
    <t>CHEROKEE ARK</t>
  </si>
  <si>
    <t>USCKM</t>
  </si>
  <si>
    <t>CLARKSDAL MIS</t>
  </si>
  <si>
    <t>USCKN</t>
  </si>
  <si>
    <t>CKN</t>
  </si>
  <si>
    <t>CROOKSTON MIN</t>
  </si>
  <si>
    <t>USCKR</t>
  </si>
  <si>
    <t>CKR</t>
  </si>
  <si>
    <t>CRANE ISLAND WA</t>
  </si>
  <si>
    <t>USCKV</t>
  </si>
  <si>
    <t>CKV</t>
  </si>
  <si>
    <t>CLARKSVILLE - TN</t>
  </si>
  <si>
    <t>USCKX</t>
  </si>
  <si>
    <t>CKX</t>
  </si>
  <si>
    <t>CHICKEN ALS</t>
  </si>
  <si>
    <t>USCLA</t>
  </si>
  <si>
    <t>CLAYMONT - DE</t>
  </si>
  <si>
    <t>USCLC</t>
  </si>
  <si>
    <t>CLEARLAKE TEX</t>
  </si>
  <si>
    <t>USCLD</t>
  </si>
  <si>
    <t>CARLSBAD CAL</t>
  </si>
  <si>
    <t>USCLE</t>
  </si>
  <si>
    <t>CLE</t>
  </si>
  <si>
    <t>CLEVELAND - OH</t>
  </si>
  <si>
    <t>USCLG</t>
  </si>
  <si>
    <t>CLG</t>
  </si>
  <si>
    <t>COALINGA CAL</t>
  </si>
  <si>
    <t>USCLI</t>
  </si>
  <si>
    <t>CLINTONVI WIS</t>
  </si>
  <si>
    <t>USCLL</t>
  </si>
  <si>
    <t>COLLEGE S TEX</t>
  </si>
  <si>
    <t>USCLM</t>
  </si>
  <si>
    <t>CLM</t>
  </si>
  <si>
    <t>PT ANGELES - WA</t>
  </si>
  <si>
    <t>USCLP</t>
  </si>
  <si>
    <t>CLARKS PO ALS</t>
  </si>
  <si>
    <t>USCLQ</t>
  </si>
  <si>
    <t>CHALMETTE - LA</t>
  </si>
  <si>
    <t>USCLR</t>
  </si>
  <si>
    <t>CALIPATRI CAL</t>
  </si>
  <si>
    <t>USCLS</t>
  </si>
  <si>
    <t>CLS</t>
  </si>
  <si>
    <t>CHEHALIS - WA</t>
  </si>
  <si>
    <t>USCLT</t>
  </si>
  <si>
    <t>CHARLOTTE - NC</t>
  </si>
  <si>
    <t>USCLU</t>
  </si>
  <si>
    <t>CLU</t>
  </si>
  <si>
    <t>COLUMBUS - IN</t>
  </si>
  <si>
    <t>USCLW</t>
  </si>
  <si>
    <t>CLW</t>
  </si>
  <si>
    <t>CLEARWATER FL</t>
  </si>
  <si>
    <t>USCLY</t>
  </si>
  <si>
    <t>CLAYTON - NY</t>
  </si>
  <si>
    <t>USCMH</t>
  </si>
  <si>
    <t>CMH</t>
  </si>
  <si>
    <t>COLUMBUS - OH</t>
  </si>
  <si>
    <t>USCMI</t>
  </si>
  <si>
    <t>CMI</t>
  </si>
  <si>
    <t>CHAMPAIGN ILL</t>
  </si>
  <si>
    <t>USCMM</t>
  </si>
  <si>
    <t>CHAMBLEE - GA</t>
  </si>
  <si>
    <t>USCMX</t>
  </si>
  <si>
    <t>CMX</t>
  </si>
  <si>
    <t>HANCOCK MIC</t>
  </si>
  <si>
    <t>USCMY</t>
  </si>
  <si>
    <t>CMY</t>
  </si>
  <si>
    <t>SPARTA WIS</t>
  </si>
  <si>
    <t>USCNE</t>
  </si>
  <si>
    <t>CNE</t>
  </si>
  <si>
    <t>CANON CIT COL</t>
  </si>
  <si>
    <t>USCNH</t>
  </si>
  <si>
    <t>CNH</t>
  </si>
  <si>
    <t>CLAREMONT NH</t>
  </si>
  <si>
    <t>USCNK</t>
  </si>
  <si>
    <t>CNK</t>
  </si>
  <si>
    <t>CONCORDIA KAN</t>
  </si>
  <si>
    <t>USCNM</t>
  </si>
  <si>
    <t>CNM</t>
  </si>
  <si>
    <t>CARLSBAD NM</t>
  </si>
  <si>
    <t>USCNO</t>
  </si>
  <si>
    <t>CNO</t>
  </si>
  <si>
    <t>CHINO CAL</t>
  </si>
  <si>
    <t>USCNP</t>
  </si>
  <si>
    <t>CANTON - MS</t>
  </si>
  <si>
    <t>USCNT</t>
  </si>
  <si>
    <t>CANTON - MI</t>
  </si>
  <si>
    <t>USCNU</t>
  </si>
  <si>
    <t>CNU</t>
  </si>
  <si>
    <t>CHANUTE KAN</t>
  </si>
  <si>
    <t>USCNW</t>
  </si>
  <si>
    <t>CNW</t>
  </si>
  <si>
    <t xml:space="preserve">BUCKNER KY          </t>
  </si>
  <si>
    <t xml:space="preserve">   </t>
  </si>
  <si>
    <t>USCNY</t>
  </si>
  <si>
    <t>MOAB UT</t>
  </si>
  <si>
    <t>USCOA</t>
  </si>
  <si>
    <t>COLUMBIA CAL</t>
  </si>
  <si>
    <t>USCOB</t>
  </si>
  <si>
    <t>COOS BAY - OR</t>
  </si>
  <si>
    <t>USCOD</t>
  </si>
  <si>
    <t>COD</t>
  </si>
  <si>
    <t>CODY WYO</t>
  </si>
  <si>
    <t>USCOE</t>
  </si>
  <si>
    <t>COEUR D'AL ID</t>
  </si>
  <si>
    <t>USCOI</t>
  </si>
  <si>
    <t>COI</t>
  </si>
  <si>
    <t>COCOA FLA</t>
  </si>
  <si>
    <t>USCOM</t>
  </si>
  <si>
    <t>COLEMAN TEX</t>
  </si>
  <si>
    <t>USCON</t>
  </si>
  <si>
    <t>CON</t>
  </si>
  <si>
    <t>CONCORD - NH</t>
  </si>
  <si>
    <t>USCOP</t>
  </si>
  <si>
    <t>COOPERSTOW NY</t>
  </si>
  <si>
    <t>USCOS</t>
  </si>
  <si>
    <t>COS</t>
  </si>
  <si>
    <t>COLORADO COL</t>
  </si>
  <si>
    <t>USCOT</t>
  </si>
  <si>
    <t>COT</t>
  </si>
  <si>
    <t>COTULLA TEX</t>
  </si>
  <si>
    <t>USCOU</t>
  </si>
  <si>
    <t>COLUMBIA MO</t>
  </si>
  <si>
    <t>USCOV</t>
  </si>
  <si>
    <t>COLUMBIA - WA</t>
  </si>
  <si>
    <t>USCPG</t>
  </si>
  <si>
    <t>COLLEGE PARK - GA</t>
  </si>
  <si>
    <t>USCPM</t>
  </si>
  <si>
    <t>CPM</t>
  </si>
  <si>
    <t>COMPTON - CA</t>
  </si>
  <si>
    <t>USCPS</t>
  </si>
  <si>
    <t>CPS</t>
  </si>
  <si>
    <t>COSMOPOLIS - WA</t>
  </si>
  <si>
    <t>USCPT</t>
  </si>
  <si>
    <t>CPT</t>
  </si>
  <si>
    <t>CARPINTERIA - CA</t>
  </si>
  <si>
    <t>USCPV</t>
  </si>
  <si>
    <t>CAPE CANAVERAL - FL</t>
  </si>
  <si>
    <t>USCQE</t>
  </si>
  <si>
    <t>CQE</t>
  </si>
  <si>
    <t>CRANBURY - NJ</t>
  </si>
  <si>
    <t>USCRB</t>
  </si>
  <si>
    <t>CARRABELLE - FL</t>
  </si>
  <si>
    <t>USCRI</t>
  </si>
  <si>
    <t>CRISFIELD - MD</t>
  </si>
  <si>
    <t>USCRM</t>
  </si>
  <si>
    <t>CROCKETT - CA</t>
  </si>
  <si>
    <t>USCRO</t>
  </si>
  <si>
    <t>CORCORAN - CA</t>
  </si>
  <si>
    <t>USCRP</t>
  </si>
  <si>
    <t>CRP</t>
  </si>
  <si>
    <t>CORPUS CHRISTI - TX</t>
  </si>
  <si>
    <t>USCRS</t>
  </si>
  <si>
    <t>CORSICANA TEX</t>
  </si>
  <si>
    <t>USCRT</t>
  </si>
  <si>
    <t>CROSSETT - AR</t>
  </si>
  <si>
    <t>USCRU</t>
  </si>
  <si>
    <t>CARSON - CA</t>
  </si>
  <si>
    <t>USCRW</t>
  </si>
  <si>
    <t>CRW</t>
  </si>
  <si>
    <t>CHARLESTON - WV</t>
  </si>
  <si>
    <t>USCRX</t>
  </si>
  <si>
    <t>CRX</t>
  </si>
  <si>
    <t>CORINTH, MS</t>
  </si>
  <si>
    <t>USCSE</t>
  </si>
  <si>
    <t>CRESTED B COL</t>
  </si>
  <si>
    <t>USCSF</t>
  </si>
  <si>
    <t>CSF</t>
  </si>
  <si>
    <t>CARTERET - NJ</t>
  </si>
  <si>
    <t>USCSG</t>
  </si>
  <si>
    <t>CSG</t>
  </si>
  <si>
    <t>COLUMBUS GA</t>
  </si>
  <si>
    <t>USCSL</t>
  </si>
  <si>
    <t>CSL</t>
  </si>
  <si>
    <t>SAN LUIS CAL</t>
  </si>
  <si>
    <t>USCSM</t>
  </si>
  <si>
    <t>CSM</t>
  </si>
  <si>
    <t>CLINTON OK</t>
  </si>
  <si>
    <t>USCSN</t>
  </si>
  <si>
    <t>CSN</t>
  </si>
  <si>
    <t>CARSON CI NEV</t>
  </si>
  <si>
    <t>USCSP</t>
  </si>
  <si>
    <t>CSP</t>
  </si>
  <si>
    <t>CAPE SPEN ALS</t>
  </si>
  <si>
    <t>USCSQ</t>
  </si>
  <si>
    <t>CSQ</t>
  </si>
  <si>
    <t>CRESTON IOWA</t>
  </si>
  <si>
    <t>USCSR</t>
  </si>
  <si>
    <t>CSR</t>
  </si>
  <si>
    <t>CHESTER - NY</t>
  </si>
  <si>
    <t>USCSV</t>
  </si>
  <si>
    <t>CSV</t>
  </si>
  <si>
    <t>CROSSVILL TEN</t>
  </si>
  <si>
    <t>USCTO</t>
  </si>
  <si>
    <t>CTO</t>
  </si>
  <si>
    <t>CALVERTON NY</t>
  </si>
  <si>
    <t>USCTX</t>
  </si>
  <si>
    <t>CTX</t>
  </si>
  <si>
    <t>CORTLAND NY</t>
  </si>
  <si>
    <t>USCTY</t>
  </si>
  <si>
    <t>CTY</t>
  </si>
  <si>
    <t>CROSS CITY - FL</t>
  </si>
  <si>
    <t>USCTZ</t>
  </si>
  <si>
    <t>CTZ</t>
  </si>
  <si>
    <t>CLINTON NC</t>
  </si>
  <si>
    <t>USCUF</t>
  </si>
  <si>
    <t>CUF</t>
  </si>
  <si>
    <t>CUT AND SHOOT - TX</t>
  </si>
  <si>
    <t>USCUH</t>
  </si>
  <si>
    <t>CUH</t>
  </si>
  <si>
    <t>CUSHING OK</t>
  </si>
  <si>
    <t>USCUN</t>
  </si>
  <si>
    <t>CONOVER - NC</t>
  </si>
  <si>
    <t>USCUS</t>
  </si>
  <si>
    <t>CUS</t>
  </si>
  <si>
    <t>COLUMBUS - NM</t>
  </si>
  <si>
    <t>USCUX</t>
  </si>
  <si>
    <t>CHATEAUGAY - NY</t>
  </si>
  <si>
    <t>USCVA</t>
  </si>
  <si>
    <t>CVA</t>
  </si>
  <si>
    <t>PITTSBURGH PA</t>
  </si>
  <si>
    <t>USCVG</t>
  </si>
  <si>
    <t>CVG</t>
  </si>
  <si>
    <t>CINCINNATI - OH</t>
  </si>
  <si>
    <t>USCVI</t>
  </si>
  <si>
    <t>CAPE VINCENT - NY</t>
  </si>
  <si>
    <t>USCVN</t>
  </si>
  <si>
    <t>CVN</t>
  </si>
  <si>
    <t>CLOVIS NM</t>
  </si>
  <si>
    <t>USCVO</t>
  </si>
  <si>
    <t>CVO</t>
  </si>
  <si>
    <t>CORVALLIS-ALBANY APT-OR</t>
  </si>
  <si>
    <t>USCVR</t>
  </si>
  <si>
    <t>CVR</t>
  </si>
  <si>
    <t>CULVER CI CAL</t>
  </si>
  <si>
    <t>USCVS</t>
  </si>
  <si>
    <t>CVS</t>
  </si>
  <si>
    <t>USCWA</t>
  </si>
  <si>
    <t>CWA</t>
  </si>
  <si>
    <t>CENTRALWISCONSIN APT</t>
  </si>
  <si>
    <t>USCWG</t>
  </si>
  <si>
    <t>CWG</t>
  </si>
  <si>
    <t>CALLAWAY G GA</t>
  </si>
  <si>
    <t>USCWI</t>
  </si>
  <si>
    <t>CWI</t>
  </si>
  <si>
    <t>CLINTON IOWA</t>
  </si>
  <si>
    <t>USCWK</t>
  </si>
  <si>
    <t>CWK</t>
  </si>
  <si>
    <t>CHESWICK - PA</t>
  </si>
  <si>
    <t>USCXC</t>
  </si>
  <si>
    <t>CXC</t>
  </si>
  <si>
    <t>CHITINA ALS</t>
  </si>
  <si>
    <t>USCXF</t>
  </si>
  <si>
    <t>CXF</t>
  </si>
  <si>
    <t>COLDFOOT ALS</t>
  </si>
  <si>
    <t>USCXL</t>
  </si>
  <si>
    <t>CXL</t>
  </si>
  <si>
    <t>CALEXICO - CA</t>
  </si>
  <si>
    <t>USCXO</t>
  </si>
  <si>
    <t>CXO</t>
  </si>
  <si>
    <t>CONROE TEX</t>
  </si>
  <si>
    <t>USCYE</t>
  </si>
  <si>
    <t>CYE</t>
  </si>
  <si>
    <t>CRYSTAL LA PA</t>
  </si>
  <si>
    <t>USCYF</t>
  </si>
  <si>
    <t>CYF</t>
  </si>
  <si>
    <t>CHEFORNAK ALS</t>
  </si>
  <si>
    <t>USCYM</t>
  </si>
  <si>
    <t>CYM</t>
  </si>
  <si>
    <t>CHATHAM ALS</t>
  </si>
  <si>
    <t>USCYS</t>
  </si>
  <si>
    <t>CYS</t>
  </si>
  <si>
    <t>CHEYENNE WYO</t>
  </si>
  <si>
    <t>USCZC</t>
  </si>
  <si>
    <t>CZC</t>
  </si>
  <si>
    <t>COPPER CE ALS</t>
  </si>
  <si>
    <t>USCZF</t>
  </si>
  <si>
    <t>CZF</t>
  </si>
  <si>
    <t>CAPE ROMA ALS</t>
  </si>
  <si>
    <t>USCZK</t>
  </si>
  <si>
    <t>CZK</t>
  </si>
  <si>
    <t>CASCADE LO OR</t>
  </si>
  <si>
    <t>USCZN</t>
  </si>
  <si>
    <t>CZN</t>
  </si>
  <si>
    <t>CHISANA ALS</t>
  </si>
  <si>
    <t>USCZO</t>
  </si>
  <si>
    <t>CZO</t>
  </si>
  <si>
    <t>CHISTOCHI ALS</t>
  </si>
  <si>
    <t>USCZP</t>
  </si>
  <si>
    <t>CZP</t>
  </si>
  <si>
    <t>CAPE POLE ALS</t>
  </si>
  <si>
    <t>USCZT</t>
  </si>
  <si>
    <t>CZT</t>
  </si>
  <si>
    <t>CARRIZO S TEX</t>
  </si>
  <si>
    <t>USCZZ</t>
  </si>
  <si>
    <t>CZZ</t>
  </si>
  <si>
    <t>CAMPO CAL</t>
  </si>
  <si>
    <t>USDAA</t>
  </si>
  <si>
    <t>FORT BELVO VA</t>
  </si>
  <si>
    <t>USDAB</t>
  </si>
  <si>
    <t>DAB</t>
  </si>
  <si>
    <t>DAYTONA B FLA</t>
  </si>
  <si>
    <t>USDAG</t>
  </si>
  <si>
    <t>DAGGETT CAL</t>
  </si>
  <si>
    <t>USDAL</t>
  </si>
  <si>
    <t>DAL</t>
  </si>
  <si>
    <t>DALLAS - TX</t>
  </si>
  <si>
    <t>USDAN</t>
  </si>
  <si>
    <t>DANVILLE VA</t>
  </si>
  <si>
    <t>USDAV</t>
  </si>
  <si>
    <t>DAVENPORT - CA</t>
  </si>
  <si>
    <t>USDAY</t>
  </si>
  <si>
    <t>DAY</t>
  </si>
  <si>
    <t>DAYTON - OH</t>
  </si>
  <si>
    <t>USDBA</t>
  </si>
  <si>
    <t>DBA</t>
  </si>
  <si>
    <t>DEL BONITA - MT</t>
  </si>
  <si>
    <t>USDBN</t>
  </si>
  <si>
    <t>DBN</t>
  </si>
  <si>
    <t>DUBLIN GA</t>
  </si>
  <si>
    <t>USDBQ</t>
  </si>
  <si>
    <t>DBQ</t>
  </si>
  <si>
    <t>DUBUQUE IOWA</t>
  </si>
  <si>
    <t>USDBS</t>
  </si>
  <si>
    <t>DBS</t>
  </si>
  <si>
    <t>DUBOIS ID</t>
  </si>
  <si>
    <t>USDBY</t>
  </si>
  <si>
    <t>DERBY LINE - VT</t>
  </si>
  <si>
    <t>USDCA</t>
  </si>
  <si>
    <t>DCA</t>
  </si>
  <si>
    <t>NATIONAL APT/WASHINGTON</t>
  </si>
  <si>
    <t>USDCK</t>
  </si>
  <si>
    <t>DCK</t>
  </si>
  <si>
    <t>DAHL CREE ALS</t>
  </si>
  <si>
    <t>USDCR</t>
  </si>
  <si>
    <t>DCR</t>
  </si>
  <si>
    <t>DECATUR IND</t>
  </si>
  <si>
    <t>USDCU</t>
  </si>
  <si>
    <t>DCU</t>
  </si>
  <si>
    <t>DECATUR ALA</t>
  </si>
  <si>
    <t>USDDC</t>
  </si>
  <si>
    <t>DDC</t>
  </si>
  <si>
    <t>DODGE CIT KAN</t>
  </si>
  <si>
    <t>USDEC</t>
  </si>
  <si>
    <t>DEC</t>
  </si>
  <si>
    <t>DECATUR - IL</t>
  </si>
  <si>
    <t>USDEH</t>
  </si>
  <si>
    <t>DEH</t>
  </si>
  <si>
    <t>DECORAH IOWA</t>
  </si>
  <si>
    <t>USDEN</t>
  </si>
  <si>
    <t>DENVER - CO</t>
  </si>
  <si>
    <t>USDEO</t>
  </si>
  <si>
    <t>DEO</t>
  </si>
  <si>
    <t>DEARBORN MIC</t>
  </si>
  <si>
    <t>USDET</t>
  </si>
  <si>
    <t>DETROIT - MI</t>
  </si>
  <si>
    <t>USDFI</t>
  </si>
  <si>
    <t>DFI</t>
  </si>
  <si>
    <t>DEFIANCE OH</t>
  </si>
  <si>
    <t>USDFS</t>
  </si>
  <si>
    <t>DFS</t>
  </si>
  <si>
    <t>DES PLAINES - IL</t>
  </si>
  <si>
    <t>USDFW</t>
  </si>
  <si>
    <t>DFW</t>
  </si>
  <si>
    <t>DALLAS-FORT WORTH INT APT</t>
  </si>
  <si>
    <t>USDGA</t>
  </si>
  <si>
    <t>DULUTH - GA</t>
  </si>
  <si>
    <t>USDGB</t>
  </si>
  <si>
    <t>DGB</t>
  </si>
  <si>
    <t>DANGER BA ALS</t>
  </si>
  <si>
    <t>USDGL</t>
  </si>
  <si>
    <t>DOUGLAS ARI</t>
  </si>
  <si>
    <t>USDGN</t>
  </si>
  <si>
    <t>DAHLGREN VA</t>
  </si>
  <si>
    <t>USDGW</t>
  </si>
  <si>
    <t>DGW</t>
  </si>
  <si>
    <t>DOUGLAS WYO</t>
  </si>
  <si>
    <t>USDHN</t>
  </si>
  <si>
    <t>DHN</t>
  </si>
  <si>
    <t>DOTHAN ALA</t>
  </si>
  <si>
    <t>USDHT</t>
  </si>
  <si>
    <t>DHT</t>
  </si>
  <si>
    <t>DALHART TEX</t>
  </si>
  <si>
    <t>USDIK</t>
  </si>
  <si>
    <t>DICKINSON ND</t>
  </si>
  <si>
    <t>USDIO</t>
  </si>
  <si>
    <t>DIOMEDE I ALS</t>
  </si>
  <si>
    <t>USDKK</t>
  </si>
  <si>
    <t>DUNKIRK NY</t>
  </si>
  <si>
    <t>USDLC</t>
  </si>
  <si>
    <t>DALTON CACHA - AK</t>
  </si>
  <si>
    <t>USDLG</t>
  </si>
  <si>
    <t>DILLINGHA ALS</t>
  </si>
  <si>
    <t>USDLH</t>
  </si>
  <si>
    <t>DLH</t>
  </si>
  <si>
    <t>DULUTH - MN</t>
  </si>
  <si>
    <t>USDLK</t>
  </si>
  <si>
    <t>DLK</t>
  </si>
  <si>
    <t>DAYVILLE - CT</t>
  </si>
  <si>
    <t>USDLL</t>
  </si>
  <si>
    <t>DLL</t>
  </si>
  <si>
    <t>DILLON - SC</t>
  </si>
  <si>
    <t>USDLN</t>
  </si>
  <si>
    <t>DLN</t>
  </si>
  <si>
    <t>DILLON MONT</t>
  </si>
  <si>
    <t>USDLS</t>
  </si>
  <si>
    <t>THE DALLES OR</t>
  </si>
  <si>
    <t>USDMN</t>
  </si>
  <si>
    <t>DMN</t>
  </si>
  <si>
    <t>DEMING NM</t>
  </si>
  <si>
    <t>USDMO</t>
  </si>
  <si>
    <t>DMO</t>
  </si>
  <si>
    <t>SEDALIA MO</t>
  </si>
  <si>
    <t>USDNN</t>
  </si>
  <si>
    <t>DNN</t>
  </si>
  <si>
    <t>DALTON GA</t>
  </si>
  <si>
    <t>USDNS</t>
  </si>
  <si>
    <t>DNS</t>
  </si>
  <si>
    <t>DENISON IOWA</t>
  </si>
  <si>
    <t>USDNT</t>
  </si>
  <si>
    <t>DNT</t>
  </si>
  <si>
    <t>SANTA ANA CAL</t>
  </si>
  <si>
    <t>USDNV</t>
  </si>
  <si>
    <t>DNV</t>
  </si>
  <si>
    <t>DUNNVILLE - KY</t>
  </si>
  <si>
    <t>USDOV</t>
  </si>
  <si>
    <t>DOV</t>
  </si>
  <si>
    <t>DOVER-CHESWOLD -DE</t>
  </si>
  <si>
    <t>USDPA</t>
  </si>
  <si>
    <t>USDPG</t>
  </si>
  <si>
    <t>DPG</t>
  </si>
  <si>
    <t>DUGWAY UT</t>
  </si>
  <si>
    <t>USDPK</t>
  </si>
  <si>
    <t>DPK</t>
  </si>
  <si>
    <t>DEER PARK NY</t>
  </si>
  <si>
    <t>USDQL</t>
  </si>
  <si>
    <t>DQL</t>
  </si>
  <si>
    <t>DACULA - GA</t>
  </si>
  <si>
    <t>USDRA</t>
  </si>
  <si>
    <t>MERCURY NEV</t>
  </si>
  <si>
    <t>USDRF</t>
  </si>
  <si>
    <t>DRF</t>
  </si>
  <si>
    <t>DRIFT RIV ALS</t>
  </si>
  <si>
    <t>USDRG</t>
  </si>
  <si>
    <t>DRG</t>
  </si>
  <si>
    <t>DEERING ALS</t>
  </si>
  <si>
    <t>USDRI</t>
  </si>
  <si>
    <t>DRI</t>
  </si>
  <si>
    <t>DE RIDDER LA</t>
  </si>
  <si>
    <t>USDRO</t>
  </si>
  <si>
    <t>DURANGO COL</t>
  </si>
  <si>
    <t>USDRT</t>
  </si>
  <si>
    <t>DRT</t>
  </si>
  <si>
    <t>DEL RIO - TX</t>
  </si>
  <si>
    <t>USDRU</t>
  </si>
  <si>
    <t>DRU</t>
  </si>
  <si>
    <t>DRUMMOND MONT</t>
  </si>
  <si>
    <t>USDSI</t>
  </si>
  <si>
    <t>DSI</t>
  </si>
  <si>
    <t>DESTIN FLA</t>
  </si>
  <si>
    <t>USDSM</t>
  </si>
  <si>
    <t>DSM</t>
  </si>
  <si>
    <t>DES MOINES - IA</t>
  </si>
  <si>
    <t>USDSV</t>
  </si>
  <si>
    <t>DSV</t>
  </si>
  <si>
    <t>DANSVILLE NY</t>
  </si>
  <si>
    <t>USDTA</t>
  </si>
  <si>
    <t>DTA</t>
  </si>
  <si>
    <t>DELTA UT</t>
  </si>
  <si>
    <t>USDTH</t>
  </si>
  <si>
    <t>DTH</t>
  </si>
  <si>
    <t>DEATH VAL CAL</t>
  </si>
  <si>
    <t>USDTL</t>
  </si>
  <si>
    <t>DTL</t>
  </si>
  <si>
    <t>DETROIT L MIN</t>
  </si>
  <si>
    <t>USDTO</t>
  </si>
  <si>
    <t>DTO</t>
  </si>
  <si>
    <t>DETOUR - MI</t>
  </si>
  <si>
    <t>USDTT</t>
  </si>
  <si>
    <t>DTT</t>
  </si>
  <si>
    <t>DETROIT MIC</t>
  </si>
  <si>
    <t>USDTW</t>
  </si>
  <si>
    <t>DTW</t>
  </si>
  <si>
    <t>USDUA</t>
  </si>
  <si>
    <t>DUA</t>
  </si>
  <si>
    <t>DURANT OK</t>
  </si>
  <si>
    <t>USDUC</t>
  </si>
  <si>
    <t>DUC</t>
  </si>
  <si>
    <t>DUNCAN OK</t>
  </si>
  <si>
    <t>USDUG</t>
  </si>
  <si>
    <t>DUG</t>
  </si>
  <si>
    <t>DOUGLAS - AZ</t>
  </si>
  <si>
    <t>USDUJ</t>
  </si>
  <si>
    <t>DUJ</t>
  </si>
  <si>
    <t>DUBOIS PA</t>
  </si>
  <si>
    <t>USDUN</t>
  </si>
  <si>
    <t>DUNSEITH - ND</t>
  </si>
  <si>
    <t>USDUR</t>
  </si>
  <si>
    <t>DURHAM - NC</t>
  </si>
  <si>
    <t>USDUT</t>
  </si>
  <si>
    <t>DUT</t>
  </si>
  <si>
    <t>DUTCH HARBOR - AK</t>
  </si>
  <si>
    <t>USDVI</t>
  </si>
  <si>
    <t>DVI</t>
  </si>
  <si>
    <t xml:space="preserve">DANVILLE - IL </t>
  </si>
  <si>
    <t>USDVL</t>
  </si>
  <si>
    <t>DVL</t>
  </si>
  <si>
    <t>DEVILS LAK ND</t>
  </si>
  <si>
    <t>USDVN</t>
  </si>
  <si>
    <t>DVN</t>
  </si>
  <si>
    <t>DAVENPORT - IA</t>
  </si>
  <si>
    <t>USDVT</t>
  </si>
  <si>
    <t>DVT</t>
  </si>
  <si>
    <t>DAVANT - LA</t>
  </si>
  <si>
    <t>USDVV</t>
  </si>
  <si>
    <t>DVV</t>
  </si>
  <si>
    <t>DAVISVILLE - RI</t>
  </si>
  <si>
    <t>USDWF</t>
  </si>
  <si>
    <t>DWF</t>
  </si>
  <si>
    <t>DAYTON OH</t>
  </si>
  <si>
    <t>USDWH</t>
  </si>
  <si>
    <t>DWH</t>
  </si>
  <si>
    <t>HOUSTON TEX</t>
  </si>
  <si>
    <t>USDXR</t>
  </si>
  <si>
    <t>DXR</t>
  </si>
  <si>
    <t>DANBURY CON</t>
  </si>
  <si>
    <t>USDYL</t>
  </si>
  <si>
    <t>DYL</t>
  </si>
  <si>
    <t>DOYLESTOWN PA</t>
  </si>
  <si>
    <t>USDYT</t>
  </si>
  <si>
    <t>DYT</t>
  </si>
  <si>
    <t>DAYTON - NJ</t>
  </si>
  <si>
    <t>USEAA</t>
  </si>
  <si>
    <t>EAA</t>
  </si>
  <si>
    <t>EAGLE ALS</t>
  </si>
  <si>
    <t>USEAM</t>
  </si>
  <si>
    <t>EARLE - AR</t>
  </si>
  <si>
    <t>USEAN</t>
  </si>
  <si>
    <t>EAN</t>
  </si>
  <si>
    <t>WHEATLAND WYO</t>
  </si>
  <si>
    <t>USEAR</t>
  </si>
  <si>
    <t>EAR</t>
  </si>
  <si>
    <t>KEARNEY - NE</t>
  </si>
  <si>
    <t>USEAT</t>
  </si>
  <si>
    <t>EAT</t>
  </si>
  <si>
    <t>WENATCHEE - WA</t>
  </si>
  <si>
    <t>USEAU</t>
  </si>
  <si>
    <t>EAU</t>
  </si>
  <si>
    <t>EAU CLAIR WIS</t>
  </si>
  <si>
    <t>USEBS</t>
  </si>
  <si>
    <t>EBS</t>
  </si>
  <si>
    <t>WEBSTER IOWA</t>
  </si>
  <si>
    <t>USECG</t>
  </si>
  <si>
    <t>ECG</t>
  </si>
  <si>
    <t>ELIZABETH NC</t>
  </si>
  <si>
    <t>USECH</t>
  </si>
  <si>
    <t>ECH</t>
  </si>
  <si>
    <t>EAST CHICAGO - IN</t>
  </si>
  <si>
    <t>USECS</t>
  </si>
  <si>
    <t>ECS</t>
  </si>
  <si>
    <t>NEWCASTLE WYO</t>
  </si>
  <si>
    <t>USEDE</t>
  </si>
  <si>
    <t>EDENTON NC</t>
  </si>
  <si>
    <t>USEDG</t>
  </si>
  <si>
    <t>EDG</t>
  </si>
  <si>
    <t>EDGEWOOD MD</t>
  </si>
  <si>
    <t>USEDK</t>
  </si>
  <si>
    <t>EDK</t>
  </si>
  <si>
    <t>EL DORADO KAN</t>
  </si>
  <si>
    <t>USEDM</t>
  </si>
  <si>
    <t>EDINA/MINNEAPOLIS -MN</t>
  </si>
  <si>
    <t>USEDN</t>
  </si>
  <si>
    <t>EDN</t>
  </si>
  <si>
    <t>EDISON - NJ</t>
  </si>
  <si>
    <t>USEDP</t>
  </si>
  <si>
    <t>EDP</t>
  </si>
  <si>
    <t>EDEN PRAIRIE - MN</t>
  </si>
  <si>
    <t>USEED</t>
  </si>
  <si>
    <t>NEEDLES CAL</t>
  </si>
  <si>
    <t>USEEK</t>
  </si>
  <si>
    <t>EEK</t>
  </si>
  <si>
    <t>EEK ALS</t>
  </si>
  <si>
    <t>USEEN</t>
  </si>
  <si>
    <t>KEENE NH</t>
  </si>
  <si>
    <t>USEFD</t>
  </si>
  <si>
    <t>EFD</t>
  </si>
  <si>
    <t>USEFF</t>
  </si>
  <si>
    <t>EFF</t>
  </si>
  <si>
    <t>SEFFNER - FL</t>
  </si>
  <si>
    <t>USEFI</t>
  </si>
  <si>
    <t>EFI</t>
  </si>
  <si>
    <t>EFFINGHAM, IL</t>
  </si>
  <si>
    <t>USEFK</t>
  </si>
  <si>
    <t>EFK</t>
  </si>
  <si>
    <t>NEWPORT VT</t>
  </si>
  <si>
    <t>USEFO</t>
  </si>
  <si>
    <t>EFO</t>
  </si>
  <si>
    <t>EAST FORK ALS</t>
  </si>
  <si>
    <t>USEFW</t>
  </si>
  <si>
    <t>EFW</t>
  </si>
  <si>
    <t>JEFFERSO IOWA</t>
  </si>
  <si>
    <t>USEGE</t>
  </si>
  <si>
    <t>ELGIN SC</t>
  </si>
  <si>
    <t>USEGN</t>
  </si>
  <si>
    <t>ELGIN - IL</t>
  </si>
  <si>
    <t>USEGP</t>
  </si>
  <si>
    <t>EGP</t>
  </si>
  <si>
    <t>EAGLE PASS - TX</t>
  </si>
  <si>
    <t>USEGX</t>
  </si>
  <si>
    <t>EGX</t>
  </si>
  <si>
    <t>EGEGIK ALS</t>
  </si>
  <si>
    <t>USEHM</t>
  </si>
  <si>
    <t>EHM</t>
  </si>
  <si>
    <t>CAPE NEWE ALS</t>
  </si>
  <si>
    <t>USEHT</t>
  </si>
  <si>
    <t>EHT</t>
  </si>
  <si>
    <t>EAST HARTFORD - CT</t>
  </si>
  <si>
    <t>USEKA</t>
  </si>
  <si>
    <t>EKA</t>
  </si>
  <si>
    <t>EUREKA - CA</t>
  </si>
  <si>
    <t>USEKI</t>
  </si>
  <si>
    <t>ELKHART - IN</t>
  </si>
  <si>
    <t>USEKN</t>
  </si>
  <si>
    <t>EKN</t>
  </si>
  <si>
    <t>ELKINS WV</t>
  </si>
  <si>
    <t>USEKO</t>
  </si>
  <si>
    <t>EKO</t>
  </si>
  <si>
    <t>ELKO NEV</t>
  </si>
  <si>
    <t>USEKX</t>
  </si>
  <si>
    <t>EKX</t>
  </si>
  <si>
    <t>ELIZABETHTOWN,KY</t>
  </si>
  <si>
    <t>USELA</t>
  </si>
  <si>
    <t>ELA</t>
  </si>
  <si>
    <t>EAGLE LAK TEX</t>
  </si>
  <si>
    <t>USELD</t>
  </si>
  <si>
    <t>ELD</t>
  </si>
  <si>
    <t>EL DORAD ARK</t>
  </si>
  <si>
    <t>USELI</t>
  </si>
  <si>
    <t>ELIM ALS</t>
  </si>
  <si>
    <t>USELK</t>
  </si>
  <si>
    <t>ELK</t>
  </si>
  <si>
    <t>ELK CITY - OK</t>
  </si>
  <si>
    <t>USELM</t>
  </si>
  <si>
    <t>ELMIRA NY</t>
  </si>
  <si>
    <t>USELN</t>
  </si>
  <si>
    <t>ELN</t>
  </si>
  <si>
    <t>ELLENSBURG - WA</t>
  </si>
  <si>
    <t>USELP</t>
  </si>
  <si>
    <t>ELP</t>
  </si>
  <si>
    <t>EL PASO - TX</t>
  </si>
  <si>
    <t>USELS</t>
  </si>
  <si>
    <t>EL SEGUNDO - CA</t>
  </si>
  <si>
    <t>USELV</t>
  </si>
  <si>
    <t>ELFIN COV ALS</t>
  </si>
  <si>
    <t>USELY</t>
  </si>
  <si>
    <t>ELY</t>
  </si>
  <si>
    <t>ELY NEV</t>
  </si>
  <si>
    <t>USELZ</t>
  </si>
  <si>
    <t>WELLSVILLE NY</t>
  </si>
  <si>
    <t>USEMB</t>
  </si>
  <si>
    <t>EMB</t>
  </si>
  <si>
    <t>SAN FRANSISCO CA</t>
  </si>
  <si>
    <t>USEMK</t>
  </si>
  <si>
    <t>EMK</t>
  </si>
  <si>
    <t>EMMONAK ALS</t>
  </si>
  <si>
    <t>USEMM</t>
  </si>
  <si>
    <t>KEMERER WYO</t>
  </si>
  <si>
    <t>USEMP</t>
  </si>
  <si>
    <t>EMP</t>
  </si>
  <si>
    <t>EMPORIA KAN</t>
  </si>
  <si>
    <t>USEMT</t>
  </si>
  <si>
    <t>EMT</t>
  </si>
  <si>
    <t>EL MONTE CAL</t>
  </si>
  <si>
    <t>USENA</t>
  </si>
  <si>
    <t>KENAI - AK</t>
  </si>
  <si>
    <t>USENF</t>
  </si>
  <si>
    <t>ENF</t>
  </si>
  <si>
    <t>ENFIELD - CT</t>
  </si>
  <si>
    <t>USENL</t>
  </si>
  <si>
    <t>ENL</t>
  </si>
  <si>
    <t>CENTRALIA ILL</t>
  </si>
  <si>
    <t>USENN</t>
  </si>
  <si>
    <t>NENANA ALS</t>
  </si>
  <si>
    <t>USENW</t>
  </si>
  <si>
    <t>ENW</t>
  </si>
  <si>
    <t>KENOSHA - WI</t>
  </si>
  <si>
    <t>USEOK</t>
  </si>
  <si>
    <t>EOK</t>
  </si>
  <si>
    <t>KEOKUK IOWA</t>
  </si>
  <si>
    <t>USEOS</t>
  </si>
  <si>
    <t>EOS</t>
  </si>
  <si>
    <t>NEOSHO MO</t>
  </si>
  <si>
    <t>USEOW</t>
  </si>
  <si>
    <t>EOW</t>
  </si>
  <si>
    <t>EDMONDS - WA</t>
  </si>
  <si>
    <t>USEPG</t>
  </si>
  <si>
    <t>EPG</t>
  </si>
  <si>
    <t>WEEPING W NEB</t>
  </si>
  <si>
    <t>USEPH</t>
  </si>
  <si>
    <t>EPH</t>
  </si>
  <si>
    <t>EPHRATA - WA</t>
  </si>
  <si>
    <t>USEPI</t>
  </si>
  <si>
    <t>EPI</t>
  </si>
  <si>
    <t>EASTPORT - ID</t>
  </si>
  <si>
    <t>USEPM</t>
  </si>
  <si>
    <t>EPM</t>
  </si>
  <si>
    <t>EASTPORT - ME</t>
  </si>
  <si>
    <t>USERI</t>
  </si>
  <si>
    <t>ERI</t>
  </si>
  <si>
    <t>ERIE - PA</t>
  </si>
  <si>
    <t>USERO</t>
  </si>
  <si>
    <t>ERO</t>
  </si>
  <si>
    <t>ELDRED RO ALS</t>
  </si>
  <si>
    <t>USERR</t>
  </si>
  <si>
    <t>ERR</t>
  </si>
  <si>
    <t>ERROL NH</t>
  </si>
  <si>
    <t>USERV</t>
  </si>
  <si>
    <t>KERRVILLE TEX</t>
  </si>
  <si>
    <t>USESC</t>
  </si>
  <si>
    <t>ESCANABA - MI</t>
  </si>
  <si>
    <t>USESD</t>
  </si>
  <si>
    <t>ESD</t>
  </si>
  <si>
    <t>EASTSOUND - WA</t>
  </si>
  <si>
    <t>USESE</t>
  </si>
  <si>
    <t>ESSEX - MD</t>
  </si>
  <si>
    <t>USESF</t>
  </si>
  <si>
    <t>ESF</t>
  </si>
  <si>
    <t>ALEXANDRIA - VA</t>
  </si>
  <si>
    <t>USESN</t>
  </si>
  <si>
    <t>ESN</t>
  </si>
  <si>
    <t>EASTON MD</t>
  </si>
  <si>
    <t>USESO</t>
  </si>
  <si>
    <t>ESO</t>
  </si>
  <si>
    <t>ESPANOLA NM</t>
  </si>
  <si>
    <t>USESP</t>
  </si>
  <si>
    <t>EAST STROU PA</t>
  </si>
  <si>
    <t>USEST</t>
  </si>
  <si>
    <t>ESTHERVI IOWA</t>
  </si>
  <si>
    <t>USESW</t>
  </si>
  <si>
    <t>EASTON - WA</t>
  </si>
  <si>
    <t>USETB</t>
  </si>
  <si>
    <t>ETB</t>
  </si>
  <si>
    <t>WEST BEND WIS</t>
  </si>
  <si>
    <t>USETN</t>
  </si>
  <si>
    <t>ETN</t>
  </si>
  <si>
    <t>EASTLAND TEX</t>
  </si>
  <si>
    <t>USETS</t>
  </si>
  <si>
    <t>ETS</t>
  </si>
  <si>
    <t>ENTERPRIS ALA</t>
  </si>
  <si>
    <t>USEUE</t>
  </si>
  <si>
    <t>EUE</t>
  </si>
  <si>
    <t>EUREKA NEV</t>
  </si>
  <si>
    <t>USEUF</t>
  </si>
  <si>
    <t>EUF</t>
  </si>
  <si>
    <t>EUFAULA ALA</t>
  </si>
  <si>
    <t>USEUG</t>
  </si>
  <si>
    <t>EUG</t>
  </si>
  <si>
    <t>EUGENE OR</t>
  </si>
  <si>
    <t>USEUK</t>
  </si>
  <si>
    <t>EUK</t>
  </si>
  <si>
    <t>EUREKA - MO</t>
  </si>
  <si>
    <t>USEVA</t>
  </si>
  <si>
    <t>EVA</t>
  </si>
  <si>
    <t>EVADALE TEX</t>
  </si>
  <si>
    <t>USEVE</t>
  </si>
  <si>
    <t>ELLISVILLE - MS</t>
  </si>
  <si>
    <t>USEVM</t>
  </si>
  <si>
    <t>EVM</t>
  </si>
  <si>
    <t>EVELETH MIN</t>
  </si>
  <si>
    <t>USEVV</t>
  </si>
  <si>
    <t>EVV</t>
  </si>
  <si>
    <t>EVANSVILLE - IN</t>
  </si>
  <si>
    <t>USEVW</t>
  </si>
  <si>
    <t>EVW</t>
  </si>
  <si>
    <t>EVANSTON WYO</t>
  </si>
  <si>
    <t>USEWB</t>
  </si>
  <si>
    <t>EWB</t>
  </si>
  <si>
    <t>FALL RIVER-NEW BEDFORD APT</t>
  </si>
  <si>
    <t>USEWH</t>
  </si>
  <si>
    <t>EWA BEACH - HI</t>
  </si>
  <si>
    <t>USEWK</t>
  </si>
  <si>
    <t>EWK</t>
  </si>
  <si>
    <t>NEWTON KAN</t>
  </si>
  <si>
    <t>USEWN</t>
  </si>
  <si>
    <t>EWN</t>
  </si>
  <si>
    <t>NEW BERN NC</t>
  </si>
  <si>
    <t>USEWR</t>
  </si>
  <si>
    <t>EWR</t>
  </si>
  <si>
    <t>NEWARK - NJ</t>
  </si>
  <si>
    <t>USEXI</t>
  </si>
  <si>
    <t>EXI</t>
  </si>
  <si>
    <t>EXCURSION ALS</t>
  </si>
  <si>
    <t>USEYR</t>
  </si>
  <si>
    <t>EYR</t>
  </si>
  <si>
    <t>YERINGTON NEV</t>
  </si>
  <si>
    <t>USEYW</t>
  </si>
  <si>
    <t>EYW</t>
  </si>
  <si>
    <t>KEY WEST - FL</t>
  </si>
  <si>
    <t>USEZA</t>
  </si>
  <si>
    <t>ELIZABETH, NJ</t>
  </si>
  <si>
    <t>USFAB</t>
  </si>
  <si>
    <t>FAB</t>
  </si>
  <si>
    <t>FABENS - TX</t>
  </si>
  <si>
    <t>USFAF</t>
  </si>
  <si>
    <t>FAF</t>
  </si>
  <si>
    <t>FORT EUSTI VA</t>
  </si>
  <si>
    <t>USFAH</t>
  </si>
  <si>
    <t>FAIRLESS HILLS, PA</t>
  </si>
  <si>
    <t>USFAI</t>
  </si>
  <si>
    <t>FAI</t>
  </si>
  <si>
    <t>FAIRBANKS - AK</t>
  </si>
  <si>
    <t>USFAL</t>
  </si>
  <si>
    <t>ROMA - TX</t>
  </si>
  <si>
    <t>USFAM</t>
  </si>
  <si>
    <t>FAM</t>
  </si>
  <si>
    <t>FARMINGTON MO</t>
  </si>
  <si>
    <t>USFAR</t>
  </si>
  <si>
    <t>FARGO ND</t>
  </si>
  <si>
    <t>USFAT</t>
  </si>
  <si>
    <t>FRESNO - CA</t>
  </si>
  <si>
    <t>USFAY</t>
  </si>
  <si>
    <t>FAY</t>
  </si>
  <si>
    <t>FAYETTEVIL NC</t>
  </si>
  <si>
    <t>USFBG</t>
  </si>
  <si>
    <t>FORT BRAGG NC</t>
  </si>
  <si>
    <t>USFBL</t>
  </si>
  <si>
    <t>FBL</t>
  </si>
  <si>
    <t>FARIBAULT MIN</t>
  </si>
  <si>
    <t>USFBR</t>
  </si>
  <si>
    <t>FBR</t>
  </si>
  <si>
    <t>FORT BRID WYO</t>
  </si>
  <si>
    <t>USFBY</t>
  </si>
  <si>
    <t>FBY</t>
  </si>
  <si>
    <t>FAIRBURY NEB</t>
  </si>
  <si>
    <t>USFCA</t>
  </si>
  <si>
    <t>FCA</t>
  </si>
  <si>
    <t>KALISPEL MONT</t>
  </si>
  <si>
    <t>USFCM</t>
  </si>
  <si>
    <t>MINNEAPOL MIN</t>
  </si>
  <si>
    <t>USFCO</t>
  </si>
  <si>
    <t>FORT COVINGTON - NY</t>
  </si>
  <si>
    <t>USFCP</t>
  </si>
  <si>
    <t>FCP</t>
  </si>
  <si>
    <t>FRENCH CAMP - CA</t>
  </si>
  <si>
    <t>USFCY</t>
  </si>
  <si>
    <t>FCY</t>
  </si>
  <si>
    <t>FORREST C ARK</t>
  </si>
  <si>
    <t>USFDB</t>
  </si>
  <si>
    <t>FDB</t>
  </si>
  <si>
    <t>FREDERICKSBURG - VA</t>
  </si>
  <si>
    <t>USFDK</t>
  </si>
  <si>
    <t>FDK</t>
  </si>
  <si>
    <t>FREDERICK - MD</t>
  </si>
  <si>
    <t>USFDR</t>
  </si>
  <si>
    <t>FDR</t>
  </si>
  <si>
    <t>FREDERICK OK</t>
  </si>
  <si>
    <t>USFDT</t>
  </si>
  <si>
    <t>FDT</t>
  </si>
  <si>
    <t>FERNDALE - WA</t>
  </si>
  <si>
    <t>USFDY</t>
  </si>
  <si>
    <t>FDY</t>
  </si>
  <si>
    <t>FINDLAY OH</t>
  </si>
  <si>
    <t>USFEB</t>
  </si>
  <si>
    <t>FERNANDINA BEACH - FL</t>
  </si>
  <si>
    <t>USFEP</t>
  </si>
  <si>
    <t>FEP</t>
  </si>
  <si>
    <t>FREEPORT ILL</t>
  </si>
  <si>
    <t>USFER</t>
  </si>
  <si>
    <t>FERRYSBURG - MI</t>
  </si>
  <si>
    <t>USFET</t>
  </si>
  <si>
    <t>FREMONT NEB</t>
  </si>
  <si>
    <t>USFFA</t>
  </si>
  <si>
    <t>FFA</t>
  </si>
  <si>
    <t>KILL DEVIL HILLS - NC</t>
  </si>
  <si>
    <t>USFFF</t>
  </si>
  <si>
    <t>FFF</t>
  </si>
  <si>
    <t>FORT FAIRFIELD - ME</t>
  </si>
  <si>
    <t>USFFL</t>
  </si>
  <si>
    <t>FFL</t>
  </si>
  <si>
    <t>FAIRFIEL IOWA</t>
  </si>
  <si>
    <t>USFFM</t>
  </si>
  <si>
    <t>FFM</t>
  </si>
  <si>
    <t>FERGUS FA MIN</t>
  </si>
  <si>
    <t>USFFO</t>
  </si>
  <si>
    <t>USFFT</t>
  </si>
  <si>
    <t>FFT</t>
  </si>
  <si>
    <t>FRANKFORT KY</t>
  </si>
  <si>
    <t>USFHU</t>
  </si>
  <si>
    <t>FHU</t>
  </si>
  <si>
    <t>SIERRA VISTA AZ</t>
  </si>
  <si>
    <t>USFID</t>
  </si>
  <si>
    <t>FID</t>
  </si>
  <si>
    <t>FISHERS IS NY</t>
  </si>
  <si>
    <t>USFIL</t>
  </si>
  <si>
    <t>FIL</t>
  </si>
  <si>
    <t>FILLMORE UT</t>
  </si>
  <si>
    <t>USFIV</t>
  </si>
  <si>
    <t>FIV</t>
  </si>
  <si>
    <t>FIVE FING ALS</t>
  </si>
  <si>
    <t>USFKL</t>
  </si>
  <si>
    <t>FKL</t>
  </si>
  <si>
    <t>FRANKLIN PA</t>
  </si>
  <si>
    <t>USFKN</t>
  </si>
  <si>
    <t>FRANKLIN VA</t>
  </si>
  <si>
    <t>USFKT</t>
  </si>
  <si>
    <t>FKT</t>
  </si>
  <si>
    <t>FORT KENT - ME</t>
  </si>
  <si>
    <t>USFLD</t>
  </si>
  <si>
    <t>FLD</t>
  </si>
  <si>
    <t>FOND DU L WIS</t>
  </si>
  <si>
    <t>USFLG</t>
  </si>
  <si>
    <t>FLG</t>
  </si>
  <si>
    <t>FLAGSTAFF ARI</t>
  </si>
  <si>
    <t>USFLL</t>
  </si>
  <si>
    <t>FLL</t>
  </si>
  <si>
    <t>FORT LAUDERDALE - FL</t>
  </si>
  <si>
    <t>USFLO</t>
  </si>
  <si>
    <t>FLO</t>
  </si>
  <si>
    <t>FLORENCE SC</t>
  </si>
  <si>
    <t>USFLT</t>
  </si>
  <si>
    <t>FLT</t>
  </si>
  <si>
    <t>FLAT ALS</t>
  </si>
  <si>
    <t>USFLU</t>
  </si>
  <si>
    <t>FLU</t>
  </si>
  <si>
    <t>FLUSHING APT/NEW YORK</t>
  </si>
  <si>
    <t>USFLV</t>
  </si>
  <si>
    <t>FLV</t>
  </si>
  <si>
    <t>FORT LEAV KAN</t>
  </si>
  <si>
    <t>USFMC</t>
  </si>
  <si>
    <t>FMC</t>
  </si>
  <si>
    <t>FIVE MILE ALS</t>
  </si>
  <si>
    <t>USFME</t>
  </si>
  <si>
    <t>FME</t>
  </si>
  <si>
    <t>FORT MEADE MD</t>
  </si>
  <si>
    <t>USFMH</t>
  </si>
  <si>
    <t>FALMOUTH MAS</t>
  </si>
  <si>
    <t>USFMN</t>
  </si>
  <si>
    <t>FMN</t>
  </si>
  <si>
    <t>FARMINGTON NM</t>
  </si>
  <si>
    <t>USFMS</t>
  </si>
  <si>
    <t>FORT MAD IOWA</t>
  </si>
  <si>
    <t>USFMY</t>
  </si>
  <si>
    <t>FMY</t>
  </si>
  <si>
    <t>FORT MYERS - FL</t>
  </si>
  <si>
    <t>USFNC</t>
  </si>
  <si>
    <t>FREMONT</t>
  </si>
  <si>
    <t>USFNK</t>
  </si>
  <si>
    <t>FIN CREEK ALS</t>
  </si>
  <si>
    <t>USFNL</t>
  </si>
  <si>
    <t>FNL</t>
  </si>
  <si>
    <t>FORT COLLINS CO</t>
  </si>
  <si>
    <t>USFNR</t>
  </si>
  <si>
    <t>FUNTER BA ALS</t>
  </si>
  <si>
    <t>USFNT</t>
  </si>
  <si>
    <t>FLINT MIC</t>
  </si>
  <si>
    <t>USFOB</t>
  </si>
  <si>
    <t>FOB</t>
  </si>
  <si>
    <t>FORT BRAGG - CA</t>
  </si>
  <si>
    <t>USFOD</t>
  </si>
  <si>
    <t>FOD</t>
  </si>
  <si>
    <t>FORD DOD IOWA</t>
  </si>
  <si>
    <t>USFOK</t>
  </si>
  <si>
    <t>FOK</t>
  </si>
  <si>
    <t>WESTHAMPTO NY</t>
  </si>
  <si>
    <t>USFOP</t>
  </si>
  <si>
    <t>FOP</t>
  </si>
  <si>
    <t>FOREST PARK - GA</t>
  </si>
  <si>
    <t>USFOX</t>
  </si>
  <si>
    <t>FOX ALS</t>
  </si>
  <si>
    <t>USFPO</t>
  </si>
  <si>
    <t>FREEPORT - TX</t>
  </si>
  <si>
    <t>USFPR</t>
  </si>
  <si>
    <t>FPR</t>
  </si>
  <si>
    <t>FORT PIERCE - FL</t>
  </si>
  <si>
    <t>USFPT</t>
  </si>
  <si>
    <t>FAIRPORT - OH</t>
  </si>
  <si>
    <t>USFRD</t>
  </si>
  <si>
    <t>FRD</t>
  </si>
  <si>
    <t>FRIDAY HARBOR - WA</t>
  </si>
  <si>
    <t>USFRG</t>
  </si>
  <si>
    <t>FARMINGDAL NY</t>
  </si>
  <si>
    <t>USFRH</t>
  </si>
  <si>
    <t>FRENCH LI IND</t>
  </si>
  <si>
    <t>USFRI</t>
  </si>
  <si>
    <t>FORT RILE KAN</t>
  </si>
  <si>
    <t>USFRM</t>
  </si>
  <si>
    <t>FAIRMONT MIN</t>
  </si>
  <si>
    <t>USFRN</t>
  </si>
  <si>
    <t>FORT RICH ALS</t>
  </si>
  <si>
    <t>USFRO</t>
  </si>
  <si>
    <t>FRONTIER - WA</t>
  </si>
  <si>
    <t>USFRP</t>
  </si>
  <si>
    <t>FRP</t>
  </si>
  <si>
    <t>FRESH WATER BAY - AK</t>
  </si>
  <si>
    <t>USFRR</t>
  </si>
  <si>
    <t>FRR</t>
  </si>
  <si>
    <t>FRONT ROYAL - VA</t>
  </si>
  <si>
    <t>USFRT</t>
  </si>
  <si>
    <t>FRT</t>
  </si>
  <si>
    <t>FORTUNA - ND</t>
  </si>
  <si>
    <t>USFRW</t>
  </si>
  <si>
    <t>FREDERICKSBURG</t>
  </si>
  <si>
    <t>USFSD</t>
  </si>
  <si>
    <t>FSD</t>
  </si>
  <si>
    <t>SIOUX FALL SD</t>
  </si>
  <si>
    <t>USFSH</t>
  </si>
  <si>
    <t>FISHERS - IN</t>
  </si>
  <si>
    <t>USFSI</t>
  </si>
  <si>
    <t>FORT SILL OK</t>
  </si>
  <si>
    <t>USFSK</t>
  </si>
  <si>
    <t>FORT SCOT KAN</t>
  </si>
  <si>
    <t>USFSM</t>
  </si>
  <si>
    <t>FORT SMIT ARK</t>
  </si>
  <si>
    <t>USFSN</t>
  </si>
  <si>
    <t>FSN</t>
  </si>
  <si>
    <t>FORT SHER ILL</t>
  </si>
  <si>
    <t>USFST</t>
  </si>
  <si>
    <t>FORT STOC TEX</t>
  </si>
  <si>
    <t>USFSU</t>
  </si>
  <si>
    <t>FSU</t>
  </si>
  <si>
    <t>FORT SUMNE NM</t>
  </si>
  <si>
    <t>USFTK</t>
  </si>
  <si>
    <t>FTK</t>
  </si>
  <si>
    <t>FORT KNOX KY</t>
  </si>
  <si>
    <t>USFTL</t>
  </si>
  <si>
    <t>FORTUNA ALS</t>
  </si>
  <si>
    <t>USFTW</t>
  </si>
  <si>
    <t>FTW</t>
  </si>
  <si>
    <t>FORT WORT TEX</t>
  </si>
  <si>
    <t>USFTY</t>
  </si>
  <si>
    <t>FTY</t>
  </si>
  <si>
    <t>ATLANTA GA</t>
  </si>
  <si>
    <t>USFUL</t>
  </si>
  <si>
    <t>FULLERTON CAL</t>
  </si>
  <si>
    <t>USFWA</t>
  </si>
  <si>
    <t>FWA</t>
  </si>
  <si>
    <t>FORT WAYNE - IN</t>
  </si>
  <si>
    <t>USFWH</t>
  </si>
  <si>
    <t>FWH</t>
  </si>
  <si>
    <t>USFWL</t>
  </si>
  <si>
    <t>FWL</t>
  </si>
  <si>
    <t>FAREWELL ALS</t>
  </si>
  <si>
    <t>USFWT</t>
  </si>
  <si>
    <t>FWT</t>
  </si>
  <si>
    <t>FORT WORTH - TX</t>
  </si>
  <si>
    <t>USFXE</t>
  </si>
  <si>
    <t>FXE</t>
  </si>
  <si>
    <t>FORT LAUD FLA</t>
  </si>
  <si>
    <t>USFXM</t>
  </si>
  <si>
    <t>FXM</t>
  </si>
  <si>
    <t>FLAXMAN I ALS</t>
  </si>
  <si>
    <t>USFXY</t>
  </si>
  <si>
    <t>FXY</t>
  </si>
  <si>
    <t>FOREST C IOWA</t>
  </si>
  <si>
    <t>USFYM</t>
  </si>
  <si>
    <t>FAYETTEVI TEN</t>
  </si>
  <si>
    <t>USFYU</t>
  </si>
  <si>
    <t>FYU</t>
  </si>
  <si>
    <t>FORT YUKO ALS</t>
  </si>
  <si>
    <t>USFYV</t>
  </si>
  <si>
    <t>FYV</t>
  </si>
  <si>
    <t>FAYETTEVI ARK</t>
  </si>
  <si>
    <t>USG2C</t>
  </si>
  <si>
    <t>G2C</t>
  </si>
  <si>
    <t>USGAB</t>
  </si>
  <si>
    <t>GAB</t>
  </si>
  <si>
    <t>GABBS NEV</t>
  </si>
  <si>
    <t>USGAD</t>
  </si>
  <si>
    <t>GAD</t>
  </si>
  <si>
    <t>GADSDEN ALA</t>
  </si>
  <si>
    <t>USGAG</t>
  </si>
  <si>
    <t>GAGE OK</t>
  </si>
  <si>
    <t>USGAI</t>
  </si>
  <si>
    <t>GAITHERSBU MD</t>
  </si>
  <si>
    <t>USGAK</t>
  </si>
  <si>
    <t>GAK</t>
  </si>
  <si>
    <t>GAKONA ALS</t>
  </si>
  <si>
    <t>USGAL</t>
  </si>
  <si>
    <t>GALENA ALS</t>
  </si>
  <si>
    <t>USGAM</t>
  </si>
  <si>
    <t>GAMBELLALS</t>
  </si>
  <si>
    <t>USGBD</t>
  </si>
  <si>
    <t>GBD</t>
  </si>
  <si>
    <t>GREAT BEN KAN</t>
  </si>
  <si>
    <t>USGBG</t>
  </si>
  <si>
    <t>GBG</t>
  </si>
  <si>
    <t>GALESBURG ILL</t>
  </si>
  <si>
    <t>USGBH</t>
  </si>
  <si>
    <t>GBH</t>
  </si>
  <si>
    <t>GALBRAITH ALS</t>
  </si>
  <si>
    <t>USGBQ</t>
  </si>
  <si>
    <t>GBQ</t>
  </si>
  <si>
    <t>GREENSBORO - NC</t>
  </si>
  <si>
    <t>USGBR</t>
  </si>
  <si>
    <t>GBR</t>
  </si>
  <si>
    <t>GREAT BAR MAS</t>
  </si>
  <si>
    <t>USGCC</t>
  </si>
  <si>
    <t>GCC</t>
  </si>
  <si>
    <t>GILLETTE WYO</t>
  </si>
  <si>
    <t>USGCK</t>
  </si>
  <si>
    <t>GARDEN CI KAN</t>
  </si>
  <si>
    <t>USGCN</t>
  </si>
  <si>
    <t>GCN</t>
  </si>
  <si>
    <t>GRAND CAN ARI</t>
  </si>
  <si>
    <t>USGCY</t>
  </si>
  <si>
    <t>GCY</t>
  </si>
  <si>
    <t>GREENVILL TEN</t>
  </si>
  <si>
    <t>USGDM</t>
  </si>
  <si>
    <t>GARDNER MAS</t>
  </si>
  <si>
    <t>USGDR</t>
  </si>
  <si>
    <t>GDR</t>
  </si>
  <si>
    <t>GARDINER - OR</t>
  </si>
  <si>
    <t>USGDV</t>
  </si>
  <si>
    <t>GDV</t>
  </si>
  <si>
    <t>GLENDIVE MONT</t>
  </si>
  <si>
    <t>USGDW</t>
  </si>
  <si>
    <t>GDW</t>
  </si>
  <si>
    <t>GLADWIN MIC</t>
  </si>
  <si>
    <t>USGED</t>
  </si>
  <si>
    <t>GEORGETOWN - TX</t>
  </si>
  <si>
    <t>USGEG</t>
  </si>
  <si>
    <t>GEG</t>
  </si>
  <si>
    <t>SPOKANE - WA</t>
  </si>
  <si>
    <t>USGEK</t>
  </si>
  <si>
    <t>GANES CRE ALS</t>
  </si>
  <si>
    <t>USGEO</t>
  </si>
  <si>
    <t>GEORGETOWN - KY</t>
  </si>
  <si>
    <t>USGEY</t>
  </si>
  <si>
    <t>GEY</t>
  </si>
  <si>
    <t>GREYBULL WYO</t>
  </si>
  <si>
    <t>USGFD</t>
  </si>
  <si>
    <t>GFD</t>
  </si>
  <si>
    <t>GREENFIELD IND</t>
  </si>
  <si>
    <t>USGFK</t>
  </si>
  <si>
    <t>GFK</t>
  </si>
  <si>
    <t>GRAND FORK ND</t>
  </si>
  <si>
    <t>USGFL</t>
  </si>
  <si>
    <t>GFL</t>
  </si>
  <si>
    <t>GLENS FALL NY</t>
  </si>
  <si>
    <t>USGGE</t>
  </si>
  <si>
    <t>GGE</t>
  </si>
  <si>
    <t>GEORGETOWN - SC</t>
  </si>
  <si>
    <t>USGGG</t>
  </si>
  <si>
    <t>LONGVIEW TX</t>
  </si>
  <si>
    <t>USGHC</t>
  </si>
  <si>
    <t>GRAYS HARBOR CITY</t>
  </si>
  <si>
    <t>USGHM</t>
  </si>
  <si>
    <t>GHM</t>
  </si>
  <si>
    <t>CENTERVIL TEN</t>
  </si>
  <si>
    <t>USGHN</t>
  </si>
  <si>
    <t>GRAND HAVEN - MI</t>
  </si>
  <si>
    <t>USGHR</t>
  </si>
  <si>
    <t>GHR</t>
  </si>
  <si>
    <t>GRAY'S HARBOUR/ABERDEEN - OR</t>
  </si>
  <si>
    <t>USGIB</t>
  </si>
  <si>
    <t>GIBBSTOWN - NJ</t>
  </si>
  <si>
    <t>USGIF</t>
  </si>
  <si>
    <t>WINTER HA FLA</t>
  </si>
  <si>
    <t>USGJT</t>
  </si>
  <si>
    <t>GJT</t>
  </si>
  <si>
    <t>GRAND JUN COL</t>
  </si>
  <si>
    <t>USGKN</t>
  </si>
  <si>
    <t>GULKANA ALS</t>
  </si>
  <si>
    <t>USGLC</t>
  </si>
  <si>
    <t>GLC</t>
  </si>
  <si>
    <t>GLOUCESTER CITY - NJ</t>
  </si>
  <si>
    <t>USGLD</t>
  </si>
  <si>
    <t>GOODLAND KAN</t>
  </si>
  <si>
    <t>USGLE</t>
  </si>
  <si>
    <t>GLE</t>
  </si>
  <si>
    <t>GAINESVIL TEX</t>
  </si>
  <si>
    <t>USGLH</t>
  </si>
  <si>
    <t>GLH</t>
  </si>
  <si>
    <t>GREENVILLE - MS</t>
  </si>
  <si>
    <t>USGLO</t>
  </si>
  <si>
    <t>GLOUCESTER - MA</t>
  </si>
  <si>
    <t>USGLQ</t>
  </si>
  <si>
    <t>GLQ</t>
  </si>
  <si>
    <t>GLENNALLE ALS</t>
  </si>
  <si>
    <t>USGLS</t>
  </si>
  <si>
    <t>GLS</t>
  </si>
  <si>
    <t>GALVESTON - TX</t>
  </si>
  <si>
    <t>USGLV</t>
  </si>
  <si>
    <t>GLV</t>
  </si>
  <si>
    <t>GOLOVIN ALS</t>
  </si>
  <si>
    <t>USGLW</t>
  </si>
  <si>
    <t>GLASGOW KY</t>
  </si>
  <si>
    <t>USGMT</t>
  </si>
  <si>
    <t>GMT</t>
  </si>
  <si>
    <t>GRANITE M ALS</t>
  </si>
  <si>
    <t>USGNG</t>
  </si>
  <si>
    <t>GOODING ID</t>
  </si>
  <si>
    <t>USGNT</t>
  </si>
  <si>
    <t>GNT</t>
  </si>
  <si>
    <t>GRANTS NM</t>
  </si>
  <si>
    <t>USGNU</t>
  </si>
  <si>
    <t>GNU</t>
  </si>
  <si>
    <t>GOODNEWS ALS</t>
  </si>
  <si>
    <t>USGNV</t>
  </si>
  <si>
    <t>GNV</t>
  </si>
  <si>
    <t>GAINESVIL FLA</t>
  </si>
  <si>
    <t>USGOK</t>
  </si>
  <si>
    <t>GOK</t>
  </si>
  <si>
    <t>GUTHRIE OK</t>
  </si>
  <si>
    <t>USGOL</t>
  </si>
  <si>
    <t>GOLD BEACH OR</t>
  </si>
  <si>
    <t>USGON</t>
  </si>
  <si>
    <t>GROTON-NEW LONDON APT</t>
  </si>
  <si>
    <t>USGPT</t>
  </si>
  <si>
    <t>GULFPORT - MS</t>
  </si>
  <si>
    <t>USGPZ</t>
  </si>
  <si>
    <t>GPZ</t>
  </si>
  <si>
    <t>GRAND RAP MIN</t>
  </si>
  <si>
    <t>USGQQ</t>
  </si>
  <si>
    <t>GQQ</t>
  </si>
  <si>
    <t>GALION OH</t>
  </si>
  <si>
    <t>USGRA</t>
  </si>
  <si>
    <t>GRAND PORTAGE - MN</t>
  </si>
  <si>
    <t>USGRB</t>
  </si>
  <si>
    <t>GRB</t>
  </si>
  <si>
    <t>GREEN BAY - WI</t>
  </si>
  <si>
    <t>USGRD</t>
  </si>
  <si>
    <t>GRD</t>
  </si>
  <si>
    <t>GREENWOOD - SC</t>
  </si>
  <si>
    <t>USGRE</t>
  </si>
  <si>
    <t>GREENVILL ILL</t>
  </si>
  <si>
    <t>USGRI</t>
  </si>
  <si>
    <t>GRI</t>
  </si>
  <si>
    <t>GRAND ISL NEB</t>
  </si>
  <si>
    <t>USGRM</t>
  </si>
  <si>
    <t>GRM</t>
  </si>
  <si>
    <t>GRAND MAR MIN</t>
  </si>
  <si>
    <t>USGRR</t>
  </si>
  <si>
    <t>GRR</t>
  </si>
  <si>
    <t>GRAND RAPIDS - MI</t>
  </si>
  <si>
    <t>USGRS</t>
  </si>
  <si>
    <t>GREENSBURG - IN</t>
  </si>
  <si>
    <t>USGRV</t>
  </si>
  <si>
    <t>GRAYS RIVER - WA</t>
  </si>
  <si>
    <t>USGRW</t>
  </si>
  <si>
    <t>GREENWICH - NY</t>
  </si>
  <si>
    <t>USGRY</t>
  </si>
  <si>
    <t>GRAMERCY - LA</t>
  </si>
  <si>
    <t>USGRZ</t>
  </si>
  <si>
    <t>GRIFFIN</t>
  </si>
  <si>
    <t>USGSB</t>
  </si>
  <si>
    <t>GSB</t>
  </si>
  <si>
    <t>GOLDSBORO - NC</t>
  </si>
  <si>
    <t>USGSH</t>
  </si>
  <si>
    <t>GSH</t>
  </si>
  <si>
    <t>GOSHEN IND</t>
  </si>
  <si>
    <t>USGSO</t>
  </si>
  <si>
    <t>GSO</t>
  </si>
  <si>
    <t>GREENSBORO NC</t>
  </si>
  <si>
    <t>USGSP</t>
  </si>
  <si>
    <t>GSP</t>
  </si>
  <si>
    <t>GREENVILLE-GREER APT- SC</t>
  </si>
  <si>
    <t>USGST</t>
  </si>
  <si>
    <t>GST</t>
  </si>
  <si>
    <t>GUSTAVUS ALS</t>
  </si>
  <si>
    <t>USGTF</t>
  </si>
  <si>
    <t>GTF</t>
  </si>
  <si>
    <t>GREAT FALLS - MT</t>
  </si>
  <si>
    <t>USGTR</t>
  </si>
  <si>
    <t>GTR</t>
  </si>
  <si>
    <t>USGTY</t>
  </si>
  <si>
    <t>GETTYSBURG PA</t>
  </si>
  <si>
    <t>USGUC</t>
  </si>
  <si>
    <t>GUC</t>
  </si>
  <si>
    <t>GUNNISON COL</t>
  </si>
  <si>
    <t>USGUF</t>
  </si>
  <si>
    <t>GUF</t>
  </si>
  <si>
    <t>GULF SHOR ALA</t>
  </si>
  <si>
    <t>USGUN</t>
  </si>
  <si>
    <t>MONTGOMER ALA</t>
  </si>
  <si>
    <t>USGUP</t>
  </si>
  <si>
    <t>GUP</t>
  </si>
  <si>
    <t>GALLUP NM</t>
  </si>
  <si>
    <t>USGUS</t>
  </si>
  <si>
    <t>PERU IND</t>
  </si>
  <si>
    <t>USGUY</t>
  </si>
  <si>
    <t>GUYMON OK</t>
  </si>
  <si>
    <t>USGVE</t>
  </si>
  <si>
    <t>GVE</t>
  </si>
  <si>
    <t>GORDONSVIL VA</t>
  </si>
  <si>
    <t>USGVL</t>
  </si>
  <si>
    <t>GVL</t>
  </si>
  <si>
    <t>GAINESVILLE</t>
  </si>
  <si>
    <t>USGVP</t>
  </si>
  <si>
    <t>GROVEPORT - OH</t>
  </si>
  <si>
    <t>USGVT</t>
  </si>
  <si>
    <t>GVT</t>
  </si>
  <si>
    <t>GREENVILL TEX</t>
  </si>
  <si>
    <t>USGVW</t>
  </si>
  <si>
    <t>GVW</t>
  </si>
  <si>
    <t>GRANDVIEW MO</t>
  </si>
  <si>
    <t>USGWO</t>
  </si>
  <si>
    <t>GWO</t>
  </si>
  <si>
    <t>GREENWOOD MIS</t>
  </si>
  <si>
    <t>USGWS</t>
  </si>
  <si>
    <t>GWS</t>
  </si>
  <si>
    <t>GLENWOOD COL</t>
  </si>
  <si>
    <t>USGWV</t>
  </si>
  <si>
    <t>GWV</t>
  </si>
  <si>
    <t>GLENDALE WV</t>
  </si>
  <si>
    <t>USGXY</t>
  </si>
  <si>
    <t>GXY</t>
  </si>
  <si>
    <t>GREELEY COL</t>
  </si>
  <si>
    <t>USGYR</t>
  </si>
  <si>
    <t>GYR</t>
  </si>
  <si>
    <t>GOODYEAR ARI</t>
  </si>
  <si>
    <t>USGYS</t>
  </si>
  <si>
    <t>GYS</t>
  </si>
  <si>
    <t>GARYSBURG</t>
  </si>
  <si>
    <t>USGYY</t>
  </si>
  <si>
    <t>GYY</t>
  </si>
  <si>
    <t>GARY - IN</t>
  </si>
  <si>
    <t>USGZI</t>
  </si>
  <si>
    <t>GRANITE CITY - IL</t>
  </si>
  <si>
    <t>USHAB</t>
  </si>
  <si>
    <t>HAMILTON ALA</t>
  </si>
  <si>
    <t>USHAE</t>
  </si>
  <si>
    <t>HAVASUPAI AZ</t>
  </si>
  <si>
    <t>USHAF</t>
  </si>
  <si>
    <t>HALF MOON CAL</t>
  </si>
  <si>
    <t>USHAH</t>
  </si>
  <si>
    <t>HAHNVILLE - LA</t>
  </si>
  <si>
    <t>USHAI</t>
  </si>
  <si>
    <t>THREE RIV MIC</t>
  </si>
  <si>
    <t>USHAO</t>
  </si>
  <si>
    <t>HAMILTON OH</t>
  </si>
  <si>
    <t>USHAR</t>
  </si>
  <si>
    <t>HARRISBURG - PA</t>
  </si>
  <si>
    <t>USHAY</t>
  </si>
  <si>
    <t>HAYCOCK ALS</t>
  </si>
  <si>
    <t>USHBG</t>
  </si>
  <si>
    <t>HATTIESBU MIS</t>
  </si>
  <si>
    <t>USHBH</t>
  </si>
  <si>
    <t>HBH</t>
  </si>
  <si>
    <t>HOBART BAY AK</t>
  </si>
  <si>
    <t>USHBK</t>
  </si>
  <si>
    <t>HOBOKEN - NJ</t>
  </si>
  <si>
    <t>USHBN</t>
  </si>
  <si>
    <t>HBN</t>
  </si>
  <si>
    <t>HEBRON</t>
  </si>
  <si>
    <t>USHBO</t>
  </si>
  <si>
    <t>HANSBORO - ND</t>
  </si>
  <si>
    <t>USHBR</t>
  </si>
  <si>
    <t>HOBART OK</t>
  </si>
  <si>
    <t>USHBY</t>
  </si>
  <si>
    <t>HBY</t>
  </si>
  <si>
    <t>HUMBOLDT BAY</t>
  </si>
  <si>
    <t>USHCA</t>
  </si>
  <si>
    <t>HCA</t>
  </si>
  <si>
    <t>USHCR</t>
  </si>
  <si>
    <t>HCR</t>
  </si>
  <si>
    <t>HOLY CROS ALS</t>
  </si>
  <si>
    <t>USHCW</t>
  </si>
  <si>
    <t>HCW</t>
  </si>
  <si>
    <t>CHERAW - SC</t>
  </si>
  <si>
    <t>USHDE</t>
  </si>
  <si>
    <t>HOLDREGE NEB</t>
  </si>
  <si>
    <t>USHDN</t>
  </si>
  <si>
    <t>HAYDEN COL</t>
  </si>
  <si>
    <t>USHDR</t>
  </si>
  <si>
    <t>HDR</t>
  </si>
  <si>
    <t>HILDEBRAN - NC</t>
  </si>
  <si>
    <t>USHED</t>
  </si>
  <si>
    <t>HERENDEEN ALS</t>
  </si>
  <si>
    <t>USHEE</t>
  </si>
  <si>
    <t>HELENA ARK</t>
  </si>
  <si>
    <t>USHES</t>
  </si>
  <si>
    <t>HERMISTON OR</t>
  </si>
  <si>
    <t>USHEZ</t>
  </si>
  <si>
    <t>HEZ</t>
  </si>
  <si>
    <t>NATCHEZ MIS</t>
  </si>
  <si>
    <t>USHFD</t>
  </si>
  <si>
    <t>USHFF</t>
  </si>
  <si>
    <t>HFF</t>
  </si>
  <si>
    <t>HOFFMAN NC</t>
  </si>
  <si>
    <t>USHGR</t>
  </si>
  <si>
    <t>HGR</t>
  </si>
  <si>
    <t>HAGERSTOWN - MD</t>
  </si>
  <si>
    <t>USHGT</t>
  </si>
  <si>
    <t>HGT</t>
  </si>
  <si>
    <t>JOLON CAL</t>
  </si>
  <si>
    <t>USHGZ</t>
  </si>
  <si>
    <t>HGZ</t>
  </si>
  <si>
    <t>HOGATZA ALS</t>
  </si>
  <si>
    <t>USHHH</t>
  </si>
  <si>
    <t>HILTON HEA SC</t>
  </si>
  <si>
    <t>USHHR</t>
  </si>
  <si>
    <t>HAWTHORNE CAL</t>
  </si>
  <si>
    <t>USHIB</t>
  </si>
  <si>
    <t>HIBBING MN</t>
  </si>
  <si>
    <t>USHID</t>
  </si>
  <si>
    <t>HIDALGO - TX</t>
  </si>
  <si>
    <t>USHIE</t>
  </si>
  <si>
    <t>WHITEFIELD NH</t>
  </si>
  <si>
    <t>USHIO</t>
  </si>
  <si>
    <t>HILLSBORO OR</t>
  </si>
  <si>
    <t>USHIS</t>
  </si>
  <si>
    <t>HIGHGATE SPRINGS - VT</t>
  </si>
  <si>
    <t>USHKA</t>
  </si>
  <si>
    <t>USHKY</t>
  </si>
  <si>
    <t>HKY</t>
  </si>
  <si>
    <t>HICKORY - NC</t>
  </si>
  <si>
    <t>USHLB</t>
  </si>
  <si>
    <t>HLB</t>
  </si>
  <si>
    <t>BATESVILL IND</t>
  </si>
  <si>
    <t>USHLC</t>
  </si>
  <si>
    <t>HLC</t>
  </si>
  <si>
    <t>HILL CITY KAN</t>
  </si>
  <si>
    <t>USHLG</t>
  </si>
  <si>
    <t>WHEELING WV</t>
  </si>
  <si>
    <t>USHLI</t>
  </si>
  <si>
    <t>HLI</t>
  </si>
  <si>
    <t>HOLLISTER CAL</t>
  </si>
  <si>
    <t>USHLM</t>
  </si>
  <si>
    <t>HOLLAND MIC</t>
  </si>
  <si>
    <t>USHLN</t>
  </si>
  <si>
    <t>HLN</t>
  </si>
  <si>
    <t>HELENA MONT</t>
  </si>
  <si>
    <t>USHME</t>
  </si>
  <si>
    <t>HOFFMAN ESTATES - IL</t>
  </si>
  <si>
    <t>USHMN</t>
  </si>
  <si>
    <t>USHMT</t>
  </si>
  <si>
    <t>HEMET CAL</t>
  </si>
  <si>
    <t>USHMV</t>
  </si>
  <si>
    <t>HMV</t>
  </si>
  <si>
    <t>HOMERVILLE - GA</t>
  </si>
  <si>
    <t>USHNA</t>
  </si>
  <si>
    <t>HANNAH - AK</t>
  </si>
  <si>
    <t>USHNB</t>
  </si>
  <si>
    <t>HUNTINGBU IND</t>
  </si>
  <si>
    <t>USHNC</t>
  </si>
  <si>
    <t>HNC</t>
  </si>
  <si>
    <t>HATTERAS NC</t>
  </si>
  <si>
    <t>USHNE</t>
  </si>
  <si>
    <t>TAHNETA P ALS</t>
  </si>
  <si>
    <t>USHNH</t>
  </si>
  <si>
    <t>HOONAH - AK</t>
  </si>
  <si>
    <t>USHNL</t>
  </si>
  <si>
    <t>HNL</t>
  </si>
  <si>
    <t xml:space="preserve">HONOLULU - HI       </t>
  </si>
  <si>
    <t>USHNS</t>
  </si>
  <si>
    <t>HAINES - AK</t>
  </si>
  <si>
    <t>USHNT</t>
  </si>
  <si>
    <t>HUNTING - IN</t>
  </si>
  <si>
    <t>USHNV</t>
  </si>
  <si>
    <t>HNV</t>
  </si>
  <si>
    <t>HAMPTON VA</t>
  </si>
  <si>
    <t>USHNX</t>
  </si>
  <si>
    <t>HNX</t>
  </si>
  <si>
    <t>HANNA WYO</t>
  </si>
  <si>
    <t>USHOB</t>
  </si>
  <si>
    <t>HOBBS - NM</t>
  </si>
  <si>
    <t>USHOL</t>
  </si>
  <si>
    <t>HOLIKACHU ALS</t>
  </si>
  <si>
    <t>USHOM</t>
  </si>
  <si>
    <t>HOMER - AK</t>
  </si>
  <si>
    <t>USHON</t>
  </si>
  <si>
    <t>HURON SD</t>
  </si>
  <si>
    <t>USHOP</t>
  </si>
  <si>
    <t>HOPKINSVILLE</t>
  </si>
  <si>
    <t>USHOT</t>
  </si>
  <si>
    <t>HOT SPRIN ARK</t>
  </si>
  <si>
    <t>USHOU</t>
  </si>
  <si>
    <t xml:space="preserve">HOUSTON TEX         </t>
  </si>
  <si>
    <t>IAH</t>
  </si>
  <si>
    <t>USHPB</t>
  </si>
  <si>
    <t>HPB</t>
  </si>
  <si>
    <t>HOOPER BA ALS</t>
  </si>
  <si>
    <t>USHPN</t>
  </si>
  <si>
    <t>HPN</t>
  </si>
  <si>
    <t>WESTCHESTER NY</t>
  </si>
  <si>
    <t>USHPT</t>
  </si>
  <si>
    <t>HAMPTON IOWA</t>
  </si>
  <si>
    <t>USHPW</t>
  </si>
  <si>
    <t>HPW</t>
  </si>
  <si>
    <t>HOPEWELL - VA</t>
  </si>
  <si>
    <t>USHPY</t>
  </si>
  <si>
    <t>HPY</t>
  </si>
  <si>
    <t>BAYTOWN - HOUSTON -TX</t>
  </si>
  <si>
    <t>USHPZ</t>
  </si>
  <si>
    <t>HPZ</t>
  </si>
  <si>
    <t>HIGH POINT - NC</t>
  </si>
  <si>
    <t>USHQM</t>
  </si>
  <si>
    <t>HQM</t>
  </si>
  <si>
    <t>HOQUIAM - WA</t>
  </si>
  <si>
    <t>USHRL</t>
  </si>
  <si>
    <t>HARLINGEN TEX</t>
  </si>
  <si>
    <t>USHRO</t>
  </si>
  <si>
    <t>HARRISON ARK</t>
  </si>
  <si>
    <t>USHSB</t>
  </si>
  <si>
    <t>HARRISBUR ILL</t>
  </si>
  <si>
    <t>USHSI</t>
  </si>
  <si>
    <t>HASTINGS NEB</t>
  </si>
  <si>
    <t>USHSL</t>
  </si>
  <si>
    <t>HUSLIA ALS</t>
  </si>
  <si>
    <t>USHSP</t>
  </si>
  <si>
    <t>HSP</t>
  </si>
  <si>
    <t>HOT SPRING VA</t>
  </si>
  <si>
    <t>USHST</t>
  </si>
  <si>
    <t>HST</t>
  </si>
  <si>
    <t>HOMESTEAD FLA</t>
  </si>
  <si>
    <t>USHSV</t>
  </si>
  <si>
    <t>HSV</t>
  </si>
  <si>
    <t>HUNTSVILL ALA</t>
  </si>
  <si>
    <t>USHTH</t>
  </si>
  <si>
    <t>HTH</t>
  </si>
  <si>
    <t>HAWTHORNE NEV</t>
  </si>
  <si>
    <t>USHTL</t>
  </si>
  <si>
    <t>HTL</t>
  </si>
  <si>
    <t>HOUGHTON MIC</t>
  </si>
  <si>
    <t>USHTO</t>
  </si>
  <si>
    <t>EAST HAMPT NY</t>
  </si>
  <si>
    <t>USHTS</t>
  </si>
  <si>
    <t>HUNTINGTON WV</t>
  </si>
  <si>
    <t>USHTV</t>
  </si>
  <si>
    <t>HTV</t>
  </si>
  <si>
    <t>HUNTSVILL TEX</t>
  </si>
  <si>
    <t>USHUB</t>
  </si>
  <si>
    <t>HURON - OH</t>
  </si>
  <si>
    <t>USHUC</t>
  </si>
  <si>
    <t>HURLOCK - MD</t>
  </si>
  <si>
    <t>USHUD</t>
  </si>
  <si>
    <t>HUMBOLDT IOWA</t>
  </si>
  <si>
    <t>USHUF</t>
  </si>
  <si>
    <t>HUF</t>
  </si>
  <si>
    <t>TERRE HAU IND</t>
  </si>
  <si>
    <t>USHUL</t>
  </si>
  <si>
    <t>HOULTON - ME</t>
  </si>
  <si>
    <t>USHUM</t>
  </si>
  <si>
    <t>HOUMA LA</t>
  </si>
  <si>
    <t>USHUO</t>
  </si>
  <si>
    <t>HUO</t>
  </si>
  <si>
    <t>HUDSON - OH</t>
  </si>
  <si>
    <t>USHUS</t>
  </si>
  <si>
    <t>HUGHES ALS</t>
  </si>
  <si>
    <t>USHVE</t>
  </si>
  <si>
    <t>HVE</t>
  </si>
  <si>
    <t>HANKSVILLE UT</t>
  </si>
  <si>
    <t>USHVN</t>
  </si>
  <si>
    <t>HVN</t>
  </si>
  <si>
    <t>NEW HAVEN - CT</t>
  </si>
  <si>
    <t>USHVR</t>
  </si>
  <si>
    <t>HVR</t>
  </si>
  <si>
    <t>HAVRE MONT</t>
  </si>
  <si>
    <t>USHVS</t>
  </si>
  <si>
    <t>HARTSVILLE SC</t>
  </si>
  <si>
    <t>USHWD</t>
  </si>
  <si>
    <t>HWD</t>
  </si>
  <si>
    <t>HAYWARD</t>
  </si>
  <si>
    <t>USHWI</t>
  </si>
  <si>
    <t>HWI</t>
  </si>
  <si>
    <t>HAWK INLE ALS</t>
  </si>
  <si>
    <t>USHWO</t>
  </si>
  <si>
    <t>HWO</t>
  </si>
  <si>
    <t>HOLLYWOOD FLA</t>
  </si>
  <si>
    <t>USHYA</t>
  </si>
  <si>
    <t>HYA</t>
  </si>
  <si>
    <t>HYANNIS - MA</t>
  </si>
  <si>
    <t>USHYG</t>
  </si>
  <si>
    <t>HYDABURG ALS</t>
  </si>
  <si>
    <t>USHYL</t>
  </si>
  <si>
    <t>HYL</t>
  </si>
  <si>
    <t>HOLLIS ALS</t>
  </si>
  <si>
    <t>USHYR</t>
  </si>
  <si>
    <t>HAYWARD WIS</t>
  </si>
  <si>
    <t>USHYS</t>
  </si>
  <si>
    <t>HAYS KAN</t>
  </si>
  <si>
    <t>USHZL</t>
  </si>
  <si>
    <t>HZL</t>
  </si>
  <si>
    <t>HAZLETON PA</t>
  </si>
  <si>
    <t>USIAD</t>
  </si>
  <si>
    <t>IAD</t>
  </si>
  <si>
    <t>DULLES INT APT/WASHINGTON</t>
  </si>
  <si>
    <t>USIAG</t>
  </si>
  <si>
    <t>IAG</t>
  </si>
  <si>
    <t>NIAGARA FA NY</t>
  </si>
  <si>
    <t>USIAN</t>
  </si>
  <si>
    <t>IAN</t>
  </si>
  <si>
    <t>KIANA ALS</t>
  </si>
  <si>
    <t>USICL</t>
  </si>
  <si>
    <t>ICL</t>
  </si>
  <si>
    <t>CLARINDA IOWA</t>
  </si>
  <si>
    <t>USICT</t>
  </si>
  <si>
    <t>ICT</t>
  </si>
  <si>
    <t>WICHITA - KS</t>
  </si>
  <si>
    <t>USICY</t>
  </si>
  <si>
    <t>ICY</t>
  </si>
  <si>
    <t>ICY BAY ALS</t>
  </si>
  <si>
    <t>USIDA</t>
  </si>
  <si>
    <t>IDAHO FALL ID</t>
  </si>
  <si>
    <t>USIDG</t>
  </si>
  <si>
    <t>IDG</t>
  </si>
  <si>
    <t>IDA GROV IOWA</t>
  </si>
  <si>
    <t>USIDI</t>
  </si>
  <si>
    <t>IDI</t>
  </si>
  <si>
    <t>INDIANA PA</t>
  </si>
  <si>
    <t>USIDP</t>
  </si>
  <si>
    <t>IDP</t>
  </si>
  <si>
    <t>INDEPENDE KAN</t>
  </si>
  <si>
    <t>USIFA</t>
  </si>
  <si>
    <t>IFA</t>
  </si>
  <si>
    <t>IOWA FAL IOWA</t>
  </si>
  <si>
    <t>USIFR</t>
  </si>
  <si>
    <t>IFR</t>
  </si>
  <si>
    <t>RANIER/INTERNATIONALFALLS - MN</t>
  </si>
  <si>
    <t>USIGG</t>
  </si>
  <si>
    <t>IGIUGIG ALS</t>
  </si>
  <si>
    <t>USIGM</t>
  </si>
  <si>
    <t>IGM</t>
  </si>
  <si>
    <t>KINGMAN ARI</t>
  </si>
  <si>
    <t>USIJX</t>
  </si>
  <si>
    <t>IJX</t>
  </si>
  <si>
    <t>JACKSONVI ILL</t>
  </si>
  <si>
    <t>USIKB</t>
  </si>
  <si>
    <t>IKB</t>
  </si>
  <si>
    <t>WILKESBORO NC</t>
  </si>
  <si>
    <t>USIKK</t>
  </si>
  <si>
    <t>KANKAKEE ILL</t>
  </si>
  <si>
    <t>USIKO</t>
  </si>
  <si>
    <t>IKO</t>
  </si>
  <si>
    <t>NIKOLSKI ALS</t>
  </si>
  <si>
    <t>USILE</t>
  </si>
  <si>
    <t>ILE</t>
  </si>
  <si>
    <t>KILLEEN TEX</t>
  </si>
  <si>
    <t>USILG</t>
  </si>
  <si>
    <t>ILG</t>
  </si>
  <si>
    <t>WILMINGTON - DE</t>
  </si>
  <si>
    <t>USILI</t>
  </si>
  <si>
    <t>ILI</t>
  </si>
  <si>
    <t>ILIAMNA ALS</t>
  </si>
  <si>
    <t>USILL</t>
  </si>
  <si>
    <t>ILL</t>
  </si>
  <si>
    <t>WILLMAR MIN</t>
  </si>
  <si>
    <t>USILM</t>
  </si>
  <si>
    <t>ILM</t>
  </si>
  <si>
    <t>WILMINGTON - NC</t>
  </si>
  <si>
    <t>USILN</t>
  </si>
  <si>
    <t>ILN</t>
  </si>
  <si>
    <t>WILMINGTON OH</t>
  </si>
  <si>
    <t>USIML</t>
  </si>
  <si>
    <t>IML</t>
  </si>
  <si>
    <t>IMPERIAL NEB</t>
  </si>
  <si>
    <t>USIMM</t>
  </si>
  <si>
    <t>IMMOKALEE FLA</t>
  </si>
  <si>
    <t>USIMT</t>
  </si>
  <si>
    <t>IRON MOUN MIC</t>
  </si>
  <si>
    <t>USIND</t>
  </si>
  <si>
    <t>INDIANAPOLIS - IN</t>
  </si>
  <si>
    <t>USINK</t>
  </si>
  <si>
    <t>WINK TEX</t>
  </si>
  <si>
    <t>USINL</t>
  </si>
  <si>
    <t>INL</t>
  </si>
  <si>
    <t>INTERNATI MIN</t>
  </si>
  <si>
    <t>USINR</t>
  </si>
  <si>
    <t>SHINER</t>
  </si>
  <si>
    <t>USINS</t>
  </si>
  <si>
    <t>INDIAN SP NEV</t>
  </si>
  <si>
    <t>USINT</t>
  </si>
  <si>
    <t>SALEM/WINSTON - NC</t>
  </si>
  <si>
    <t>USINW</t>
  </si>
  <si>
    <t>INW</t>
  </si>
  <si>
    <t>WINSLOW ARI</t>
  </si>
  <si>
    <t>USIOW</t>
  </si>
  <si>
    <t>IOW</t>
  </si>
  <si>
    <t>IOWA CIT IOWA</t>
  </si>
  <si>
    <t>USIPD</t>
  </si>
  <si>
    <t>IPD</t>
  </si>
  <si>
    <t>INDEPENDENCE - OH</t>
  </si>
  <si>
    <t>USIPL</t>
  </si>
  <si>
    <t>IPL</t>
  </si>
  <si>
    <t>EL CENTRO CAL</t>
  </si>
  <si>
    <t>USIPT</t>
  </si>
  <si>
    <t>IPT</t>
  </si>
  <si>
    <t>WILLIAMSPO PA</t>
  </si>
  <si>
    <t>USIRC</t>
  </si>
  <si>
    <t>IRC</t>
  </si>
  <si>
    <t>CIRCLE ALS</t>
  </si>
  <si>
    <t>USIRK</t>
  </si>
  <si>
    <t>KIRKSVILLE MO</t>
  </si>
  <si>
    <t>USIRS</t>
  </si>
  <si>
    <t>IRS</t>
  </si>
  <si>
    <t>STURGIS MIC</t>
  </si>
  <si>
    <t>USISL</t>
  </si>
  <si>
    <t>ISABEL PASS</t>
  </si>
  <si>
    <t>USISM</t>
  </si>
  <si>
    <t>KISSIMMEE</t>
  </si>
  <si>
    <t>USISN</t>
  </si>
  <si>
    <t>WILLISTON ND</t>
  </si>
  <si>
    <t>USISO</t>
  </si>
  <si>
    <t>ISO</t>
  </si>
  <si>
    <t>KINSTON NC</t>
  </si>
  <si>
    <t>USISP</t>
  </si>
  <si>
    <t>ISP</t>
  </si>
  <si>
    <t>ISLIP NY</t>
  </si>
  <si>
    <t>USISQ</t>
  </si>
  <si>
    <t>ISQ</t>
  </si>
  <si>
    <t>MANISTIQU MIC</t>
  </si>
  <si>
    <t>USISS</t>
  </si>
  <si>
    <t>WISCASSET ME</t>
  </si>
  <si>
    <t>USISW</t>
  </si>
  <si>
    <t>WISCONSIN WIS</t>
  </si>
  <si>
    <t>USITH</t>
  </si>
  <si>
    <t>ITHACA NY</t>
  </si>
  <si>
    <t>USITN</t>
  </si>
  <si>
    <t>SMITHTON - PA</t>
  </si>
  <si>
    <t>USITO</t>
  </si>
  <si>
    <t xml:space="preserve">HILO - HI           </t>
  </si>
  <si>
    <t>USITS</t>
  </si>
  <si>
    <t>ITASCA - IL</t>
  </si>
  <si>
    <t>USIVH</t>
  </si>
  <si>
    <t>IVH</t>
  </si>
  <si>
    <t>IVISHAK ALS</t>
  </si>
  <si>
    <t>USIWD</t>
  </si>
  <si>
    <t>IWD</t>
  </si>
  <si>
    <t>IRONWOOD MIC</t>
  </si>
  <si>
    <t>USIYK</t>
  </si>
  <si>
    <t>IYK</t>
  </si>
  <si>
    <t>INYOKERN CAL</t>
  </si>
  <si>
    <t>USJAC</t>
  </si>
  <si>
    <t>JACKSON WYO</t>
  </si>
  <si>
    <t>USJAM</t>
  </si>
  <si>
    <t>JACKMAN - ME</t>
  </si>
  <si>
    <t>USJAN</t>
  </si>
  <si>
    <t>JAN</t>
  </si>
  <si>
    <t>JACKSON MIS</t>
  </si>
  <si>
    <t>USJAR</t>
  </si>
  <si>
    <t>ARCADIA CAL</t>
  </si>
  <si>
    <t>USJAS</t>
  </si>
  <si>
    <t>JASPER TEX</t>
  </si>
  <si>
    <t>USJAX</t>
  </si>
  <si>
    <t>JAX</t>
  </si>
  <si>
    <t>JACKSONVILLE - FL</t>
  </si>
  <si>
    <t>USJBK</t>
  </si>
  <si>
    <t>JBK</t>
  </si>
  <si>
    <t>BERKELEY - CA</t>
  </si>
  <si>
    <t>USJBR</t>
  </si>
  <si>
    <t>JBR</t>
  </si>
  <si>
    <t>JONESBORO ARK</t>
  </si>
  <si>
    <t>USJCC</t>
  </si>
  <si>
    <t>JCC</t>
  </si>
  <si>
    <t>JUNCTION CITY - KS</t>
  </si>
  <si>
    <t>USJCI</t>
  </si>
  <si>
    <t>JCI</t>
  </si>
  <si>
    <t>JOHNSON CITY - TN</t>
  </si>
  <si>
    <t>USJCT</t>
  </si>
  <si>
    <t>JCT</t>
  </si>
  <si>
    <t>JUNCTION TEX</t>
  </si>
  <si>
    <t>USJCY</t>
  </si>
  <si>
    <t>JCY</t>
  </si>
  <si>
    <t>JOHNSON TEX</t>
  </si>
  <si>
    <t>USJDA</t>
  </si>
  <si>
    <t>JDA</t>
  </si>
  <si>
    <t>JOHN DAY OR</t>
  </si>
  <si>
    <t>USJDN</t>
  </si>
  <si>
    <t>JDN</t>
  </si>
  <si>
    <t>JORDAN MONT</t>
  </si>
  <si>
    <t>USJDY</t>
  </si>
  <si>
    <t>JDY</t>
  </si>
  <si>
    <t>DOWNEY CAL</t>
  </si>
  <si>
    <t>USJEC</t>
  </si>
  <si>
    <t>JEC</t>
  </si>
  <si>
    <t>JERSEY CITY - NJ</t>
  </si>
  <si>
    <t>USJEF</t>
  </si>
  <si>
    <t>JEF</t>
  </si>
  <si>
    <t>JEFFERSON MO</t>
  </si>
  <si>
    <t>USJEM</t>
  </si>
  <si>
    <t>EMERYVILL CAL</t>
  </si>
  <si>
    <t>USJFK</t>
  </si>
  <si>
    <t>JFK</t>
  </si>
  <si>
    <t>JOHN F. KENNEDY APT/NEW YORK</t>
  </si>
  <si>
    <t>USJFN</t>
  </si>
  <si>
    <t>JFN</t>
  </si>
  <si>
    <t>JEFFERSON OH</t>
  </si>
  <si>
    <t>USJGC</t>
  </si>
  <si>
    <t>JGC</t>
  </si>
  <si>
    <t>GROVE CITY</t>
  </si>
  <si>
    <t>USJGL</t>
  </si>
  <si>
    <t>JGL</t>
  </si>
  <si>
    <t>USJGX</t>
  </si>
  <si>
    <t>JGX</t>
  </si>
  <si>
    <t>GLENDALE CAL</t>
  </si>
  <si>
    <t>USJHC</t>
  </si>
  <si>
    <t>JHC</t>
  </si>
  <si>
    <t>GARDEN CIT NY</t>
  </si>
  <si>
    <t>USJHW</t>
  </si>
  <si>
    <t>JHW</t>
  </si>
  <si>
    <t>JAMESTOWN NY</t>
  </si>
  <si>
    <t>USJID</t>
  </si>
  <si>
    <t>JID</t>
  </si>
  <si>
    <t>CITY OF INDUSTRY - C</t>
  </si>
  <si>
    <t>USJKV</t>
  </si>
  <si>
    <t>JKV</t>
  </si>
  <si>
    <t>JACKSONVILLE - TX</t>
  </si>
  <si>
    <t>USJLA</t>
  </si>
  <si>
    <t>JLA</t>
  </si>
  <si>
    <t>COOPER LO ALS</t>
  </si>
  <si>
    <t>USJLB</t>
  </si>
  <si>
    <t>JLB</t>
  </si>
  <si>
    <t>LONG BEAC CAL</t>
  </si>
  <si>
    <t>USJLH</t>
  </si>
  <si>
    <t>JLH</t>
  </si>
  <si>
    <t>ARLINGTON HEIGHTS</t>
  </si>
  <si>
    <t>USJLN</t>
  </si>
  <si>
    <t>JLN</t>
  </si>
  <si>
    <t>JOPLIN - MO</t>
  </si>
  <si>
    <t>USJMC</t>
  </si>
  <si>
    <t>JMC</t>
  </si>
  <si>
    <t>SAUSALITO - CA</t>
  </si>
  <si>
    <t>USJMS</t>
  </si>
  <si>
    <t>JMS</t>
  </si>
  <si>
    <t>JAMESTOWN ND</t>
  </si>
  <si>
    <t>USJNP</t>
  </si>
  <si>
    <t>JNP</t>
  </si>
  <si>
    <t>NEWPORT B CAL</t>
  </si>
  <si>
    <t>USJNU</t>
  </si>
  <si>
    <t>JNU</t>
  </si>
  <si>
    <t>JUNEAU - AK</t>
  </si>
  <si>
    <t>USJON</t>
  </si>
  <si>
    <t>JONESPORT - ME</t>
  </si>
  <si>
    <t>USJOR</t>
  </si>
  <si>
    <t>ORANGE CAL</t>
  </si>
  <si>
    <t>USJOT</t>
  </si>
  <si>
    <t>JOT</t>
  </si>
  <si>
    <t>JOLIET ILL</t>
  </si>
  <si>
    <t>USJPN</t>
  </si>
  <si>
    <t>JPN</t>
  </si>
  <si>
    <t>USJRA</t>
  </si>
  <si>
    <t>RHEEMS</t>
  </si>
  <si>
    <t>USJRB</t>
  </si>
  <si>
    <t>JRB</t>
  </si>
  <si>
    <t>NORTH ARAB</t>
  </si>
  <si>
    <t>USJSD</t>
  </si>
  <si>
    <t>JSD</t>
  </si>
  <si>
    <t>STRATFORD CON</t>
  </si>
  <si>
    <t>USJSG</t>
  </si>
  <si>
    <t>JSG</t>
  </si>
  <si>
    <t>SAN RAFAEL CA</t>
  </si>
  <si>
    <t>USJSK</t>
  </si>
  <si>
    <t>JSK</t>
  </si>
  <si>
    <t>SAINT CLO MIN</t>
  </si>
  <si>
    <t>USJST</t>
  </si>
  <si>
    <t>JST</t>
  </si>
  <si>
    <t>JOHNSTOWN PA</t>
  </si>
  <si>
    <t>USJVI</t>
  </si>
  <si>
    <t>JVI</t>
  </si>
  <si>
    <t>MANVILLE NJ</t>
  </si>
  <si>
    <t>USJVL</t>
  </si>
  <si>
    <t>JVL</t>
  </si>
  <si>
    <t>JANESVILL WIS</t>
  </si>
  <si>
    <t>USJXN</t>
  </si>
  <si>
    <t>JXN</t>
  </si>
  <si>
    <t>JACKSON MIC</t>
  </si>
  <si>
    <t>USKAE</t>
  </si>
  <si>
    <t>KAKE ALS</t>
  </si>
  <si>
    <t>USKAH</t>
  </si>
  <si>
    <t>KENMORE/SEATTLE - WA</t>
  </si>
  <si>
    <t>USKAL</t>
  </si>
  <si>
    <t>KALTAG - AK</t>
  </si>
  <si>
    <t>USKAM</t>
  </si>
  <si>
    <t>KALAMA - WA</t>
  </si>
  <si>
    <t>USKAS</t>
  </si>
  <si>
    <t>KASITNA BAY - AK</t>
  </si>
  <si>
    <t>USKBA</t>
  </si>
  <si>
    <t>KINGS BAY - GA</t>
  </si>
  <si>
    <t>USKBC</t>
  </si>
  <si>
    <t>KBC</t>
  </si>
  <si>
    <t>BIRCH CRE ALS</t>
  </si>
  <si>
    <t>USKBE</t>
  </si>
  <si>
    <t>BELL ISLA ALS</t>
  </si>
  <si>
    <t>USKCC</t>
  </si>
  <si>
    <t>KCC</t>
  </si>
  <si>
    <t>COFFMAN C ALS</t>
  </si>
  <si>
    <t>USKCK</t>
  </si>
  <si>
    <t>KCK</t>
  </si>
  <si>
    <t>KANSAS CITY - KS</t>
  </si>
  <si>
    <t>USKCL</t>
  </si>
  <si>
    <t>KCL</t>
  </si>
  <si>
    <t>CHIGNIK ALS</t>
  </si>
  <si>
    <t>USKCN</t>
  </si>
  <si>
    <t>KCN</t>
  </si>
  <si>
    <t>CHERNOFSK ALS</t>
  </si>
  <si>
    <t>USKCR</t>
  </si>
  <si>
    <t>KCR</t>
  </si>
  <si>
    <t>COLORADO ALS</t>
  </si>
  <si>
    <t>USKEB</t>
  </si>
  <si>
    <t>ENGLISH B ALS</t>
  </si>
  <si>
    <t>USKEH</t>
  </si>
  <si>
    <t>KENMORE AIR HARBOR -WA</t>
  </si>
  <si>
    <t>USKEK</t>
  </si>
  <si>
    <t>KEK</t>
  </si>
  <si>
    <t>EKWOK ALS</t>
  </si>
  <si>
    <t>USKET</t>
  </si>
  <si>
    <t>KENT, WA</t>
  </si>
  <si>
    <t>USKFP</t>
  </si>
  <si>
    <t>KFP</t>
  </si>
  <si>
    <t>FALSE PASS AK</t>
  </si>
  <si>
    <t>USKGK</t>
  </si>
  <si>
    <t>KGK</t>
  </si>
  <si>
    <t>NEW KOLIG ALS</t>
  </si>
  <si>
    <t>USKGX</t>
  </si>
  <si>
    <t>KGX</t>
  </si>
  <si>
    <t>GRAYLING ALS</t>
  </si>
  <si>
    <t>USKGZ</t>
  </si>
  <si>
    <t>KGZ</t>
  </si>
  <si>
    <t>GLACIER C ALS</t>
  </si>
  <si>
    <t>USKHH</t>
  </si>
  <si>
    <t xml:space="preserve">KAILUA KONA HI      </t>
  </si>
  <si>
    <t>USKIB</t>
  </si>
  <si>
    <t>IVANOF BA ALS</t>
  </si>
  <si>
    <t>USKIC</t>
  </si>
  <si>
    <t>KIC</t>
  </si>
  <si>
    <t>KING CITY CAL</t>
  </si>
  <si>
    <t>USKKA</t>
  </si>
  <si>
    <t>KOYUK ALS</t>
  </si>
  <si>
    <t>USKKB</t>
  </si>
  <si>
    <t>KITOI BAY ALS</t>
  </si>
  <si>
    <t>USKKH</t>
  </si>
  <si>
    <t>KONGIGANA ALS</t>
  </si>
  <si>
    <t>USKKI</t>
  </si>
  <si>
    <t>AKIACHAK ALS</t>
  </si>
  <si>
    <t>USKKK</t>
  </si>
  <si>
    <t>KALAKAKET ALS</t>
  </si>
  <si>
    <t>USKKL</t>
  </si>
  <si>
    <t>KARLUK LA ALS</t>
  </si>
  <si>
    <t>USKKT</t>
  </si>
  <si>
    <t>KENTLAND IND</t>
  </si>
  <si>
    <t>USKKU</t>
  </si>
  <si>
    <t>EKUK ALS</t>
  </si>
  <si>
    <t>USKLG</t>
  </si>
  <si>
    <t>KLG</t>
  </si>
  <si>
    <t>KALSKAG AK</t>
  </si>
  <si>
    <t>USKLL</t>
  </si>
  <si>
    <t>LEVELOCK ALS</t>
  </si>
  <si>
    <t>USKLN</t>
  </si>
  <si>
    <t>LARSEN BA ALS</t>
  </si>
  <si>
    <t>USKLP</t>
  </si>
  <si>
    <t>KELP BAY ALS</t>
  </si>
  <si>
    <t>USKLS</t>
  </si>
  <si>
    <t>KLS</t>
  </si>
  <si>
    <t>KELSO - WA</t>
  </si>
  <si>
    <t>USKLW</t>
  </si>
  <si>
    <t>KLW</t>
  </si>
  <si>
    <t>KLAWOCK ALS</t>
  </si>
  <si>
    <t>USKMO</t>
  </si>
  <si>
    <t>MANOKOTAK ALS</t>
  </si>
  <si>
    <t>USKMY</t>
  </si>
  <si>
    <t>MOSER BAY ALS</t>
  </si>
  <si>
    <t>USKNB</t>
  </si>
  <si>
    <t>KANAB UT</t>
  </si>
  <si>
    <t>USKNP</t>
  </si>
  <si>
    <t>KANNAPOLIS - NC</t>
  </si>
  <si>
    <t>USKNT</t>
  </si>
  <si>
    <t>KENNETT MO</t>
  </si>
  <si>
    <t>USKNW</t>
  </si>
  <si>
    <t>KNW</t>
  </si>
  <si>
    <t>NEW STUYA ALS</t>
  </si>
  <si>
    <t>USKOA</t>
  </si>
  <si>
    <t xml:space="preserve">COGGON IA           </t>
  </si>
  <si>
    <t>USKOT</t>
  </si>
  <si>
    <t>KOTLIK ALS</t>
  </si>
  <si>
    <t>USKOY</t>
  </si>
  <si>
    <t>OLGA BAY ALS</t>
  </si>
  <si>
    <t>USKOZ</t>
  </si>
  <si>
    <t>OUZINKIE ALS</t>
  </si>
  <si>
    <t>USKPB</t>
  </si>
  <si>
    <t>KPB</t>
  </si>
  <si>
    <t>POINT BAK ALS</t>
  </si>
  <si>
    <t>USKPC</t>
  </si>
  <si>
    <t>KPC</t>
  </si>
  <si>
    <t>PORT CLAR ALS</t>
  </si>
  <si>
    <t>USKPH</t>
  </si>
  <si>
    <t>KPH</t>
  </si>
  <si>
    <t>PAULOFF H ALS</t>
  </si>
  <si>
    <t>USKPK</t>
  </si>
  <si>
    <t>KPK</t>
  </si>
  <si>
    <t>PARKS ALS</t>
  </si>
  <si>
    <t>USKPN</t>
  </si>
  <si>
    <t>KPN</t>
  </si>
  <si>
    <t>KIPNUK ALS</t>
  </si>
  <si>
    <t>USKPT</t>
  </si>
  <si>
    <t>KPT</t>
  </si>
  <si>
    <t>JACKPOT NEV</t>
  </si>
  <si>
    <t>USKPV</t>
  </si>
  <si>
    <t>KPV</t>
  </si>
  <si>
    <t>PERRYVILL ALS</t>
  </si>
  <si>
    <t>USKPY</t>
  </si>
  <si>
    <t>PORT BAIL ALS</t>
  </si>
  <si>
    <t>USKQA</t>
  </si>
  <si>
    <t>KQA</t>
  </si>
  <si>
    <t>AKUTAN ALS</t>
  </si>
  <si>
    <t>USKSM</t>
  </si>
  <si>
    <t>SAINT MAR ALS</t>
  </si>
  <si>
    <t>USKSR</t>
  </si>
  <si>
    <t>SANDY RIV ALS</t>
  </si>
  <si>
    <t>USKSW</t>
  </si>
  <si>
    <t>KENNESAW</t>
  </si>
  <si>
    <t>USKTB</t>
  </si>
  <si>
    <t>KTB</t>
  </si>
  <si>
    <t>THORNE BA ALS</t>
  </si>
  <si>
    <t>USKTH</t>
  </si>
  <si>
    <t>KTH</t>
  </si>
  <si>
    <t>TIKCHIK ALS</t>
  </si>
  <si>
    <t>USKTN</t>
  </si>
  <si>
    <t>KETCHIKAN - AK</t>
  </si>
  <si>
    <t>USKTS</t>
  </si>
  <si>
    <t>TELLER MI ALS</t>
  </si>
  <si>
    <t>USKUK</t>
  </si>
  <si>
    <t>KASIGLUK ALS</t>
  </si>
  <si>
    <t>USKUT</t>
  </si>
  <si>
    <t>KUTZTOWN - PA</t>
  </si>
  <si>
    <t>USKUY</t>
  </si>
  <si>
    <t>KUY</t>
  </si>
  <si>
    <t>UYAK ALS</t>
  </si>
  <si>
    <t>USKVC</t>
  </si>
  <si>
    <t>KVC</t>
  </si>
  <si>
    <t>KING COVE ALS</t>
  </si>
  <si>
    <t>USKVL</t>
  </si>
  <si>
    <t>KVL</t>
  </si>
  <si>
    <t>KIVALINA ALS</t>
  </si>
  <si>
    <t>USKWC</t>
  </si>
  <si>
    <t>KENNEWICK</t>
  </si>
  <si>
    <t>USKWF</t>
  </si>
  <si>
    <t>KWF</t>
  </si>
  <si>
    <t>WATERFALL ALS</t>
  </si>
  <si>
    <t>USKWH</t>
  </si>
  <si>
    <t>KAWAIHAE - HI</t>
  </si>
  <si>
    <t>USKWK</t>
  </si>
  <si>
    <t>KWK</t>
  </si>
  <si>
    <t>KWIGILLIN ALS</t>
  </si>
  <si>
    <t>USKWN</t>
  </si>
  <si>
    <t>QUINHAGAK ALS</t>
  </si>
  <si>
    <t>USKWP</t>
  </si>
  <si>
    <t>KWP</t>
  </si>
  <si>
    <t>WEST POIN ALS</t>
  </si>
  <si>
    <t>USKWT</t>
  </si>
  <si>
    <t>KWETHLUK ALS</t>
  </si>
  <si>
    <t>USKXA</t>
  </si>
  <si>
    <t>KXA</t>
  </si>
  <si>
    <t>KASAAN ALS</t>
  </si>
  <si>
    <t>USKYK</t>
  </si>
  <si>
    <t>KARLUK ALS</t>
  </si>
  <si>
    <t>USKYL</t>
  </si>
  <si>
    <t>KYL</t>
  </si>
  <si>
    <t>KEY LARGO FLA</t>
  </si>
  <si>
    <t>USKYU</t>
  </si>
  <si>
    <t>KYU</t>
  </si>
  <si>
    <t>KOYUKUK ALS</t>
  </si>
  <si>
    <t>USKZB</t>
  </si>
  <si>
    <t>KZB</t>
  </si>
  <si>
    <t>ZACHAR BA ALS</t>
  </si>
  <si>
    <t>USLAA</t>
  </si>
  <si>
    <t>LAMAR COL</t>
  </si>
  <si>
    <t>USLAF</t>
  </si>
  <si>
    <t>LAFAYETTE IND</t>
  </si>
  <si>
    <t>USLAL</t>
  </si>
  <si>
    <t>LAL</t>
  </si>
  <si>
    <t>LAKELAND</t>
  </si>
  <si>
    <t>USLAM</t>
  </si>
  <si>
    <t>LOS ALAMOS NM</t>
  </si>
  <si>
    <t>USLAN</t>
  </si>
  <si>
    <t>LANSING MIC</t>
  </si>
  <si>
    <t>USLAR</t>
  </si>
  <si>
    <t>LARAMIE WYO</t>
  </si>
  <si>
    <t>USLAS</t>
  </si>
  <si>
    <t>LAS VEGAS - NV</t>
  </si>
  <si>
    <t>USLAU</t>
  </si>
  <si>
    <t>LAURIER - WA</t>
  </si>
  <si>
    <t>USLAW</t>
  </si>
  <si>
    <t>LAW</t>
  </si>
  <si>
    <t>LAWTON OK</t>
  </si>
  <si>
    <t>USLAX</t>
  </si>
  <si>
    <t>LAX</t>
  </si>
  <si>
    <t>LOS ANGELES - CA</t>
  </si>
  <si>
    <t>USLBB</t>
  </si>
  <si>
    <t>LBB</t>
  </si>
  <si>
    <t>LUBBOCK - TX</t>
  </si>
  <si>
    <t>USLBE</t>
  </si>
  <si>
    <t>LATROBE PA</t>
  </si>
  <si>
    <t>USLBF</t>
  </si>
  <si>
    <t>LBF</t>
  </si>
  <si>
    <t>NORTH PLA NEB</t>
  </si>
  <si>
    <t>USLBL</t>
  </si>
  <si>
    <t>LBL</t>
  </si>
  <si>
    <t>LIBERAL KAN</t>
  </si>
  <si>
    <t>USLBN</t>
  </si>
  <si>
    <t>LEBANON - TN</t>
  </si>
  <si>
    <t>USLBT</t>
  </si>
  <si>
    <t>LBT</t>
  </si>
  <si>
    <t>LUMBERTON NC</t>
  </si>
  <si>
    <t>USLCF</t>
  </si>
  <si>
    <t>LCF</t>
  </si>
  <si>
    <t>LEITCHFIELD - KY</t>
  </si>
  <si>
    <t>USLCH</t>
  </si>
  <si>
    <t>LAKE CHARLES - LA</t>
  </si>
  <si>
    <t>USLCI</t>
  </si>
  <si>
    <t>LCI</t>
  </si>
  <si>
    <t>LACONIA NH</t>
  </si>
  <si>
    <t>USLCK</t>
  </si>
  <si>
    <t>LCK</t>
  </si>
  <si>
    <t>LOCKBOURNE OH</t>
  </si>
  <si>
    <t>USLDJ</t>
  </si>
  <si>
    <t>LDJ</t>
  </si>
  <si>
    <t>LINDEN</t>
  </si>
  <si>
    <t>USLDM</t>
  </si>
  <si>
    <t>LDM</t>
  </si>
  <si>
    <t>LUDINGTON MIC</t>
  </si>
  <si>
    <t>USLEB</t>
  </si>
  <si>
    <t>LEBANON NH</t>
  </si>
  <si>
    <t>USLEE</t>
  </si>
  <si>
    <t>LEESBURG FLA</t>
  </si>
  <si>
    <t>USLEM</t>
  </si>
  <si>
    <t>LEMMON - SD</t>
  </si>
  <si>
    <t>USLEW</t>
  </si>
  <si>
    <t>LEWISTON ME</t>
  </si>
  <si>
    <t>USLEX</t>
  </si>
  <si>
    <t>LEX</t>
  </si>
  <si>
    <t>LEXINGTON - KY</t>
  </si>
  <si>
    <t>USLFK</t>
  </si>
  <si>
    <t>LFK</t>
  </si>
  <si>
    <t>LUFKIN TEX</t>
  </si>
  <si>
    <t>USLFN</t>
  </si>
  <si>
    <t>LFN</t>
  </si>
  <si>
    <t>LOUISBURG NC</t>
  </si>
  <si>
    <t>USLFT</t>
  </si>
  <si>
    <t>LFT</t>
  </si>
  <si>
    <t>LAFAYETTE LA</t>
  </si>
  <si>
    <t>USLGA</t>
  </si>
  <si>
    <t>LGA</t>
  </si>
  <si>
    <t>LA GUARDIA APT/NEW YORK</t>
  </si>
  <si>
    <t>USLGB</t>
  </si>
  <si>
    <t>LGB</t>
  </si>
  <si>
    <t>LONG BEACH - CA</t>
  </si>
  <si>
    <t>USLGC</t>
  </si>
  <si>
    <t>LGC</t>
  </si>
  <si>
    <t>LA GRANGE GA</t>
  </si>
  <si>
    <t>USLGD</t>
  </si>
  <si>
    <t>LGD</t>
  </si>
  <si>
    <t>LA GRANDE OR</t>
  </si>
  <si>
    <t>USLGU</t>
  </si>
  <si>
    <t>LGU</t>
  </si>
  <si>
    <t>LOGAN UT</t>
  </si>
  <si>
    <t>USLGV</t>
  </si>
  <si>
    <t>LGV</t>
  </si>
  <si>
    <t>LONGVIEW - CA</t>
  </si>
  <si>
    <t>USLGZ</t>
  </si>
  <si>
    <t>LGZ</t>
  </si>
  <si>
    <t>LOGAN AIRPORT - MA</t>
  </si>
  <si>
    <t>USLHV</t>
  </si>
  <si>
    <t>LHV</t>
  </si>
  <si>
    <t>LOCK HAVEN PA</t>
  </si>
  <si>
    <t>USLIA</t>
  </si>
  <si>
    <t>LIMA, OH</t>
  </si>
  <si>
    <t>USLIC</t>
  </si>
  <si>
    <t>LIMON COL</t>
  </si>
  <si>
    <t>USLIH</t>
  </si>
  <si>
    <t>KAUAI ISLAND HI</t>
  </si>
  <si>
    <t>USLIT</t>
  </si>
  <si>
    <t>LITTLEROCK-NORTH LTLROCK - AR</t>
  </si>
  <si>
    <t>USLIV</t>
  </si>
  <si>
    <t>LIVENGOOD ALS</t>
  </si>
  <si>
    <t>USLIY</t>
  </si>
  <si>
    <t>LIY</t>
  </si>
  <si>
    <t>HINESVILLE GA</t>
  </si>
  <si>
    <t>USLIZ</t>
  </si>
  <si>
    <t>LIZ</t>
  </si>
  <si>
    <t>LIMESTONE - ME</t>
  </si>
  <si>
    <t>USLJN</t>
  </si>
  <si>
    <t>LJN</t>
  </si>
  <si>
    <t>LAKE JACK TEX</t>
  </si>
  <si>
    <t>USLKE</t>
  </si>
  <si>
    <t>LAKE CITY - MN</t>
  </si>
  <si>
    <t>USLKK</t>
  </si>
  <si>
    <t>LKK</t>
  </si>
  <si>
    <t>KULIK LAK ALS</t>
  </si>
  <si>
    <t>USLKP</t>
  </si>
  <si>
    <t>LKP</t>
  </si>
  <si>
    <t>LAKE PLACI NY</t>
  </si>
  <si>
    <t>USLKS</t>
  </si>
  <si>
    <t>LAKESIDE TEX</t>
  </si>
  <si>
    <t>USLKV</t>
  </si>
  <si>
    <t>LKV</t>
  </si>
  <si>
    <t>LAKEVIEW OR</t>
  </si>
  <si>
    <t>USLLD</t>
  </si>
  <si>
    <t>LELAND - MS</t>
  </si>
  <si>
    <t>USLLX</t>
  </si>
  <si>
    <t>LLX</t>
  </si>
  <si>
    <t>LYNDONVILL VT</t>
  </si>
  <si>
    <t>USLLY</t>
  </si>
  <si>
    <t>LLY</t>
  </si>
  <si>
    <t>MOUNT HOLL NJ</t>
  </si>
  <si>
    <t>USLMA</t>
  </si>
  <si>
    <t>LMA</t>
  </si>
  <si>
    <t>LAKE MINC ALS</t>
  </si>
  <si>
    <t>USLMR</t>
  </si>
  <si>
    <t>LMR</t>
  </si>
  <si>
    <t>LEOMINSTER - MA</t>
  </si>
  <si>
    <t>USLMS</t>
  </si>
  <si>
    <t>LOUISVILL MIS</t>
  </si>
  <si>
    <t>USLMT</t>
  </si>
  <si>
    <t>LMT</t>
  </si>
  <si>
    <t>KLAMATH FA OR</t>
  </si>
  <si>
    <t>USLND</t>
  </si>
  <si>
    <t>LANDER WYO</t>
  </si>
  <si>
    <t>USLNI</t>
  </si>
  <si>
    <t>LNI</t>
  </si>
  <si>
    <t>LONELY ALS</t>
  </si>
  <si>
    <t>USLNK</t>
  </si>
  <si>
    <t>LINCOLN NEB</t>
  </si>
  <si>
    <t>USLNN</t>
  </si>
  <si>
    <t>WILLOUGHBY OH</t>
  </si>
  <si>
    <t>USLNP</t>
  </si>
  <si>
    <t>LNP</t>
  </si>
  <si>
    <t>WISE VA</t>
  </si>
  <si>
    <t>USLNR</t>
  </si>
  <si>
    <t>LNR</t>
  </si>
  <si>
    <t>LONE ROCK WIS</t>
  </si>
  <si>
    <t>USLNS</t>
  </si>
  <si>
    <t>LNS</t>
  </si>
  <si>
    <t>LANCASTER</t>
  </si>
  <si>
    <t>USLNY</t>
  </si>
  <si>
    <t>LNY</t>
  </si>
  <si>
    <t xml:space="preserve">LANAI CITY HI       </t>
  </si>
  <si>
    <t>USLOG</t>
  </si>
  <si>
    <t>LOG</t>
  </si>
  <si>
    <t>LONGVIEW - WA</t>
  </si>
  <si>
    <t>USLOI</t>
  </si>
  <si>
    <t>LOI</t>
  </si>
  <si>
    <t>LODI - NJ</t>
  </si>
  <si>
    <t>USLOL</t>
  </si>
  <si>
    <t>LOVELOCK NEV</t>
  </si>
  <si>
    <t>USLOR</t>
  </si>
  <si>
    <t>LORAIN - OH</t>
  </si>
  <si>
    <t>USLOT</t>
  </si>
  <si>
    <t>LOT</t>
  </si>
  <si>
    <t>LOCKPORT ILL</t>
  </si>
  <si>
    <t>USLOU</t>
  </si>
  <si>
    <t>LOUISVILLE KY</t>
  </si>
  <si>
    <t>USLOZ</t>
  </si>
  <si>
    <t>LOZ</t>
  </si>
  <si>
    <t>LONDON KY</t>
  </si>
  <si>
    <t>USLPC</t>
  </si>
  <si>
    <t>LPC</t>
  </si>
  <si>
    <t>LOMPOC CAL</t>
  </si>
  <si>
    <t>USLPO</t>
  </si>
  <si>
    <t>LPO</t>
  </si>
  <si>
    <t>LAPORTE IND</t>
  </si>
  <si>
    <t>USLPS</t>
  </si>
  <si>
    <t>LPS</t>
  </si>
  <si>
    <t>LOPEZ ISLAND WA</t>
  </si>
  <si>
    <t>USLPX</t>
  </si>
  <si>
    <t>LPX</t>
  </si>
  <si>
    <t>LIVERPOOL - NY</t>
  </si>
  <si>
    <t>USLQK</t>
  </si>
  <si>
    <t>LQK</t>
  </si>
  <si>
    <t>PICKENS SC</t>
  </si>
  <si>
    <t>USLRD</t>
  </si>
  <si>
    <t>LRD</t>
  </si>
  <si>
    <t>LAREDO - TX</t>
  </si>
  <si>
    <t>USLRF</t>
  </si>
  <si>
    <t>LRF</t>
  </si>
  <si>
    <t>JACKSONVI ARK</t>
  </si>
  <si>
    <t>USLRJ</t>
  </si>
  <si>
    <t>LRJ</t>
  </si>
  <si>
    <t>LEMARS IOWA</t>
  </si>
  <si>
    <t>USLRK</t>
  </si>
  <si>
    <t>LRK</t>
  </si>
  <si>
    <t>LINCOLN R ALS</t>
  </si>
  <si>
    <t>USLRN</t>
  </si>
  <si>
    <t>LA RUE - OH</t>
  </si>
  <si>
    <t>USLRO</t>
  </si>
  <si>
    <t>LATHROP CAL</t>
  </si>
  <si>
    <t>USLRU</t>
  </si>
  <si>
    <t>LRU</t>
  </si>
  <si>
    <t>LAS CRUCES NM</t>
  </si>
  <si>
    <t>USLSB</t>
  </si>
  <si>
    <t>LSB</t>
  </si>
  <si>
    <t>LORDSBURG NM</t>
  </si>
  <si>
    <t>USLSD</t>
  </si>
  <si>
    <t>LSD</t>
  </si>
  <si>
    <t>LEXINGTON KY</t>
  </si>
  <si>
    <t>USLSE</t>
  </si>
  <si>
    <t>LSE</t>
  </si>
  <si>
    <t>LA CROSSE WIS</t>
  </si>
  <si>
    <t>USLSF</t>
  </si>
  <si>
    <t>LSF</t>
  </si>
  <si>
    <t>FORT BENNI GA</t>
  </si>
  <si>
    <t>USLSK</t>
  </si>
  <si>
    <t>LUSK WYO</t>
  </si>
  <si>
    <t>USLSN</t>
  </si>
  <si>
    <t>LOS BANOS CAL</t>
  </si>
  <si>
    <t>USLSR</t>
  </si>
  <si>
    <t>LSR</t>
  </si>
  <si>
    <t>LOST RIVE ALS</t>
  </si>
  <si>
    <t>USLTH</t>
  </si>
  <si>
    <t>LTH</t>
  </si>
  <si>
    <t>LATHROP W NEV</t>
  </si>
  <si>
    <t>USLTI</t>
  </si>
  <si>
    <t>LTI</t>
  </si>
  <si>
    <t>LITITZ</t>
  </si>
  <si>
    <t>USLTS</t>
  </si>
  <si>
    <t>LTS</t>
  </si>
  <si>
    <t>ALTUS OK</t>
  </si>
  <si>
    <t>USLTW</t>
  </si>
  <si>
    <t>LEONARDTOW MD</t>
  </si>
  <si>
    <t>USLUD</t>
  </si>
  <si>
    <t>LUKEVILLE - AZ</t>
  </si>
  <si>
    <t>USLUF</t>
  </si>
  <si>
    <t>LUF</t>
  </si>
  <si>
    <t>PHOENIX ARI</t>
  </si>
  <si>
    <t>USLUI</t>
  </si>
  <si>
    <t>LOUISVILLE - KY</t>
  </si>
  <si>
    <t>USLUK</t>
  </si>
  <si>
    <t>LUK</t>
  </si>
  <si>
    <t>CINCINNATI OH</t>
  </si>
  <si>
    <t>USLUL</t>
  </si>
  <si>
    <t>LUL</t>
  </si>
  <si>
    <t>LAUREL MIS</t>
  </si>
  <si>
    <t>USLUM</t>
  </si>
  <si>
    <t>LUMBERTON - NJ</t>
  </si>
  <si>
    <t>USLUP</t>
  </si>
  <si>
    <t>LUP</t>
  </si>
  <si>
    <t xml:space="preserve">KALAUPAPA HI        </t>
  </si>
  <si>
    <t>USLUR</t>
  </si>
  <si>
    <t>LUR</t>
  </si>
  <si>
    <t>CAPE LISB ALS</t>
  </si>
  <si>
    <t>USLUS</t>
  </si>
  <si>
    <t>LAURENS</t>
  </si>
  <si>
    <t>USLVK</t>
  </si>
  <si>
    <t>LVK</t>
  </si>
  <si>
    <t>LIVERMORE CAL</t>
  </si>
  <si>
    <t>USLVL</t>
  </si>
  <si>
    <t>LVL</t>
  </si>
  <si>
    <t>LAWRENCEVI VA</t>
  </si>
  <si>
    <t>USLVM</t>
  </si>
  <si>
    <t>LVM</t>
  </si>
  <si>
    <t>LIVINGST MONT</t>
  </si>
  <si>
    <t>USLVS</t>
  </si>
  <si>
    <t>LVS</t>
  </si>
  <si>
    <t>LAS VEGAS NM</t>
  </si>
  <si>
    <t>USLVU</t>
  </si>
  <si>
    <t>LVU</t>
  </si>
  <si>
    <t>LAWRENCEBURG - IN</t>
  </si>
  <si>
    <t>USLVV</t>
  </si>
  <si>
    <t>LVV</t>
  </si>
  <si>
    <t>LA VERGNE - TN</t>
  </si>
  <si>
    <t>USLWB</t>
  </si>
  <si>
    <t>LWB</t>
  </si>
  <si>
    <t>LEWISBURG - WV</t>
  </si>
  <si>
    <t>USLWC</t>
  </si>
  <si>
    <t>LWC</t>
  </si>
  <si>
    <t>LAWRENCE KAN</t>
  </si>
  <si>
    <t>USLWE</t>
  </si>
  <si>
    <t>LWE</t>
  </si>
  <si>
    <t>LAWRENCE - MA</t>
  </si>
  <si>
    <t>USLWL</t>
  </si>
  <si>
    <t>LWL</t>
  </si>
  <si>
    <t>WELLS NEV</t>
  </si>
  <si>
    <t>USLWM</t>
  </si>
  <si>
    <t>LWM</t>
  </si>
  <si>
    <t>LAWRENCE MAS</t>
  </si>
  <si>
    <t>USLWN</t>
  </si>
  <si>
    <t>LWN</t>
  </si>
  <si>
    <t>USLWS</t>
  </si>
  <si>
    <t>LWS</t>
  </si>
  <si>
    <t>LEWISTON ID</t>
  </si>
  <si>
    <t>USLWT</t>
  </si>
  <si>
    <t>LWT</t>
  </si>
  <si>
    <t>LEWISTOW MONT</t>
  </si>
  <si>
    <t>USLWV</t>
  </si>
  <si>
    <t>LWV</t>
  </si>
  <si>
    <t>LAWRENCEV ILL</t>
  </si>
  <si>
    <t>USLWZ</t>
  </si>
  <si>
    <t>LWZ</t>
  </si>
  <si>
    <t>LEWISVILLE - NC</t>
  </si>
  <si>
    <t>USLXG</t>
  </si>
  <si>
    <t>LEXINGTON - NC</t>
  </si>
  <si>
    <t>USLXN</t>
  </si>
  <si>
    <t>LXN</t>
  </si>
  <si>
    <t>LEXINGTON NEB</t>
  </si>
  <si>
    <t>USLXU</t>
  </si>
  <si>
    <t>LXU</t>
  </si>
  <si>
    <t>LEEDSBURG, VA</t>
  </si>
  <si>
    <t>USLXV</t>
  </si>
  <si>
    <t>LXV</t>
  </si>
  <si>
    <t>LEADVILLE COL</t>
  </si>
  <si>
    <t>USLYH</t>
  </si>
  <si>
    <t>LYH</t>
  </si>
  <si>
    <t>LYNCHBURG VA</t>
  </si>
  <si>
    <t>USLYN</t>
  </si>
  <si>
    <t>LYNDEN - WA</t>
  </si>
  <si>
    <t>USLYO</t>
  </si>
  <si>
    <t>LYO</t>
  </si>
  <si>
    <t>LYONS KAN</t>
  </si>
  <si>
    <t>USLYU</t>
  </si>
  <si>
    <t>LYU</t>
  </si>
  <si>
    <t>ELY MIN</t>
  </si>
  <si>
    <t>USMAD</t>
  </si>
  <si>
    <t>MADAWASKA - ME</t>
  </si>
  <si>
    <t>USMAE</t>
  </si>
  <si>
    <t>MADERA CAL</t>
  </si>
  <si>
    <t>USMAF</t>
  </si>
  <si>
    <t>MAF</t>
  </si>
  <si>
    <t>MIDLAND TEX</t>
  </si>
  <si>
    <t>USMAH</t>
  </si>
  <si>
    <t>MARCUS HOOK - PA</t>
  </si>
  <si>
    <t>USMAI</t>
  </si>
  <si>
    <t>MAIDA - ND</t>
  </si>
  <si>
    <t>USMAW</t>
  </si>
  <si>
    <t>MALDEN MO</t>
  </si>
  <si>
    <t>USMBG</t>
  </si>
  <si>
    <t>MBG</t>
  </si>
  <si>
    <t>MOBRIDGE SD</t>
  </si>
  <si>
    <t>USMBL</t>
  </si>
  <si>
    <t>MBL</t>
  </si>
  <si>
    <t>MANISTEE MIC</t>
  </si>
  <si>
    <t>USMBS</t>
  </si>
  <si>
    <t>MBS</t>
  </si>
  <si>
    <t>MIDLAND-BAY CITY-SAGINAW APT</t>
  </si>
  <si>
    <t>USMBY</t>
  </si>
  <si>
    <t>MBY</t>
  </si>
  <si>
    <t>MOBERLY MO</t>
  </si>
  <si>
    <t>USMCB</t>
  </si>
  <si>
    <t>MCB</t>
  </si>
  <si>
    <t>MCCOMB MIS</t>
  </si>
  <si>
    <t>USMCD</t>
  </si>
  <si>
    <t>MACKINAC ISLAND - MI</t>
  </si>
  <si>
    <t>USMCE</t>
  </si>
  <si>
    <t>MCE</t>
  </si>
  <si>
    <t>MERCED CAL</t>
  </si>
  <si>
    <t>USMCF</t>
  </si>
  <si>
    <t>MCF</t>
  </si>
  <si>
    <t>TAMPA FLA</t>
  </si>
  <si>
    <t>USMCG</t>
  </si>
  <si>
    <t>MCG</t>
  </si>
  <si>
    <t>MCGRATH ALS</t>
  </si>
  <si>
    <t>USMCI</t>
  </si>
  <si>
    <t>MCI</t>
  </si>
  <si>
    <t>KANSAS CITY APT - MO</t>
  </si>
  <si>
    <t>USMCK</t>
  </si>
  <si>
    <t>MCK</t>
  </si>
  <si>
    <t>MCCOOK NEB</t>
  </si>
  <si>
    <t>USMCL</t>
  </si>
  <si>
    <t>MCL</t>
  </si>
  <si>
    <t>MCKINLEY ALS</t>
  </si>
  <si>
    <t>USMCN</t>
  </si>
  <si>
    <t>MCN</t>
  </si>
  <si>
    <t>MACON</t>
  </si>
  <si>
    <t>USMCO</t>
  </si>
  <si>
    <t>ORLANDO FLA</t>
  </si>
  <si>
    <t>USMCR</t>
  </si>
  <si>
    <t>MANCHESTER - WA</t>
  </si>
  <si>
    <t>USMCW</t>
  </si>
  <si>
    <t>MCW</t>
  </si>
  <si>
    <t>MASON CI IOWA</t>
  </si>
  <si>
    <t>USMD7</t>
  </si>
  <si>
    <t>MD7</t>
  </si>
  <si>
    <t>MOODY- AL</t>
  </si>
  <si>
    <t>USMDH</t>
  </si>
  <si>
    <t>MDH</t>
  </si>
  <si>
    <t>CARBONDAL ILL</t>
  </si>
  <si>
    <t>USMDJ</t>
  </si>
  <si>
    <t>MADRAS OR</t>
  </si>
  <si>
    <t>USMDN</t>
  </si>
  <si>
    <t>MADISON IND</t>
  </si>
  <si>
    <t>USMDO</t>
  </si>
  <si>
    <t>MDO</t>
  </si>
  <si>
    <t>MIDDLETON ALS</t>
  </si>
  <si>
    <t>USMDR</t>
  </si>
  <si>
    <t>MEDFRA ALS</t>
  </si>
  <si>
    <t>USMDT</t>
  </si>
  <si>
    <t>MDT</t>
  </si>
  <si>
    <t>INTERNATIONAL/HARRISBURG</t>
  </si>
  <si>
    <t>USMDW</t>
  </si>
  <si>
    <t>MDW</t>
  </si>
  <si>
    <t>USMEI</t>
  </si>
  <si>
    <t>MERIDIAN MIS</t>
  </si>
  <si>
    <t>USMEJ</t>
  </si>
  <si>
    <t>MEJ</t>
  </si>
  <si>
    <t>MEADVILLE PA</t>
  </si>
  <si>
    <t>USMEL</t>
  </si>
  <si>
    <t>MERRILLVILLE - IN</t>
  </si>
  <si>
    <t>USMEM</t>
  </si>
  <si>
    <t>MEMPHIS - TN</t>
  </si>
  <si>
    <t>USMEO</t>
  </si>
  <si>
    <t>MEO</t>
  </si>
  <si>
    <t>MANTEO NC</t>
  </si>
  <si>
    <t>USMEV</t>
  </si>
  <si>
    <t>MEV</t>
  </si>
  <si>
    <t>MINDEN NEV</t>
  </si>
  <si>
    <t>USMFD</t>
  </si>
  <si>
    <t>MFD</t>
  </si>
  <si>
    <t>MANSFIELD OH</t>
  </si>
  <si>
    <t>USMFE</t>
  </si>
  <si>
    <t>MFE</t>
  </si>
  <si>
    <t>MCALLEN TX</t>
  </si>
  <si>
    <t>USMFI</t>
  </si>
  <si>
    <t>MFI</t>
  </si>
  <si>
    <t>MARSHFIEL WIS</t>
  </si>
  <si>
    <t>USMFR</t>
  </si>
  <si>
    <t>MFR</t>
  </si>
  <si>
    <t>MEDFORD OR</t>
  </si>
  <si>
    <t>USMFV</t>
  </si>
  <si>
    <t>MFV</t>
  </si>
  <si>
    <t>MELFA VA</t>
  </si>
  <si>
    <t>USMGC</t>
  </si>
  <si>
    <t>MICHIGAN IND</t>
  </si>
  <si>
    <t>USMGE</t>
  </si>
  <si>
    <t>MGE</t>
  </si>
  <si>
    <t>MARIETTA GA</t>
  </si>
  <si>
    <t>USMGI</t>
  </si>
  <si>
    <t>MGI</t>
  </si>
  <si>
    <t>MATAGORDA TEX</t>
  </si>
  <si>
    <t>USMGJ</t>
  </si>
  <si>
    <t>MGJ</t>
  </si>
  <si>
    <t>MONTGOMERY, NY</t>
  </si>
  <si>
    <t>USMGM</t>
  </si>
  <si>
    <t>MONTGOMERY - AL</t>
  </si>
  <si>
    <t>USMGR</t>
  </si>
  <si>
    <t>MOULTRIE GA</t>
  </si>
  <si>
    <t>USMGW</t>
  </si>
  <si>
    <t>MGW</t>
  </si>
  <si>
    <t>MORGANTOWN WV</t>
  </si>
  <si>
    <t>USMHE</t>
  </si>
  <si>
    <t>MHE</t>
  </si>
  <si>
    <t>MITCHELL SD</t>
  </si>
  <si>
    <t>USMHK</t>
  </si>
  <si>
    <t>MHK</t>
  </si>
  <si>
    <t>MANHATTAN KAN</t>
  </si>
  <si>
    <t>USMHL</t>
  </si>
  <si>
    <t>MHL</t>
  </si>
  <si>
    <t>MARSHALL MO</t>
  </si>
  <si>
    <t>USMHM</t>
  </si>
  <si>
    <t>MINCHUMIN ALS</t>
  </si>
  <si>
    <t>USMHN</t>
  </si>
  <si>
    <t>MULLEN NEB</t>
  </si>
  <si>
    <t>USMHR</t>
  </si>
  <si>
    <t>MOREHEAD - KY</t>
  </si>
  <si>
    <t>USMHS</t>
  </si>
  <si>
    <t>MHS</t>
  </si>
  <si>
    <t>MT SHASTA CA</t>
  </si>
  <si>
    <t>USMHT</t>
  </si>
  <si>
    <t>MANCHESTER NH</t>
  </si>
  <si>
    <t>USMHW</t>
  </si>
  <si>
    <t>MHW</t>
  </si>
  <si>
    <t>MAHWAH - NJ</t>
  </si>
  <si>
    <t>USMIA</t>
  </si>
  <si>
    <t>MIA</t>
  </si>
  <si>
    <t>MIAMI - FL</t>
  </si>
  <si>
    <t>USMIB</t>
  </si>
  <si>
    <t>MINOT ND</t>
  </si>
  <si>
    <t>USMIC</t>
  </si>
  <si>
    <t>USMID</t>
  </si>
  <si>
    <t>MIDDLEBORO - MA</t>
  </si>
  <si>
    <t>USMIE</t>
  </si>
  <si>
    <t>MUNCIE IND</t>
  </si>
  <si>
    <t>USMIK</t>
  </si>
  <si>
    <t>MIRA LOMA - CA</t>
  </si>
  <si>
    <t>USMIO</t>
  </si>
  <si>
    <t>MIAMI OK</t>
  </si>
  <si>
    <t>USMIQ</t>
  </si>
  <si>
    <t>MIQ</t>
  </si>
  <si>
    <t>OMAHA NEB</t>
  </si>
  <si>
    <t>USMIT</t>
  </si>
  <si>
    <t>SHAFTER CAL</t>
  </si>
  <si>
    <t>USMIV</t>
  </si>
  <si>
    <t>MIV</t>
  </si>
  <si>
    <t>MILLVILLE NJ</t>
  </si>
  <si>
    <t>USMIW</t>
  </si>
  <si>
    <t>MIW</t>
  </si>
  <si>
    <t>MARSHALL IOWA</t>
  </si>
  <si>
    <t>USMJQ</t>
  </si>
  <si>
    <t>MJQ</t>
  </si>
  <si>
    <t>JACKSON MIN</t>
  </si>
  <si>
    <t>USMJX</t>
  </si>
  <si>
    <t>MJX</t>
  </si>
  <si>
    <t>TOMS RIVER - NJ</t>
  </si>
  <si>
    <t>USMKC</t>
  </si>
  <si>
    <t>MKC</t>
  </si>
  <si>
    <t>KANSAS CITY - MO</t>
  </si>
  <si>
    <t>USMKE</t>
  </si>
  <si>
    <t>MKE</t>
  </si>
  <si>
    <t>MILWAUKEE - WI</t>
  </si>
  <si>
    <t>USMKG</t>
  </si>
  <si>
    <t>MUSKEGON - MI</t>
  </si>
  <si>
    <t>USMKK</t>
  </si>
  <si>
    <t>HOOLEHUA HI</t>
  </si>
  <si>
    <t>USMKL</t>
  </si>
  <si>
    <t>JACKSON TEN</t>
  </si>
  <si>
    <t>USMKO</t>
  </si>
  <si>
    <t>MUSKOGEE OK</t>
  </si>
  <si>
    <t>USMKT</t>
  </si>
  <si>
    <t>MKT</t>
  </si>
  <si>
    <t>MANKATO MIN</t>
  </si>
  <si>
    <t>USMKY</t>
  </si>
  <si>
    <t>MOUNT AIRY</t>
  </si>
  <si>
    <t>USMLB</t>
  </si>
  <si>
    <t>MELBOURNE FLA</t>
  </si>
  <si>
    <t>USMLC</t>
  </si>
  <si>
    <t>MLC</t>
  </si>
  <si>
    <t>MC ALESTER OK</t>
  </si>
  <si>
    <t>USMLD</t>
  </si>
  <si>
    <t>MLD</t>
  </si>
  <si>
    <t>MALAD CITY ID</t>
  </si>
  <si>
    <t>USMLF</t>
  </si>
  <si>
    <t>MILFORD UT</t>
  </si>
  <si>
    <t>USMLG</t>
  </si>
  <si>
    <t>MOSS LANDING - CA</t>
  </si>
  <si>
    <t>USMLI</t>
  </si>
  <si>
    <t>MOLINE ILL</t>
  </si>
  <si>
    <t>USMLJ</t>
  </si>
  <si>
    <t>MLJ</t>
  </si>
  <si>
    <t>MILLEDGEVI GA</t>
  </si>
  <si>
    <t>USMLK</t>
  </si>
  <si>
    <t>MLK</t>
  </si>
  <si>
    <t>MALTA MONT</t>
  </si>
  <si>
    <t>USMLL</t>
  </si>
  <si>
    <t>MARSHALL ALS</t>
  </si>
  <si>
    <t>USMLS</t>
  </si>
  <si>
    <t>MILES CI MONT</t>
  </si>
  <si>
    <t>USMLT</t>
  </si>
  <si>
    <t>MLT</t>
  </si>
  <si>
    <t>MILLINOCKE ME</t>
  </si>
  <si>
    <t>USMLU</t>
  </si>
  <si>
    <t>MLU</t>
  </si>
  <si>
    <t>MONROE LA</t>
  </si>
  <si>
    <t>USMLY</t>
  </si>
  <si>
    <t>MLY</t>
  </si>
  <si>
    <t>MANLEY HO ALS</t>
  </si>
  <si>
    <t>USMMF</t>
  </si>
  <si>
    <t>MENOMONEE FALLS</t>
  </si>
  <si>
    <t>USMMH</t>
  </si>
  <si>
    <t>MMH</t>
  </si>
  <si>
    <t>MAMMOTH L CAL</t>
  </si>
  <si>
    <t>USMMI</t>
  </si>
  <si>
    <t>ATHENS TEN</t>
  </si>
  <si>
    <t>USMML</t>
  </si>
  <si>
    <t>MML</t>
  </si>
  <si>
    <t>MARSHALL MIN</t>
  </si>
  <si>
    <t>USMMR</t>
  </si>
  <si>
    <t>MMR</t>
  </si>
  <si>
    <t>AUSTIN TEX</t>
  </si>
  <si>
    <t>USMMS</t>
  </si>
  <si>
    <t>MMS</t>
  </si>
  <si>
    <t>MARKS MIS</t>
  </si>
  <si>
    <t>USMMU</t>
  </si>
  <si>
    <t>MORRISTOWN NJ</t>
  </si>
  <si>
    <t>USMNE</t>
  </si>
  <si>
    <t>MANCHESTER - CT</t>
  </si>
  <si>
    <t>USMNM</t>
  </si>
  <si>
    <t>MENOMINEE MIC</t>
  </si>
  <si>
    <t>USMNN</t>
  </si>
  <si>
    <t>MARION OH</t>
  </si>
  <si>
    <t>USMNT</t>
  </si>
  <si>
    <t>MINTO ALS</t>
  </si>
  <si>
    <t>USMNZ</t>
  </si>
  <si>
    <t>MNZ</t>
  </si>
  <si>
    <t>MANASSAS VA</t>
  </si>
  <si>
    <t>USMOB</t>
  </si>
  <si>
    <t>MOBILE - AL</t>
  </si>
  <si>
    <t>USMOC</t>
  </si>
  <si>
    <t>MONTICELLO - KY</t>
  </si>
  <si>
    <t>USMOD</t>
  </si>
  <si>
    <t>MOD</t>
  </si>
  <si>
    <t>MODESTO CAL</t>
  </si>
  <si>
    <t>USMOP</t>
  </si>
  <si>
    <t>MT PLEASANT MI</t>
  </si>
  <si>
    <t>USMOR</t>
  </si>
  <si>
    <t>MORRISTOWN - TN</t>
  </si>
  <si>
    <t>USMOS</t>
  </si>
  <si>
    <t>MOSES POI ALS</t>
  </si>
  <si>
    <t>USMOT</t>
  </si>
  <si>
    <t>USMOU</t>
  </si>
  <si>
    <t>MOUNTAIN VILLAGE AK</t>
  </si>
  <si>
    <t>USMOX</t>
  </si>
  <si>
    <t>MORRIS MIN</t>
  </si>
  <si>
    <t>USMOY</t>
  </si>
  <si>
    <t>MARINETTE - WI</t>
  </si>
  <si>
    <t>USMPI</t>
  </si>
  <si>
    <t>MOUNTPLIER - OH</t>
  </si>
  <si>
    <t>USMPJ</t>
  </si>
  <si>
    <t>MPJ</t>
  </si>
  <si>
    <t>MORRILTON ARK</t>
  </si>
  <si>
    <t>USMPO</t>
  </si>
  <si>
    <t>MPO</t>
  </si>
  <si>
    <t>MT POCONO PA</t>
  </si>
  <si>
    <t>USMPR</t>
  </si>
  <si>
    <t>MPR</t>
  </si>
  <si>
    <t>MCPHERSON KAN</t>
  </si>
  <si>
    <t>USMPS</t>
  </si>
  <si>
    <t>MPS</t>
  </si>
  <si>
    <t>MT PLEASANT TX</t>
  </si>
  <si>
    <t>USMPT</t>
  </si>
  <si>
    <t>MILPITAS - CA</t>
  </si>
  <si>
    <t>USMPV</t>
  </si>
  <si>
    <t>MPV</t>
  </si>
  <si>
    <t>MONTPELIER VT</t>
  </si>
  <si>
    <t>USMPZ</t>
  </si>
  <si>
    <t>MPZ</t>
  </si>
  <si>
    <t>MT PLEAS IOWA</t>
  </si>
  <si>
    <t>USMQB</t>
  </si>
  <si>
    <t>MQB</t>
  </si>
  <si>
    <t>MACOMB ILL</t>
  </si>
  <si>
    <t>USMQI</t>
  </si>
  <si>
    <t>MQI</t>
  </si>
  <si>
    <t>QUINCY/ST. ALBANS -MA</t>
  </si>
  <si>
    <t>USMQK</t>
  </si>
  <si>
    <t>MQK</t>
  </si>
  <si>
    <t>MOORPARK-CA</t>
  </si>
  <si>
    <t>USMQM</t>
  </si>
  <si>
    <t>MARION</t>
  </si>
  <si>
    <t>USMQR</t>
  </si>
  <si>
    <t>MILFORD - OH</t>
  </si>
  <si>
    <t>USMQT</t>
  </si>
  <si>
    <t>MARQUETTE - MI</t>
  </si>
  <si>
    <t>USMQV</t>
  </si>
  <si>
    <t>MQV</t>
  </si>
  <si>
    <t>MOUNT OLIVE - NJ</t>
  </si>
  <si>
    <t>USMQW</t>
  </si>
  <si>
    <t>MQW</t>
  </si>
  <si>
    <t>MC RAE GA</t>
  </si>
  <si>
    <t>USMQY</t>
  </si>
  <si>
    <t>MQY</t>
  </si>
  <si>
    <t>SMYRNA, TN</t>
  </si>
  <si>
    <t>USMRB</t>
  </si>
  <si>
    <t>MRB</t>
  </si>
  <si>
    <t>MARTINSBUR WV</t>
  </si>
  <si>
    <t>USMRC</t>
  </si>
  <si>
    <t>MRC</t>
  </si>
  <si>
    <t>COLUMBIA - TN</t>
  </si>
  <si>
    <t>USMRF</t>
  </si>
  <si>
    <t>MRF</t>
  </si>
  <si>
    <t>MARFA TEX</t>
  </si>
  <si>
    <t>USMRG</t>
  </si>
  <si>
    <t>MORGAN - MT</t>
  </si>
  <si>
    <t>USMRH</t>
  </si>
  <si>
    <t>MOREHEAD CITY - NC</t>
  </si>
  <si>
    <t>USMRI</t>
  </si>
  <si>
    <t>ANCHORAGE ALS</t>
  </si>
  <si>
    <t>USMRK</t>
  </si>
  <si>
    <t>MARCO ISL FLA</t>
  </si>
  <si>
    <t>USMRL</t>
  </si>
  <si>
    <t>MARYVILLE</t>
  </si>
  <si>
    <t>USMRN</t>
  </si>
  <si>
    <t>MRN</t>
  </si>
  <si>
    <t>MORGANTON - NC</t>
  </si>
  <si>
    <t>USMRO</t>
  </si>
  <si>
    <t>MOREO - TX</t>
  </si>
  <si>
    <t>USMRP</t>
  </si>
  <si>
    <t>MELROSE PARK - IL</t>
  </si>
  <si>
    <t>USMRT</t>
  </si>
  <si>
    <t>MORRISTON - NY</t>
  </si>
  <si>
    <t>USMRV</t>
  </si>
  <si>
    <t>MARYSVILLE - OH</t>
  </si>
  <si>
    <t>USMRW</t>
  </si>
  <si>
    <t>MORROW - GA</t>
  </si>
  <si>
    <t>USMRY</t>
  </si>
  <si>
    <t>MRY</t>
  </si>
  <si>
    <t>MONTERRY - CA</t>
  </si>
  <si>
    <t>USMRZ</t>
  </si>
  <si>
    <t>MARTINEZ - CA</t>
  </si>
  <si>
    <t>USMSC</t>
  </si>
  <si>
    <t>MESA ARI</t>
  </si>
  <si>
    <t>USMSL</t>
  </si>
  <si>
    <t>FLORENCE AL</t>
  </si>
  <si>
    <t>USMSN</t>
  </si>
  <si>
    <t>MADISON WIS</t>
  </si>
  <si>
    <t>USMSO</t>
  </si>
  <si>
    <t>MISSOULA MONT</t>
  </si>
  <si>
    <t>USMSP</t>
  </si>
  <si>
    <t>MSP</t>
  </si>
  <si>
    <t>MINNEAPOLIS - MN</t>
  </si>
  <si>
    <t>USMSS</t>
  </si>
  <si>
    <t>MASSENA - NY</t>
  </si>
  <si>
    <t>USMST</t>
  </si>
  <si>
    <t>MANISTEE/MUSKEGON -MI</t>
  </si>
  <si>
    <t>USMSV</t>
  </si>
  <si>
    <t>MSV</t>
  </si>
  <si>
    <t>MONTICELLO NY</t>
  </si>
  <si>
    <t>USMSY</t>
  </si>
  <si>
    <t>NEW ORLEANS - LA</t>
  </si>
  <si>
    <t>USMTC</t>
  </si>
  <si>
    <t xml:space="preserve">MT CLEMENS MIC      </t>
  </si>
  <si>
    <t>USMTF</t>
  </si>
  <si>
    <t>METALINE FALLS - WA</t>
  </si>
  <si>
    <t>USMTH</t>
  </si>
  <si>
    <t>MARATHON FLA</t>
  </si>
  <si>
    <t>USMTJ</t>
  </si>
  <si>
    <t>MTJ</t>
  </si>
  <si>
    <t>MONTROSE COL</t>
  </si>
  <si>
    <t>USMTM</t>
  </si>
  <si>
    <t>METLAKATLA - AK</t>
  </si>
  <si>
    <t>USMTN</t>
  </si>
  <si>
    <t>MTN</t>
  </si>
  <si>
    <t>MARTIN MARIET/BALTIMORE - MD</t>
  </si>
  <si>
    <t>USMTO</t>
  </si>
  <si>
    <t>MATTOON ILL</t>
  </si>
  <si>
    <t>USMTP</t>
  </si>
  <si>
    <t>MTP</t>
  </si>
  <si>
    <t>MONTAUK NY</t>
  </si>
  <si>
    <t>USMTV</t>
  </si>
  <si>
    <t>MTV</t>
  </si>
  <si>
    <t>MARTINSVILLE - VA</t>
  </si>
  <si>
    <t>USMTW</t>
  </si>
  <si>
    <t>MTW</t>
  </si>
  <si>
    <t>MANITOWOC - WI</t>
  </si>
  <si>
    <t>USMUA</t>
  </si>
  <si>
    <t>MATTHEWS - NC</t>
  </si>
  <si>
    <t>USMUE</t>
  </si>
  <si>
    <t>MUE</t>
  </si>
  <si>
    <t xml:space="preserve">KAMUELA HI          </t>
  </si>
  <si>
    <t>USMUI</t>
  </si>
  <si>
    <t>FORT INDIA PA</t>
  </si>
  <si>
    <t>USMUL</t>
  </si>
  <si>
    <t>USMUO</t>
  </si>
  <si>
    <t>MOUNTAIN HOME ID</t>
  </si>
  <si>
    <t>USMUT</t>
  </si>
  <si>
    <t>MUSCATIN IOWA</t>
  </si>
  <si>
    <t>USMUU</t>
  </si>
  <si>
    <t>MOUNT UNIO PA</t>
  </si>
  <si>
    <t>USMUV</t>
  </si>
  <si>
    <t>MUV</t>
  </si>
  <si>
    <t>PHILADELPH PA</t>
  </si>
  <si>
    <t>USMVC</t>
  </si>
  <si>
    <t>MVC</t>
  </si>
  <si>
    <t>MONROEVIL ALA</t>
  </si>
  <si>
    <t>USMVE</t>
  </si>
  <si>
    <t>MONTEVIDE MIN</t>
  </si>
  <si>
    <t>USMVI</t>
  </si>
  <si>
    <t>MELLVILLE - RI</t>
  </si>
  <si>
    <t>USMVN</t>
  </si>
  <si>
    <t>MVN</t>
  </si>
  <si>
    <t>MOUNT VERNON - OH</t>
  </si>
  <si>
    <t>USMVO</t>
  </si>
  <si>
    <t>MONTEVALLO - AL</t>
  </si>
  <si>
    <t>USMVP</t>
  </si>
  <si>
    <t>MINERSVILLE - PA</t>
  </si>
  <si>
    <t>USMVW</t>
  </si>
  <si>
    <t>MVW</t>
  </si>
  <si>
    <t>MT VERNON WA</t>
  </si>
  <si>
    <t>USMVY</t>
  </si>
  <si>
    <t>MVY</t>
  </si>
  <si>
    <t>MARTHA'S MAS</t>
  </si>
  <si>
    <t>USMWA</t>
  </si>
  <si>
    <t>MARION ILL</t>
  </si>
  <si>
    <t>USMWH</t>
  </si>
  <si>
    <t>MWH</t>
  </si>
  <si>
    <t>MOSES LAKE - WA</t>
  </si>
  <si>
    <t>USMWL</t>
  </si>
  <si>
    <t>MWL</t>
  </si>
  <si>
    <t>MINERAL W TEX</t>
  </si>
  <si>
    <t>USMWM</t>
  </si>
  <si>
    <t>MWM</t>
  </si>
  <si>
    <t>WINDOM MIN</t>
  </si>
  <si>
    <t>USMWO</t>
  </si>
  <si>
    <t>MWO</t>
  </si>
  <si>
    <t>MIDDLETOWN OH</t>
  </si>
  <si>
    <t>USMWS</t>
  </si>
  <si>
    <t>MWS</t>
  </si>
  <si>
    <t>MT WILSON CA</t>
  </si>
  <si>
    <t>USMXA</t>
  </si>
  <si>
    <t>MXA</t>
  </si>
  <si>
    <t>MANILA ARK</t>
  </si>
  <si>
    <t>USMXC</t>
  </si>
  <si>
    <t>MXC</t>
  </si>
  <si>
    <t>MONTICELLO UT</t>
  </si>
  <si>
    <t>USMXG</t>
  </si>
  <si>
    <t>MXG</t>
  </si>
  <si>
    <t>MARLBOROUGH</t>
  </si>
  <si>
    <t>USMXO</t>
  </si>
  <si>
    <t>MXO</t>
  </si>
  <si>
    <t>MONTICEL IOWA</t>
  </si>
  <si>
    <t>USMXY</t>
  </si>
  <si>
    <t>MXY</t>
  </si>
  <si>
    <t>MCCARTHY ALS</t>
  </si>
  <si>
    <t>USMYF</t>
  </si>
  <si>
    <t>MYF</t>
  </si>
  <si>
    <t>SAN DIEGO CAL</t>
  </si>
  <si>
    <t>USMYG</t>
  </si>
  <si>
    <t>MYRTLE GROVE - LA</t>
  </si>
  <si>
    <t>USMYK</t>
  </si>
  <si>
    <t>MAY CREEK ALS</t>
  </si>
  <si>
    <t>USMYL</t>
  </si>
  <si>
    <t>MYL</t>
  </si>
  <si>
    <t>MCCALL ID</t>
  </si>
  <si>
    <t>USMYR</t>
  </si>
  <si>
    <t>MYR</t>
  </si>
  <si>
    <t>MYRTLE BEA SC</t>
  </si>
  <si>
    <t>USMYU</t>
  </si>
  <si>
    <t>MEKORYUK ALS</t>
  </si>
  <si>
    <t>USMYV</t>
  </si>
  <si>
    <t>MYV</t>
  </si>
  <si>
    <t>MARYSVILL CAL</t>
  </si>
  <si>
    <t>USMZJ</t>
  </si>
  <si>
    <t>MZJ</t>
  </si>
  <si>
    <t>MARANA ARI</t>
  </si>
  <si>
    <t>USMZZ</t>
  </si>
  <si>
    <t>MZZ</t>
  </si>
  <si>
    <t>MARION - IN</t>
  </si>
  <si>
    <t>USNAC</t>
  </si>
  <si>
    <t>NACO - AZ</t>
  </si>
  <si>
    <t>USNAN</t>
  </si>
  <si>
    <t>NEWNAN</t>
  </si>
  <si>
    <t>USNAX</t>
  </si>
  <si>
    <t>NAX</t>
  </si>
  <si>
    <t>BARBERS POINT HI</t>
  </si>
  <si>
    <t>USNBA</t>
  </si>
  <si>
    <t>NORTH BILLERICA - MA</t>
  </si>
  <si>
    <t>USNBG</t>
  </si>
  <si>
    <t>NEW ORLEAN LA</t>
  </si>
  <si>
    <t>USNBN</t>
  </si>
  <si>
    <t>NBN</t>
  </si>
  <si>
    <t>NORTH BERGEN - NJ</t>
  </si>
  <si>
    <t>USNBU</t>
  </si>
  <si>
    <t>GLENVIEW ILL</t>
  </si>
  <si>
    <t>USNCQ</t>
  </si>
  <si>
    <t>NCQ</t>
  </si>
  <si>
    <t>USNDV</t>
  </si>
  <si>
    <t>NDV</t>
  </si>
  <si>
    <t>ANACOSTIA DC</t>
  </si>
  <si>
    <t>USNEA</t>
  </si>
  <si>
    <t>GLYNCO GA</t>
  </si>
  <si>
    <t>USNEB</t>
  </si>
  <si>
    <t>NEB</t>
  </si>
  <si>
    <t>NEAH BAY - WA</t>
  </si>
  <si>
    <t>USNEC</t>
  </si>
  <si>
    <t>NECHE - ND</t>
  </si>
  <si>
    <t>USNEE</t>
  </si>
  <si>
    <t>NEEDHAM - MA</t>
  </si>
  <si>
    <t>USNEL</t>
  </si>
  <si>
    <t>LAKEHURST NJ</t>
  </si>
  <si>
    <t>USNEN</t>
  </si>
  <si>
    <t>NEN</t>
  </si>
  <si>
    <t>WHITEHOUSE - FL</t>
  </si>
  <si>
    <t>USNEW</t>
  </si>
  <si>
    <t>NEW</t>
  </si>
  <si>
    <t>DESTREHAN - LA</t>
  </si>
  <si>
    <t>USNFL</t>
  </si>
  <si>
    <t>NFL</t>
  </si>
  <si>
    <t>FALLON NEV</t>
  </si>
  <si>
    <t>USNGT</t>
  </si>
  <si>
    <t>NGT</t>
  </si>
  <si>
    <t>NORTHGATE - ND</t>
  </si>
  <si>
    <t>USNGZ</t>
  </si>
  <si>
    <t>NGZ</t>
  </si>
  <si>
    <t>ALAMEDA - CA</t>
  </si>
  <si>
    <t>USNHK</t>
  </si>
  <si>
    <t>NHK</t>
  </si>
  <si>
    <t>PATUXENT R MD</t>
  </si>
  <si>
    <t>USNHX</t>
  </si>
  <si>
    <t>NHX</t>
  </si>
  <si>
    <t>FOLEY ALA</t>
  </si>
  <si>
    <t>USNHZ</t>
  </si>
  <si>
    <t>NHZ</t>
  </si>
  <si>
    <t>BRUNSWICK ME</t>
  </si>
  <si>
    <t>USNIH</t>
  </si>
  <si>
    <t>NIGHTHAWK - WA</t>
  </si>
  <si>
    <t>USNIJ</t>
  </si>
  <si>
    <t>NAWILIWILI-HI</t>
  </si>
  <si>
    <t>USNIN</t>
  </si>
  <si>
    <t>NINILCHIK ALS</t>
  </si>
  <si>
    <t>USNIP</t>
  </si>
  <si>
    <t>NIP</t>
  </si>
  <si>
    <t>JACKSONVI FLA</t>
  </si>
  <si>
    <t>USNIR</t>
  </si>
  <si>
    <t>NIR</t>
  </si>
  <si>
    <t>BEEVILLE TEX</t>
  </si>
  <si>
    <t>USNKQ</t>
  </si>
  <si>
    <t>NKQ</t>
  </si>
  <si>
    <t>NEWARK - CA</t>
  </si>
  <si>
    <t>USNLC</t>
  </si>
  <si>
    <t>NLC</t>
  </si>
  <si>
    <t>LEMOORE CAL</t>
  </si>
  <si>
    <t>USNLE</t>
  </si>
  <si>
    <t>NLE</t>
  </si>
  <si>
    <t>NILES - MI</t>
  </si>
  <si>
    <t>USNLG</t>
  </si>
  <si>
    <t>NLG</t>
  </si>
  <si>
    <t>NELSON LGN AK</t>
  </si>
  <si>
    <t>USNME</t>
  </si>
  <si>
    <t>NME</t>
  </si>
  <si>
    <t>NIGHTMUTE ALS</t>
  </si>
  <si>
    <t>USNNG</t>
  </si>
  <si>
    <t>PENNINGTON - NJ</t>
  </si>
  <si>
    <t>USNNK</t>
  </si>
  <si>
    <t>NAKNEK ALS</t>
  </si>
  <si>
    <t>USNOM</t>
  </si>
  <si>
    <t>NORMAL - IL</t>
  </si>
  <si>
    <t>USNOO</t>
  </si>
  <si>
    <t>NOONAN - ND</t>
  </si>
  <si>
    <t>USNOT</t>
  </si>
  <si>
    <t>NOVATO CAL</t>
  </si>
  <si>
    <t>USNOY</t>
  </si>
  <si>
    <t>NOY</t>
  </si>
  <si>
    <t>NOYES - MN</t>
  </si>
  <si>
    <t>USNPH</t>
  </si>
  <si>
    <t>NPH</t>
  </si>
  <si>
    <t>NEPHI UT</t>
  </si>
  <si>
    <t>USNPO</t>
  </si>
  <si>
    <t>NPO</t>
  </si>
  <si>
    <t>NEWPORT - OR</t>
  </si>
  <si>
    <t>USNPT</t>
  </si>
  <si>
    <t>NEWPORT - RI</t>
  </si>
  <si>
    <t>USNQI</t>
  </si>
  <si>
    <t>NQI</t>
  </si>
  <si>
    <t>KINGSVILL TEX</t>
  </si>
  <si>
    <t>USNRB</t>
  </si>
  <si>
    <t>NRB</t>
  </si>
  <si>
    <t>MAYPORT FLA</t>
  </si>
  <si>
    <t>USNRC</t>
  </si>
  <si>
    <t>NRC</t>
  </si>
  <si>
    <t>CROWS LAN CAL</t>
  </si>
  <si>
    <t>USNRI</t>
  </si>
  <si>
    <t>SHANGRI-LA OK</t>
  </si>
  <si>
    <t>USNRS</t>
  </si>
  <si>
    <t>IMPERIAL CAL</t>
  </si>
  <si>
    <t>USNRT</t>
  </si>
  <si>
    <t>NORTON - VT</t>
  </si>
  <si>
    <t>USNSE</t>
  </si>
  <si>
    <t>NSE</t>
  </si>
  <si>
    <t>MILTON FLA</t>
  </si>
  <si>
    <t>USNSL</t>
  </si>
  <si>
    <t>NSL</t>
  </si>
  <si>
    <t>NORTH SALT LAKE - UT</t>
  </si>
  <si>
    <t>USNSM</t>
  </si>
  <si>
    <t>NORTH SMITHFIELD - R</t>
  </si>
  <si>
    <t>USNTD</t>
  </si>
  <si>
    <t>PORT HUENEME - CA</t>
  </si>
  <si>
    <t>USNTU</t>
  </si>
  <si>
    <t>NTU</t>
  </si>
  <si>
    <t>OCEANA VA</t>
  </si>
  <si>
    <t>USNTY</t>
  </si>
  <si>
    <t>NORTH TROY - VT</t>
  </si>
  <si>
    <t>USNUC</t>
  </si>
  <si>
    <t>NUC</t>
  </si>
  <si>
    <t>NEWCASTLE - CA</t>
  </si>
  <si>
    <t>USNUI</t>
  </si>
  <si>
    <t>NUIQSUT ALS</t>
  </si>
  <si>
    <t>USNUL</t>
  </si>
  <si>
    <t>NUL</t>
  </si>
  <si>
    <t>NULATO ALS</t>
  </si>
  <si>
    <t>USNUP</t>
  </si>
  <si>
    <t>NUP</t>
  </si>
  <si>
    <t>NUNAPITCH ALS</t>
  </si>
  <si>
    <t>USNUQ</t>
  </si>
  <si>
    <t>NUQ</t>
  </si>
  <si>
    <t>MOUNTAIN VIEW CA</t>
  </si>
  <si>
    <t>USNVD</t>
  </si>
  <si>
    <t>NEVADA MO</t>
  </si>
  <si>
    <t>USNWH</t>
  </si>
  <si>
    <t>NWH</t>
  </si>
  <si>
    <t>NEWPORT NH</t>
  </si>
  <si>
    <t>USNWL</t>
  </si>
  <si>
    <t>NWL</t>
  </si>
  <si>
    <t>NAWILIWILI (PORT ALLEN) - HA</t>
  </si>
  <si>
    <t>USNXX</t>
  </si>
  <si>
    <t>NXX</t>
  </si>
  <si>
    <t>WILLOW GRO PA</t>
  </si>
  <si>
    <t>USNYC</t>
  </si>
  <si>
    <t>NYC</t>
  </si>
  <si>
    <t>NEW YORK - NY</t>
  </si>
  <si>
    <t>USNZW</t>
  </si>
  <si>
    <t>NZW</t>
  </si>
  <si>
    <t>SOUTH WEY MAS</t>
  </si>
  <si>
    <t>USOAJ</t>
  </si>
  <si>
    <t>OAJ</t>
  </si>
  <si>
    <t>JACKSONVIL NC</t>
  </si>
  <si>
    <t>USOAK</t>
  </si>
  <si>
    <t>OAKLAND - CA</t>
  </si>
  <si>
    <t>USOBK</t>
  </si>
  <si>
    <t>OBK</t>
  </si>
  <si>
    <t>NORTHBROO ILL</t>
  </si>
  <si>
    <t>USOBO</t>
  </si>
  <si>
    <t>OBISPO - CA</t>
  </si>
  <si>
    <t>USOBU</t>
  </si>
  <si>
    <t>OBU</t>
  </si>
  <si>
    <t>KOBUK ALS</t>
  </si>
  <si>
    <t>USOCA</t>
  </si>
  <si>
    <t>OCA</t>
  </si>
  <si>
    <t>OCEAN REE FLA</t>
  </si>
  <si>
    <t>USOCE</t>
  </si>
  <si>
    <t>OCE</t>
  </si>
  <si>
    <t>OCEAN CITY MD</t>
  </si>
  <si>
    <t>USOCF</t>
  </si>
  <si>
    <t>OCF</t>
  </si>
  <si>
    <t>OCALA</t>
  </si>
  <si>
    <t>USOCH</t>
  </si>
  <si>
    <t>NACOGDOCH TEX</t>
  </si>
  <si>
    <t>USOCN</t>
  </si>
  <si>
    <t>OCN</t>
  </si>
  <si>
    <t>OCEANSIDE CAL</t>
  </si>
  <si>
    <t>USOCW</t>
  </si>
  <si>
    <t>OCW</t>
  </si>
  <si>
    <t>WASHINGTON NC</t>
  </si>
  <si>
    <t>USODW</t>
  </si>
  <si>
    <t>ODW</t>
  </si>
  <si>
    <t>OAK HARBOR - WA</t>
  </si>
  <si>
    <t>USOEA</t>
  </si>
  <si>
    <t>OEA</t>
  </si>
  <si>
    <t>VINCENNES IND</t>
  </si>
  <si>
    <t>USOEO</t>
  </si>
  <si>
    <t>OEO</t>
  </si>
  <si>
    <t>OSCEOLA WIS</t>
  </si>
  <si>
    <t>USOFK</t>
  </si>
  <si>
    <t>NORFOLK NEB</t>
  </si>
  <si>
    <t>USOGA</t>
  </si>
  <si>
    <t>OGALLALA NEB</t>
  </si>
  <si>
    <t>USOGB</t>
  </si>
  <si>
    <t>OGB</t>
  </si>
  <si>
    <t>ORANGEBURG SC</t>
  </si>
  <si>
    <t>USOGD</t>
  </si>
  <si>
    <t>OGD</t>
  </si>
  <si>
    <t>OGDEN UT</t>
  </si>
  <si>
    <t>USOGG</t>
  </si>
  <si>
    <t xml:space="preserve">KAHULUI - HI        </t>
  </si>
  <si>
    <t>USOGS</t>
  </si>
  <si>
    <t>OGDENSBURG - NY</t>
  </si>
  <si>
    <t>USOHC</t>
  </si>
  <si>
    <t>OHC</t>
  </si>
  <si>
    <t>NORTHEAST ALS</t>
  </si>
  <si>
    <t>USOIC</t>
  </si>
  <si>
    <t>OIC</t>
  </si>
  <si>
    <t>NORWICH NY</t>
  </si>
  <si>
    <t>USOIL</t>
  </si>
  <si>
    <t>OIL</t>
  </si>
  <si>
    <t>OIL CITY PA</t>
  </si>
  <si>
    <t>USOJC</t>
  </si>
  <si>
    <t>OJC</t>
  </si>
  <si>
    <t>OLATHE KAN</t>
  </si>
  <si>
    <t>USOKC</t>
  </si>
  <si>
    <t>OKLAHOMA CITY - OK</t>
  </si>
  <si>
    <t>USOKK</t>
  </si>
  <si>
    <t>KOKOMO IND</t>
  </si>
  <si>
    <t>USOKM</t>
  </si>
  <si>
    <t>OKMULGEE OK</t>
  </si>
  <si>
    <t>USOKS</t>
  </si>
  <si>
    <t>OSHKOSH NEB</t>
  </si>
  <si>
    <t>USOLD</t>
  </si>
  <si>
    <t>OLD TOWN ME</t>
  </si>
  <si>
    <t>USOLE</t>
  </si>
  <si>
    <t>OLEAN NY</t>
  </si>
  <si>
    <t>USOLF</t>
  </si>
  <si>
    <t>WOLF POI MONT</t>
  </si>
  <si>
    <t>USOLH</t>
  </si>
  <si>
    <t>OLD HARBO ALS</t>
  </si>
  <si>
    <t>USOLM</t>
  </si>
  <si>
    <t>OLM</t>
  </si>
  <si>
    <t>OLYMPIA - WA</t>
  </si>
  <si>
    <t>USOLS</t>
  </si>
  <si>
    <t>OLS</t>
  </si>
  <si>
    <t>NOGALES - AZ</t>
  </si>
  <si>
    <t>USOLU</t>
  </si>
  <si>
    <t>COLUMBUS NEB</t>
  </si>
  <si>
    <t>USOLY</t>
  </si>
  <si>
    <t>OLY</t>
  </si>
  <si>
    <t>OLNEY ILL</t>
  </si>
  <si>
    <t>USOMA</t>
  </si>
  <si>
    <t>OMAHA - NE</t>
  </si>
  <si>
    <t>USOME</t>
  </si>
  <si>
    <t>OME</t>
  </si>
  <si>
    <t>NOME - AL</t>
  </si>
  <si>
    <t>USOMK</t>
  </si>
  <si>
    <t>OMK</t>
  </si>
  <si>
    <t>OMAK - WA</t>
  </si>
  <si>
    <t>USONA</t>
  </si>
  <si>
    <t>WINONA MIN</t>
  </si>
  <si>
    <t>USONH</t>
  </si>
  <si>
    <t>ONH</t>
  </si>
  <si>
    <t>ONEONTA NY</t>
  </si>
  <si>
    <t>USONL</t>
  </si>
  <si>
    <t>ONL</t>
  </si>
  <si>
    <t>ONEILL NEB</t>
  </si>
  <si>
    <t>USONM</t>
  </si>
  <si>
    <t>ONM</t>
  </si>
  <si>
    <t>SOCORRO NM</t>
  </si>
  <si>
    <t>USONO</t>
  </si>
  <si>
    <t>ONTARIO OR</t>
  </si>
  <si>
    <t>USONT</t>
  </si>
  <si>
    <t>ONT</t>
  </si>
  <si>
    <t>ONTARIO CAL</t>
  </si>
  <si>
    <t>USONY</t>
  </si>
  <si>
    <t>ONY</t>
  </si>
  <si>
    <t>OLNEY TEX</t>
  </si>
  <si>
    <t>USOOA</t>
  </si>
  <si>
    <t>OSKALOOS IOWA</t>
  </si>
  <si>
    <t>USOOK</t>
  </si>
  <si>
    <t>OOK</t>
  </si>
  <si>
    <t>TOKSOOK B ALS</t>
  </si>
  <si>
    <t>USOPF</t>
  </si>
  <si>
    <t>OPF</t>
  </si>
  <si>
    <t>MIAMI FLA</t>
  </si>
  <si>
    <t>USOPH</t>
  </si>
  <si>
    <t>OPH</t>
  </si>
  <si>
    <t>OPHEIM - MT</t>
  </si>
  <si>
    <t>USOPL</t>
  </si>
  <si>
    <t>OPL</t>
  </si>
  <si>
    <t>OPELOUSAS LA</t>
  </si>
  <si>
    <t>USORA</t>
  </si>
  <si>
    <t>ORADELL - NJ</t>
  </si>
  <si>
    <t>USORD</t>
  </si>
  <si>
    <t>USORF</t>
  </si>
  <si>
    <t>ORF</t>
  </si>
  <si>
    <t>NORFOLK - VA</t>
  </si>
  <si>
    <t>USORG</t>
  </si>
  <si>
    <t>ORANGE - TX</t>
  </si>
  <si>
    <t>USORH</t>
  </si>
  <si>
    <t>ORH</t>
  </si>
  <si>
    <t>WORCESTER - MA</t>
  </si>
  <si>
    <t>USORI</t>
  </si>
  <si>
    <t>ORI</t>
  </si>
  <si>
    <t>PORT LION ALS</t>
  </si>
  <si>
    <t>USORL</t>
  </si>
  <si>
    <t>ORL</t>
  </si>
  <si>
    <t>ORLANDO - FL</t>
  </si>
  <si>
    <t>USORQ</t>
  </si>
  <si>
    <t>ORQ</t>
  </si>
  <si>
    <t>NORWALK CON</t>
  </si>
  <si>
    <t>USORT</t>
  </si>
  <si>
    <t>NORTHWAY ALS</t>
  </si>
  <si>
    <t>USORV</t>
  </si>
  <si>
    <t>NOORVIK ALS</t>
  </si>
  <si>
    <t>USOSB</t>
  </si>
  <si>
    <t>OSAGE BEAC MO</t>
  </si>
  <si>
    <t>USOSC</t>
  </si>
  <si>
    <t>OSC</t>
  </si>
  <si>
    <t>OSCODA MIC</t>
  </si>
  <si>
    <t>USOSH</t>
  </si>
  <si>
    <t>OSHKOSH WIS</t>
  </si>
  <si>
    <t>USOSU</t>
  </si>
  <si>
    <t>OOSTBURG WI</t>
  </si>
  <si>
    <t>USOSW</t>
  </si>
  <si>
    <t>OSW</t>
  </si>
  <si>
    <t>OSWEGO - NY</t>
  </si>
  <si>
    <t>USOSX</t>
  </si>
  <si>
    <t>KOSCIUSKO MIS</t>
  </si>
  <si>
    <t>USOTG</t>
  </si>
  <si>
    <t>WORTHINGT MIN</t>
  </si>
  <si>
    <t>USOTH</t>
  </si>
  <si>
    <t>OTH</t>
  </si>
  <si>
    <t>NORTH BEND - OR</t>
  </si>
  <si>
    <t>USOTM</t>
  </si>
  <si>
    <t>OTTUMWA IOWA</t>
  </si>
  <si>
    <t>USOTN</t>
  </si>
  <si>
    <t>OTN</t>
  </si>
  <si>
    <t>OAKTOWN IND</t>
  </si>
  <si>
    <t>USOTO</t>
  </si>
  <si>
    <t>OTTO NM</t>
  </si>
  <si>
    <t>USOTS</t>
  </si>
  <si>
    <t>OTS</t>
  </si>
  <si>
    <t>ANACORTES - WA</t>
  </si>
  <si>
    <t>USOTZ</t>
  </si>
  <si>
    <t>OTZ</t>
  </si>
  <si>
    <t>KOTZEBUE ALS</t>
  </si>
  <si>
    <t>USOUN</t>
  </si>
  <si>
    <t>OUN</t>
  </si>
  <si>
    <t>NORMAN OK</t>
  </si>
  <si>
    <t>USOVE</t>
  </si>
  <si>
    <t>OVE</t>
  </si>
  <si>
    <t>OROVILLE CAL</t>
  </si>
  <si>
    <t>USOVW</t>
  </si>
  <si>
    <t>OVW</t>
  </si>
  <si>
    <t>OROVILLE - WA</t>
  </si>
  <si>
    <t>USOWA</t>
  </si>
  <si>
    <t>OWATONNA MIN</t>
  </si>
  <si>
    <t>USOWB</t>
  </si>
  <si>
    <t>OWB</t>
  </si>
  <si>
    <t>OWENSBORO - KY</t>
  </si>
  <si>
    <t>USOWD</t>
  </si>
  <si>
    <t>OWD</t>
  </si>
  <si>
    <t>NORWOOD MAS</t>
  </si>
  <si>
    <t>USOWK</t>
  </si>
  <si>
    <t>OWK</t>
  </si>
  <si>
    <t>NORRIDGEWO ME</t>
  </si>
  <si>
    <t>USOXC</t>
  </si>
  <si>
    <t>OXC</t>
  </si>
  <si>
    <t>OXFORD CON</t>
  </si>
  <si>
    <t>USOXD</t>
  </si>
  <si>
    <t>OXD</t>
  </si>
  <si>
    <t>OXFORD OH</t>
  </si>
  <si>
    <t>USOXR</t>
  </si>
  <si>
    <t>OXR</t>
  </si>
  <si>
    <t>VENTURA-OXNARD APT -CA</t>
  </si>
  <si>
    <t>USOYS</t>
  </si>
  <si>
    <t>OYS</t>
  </si>
  <si>
    <t>YOSEMITE CAL</t>
  </si>
  <si>
    <t>USOZA</t>
  </si>
  <si>
    <t>OZA</t>
  </si>
  <si>
    <t>OZONA TEX</t>
  </si>
  <si>
    <t>USOZR</t>
  </si>
  <si>
    <t>OZR</t>
  </si>
  <si>
    <t>OZARK ALA</t>
  </si>
  <si>
    <t>USPAB</t>
  </si>
  <si>
    <t>PALM BEACH - FL</t>
  </si>
  <si>
    <t>USPAE</t>
  </si>
  <si>
    <t>EVERETT - WA</t>
  </si>
  <si>
    <t>USPAF</t>
  </si>
  <si>
    <t>PLAINFIELD</t>
  </si>
  <si>
    <t>USPAH</t>
  </si>
  <si>
    <t>PADUCAH KY</t>
  </si>
  <si>
    <t>USPAK</t>
  </si>
  <si>
    <t xml:space="preserve">HANAPEPE HI         </t>
  </si>
  <si>
    <t>USPAO</t>
  </si>
  <si>
    <t>PALO ALTO CAL</t>
  </si>
  <si>
    <t>USPAQ</t>
  </si>
  <si>
    <t>PAQ</t>
  </si>
  <si>
    <t>PALMER ALS</t>
  </si>
  <si>
    <t>USPAT</t>
  </si>
  <si>
    <t>PATERSON - NJ</t>
  </si>
  <si>
    <t>USPAU</t>
  </si>
  <si>
    <t>PAULSBORO - NJ</t>
  </si>
  <si>
    <t>USPAY</t>
  </si>
  <si>
    <t>PERTH AMBOY - NJ</t>
  </si>
  <si>
    <t>USPBA</t>
  </si>
  <si>
    <t>BARROW ALS</t>
  </si>
  <si>
    <t>USPBF</t>
  </si>
  <si>
    <t>PBF</t>
  </si>
  <si>
    <t>PINE BLUF ARK</t>
  </si>
  <si>
    <t>USPBG</t>
  </si>
  <si>
    <t>PBG</t>
  </si>
  <si>
    <t>PITTSBURG - CA</t>
  </si>
  <si>
    <t>USPBI</t>
  </si>
  <si>
    <t>PBI</t>
  </si>
  <si>
    <t>WEST PALM BEACH - FL</t>
  </si>
  <si>
    <t>USPBR</t>
  </si>
  <si>
    <t>PITSBURG - OH</t>
  </si>
  <si>
    <t>USPCA</t>
  </si>
  <si>
    <t>PORTAGE CREEK - AK</t>
  </si>
  <si>
    <t>USPCD</t>
  </si>
  <si>
    <t>PCD</t>
  </si>
  <si>
    <t>PRAIRIE WIS</t>
  </si>
  <si>
    <t>USPCE</t>
  </si>
  <si>
    <t>PAINTER ALS</t>
  </si>
  <si>
    <t>USPCI</t>
  </si>
  <si>
    <t>PCI</t>
  </si>
  <si>
    <t>PLANT CITY</t>
  </si>
  <si>
    <t>USPCK</t>
  </si>
  <si>
    <t>PCK</t>
  </si>
  <si>
    <t>PORCUPINE ALS</t>
  </si>
  <si>
    <t>USPCR</t>
  </si>
  <si>
    <t>POINT COMFORT - TX</t>
  </si>
  <si>
    <t>USPCT</t>
  </si>
  <si>
    <t>PRINCETON - NJ</t>
  </si>
  <si>
    <t>USPCU</t>
  </si>
  <si>
    <t>PCU</t>
  </si>
  <si>
    <t>PICAYUNE MIS</t>
  </si>
  <si>
    <t>USPDK</t>
  </si>
  <si>
    <t>PDK</t>
  </si>
  <si>
    <t>USPDT</t>
  </si>
  <si>
    <t>PDT</t>
  </si>
  <si>
    <t>PENDLETON - OR</t>
  </si>
  <si>
    <t>USPDX</t>
  </si>
  <si>
    <t>PDX</t>
  </si>
  <si>
    <t>PORTLAND - OR</t>
  </si>
  <si>
    <t>USPEA</t>
  </si>
  <si>
    <t>PEARL HARBOUR - HONOLULU - HA</t>
  </si>
  <si>
    <t>USPEC</t>
  </si>
  <si>
    <t>PELICAN - AK</t>
  </si>
  <si>
    <t>USPEF</t>
  </si>
  <si>
    <t>PEF</t>
  </si>
  <si>
    <t>PORT EVERGLADES - FL</t>
  </si>
  <si>
    <t>USPEQ</t>
  </si>
  <si>
    <t>PEQ</t>
  </si>
  <si>
    <t>PECOS CIT TEX</t>
  </si>
  <si>
    <t>USPFC</t>
  </si>
  <si>
    <t>PFC</t>
  </si>
  <si>
    <t>PACIFIC CI OR</t>
  </si>
  <si>
    <t>USPFD</t>
  </si>
  <si>
    <t>PORT FRED ALS</t>
  </si>
  <si>
    <t>USPFE</t>
  </si>
  <si>
    <t>PLAINFIELD - CT</t>
  </si>
  <si>
    <t>USPFN</t>
  </si>
  <si>
    <t>PFN</t>
  </si>
  <si>
    <t>PANAMA CITY - FL</t>
  </si>
  <si>
    <t>USPGA</t>
  </si>
  <si>
    <t>PGA</t>
  </si>
  <si>
    <t>PAGE ARI</t>
  </si>
  <si>
    <t>USPGC</t>
  </si>
  <si>
    <t>PGC</t>
  </si>
  <si>
    <t>PETERSBURG WV</t>
  </si>
  <si>
    <t>USPGD</t>
  </si>
  <si>
    <t>PGD</t>
  </si>
  <si>
    <t>PUNTA GOR FLA</t>
  </si>
  <si>
    <t>USPGG</t>
  </si>
  <si>
    <t>PENDERGRASS</t>
  </si>
  <si>
    <t>USPGL</t>
  </si>
  <si>
    <t>PASCAGOULA - MS</t>
  </si>
  <si>
    <t>USPGN</t>
  </si>
  <si>
    <t>PIEGAN - MT</t>
  </si>
  <si>
    <t>USPGR</t>
  </si>
  <si>
    <t>PARAGOULD ARK</t>
  </si>
  <si>
    <t>USPGV</t>
  </si>
  <si>
    <t>GREENVILLE - NC</t>
  </si>
  <si>
    <t>USPHD</t>
  </si>
  <si>
    <t>NEW PHILADELPHIA OH</t>
  </si>
  <si>
    <t>USPHF</t>
  </si>
  <si>
    <t>PHF</t>
  </si>
  <si>
    <t>HAMPTON WILLIAMSBURG APT</t>
  </si>
  <si>
    <t>USPHK</t>
  </si>
  <si>
    <t>PHK</t>
  </si>
  <si>
    <t>PAHOKEE - FL</t>
  </si>
  <si>
    <t>USPHL</t>
  </si>
  <si>
    <t>PHL</t>
  </si>
  <si>
    <t>PHILADELPHIA - PA</t>
  </si>
  <si>
    <t>USPHN</t>
  </si>
  <si>
    <t>PHN</t>
  </si>
  <si>
    <t>PORT HURON - MI</t>
  </si>
  <si>
    <t>USPHO</t>
  </si>
  <si>
    <t>POINT HOPE AK</t>
  </si>
  <si>
    <t>USPHP</t>
  </si>
  <si>
    <t>PHP</t>
  </si>
  <si>
    <t>PHILIP SD</t>
  </si>
  <si>
    <t>USPHT</t>
  </si>
  <si>
    <t>PHT</t>
  </si>
  <si>
    <t>PARIS TEN</t>
  </si>
  <si>
    <t>USPHX</t>
  </si>
  <si>
    <t>PHX</t>
  </si>
  <si>
    <t>PHOENIX - AZ</t>
  </si>
  <si>
    <t>USPIA</t>
  </si>
  <si>
    <t>PIA</t>
  </si>
  <si>
    <t>PEORIA - IL</t>
  </si>
  <si>
    <t>USPIC</t>
  </si>
  <si>
    <t>PICACHO - AZ</t>
  </si>
  <si>
    <t>USPIE</t>
  </si>
  <si>
    <t>ST PETERSBURG - FL</t>
  </si>
  <si>
    <t>USPIH</t>
  </si>
  <si>
    <t>PIH</t>
  </si>
  <si>
    <t>POCATELLO ID</t>
  </si>
  <si>
    <t>USPII</t>
  </si>
  <si>
    <t>PII</t>
  </si>
  <si>
    <t>FAIRBANKS ALS</t>
  </si>
  <si>
    <t>USPIM</t>
  </si>
  <si>
    <t>PIM</t>
  </si>
  <si>
    <t>PINE MOUNT GA</t>
  </si>
  <si>
    <t>USPIN</t>
  </si>
  <si>
    <t>PINECREEK - MN</t>
  </si>
  <si>
    <t>USPIP</t>
  </si>
  <si>
    <t>PIP</t>
  </si>
  <si>
    <t>PILOT POI ALS</t>
  </si>
  <si>
    <t>USPIR</t>
  </si>
  <si>
    <t>PIERRE SD</t>
  </si>
  <si>
    <t>USPIS</t>
  </si>
  <si>
    <t>PORT ISABEL/BROWNSVILL - TX</t>
  </si>
  <si>
    <t>USPIT</t>
  </si>
  <si>
    <t>PITTSBURGH - PA</t>
  </si>
  <si>
    <t>USPIZ</t>
  </si>
  <si>
    <t>PIZ</t>
  </si>
  <si>
    <t>POINT LAY ALS</t>
  </si>
  <si>
    <t>USPJD</t>
  </si>
  <si>
    <t>PJD</t>
  </si>
  <si>
    <t>PORTLAND, IN</t>
  </si>
  <si>
    <t>USPJL</t>
  </si>
  <si>
    <t>PJL</t>
  </si>
  <si>
    <t>PORTHILL - ID</t>
  </si>
  <si>
    <t>USPKA</t>
  </si>
  <si>
    <t>NAPASKIAK AK</t>
  </si>
  <si>
    <t>USPKB</t>
  </si>
  <si>
    <t>PARKERSBUR WV</t>
  </si>
  <si>
    <t>USPKD</t>
  </si>
  <si>
    <t>PKD</t>
  </si>
  <si>
    <t>PARK PAPI MIN</t>
  </si>
  <si>
    <t>USPKF</t>
  </si>
  <si>
    <t>PKF</t>
  </si>
  <si>
    <t>PARK FALL WIS</t>
  </si>
  <si>
    <t>USPLB</t>
  </si>
  <si>
    <t>PLATTSBURG NY</t>
  </si>
  <si>
    <t>USPLL</t>
  </si>
  <si>
    <t>PORT ALLEN - LA</t>
  </si>
  <si>
    <t>USPLR</t>
  </si>
  <si>
    <t>PLR</t>
  </si>
  <si>
    <t>PELL CITY ALA</t>
  </si>
  <si>
    <t>USPLU</t>
  </si>
  <si>
    <t>PORT LUDLOW - WA</t>
  </si>
  <si>
    <t>USPLV</t>
  </si>
  <si>
    <t>PLV</t>
  </si>
  <si>
    <t>PORT LAVACA - TX</t>
  </si>
  <si>
    <t>USPLY</t>
  </si>
  <si>
    <t>PLYMOUTH IND</t>
  </si>
  <si>
    <t>USPMB</t>
  </si>
  <si>
    <t>PMB</t>
  </si>
  <si>
    <t>PEMBINA - ND</t>
  </si>
  <si>
    <t>USPMD</t>
  </si>
  <si>
    <t>PALMDALE CAL</t>
  </si>
  <si>
    <t>USPMH</t>
  </si>
  <si>
    <t>PMH</t>
  </si>
  <si>
    <t>PORTSMOUTH OH</t>
  </si>
  <si>
    <t>USPML</t>
  </si>
  <si>
    <t>PORT MOLL ALS</t>
  </si>
  <si>
    <t>USPMU</t>
  </si>
  <si>
    <t>PMU</t>
  </si>
  <si>
    <t>PAIMIUT ALS</t>
  </si>
  <si>
    <t>USPMX</t>
  </si>
  <si>
    <t>PALMER MAS</t>
  </si>
  <si>
    <t>USPNC</t>
  </si>
  <si>
    <t>PNC</t>
  </si>
  <si>
    <t>PONCA CITY OK</t>
  </si>
  <si>
    <t>USPNE</t>
  </si>
  <si>
    <t>NORTH EAST APT/PHILADELPHIA</t>
  </si>
  <si>
    <t>USPNN</t>
  </si>
  <si>
    <t>PRINCETON ME</t>
  </si>
  <si>
    <t>USPNS</t>
  </si>
  <si>
    <t>PNS</t>
  </si>
  <si>
    <t>PENSACOLA - FL</t>
  </si>
  <si>
    <t>USPNU</t>
  </si>
  <si>
    <t>PNU</t>
  </si>
  <si>
    <t>PANGUITCH UT</t>
  </si>
  <si>
    <t>USPNX</t>
  </si>
  <si>
    <t>PNX</t>
  </si>
  <si>
    <t>SHERMAN TEX</t>
  </si>
  <si>
    <t>USPOA</t>
  </si>
  <si>
    <t>PT ARTHUR - TX</t>
  </si>
  <si>
    <t>USPOC</t>
  </si>
  <si>
    <t>POC</t>
  </si>
  <si>
    <t>LA VERNE CAL</t>
  </si>
  <si>
    <t>USPOE</t>
  </si>
  <si>
    <t>FORT POLK LA</t>
  </si>
  <si>
    <t>USPOF</t>
  </si>
  <si>
    <t>POF</t>
  </si>
  <si>
    <t>POPLAR BLU MO</t>
  </si>
  <si>
    <t>USPOH</t>
  </si>
  <si>
    <t>POCAHONT IOWA</t>
  </si>
  <si>
    <t>USPON</t>
  </si>
  <si>
    <t>PT NECHES - TX</t>
  </si>
  <si>
    <t>USPOQ</t>
  </si>
  <si>
    <t>POQ</t>
  </si>
  <si>
    <t>POLK INLET AK</t>
  </si>
  <si>
    <t>USPOU</t>
  </si>
  <si>
    <t>POUGHKEEPS - NY</t>
  </si>
  <si>
    <t>USPOY</t>
  </si>
  <si>
    <t>POY</t>
  </si>
  <si>
    <t>POWELL WY</t>
  </si>
  <si>
    <t>USPPA</t>
  </si>
  <si>
    <t>PAMPA TEX</t>
  </si>
  <si>
    <t>USPPC</t>
  </si>
  <si>
    <t>PPC</t>
  </si>
  <si>
    <t>PROSPECT ALS</t>
  </si>
  <si>
    <t>USPPF</t>
  </si>
  <si>
    <t>PPF</t>
  </si>
  <si>
    <t>PARSONS KAN</t>
  </si>
  <si>
    <t>USPPM</t>
  </si>
  <si>
    <t>PPM</t>
  </si>
  <si>
    <t>POMPANO FLA</t>
  </si>
  <si>
    <t>USPQH</t>
  </si>
  <si>
    <t>PQH</t>
  </si>
  <si>
    <t>PEACHTREE CITY</t>
  </si>
  <si>
    <t>USPQI</t>
  </si>
  <si>
    <t>PQI</t>
  </si>
  <si>
    <t>PRESEQUE ISLE - MI</t>
  </si>
  <si>
    <t>USPQS</t>
  </si>
  <si>
    <t>PQS</t>
  </si>
  <si>
    <t>PILOT STATION AK</t>
  </si>
  <si>
    <t>USPQT</t>
  </si>
  <si>
    <t>PQT</t>
  </si>
  <si>
    <t>PORTAL - ND</t>
  </si>
  <si>
    <t>USPQZ</t>
  </si>
  <si>
    <t>PQZ</t>
  </si>
  <si>
    <t>POOLER - GA</t>
  </si>
  <si>
    <t>USPRB</t>
  </si>
  <si>
    <t>PASO ROBL CAL</t>
  </si>
  <si>
    <t>USPRC</t>
  </si>
  <si>
    <t>PRESCOTT ARI</t>
  </si>
  <si>
    <t>USPRE</t>
  </si>
  <si>
    <t>PRESIDIO - TX</t>
  </si>
  <si>
    <t>USPRG</t>
  </si>
  <si>
    <t>PROGRESSO - TX</t>
  </si>
  <si>
    <t>USPRJ</t>
  </si>
  <si>
    <t>PT ROYAL - SC</t>
  </si>
  <si>
    <t>USPRL</t>
  </si>
  <si>
    <t>PRL</t>
  </si>
  <si>
    <t>PT OCEANIC - AK</t>
  </si>
  <si>
    <t>USPRO</t>
  </si>
  <si>
    <t>PERRY IOWA</t>
  </si>
  <si>
    <t>USPRS</t>
  </si>
  <si>
    <t>POINT ROBERTS - WA</t>
  </si>
  <si>
    <t>USPRT</t>
  </si>
  <si>
    <t>POINT RET ALS</t>
  </si>
  <si>
    <t>USPRX</t>
  </si>
  <si>
    <t>PRX</t>
  </si>
  <si>
    <t>PARIS TEX</t>
  </si>
  <si>
    <t>USPRY</t>
  </si>
  <si>
    <t>PORT BLAKELY - WA</t>
  </si>
  <si>
    <t>USPRZ</t>
  </si>
  <si>
    <t>PRZ</t>
  </si>
  <si>
    <t>PRINEVILLE - OR</t>
  </si>
  <si>
    <t>USPS3</t>
  </si>
  <si>
    <t>PS3</t>
  </si>
  <si>
    <t>PRAIRIE DU SAC - WI</t>
  </si>
  <si>
    <t>USPSB</t>
  </si>
  <si>
    <t>PSB</t>
  </si>
  <si>
    <t>PHILIPSBURG PA</t>
  </si>
  <si>
    <t>USPSC</t>
  </si>
  <si>
    <t>PSC</t>
  </si>
  <si>
    <t>PASCO - WA</t>
  </si>
  <si>
    <t>USPSD</t>
  </si>
  <si>
    <t>PASADENA - CA</t>
  </si>
  <si>
    <t>USPSF</t>
  </si>
  <si>
    <t>PSF</t>
  </si>
  <si>
    <t>PITTSFIELD - MA</t>
  </si>
  <si>
    <t>USPSG</t>
  </si>
  <si>
    <t>PSG</t>
  </si>
  <si>
    <t>PETERSBURG - AK</t>
  </si>
  <si>
    <t>USPSJ</t>
  </si>
  <si>
    <t>PORT ST JOE - FL</t>
  </si>
  <si>
    <t>USPSK</t>
  </si>
  <si>
    <t>PSK</t>
  </si>
  <si>
    <t>DUBLIN VA</t>
  </si>
  <si>
    <t>USPSL</t>
  </si>
  <si>
    <t>PORT SAN LUIS - CA</t>
  </si>
  <si>
    <t>USPSM</t>
  </si>
  <si>
    <t>PORTSMOUTH - NH</t>
  </si>
  <si>
    <t>USPSN</t>
  </si>
  <si>
    <t>PALESTINE TEX</t>
  </si>
  <si>
    <t>USPSX</t>
  </si>
  <si>
    <t>PSX</t>
  </si>
  <si>
    <t>PALACIOS TEX</t>
  </si>
  <si>
    <t>USPTB</t>
  </si>
  <si>
    <t>PETERSBURG - VA</t>
  </si>
  <si>
    <t>USPTC</t>
  </si>
  <si>
    <t>PTC</t>
  </si>
  <si>
    <t>PORT ALIC ALS</t>
  </si>
  <si>
    <t>USPTH</t>
  </si>
  <si>
    <t>PT HEIDEN - AK</t>
  </si>
  <si>
    <t>USPTK</t>
  </si>
  <si>
    <t>PONTIAC MIC</t>
  </si>
  <si>
    <t>USPTL</t>
  </si>
  <si>
    <t>PT ARMSTRONG - AK</t>
  </si>
  <si>
    <t>USPTN</t>
  </si>
  <si>
    <t>MORGAN CITY-PATTERSON APT - LA</t>
  </si>
  <si>
    <t>USPTR</t>
  </si>
  <si>
    <t>PLEASANT ALS</t>
  </si>
  <si>
    <t>USPTS</t>
  </si>
  <si>
    <t>PITTSBURG KAN</t>
  </si>
  <si>
    <t>USPTT</t>
  </si>
  <si>
    <t>PRATT KAN</t>
  </si>
  <si>
    <t>USPTU</t>
  </si>
  <si>
    <t>PTU</t>
  </si>
  <si>
    <t>PLATINUM ALS</t>
  </si>
  <si>
    <t>USPTV</t>
  </si>
  <si>
    <t>PTV</t>
  </si>
  <si>
    <t>PORTERVIL CAL</t>
  </si>
  <si>
    <t>USPTW</t>
  </si>
  <si>
    <t>PTW</t>
  </si>
  <si>
    <t>POTTSTOWN PA</t>
  </si>
  <si>
    <t>USPUB</t>
  </si>
  <si>
    <t>PUB</t>
  </si>
  <si>
    <t>PUEBLO COL</t>
  </si>
  <si>
    <t>USPUC</t>
  </si>
  <si>
    <t>PRICE UT</t>
  </si>
  <si>
    <t>USPUG</t>
  </si>
  <si>
    <t>PRATTSBURG - NY</t>
  </si>
  <si>
    <t>USPUM</t>
  </si>
  <si>
    <t>PETALUMA</t>
  </si>
  <si>
    <t>USPUN</t>
  </si>
  <si>
    <t>PUTNAM - CT</t>
  </si>
  <si>
    <t>USPUO</t>
  </si>
  <si>
    <t>PRUDHOE ALS</t>
  </si>
  <si>
    <t>USPUP</t>
  </si>
  <si>
    <t>DU PONT-WA</t>
  </si>
  <si>
    <t>USPUW</t>
  </si>
  <si>
    <t>PUW</t>
  </si>
  <si>
    <t>PULLMAN - WA</t>
  </si>
  <si>
    <t>USPVC</t>
  </si>
  <si>
    <t>PVC</t>
  </si>
  <si>
    <t>PROVINCETOWN - MA</t>
  </si>
  <si>
    <t>USPVD</t>
  </si>
  <si>
    <t>PVD</t>
  </si>
  <si>
    <t>PROVIDENCE - RI</t>
  </si>
  <si>
    <t>USPVF</t>
  </si>
  <si>
    <t>PVF</t>
  </si>
  <si>
    <t>PLACERVIL CAL</t>
  </si>
  <si>
    <t>USPVU</t>
  </si>
  <si>
    <t>PVU</t>
  </si>
  <si>
    <t>PROVO UT</t>
  </si>
  <si>
    <t>USPVW</t>
  </si>
  <si>
    <t>PVW</t>
  </si>
  <si>
    <t>PLAINVIEW TEX</t>
  </si>
  <si>
    <t>USPVZ</t>
  </si>
  <si>
    <t>PVZ</t>
  </si>
  <si>
    <t>PAINESVILL OH</t>
  </si>
  <si>
    <t>USPWD</t>
  </si>
  <si>
    <t>PWD</t>
  </si>
  <si>
    <t>PLENTYWO MONT</t>
  </si>
  <si>
    <t>USPWK</t>
  </si>
  <si>
    <t>PWK</t>
  </si>
  <si>
    <t>USPWM</t>
  </si>
  <si>
    <t>PWM</t>
  </si>
  <si>
    <t>PORTLAND - ME</t>
  </si>
  <si>
    <t>USPWR</t>
  </si>
  <si>
    <t>PORT WALT ALS</t>
  </si>
  <si>
    <t>USPWT</t>
  </si>
  <si>
    <t>PWT</t>
  </si>
  <si>
    <t>BREMERTON - WA</t>
  </si>
  <si>
    <t>USPXL</t>
  </si>
  <si>
    <t>PXL</t>
  </si>
  <si>
    <t>POLACCA ARI</t>
  </si>
  <si>
    <t>USPYL</t>
  </si>
  <si>
    <t>PERRY ISL ALS</t>
  </si>
  <si>
    <t>USPYM</t>
  </si>
  <si>
    <t>PYM</t>
  </si>
  <si>
    <t>PLYMOUTH - MA</t>
  </si>
  <si>
    <t>USQMV</t>
  </si>
  <si>
    <t>QMV</t>
  </si>
  <si>
    <t>MONTVALE NJ</t>
  </si>
  <si>
    <t>USQUI</t>
  </si>
  <si>
    <t>USQUY</t>
  </si>
  <si>
    <t>QUY</t>
  </si>
  <si>
    <t>SOUTH YARMOUTH - MA</t>
  </si>
  <si>
    <t>USQWR</t>
  </si>
  <si>
    <t>QWR</t>
  </si>
  <si>
    <t>WAUREGAN - CT</t>
  </si>
  <si>
    <t>USRAC</t>
  </si>
  <si>
    <t>RAC</t>
  </si>
  <si>
    <t>RACINE - WI</t>
  </si>
  <si>
    <t>USRAI</t>
  </si>
  <si>
    <t>RAINIER - OR</t>
  </si>
  <si>
    <t>USRAL</t>
  </si>
  <si>
    <t>RAL</t>
  </si>
  <si>
    <t>RIVERSIDE CAL</t>
  </si>
  <si>
    <t>USRAP</t>
  </si>
  <si>
    <t>RAP</t>
  </si>
  <si>
    <t>RAPID CITY SD</t>
  </si>
  <si>
    <t>USRAY</t>
  </si>
  <si>
    <t>RAHWAY - OH</t>
  </si>
  <si>
    <t>USRBG</t>
  </si>
  <si>
    <t>RBG</t>
  </si>
  <si>
    <t>ROSEBURG OR</t>
  </si>
  <si>
    <t>USRBL</t>
  </si>
  <si>
    <t>RBL</t>
  </si>
  <si>
    <t>RED BLUFF CAL</t>
  </si>
  <si>
    <t>USRBW</t>
  </si>
  <si>
    <t>RBW</t>
  </si>
  <si>
    <t>WALTERBORO SC</t>
  </si>
  <si>
    <t>USRBY</t>
  </si>
  <si>
    <t>RBY</t>
  </si>
  <si>
    <t>RUBY ALS</t>
  </si>
  <si>
    <t>USRCE</t>
  </si>
  <si>
    <t>RCE</t>
  </si>
  <si>
    <t>ROCHE HARBOR WA</t>
  </si>
  <si>
    <t>USRCG</t>
  </si>
  <si>
    <t>RCG</t>
  </si>
  <si>
    <t>RICEBORO - GA</t>
  </si>
  <si>
    <t>USRCH</t>
  </si>
  <si>
    <t>RICHMOND - CA</t>
  </si>
  <si>
    <t>USRCK</t>
  </si>
  <si>
    <t>RCK</t>
  </si>
  <si>
    <t>ROCKDALE TEX</t>
  </si>
  <si>
    <t>USRCR</t>
  </si>
  <si>
    <t>RCR</t>
  </si>
  <si>
    <t>ROCHESTER IND</t>
  </si>
  <si>
    <t>USRCT</t>
  </si>
  <si>
    <t>RCT</t>
  </si>
  <si>
    <t>REED CITY MIC</t>
  </si>
  <si>
    <t>USRCU</t>
  </si>
  <si>
    <t>RANCHO CUCAMONGA, CA</t>
  </si>
  <si>
    <t>USRCY</t>
  </si>
  <si>
    <t>RCY</t>
  </si>
  <si>
    <t>ROGER CIRY - MI</t>
  </si>
  <si>
    <t>USRDD</t>
  </si>
  <si>
    <t>RDD</t>
  </si>
  <si>
    <t>REDDING CAL</t>
  </si>
  <si>
    <t>USRDG</t>
  </si>
  <si>
    <t>RDG</t>
  </si>
  <si>
    <t>READING PA</t>
  </si>
  <si>
    <t>USRDM</t>
  </si>
  <si>
    <t>RDM</t>
  </si>
  <si>
    <t>REDMOND OR</t>
  </si>
  <si>
    <t>USRDR</t>
  </si>
  <si>
    <t>RDR</t>
  </si>
  <si>
    <t>RED RIVER ND</t>
  </si>
  <si>
    <t>USRDU</t>
  </si>
  <si>
    <t>RALEIGH/DURHAM NC</t>
  </si>
  <si>
    <t>USRDV</t>
  </si>
  <si>
    <t>RDV</t>
  </si>
  <si>
    <t>RED DEVIL ALS</t>
  </si>
  <si>
    <t>USREH</t>
  </si>
  <si>
    <t>REHOBOTH DEL</t>
  </si>
  <si>
    <t>USREL</t>
  </si>
  <si>
    <t>REEDSVILLE PA</t>
  </si>
  <si>
    <t>USREO</t>
  </si>
  <si>
    <t>REO</t>
  </si>
  <si>
    <t>ROME OR</t>
  </si>
  <si>
    <t>USREV</t>
  </si>
  <si>
    <t>REV</t>
  </si>
  <si>
    <t>REEDVILLE - VA</t>
  </si>
  <si>
    <t>USRFD</t>
  </si>
  <si>
    <t>ROCK FORD</t>
  </si>
  <si>
    <t>USRFG</t>
  </si>
  <si>
    <t>RFG</t>
  </si>
  <si>
    <t>REFUGIO TEX</t>
  </si>
  <si>
    <t>USRFK</t>
  </si>
  <si>
    <t>RFK</t>
  </si>
  <si>
    <t>ANGUILLA MIS</t>
  </si>
  <si>
    <t>USRFR</t>
  </si>
  <si>
    <t>RICHFORD - VT</t>
  </si>
  <si>
    <t>USRGC</t>
  </si>
  <si>
    <t>RGC</t>
  </si>
  <si>
    <t>RIO GRANDE CITY - TX</t>
  </si>
  <si>
    <t>USRGO</t>
  </si>
  <si>
    <t>RGO</t>
  </si>
  <si>
    <t>RIDGEWOOD - NY</t>
  </si>
  <si>
    <t>USRGR</t>
  </si>
  <si>
    <t>RGR</t>
  </si>
  <si>
    <t>RANGER TEX</t>
  </si>
  <si>
    <t>USRHI</t>
  </si>
  <si>
    <t>RHI</t>
  </si>
  <si>
    <t>RHINELAND WIS</t>
  </si>
  <si>
    <t>USRHV</t>
  </si>
  <si>
    <t>RHV</t>
  </si>
  <si>
    <t>SAN JOSE CAL</t>
  </si>
  <si>
    <t>USRIC</t>
  </si>
  <si>
    <t>RIC</t>
  </si>
  <si>
    <t>RICHMOND - VA</t>
  </si>
  <si>
    <t>USRID</t>
  </si>
  <si>
    <t>RICHMOND IND</t>
  </si>
  <si>
    <t>USRIE</t>
  </si>
  <si>
    <t>RICE LAKE WIS</t>
  </si>
  <si>
    <t>USRIF</t>
  </si>
  <si>
    <t>RIF</t>
  </si>
  <si>
    <t>RICHFIELD UT</t>
  </si>
  <si>
    <t>USRIL</t>
  </si>
  <si>
    <t>RIL</t>
  </si>
  <si>
    <t>RIFLE COL</t>
  </si>
  <si>
    <t>USRIV</t>
  </si>
  <si>
    <t>REIDSVILLE - NC</t>
  </si>
  <si>
    <t>USRIW</t>
  </si>
  <si>
    <t>RIVERTON WYO</t>
  </si>
  <si>
    <t>USRJM</t>
  </si>
  <si>
    <t>RJM</t>
  </si>
  <si>
    <t>ROGERS</t>
  </si>
  <si>
    <t>USRKC</t>
  </si>
  <si>
    <t>RKC</t>
  </si>
  <si>
    <t>YREKA CAL</t>
  </si>
  <si>
    <t>USRKD</t>
  </si>
  <si>
    <t>RKD</t>
  </si>
  <si>
    <t>ROCKLAND - ME</t>
  </si>
  <si>
    <t>USRKH</t>
  </si>
  <si>
    <t>RKH</t>
  </si>
  <si>
    <t>ROCK HILL SC</t>
  </si>
  <si>
    <t>USRKP</t>
  </si>
  <si>
    <t>RKP</t>
  </si>
  <si>
    <t>ROCKPORT TEX</t>
  </si>
  <si>
    <t>USRKR</t>
  </si>
  <si>
    <t>RKR</t>
  </si>
  <si>
    <t>POTEAU OK</t>
  </si>
  <si>
    <t>USRKS</t>
  </si>
  <si>
    <t>RKS</t>
  </si>
  <si>
    <t>ROCK SPRI WYO</t>
  </si>
  <si>
    <t>USRKW</t>
  </si>
  <si>
    <t>RKW</t>
  </si>
  <si>
    <t>ROCKWOOD TEN</t>
  </si>
  <si>
    <t>USRLA</t>
  </si>
  <si>
    <t>ROLLA MO</t>
  </si>
  <si>
    <t>USRLD</t>
  </si>
  <si>
    <t>RLD</t>
  </si>
  <si>
    <t>RICHLAND - WA</t>
  </si>
  <si>
    <t>USRLL</t>
  </si>
  <si>
    <t>RLL</t>
  </si>
  <si>
    <t>ROSELLE - IL</t>
  </si>
  <si>
    <t>USRLO</t>
  </si>
  <si>
    <t>RLO</t>
  </si>
  <si>
    <t>RIALTO - CA</t>
  </si>
  <si>
    <t>USRLU</t>
  </si>
  <si>
    <t>RLU</t>
  </si>
  <si>
    <t>BORNITE ALS</t>
  </si>
  <si>
    <t>USRME</t>
  </si>
  <si>
    <t>RME</t>
  </si>
  <si>
    <t>ROME NY</t>
  </si>
  <si>
    <t>USRMG</t>
  </si>
  <si>
    <t>ROME GA</t>
  </si>
  <si>
    <t>USRMP</t>
  </si>
  <si>
    <t>RMP</t>
  </si>
  <si>
    <t>RAMPART ALS</t>
  </si>
  <si>
    <t>USRMT</t>
  </si>
  <si>
    <t>BIRMINGPORT - AL</t>
  </si>
  <si>
    <t>USRNC</t>
  </si>
  <si>
    <t>RNC</t>
  </si>
  <si>
    <t>MCMINNVIL TEN</t>
  </si>
  <si>
    <t>USRND</t>
  </si>
  <si>
    <t>RAYMOND - MO</t>
  </si>
  <si>
    <t>USRNG</t>
  </si>
  <si>
    <t>RNG</t>
  </si>
  <si>
    <t>RANGELY COL</t>
  </si>
  <si>
    <t>USRNH</t>
  </si>
  <si>
    <t>RNH</t>
  </si>
  <si>
    <t>NEW RICHM WIS</t>
  </si>
  <si>
    <t>USRNO</t>
  </si>
  <si>
    <t>RNO</t>
  </si>
  <si>
    <t>RENO - NV</t>
  </si>
  <si>
    <t>USRNT</t>
  </si>
  <si>
    <t>RNT</t>
  </si>
  <si>
    <t>RENTON - WA</t>
  </si>
  <si>
    <t>USRNZ</t>
  </si>
  <si>
    <t>RNZ</t>
  </si>
  <si>
    <t>RENSSELAE IND</t>
  </si>
  <si>
    <t>USROA</t>
  </si>
  <si>
    <t>ROANOKE - VA</t>
  </si>
  <si>
    <t>USROC</t>
  </si>
  <si>
    <t>ROC</t>
  </si>
  <si>
    <t>ROCHESTER - NY</t>
  </si>
  <si>
    <t>USROG</t>
  </si>
  <si>
    <t>ROG</t>
  </si>
  <si>
    <t>ROGERS ARK</t>
  </si>
  <si>
    <t>USROI</t>
  </si>
  <si>
    <t>ROI</t>
  </si>
  <si>
    <t>ROMEOVILLE - IL</t>
  </si>
  <si>
    <t>USROL</t>
  </si>
  <si>
    <t>ROOSEVELT UT</t>
  </si>
  <si>
    <t>USROM</t>
  </si>
  <si>
    <t>ROUND MOUNTAIN - NV</t>
  </si>
  <si>
    <t>USROO</t>
  </si>
  <si>
    <t>ROOSVILLE - MT</t>
  </si>
  <si>
    <t>USROU</t>
  </si>
  <si>
    <t>ROMULAS</t>
  </si>
  <si>
    <t>USROV</t>
  </si>
  <si>
    <t>ROCKY MOUNT - VA</t>
  </si>
  <si>
    <t>USROW</t>
  </si>
  <si>
    <t>ROSWELL NM</t>
  </si>
  <si>
    <t>USROX</t>
  </si>
  <si>
    <t>ROSEAU - MN</t>
  </si>
  <si>
    <t>USRPX</t>
  </si>
  <si>
    <t>RPX</t>
  </si>
  <si>
    <t>ROUNDUP MONT</t>
  </si>
  <si>
    <t>USRRL</t>
  </si>
  <si>
    <t>RRL</t>
  </si>
  <si>
    <t>MERRILL WIS</t>
  </si>
  <si>
    <t>USRSH</t>
  </si>
  <si>
    <t>RUSSIAN ALS</t>
  </si>
  <si>
    <t>USRSL</t>
  </si>
  <si>
    <t>RSL</t>
  </si>
  <si>
    <t>RUSSELL KAN</t>
  </si>
  <si>
    <t>USRSN</t>
  </si>
  <si>
    <t>RSN</t>
  </si>
  <si>
    <t>RUSTON LA</t>
  </si>
  <si>
    <t>USRST</t>
  </si>
  <si>
    <t>RST</t>
  </si>
  <si>
    <t>ROCHESTER MIN</t>
  </si>
  <si>
    <t>USRSW</t>
  </si>
  <si>
    <t>RSW</t>
  </si>
  <si>
    <t>FORT MYER FLA</t>
  </si>
  <si>
    <t>USRTD</t>
  </si>
  <si>
    <t>RTD</t>
  </si>
  <si>
    <t>ROTUNDA FLA</t>
  </si>
  <si>
    <t>USRTL</t>
  </si>
  <si>
    <t>RTL</t>
  </si>
  <si>
    <t>SPIRIT IOWA</t>
  </si>
  <si>
    <t>USRTN</t>
  </si>
  <si>
    <t>RTN</t>
  </si>
  <si>
    <t>RATON NM</t>
  </si>
  <si>
    <t>USRTO</t>
  </si>
  <si>
    <t>RTO</t>
  </si>
  <si>
    <t>COLTON CAL</t>
  </si>
  <si>
    <t>USRUI</t>
  </si>
  <si>
    <t>RUI</t>
  </si>
  <si>
    <t>RUIDOSO NM</t>
  </si>
  <si>
    <t>USRUT</t>
  </si>
  <si>
    <t>RUT</t>
  </si>
  <si>
    <t>RUTLAND VT</t>
  </si>
  <si>
    <t>USRVS</t>
  </si>
  <si>
    <t>RVS</t>
  </si>
  <si>
    <t>TULSA-RIVERSIDE APT</t>
  </si>
  <si>
    <t>USRWC</t>
  </si>
  <si>
    <t>RWC</t>
  </si>
  <si>
    <t>REDWOOD CITY - CA</t>
  </si>
  <si>
    <t>USRWF</t>
  </si>
  <si>
    <t>RWF</t>
  </si>
  <si>
    <t>REDWOOD MIN</t>
  </si>
  <si>
    <t>USRWI</t>
  </si>
  <si>
    <t>RWI</t>
  </si>
  <si>
    <t>ROCKY MOUNT</t>
  </si>
  <si>
    <t>USRWL</t>
  </si>
  <si>
    <t>RWL</t>
  </si>
  <si>
    <t>RAWLINS WYO</t>
  </si>
  <si>
    <t>USRZZ</t>
  </si>
  <si>
    <t>RZZ</t>
  </si>
  <si>
    <t>ROANOKE RA NC</t>
  </si>
  <si>
    <t>USSAA</t>
  </si>
  <si>
    <t>SARATOGA WYO</t>
  </si>
  <si>
    <t>USSAB</t>
  </si>
  <si>
    <t>SABINE - TX</t>
  </si>
  <si>
    <t>USSAC</t>
  </si>
  <si>
    <t>SACRAMENTO - CA</t>
  </si>
  <si>
    <t>SMF</t>
  </si>
  <si>
    <t>USSAF</t>
  </si>
  <si>
    <t>SANTA FE NM</t>
  </si>
  <si>
    <t>USSAG</t>
  </si>
  <si>
    <t>SAGWON ALS</t>
  </si>
  <si>
    <t>USSAK</t>
  </si>
  <si>
    <t>SASKATOON - SA</t>
  </si>
  <si>
    <t>USSAN</t>
  </si>
  <si>
    <t>SAN DIEGO - CA</t>
  </si>
  <si>
    <t>USSAO</t>
  </si>
  <si>
    <t>SARLES - ND</t>
  </si>
  <si>
    <t>USSAQ</t>
  </si>
  <si>
    <t>SASABE - AZ</t>
  </si>
  <si>
    <t>USSAT</t>
  </si>
  <si>
    <t>SAN ANTONIO - TX</t>
  </si>
  <si>
    <t>USSAV</t>
  </si>
  <si>
    <t>SAV</t>
  </si>
  <si>
    <t>SAVANNAH - GA</t>
  </si>
  <si>
    <t>USSBA</t>
  </si>
  <si>
    <t>SANTA BAR CAL</t>
  </si>
  <si>
    <t>USSBC</t>
  </si>
  <si>
    <t>SBC</t>
  </si>
  <si>
    <t>SOUTH BOSTON - MA</t>
  </si>
  <si>
    <t>USSBI</t>
  </si>
  <si>
    <t>SHELBY, OH</t>
  </si>
  <si>
    <t>USSBM</t>
  </si>
  <si>
    <t>SBM</t>
  </si>
  <si>
    <t>SHEBOYGAN - WI</t>
  </si>
  <si>
    <t>USSBN</t>
  </si>
  <si>
    <t>SOUTH BEN IND</t>
  </si>
  <si>
    <t>USSBO</t>
  </si>
  <si>
    <t>SALINA UT</t>
  </si>
  <si>
    <t>USSBP</t>
  </si>
  <si>
    <t>SBP</t>
  </si>
  <si>
    <t>USSBR</t>
  </si>
  <si>
    <t>SOUTH BOND-RAYMOND -WI</t>
  </si>
  <si>
    <t>USSBS</t>
  </si>
  <si>
    <t>STEAMBOAT COL</t>
  </si>
  <si>
    <t>USSBT</t>
  </si>
  <si>
    <t>SBT</t>
  </si>
  <si>
    <t>SAN BERNA CAL</t>
  </si>
  <si>
    <t>USSBX</t>
  </si>
  <si>
    <t>SBX</t>
  </si>
  <si>
    <t>SHELBY MONT</t>
  </si>
  <si>
    <t>USSBY</t>
  </si>
  <si>
    <t>SALISBURY - MD</t>
  </si>
  <si>
    <t>USSCB</t>
  </si>
  <si>
    <t>SCRIBNER NEB</t>
  </si>
  <si>
    <t>USSCC</t>
  </si>
  <si>
    <t>SCC</t>
  </si>
  <si>
    <t>DEADHORSE ALS</t>
  </si>
  <si>
    <t>USSCE</t>
  </si>
  <si>
    <t>STATE COLL PA</t>
  </si>
  <si>
    <t>USSCF</t>
  </si>
  <si>
    <t>USSCH</t>
  </si>
  <si>
    <t>SCHENECTAD NY</t>
  </si>
  <si>
    <t>USSCK</t>
  </si>
  <si>
    <t>SCK</t>
  </si>
  <si>
    <t>STOCKTON - CA</t>
  </si>
  <si>
    <t>USSCM</t>
  </si>
  <si>
    <t>SCM</t>
  </si>
  <si>
    <t>SCAMMON B ALS</t>
  </si>
  <si>
    <t>USSCO</t>
  </si>
  <si>
    <t>SCO</t>
  </si>
  <si>
    <t>SCOBEY - MT</t>
  </si>
  <si>
    <t>USSCR</t>
  </si>
  <si>
    <t>SCRANTON PA</t>
  </si>
  <si>
    <t>USSCV</t>
  </si>
  <si>
    <t>SCOTTSVILLE - KY</t>
  </si>
  <si>
    <t>USSCX</t>
  </si>
  <si>
    <t>SCHALLER - IA</t>
  </si>
  <si>
    <t>USSDA</t>
  </si>
  <si>
    <t>SAN DIMAS - CA</t>
  </si>
  <si>
    <t>USSDF</t>
  </si>
  <si>
    <t>USSDM</t>
  </si>
  <si>
    <t>USSDP</t>
  </si>
  <si>
    <t>SDP</t>
  </si>
  <si>
    <t>SAND POINT - AK</t>
  </si>
  <si>
    <t>USSDS</t>
  </si>
  <si>
    <t>SWEDESBORD - NJ</t>
  </si>
  <si>
    <t>USSDX</t>
  </si>
  <si>
    <t>SDX</t>
  </si>
  <si>
    <t>SEDONA ARI</t>
  </si>
  <si>
    <t>USSDY</t>
  </si>
  <si>
    <t>SDY</t>
  </si>
  <si>
    <t>SIDNEY - MT</t>
  </si>
  <si>
    <t>USSEA</t>
  </si>
  <si>
    <t>SEATTLE - WA</t>
  </si>
  <si>
    <t>USSEF</t>
  </si>
  <si>
    <t>SEF</t>
  </si>
  <si>
    <t>SEBRING FLA</t>
  </si>
  <si>
    <t>USSEG</t>
  </si>
  <si>
    <t>SELINSGROV PA</t>
  </si>
  <si>
    <t>USSEL</t>
  </si>
  <si>
    <t>SELBY - CA</t>
  </si>
  <si>
    <t>USSEN</t>
  </si>
  <si>
    <t>SENATOBIA - MS</t>
  </si>
  <si>
    <t>USSEP</t>
  </si>
  <si>
    <t>SEP</t>
  </si>
  <si>
    <t>STEPHENVI TEX</t>
  </si>
  <si>
    <t>USSER</t>
  </si>
  <si>
    <t>SEYMOUR IND</t>
  </si>
  <si>
    <t>USSES</t>
  </si>
  <si>
    <t>SELMA ALA</t>
  </si>
  <si>
    <t>USSEW</t>
  </si>
  <si>
    <t>SEWARD - AL</t>
  </si>
  <si>
    <t>USSFB</t>
  </si>
  <si>
    <t>SFB</t>
  </si>
  <si>
    <t>SANFORD FLA</t>
  </si>
  <si>
    <t>USSFF</t>
  </si>
  <si>
    <t>SFF</t>
  </si>
  <si>
    <t>STRAFFORD - MO</t>
  </si>
  <si>
    <t>USSFM</t>
  </si>
  <si>
    <t>SANFORD ME</t>
  </si>
  <si>
    <t>USSFN</t>
  </si>
  <si>
    <t>WOONSOCKET - RI</t>
  </si>
  <si>
    <t>USSFO</t>
  </si>
  <si>
    <t>SAN FRANCISCO - CA</t>
  </si>
  <si>
    <t>USSFR</t>
  </si>
  <si>
    <t>SFR</t>
  </si>
  <si>
    <t>SAN FERNA CAL</t>
  </si>
  <si>
    <t>USSFY</t>
  </si>
  <si>
    <t>SFY</t>
  </si>
  <si>
    <t>SPRINGFIELD - MA</t>
  </si>
  <si>
    <t>USSFZ</t>
  </si>
  <si>
    <t>SFZ</t>
  </si>
  <si>
    <t>SMITHFIELD - RI</t>
  </si>
  <si>
    <t>USSGF</t>
  </si>
  <si>
    <t>SGF</t>
  </si>
  <si>
    <t>SPRINGFIELD MO</t>
  </si>
  <si>
    <t>USSGH</t>
  </si>
  <si>
    <t>SPRINGFIEL OH</t>
  </si>
  <si>
    <t>USSGR</t>
  </si>
  <si>
    <t>USSGT</t>
  </si>
  <si>
    <t>STUTTGART ARK</t>
  </si>
  <si>
    <t>USSGU</t>
  </si>
  <si>
    <t>SAINT GEOR UT</t>
  </si>
  <si>
    <t>USSGW</t>
  </si>
  <si>
    <t>SAGINAW ALS</t>
  </si>
  <si>
    <t>USSGY</t>
  </si>
  <si>
    <t>SGY</t>
  </si>
  <si>
    <t>SKAGWAY - AK</t>
  </si>
  <si>
    <t>USSHD</t>
  </si>
  <si>
    <t>STAUNTON VA</t>
  </si>
  <si>
    <t>USSHG</t>
  </si>
  <si>
    <t>SHUNGNAK ALS</t>
  </si>
  <si>
    <t>USSHH</t>
  </si>
  <si>
    <t>SHISHMARE ALS</t>
  </si>
  <si>
    <t>USSHN</t>
  </si>
  <si>
    <t>SHELTON - WA</t>
  </si>
  <si>
    <t>USSHR</t>
  </si>
  <si>
    <t>SHERIDAN WYO</t>
  </si>
  <si>
    <t>USSHV</t>
  </si>
  <si>
    <t>SHV</t>
  </si>
  <si>
    <t>SHREVEPORT LA</t>
  </si>
  <si>
    <t>USSHW</t>
  </si>
  <si>
    <t>SHERWOOD - ND</t>
  </si>
  <si>
    <t>USSHX</t>
  </si>
  <si>
    <t>SHX</t>
  </si>
  <si>
    <t>SHAGELUK ALS</t>
  </si>
  <si>
    <t>USSIB</t>
  </si>
  <si>
    <t>SILVER BAY - MN</t>
  </si>
  <si>
    <t>USSIK</t>
  </si>
  <si>
    <t>SIKESTON MO</t>
  </si>
  <si>
    <t>USSIT</t>
  </si>
  <si>
    <t>SITKA - AK</t>
  </si>
  <si>
    <t>USSIV</t>
  </si>
  <si>
    <t>SIV</t>
  </si>
  <si>
    <t>SULLIVAN IND</t>
  </si>
  <si>
    <t>USSIX</t>
  </si>
  <si>
    <t>SUISUN - CA</t>
  </si>
  <si>
    <t>USSIY</t>
  </si>
  <si>
    <t>MONTAGUE CAL</t>
  </si>
  <si>
    <t>USSJC</t>
  </si>
  <si>
    <t>SJC</t>
  </si>
  <si>
    <t>SAN JOSE - CA</t>
  </si>
  <si>
    <t>USSJN</t>
  </si>
  <si>
    <t>SJN</t>
  </si>
  <si>
    <t>ST JOHN - ND</t>
  </si>
  <si>
    <t>USSJO</t>
  </si>
  <si>
    <t>USSJS</t>
  </si>
  <si>
    <t>ST JOSEPH - MS</t>
  </si>
  <si>
    <t>USSJT</t>
  </si>
  <si>
    <t>SJT</t>
  </si>
  <si>
    <t>SAN ANGEL TEX</t>
  </si>
  <si>
    <t>USSKJ</t>
  </si>
  <si>
    <t>SKJ</t>
  </si>
  <si>
    <t>SITKINAK ALS</t>
  </si>
  <si>
    <t>USSKK</t>
  </si>
  <si>
    <t>SHAKTOOL ALS</t>
  </si>
  <si>
    <t>USSKW</t>
  </si>
  <si>
    <t>SKWENTNA ALS</t>
  </si>
  <si>
    <t>USSKY</t>
  </si>
  <si>
    <t>SANDUSKY OH</t>
  </si>
  <si>
    <t>USSLB</t>
  </si>
  <si>
    <t>STORM LA IOWA</t>
  </si>
  <si>
    <t>USSLC</t>
  </si>
  <si>
    <t>SLC</t>
  </si>
  <si>
    <t>SALT LAKE CITY - UT</t>
  </si>
  <si>
    <t>USSLE</t>
  </si>
  <si>
    <t>SLE</t>
  </si>
  <si>
    <t>SALEM OR</t>
  </si>
  <si>
    <t>USSLG</t>
  </si>
  <si>
    <t>SILOAM SP ARK</t>
  </si>
  <si>
    <t>USSLI</t>
  </si>
  <si>
    <t>SAN LUIS - AZ</t>
  </si>
  <si>
    <t>USSLK</t>
  </si>
  <si>
    <t>SLK</t>
  </si>
  <si>
    <t>SARANAC LA NY</t>
  </si>
  <si>
    <t>USSLM</t>
  </si>
  <si>
    <t>SALEM - MA</t>
  </si>
  <si>
    <t>USSLN</t>
  </si>
  <si>
    <t>SLN</t>
  </si>
  <si>
    <t>SALINA KAN</t>
  </si>
  <si>
    <t>USSLO</t>
  </si>
  <si>
    <t>SALEM - IL</t>
  </si>
  <si>
    <t>USSLQ</t>
  </si>
  <si>
    <t>SLQ</t>
  </si>
  <si>
    <t>SLEETMUTE ALS</t>
  </si>
  <si>
    <t>USSLR</t>
  </si>
  <si>
    <t>SULPHUR TEX</t>
  </si>
  <si>
    <t>USSLT</t>
  </si>
  <si>
    <t>SLT</t>
  </si>
  <si>
    <t>SALIDA COL</t>
  </si>
  <si>
    <t>USSME</t>
  </si>
  <si>
    <t>SOMERSET KY</t>
  </si>
  <si>
    <t>USSMF</t>
  </si>
  <si>
    <t>SMITHFIELD - NC</t>
  </si>
  <si>
    <t>USSMK</t>
  </si>
  <si>
    <t>ST MICHAE ALS</t>
  </si>
  <si>
    <t>USSMN</t>
  </si>
  <si>
    <t>SALMON ID</t>
  </si>
  <si>
    <t>USSMO</t>
  </si>
  <si>
    <t>SANTA MONICA - CA</t>
  </si>
  <si>
    <t>USSMU</t>
  </si>
  <si>
    <t>SHEEP MOU ALS</t>
  </si>
  <si>
    <t>USSMX</t>
  </si>
  <si>
    <t>SMX</t>
  </si>
  <si>
    <t>SANTA MAR CAL</t>
  </si>
  <si>
    <t>USSNA</t>
  </si>
  <si>
    <t>USSNK</t>
  </si>
  <si>
    <t>SNYDER TEX</t>
  </si>
  <si>
    <t>USSNL</t>
  </si>
  <si>
    <t>SHAWNEE OK</t>
  </si>
  <si>
    <t>USSNP</t>
  </si>
  <si>
    <t>SNP</t>
  </si>
  <si>
    <t>SAINT PAU ALS</t>
  </si>
  <si>
    <t>USSNS</t>
  </si>
  <si>
    <t>SALINAS CAL</t>
  </si>
  <si>
    <t>USSNV</t>
  </si>
  <si>
    <t>SNV</t>
  </si>
  <si>
    <t>SANDERSVILLE - GA</t>
  </si>
  <si>
    <t>USSNY</t>
  </si>
  <si>
    <t>SNY</t>
  </si>
  <si>
    <t>SIDNEY - OH</t>
  </si>
  <si>
    <t>USSOD</t>
  </si>
  <si>
    <t>SODUS POINT - NY</t>
  </si>
  <si>
    <t>USSOG</t>
  </si>
  <si>
    <t>SOUTH BOSTONY - VA</t>
  </si>
  <si>
    <t>USSOH</t>
  </si>
  <si>
    <t>SOUTH HAVEN - MI</t>
  </si>
  <si>
    <t>USSOL</t>
  </si>
  <si>
    <t>SOLOMON ALS</t>
  </si>
  <si>
    <t>USSOP</t>
  </si>
  <si>
    <t>SOUTHERN NC</t>
  </si>
  <si>
    <t>USSOU</t>
  </si>
  <si>
    <t>STOUGHTON - MA</t>
  </si>
  <si>
    <t>USSOV</t>
  </si>
  <si>
    <t>SOV</t>
  </si>
  <si>
    <t>SELDOVIA ALS</t>
  </si>
  <si>
    <t>USSOW</t>
  </si>
  <si>
    <t>SHOW LOW ARI</t>
  </si>
  <si>
    <t>USSPA</t>
  </si>
  <si>
    <t>SPARTANBURG SC</t>
  </si>
  <si>
    <t>USSPB</t>
  </si>
  <si>
    <t>SAN PABLO BAY - CA</t>
  </si>
  <si>
    <t>USSPE</t>
  </si>
  <si>
    <t>SUN PRAIRIE - WI</t>
  </si>
  <si>
    <t>USSPF</t>
  </si>
  <si>
    <t>SPF</t>
  </si>
  <si>
    <t>SPEARFISH SD</t>
  </si>
  <si>
    <t>USSPI</t>
  </si>
  <si>
    <t>SPRINGFIE ILL</t>
  </si>
  <si>
    <t>USSPQ</t>
  </si>
  <si>
    <t>SAN PEDRO - CA</t>
  </si>
  <si>
    <t>USSPR</t>
  </si>
  <si>
    <t>SPENCER - MA</t>
  </si>
  <si>
    <t>USSPS</t>
  </si>
  <si>
    <t>WICHITA TEX</t>
  </si>
  <si>
    <t>USSPW</t>
  </si>
  <si>
    <t>SPW</t>
  </si>
  <si>
    <t>SPENCER - IA</t>
  </si>
  <si>
    <t>USSPX</t>
  </si>
  <si>
    <t>SPX</t>
  </si>
  <si>
    <t>USSPZ</t>
  </si>
  <si>
    <t>SPZ</t>
  </si>
  <si>
    <t>SPRINGDAL ARK</t>
  </si>
  <si>
    <t>USSQI</t>
  </si>
  <si>
    <t>SQI</t>
  </si>
  <si>
    <t>STERLING ILL</t>
  </si>
  <si>
    <t>USSQL</t>
  </si>
  <si>
    <t>SQL</t>
  </si>
  <si>
    <t>SAN CAROS CAL</t>
  </si>
  <si>
    <t>USSRC</t>
  </si>
  <si>
    <t>SRC</t>
  </si>
  <si>
    <t>SEARCY ARK</t>
  </si>
  <si>
    <t>USSRF</t>
  </si>
  <si>
    <t>SRF</t>
  </si>
  <si>
    <t>USSRP</t>
  </si>
  <si>
    <t>SEARSPORT - ME</t>
  </si>
  <si>
    <t>USSRQ</t>
  </si>
  <si>
    <t>SRQ</t>
  </si>
  <si>
    <t>SARASOTA FL</t>
  </si>
  <si>
    <t>USSRU</t>
  </si>
  <si>
    <t>SRU</t>
  </si>
  <si>
    <t>SANTA CRUZ - CA</t>
  </si>
  <si>
    <t>USSRV</t>
  </si>
  <si>
    <t>STONY RIV ALS</t>
  </si>
  <si>
    <t>USSRW</t>
  </si>
  <si>
    <t>SRW</t>
  </si>
  <si>
    <t>SALISBURY NC</t>
  </si>
  <si>
    <t>USSRZ</t>
  </si>
  <si>
    <t>SUNBURY - OH</t>
  </si>
  <si>
    <t>USSSC</t>
  </si>
  <si>
    <t>SSC</t>
  </si>
  <si>
    <t>SUMTER SC</t>
  </si>
  <si>
    <t>USSSF</t>
  </si>
  <si>
    <t>SSF</t>
  </si>
  <si>
    <t>SAN ANTON TEX</t>
  </si>
  <si>
    <t>USSSI</t>
  </si>
  <si>
    <t>BRUNSWICK - GA</t>
  </si>
  <si>
    <t>USSSM</t>
  </si>
  <si>
    <t>SAULT STE MARIE - MI</t>
  </si>
  <si>
    <t>USSSU</t>
  </si>
  <si>
    <t>SSU</t>
  </si>
  <si>
    <t>WHITE SULP WV</t>
  </si>
  <si>
    <t>USSSW</t>
  </si>
  <si>
    <t>SSW</t>
  </si>
  <si>
    <t>STUART ISLAND WA</t>
  </si>
  <si>
    <t>USSTA</t>
  </si>
  <si>
    <t>ST ALBANS - VT</t>
  </si>
  <si>
    <t>USSTC</t>
  </si>
  <si>
    <t>USSTE</t>
  </si>
  <si>
    <t>STEVENS WIS</t>
  </si>
  <si>
    <t>USSTG</t>
  </si>
  <si>
    <t>ST GEORGES ISLAND</t>
  </si>
  <si>
    <t>USSTH</t>
  </si>
  <si>
    <t>ST HELENS - OR</t>
  </si>
  <si>
    <t>USSTJ</t>
  </si>
  <si>
    <t>ST JOSEPH MO</t>
  </si>
  <si>
    <t>USSTK</t>
  </si>
  <si>
    <t>STERLING COL</t>
  </si>
  <si>
    <t>USSTL</t>
  </si>
  <si>
    <t>ST LOUIS - MO</t>
  </si>
  <si>
    <t>USSTP</t>
  </si>
  <si>
    <t>STP</t>
  </si>
  <si>
    <t>ST PAUL - MN</t>
  </si>
  <si>
    <t>USSTS</t>
  </si>
  <si>
    <t>SANTA ROS CAL</t>
  </si>
  <si>
    <t>USSUA</t>
  </si>
  <si>
    <t>STUART FLA</t>
  </si>
  <si>
    <t>USSUB</t>
  </si>
  <si>
    <t>SUISUN BAY - CA</t>
  </si>
  <si>
    <t>USSUC</t>
  </si>
  <si>
    <t>SUC</t>
  </si>
  <si>
    <t>SUNDANCE WYO</t>
  </si>
  <si>
    <t>USSUD</t>
  </si>
  <si>
    <t>STROUD OK</t>
  </si>
  <si>
    <t>USSUE</t>
  </si>
  <si>
    <t>STURGEON WIS</t>
  </si>
  <si>
    <t>USSUF</t>
  </si>
  <si>
    <t>SUFFOLK - VA</t>
  </si>
  <si>
    <t>USSUL</t>
  </si>
  <si>
    <t>PORT SULPHUR - LA</t>
  </si>
  <si>
    <t>USSUM</t>
  </si>
  <si>
    <t>STONE MOUNTAIN - GA</t>
  </si>
  <si>
    <t>USSUN</t>
  </si>
  <si>
    <t>HAILEY ID</t>
  </si>
  <si>
    <t>USSUO</t>
  </si>
  <si>
    <t>SUN RIVER OR</t>
  </si>
  <si>
    <t>USSUR</t>
  </si>
  <si>
    <t>USSUS</t>
  </si>
  <si>
    <t>SPIRIT OF ST LOUIS APT/ST LONIS-MO</t>
  </si>
  <si>
    <t>USSUT</t>
  </si>
  <si>
    <t>SUNNY POINT - NC</t>
  </si>
  <si>
    <t>USSUU</t>
  </si>
  <si>
    <t>FAIRFIELD CAL</t>
  </si>
  <si>
    <t>USSUW</t>
  </si>
  <si>
    <t>SUPERIOR WIS</t>
  </si>
  <si>
    <t>USSUX</t>
  </si>
  <si>
    <t>SUX</t>
  </si>
  <si>
    <t>SIOUX CI IOWA</t>
  </si>
  <si>
    <t>USSVA</t>
  </si>
  <si>
    <t>SAVOONGA ALS</t>
  </si>
  <si>
    <t>USSVC</t>
  </si>
  <si>
    <t>SVC</t>
  </si>
  <si>
    <t>SILVER NM</t>
  </si>
  <si>
    <t>USSVE</t>
  </si>
  <si>
    <t>SUSANVILL CAL</t>
  </si>
  <si>
    <t>USSVG</t>
  </si>
  <si>
    <t>SUWANEE</t>
  </si>
  <si>
    <t>USSVH</t>
  </si>
  <si>
    <t>SVH</t>
  </si>
  <si>
    <t>STATESVILLE - NC</t>
  </si>
  <si>
    <t>USSVS</t>
  </si>
  <si>
    <t>STEVENS ALS</t>
  </si>
  <si>
    <t>USSVW</t>
  </si>
  <si>
    <t>SVW</t>
  </si>
  <si>
    <t>SPARREVOH ALS</t>
  </si>
  <si>
    <t>USSWD</t>
  </si>
  <si>
    <t>SEWARD ALS</t>
  </si>
  <si>
    <t>USSWF</t>
  </si>
  <si>
    <t>SWF</t>
  </si>
  <si>
    <t>NEWBURGH NY</t>
  </si>
  <si>
    <t>USSWG</t>
  </si>
  <si>
    <t>SWEETGRASS - MT</t>
  </si>
  <si>
    <t>USSWI</t>
  </si>
  <si>
    <t>SWISSVALE - PA</t>
  </si>
  <si>
    <t>USSWO</t>
  </si>
  <si>
    <t>SWO</t>
  </si>
  <si>
    <t>STILLWATER OK</t>
  </si>
  <si>
    <t>USSWW</t>
  </si>
  <si>
    <t>SWW</t>
  </si>
  <si>
    <t>SWEETWATE TEX</t>
  </si>
  <si>
    <t>USSXF</t>
  </si>
  <si>
    <t>SAN MATEO - CA</t>
  </si>
  <si>
    <t>USSXP</t>
  </si>
  <si>
    <t>SXP</t>
  </si>
  <si>
    <t>SHELDON ALS</t>
  </si>
  <si>
    <t>USSXQ</t>
  </si>
  <si>
    <t>SXQ</t>
  </si>
  <si>
    <t>SOLDOTNA ALS</t>
  </si>
  <si>
    <t>USSXY</t>
  </si>
  <si>
    <t>SXY</t>
  </si>
  <si>
    <t>SIDNEY NY</t>
  </si>
  <si>
    <t>USSYA</t>
  </si>
  <si>
    <t>SHEMYA ALS</t>
  </si>
  <si>
    <t>USSYB</t>
  </si>
  <si>
    <t>SYB</t>
  </si>
  <si>
    <t>SEAL BAY ALS</t>
  </si>
  <si>
    <t>USSYH</t>
  </si>
  <si>
    <t>SHELBYVILLE IN</t>
  </si>
  <si>
    <t>USSYI</t>
  </si>
  <si>
    <t>SYI</t>
  </si>
  <si>
    <t>SHELBYVILLE TN</t>
  </si>
  <si>
    <t>USSYN</t>
  </si>
  <si>
    <t>SYN</t>
  </si>
  <si>
    <t>STANTON MIN</t>
  </si>
  <si>
    <t>USSYO</t>
  </si>
  <si>
    <t>SAN YSIDRO - CA</t>
  </si>
  <si>
    <t>USSYP</t>
  </si>
  <si>
    <t>SYP</t>
  </si>
  <si>
    <t>SANDY POINT - ME</t>
  </si>
  <si>
    <t>USSYR</t>
  </si>
  <si>
    <t>SYR</t>
  </si>
  <si>
    <t>SYRACUSE - NY</t>
  </si>
  <si>
    <t>USSYV</t>
  </si>
  <si>
    <t>SYV</t>
  </si>
  <si>
    <t>SYLVESTER GA</t>
  </si>
  <si>
    <t>USSZK</t>
  </si>
  <si>
    <t>SEYMOUR, CT</t>
  </si>
  <si>
    <t>USSZL</t>
  </si>
  <si>
    <t>SZL</t>
  </si>
  <si>
    <t>WARRENSBUR MO</t>
  </si>
  <si>
    <t>USSZP</t>
  </si>
  <si>
    <t>SZP</t>
  </si>
  <si>
    <t>SANTA PAU CAL</t>
  </si>
  <si>
    <t>USTAA</t>
  </si>
  <si>
    <t>TALLAPOOSA</t>
  </si>
  <si>
    <t>USTAD</t>
  </si>
  <si>
    <t>TRINIDAD COL</t>
  </si>
  <si>
    <t>USTAL</t>
  </si>
  <si>
    <t>TANANA ALS</t>
  </si>
  <si>
    <t>USTBC</t>
  </si>
  <si>
    <t>TUBA CITY ARI</t>
  </si>
  <si>
    <t>USTBN</t>
  </si>
  <si>
    <t>FORT LEONA MO</t>
  </si>
  <si>
    <t>USTBR</t>
  </si>
  <si>
    <t>STATESBORO - GA</t>
  </si>
  <si>
    <t>USTCC</t>
  </si>
  <si>
    <t>TUCUMCARI NM</t>
  </si>
  <si>
    <t>USTCH</t>
  </si>
  <si>
    <t>TACONITE HARBOUR -MN</t>
  </si>
  <si>
    <t>USTCL</t>
  </si>
  <si>
    <t>TCL</t>
  </si>
  <si>
    <t>TUSCALOOSA AL</t>
  </si>
  <si>
    <t>USTCM</t>
  </si>
  <si>
    <t>TCM</t>
  </si>
  <si>
    <t>SANTA CLARA - NM</t>
  </si>
  <si>
    <t>USTCS</t>
  </si>
  <si>
    <t>TCS</t>
  </si>
  <si>
    <t>TRUTH OR C NM</t>
  </si>
  <si>
    <t>USTDO</t>
  </si>
  <si>
    <t>TDO</t>
  </si>
  <si>
    <t>TOLEDO - WA</t>
  </si>
  <si>
    <t>USTDW</t>
  </si>
  <si>
    <t>TDW</t>
  </si>
  <si>
    <t>AMARILLO TEX</t>
  </si>
  <si>
    <t>USTEB</t>
  </si>
  <si>
    <t>TEB</t>
  </si>
  <si>
    <t>TETERBORO NJ</t>
  </si>
  <si>
    <t>USTEC</t>
  </si>
  <si>
    <t>TEC</t>
  </si>
  <si>
    <t>TECATE - CA</t>
  </si>
  <si>
    <t>USTEK</t>
  </si>
  <si>
    <t>TATITLEK ALS</t>
  </si>
  <si>
    <t>USTEO</t>
  </si>
  <si>
    <t>THEODORE - AL</t>
  </si>
  <si>
    <t>USTHA</t>
  </si>
  <si>
    <t>TULLAHOMA TEN</t>
  </si>
  <si>
    <t>USTHM</t>
  </si>
  <si>
    <t>THOMPSONFI MO</t>
  </si>
  <si>
    <t>USTHP</t>
  </si>
  <si>
    <t>THERMOPOL WYO</t>
  </si>
  <si>
    <t>USTHV</t>
  </si>
  <si>
    <t>THV</t>
  </si>
  <si>
    <t>YORK, PA</t>
  </si>
  <si>
    <t>USTIW</t>
  </si>
  <si>
    <t>TIW</t>
  </si>
  <si>
    <t>TACOMA - WA</t>
  </si>
  <si>
    <t>USTIX</t>
  </si>
  <si>
    <t>TIX</t>
  </si>
  <si>
    <t>TITUSVILL FLA</t>
  </si>
  <si>
    <t>TALKEETNA ALS</t>
  </si>
  <si>
    <t>USTKE</t>
  </si>
  <si>
    <t>TENAKEE S ALS</t>
  </si>
  <si>
    <t>USTKF</t>
  </si>
  <si>
    <t>TKF</t>
  </si>
  <si>
    <t>TRUCKEE CAL</t>
  </si>
  <si>
    <t>USTKJ</t>
  </si>
  <si>
    <t>TOK ALS</t>
  </si>
  <si>
    <t>USTKL</t>
  </si>
  <si>
    <t>TKL</t>
  </si>
  <si>
    <t>TAKU LODG ALS</t>
  </si>
  <si>
    <t>USTLA</t>
  </si>
  <si>
    <t>TLA</t>
  </si>
  <si>
    <t>TELLER ALS</t>
  </si>
  <si>
    <t>USTLH</t>
  </si>
  <si>
    <t>TLH</t>
  </si>
  <si>
    <t>TALLAHASS FLA</t>
  </si>
  <si>
    <t>USTLJ</t>
  </si>
  <si>
    <t>TLJ</t>
  </si>
  <si>
    <t>TATALINA ALS</t>
  </si>
  <si>
    <t>USTLR</t>
  </si>
  <si>
    <t>TLR</t>
  </si>
  <si>
    <t>TULARE CAL</t>
  </si>
  <si>
    <t>USTLT</t>
  </si>
  <si>
    <t>TLT</t>
  </si>
  <si>
    <t>TULUKSAK ALS</t>
  </si>
  <si>
    <t>USTMA</t>
  </si>
  <si>
    <t>TIFTON GA</t>
  </si>
  <si>
    <t>USTMB</t>
  </si>
  <si>
    <t>USTNC</t>
  </si>
  <si>
    <t>TNC</t>
  </si>
  <si>
    <t>TIN CITY ALS</t>
  </si>
  <si>
    <t>USTNK</t>
  </si>
  <si>
    <t>TUNUNAK ALS</t>
  </si>
  <si>
    <t>USTNP</t>
  </si>
  <si>
    <t>TNP</t>
  </si>
  <si>
    <t>TWENTYNIN CAL</t>
  </si>
  <si>
    <t>USTNU</t>
  </si>
  <si>
    <t>NEWTON IOWA</t>
  </si>
  <si>
    <t>USTOA</t>
  </si>
  <si>
    <t>TORRANCE CAL</t>
  </si>
  <si>
    <t>USTOC</t>
  </si>
  <si>
    <t>TOC</t>
  </si>
  <si>
    <t>TOCCOA GA</t>
  </si>
  <si>
    <t>USTOG</t>
  </si>
  <si>
    <t>TOGIAK VI ALS</t>
  </si>
  <si>
    <t>USTOI</t>
  </si>
  <si>
    <t>TROY ALA</t>
  </si>
  <si>
    <t>USTOL</t>
  </si>
  <si>
    <t>TOLEDO - OH</t>
  </si>
  <si>
    <t>USTOP</t>
  </si>
  <si>
    <t>TOPEKA KAN</t>
  </si>
  <si>
    <t>USTOR</t>
  </si>
  <si>
    <t>TORRINGTO WYO</t>
  </si>
  <si>
    <t>USTOT</t>
  </si>
  <si>
    <t>TOTOWA - NJ</t>
  </si>
  <si>
    <t>USTOX</t>
  </si>
  <si>
    <t>TREMONT - PA</t>
  </si>
  <si>
    <t>USTPA</t>
  </si>
  <si>
    <t>TPA</t>
  </si>
  <si>
    <t>TAMPA - FL</t>
  </si>
  <si>
    <t>USTPH</t>
  </si>
  <si>
    <t>TPH</t>
  </si>
  <si>
    <t>TONOPAH NEV</t>
  </si>
  <si>
    <t>USTPL</t>
  </si>
  <si>
    <t>TPL</t>
  </si>
  <si>
    <t>TEMPLE TEX</t>
  </si>
  <si>
    <t>USTPO</t>
  </si>
  <si>
    <t>TPO</t>
  </si>
  <si>
    <t>TANALIAN ALS</t>
  </si>
  <si>
    <t>USTRH</t>
  </si>
  <si>
    <t>TRONA CAL</t>
  </si>
  <si>
    <t>USTRI</t>
  </si>
  <si>
    <t>BRISTOL VA</t>
  </si>
  <si>
    <t>USTRL</t>
  </si>
  <si>
    <t>TRL</t>
  </si>
  <si>
    <t>TERRELL TEX</t>
  </si>
  <si>
    <t>USTRM</t>
  </si>
  <si>
    <t>THERMAL CAL</t>
  </si>
  <si>
    <t>USTRP</t>
  </si>
  <si>
    <t>TRP</t>
  </si>
  <si>
    <t>TREE POIN ALS</t>
  </si>
  <si>
    <t>USTRR</t>
  </si>
  <si>
    <t>TROUT RIVER - NY</t>
  </si>
  <si>
    <t>USTRT</t>
  </si>
  <si>
    <t>TREMONTON UT</t>
  </si>
  <si>
    <t>USTRX</t>
  </si>
  <si>
    <t>TRX</t>
  </si>
  <si>
    <t>TRENTON MO</t>
  </si>
  <si>
    <t>USTSG</t>
  </si>
  <si>
    <t>TANACROSS ALS</t>
  </si>
  <si>
    <t>USTSM</t>
  </si>
  <si>
    <t>TAOS NM</t>
  </si>
  <si>
    <t>USTSP</t>
  </si>
  <si>
    <t>TSP</t>
  </si>
  <si>
    <t>TEHACHAPI CAL</t>
  </si>
  <si>
    <t>USTSS</t>
  </si>
  <si>
    <t>NEW YORK NY</t>
  </si>
  <si>
    <t>USTTD</t>
  </si>
  <si>
    <t>TTD</t>
  </si>
  <si>
    <t>TROUTDALE OR</t>
  </si>
  <si>
    <t>USTTN</t>
  </si>
  <si>
    <t>TTN</t>
  </si>
  <si>
    <t>TRENTON NJ</t>
  </si>
  <si>
    <t>USTTO</t>
  </si>
  <si>
    <t>TTO</t>
  </si>
  <si>
    <t>BRITTON SD</t>
  </si>
  <si>
    <t>USTUL</t>
  </si>
  <si>
    <t>TUL</t>
  </si>
  <si>
    <t>TULSA - OK</t>
  </si>
  <si>
    <t>USTUP</t>
  </si>
  <si>
    <t>TUP</t>
  </si>
  <si>
    <t>TUPELO - MS</t>
  </si>
  <si>
    <t>USTUR</t>
  </si>
  <si>
    <t>TURNER - MT</t>
  </si>
  <si>
    <t>USTUS</t>
  </si>
  <si>
    <t>TUCSON ARI</t>
  </si>
  <si>
    <t>USTVC</t>
  </si>
  <si>
    <t>TVC</t>
  </si>
  <si>
    <t>TRAVERSE MIC</t>
  </si>
  <si>
    <t>USTVE</t>
  </si>
  <si>
    <t>THOMASVILLE - NC</t>
  </si>
  <si>
    <t>USTVF</t>
  </si>
  <si>
    <t>TVF</t>
  </si>
  <si>
    <t>THIEF RIV MIN</t>
  </si>
  <si>
    <t>USTVI</t>
  </si>
  <si>
    <t>TVI</t>
  </si>
  <si>
    <t>THOMASVILL GA</t>
  </si>
  <si>
    <t>USTVL</t>
  </si>
  <si>
    <t>TVL</t>
  </si>
  <si>
    <t>SOUTH LAK CAL</t>
  </si>
  <si>
    <t>USTWA</t>
  </si>
  <si>
    <t>TWIN HILL ALS</t>
  </si>
  <si>
    <t>USTWD</t>
  </si>
  <si>
    <t>TWD</t>
  </si>
  <si>
    <t>PORT TOWNSEND</t>
  </si>
  <si>
    <t>USTWE</t>
  </si>
  <si>
    <t>TWE</t>
  </si>
  <si>
    <t>TAYLOR ALS</t>
  </si>
  <si>
    <t>USTWF</t>
  </si>
  <si>
    <t>TWF</t>
  </si>
  <si>
    <t>TWIN FALLS ID</t>
  </si>
  <si>
    <t>USTWH</t>
  </si>
  <si>
    <t>TWH</t>
  </si>
  <si>
    <t>USTWS</t>
  </si>
  <si>
    <t>TWS</t>
  </si>
  <si>
    <t>TOWSON - MD</t>
  </si>
  <si>
    <t>USTXK</t>
  </si>
  <si>
    <t>TEXARKANA ARK</t>
  </si>
  <si>
    <t>USTXT</t>
  </si>
  <si>
    <t>TXT</t>
  </si>
  <si>
    <t>TEXAS CITY - TX</t>
  </si>
  <si>
    <t>USTYE</t>
  </si>
  <si>
    <t>TYE</t>
  </si>
  <si>
    <t>TYONEK ALS</t>
  </si>
  <si>
    <t>USTYM</t>
  </si>
  <si>
    <t>TYM</t>
  </si>
  <si>
    <t>TROY - MI</t>
  </si>
  <si>
    <t>USTYR</t>
  </si>
  <si>
    <t>TYLER TEX</t>
  </si>
  <si>
    <t>USTYS</t>
  </si>
  <si>
    <t>TYS</t>
  </si>
  <si>
    <t>KNOXVILLE - TN</t>
  </si>
  <si>
    <t>USTYZ</t>
  </si>
  <si>
    <t>TYZ</t>
  </si>
  <si>
    <t>TAYLOR ARI</t>
  </si>
  <si>
    <t>USUAK</t>
  </si>
  <si>
    <t>CARLSTADT - NJ</t>
  </si>
  <si>
    <t>USUBC</t>
  </si>
  <si>
    <t>UBC</t>
  </si>
  <si>
    <t>ALSIP - IL</t>
  </si>
  <si>
    <t>USUBS</t>
  </si>
  <si>
    <t>UBS</t>
  </si>
  <si>
    <t>COLUMBUS - MI</t>
  </si>
  <si>
    <t>USUCA</t>
  </si>
  <si>
    <t>UCA</t>
  </si>
  <si>
    <t>UTICA - NY</t>
  </si>
  <si>
    <t>USUCC</t>
  </si>
  <si>
    <t>UCC</t>
  </si>
  <si>
    <t>YUCCA FLA NEV</t>
  </si>
  <si>
    <t>USUCE</t>
  </si>
  <si>
    <t>UCE</t>
  </si>
  <si>
    <t>EUNICE LA</t>
  </si>
  <si>
    <t>USUCY</t>
  </si>
  <si>
    <t>UCY</t>
  </si>
  <si>
    <t>UNION CIT TEN</t>
  </si>
  <si>
    <t>USUES</t>
  </si>
  <si>
    <t>UES</t>
  </si>
  <si>
    <t>WAUKESHA WIS</t>
  </si>
  <si>
    <t>USUGI</t>
  </si>
  <si>
    <t>UGI</t>
  </si>
  <si>
    <t>UGANIK ALS</t>
  </si>
  <si>
    <t>USUGN</t>
  </si>
  <si>
    <t>UGN</t>
  </si>
  <si>
    <t>WAUKEGAN ILL</t>
  </si>
  <si>
    <t>USUIL</t>
  </si>
  <si>
    <t>UIL</t>
  </si>
  <si>
    <t>QUILLAYUTE - WA</t>
  </si>
  <si>
    <t>USUIN</t>
  </si>
  <si>
    <t>UIN</t>
  </si>
  <si>
    <t>QUINCY ILL</t>
  </si>
  <si>
    <t>USUIZ</t>
  </si>
  <si>
    <t>UIZ</t>
  </si>
  <si>
    <t>UTICA MIC</t>
  </si>
  <si>
    <t>USUKI</t>
  </si>
  <si>
    <t>UKIAH CAL</t>
  </si>
  <si>
    <t>USUKN</t>
  </si>
  <si>
    <t>WAUKON IOWA</t>
  </si>
  <si>
    <t>USUKT</t>
  </si>
  <si>
    <t>QUAKERTOWN PA</t>
  </si>
  <si>
    <t>USULM</t>
  </si>
  <si>
    <t>NEW ULM MIN</t>
  </si>
  <si>
    <t>USUMB</t>
  </si>
  <si>
    <t>UMNAK ISL ALS</t>
  </si>
  <si>
    <t>USUMM</t>
  </si>
  <si>
    <t>UMM</t>
  </si>
  <si>
    <t>SUMMIT ALS</t>
  </si>
  <si>
    <t>USUMT</t>
  </si>
  <si>
    <t>UMT</t>
  </si>
  <si>
    <t>UMIAT ALS</t>
  </si>
  <si>
    <t>USUNU</t>
  </si>
  <si>
    <t>JUNEAU WIS</t>
  </si>
  <si>
    <t>USUOS</t>
  </si>
  <si>
    <t>UOS</t>
  </si>
  <si>
    <t>SEWANEE TEN</t>
  </si>
  <si>
    <t>USUOX</t>
  </si>
  <si>
    <t>UOX</t>
  </si>
  <si>
    <t>OXFORD MIS</t>
  </si>
  <si>
    <t>USUPP</t>
  </si>
  <si>
    <t>UPOLU POINT HI</t>
  </si>
  <si>
    <t>USUQE</t>
  </si>
  <si>
    <t>UQE</t>
  </si>
  <si>
    <t>QUEEN ALS</t>
  </si>
  <si>
    <t>USUSH</t>
  </si>
  <si>
    <t>MUSCLE SHOALS</t>
  </si>
  <si>
    <t>USUST</t>
  </si>
  <si>
    <t>ST AUGUSTIN</t>
  </si>
  <si>
    <t>USUTB</t>
  </si>
  <si>
    <t>BLOUNTSVILLE - AL</t>
  </si>
  <si>
    <t>USUTO</t>
  </si>
  <si>
    <t>UTOPIA CR ALS</t>
  </si>
  <si>
    <t>USUUK</t>
  </si>
  <si>
    <t>UUK</t>
  </si>
  <si>
    <t>KUPARUK ALS</t>
  </si>
  <si>
    <t>USUVA</t>
  </si>
  <si>
    <t>UVA</t>
  </si>
  <si>
    <t>UVALDE TEX</t>
  </si>
  <si>
    <t>USUWA</t>
  </si>
  <si>
    <t>WARE MAS</t>
  </si>
  <si>
    <t>USUXN</t>
  </si>
  <si>
    <t>UXN</t>
  </si>
  <si>
    <t>NORCROSS - GA</t>
  </si>
  <si>
    <t>USUYK</t>
  </si>
  <si>
    <t>UYK</t>
  </si>
  <si>
    <t>SECAUCUS - NJ</t>
  </si>
  <si>
    <t>USUYR</t>
  </si>
  <si>
    <t>UYR</t>
  </si>
  <si>
    <t>SANTA FE SPRINGS-CA</t>
  </si>
  <si>
    <t>USUZD</t>
  </si>
  <si>
    <t>UZD</t>
  </si>
  <si>
    <t>TARBORO - NC</t>
  </si>
  <si>
    <t>USUZJ</t>
  </si>
  <si>
    <t>UZJ</t>
  </si>
  <si>
    <t>WEBSTER, NY</t>
  </si>
  <si>
    <t>USVAB</t>
  </si>
  <si>
    <t>VAB</t>
  </si>
  <si>
    <t>VIRGINIA BEACH</t>
  </si>
  <si>
    <t>USVAK</t>
  </si>
  <si>
    <t>CHEVAK ALS</t>
  </si>
  <si>
    <t>USVAL</t>
  </si>
  <si>
    <t>VALDESE - NC</t>
  </si>
  <si>
    <t>USVAN</t>
  </si>
  <si>
    <t>VANCOUVER - WA</t>
  </si>
  <si>
    <t>USVBN</t>
  </si>
  <si>
    <t>VBN</t>
  </si>
  <si>
    <t>VAN BUREN - ME</t>
  </si>
  <si>
    <t>USVBO</t>
  </si>
  <si>
    <t>VBO</t>
  </si>
  <si>
    <t>VANCEBORO - ME</t>
  </si>
  <si>
    <t>USVCT</t>
  </si>
  <si>
    <t>VCT</t>
  </si>
  <si>
    <t>VICTORIA TEX</t>
  </si>
  <si>
    <t>USVCV</t>
  </si>
  <si>
    <t>VCV</t>
  </si>
  <si>
    <t>VICTORVIL CAL</t>
  </si>
  <si>
    <t>USVCX</t>
  </si>
  <si>
    <t>VCX</t>
  </si>
  <si>
    <t>VACAVILLE - CA</t>
  </si>
  <si>
    <t>USVDI</t>
  </si>
  <si>
    <t>VDI</t>
  </si>
  <si>
    <t>VIDALIA</t>
  </si>
  <si>
    <t>USVDZ</t>
  </si>
  <si>
    <t>VDZ</t>
  </si>
  <si>
    <t>VALDEZ - AK</t>
  </si>
  <si>
    <t>USVEE</t>
  </si>
  <si>
    <t>VEE</t>
  </si>
  <si>
    <t>VENETIE ALS</t>
  </si>
  <si>
    <t>USVEL</t>
  </si>
  <si>
    <t>VERNAL UT</t>
  </si>
  <si>
    <t>USVEN</t>
  </si>
  <si>
    <t>VERNON - AL</t>
  </si>
  <si>
    <t>USVHN</t>
  </si>
  <si>
    <t>VHN</t>
  </si>
  <si>
    <t>VAN HORN TEX</t>
  </si>
  <si>
    <t>USVIH</t>
  </si>
  <si>
    <t>VIH</t>
  </si>
  <si>
    <t>VICHY MO</t>
  </si>
  <si>
    <t>USVIK</t>
  </si>
  <si>
    <t>VIK</t>
  </si>
  <si>
    <t>KAVIK ALS</t>
  </si>
  <si>
    <t>USVIS</t>
  </si>
  <si>
    <t>VISALIA CAL</t>
  </si>
  <si>
    <t>USVKS</t>
  </si>
  <si>
    <t>VKS</t>
  </si>
  <si>
    <t>VICKSBURG MIS</t>
  </si>
  <si>
    <t>USVKW</t>
  </si>
  <si>
    <t>VKW</t>
  </si>
  <si>
    <t>WEST KAVI ALS</t>
  </si>
  <si>
    <t>USVLA</t>
  </si>
  <si>
    <t>VANDALIA ILL</t>
  </si>
  <si>
    <t>USVLD</t>
  </si>
  <si>
    <t>VLD</t>
  </si>
  <si>
    <t>VALDOSTA - GA</t>
  </si>
  <si>
    <t>USVLE</t>
  </si>
  <si>
    <t>VLE</t>
  </si>
  <si>
    <t>VALLE ARI</t>
  </si>
  <si>
    <t>USVLH</t>
  </si>
  <si>
    <t>VLH</t>
  </si>
  <si>
    <t>WALHALLA - ND</t>
  </si>
  <si>
    <t>USVLO</t>
  </si>
  <si>
    <t>VALLEJO - CA</t>
  </si>
  <si>
    <t>USVNC</t>
  </si>
  <si>
    <t>VNC</t>
  </si>
  <si>
    <t>VENICE FLA</t>
  </si>
  <si>
    <t>USVNY</t>
  </si>
  <si>
    <t>VNY</t>
  </si>
  <si>
    <t>LOS ANGEL CAL</t>
  </si>
  <si>
    <t>USVOK</t>
  </si>
  <si>
    <t>VOK</t>
  </si>
  <si>
    <t>CAMP DOUG WIS</t>
  </si>
  <si>
    <t>USVPS</t>
  </si>
  <si>
    <t>VPS</t>
  </si>
  <si>
    <t>VALPARAIS FLA</t>
  </si>
  <si>
    <t>USVPZ</t>
  </si>
  <si>
    <t>VPZ</t>
  </si>
  <si>
    <t>VALPARAIS IND</t>
  </si>
  <si>
    <t>USVRB</t>
  </si>
  <si>
    <t>VRB</t>
  </si>
  <si>
    <t>VERO BEAC FLA</t>
  </si>
  <si>
    <t>USVRS</t>
  </si>
  <si>
    <t>VRS</t>
  </si>
  <si>
    <t>VERSAILLES MO</t>
  </si>
  <si>
    <t>USVSF</t>
  </si>
  <si>
    <t>VSF</t>
  </si>
  <si>
    <t>SPRINGFIEL VT</t>
  </si>
  <si>
    <t>USVTN</t>
  </si>
  <si>
    <t>VTN</t>
  </si>
  <si>
    <t>VALENTINE NEB</t>
  </si>
  <si>
    <t>USWAA</t>
  </si>
  <si>
    <t>WAA</t>
  </si>
  <si>
    <t>WALES ALS</t>
  </si>
  <si>
    <t>USWAH</t>
  </si>
  <si>
    <t>WAH</t>
  </si>
  <si>
    <t>WAHPETON ND</t>
  </si>
  <si>
    <t>USWAR</t>
  </si>
  <si>
    <t>WARROAD - ND</t>
  </si>
  <si>
    <t>USWAS</t>
  </si>
  <si>
    <t>WASHINGTON - DC</t>
  </si>
  <si>
    <t>USWAY</t>
  </si>
  <si>
    <t>WAY</t>
  </si>
  <si>
    <t>WAYNESBURG PA</t>
  </si>
  <si>
    <t>USWBB</t>
  </si>
  <si>
    <t>WBB</t>
  </si>
  <si>
    <t>STEBBINS ALS</t>
  </si>
  <si>
    <t>USWBQ</t>
  </si>
  <si>
    <t>WBQ</t>
  </si>
  <si>
    <t>BEAVER ALS</t>
  </si>
  <si>
    <t>USWBR</t>
  </si>
  <si>
    <t>WBR</t>
  </si>
  <si>
    <t>BIG RAPID MIC</t>
  </si>
  <si>
    <t>USWBU</t>
  </si>
  <si>
    <t>WBU</t>
  </si>
  <si>
    <t>BOULDER COL</t>
  </si>
  <si>
    <t>USWCI</t>
  </si>
  <si>
    <t>WCI</t>
  </si>
  <si>
    <t>WEST CHICAGO - IL</t>
  </si>
  <si>
    <t>USWCR</t>
  </si>
  <si>
    <t>WCR</t>
  </si>
  <si>
    <t>CHANDALAR ALS</t>
  </si>
  <si>
    <t>USWCS</t>
  </si>
  <si>
    <t>WCS</t>
  </si>
  <si>
    <t>WINCHESTER</t>
  </si>
  <si>
    <t>USWD3</t>
  </si>
  <si>
    <t>WD3</t>
  </si>
  <si>
    <t>WEED</t>
  </si>
  <si>
    <t>USWDB</t>
  </si>
  <si>
    <t>WDB</t>
  </si>
  <si>
    <t>DEEP BAY ALS</t>
  </si>
  <si>
    <t>USWDG</t>
  </si>
  <si>
    <t>WDG</t>
  </si>
  <si>
    <t>ENID OK</t>
  </si>
  <si>
    <t>USWDQ</t>
  </si>
  <si>
    <t>WDQ</t>
  </si>
  <si>
    <t>WOODLAND - CA</t>
  </si>
  <si>
    <t>USWDR</t>
  </si>
  <si>
    <t>WDR</t>
  </si>
  <si>
    <t>WINDER GA</t>
  </si>
  <si>
    <t>USWEA</t>
  </si>
  <si>
    <t>WEATHERFO TEX</t>
  </si>
  <si>
    <t>USWFH</t>
  </si>
  <si>
    <t>WFH</t>
  </si>
  <si>
    <t>WANDO - SC</t>
  </si>
  <si>
    <t>USWGO</t>
  </si>
  <si>
    <t>WGO</t>
  </si>
  <si>
    <t>WINCHESTER VA</t>
  </si>
  <si>
    <t>USWHD</t>
  </si>
  <si>
    <t>WHD</t>
  </si>
  <si>
    <t>HYDER ALS</t>
  </si>
  <si>
    <t>USWHH</t>
  </si>
  <si>
    <t>WHH</t>
  </si>
  <si>
    <t>USWHL</t>
  </si>
  <si>
    <t>WHL</t>
  </si>
  <si>
    <t>WHITLASH - MT</t>
  </si>
  <si>
    <t>USWHP</t>
  </si>
  <si>
    <t>WHP</t>
  </si>
  <si>
    <t>WESTHOPE - ND</t>
  </si>
  <si>
    <t>USWHS</t>
  </si>
  <si>
    <t>WHS</t>
  </si>
  <si>
    <t>WHITETAIL - MT</t>
  </si>
  <si>
    <t>USWHT</t>
  </si>
  <si>
    <t>WHARTON - TX</t>
  </si>
  <si>
    <t>USWIB</t>
  </si>
  <si>
    <t>WILLOW BROOK - IL</t>
  </si>
  <si>
    <t>USWIN</t>
  </si>
  <si>
    <t>USWIP</t>
  </si>
  <si>
    <t>WIP</t>
  </si>
  <si>
    <t>WILLS POINT - NJ</t>
  </si>
  <si>
    <t>USWIR</t>
  </si>
  <si>
    <t>WILLIAMETTE RIVER -OR</t>
  </si>
  <si>
    <t>USWJF</t>
  </si>
  <si>
    <t>WJF</t>
  </si>
  <si>
    <t>LANCASTER CAL</t>
  </si>
  <si>
    <t>USWJX</t>
  </si>
  <si>
    <t>WJX</t>
  </si>
  <si>
    <t>WILSONVILLE - OR</t>
  </si>
  <si>
    <t>USWKK</t>
  </si>
  <si>
    <t>WKK</t>
  </si>
  <si>
    <t>ALEKNAGIK ALS</t>
  </si>
  <si>
    <t>USWLB</t>
  </si>
  <si>
    <t>WLB</t>
  </si>
  <si>
    <t>LABOUCHER ALS</t>
  </si>
  <si>
    <t>USWLD</t>
  </si>
  <si>
    <t>WLD</t>
  </si>
  <si>
    <t>WINFIELD KAN</t>
  </si>
  <si>
    <t>USWLK</t>
  </si>
  <si>
    <t>SELAWIK ALS</t>
  </si>
  <si>
    <t>USWLN</t>
  </si>
  <si>
    <t>WLN</t>
  </si>
  <si>
    <t>LITTLE NA ALS</t>
  </si>
  <si>
    <t>USWLR</t>
  </si>
  <si>
    <t>WLR</t>
  </si>
  <si>
    <t>LORING ALS</t>
  </si>
  <si>
    <t>USWLW</t>
  </si>
  <si>
    <t>WLW</t>
  </si>
  <si>
    <t>WILLOWS CAL</t>
  </si>
  <si>
    <t>USWMC</t>
  </si>
  <si>
    <t>WMC</t>
  </si>
  <si>
    <t>WINNEMUCC NEV</t>
  </si>
  <si>
    <t>USWMH</t>
  </si>
  <si>
    <t>WMH</t>
  </si>
  <si>
    <t>MOUNTAIN HOME AR</t>
  </si>
  <si>
    <t>USWMK</t>
  </si>
  <si>
    <t>WMK</t>
  </si>
  <si>
    <t>MEYERS CH ALS</t>
  </si>
  <si>
    <t>USWMO</t>
  </si>
  <si>
    <t>WMO</t>
  </si>
  <si>
    <t>WHITE MOUNTAIN ALS</t>
  </si>
  <si>
    <t>USWNA</t>
  </si>
  <si>
    <t>NAPAKIAK ALS</t>
  </si>
  <si>
    <t>USWNC</t>
  </si>
  <si>
    <t>WNC</t>
  </si>
  <si>
    <t>TUXEKAN I ALS</t>
  </si>
  <si>
    <t>USWOW</t>
  </si>
  <si>
    <t>WOW</t>
  </si>
  <si>
    <t>WILLOW ALS</t>
  </si>
  <si>
    <t>USWPO</t>
  </si>
  <si>
    <t>WPO</t>
  </si>
  <si>
    <t>PAONIA COL</t>
  </si>
  <si>
    <t>USWPT</t>
  </si>
  <si>
    <t>WESTPORT - CA</t>
  </si>
  <si>
    <t>USWRD</t>
  </si>
  <si>
    <t>WRD</t>
  </si>
  <si>
    <t>WEST REDDING - CT</t>
  </si>
  <si>
    <t>USWRG</t>
  </si>
  <si>
    <t>WRG</t>
  </si>
  <si>
    <t>WRANGELL - AK</t>
  </si>
  <si>
    <t>USWRI</t>
  </si>
  <si>
    <t>WRI</t>
  </si>
  <si>
    <t>FORT DIXON NJ</t>
  </si>
  <si>
    <t>USWRL</t>
  </si>
  <si>
    <t>WRL</t>
  </si>
  <si>
    <t>WORLAND WYO</t>
  </si>
  <si>
    <t>USWRN</t>
  </si>
  <si>
    <t>WARREN - OH</t>
  </si>
  <si>
    <t>USWSB</t>
  </si>
  <si>
    <t>STEAMBOAT ALS</t>
  </si>
  <si>
    <t>USWSD</t>
  </si>
  <si>
    <t>WSD</t>
  </si>
  <si>
    <t>WHITE SAND NM</t>
  </si>
  <si>
    <t>USWSF</t>
  </si>
  <si>
    <t>WSF</t>
  </si>
  <si>
    <t>SARICHEF ALS</t>
  </si>
  <si>
    <t>USWSG</t>
  </si>
  <si>
    <t>WSG</t>
  </si>
  <si>
    <t>WASHINGTON PA</t>
  </si>
  <si>
    <t>USWSH</t>
  </si>
  <si>
    <t>WSH</t>
  </si>
  <si>
    <t>SHIRLEY NY</t>
  </si>
  <si>
    <t>USWSJ</t>
  </si>
  <si>
    <t>WSJ</t>
  </si>
  <si>
    <t>SAN JUAN ALS</t>
  </si>
  <si>
    <t>USWSN</t>
  </si>
  <si>
    <t>WSN</t>
  </si>
  <si>
    <t>SOUTH NAK ALS</t>
  </si>
  <si>
    <t>USWSS</t>
  </si>
  <si>
    <t>WSS</t>
  </si>
  <si>
    <t>WEST SALEM</t>
  </si>
  <si>
    <t>USWST</t>
  </si>
  <si>
    <t>WST</t>
  </si>
  <si>
    <t>WESTERLY RI</t>
  </si>
  <si>
    <t>USWTC</t>
  </si>
  <si>
    <t>WTC</t>
  </si>
  <si>
    <t>USWTK</t>
  </si>
  <si>
    <t>WTK</t>
  </si>
  <si>
    <t>NOATAK ALS</t>
  </si>
  <si>
    <t>USWTL</t>
  </si>
  <si>
    <t>WTL</t>
  </si>
  <si>
    <t>TUNTUTULIAK AK</t>
  </si>
  <si>
    <t>USWTN</t>
  </si>
  <si>
    <t>WILMINGTON - CA</t>
  </si>
  <si>
    <t>USWTO</t>
  </si>
  <si>
    <t>WTO</t>
  </si>
  <si>
    <t>WARRENTON - OR</t>
  </si>
  <si>
    <t>USWTR</t>
  </si>
  <si>
    <t>WTR</t>
  </si>
  <si>
    <t>WHITE RIV ARI</t>
  </si>
  <si>
    <t>USWVI</t>
  </si>
  <si>
    <t>WVI</t>
  </si>
  <si>
    <t>WATSONVIL CAL</t>
  </si>
  <si>
    <t>USWVL</t>
  </si>
  <si>
    <t>WVL</t>
  </si>
  <si>
    <t>WATERVILLE ME</t>
  </si>
  <si>
    <t>USWWA</t>
  </si>
  <si>
    <t>WASILLA ALS</t>
  </si>
  <si>
    <t>USWWD</t>
  </si>
  <si>
    <t>WWD</t>
  </si>
  <si>
    <t>WILDWOOD NJ</t>
  </si>
  <si>
    <t>USWWL</t>
  </si>
  <si>
    <t>WWL</t>
  </si>
  <si>
    <t>WILLIAMSTON</t>
  </si>
  <si>
    <t>USWWO</t>
  </si>
  <si>
    <t>WWO</t>
  </si>
  <si>
    <t>WESTWEGO - LA</t>
  </si>
  <si>
    <t>USWWP</t>
  </si>
  <si>
    <t>WWP</t>
  </si>
  <si>
    <t>WHALE PAS ALS</t>
  </si>
  <si>
    <t>USWWR</t>
  </si>
  <si>
    <t>WWR</t>
  </si>
  <si>
    <t>WOODWARD OK</t>
  </si>
  <si>
    <t>USWWT</t>
  </si>
  <si>
    <t>WWT</t>
  </si>
  <si>
    <t>NEWTOK ALS</t>
  </si>
  <si>
    <t>USWXD</t>
  </si>
  <si>
    <t>WXD</t>
  </si>
  <si>
    <t>WEXFORD - PA</t>
  </si>
  <si>
    <t>USWYS</t>
  </si>
  <si>
    <t>WYS</t>
  </si>
  <si>
    <t>WEST YEL MONT</t>
  </si>
  <si>
    <t>USXCP</t>
  </si>
  <si>
    <t>XCP</t>
  </si>
  <si>
    <t>BOONE - NC</t>
  </si>
  <si>
    <t>USXDH</t>
  </si>
  <si>
    <t>XDH</t>
  </si>
  <si>
    <t>BERWICK - PA</t>
  </si>
  <si>
    <t>USXEA</t>
  </si>
  <si>
    <t>XEA</t>
  </si>
  <si>
    <t>CONCORD - NC</t>
  </si>
  <si>
    <t>USXES</t>
  </si>
  <si>
    <t>XES</t>
  </si>
  <si>
    <t>LAKE GENE WIS</t>
  </si>
  <si>
    <t>USXFR</t>
  </si>
  <si>
    <t>XFR</t>
  </si>
  <si>
    <t>FONTANA - CA</t>
  </si>
  <si>
    <t>USXHO</t>
  </si>
  <si>
    <t>XHO</t>
  </si>
  <si>
    <t>LONG ISLAND CITY, NY</t>
  </si>
  <si>
    <t>USXHS</t>
  </si>
  <si>
    <t>LANGHORNE - PA</t>
  </si>
  <si>
    <t>USXIO</t>
  </si>
  <si>
    <t>XIO</t>
  </si>
  <si>
    <t>MORRISVILLE - PA</t>
  </si>
  <si>
    <t>USXLN</t>
  </si>
  <si>
    <t>XLN</t>
  </si>
  <si>
    <t>SOUTH BRUNSWICK - NJ</t>
  </si>
  <si>
    <t>USXMD</t>
  </si>
  <si>
    <t>XMD</t>
  </si>
  <si>
    <t>MADISON SD</t>
  </si>
  <si>
    <t>USXMH</t>
  </si>
  <si>
    <t>SUMNER - WA</t>
  </si>
  <si>
    <t>USXNX</t>
  </si>
  <si>
    <t>XNX</t>
  </si>
  <si>
    <t>WALKERSVILLE</t>
  </si>
  <si>
    <t>USXPR</t>
  </si>
  <si>
    <t>XPR</t>
  </si>
  <si>
    <t>PINE RIDGE SD</t>
  </si>
  <si>
    <t>USXPU</t>
  </si>
  <si>
    <t>XPU</t>
  </si>
  <si>
    <t>WEST KUPA ALS</t>
  </si>
  <si>
    <t>USXRD</t>
  </si>
  <si>
    <t>XRD</t>
  </si>
  <si>
    <t>CROSSROADS - GA</t>
  </si>
  <si>
    <t>USXSM</t>
  </si>
  <si>
    <t>ST MARYS MD</t>
  </si>
  <si>
    <t>USXWN</t>
  </si>
  <si>
    <t>XWN</t>
  </si>
  <si>
    <t>WINDSOR</t>
  </si>
  <si>
    <t>USYAK</t>
  </si>
  <si>
    <t>YAK</t>
  </si>
  <si>
    <t>YAKUTAT - AL</t>
  </si>
  <si>
    <t>USYES</t>
  </si>
  <si>
    <t>MYERSTOWN - PA</t>
  </si>
  <si>
    <t>USYKM</t>
  </si>
  <si>
    <t>YKM</t>
  </si>
  <si>
    <t>YAKIMA - WA</t>
  </si>
  <si>
    <t>USYKN</t>
  </si>
  <si>
    <t>YKN</t>
  </si>
  <si>
    <t>YANKTON SD</t>
  </si>
  <si>
    <t>USYNG</t>
  </si>
  <si>
    <t>YOUNGSTOWN - OH</t>
  </si>
  <si>
    <t>USYON</t>
  </si>
  <si>
    <t>YON</t>
  </si>
  <si>
    <t>YONKERS - NY</t>
  </si>
  <si>
    <t>USYUM</t>
  </si>
  <si>
    <t>YUM</t>
  </si>
  <si>
    <t>YUMA ARI</t>
  </si>
  <si>
    <t>USZGG</t>
  </si>
  <si>
    <t>ZGG</t>
  </si>
  <si>
    <t>BEGGS - OK</t>
  </si>
  <si>
    <t>USZNC</t>
  </si>
  <si>
    <t>ZNC</t>
  </si>
  <si>
    <t>NYAC AK</t>
  </si>
  <si>
    <t>USZPH</t>
  </si>
  <si>
    <t>ZPH</t>
  </si>
  <si>
    <t>ZEPHYRHIL FLA</t>
  </si>
  <si>
    <t>USZZV</t>
  </si>
  <si>
    <t>ZZV</t>
  </si>
  <si>
    <t>ZANESVILLE OH</t>
  </si>
  <si>
    <t>USZZZ</t>
  </si>
  <si>
    <t>AEX</t>
  </si>
  <si>
    <t>FORT WORTH ALLIANCE AIRPORT</t>
  </si>
  <si>
    <t>AFW</t>
  </si>
  <si>
    <t>AGC</t>
  </si>
  <si>
    <t>AHD</t>
  </si>
  <si>
    <t>BURKE LAKEFRONT</t>
  </si>
  <si>
    <t>BRUNSWICK GA</t>
  </si>
  <si>
    <t>BQK</t>
  </si>
  <si>
    <t>BZS</t>
  </si>
  <si>
    <t xml:space="preserve">WACO TEX            </t>
  </si>
  <si>
    <t xml:space="preserve">USA  </t>
  </si>
  <si>
    <t>EIELSON AIR FORCE BASE</t>
  </si>
  <si>
    <t>FITZGERALD MUNICIPALAIRPORT</t>
  </si>
  <si>
    <t>FYG</t>
  </si>
  <si>
    <t>GREENVILLE SC</t>
  </si>
  <si>
    <t>GDC</t>
  </si>
  <si>
    <t>GMU</t>
  </si>
  <si>
    <t>KILLEEN-FORT HOODREGIONAL AIR</t>
  </si>
  <si>
    <t>HIF</t>
  </si>
  <si>
    <t xml:space="preserve">HOUSTON - WILLIAM P.  HOBBY        </t>
  </si>
  <si>
    <t>CHESAPEAKE OH</t>
  </si>
  <si>
    <t>HTW</t>
  </si>
  <si>
    <t>JAJ</t>
  </si>
  <si>
    <t>KAPALUA</t>
  </si>
  <si>
    <t>JHM</t>
  </si>
  <si>
    <t>HOUSTON TX</t>
  </si>
  <si>
    <t>JMA</t>
  </si>
  <si>
    <t>LFI</t>
  </si>
  <si>
    <t>LJC</t>
  </si>
  <si>
    <t xml:space="preserve">SACRAMENTO - CA </t>
  </si>
  <si>
    <t>MKF</t>
  </si>
  <si>
    <t>ALBANY GA</t>
  </si>
  <si>
    <t>PENSACOLA FLA</t>
  </si>
  <si>
    <t>OAKLAND MD</t>
  </si>
  <si>
    <t>PELLSTON</t>
  </si>
  <si>
    <t>PALM SPRIN</t>
  </si>
  <si>
    <t>PSP</t>
  </si>
  <si>
    <t xml:space="preserve">SPOKANE - WA </t>
  </si>
  <si>
    <t xml:space="preserve">TACOMA - WA </t>
  </si>
  <si>
    <t>TOLEDO OH</t>
  </si>
  <si>
    <t>TDZ</t>
  </si>
  <si>
    <t>OKLAHOMA C OK</t>
  </si>
  <si>
    <t>TIK</t>
  </si>
  <si>
    <t>VALDOSTA GA</t>
  </si>
  <si>
    <t>NORTHWEST ARKANSAS REGIONAL AIRPORT</t>
  </si>
  <si>
    <t>XNA</t>
  </si>
  <si>
    <t>URUGUAY</t>
  </si>
  <si>
    <t>ウルグアイ</t>
  </si>
  <si>
    <t>UYATI</t>
  </si>
  <si>
    <t>UY</t>
  </si>
  <si>
    <t>ARTIGAS</t>
  </si>
  <si>
    <t>UYBUV</t>
  </si>
  <si>
    <t>BELLA UNION</t>
  </si>
  <si>
    <t>UYCYR</t>
  </si>
  <si>
    <t>CYR</t>
  </si>
  <si>
    <t>COLONIA</t>
  </si>
  <si>
    <t>UYDZO</t>
  </si>
  <si>
    <t>DZO</t>
  </si>
  <si>
    <t>DURAZNO</t>
  </si>
  <si>
    <t>UYFZB</t>
  </si>
  <si>
    <t>FZB</t>
  </si>
  <si>
    <t>FRAY BENTOS</t>
  </si>
  <si>
    <t>UYMLZ</t>
  </si>
  <si>
    <t>MELO</t>
  </si>
  <si>
    <t>UYMVD</t>
  </si>
  <si>
    <t>MVD</t>
  </si>
  <si>
    <t>MONTEVIDEO</t>
  </si>
  <si>
    <t>UYNVP</t>
  </si>
  <si>
    <t>NUEVA PALMIRA</t>
  </si>
  <si>
    <t>UYPDP</t>
  </si>
  <si>
    <t>PDP</t>
  </si>
  <si>
    <t>PUNTA DEL ESTE</t>
  </si>
  <si>
    <t>UYPDU</t>
  </si>
  <si>
    <t>PDU</t>
  </si>
  <si>
    <t>PAYSANDU</t>
  </si>
  <si>
    <t>UYRVY</t>
  </si>
  <si>
    <t>RVY</t>
  </si>
  <si>
    <t>RIVERA</t>
  </si>
  <si>
    <t>UYSTY</t>
  </si>
  <si>
    <t>STY</t>
  </si>
  <si>
    <t>SALTO</t>
  </si>
  <si>
    <t>UYTYT</t>
  </si>
  <si>
    <t>TYT</t>
  </si>
  <si>
    <t>TREINTA-Y-TRE</t>
  </si>
  <si>
    <t>UYVCH</t>
  </si>
  <si>
    <t>VCH</t>
  </si>
  <si>
    <t>VICHADERO</t>
  </si>
  <si>
    <t>UYZZZ</t>
  </si>
  <si>
    <t>REPUBLIC OF UZBEKISTAN</t>
  </si>
  <si>
    <t>ウズベキスタン</t>
  </si>
  <si>
    <t>UZBHK</t>
  </si>
  <si>
    <t>UZ</t>
  </si>
  <si>
    <t>BHK</t>
  </si>
  <si>
    <t>BUKHARA</t>
  </si>
  <si>
    <t>UZBEK</t>
  </si>
  <si>
    <t>UZFEG</t>
  </si>
  <si>
    <t>FEG</t>
  </si>
  <si>
    <t>FERGANA</t>
  </si>
  <si>
    <t>UZSKD</t>
  </si>
  <si>
    <t>SAMARKAND</t>
  </si>
  <si>
    <t>UZTAS</t>
  </si>
  <si>
    <t>TASHKENT</t>
  </si>
  <si>
    <t>UZUGC</t>
  </si>
  <si>
    <t>UGC</t>
  </si>
  <si>
    <t>URGENCH</t>
  </si>
  <si>
    <t>UZZZZ</t>
  </si>
  <si>
    <t>VATICAN CITY</t>
  </si>
  <si>
    <t>バチカン</t>
  </si>
  <si>
    <t>VAVAT</t>
  </si>
  <si>
    <t>VA</t>
  </si>
  <si>
    <t>VAZZZ</t>
  </si>
  <si>
    <t>SAINT VINCENT AND THE GRENADINES</t>
  </si>
  <si>
    <t>セントビンセント</t>
  </si>
  <si>
    <t>VCCNA</t>
  </si>
  <si>
    <t>VC</t>
  </si>
  <si>
    <t>CANOUAN</t>
  </si>
  <si>
    <t>VCCRP</t>
  </si>
  <si>
    <t>CAMDEN PARK - ST. VINCENT</t>
  </si>
  <si>
    <t>VCKTN</t>
  </si>
  <si>
    <t>KINGSTOWN - ST VINCENT</t>
  </si>
  <si>
    <t>VCMQS</t>
  </si>
  <si>
    <t>MQS</t>
  </si>
  <si>
    <t>MUSTIQUE ISLAND</t>
  </si>
  <si>
    <t>S VIN</t>
  </si>
  <si>
    <t>VCSVD</t>
  </si>
  <si>
    <t>SVD</t>
  </si>
  <si>
    <t>VCUNI</t>
  </si>
  <si>
    <t>UNI</t>
  </si>
  <si>
    <t>UNION ISLAND</t>
  </si>
  <si>
    <t>VCZZZ</t>
  </si>
  <si>
    <t>PALM ISLAND</t>
  </si>
  <si>
    <t>PLI</t>
  </si>
  <si>
    <t>VENEZUELA</t>
  </si>
  <si>
    <t>ベネズエラ</t>
  </si>
  <si>
    <t>VEAAO</t>
  </si>
  <si>
    <t>VE</t>
  </si>
  <si>
    <t>AAO</t>
  </si>
  <si>
    <t>ANACO</t>
  </si>
  <si>
    <t>VEAGV</t>
  </si>
  <si>
    <t>AGV</t>
  </si>
  <si>
    <t>ACARIGUA</t>
  </si>
  <si>
    <t>VEAMY</t>
  </si>
  <si>
    <t>AMUAY</t>
  </si>
  <si>
    <t>VEARA</t>
  </si>
  <si>
    <t>ARAYA</t>
  </si>
  <si>
    <t>VEBAV</t>
  </si>
  <si>
    <t>BACHAQUERO/MARACAIBOL</t>
  </si>
  <si>
    <t>VEBJV</t>
  </si>
  <si>
    <t>BJV</t>
  </si>
  <si>
    <t>BAJO GRANDE/MARACAIBO L</t>
  </si>
  <si>
    <t>VEBLA</t>
  </si>
  <si>
    <t>VEBNS</t>
  </si>
  <si>
    <t>BNS</t>
  </si>
  <si>
    <t>BARINAS</t>
  </si>
  <si>
    <t>VEBRM</t>
  </si>
  <si>
    <t>BARQUISIMETO</t>
  </si>
  <si>
    <t>VECAJ</t>
  </si>
  <si>
    <t>CANAIMA</t>
  </si>
  <si>
    <t>VECAR</t>
  </si>
  <si>
    <t>CARIPITO</t>
  </si>
  <si>
    <t>VECBL</t>
  </si>
  <si>
    <t>CIUDAD BOLIVAR</t>
  </si>
  <si>
    <t>VECBS</t>
  </si>
  <si>
    <t>CBS</t>
  </si>
  <si>
    <t>CABIMAS/MARACAIBO L</t>
  </si>
  <si>
    <t>VECCS</t>
  </si>
  <si>
    <t>CCS</t>
  </si>
  <si>
    <t>CARACAS-MAQUIETO</t>
  </si>
  <si>
    <t>VECGU</t>
  </si>
  <si>
    <t>CIUDAD GUAYAN</t>
  </si>
  <si>
    <t>VECLZ</t>
  </si>
  <si>
    <t>CALABOZO</t>
  </si>
  <si>
    <t>VECMR</t>
  </si>
  <si>
    <t>CUMAREBO</t>
  </si>
  <si>
    <t>VECUM</t>
  </si>
  <si>
    <t>CUMANA</t>
  </si>
  <si>
    <t>VECUP</t>
  </si>
  <si>
    <t>CUP</t>
  </si>
  <si>
    <t>CARUPANO</t>
  </si>
  <si>
    <t>VECUV</t>
  </si>
  <si>
    <t>CUV</t>
  </si>
  <si>
    <t>CASIGUA</t>
  </si>
  <si>
    <t>VECXA</t>
  </si>
  <si>
    <t>CXA</t>
  </si>
  <si>
    <t>CAICARA DE OR</t>
  </si>
  <si>
    <t>VECZE</t>
  </si>
  <si>
    <t>CZE</t>
  </si>
  <si>
    <t>CORO</t>
  </si>
  <si>
    <t>VEEGU</t>
  </si>
  <si>
    <t>EGU</t>
  </si>
  <si>
    <t>EL GUAMACHE</t>
  </si>
  <si>
    <t>VEEOR</t>
  </si>
  <si>
    <t>EOR</t>
  </si>
  <si>
    <t>VEEOZ</t>
  </si>
  <si>
    <t>EOZ</t>
  </si>
  <si>
    <t>ELORZA</t>
  </si>
  <si>
    <t>VEETV</t>
  </si>
  <si>
    <t>ETV</t>
  </si>
  <si>
    <t>EL TABLAZO/MARACAIBOL</t>
  </si>
  <si>
    <t>VEGDO</t>
  </si>
  <si>
    <t>GDO</t>
  </si>
  <si>
    <t>GUASDUALITO</t>
  </si>
  <si>
    <t>VEGUI</t>
  </si>
  <si>
    <t>GUIRIA</t>
  </si>
  <si>
    <t>VEGUQ</t>
  </si>
  <si>
    <t>GUANARE</t>
  </si>
  <si>
    <t>VEGUT</t>
  </si>
  <si>
    <t>GUANTA/PUERTO DE LACRUZ</t>
  </si>
  <si>
    <t>VEICA</t>
  </si>
  <si>
    <t>ICA</t>
  </si>
  <si>
    <t>ICABARU</t>
  </si>
  <si>
    <t>VEKAV</t>
  </si>
  <si>
    <t>KAV</t>
  </si>
  <si>
    <t>KAVANAYEN</t>
  </si>
  <si>
    <t>VEKTV</t>
  </si>
  <si>
    <t>KTV</t>
  </si>
  <si>
    <t>KAMARATA</t>
  </si>
  <si>
    <t>VELAG</t>
  </si>
  <si>
    <t>LA GUAIRA</t>
  </si>
  <si>
    <t>VELCV</t>
  </si>
  <si>
    <t>LCV</t>
  </si>
  <si>
    <t>LA CEIBA/MARACAIBO L</t>
  </si>
  <si>
    <t>VELFR</t>
  </si>
  <si>
    <t>LFR</t>
  </si>
  <si>
    <t>LA FRIA</t>
  </si>
  <si>
    <t>VELGY</t>
  </si>
  <si>
    <t>LGY</t>
  </si>
  <si>
    <t>LAGUNILLAS</t>
  </si>
  <si>
    <t>VELMA</t>
  </si>
  <si>
    <t>LAS MOROCHAS</t>
  </si>
  <si>
    <t>VELSP</t>
  </si>
  <si>
    <t>LSP</t>
  </si>
  <si>
    <t>LAS PIEDRAS</t>
  </si>
  <si>
    <t>VELSV</t>
  </si>
  <si>
    <t>LSV</t>
  </si>
  <si>
    <t>LA SALINA/MARACAIBOL</t>
  </si>
  <si>
    <t>VELVL</t>
  </si>
  <si>
    <t>LA VELA DE CORO</t>
  </si>
  <si>
    <t>VEMAR</t>
  </si>
  <si>
    <t>MARACAIBO</t>
  </si>
  <si>
    <t>VEMIV</t>
  </si>
  <si>
    <t>PUERTO MIRANDA/MARACAIBO L.</t>
  </si>
  <si>
    <t>VEMRD</t>
  </si>
  <si>
    <t>MRD</t>
  </si>
  <si>
    <t>MERIDA</t>
  </si>
  <si>
    <t>VEMTV</t>
  </si>
  <si>
    <t>VEMUN</t>
  </si>
  <si>
    <t>MATURIN</t>
  </si>
  <si>
    <t>VEMYC</t>
  </si>
  <si>
    <t>MYC</t>
  </si>
  <si>
    <t>MARACAY</t>
  </si>
  <si>
    <t>VEPBL</t>
  </si>
  <si>
    <t>PBL</t>
  </si>
  <si>
    <t>PUERTO CABELLO</t>
  </si>
  <si>
    <t>VEPCN</t>
  </si>
  <si>
    <t>PUNTA CARDON</t>
  </si>
  <si>
    <t>VEPCZ</t>
  </si>
  <si>
    <t>PCZ</t>
  </si>
  <si>
    <t>PUERTO LA CRUZ</t>
  </si>
  <si>
    <t>VEPDZ</t>
  </si>
  <si>
    <t>PDZ</t>
  </si>
  <si>
    <t>VEPFI</t>
  </si>
  <si>
    <t>PFI</t>
  </si>
  <si>
    <t>PUNTO FIJO</t>
  </si>
  <si>
    <t>VEPHO</t>
  </si>
  <si>
    <t>PUERTO DE HIERRO</t>
  </si>
  <si>
    <t>VEPLA</t>
  </si>
  <si>
    <t>PALUA</t>
  </si>
  <si>
    <t>VEPMP</t>
  </si>
  <si>
    <t>PAMPATAR</t>
  </si>
  <si>
    <t>VEPMV</t>
  </si>
  <si>
    <t>PMV</t>
  </si>
  <si>
    <t>PORLAMAR</t>
  </si>
  <si>
    <t>VEPPD</t>
  </si>
  <si>
    <t>PUNTA DE PIEDRAS</t>
  </si>
  <si>
    <t>VEPPH</t>
  </si>
  <si>
    <t>PPH</t>
  </si>
  <si>
    <t>PERAITEPUY</t>
  </si>
  <si>
    <t>VEPPZ</t>
  </si>
  <si>
    <t>PPZ</t>
  </si>
  <si>
    <t>PUERTO PAEZ</t>
  </si>
  <si>
    <t>VEPSU</t>
  </si>
  <si>
    <t>PUERTO SUCRE</t>
  </si>
  <si>
    <t>VEPTM</t>
  </si>
  <si>
    <t>PTM</t>
  </si>
  <si>
    <t>PALMARITO</t>
  </si>
  <si>
    <t>VEPYH</t>
  </si>
  <si>
    <t>PUERTO AYACUCHO</t>
  </si>
  <si>
    <t>VEPZO</t>
  </si>
  <si>
    <t>PZO</t>
  </si>
  <si>
    <t>PUERTO ORDAZ</t>
  </si>
  <si>
    <t>VESCI</t>
  </si>
  <si>
    <t>SAN CRISTOBAL</t>
  </si>
  <si>
    <t>VESFD</t>
  </si>
  <si>
    <t>SFD</t>
  </si>
  <si>
    <t>VESFX</t>
  </si>
  <si>
    <t>SFX</t>
  </si>
  <si>
    <t>SAN FELIX</t>
  </si>
  <si>
    <t>VESLV</t>
  </si>
  <si>
    <t>SAN LORENZO/MARACAIBO L</t>
  </si>
  <si>
    <t>VESNF</t>
  </si>
  <si>
    <t>SNF</t>
  </si>
  <si>
    <t>SAN FELIPE</t>
  </si>
  <si>
    <t>VESNV</t>
  </si>
  <si>
    <t>SANTA ELENA</t>
  </si>
  <si>
    <t>VESOM</t>
  </si>
  <si>
    <t>SAN TOME</t>
  </si>
  <si>
    <t>VESTB</t>
  </si>
  <si>
    <t>SANTA BARBARA ED</t>
  </si>
  <si>
    <t>VESTD</t>
  </si>
  <si>
    <t>VESVV</t>
  </si>
  <si>
    <t>VESVZ</t>
  </si>
  <si>
    <t>SVZ</t>
  </si>
  <si>
    <t>VETJV</t>
  </si>
  <si>
    <t>TJV</t>
  </si>
  <si>
    <t>TIAJUANA/MARACAIBO L</t>
  </si>
  <si>
    <t>VETMO</t>
  </si>
  <si>
    <t>TUMEREMO</t>
  </si>
  <si>
    <t>VETUV</t>
  </si>
  <si>
    <t>TUV</t>
  </si>
  <si>
    <t>TUCUPITA</t>
  </si>
  <si>
    <t>VEURM</t>
  </si>
  <si>
    <t>URIMAN</t>
  </si>
  <si>
    <t>VEVCR</t>
  </si>
  <si>
    <t>VCR</t>
  </si>
  <si>
    <t>CARORA</t>
  </si>
  <si>
    <t>VEVDP</t>
  </si>
  <si>
    <t>VDP</t>
  </si>
  <si>
    <t>VALLE DE PASC</t>
  </si>
  <si>
    <t>VEVLN</t>
  </si>
  <si>
    <t>VLN</t>
  </si>
  <si>
    <t>VEVLV</t>
  </si>
  <si>
    <t>VALERA</t>
  </si>
  <si>
    <t>VEWOK</t>
  </si>
  <si>
    <t>WONKEN</t>
  </si>
  <si>
    <t>VEZZZ</t>
  </si>
  <si>
    <t>BRITISH VIRGIN ISLANDS</t>
  </si>
  <si>
    <t>英領バージン諸島</t>
  </si>
  <si>
    <t>VGEIS</t>
  </si>
  <si>
    <t>VG</t>
  </si>
  <si>
    <t>BEEF ISLAND</t>
  </si>
  <si>
    <t>UKVIR</t>
  </si>
  <si>
    <t>VGNGD</t>
  </si>
  <si>
    <t>ANEGADA</t>
  </si>
  <si>
    <t>VGRAD</t>
  </si>
  <si>
    <t>ROAD TOWNTORTOLA</t>
  </si>
  <si>
    <t>VGTOV</t>
  </si>
  <si>
    <t>TORTOLA</t>
  </si>
  <si>
    <t>VGVIJ</t>
  </si>
  <si>
    <t>VIJ</t>
  </si>
  <si>
    <t>VIRGIN GORDA</t>
  </si>
  <si>
    <t>VGZZZ</t>
  </si>
  <si>
    <t>UNITED STATES VIRGIN ISLANDS</t>
  </si>
  <si>
    <t>米領バージン諸島</t>
  </si>
  <si>
    <t>VICHA</t>
  </si>
  <si>
    <t>VI</t>
  </si>
  <si>
    <t>CHARLOTTE AMELIE,STTHOMAS</t>
  </si>
  <si>
    <t>VICLT</t>
  </si>
  <si>
    <t>CHARLOTTE AMELIE</t>
  </si>
  <si>
    <t>VICTD</t>
  </si>
  <si>
    <t>CHRISTIANSTED - ST.CROIX</t>
  </si>
  <si>
    <t>VIFRD</t>
  </si>
  <si>
    <t>FREDERIKSTED - ST. CROIX</t>
  </si>
  <si>
    <t>VISJN</t>
  </si>
  <si>
    <t>ST JOHN,ST CROIX IS</t>
  </si>
  <si>
    <t>VISTJ</t>
  </si>
  <si>
    <t>ST JOHN</t>
  </si>
  <si>
    <t>VISTT</t>
  </si>
  <si>
    <t>ST THOMAS</t>
  </si>
  <si>
    <t>USVIR</t>
  </si>
  <si>
    <t>VISTX</t>
  </si>
  <si>
    <t>STX</t>
  </si>
  <si>
    <t>ST CROIX-ALEX HAMILTON APT</t>
  </si>
  <si>
    <t>VIZZZ</t>
  </si>
  <si>
    <t>VIET NAM</t>
  </si>
  <si>
    <t>ベトナム</t>
  </si>
  <si>
    <t>VNBEN</t>
  </si>
  <si>
    <t>VN</t>
  </si>
  <si>
    <t>BENTHUY</t>
  </si>
  <si>
    <t>VNCLI</t>
  </si>
  <si>
    <t>CAT LAI</t>
  </si>
  <si>
    <t>VNCLN</t>
  </si>
  <si>
    <t>CAI LAN</t>
  </si>
  <si>
    <t>VNCLO</t>
  </si>
  <si>
    <t>CULAO</t>
  </si>
  <si>
    <t>VNCMT</t>
  </si>
  <si>
    <t>CAI MEP INTERNATIONAL TERMINAL</t>
  </si>
  <si>
    <t>VNCPH</t>
  </si>
  <si>
    <t>CAM PHA</t>
  </si>
  <si>
    <t>VNCRB</t>
  </si>
  <si>
    <t>CAMRANH</t>
  </si>
  <si>
    <t>VNDAD</t>
  </si>
  <si>
    <t>DA NANG</t>
  </si>
  <si>
    <t>VIET</t>
  </si>
  <si>
    <t>VNDLI</t>
  </si>
  <si>
    <t>DLI</t>
  </si>
  <si>
    <t>DALAT</t>
  </si>
  <si>
    <t>VNHAN</t>
  </si>
  <si>
    <t>HANOI</t>
  </si>
  <si>
    <t>VNHON</t>
  </si>
  <si>
    <t>HONGAI</t>
  </si>
  <si>
    <t>VNHPH</t>
  </si>
  <si>
    <t>HPH</t>
  </si>
  <si>
    <t>HAIPHONG</t>
  </si>
  <si>
    <t>VNHUI</t>
  </si>
  <si>
    <t>VNNHA</t>
  </si>
  <si>
    <t>NHATRANG</t>
  </si>
  <si>
    <t>VNPHA</t>
  </si>
  <si>
    <t>PHAN RANG</t>
  </si>
  <si>
    <t>VNPHH</t>
  </si>
  <si>
    <t>PHH</t>
  </si>
  <si>
    <t>PHAN THIET</t>
  </si>
  <si>
    <t>VNPHU</t>
  </si>
  <si>
    <t>PHU MY</t>
  </si>
  <si>
    <t>VNSGN</t>
  </si>
  <si>
    <t>SGN</t>
  </si>
  <si>
    <t>HO CHI MINH CITY</t>
  </si>
  <si>
    <t>VNTBB</t>
  </si>
  <si>
    <t>TBB</t>
  </si>
  <si>
    <t>TUY HOA</t>
  </si>
  <si>
    <t>VNTOU</t>
  </si>
  <si>
    <t>DA-NANG</t>
  </si>
  <si>
    <t>VNUIH</t>
  </si>
  <si>
    <t>UIH</t>
  </si>
  <si>
    <t>QUINHON</t>
  </si>
  <si>
    <t>VNVCA</t>
  </si>
  <si>
    <t>VCA</t>
  </si>
  <si>
    <t>CAN THO</t>
  </si>
  <si>
    <t>VNVIC</t>
  </si>
  <si>
    <t>HO CHI MINH,VICT</t>
  </si>
  <si>
    <t>VNVIH</t>
  </si>
  <si>
    <t>VNVPH</t>
  </si>
  <si>
    <t>VPH</t>
  </si>
  <si>
    <t>VAN PHONG</t>
  </si>
  <si>
    <t>VNVUT</t>
  </si>
  <si>
    <t>VUT</t>
  </si>
  <si>
    <t>VUNG TAU</t>
  </si>
  <si>
    <t>VNXNG</t>
  </si>
  <si>
    <t>QUANG NGAI</t>
  </si>
  <si>
    <t>VNZZZ</t>
  </si>
  <si>
    <t>BANMETHUOT</t>
  </si>
  <si>
    <t>CA MAU</t>
  </si>
  <si>
    <t>CAH</t>
  </si>
  <si>
    <t xml:space="preserve">CAM RANH INTL       </t>
  </si>
  <si>
    <t>CXR</t>
  </si>
  <si>
    <t>PHU-BON</t>
  </si>
  <si>
    <t>KONTUM</t>
  </si>
  <si>
    <t>PHU QUOC</t>
  </si>
  <si>
    <t>PQC</t>
  </si>
  <si>
    <t>PLEIKU</t>
  </si>
  <si>
    <t>PXU</t>
  </si>
  <si>
    <t>SOC TRANG</t>
  </si>
  <si>
    <t>SOA</t>
  </si>
  <si>
    <t>THO XUAN</t>
  </si>
  <si>
    <t>THD</t>
  </si>
  <si>
    <t>TAMKY</t>
  </si>
  <si>
    <t>VAN DON INTERNATIONAL</t>
  </si>
  <si>
    <t>VDO</t>
  </si>
  <si>
    <t>VINH</t>
  </si>
  <si>
    <t>VII</t>
  </si>
  <si>
    <t>RACH GIA</t>
  </si>
  <si>
    <t>VKG</t>
  </si>
  <si>
    <t>PHUOCLONG</t>
  </si>
  <si>
    <t>VSO</t>
  </si>
  <si>
    <t>LONG XUYEN</t>
  </si>
  <si>
    <t>XLO</t>
  </si>
  <si>
    <t>VINH LONG</t>
  </si>
  <si>
    <t>XVL</t>
  </si>
  <si>
    <t>VANUATU</t>
  </si>
  <si>
    <t>バヌアツ</t>
  </si>
  <si>
    <t>VUAUY</t>
  </si>
  <si>
    <t>VU</t>
  </si>
  <si>
    <t>AUY</t>
  </si>
  <si>
    <t>ANEITYUM</t>
  </si>
  <si>
    <t>N HEB</t>
  </si>
  <si>
    <t>VUCCV</t>
  </si>
  <si>
    <t>CCV</t>
  </si>
  <si>
    <t>CRAIG COVE</t>
  </si>
  <si>
    <t>VUDLY</t>
  </si>
  <si>
    <t>DLY</t>
  </si>
  <si>
    <t>DILLONS BAY</t>
  </si>
  <si>
    <t>VUEAE</t>
  </si>
  <si>
    <t>EAE</t>
  </si>
  <si>
    <t>EMAE</t>
  </si>
  <si>
    <t>VUEPI</t>
  </si>
  <si>
    <t>VUGBA</t>
  </si>
  <si>
    <t>BIG BAY</t>
  </si>
  <si>
    <t>VUIPA</t>
  </si>
  <si>
    <t>IPA</t>
  </si>
  <si>
    <t>IPOTA</t>
  </si>
  <si>
    <t>VULNB</t>
  </si>
  <si>
    <t>LNB</t>
  </si>
  <si>
    <t>LAMEN BAY</t>
  </si>
  <si>
    <t>VULNE</t>
  </si>
  <si>
    <t>LNE</t>
  </si>
  <si>
    <t>LONORORE</t>
  </si>
  <si>
    <t>VULOD</t>
  </si>
  <si>
    <t>LONGANA</t>
  </si>
  <si>
    <t>VULPM</t>
  </si>
  <si>
    <t>LPM</t>
  </si>
  <si>
    <t>LAMAP</t>
  </si>
  <si>
    <t>VUMTV</t>
  </si>
  <si>
    <t>MOTA LAVA</t>
  </si>
  <si>
    <t>VUNUS</t>
  </si>
  <si>
    <t>NUS</t>
  </si>
  <si>
    <t>NORSUP</t>
  </si>
  <si>
    <t>VURCL</t>
  </si>
  <si>
    <t>RCL</t>
  </si>
  <si>
    <t>REDCLIFFE</t>
  </si>
  <si>
    <t>VUSAN</t>
  </si>
  <si>
    <t>SANTO</t>
  </si>
  <si>
    <t>VUSLH</t>
  </si>
  <si>
    <t>SLH</t>
  </si>
  <si>
    <t>SOLA</t>
  </si>
  <si>
    <t>VUSON</t>
  </si>
  <si>
    <t>ESPIRITU SANT.</t>
  </si>
  <si>
    <t>VUTAH</t>
  </si>
  <si>
    <t>TANNA</t>
  </si>
  <si>
    <t>VUTGH</t>
  </si>
  <si>
    <t>TONGOA</t>
  </si>
  <si>
    <t>VUVLI</t>
  </si>
  <si>
    <t>PORT VILA</t>
  </si>
  <si>
    <t>VUVLS</t>
  </si>
  <si>
    <t>VLS</t>
  </si>
  <si>
    <t>VALESDIR</t>
  </si>
  <si>
    <t>VUWLH</t>
  </si>
  <si>
    <t>WLH</t>
  </si>
  <si>
    <t>WALAHA</t>
  </si>
  <si>
    <t>VUZZZ</t>
  </si>
  <si>
    <t>WALLIS AND FUTUNA ISLANDS</t>
  </si>
  <si>
    <t>WFFUT</t>
  </si>
  <si>
    <t>WF</t>
  </si>
  <si>
    <t>FUTUNA</t>
  </si>
  <si>
    <t>WFWLS</t>
  </si>
  <si>
    <t>WALLIS(UVEA)</t>
  </si>
  <si>
    <t>WFZZZ</t>
  </si>
  <si>
    <t>THE WEST BANK AND GAZA</t>
  </si>
  <si>
    <t>ヨルダン川西岸及びガザ</t>
  </si>
  <si>
    <t>WGGAZ</t>
  </si>
  <si>
    <t>WG</t>
  </si>
  <si>
    <t>GAZA</t>
  </si>
  <si>
    <t>WGTWB</t>
  </si>
  <si>
    <t>THE WEST BANK</t>
  </si>
  <si>
    <t>WGZZZ</t>
  </si>
  <si>
    <t>サモア</t>
  </si>
  <si>
    <t>WSAAU</t>
  </si>
  <si>
    <t>WS</t>
  </si>
  <si>
    <t>ASAU</t>
  </si>
  <si>
    <t>W SAM</t>
  </si>
  <si>
    <t>WSAPW</t>
  </si>
  <si>
    <t>APW</t>
  </si>
  <si>
    <t>APIA</t>
  </si>
  <si>
    <t>WSLAV</t>
  </si>
  <si>
    <t>LALOMALAVA</t>
  </si>
  <si>
    <t>WSMXS</t>
  </si>
  <si>
    <t>MXS</t>
  </si>
  <si>
    <t>MAOTA SAVAII</t>
  </si>
  <si>
    <t>WSZZZ</t>
  </si>
  <si>
    <t>FGI</t>
  </si>
  <si>
    <t>YEMEN</t>
  </si>
  <si>
    <t>イエメン</t>
  </si>
  <si>
    <t>YEAAY</t>
  </si>
  <si>
    <t>AAY</t>
  </si>
  <si>
    <t>AL GHAYDAH</t>
  </si>
  <si>
    <t>YEADE</t>
  </si>
  <si>
    <t>ADEN</t>
  </si>
  <si>
    <t>YEAHW</t>
  </si>
  <si>
    <t>AHW</t>
  </si>
  <si>
    <t>AHWAR</t>
  </si>
  <si>
    <t>YEAJO</t>
  </si>
  <si>
    <t>ALJOUF</t>
  </si>
  <si>
    <t>YEAXK</t>
  </si>
  <si>
    <t>AXK</t>
  </si>
  <si>
    <t>ATAQ</t>
  </si>
  <si>
    <t>YEBHN</t>
  </si>
  <si>
    <t>BHN</t>
  </si>
  <si>
    <t>BEIHAN</t>
  </si>
  <si>
    <t>YEBOG</t>
  </si>
  <si>
    <t>BOGOA</t>
  </si>
  <si>
    <t>YEBUK</t>
  </si>
  <si>
    <t>BUK</t>
  </si>
  <si>
    <t>ALBUQ</t>
  </si>
  <si>
    <t>YEBYD</t>
  </si>
  <si>
    <t>BYD</t>
  </si>
  <si>
    <t>BEIDAH</t>
  </si>
  <si>
    <t>YEDAH</t>
  </si>
  <si>
    <t>DATHINA</t>
  </si>
  <si>
    <t>YEDHL</t>
  </si>
  <si>
    <t>DHL</t>
  </si>
  <si>
    <t>DHALA</t>
  </si>
  <si>
    <t>YEDMR</t>
  </si>
  <si>
    <t>DMR</t>
  </si>
  <si>
    <t>DHAMAR</t>
  </si>
  <si>
    <t>YEEAB</t>
  </si>
  <si>
    <t>EAB</t>
  </si>
  <si>
    <t>ABBSE</t>
  </si>
  <si>
    <t>YEELK</t>
  </si>
  <si>
    <t>EL KATIEB</t>
  </si>
  <si>
    <t>YEGXF</t>
  </si>
  <si>
    <t>GXF</t>
  </si>
  <si>
    <t>SEIYUN</t>
  </si>
  <si>
    <t>YEHAR</t>
  </si>
  <si>
    <t>HARAD</t>
  </si>
  <si>
    <t>YEHAU</t>
  </si>
  <si>
    <t>HAURA</t>
  </si>
  <si>
    <t>YEHOD</t>
  </si>
  <si>
    <t>HODEIDAH</t>
  </si>
  <si>
    <t>YEIHN</t>
  </si>
  <si>
    <t>QISHAN</t>
  </si>
  <si>
    <t>YEKAM</t>
  </si>
  <si>
    <t>KAMARAN</t>
  </si>
  <si>
    <t>YEKHO</t>
  </si>
  <si>
    <t>KHOKHA</t>
  </si>
  <si>
    <t>YELDR</t>
  </si>
  <si>
    <t>LDR</t>
  </si>
  <si>
    <t>LODAR</t>
  </si>
  <si>
    <t>YEMFY</t>
  </si>
  <si>
    <t>MFY</t>
  </si>
  <si>
    <t>MAYFA'AH</t>
  </si>
  <si>
    <t>YEMKX</t>
  </si>
  <si>
    <t>AL MUKHALLA</t>
  </si>
  <si>
    <t>YEMOK</t>
  </si>
  <si>
    <t>MOKHA</t>
  </si>
  <si>
    <t>YEMYN</t>
  </si>
  <si>
    <t>MAREB</t>
  </si>
  <si>
    <t>YEPRM</t>
  </si>
  <si>
    <t>YERAK</t>
  </si>
  <si>
    <t>RAS AL KALIB</t>
  </si>
  <si>
    <t>YERIY</t>
  </si>
  <si>
    <t>RIY</t>
  </si>
  <si>
    <t>RIYAN</t>
  </si>
  <si>
    <t>YERXA</t>
  </si>
  <si>
    <t>RXA</t>
  </si>
  <si>
    <t>RAUDHA</t>
  </si>
  <si>
    <t>YESAH</t>
  </si>
  <si>
    <t>SAH</t>
  </si>
  <si>
    <t>SANAA</t>
  </si>
  <si>
    <t>YESAL</t>
  </si>
  <si>
    <t>SALEEF PORT</t>
  </si>
  <si>
    <t>YESCT</t>
  </si>
  <si>
    <t>SOCOTRA</t>
  </si>
  <si>
    <t>YESYE</t>
  </si>
  <si>
    <t>SYE</t>
  </si>
  <si>
    <t>SA DAH</t>
  </si>
  <si>
    <t>YETAI</t>
  </si>
  <si>
    <t>TAIZ</t>
  </si>
  <si>
    <t>YEUKR</t>
  </si>
  <si>
    <t>UKR</t>
  </si>
  <si>
    <t>MUKEIRAS</t>
  </si>
  <si>
    <t>YEZZZ</t>
  </si>
  <si>
    <t>WADI AIN</t>
  </si>
  <si>
    <t>MAYOTTE</t>
  </si>
  <si>
    <t>フランス（マイヨット島）</t>
  </si>
  <si>
    <t>YTDZA</t>
  </si>
  <si>
    <t>YT</t>
  </si>
  <si>
    <t>YTMAM</t>
  </si>
  <si>
    <t>MAMOUDZOU</t>
  </si>
  <si>
    <t>YTZZZ</t>
  </si>
  <si>
    <t>SOUTH AFRICA</t>
  </si>
  <si>
    <t>南アフリカ共和国</t>
  </si>
  <si>
    <t>ZAAGZ</t>
  </si>
  <si>
    <t>ZA</t>
  </si>
  <si>
    <t>AGZ</t>
  </si>
  <si>
    <t>AGGENEYS</t>
  </si>
  <si>
    <t>S AF</t>
  </si>
  <si>
    <t>ZAALJ</t>
  </si>
  <si>
    <t>ALJ</t>
  </si>
  <si>
    <t>ALEXANDER BAY</t>
  </si>
  <si>
    <t>ZAAOB</t>
  </si>
  <si>
    <t>ALGOA BAY</t>
  </si>
  <si>
    <t>ZABFN</t>
  </si>
  <si>
    <t>BFN</t>
  </si>
  <si>
    <t>BLOEMFONTEIN</t>
  </si>
  <si>
    <t>ZACDO</t>
  </si>
  <si>
    <t>CRADOCK</t>
  </si>
  <si>
    <t>ZACPT</t>
  </si>
  <si>
    <t>CAPE TOWN</t>
  </si>
  <si>
    <t>ZADUR</t>
  </si>
  <si>
    <t>DURBAN</t>
  </si>
  <si>
    <t>ZAELS</t>
  </si>
  <si>
    <t>EAST LONDON</t>
  </si>
  <si>
    <t>ZAEMG</t>
  </si>
  <si>
    <t>EMG</t>
  </si>
  <si>
    <t>EMPANGENI</t>
  </si>
  <si>
    <t>ZAGRJ</t>
  </si>
  <si>
    <t>GRJ</t>
  </si>
  <si>
    <t>GEORGE</t>
  </si>
  <si>
    <t>ZAGRM</t>
  </si>
  <si>
    <t>GERMISTON</t>
  </si>
  <si>
    <t>ZAHBL</t>
  </si>
  <si>
    <t>BABELEGI</t>
  </si>
  <si>
    <t>ZAHLA</t>
  </si>
  <si>
    <t>HLA</t>
  </si>
  <si>
    <t>LANSERIA</t>
  </si>
  <si>
    <t>ZAHLW</t>
  </si>
  <si>
    <t>HLW</t>
  </si>
  <si>
    <t>HLUHLUWE</t>
  </si>
  <si>
    <t>JNB</t>
  </si>
  <si>
    <t>JOHANNESBURG</t>
  </si>
  <si>
    <t>ZAKIG</t>
  </si>
  <si>
    <t>KIG</t>
  </si>
  <si>
    <t>KOINGHAAS</t>
  </si>
  <si>
    <t>ZAKIM</t>
  </si>
  <si>
    <t>KIMBERLEY</t>
  </si>
  <si>
    <t>ZAKLZ</t>
  </si>
  <si>
    <t>KLZ</t>
  </si>
  <si>
    <t>KLEINZEE</t>
  </si>
  <si>
    <t>ZAKOF</t>
  </si>
  <si>
    <t>KOMATIPOORT</t>
  </si>
  <si>
    <t>ZALCD</t>
  </si>
  <si>
    <t>LCD</t>
  </si>
  <si>
    <t>LOUIS TRICHAR</t>
  </si>
  <si>
    <t>ZALTA</t>
  </si>
  <si>
    <t>TZANEEN</t>
  </si>
  <si>
    <t>ZAMBD</t>
  </si>
  <si>
    <t>MBD</t>
  </si>
  <si>
    <t>MMABATHO</t>
  </si>
  <si>
    <t>ZAMEZ</t>
  </si>
  <si>
    <t>ZAMFK</t>
  </si>
  <si>
    <t>MFK</t>
  </si>
  <si>
    <t>MAFIKENG</t>
  </si>
  <si>
    <t>ZAMGH</t>
  </si>
  <si>
    <t>MGH</t>
  </si>
  <si>
    <t>MARGATE</t>
  </si>
  <si>
    <t>ZAMZY</t>
  </si>
  <si>
    <t>MZY</t>
  </si>
  <si>
    <t>MOSSEL BAY</t>
  </si>
  <si>
    <t>ZANCS</t>
  </si>
  <si>
    <t>NCS</t>
  </si>
  <si>
    <t>NEWCASTLE</t>
  </si>
  <si>
    <t>ZANGQ</t>
  </si>
  <si>
    <t>NGQ</t>
  </si>
  <si>
    <t>PORT OF NGQURA</t>
  </si>
  <si>
    <t>ZANLP</t>
  </si>
  <si>
    <t>NLP</t>
  </si>
  <si>
    <t>NELSPRUIT</t>
  </si>
  <si>
    <t>ZANOL</t>
  </si>
  <si>
    <t>NOL</t>
  </si>
  <si>
    <t>PORT NOLLOTH</t>
  </si>
  <si>
    <t>ZANTY</t>
  </si>
  <si>
    <t>SUN CITY</t>
  </si>
  <si>
    <t>ZAOUH</t>
  </si>
  <si>
    <t>OUH</t>
  </si>
  <si>
    <t>OUDTSHOORN</t>
  </si>
  <si>
    <t>ZAPBZ</t>
  </si>
  <si>
    <t>PBZ</t>
  </si>
  <si>
    <t>PLETTENBERG BAY</t>
  </si>
  <si>
    <t>ZAPHW</t>
  </si>
  <si>
    <t>PHALABORWA</t>
  </si>
  <si>
    <t>ZAPLZ</t>
  </si>
  <si>
    <t>PORT ELIZABETH</t>
  </si>
  <si>
    <t>ZAPRK</t>
  </si>
  <si>
    <t>PRK</t>
  </si>
  <si>
    <t>PRIESKA</t>
  </si>
  <si>
    <t>ZAPRY</t>
  </si>
  <si>
    <t>PRETORIA</t>
  </si>
  <si>
    <t>ZAPTG</t>
  </si>
  <si>
    <t>PIETERSBURG</t>
  </si>
  <si>
    <t>ZAPZB</t>
  </si>
  <si>
    <t>PZB</t>
  </si>
  <si>
    <t>PIETERMARITZBURG</t>
  </si>
  <si>
    <t>ZARCB</t>
  </si>
  <si>
    <t>RCB</t>
  </si>
  <si>
    <t>RICHARDS BAY</t>
  </si>
  <si>
    <t>ZAROD</t>
  </si>
  <si>
    <t>ROBERTSON</t>
  </si>
  <si>
    <t>ZASBU</t>
  </si>
  <si>
    <t>SPRINGBOK</t>
  </si>
  <si>
    <t>ZASDB</t>
  </si>
  <si>
    <t>SDB</t>
  </si>
  <si>
    <t>SALDANHA BAY</t>
  </si>
  <si>
    <t>ZASIS</t>
  </si>
  <si>
    <t>SISHEN</t>
  </si>
  <si>
    <t>ZASMN</t>
  </si>
  <si>
    <t>SIMONSTOWN</t>
  </si>
  <si>
    <t>ZASZK</t>
  </si>
  <si>
    <t>SKUKUZA</t>
  </si>
  <si>
    <t>ZAUTN</t>
  </si>
  <si>
    <t>UTN</t>
  </si>
  <si>
    <t>UPINGTON</t>
  </si>
  <si>
    <t>ZAUTT</t>
  </si>
  <si>
    <t>UTT</t>
  </si>
  <si>
    <t>UMTATA</t>
  </si>
  <si>
    <t>ZAUTW</t>
  </si>
  <si>
    <t>UTW</t>
  </si>
  <si>
    <t>ZAVRE</t>
  </si>
  <si>
    <t>VRE</t>
  </si>
  <si>
    <t>VREDENDAL</t>
  </si>
  <si>
    <t>ZAVRU</t>
  </si>
  <si>
    <t>VRU</t>
  </si>
  <si>
    <t>VRYBURG</t>
  </si>
  <si>
    <t>ZAVYD</t>
  </si>
  <si>
    <t>VYD</t>
  </si>
  <si>
    <t>VRYHEID</t>
  </si>
  <si>
    <t>ZAWEL</t>
  </si>
  <si>
    <t>WELKOM</t>
  </si>
  <si>
    <t>ZAZEC</t>
  </si>
  <si>
    <t>ZEC</t>
  </si>
  <si>
    <t>SECUNDA</t>
  </si>
  <si>
    <t>ZAZZZ</t>
  </si>
  <si>
    <t>HCS</t>
  </si>
  <si>
    <t>HPR</t>
  </si>
  <si>
    <t>KRUGER MPUMALANGA</t>
  </si>
  <si>
    <t>MQP</t>
  </si>
  <si>
    <t>QRA</t>
  </si>
  <si>
    <t>ZAMBIA</t>
  </si>
  <si>
    <t>ザンビア</t>
  </si>
  <si>
    <t>ZMBBZ</t>
  </si>
  <si>
    <t>ZM</t>
  </si>
  <si>
    <t>BBZ</t>
  </si>
  <si>
    <t>ZAMBEZI</t>
  </si>
  <si>
    <t>ZAMB</t>
  </si>
  <si>
    <t>ZMCIP</t>
  </si>
  <si>
    <t>CIP</t>
  </si>
  <si>
    <t>CHIPATA</t>
  </si>
  <si>
    <t>ZMKAA</t>
  </si>
  <si>
    <t>KASAMA</t>
  </si>
  <si>
    <t>ZMKIW</t>
  </si>
  <si>
    <t>KITWE</t>
  </si>
  <si>
    <t>ZMKLB</t>
  </si>
  <si>
    <t>KLB</t>
  </si>
  <si>
    <t>KALABO</t>
  </si>
  <si>
    <t>ZMKMZ</t>
  </si>
  <si>
    <t>KMZ</t>
  </si>
  <si>
    <t>KAOMA</t>
  </si>
  <si>
    <t>ZMLUN</t>
  </si>
  <si>
    <t>LUSAKA</t>
  </si>
  <si>
    <t>ZMLVI</t>
  </si>
  <si>
    <t>LVI</t>
  </si>
  <si>
    <t>LIVINGSTONE</t>
  </si>
  <si>
    <t>ZMLXU</t>
  </si>
  <si>
    <t>LUKULU</t>
  </si>
  <si>
    <t>ZMMFU</t>
  </si>
  <si>
    <t>MFU</t>
  </si>
  <si>
    <t>MFUWE</t>
  </si>
  <si>
    <t>ZMMMQ</t>
  </si>
  <si>
    <t>MMQ</t>
  </si>
  <si>
    <t>MBALA</t>
  </si>
  <si>
    <t>ZMMNR</t>
  </si>
  <si>
    <t>MONGU</t>
  </si>
  <si>
    <t>ZMMNS</t>
  </si>
  <si>
    <t>MANSA</t>
  </si>
  <si>
    <t>ZMNLA</t>
  </si>
  <si>
    <t>NLA</t>
  </si>
  <si>
    <t>NDOLA</t>
  </si>
  <si>
    <t>ZMSJQ</t>
  </si>
  <si>
    <t>SESHEKE</t>
  </si>
  <si>
    <t>ZMSLI</t>
  </si>
  <si>
    <t>SOLWEZI</t>
  </si>
  <si>
    <t>ZMSXG</t>
  </si>
  <si>
    <t>SXG</t>
  </si>
  <si>
    <t>SENANGA</t>
  </si>
  <si>
    <t>ZMZGM</t>
  </si>
  <si>
    <t>ZGM</t>
  </si>
  <si>
    <t>NGOMA</t>
  </si>
  <si>
    <t>ZMZKB</t>
  </si>
  <si>
    <t>ZKB</t>
  </si>
  <si>
    <t>KASABA BAY</t>
  </si>
  <si>
    <t>ZMZKP</t>
  </si>
  <si>
    <t>ZKP</t>
  </si>
  <si>
    <t>KASOMPE</t>
  </si>
  <si>
    <t>ZMZZZ</t>
  </si>
  <si>
    <t>ZIMBABWE</t>
  </si>
  <si>
    <t>ジンバブエ</t>
  </si>
  <si>
    <t>ZWBFO</t>
  </si>
  <si>
    <t>ZW</t>
  </si>
  <si>
    <t>BFO</t>
  </si>
  <si>
    <t>BUFFALO RANGE</t>
  </si>
  <si>
    <t>ZMBAB</t>
  </si>
  <si>
    <t>ZWBUQ</t>
  </si>
  <si>
    <t>BUQ</t>
  </si>
  <si>
    <t>BULAWAYO</t>
  </si>
  <si>
    <t>ZWCHJ</t>
  </si>
  <si>
    <t>CHJ</t>
  </si>
  <si>
    <t>CHIPINGE</t>
  </si>
  <si>
    <t>ZWGWE</t>
  </si>
  <si>
    <t>GWERU</t>
  </si>
  <si>
    <t>ZWHRE</t>
  </si>
  <si>
    <t>HARARE</t>
  </si>
  <si>
    <t>ZWHWN</t>
  </si>
  <si>
    <t>HWN</t>
  </si>
  <si>
    <t>HWANGE N PARK</t>
  </si>
  <si>
    <t>ZWKAB</t>
  </si>
  <si>
    <t>KARIBA DAM</t>
  </si>
  <si>
    <t>ZWMVZ</t>
  </si>
  <si>
    <t>MVZ</t>
  </si>
  <si>
    <t>MASVINGO</t>
  </si>
  <si>
    <t>ZWUTA</t>
  </si>
  <si>
    <t>MUTARE</t>
  </si>
  <si>
    <t>ZWVFA</t>
  </si>
  <si>
    <t>VICTORIA FALLS</t>
  </si>
  <si>
    <t>ZWWKI</t>
  </si>
  <si>
    <t>HWANGE</t>
  </si>
  <si>
    <t>ZWZZZ</t>
  </si>
  <si>
    <t>IMW/IAW</t>
  </si>
  <si>
    <t>保税工場・総合保税地域</t>
  </si>
  <si>
    <t>ZXZZZ</t>
  </si>
  <si>
    <t>ZX</t>
  </si>
  <si>
    <t>ORDER</t>
  </si>
  <si>
    <t>指図式</t>
  </si>
  <si>
    <t>ZYZZZ</t>
  </si>
  <si>
    <t>ZY</t>
  </si>
  <si>
    <t>不明</t>
  </si>
  <si>
    <t>ZZZZZ</t>
  </si>
  <si>
    <t>ZZ</t>
  </si>
  <si>
    <t>T99</t>
  </si>
  <si>
    <t>地域名</t>
    <rPh sb="0" eb="3">
      <t>チイキメイ</t>
    </rPh>
    <phoneticPr fontId="2"/>
  </si>
  <si>
    <t>ヒットLOCODE</t>
    <phoneticPr fontId="2"/>
  </si>
  <si>
    <t>ヒット地域名</t>
    <rPh sb="3" eb="6">
      <t>チイキメイ</t>
    </rPh>
    <phoneticPr fontId="2"/>
  </si>
  <si>
    <t>NO.A30-2 ZHONGYE BUSINESS PARK,NO27</t>
  </si>
  <si>
    <t xml:space="preserve"> XINKANGYUAN GANJINGZI DISTRICT</t>
    <phoneticPr fontId="2"/>
  </si>
  <si>
    <t>DALIAN 116039 CHINA</t>
    <phoneticPr fontId="2"/>
  </si>
  <si>
    <t>PT.GLOBAL WAY INDONESIA</t>
  </si>
  <si>
    <t>JL RAYA PILANG KENCENG,DS KEDUNG RE</t>
  </si>
  <si>
    <t>JO,KAB.MADIUN JAWA TIMUR,INDONESIA</t>
  </si>
  <si>
    <t>PT.CITRA ABADI SEJATI</t>
    <phoneticPr fontId="2"/>
  </si>
  <si>
    <t>JL RAYA JONGGOL KP SAWAH CILEUNGSI</t>
    <phoneticPr fontId="2"/>
  </si>
  <si>
    <t>KIDUL CILEUNGSI BOGOR 16820</t>
    <phoneticPr fontId="2"/>
  </si>
  <si>
    <t>JAWA BARAT INDONESIA</t>
    <phoneticPr fontId="2"/>
  </si>
  <si>
    <t>DALIAN HEART GARMENT CO.,LTD.</t>
    <phoneticPr fontId="2"/>
  </si>
  <si>
    <t>NISHIZAWA</t>
    <phoneticPr fontId="2"/>
  </si>
  <si>
    <t>CAPITAL WOOLS TRADING COMPANY</t>
  </si>
  <si>
    <t>3247 AL THUMIRI STREET AL DIRAH DIS</t>
  </si>
  <si>
    <t>T RIYADH SAUDI ARABIA</t>
  </si>
  <si>
    <t xml:space="preserve">MOHD QASSIM TEXTILE CO LLC </t>
    <phoneticPr fontId="2"/>
  </si>
  <si>
    <t>PO BOX 50986 DUBAI UAE</t>
    <phoneticPr fontId="2"/>
  </si>
  <si>
    <t>MOHD QASSIM TEXTILE CO (LLC)</t>
  </si>
  <si>
    <t>KJM TRADING LLC</t>
  </si>
  <si>
    <t>SHOP01 AL SAYESH BUILDING,AL SUQ AL</t>
  </si>
  <si>
    <t>KABEER PLOT 658 PO BOX NO12544 UAE</t>
  </si>
  <si>
    <t>METEX</t>
  </si>
  <si>
    <t>GOODWELD CORP</t>
  </si>
  <si>
    <t>NO99 HUAN KUNG ROAD YUNG KANG</t>
  </si>
  <si>
    <t>HSIANG TAINAN HSIEN TAIWAN ROC</t>
  </si>
  <si>
    <t>VIETNAM KIM VIET FOOTWEAR CO.,LTD.</t>
    <phoneticPr fontId="2"/>
  </si>
  <si>
    <t>CONG TOWN,NONG CONG DISTRICT,</t>
    <phoneticPr fontId="2"/>
  </si>
  <si>
    <t>THANH HOA PROVINCE,VIETNAM</t>
    <phoneticPr fontId="2"/>
  </si>
  <si>
    <t>NONG CONG INDUSTRIAL ZONE,NONG</t>
    <phoneticPr fontId="2"/>
  </si>
  <si>
    <t>RANKA LIMITED</t>
    <phoneticPr fontId="2"/>
  </si>
  <si>
    <t>UNIT801,8/F,NANYANG PLAZA57 HUNG TO</t>
  </si>
  <si>
    <t>ROAD,KWUN TONG,KOWLOON,HONG KONG</t>
    <phoneticPr fontId="2"/>
  </si>
  <si>
    <t>仕向人番号入力</t>
    <rPh sb="0" eb="3">
      <t>シムケニン</t>
    </rPh>
    <rPh sb="3" eb="5">
      <t>バンゴウ</t>
    </rPh>
    <rPh sb="5" eb="7">
      <t>ニュウリョク</t>
    </rPh>
    <phoneticPr fontId="2"/>
  </si>
  <si>
    <t>CHANGCHUN SHIPPING(SHANGHAI)CO.,LIMITED</t>
    <phoneticPr fontId="2"/>
  </si>
  <si>
    <t>ROOM503-506,SHIP RESEARCH BUILDING,</t>
    <phoneticPr fontId="2"/>
  </si>
  <si>
    <t>NO600 MIN SHENG ROAD,PUDONG</t>
    <phoneticPr fontId="2"/>
  </si>
  <si>
    <t>NANTONG DONGRUN INDUSTRY CO.,LTD.</t>
    <phoneticPr fontId="2"/>
  </si>
  <si>
    <t>JIANGSU RUGAO JIUHUA INDUSTRIES</t>
    <phoneticPr fontId="2"/>
  </si>
  <si>
    <t>ZONE 204 HIGHWAY CHINA</t>
    <phoneticPr fontId="2"/>
  </si>
  <si>
    <t>ORIENT INTERNATIONAL ENTERPRISE LTD</t>
    <phoneticPr fontId="2"/>
  </si>
  <si>
    <t>TOWER A 85 LOUSHANGUAN ROAD</t>
    <phoneticPr fontId="2"/>
  </si>
  <si>
    <t>SHANGHAI CHINA</t>
    <phoneticPr fontId="2"/>
  </si>
  <si>
    <t>MARUHISA INTERNATIONAL CO.,LTD.</t>
    <phoneticPr fontId="2"/>
  </si>
  <si>
    <t xml:space="preserve">1/8 ROJANA ROAD,MOO5,THABOL </t>
    <phoneticPr fontId="2"/>
  </si>
  <si>
    <t>KANHARM,AMPHUR UTHAI,AYUTHAYA</t>
    <phoneticPr fontId="2"/>
  </si>
  <si>
    <t>13210 THAILAND</t>
  </si>
  <si>
    <t>MONTI</t>
    <phoneticPr fontId="2"/>
  </si>
  <si>
    <t>MICHAEL'S BRIDAL FABRICS</t>
  </si>
  <si>
    <t>LOWER ROAD,NORTHFLEET UNIT F4</t>
  </si>
  <si>
    <t>NORTHFLEET INDUSTRIAL STATE</t>
  </si>
  <si>
    <t>KENT DA11 9SW UNITED KINGDOM</t>
  </si>
  <si>
    <t>SON HA CO.,LTD.</t>
    <phoneticPr fontId="2"/>
  </si>
  <si>
    <t>THAI BINH BRANCH VU NINH WARD,</t>
    <phoneticPr fontId="2"/>
  </si>
  <si>
    <t>KIEN XUONG DISTRICT,THAI BINH</t>
    <phoneticPr fontId="2"/>
  </si>
  <si>
    <t>PROVINCE,VIETNAM</t>
    <phoneticPr fontId="2"/>
  </si>
  <si>
    <t>SAO MAI TRADING COMPANY LTD</t>
    <phoneticPr fontId="2"/>
  </si>
  <si>
    <t>LOT CN10 TAN LIEN INDUSTRIAL ZONE</t>
    <phoneticPr fontId="2"/>
  </si>
  <si>
    <t>TAN LIEN COMMUNE VINH BAO DISTRICT</t>
    <phoneticPr fontId="2"/>
  </si>
  <si>
    <t>HAIPHONG CITY,VIETNAM</t>
    <phoneticPr fontId="2"/>
  </si>
  <si>
    <t>NIDEK OKK MACHINERY(THAILAND)CO.,LTD</t>
  </si>
  <si>
    <t>36/49 MOO7 SUKSAWAT ROAD,BANGJAK,PH</t>
  </si>
  <si>
    <t>RAPRADAENG,SAMUTPRAKARN 10130 THAIL</t>
  </si>
  <si>
    <t>DALIAN FUGE GARMENT CO LTD</t>
    <phoneticPr fontId="2"/>
  </si>
  <si>
    <t>NO11-1-C CHIFENG STREET E/T</t>
    <phoneticPr fontId="2"/>
  </si>
  <si>
    <t>DEVELOP-MENT ZONE DALIAN CHINA</t>
    <phoneticPr fontId="2"/>
  </si>
  <si>
    <t>NANTONG ZHONGCHAO FASHION CO.,LTD</t>
    <phoneticPr fontId="2"/>
  </si>
  <si>
    <t>WITH 2 ROOMS,2STORES,FAIRVIEW PARK,</t>
    <phoneticPr fontId="2"/>
  </si>
  <si>
    <t>CHONGCHUAN DISTRICT,NANTONG CITY,JI</t>
    <phoneticPr fontId="2"/>
  </si>
  <si>
    <t>ANGSU,CHINA</t>
    <phoneticPr fontId="2"/>
  </si>
  <si>
    <t>SHANGHAI KUNJIN TEXTILE CO.,LTD</t>
    <phoneticPr fontId="2"/>
  </si>
  <si>
    <t>ROOM709,NO1438 SHANXI NORTH ROAD</t>
    <phoneticPr fontId="2"/>
  </si>
  <si>
    <t>PUTUO DISTRICT SHANGHAI,CHINA</t>
    <phoneticPr fontId="2"/>
  </si>
  <si>
    <t>ALTON(TIANJIN)BICYCLE CO.,LTD.</t>
  </si>
  <si>
    <t>TIANYU SCIENTIFIC&amp;TECHNOLOGICAL</t>
  </si>
  <si>
    <t>PARK,JINGHAI DISTRICT,TIANJIN CHINA</t>
  </si>
  <si>
    <t>MOBIC</t>
    <phoneticPr fontId="2"/>
  </si>
  <si>
    <t>UNITIKA(BEIJING) TRADING CO LTD</t>
    <phoneticPr fontId="2"/>
  </si>
  <si>
    <t>ROOM406 FENGTAI CENTRE NO2 ZHUSHI</t>
    <phoneticPr fontId="2"/>
  </si>
  <si>
    <t>KOU EAST STREET DONG CHENG DISTRICT</t>
    <phoneticPr fontId="2"/>
  </si>
  <si>
    <t>BEIJING PC100062</t>
  </si>
  <si>
    <t>QUANG XUAN TRADING AND SERVICE CO.,LTD.</t>
    <phoneticPr fontId="2"/>
  </si>
  <si>
    <t xml:space="preserve">NO404 22 HIGHWAY TANLAP TAN </t>
    <phoneticPr fontId="2"/>
  </si>
  <si>
    <t>THONG HOI VILLAGE CUCHI DIST</t>
    <phoneticPr fontId="2"/>
  </si>
  <si>
    <t>NISHIKAWA KEORI</t>
    <phoneticPr fontId="2"/>
  </si>
  <si>
    <t>MAN OU GARMENT CO LTD</t>
    <phoneticPr fontId="2"/>
  </si>
  <si>
    <t>PHUM AUTRAV KHOM ENDONG TMOR</t>
    <phoneticPr fontId="2"/>
  </si>
  <si>
    <t>SROK PREYNUO SIHANOUK</t>
    <phoneticPr fontId="2"/>
  </si>
  <si>
    <t>PROVINCE CAMBODIA</t>
    <phoneticPr fontId="2"/>
  </si>
  <si>
    <t>CHANGKAI INTERNATIONAL CO LTD</t>
  </si>
  <si>
    <t>11ROOM 15F NO12 GANGDONG STREET YIF</t>
  </si>
  <si>
    <t>ANG FINANCIAL SQUARE DALIAN CHINA</t>
  </si>
  <si>
    <t>SUNWARD</t>
    <phoneticPr fontId="2"/>
  </si>
  <si>
    <t>HAIYAN GARMENT FACTORY</t>
    <phoneticPr fontId="2"/>
  </si>
  <si>
    <t>NO60 LONGSHEZUI RD TONGYUAN</t>
    <phoneticPr fontId="2"/>
  </si>
  <si>
    <t>TOWN HAIYAN ZHEJIANG CHINA</t>
    <phoneticPr fontId="2"/>
  </si>
  <si>
    <t>DALIAN HONGXIN CLOTHING CO.,LTD</t>
    <phoneticPr fontId="2"/>
  </si>
  <si>
    <t>HUAYANSI VILAGE DALIUJIA TOWN PU</t>
    <phoneticPr fontId="2"/>
  </si>
  <si>
    <t>LANDIAN LIAONING DALIAN CHINA</t>
    <phoneticPr fontId="2"/>
  </si>
  <si>
    <t>ASHAR BROTHERS</t>
    <phoneticPr fontId="2"/>
  </si>
  <si>
    <t>PO BOX 352 DUBAI UAE</t>
    <phoneticPr fontId="2"/>
  </si>
  <si>
    <t>ABDUL MAJID WASE SAIF FOR TRADING</t>
  </si>
  <si>
    <t>PO BOX 16344 JEDDAH 21464 SAUDI ARA</t>
  </si>
  <si>
    <t>BIA</t>
    <phoneticPr fontId="2"/>
  </si>
  <si>
    <t>WOOL CORNER TRADING CO.LTD</t>
    <phoneticPr fontId="2"/>
  </si>
  <si>
    <t>AL BALAD KING ABDULAZIZ STREET</t>
    <phoneticPr fontId="2"/>
  </si>
  <si>
    <t>PO BOX 16667 21474-JEDDAH-SA</t>
    <phoneticPr fontId="2"/>
  </si>
  <si>
    <t>PT DAESE GARMIN</t>
    <phoneticPr fontId="2"/>
  </si>
  <si>
    <t>JL.H.IBRAHIM, ADJIE NO.90</t>
    <phoneticPr fontId="2"/>
  </si>
  <si>
    <t>(D/H JL,KIARACONDONG NO.90)</t>
    <phoneticPr fontId="2"/>
  </si>
  <si>
    <t>BANDUNG 40272 INDONESIA</t>
    <phoneticPr fontId="2"/>
  </si>
  <si>
    <t>OOCL (TAIWAN) CO.,LTD.</t>
    <phoneticPr fontId="2"/>
  </si>
  <si>
    <t xml:space="preserve">YU KONG N 3RD,CHEN-ZHENG,NO66 PIER </t>
    <phoneticPr fontId="2"/>
  </si>
  <si>
    <t>KAOHSIUNG(806),TAIWAN ROC</t>
    <phoneticPr fontId="2"/>
  </si>
  <si>
    <t>OOCL LOGISTICS(KOREA)LTD</t>
    <phoneticPr fontId="2"/>
  </si>
  <si>
    <t>WUXI YIJIN GARMENT CO.,LTD.</t>
    <phoneticPr fontId="2"/>
  </si>
  <si>
    <t>NO.168,CHANGBA ROAD,CHANG'AN</t>
    <phoneticPr fontId="2"/>
  </si>
  <si>
    <t>TOWN WUXI CITY</t>
    <phoneticPr fontId="2"/>
  </si>
  <si>
    <t>NANTONG QINGFENG TEXTILE CO.,LTD.</t>
    <phoneticPr fontId="2"/>
  </si>
  <si>
    <t>NO3 WORKSHOP,SHANGHAI ROAD,DEVELOPM</t>
  </si>
  <si>
    <t>ENT ZONE,NANTONG,JIANGSU,CHINA</t>
  </si>
  <si>
    <t>23F GRAND HOTEL FOUTUNE CENTER QING</t>
    <phoneticPr fontId="2"/>
  </si>
  <si>
    <t>NIAN EAST ROAD NANTONG JIANGSU CHINA</t>
    <phoneticPr fontId="2"/>
  </si>
  <si>
    <t>SHANGHAI TIANTAN INTERNATIONAL TRADING CO.,LTD.</t>
    <phoneticPr fontId="2"/>
  </si>
  <si>
    <t xml:space="preserve">ROOM901,BUILDING2,NO.1080,CHANGYANG </t>
    <phoneticPr fontId="2"/>
  </si>
  <si>
    <t>ROAD,SHANGHAI CHINA</t>
  </si>
  <si>
    <t>K2</t>
    <phoneticPr fontId="2"/>
  </si>
  <si>
    <t>YEAN DU TRADING CO.,LTD.</t>
    <phoneticPr fontId="2"/>
  </si>
  <si>
    <t>NO.70,32 ROAD,TAICHUNG INDUSTRIAL</t>
  </si>
  <si>
    <t>DOM HOME SCIENCE GLASSMIRROR CO.,LTD.</t>
  </si>
  <si>
    <t>D-4B-CN LOT,MY PHUOC 3 INDUSTRIAL P</t>
  </si>
  <si>
    <t>ARK,BEN CAT TOWNSHIP,BINH DUONG PRO</t>
  </si>
  <si>
    <t>VINCE,VIETNAM</t>
  </si>
  <si>
    <t>FUKUGAMI KAKEN</t>
    <phoneticPr fontId="2"/>
  </si>
  <si>
    <t>PHUONG VAN CO VIET TRI CITY PHU THO</t>
  </si>
  <si>
    <t xml:space="preserve"> PROVINCE VIETNAM</t>
  </si>
  <si>
    <t>PARK,TAICHUNG 407 TAIWAN</t>
    <phoneticPr fontId="2"/>
  </si>
  <si>
    <t>Q</t>
    <phoneticPr fontId="2"/>
  </si>
  <si>
    <t>TOFU S.R.O.</t>
  </si>
  <si>
    <t>U LETISTE 1857,76502 OTOROKOVICE CZ</t>
  </si>
  <si>
    <t>ECH REPUBLIC</t>
  </si>
  <si>
    <t>THUYEN NGUYEN TRADING IMPORT-EXPORT CO.,LTD.</t>
    <phoneticPr fontId="2"/>
  </si>
  <si>
    <t>ZONE,SON TINH DIST,QUANG NGAI PROVI</t>
    <phoneticPr fontId="2"/>
  </si>
  <si>
    <t>NCE,VIETNAM</t>
  </si>
  <si>
    <t>LOT C07(07-06)TINH PHONG INDUSTRIAL</t>
    <phoneticPr fontId="2"/>
  </si>
  <si>
    <t>SHINMEI</t>
    <phoneticPr fontId="2"/>
  </si>
  <si>
    <t>SHINMEI VIETNAM CO.,LTD.</t>
  </si>
  <si>
    <t>ROAD206,SECTION E,PHONOI A IP,DINH</t>
  </si>
  <si>
    <t>DU COMMUNE,VAN LAM DIST,HUNG YEN PR</t>
  </si>
  <si>
    <t>NK CORPORATION</t>
  </si>
  <si>
    <t>#1001,WOOLIM-LIONSVALLEY-II,680,GAS</t>
  </si>
  <si>
    <t>AN-DONG,GEUMCHEON-GU,SEOUL,KOREA 15</t>
  </si>
  <si>
    <t>3-803</t>
  </si>
  <si>
    <t>NEW ERA GARMENT COMPANY LIMITED</t>
  </si>
  <si>
    <t>339/2 AN PHU 19,AN PHU WARD,THUAN A</t>
  </si>
  <si>
    <t>N CITY,BINH DUONG PROVINCE,VIETNAM</t>
  </si>
  <si>
    <t>DALIAN LIANGQI GARMENTS CO.,LTD.</t>
  </si>
  <si>
    <t>NO.200 LUGANGHUIBAI ROAD GANJINGZI</t>
  </si>
  <si>
    <t>DIST DALIAN CHINA</t>
  </si>
  <si>
    <t>PT.KWANGDUK WORLDWIDE</t>
    <phoneticPr fontId="2"/>
  </si>
  <si>
    <t>JL.RAYA CIPEUNDEUY KP.CISAUHEUN,RT0</t>
  </si>
  <si>
    <t>1,RW13,KELURAHAN.CIKALONG,KECAMATAN</t>
  </si>
  <si>
    <t>.CIKALONGWETAN,KABUPATEN,BANDUNG JA</t>
  </si>
  <si>
    <t>WA BARAT-INDONESIA</t>
  </si>
  <si>
    <t>KUNSHAN AILIANG IRON CLOTHES CO.,LTD.</t>
    <phoneticPr fontId="2"/>
  </si>
  <si>
    <t>XINANGHUA ROAD NO3 LUJIA TOWN</t>
    <phoneticPr fontId="2"/>
  </si>
  <si>
    <t>KUNSHAN JIANGSU CHINA</t>
    <phoneticPr fontId="2"/>
  </si>
  <si>
    <t>DALIAN SENRUI GARMENTS CO.,LTD</t>
    <phoneticPr fontId="2"/>
  </si>
  <si>
    <t>ROOM 413,NO.56 BEIDOU STREET,</t>
    <phoneticPr fontId="2"/>
  </si>
  <si>
    <t>HEILONGJIANG SANTE TEXTILE AND GARMENT INDUSTRY (GROUP) CO.,LTD.</t>
  </si>
  <si>
    <t>N02 FUQIANG STREET HAILUN</t>
  </si>
  <si>
    <t>HEILONGJIANG CHINA</t>
  </si>
  <si>
    <t>KURABO</t>
    <phoneticPr fontId="2"/>
  </si>
  <si>
    <t>PT.SURYA BERKAT INDONESIA</t>
    <phoneticPr fontId="2"/>
  </si>
  <si>
    <t>JL.DELANGGU POLAN HARJO KM2,6 RT002</t>
  </si>
  <si>
    <t>/RW003 DESA MENDAK KEC.DELANGGU KAB</t>
  </si>
  <si>
    <t>.KLATEN,JAWA TENGAH,INDONESIA</t>
  </si>
  <si>
    <t>PT.MONDRIAN</t>
    <phoneticPr fontId="2"/>
  </si>
  <si>
    <t xml:space="preserve">JL.KH HASYIM ASHARI NO.171 MOJAYAN </t>
  </si>
  <si>
    <t>KLATEN TENGAH JAWA TENGAH INDONESIA</t>
  </si>
  <si>
    <t>BRANCH IN PHU THO,THYGESEN TEXTILE VIETNAM CO.,LTD.</t>
  </si>
  <si>
    <t>VILLAGE 11,YEN LAP TOWN,YEN LAP DIS</t>
  </si>
  <si>
    <t>T,PHU THO PROVINCE,VIETNAM</t>
  </si>
  <si>
    <t>MASHAR TAILORING ESTABLISHMENT</t>
    <phoneticPr fontId="2"/>
  </si>
  <si>
    <t>PO BOX 88395 RIYADH 11662</t>
    <phoneticPr fontId="2"/>
  </si>
  <si>
    <t>SAUDI ARABIA</t>
    <phoneticPr fontId="2"/>
  </si>
  <si>
    <t>9FL HEUNGWOO BUILDING,89-2 4KA CHUN</t>
  </si>
  <si>
    <t>GANGDONG,CHUNG-KU,PUSAN 48939 KOREA</t>
  </si>
  <si>
    <t>MUROTANI</t>
    <phoneticPr fontId="2"/>
  </si>
  <si>
    <t>KUNSHAN XINDONGHU CLOTHING CO.,LTD.</t>
    <phoneticPr fontId="2"/>
  </si>
  <si>
    <t>NANYAN ROAD1,DIANSHAN HU TONG KUNSH</t>
  </si>
  <si>
    <t>AN CITY JIANGSHOUSHENG,CHINA 215345</t>
  </si>
  <si>
    <t>SHANGHAI OCEAN SHIPPING COMPANY LTD.</t>
  </si>
  <si>
    <t>NO415 ZHENGMIN ROAD,SHANGHAI,CHINA</t>
  </si>
  <si>
    <t>LEPONT</t>
    <phoneticPr fontId="2"/>
  </si>
  <si>
    <t>MASHIN SHOKAI</t>
    <phoneticPr fontId="2"/>
  </si>
  <si>
    <t>BX SHINSEI SEIKI</t>
    <phoneticPr fontId="2"/>
  </si>
  <si>
    <t>TOYOTA TSUSHO</t>
    <phoneticPr fontId="2"/>
  </si>
  <si>
    <t>SUZHOU HENGRUN IMPORT &amp; EXPORT CORP.,LTD</t>
  </si>
  <si>
    <t>201 ZHUHUI ROAD,SUZHOU,CHINA 215006</t>
  </si>
  <si>
    <t>HUZHOU NON NON FASHION CO.,LTD.</t>
  </si>
  <si>
    <t>1ST FLOOR,BUILDING1,NO.50 CAODANGYA</t>
  </si>
  <si>
    <t>NG ROAD,HUZHOU,ZHEJIANG,PR OF CHINA</t>
  </si>
  <si>
    <t>SHANGHAI SEIWA FASHION CO.,LTD.</t>
  </si>
  <si>
    <t xml:space="preserve">NO3065 LIUXIANG ROAD,JIANBANG TOWN </t>
  </si>
  <si>
    <t>JIADING DISTRICT SHANGHAI CHINA</t>
  </si>
  <si>
    <t>TEIJIN FRONTIER (SHANGHAI) CO.,LTD.</t>
  </si>
  <si>
    <t>ROOM 2901,SHANGHAI INTERNATIONAL TR</t>
  </si>
  <si>
    <t>ADE CENTER 2201,YAN-AN ROAD(WEST),S</t>
  </si>
  <si>
    <t>HANGHAI,CHINA</t>
  </si>
  <si>
    <t>NIDEC MACHINE</t>
    <phoneticPr fontId="2"/>
  </si>
  <si>
    <t>CHONGQING YONGXUN TRADING DEVELOPMENT CO.,LTD.</t>
    <phoneticPr fontId="2"/>
  </si>
  <si>
    <t>NO.2-28 WUHUAN TOWER NO.120 XINGLON</t>
  </si>
  <si>
    <t>GWAN SHIPINGQIAO CHONGQING CITY</t>
  </si>
  <si>
    <t>ABDULLAH AL HARBI GENERAL TRADING</t>
    <phoneticPr fontId="2"/>
  </si>
  <si>
    <t>IBRAHIM AL HAMMADY,OFFICE 16 MANAMA</t>
  </si>
  <si>
    <t xml:space="preserve"> STREET,RAS AL KHOR INDUSTRIAL AREA</t>
  </si>
  <si>
    <t xml:space="preserve"> 1,DUBAI,UAE PO BOX 97229</t>
  </si>
  <si>
    <t>UNITED ARAB EMIRATES</t>
    <phoneticPr fontId="2"/>
  </si>
  <si>
    <t>G ALFAHIDI ROAD PO BOX 50986 DUBAI</t>
    <phoneticPr fontId="2"/>
  </si>
  <si>
    <t>SHOP9 MOHD SULTAN BELSHALAT BUILDIN</t>
    <phoneticPr fontId="2"/>
  </si>
  <si>
    <t>BEST INDUSTRIAL CO.,LTD</t>
    <phoneticPr fontId="2"/>
  </si>
  <si>
    <t>107(A)/42,INDUSTRIAL ESTATE SHWEPYI</t>
  </si>
  <si>
    <t>THAR TOWNSHIP,YANGON,MYANMAR</t>
  </si>
  <si>
    <t>SHANGHAI KYOUTA MACHINERY EQUIPMENT CO,LTD</t>
  </si>
  <si>
    <t>ROOM 603,NO20,FUDU ROAD111 LANE,MIN</t>
  </si>
  <si>
    <t>HANG DISTRICT,201199 SHANGHAI,CHINA</t>
  </si>
  <si>
    <t>NANTONG VANWELL GARMENTS CO.,LTD.</t>
    <phoneticPr fontId="2"/>
  </si>
  <si>
    <t>27 MIDDLE ZHONGXIU ROAD,NANTONG JIA</t>
  </si>
  <si>
    <t>NGSU</t>
  </si>
  <si>
    <t>IHSAN KOCAK MAKINA SAN.VE TIC.</t>
  </si>
  <si>
    <t>AS//F.CAKMAK MH.BUSAN SAN.SIT.10642</t>
  </si>
  <si>
    <t>SK.NO:32-34-36,42250 KARATAY KONYA</t>
  </si>
  <si>
    <t>IHSAN KOCAK MAKINA SANAYI VE TICARET A.S.</t>
  </si>
  <si>
    <t>FEVZI CAKMAKMAH.BUSAN O.O.S.B.10642</t>
  </si>
  <si>
    <t xml:space="preserve"> SK.NO:32-34-36PK KARATAY/KONYA 420</t>
  </si>
  <si>
    <t>50 TURKEY</t>
  </si>
  <si>
    <t>SINOSKY LIMITED</t>
  </si>
  <si>
    <t>NO18 HUZHOU STREET,GONGSHU DISTRICT</t>
  </si>
  <si>
    <t>,HANGZHOU,ZHEJIANG,CHINA</t>
  </si>
  <si>
    <t>SUZHOU WAN MEI SWEATER KNITTING CO.,LTD</t>
  </si>
  <si>
    <t>12 NO.100 FENGJIANG ROAD,MUDU,SUZHO</t>
  </si>
  <si>
    <t>U JIANGSU CHINA 215101</t>
  </si>
  <si>
    <t>ZHEJIANG JASAN HOLDING GROUP CO.,LTD.</t>
  </si>
  <si>
    <t>NO.111 JINYI ROAD,XIAOSHAN ECONOMIC</t>
  </si>
  <si>
    <t>&amp;TECHNOLOGICAL DEVELOPMENT ZONE,HAN</t>
  </si>
  <si>
    <t>GZHOU CITY,CHINA</t>
  </si>
  <si>
    <t>BRANCH OF DH IMPORT-EXPORT AND TRADING COMPANY LIMITED IN NAM DINH</t>
  </si>
  <si>
    <t>KM 3.5 S2 ROAD,NGHIA AN COMMUNE,NAM</t>
  </si>
  <si>
    <t xml:space="preserve"> TRUC DISTRICT,NAM DINH PROVINCE,VI</t>
  </si>
  <si>
    <t>ETNAM</t>
    <phoneticPr fontId="2"/>
  </si>
  <si>
    <t>U WORLD SPORTS(VIETNAM)CO.,LTD.</t>
  </si>
  <si>
    <t>HILL30,TAM DAN TOWN,PHU NINH DISTRI</t>
  </si>
  <si>
    <t>CT,QUANG NAM PROVINCE,VIETNAM</t>
  </si>
  <si>
    <t>HOA THO TEXTILE-GARMENT JOINT STOCK CORPORATION</t>
  </si>
  <si>
    <t>BAO NGOC GARMENT EMBROIDERY CO.,LTD.</t>
  </si>
  <si>
    <t>NANTONG ZHONGHE TEXTILES &amp; GARMENTS CO.,LTD</t>
  </si>
  <si>
    <t>NO328 HUANENG ROAD NANTONG JIANGSU</t>
  </si>
  <si>
    <t>STARLILY</t>
    <phoneticPr fontId="2"/>
  </si>
  <si>
    <t>YANTAI XIN TONG GARMENT CO.,LTD.</t>
  </si>
  <si>
    <t>2F FUDA FURNITURE FACTORY NO21</t>
  </si>
  <si>
    <t>XIULIN ROAD LAISHAN DISTRICT</t>
  </si>
  <si>
    <t>YANTAI CHINA</t>
  </si>
  <si>
    <t>DALIAN FULI FASHION CO.,LTD.</t>
  </si>
  <si>
    <t>1003,20B GANGWAN ST,ZHONGSHAN</t>
  </si>
  <si>
    <t>DIST,DALIAN,CHINA</t>
  </si>
  <si>
    <t>QINGDAO HOME FASHION TEXTILE CO.,LTD.</t>
  </si>
  <si>
    <t>BUXI ROAD,JIMO CITY QINGDAO,CHINA</t>
  </si>
  <si>
    <t>UENO FOOD</t>
    <phoneticPr fontId="2"/>
  </si>
  <si>
    <t>UENO FINE CHEMICALS INDUSTRY (THAILAND) LTD.</t>
  </si>
  <si>
    <t>33/129 26TH FLOOR,WALL STREET TOWER</t>
  </si>
  <si>
    <t xml:space="preserve"> BLDG.,SURAWONG ROAD,BANGKOK 10500</t>
  </si>
  <si>
    <t>CONTINENTAL TIRES(CHINA)CO.,LTD.</t>
  </si>
  <si>
    <t>1588 DABIESHAN ROAD NANGANG TECHNOL</t>
  </si>
  <si>
    <t>OGY ZONE,HEFEI 231283 ANHUI,PEOPLE'</t>
  </si>
  <si>
    <t>S REPUBLIC OF CHINA</t>
  </si>
  <si>
    <t>QINGDAO CANAAN HOME FASHION PRODUCTS CO.,LTD.</t>
  </si>
  <si>
    <t>2F,BUILDING6,NEW FINANCIAL INDUSTRI</t>
  </si>
  <si>
    <t>AL PARK,NO.34 GUANTAO ROAD,QINGDAO,</t>
  </si>
  <si>
    <t>YEBISU CORPORATION</t>
  </si>
  <si>
    <t>12222 WILSHIRE BLVD PH8 LOS ANGELES</t>
  </si>
  <si>
    <t>,CA 90025</t>
  </si>
  <si>
    <t>DAIKI</t>
    <phoneticPr fontId="2"/>
  </si>
  <si>
    <t>MANILA OKABE APPAREL CORPORATION</t>
  </si>
  <si>
    <t>112 EXCELLENCE AVENUE CARMELRAY IND</t>
  </si>
  <si>
    <t>USTRIAL PARK 1,CANLUBANG,LAGUNA,PHI</t>
  </si>
  <si>
    <t>LIPPINES</t>
  </si>
  <si>
    <t>PT.SURYA BERKAT INDONESIA</t>
  </si>
  <si>
    <t>JL.DELANGGU-POLANHARJO KM.2.6 RT.00</t>
  </si>
  <si>
    <t>2/RW.003 DESA MENDAK,KEC.DELANGGU-K</t>
  </si>
  <si>
    <t>AB.KLATEN-JAWA TENGAH</t>
  </si>
  <si>
    <t>SAFEENAH AL-HAYAT TAILORS FOR MEN &amp; FABRICS CO.,W.L.L.,</t>
  </si>
  <si>
    <t>HABIBOLLAH S.SOURGHALI AL QIBLA-BLO</t>
  </si>
  <si>
    <t>CK NO.6,STREET NO.46,BUILDING NO.1S</t>
  </si>
  <si>
    <t>HOP NO.2+3+4,FLOOR NO.1,KUWAIT CITY</t>
  </si>
  <si>
    <t>,KUWAIT</t>
  </si>
  <si>
    <t>YILDIZ PUL OTOMOTIV MOTOR PARCALARI SANAYI A.S</t>
  </si>
  <si>
    <t>ANKARA YOLU UZERI KONSAN SANAYI BOL</t>
  </si>
  <si>
    <t>GESI 10727 SK.NO:32 PK:42050 KONYA/</t>
  </si>
  <si>
    <t>TURKIYE</t>
  </si>
  <si>
    <t xml:space="preserve">申請番号　   </t>
    <rPh sb="0" eb="2">
      <t>シンセイ</t>
    </rPh>
    <phoneticPr fontId="17"/>
  </si>
  <si>
    <t>税関様式Ｐ第７７００号</t>
  </si>
  <si>
    <t>加工・組立輸出貨物確認申告書</t>
    <rPh sb="0" eb="2">
      <t>カコウ</t>
    </rPh>
    <rPh sb="3" eb="5">
      <t>クミタテ</t>
    </rPh>
    <rPh sb="11" eb="13">
      <t>シンコク</t>
    </rPh>
    <rPh sb="13" eb="14">
      <t>ショ</t>
    </rPh>
    <phoneticPr fontId="17"/>
  </si>
  <si>
    <t>申　請　者</t>
    <rPh sb="0" eb="1">
      <t>サル</t>
    </rPh>
    <rPh sb="2" eb="3">
      <t>ショウ</t>
    </rPh>
    <rPh sb="4" eb="5">
      <t>シャ</t>
    </rPh>
    <phoneticPr fontId="20"/>
  </si>
  <si>
    <t>代　理　人</t>
    <phoneticPr fontId="20"/>
  </si>
  <si>
    <t>通関業者</t>
  </si>
  <si>
    <t>住  　　所</t>
    <phoneticPr fontId="20"/>
  </si>
  <si>
    <t>神戸市灘区摩耶埠頭2番地1</t>
    <rPh sb="0" eb="3">
      <t>コウベシ</t>
    </rPh>
    <rPh sb="3" eb="5">
      <t>ナダク</t>
    </rPh>
    <rPh sb="5" eb="7">
      <t>マヤ</t>
    </rPh>
    <rPh sb="7" eb="9">
      <t>フトウ</t>
    </rPh>
    <rPh sb="10" eb="12">
      <t>バンチ</t>
    </rPh>
    <phoneticPr fontId="20"/>
  </si>
  <si>
    <t>氏名</t>
    <phoneticPr fontId="20"/>
  </si>
  <si>
    <t>五洋ロジテム株式会社</t>
    <rPh sb="0" eb="2">
      <t>ゴヨウ</t>
    </rPh>
    <rPh sb="6" eb="10">
      <t>カブシキガイシャ</t>
    </rPh>
    <phoneticPr fontId="20"/>
  </si>
  <si>
    <t>（名称及び代表権者の氏名）</t>
    <rPh sb="1" eb="3">
      <t>メイショウ</t>
    </rPh>
    <rPh sb="3" eb="4">
      <t>オヨ</t>
    </rPh>
    <rPh sb="5" eb="7">
      <t>ダイヒョウ</t>
    </rPh>
    <rPh sb="7" eb="8">
      <t>ケン</t>
    </rPh>
    <rPh sb="8" eb="9">
      <t>シャ</t>
    </rPh>
    <rPh sb="10" eb="12">
      <t>シメイ</t>
    </rPh>
    <phoneticPr fontId="17"/>
  </si>
  <si>
    <t>代表取締役　 有　真司</t>
    <rPh sb="0" eb="5">
      <t>ダイヒョウトリシマリヤク</t>
    </rPh>
    <rPh sb="7" eb="8">
      <t>アリ</t>
    </rPh>
    <rPh sb="9" eb="11">
      <t>シンジ</t>
    </rPh>
    <phoneticPr fontId="20"/>
  </si>
  <si>
    <t>下記の貨物は加工又は組立てのため輸出しますが、製品を輸入する際関税の軽減を受けたいので、</t>
    <phoneticPr fontId="20"/>
  </si>
  <si>
    <t>関税暫定措置法施行令第22条第 1項の規定により申請しますから確認して下さい。</t>
    <rPh sb="24" eb="26">
      <t>シンセイ</t>
    </rPh>
    <phoneticPr fontId="20"/>
  </si>
  <si>
    <t>記</t>
  </si>
  <si>
    <t>　品　名</t>
    <phoneticPr fontId="20"/>
  </si>
  <si>
    <t>貨物の性質、形状</t>
  </si>
  <si>
    <t>　数量</t>
    <phoneticPr fontId="20"/>
  </si>
  <si>
    <t>輸出申告価格の</t>
  </si>
  <si>
    <t>記号及び番号</t>
  </si>
  <si>
    <t>計算の基礎</t>
  </si>
  <si>
    <t>輸</t>
  </si>
  <si>
    <t>出</t>
  </si>
  <si>
    <t>CONTRACT NO.</t>
    <phoneticPr fontId="20"/>
  </si>
  <si>
    <t>貨</t>
  </si>
  <si>
    <t xml:space="preserve">AS PER </t>
    <phoneticPr fontId="20"/>
  </si>
  <si>
    <t>物</t>
  </si>
  <si>
    <t>ATTACHED</t>
    <phoneticPr fontId="20"/>
  </si>
  <si>
    <t>の</t>
  </si>
  <si>
    <t>SHEET</t>
    <phoneticPr fontId="20"/>
  </si>
  <si>
    <t>品</t>
  </si>
  <si>
    <t>名</t>
  </si>
  <si>
    <t>等</t>
    <rPh sb="0" eb="1">
      <t>トウ</t>
    </rPh>
    <phoneticPr fontId="20"/>
  </si>
  <si>
    <t>AS PER ATTACHED SHEET</t>
    <phoneticPr fontId="20"/>
  </si>
  <si>
    <t>　</t>
    <phoneticPr fontId="20"/>
  </si>
  <si>
    <t>加工（組立）地名及び</t>
  </si>
  <si>
    <t>加工（組立）業者名</t>
  </si>
  <si>
    <t>加工又は組立ての</t>
  </si>
  <si>
    <t>輸出ー裁断ー縫製加工ー</t>
    <phoneticPr fontId="20"/>
  </si>
  <si>
    <t>概要</t>
    <rPh sb="0" eb="2">
      <t>ガイヨウ</t>
    </rPh>
    <phoneticPr fontId="20"/>
  </si>
  <si>
    <t>附属品取付ー製品ー袋詰ー梱包</t>
    <rPh sb="0" eb="1">
      <t>フ</t>
    </rPh>
    <phoneticPr fontId="20"/>
  </si>
  <si>
    <t>その他参考となる</t>
  </si>
  <si>
    <t>べき事項</t>
  </si>
  <si>
    <t>輸出申告書の番号</t>
    <rPh sb="2" eb="4">
      <t>シンコク</t>
    </rPh>
    <phoneticPr fontId="20"/>
  </si>
  <si>
    <t>INVOICE NO.</t>
  </si>
  <si>
    <t>（注）１．この申告書は２通を輸出申告をする税関官署に提出してください。</t>
    <rPh sb="16" eb="18">
      <t>シンコク</t>
    </rPh>
    <rPh sb="21" eb="23">
      <t>ゼイカン</t>
    </rPh>
    <rPh sb="23" eb="25">
      <t>カンショ</t>
    </rPh>
    <rPh sb="26" eb="28">
      <t>テイシュツ</t>
    </rPh>
    <phoneticPr fontId="20"/>
  </si>
  <si>
    <t>VIVAR SHIP SUPPLY BV</t>
  </si>
  <si>
    <t>GIETERIJWEG 17 3089 JZ ROTTERDAM,TH</t>
  </si>
  <si>
    <t>E NETHERLANDS</t>
  </si>
  <si>
    <t>TECHNO ASSOCIE CO.,LTD.</t>
    <phoneticPr fontId="2"/>
  </si>
  <si>
    <t>MN INTER-FASHION LTD.</t>
    <phoneticPr fontId="2"/>
  </si>
  <si>
    <t>SOJITZ</t>
    <phoneticPr fontId="2"/>
  </si>
  <si>
    <t>SOJITZ(THAILAND)CO.,LTD</t>
  </si>
  <si>
    <t>19TH FLOOR Q.HOUSE LUMPINI BUILDING</t>
  </si>
  <si>
    <t xml:space="preserve"> 1 SOUTH SATHORN ROAD,TUNGMAHAMEK S</t>
  </si>
  <si>
    <t>ATHORN,BANGKOK 10120 THAILAND</t>
  </si>
  <si>
    <t>TUYEN THANH SERVICE AND TRADING LIMITED COMPANY</t>
  </si>
  <si>
    <t>ROAD 361,LANG CON VILLAGE,DONG PHUO</t>
  </si>
  <si>
    <t>NG COMMUNE,KIEN THUY DISTRICT,HAIPH</t>
  </si>
  <si>
    <t>ONG CITY,VIETNAM</t>
  </si>
  <si>
    <t>TEIJIN FRONTIER CO.,LTD.</t>
    <phoneticPr fontId="2"/>
  </si>
  <si>
    <t>SHANGHAI XIETONG YONGHE INTERNATIONAL TRADE CO.,LTD.</t>
  </si>
  <si>
    <t>TRICT,SHANGHAI,CHINA</t>
  </si>
  <si>
    <t>YAGI &amp; CO.,LTD.</t>
    <phoneticPr fontId="2"/>
  </si>
  <si>
    <t>NO18 LANE 318,YONGHE RD,JINGAN DIS</t>
    <phoneticPr fontId="2"/>
  </si>
  <si>
    <t>MANUFACTURER GFT ENTERPRISE COMPANY LIMITED</t>
  </si>
  <si>
    <t>PLOT NO26/1,KWIN NO691(KATAWKAN KWI</t>
  </si>
  <si>
    <t>N),BAGAN STREET,MINGALAR QUARTER,TA</t>
  </si>
  <si>
    <t>IKKYEE TOWNSHIP,YANGON REGION,MYAN</t>
  </si>
  <si>
    <t>WEST JAVA 40393 INDONESIA</t>
    <phoneticPr fontId="2"/>
  </si>
  <si>
    <t>PT GISTEX GARMEN INDONESIA</t>
    <phoneticPr fontId="2"/>
  </si>
  <si>
    <t>CHORI CO.,LTD.</t>
  </si>
  <si>
    <t>DALIAN MIKI LIANGNAI FASHION CO.,LTD.</t>
  </si>
  <si>
    <t>TANGJIA VILLAGE SHIHESTREET</t>
  </si>
  <si>
    <t>JINPUNEWDISTRICT DALIAN</t>
  </si>
  <si>
    <t>RM 1003 20B GANG WAN ST</t>
  </si>
  <si>
    <t>ZHONG SHAN DIST DALIAN CHINA</t>
  </si>
  <si>
    <t>DALIAN JINGCHENG GARMENT CO.,LTD.</t>
  </si>
  <si>
    <t>SHUANGQUANSI VILLAGE,JIAHE TOWN</t>
  </si>
  <si>
    <t>PULIANDIAN DALIAN CHINA</t>
  </si>
  <si>
    <t>STANDARD FACTORY B 5FLOOR TAN THU</t>
  </si>
  <si>
    <t>AN ROAD TAN THUAN EPZ TAN THUAN DON</t>
  </si>
  <si>
    <t>G WARD DISTRICT 7 HCMC VIETNAM</t>
  </si>
  <si>
    <t>THANH CONG TEXTILE GARMENT INVESTMENT TRADING J.S.COMPANY</t>
  </si>
  <si>
    <t>36 TAY THANH STREET</t>
  </si>
  <si>
    <t>TAY THANH WARD TAN PHU DISTRICT</t>
  </si>
  <si>
    <t>HOCHIMINH CITY VIETNAM</t>
  </si>
  <si>
    <t>HUU NGHI GARMENT JOINT-STOCK COMPANY (HUGAMEX)</t>
  </si>
  <si>
    <t>636-638 NGUYEN DUY STREET WARD 12</t>
    <phoneticPr fontId="2"/>
  </si>
  <si>
    <t>DISTRICT 8 HOCHIMINH CITY VIETNAM</t>
    <phoneticPr fontId="2"/>
  </si>
  <si>
    <t>TAIYO COMMERCE TRADE COMPANY</t>
  </si>
  <si>
    <t>NO1880 PINGCHENG ROAD PINGHU ECONOM</t>
  </si>
  <si>
    <t>IC DEVELOPMENT ZONE,ZHEJIANG,PR CHI</t>
  </si>
  <si>
    <t>NA</t>
    <phoneticPr fontId="2"/>
  </si>
  <si>
    <t xml:space="preserve">TAIYO SHOJI </t>
    <phoneticPr fontId="2"/>
  </si>
  <si>
    <t>YOUNGONE NAMDINH CO.,LTD.</t>
  </si>
  <si>
    <t>LOT O,P,Q,R N6 ROAD HOA XA IP,MY XA</t>
  </si>
  <si>
    <t xml:space="preserve"> WARD,NAM DINH CITY,NAM DINH PROVIN</t>
  </si>
  <si>
    <t>CE,VIETNAM</t>
  </si>
  <si>
    <t>NOMURA TRADING CO.,LTD.</t>
  </si>
  <si>
    <t>TOYOSHIMA &amp; CO.,LTD.</t>
  </si>
  <si>
    <t>HAUOLI TRADING CO.</t>
    <phoneticPr fontId="2"/>
  </si>
  <si>
    <t xml:space="preserve">21171 S.WESTERN AVENUE,SUITE 2830 </t>
    <phoneticPr fontId="2"/>
  </si>
  <si>
    <t>TORRANCE,CA 90501 U.S.A.</t>
  </si>
  <si>
    <t>OOCL SINGAPORE PTE LTD</t>
  </si>
  <si>
    <t>79 ANSON ROAD #14-00 SINGAPORE</t>
  </si>
  <si>
    <t>TOYOBO TEXTILE CO.,LTD.</t>
    <phoneticPr fontId="2"/>
  </si>
  <si>
    <t>OTEC(THAILAND)CO.,LTD</t>
  </si>
  <si>
    <t>258 MOO 2 TAMBOL KLONGJIG,AMPHURBAN</t>
  </si>
  <si>
    <t>G PA-IN CHANGWATPHRA NAKORN-SRI ATY</t>
  </si>
  <si>
    <t>UTTHAYA 13160,THAILAND</t>
  </si>
  <si>
    <t>DAVUTPASA CADDESI EMINTAS-KAZIM DIN</t>
  </si>
  <si>
    <t>VIT GARMENT CO.,LTD.</t>
  </si>
  <si>
    <t>QUANG MINH INDUSTRIAL ZONE</t>
  </si>
  <si>
    <t>ME LINH HANOI VIETNAM</t>
  </si>
  <si>
    <t>MIDORI APPAREL VIETNAM HOA BINH CO.,LTD.</t>
  </si>
  <si>
    <t>LUONG SON IZ HOA SON</t>
  </si>
  <si>
    <t>LUONG SON HOA BINH VIET NAM</t>
  </si>
  <si>
    <t>PT.METRO GARMIN</t>
  </si>
  <si>
    <t>JL MOH TOHA KM 7 5(JL.RAYA DAYEUHKO</t>
  </si>
  <si>
    <t>LOT 243) BANDUNG 40258 INDONESIA</t>
  </si>
  <si>
    <t>SLT DALIAN TRADING CO.,LTD.</t>
  </si>
  <si>
    <t>NO.16-A DONGBEI 2 STREET DEVELOPMEN</t>
  </si>
  <si>
    <t>T ZONE DALIAN CHINA</t>
  </si>
  <si>
    <t>TSPLANNING CO.,LTD</t>
  </si>
  <si>
    <t>OZAWA SPINNING CO.,LTD.</t>
    <phoneticPr fontId="2"/>
  </si>
  <si>
    <t>DALIAN FULI FASHION CO.,LTD</t>
  </si>
  <si>
    <t>1003,20B GANG WAN ST,ZHONGSHAN DIST</t>
  </si>
  <si>
    <t>,DALIAN CHINA 116001</t>
  </si>
  <si>
    <t>PT.DAN LIRIS</t>
  </si>
  <si>
    <t>JL.MERAPI NO.23,DESA BANARAN KECAMA</t>
  </si>
  <si>
    <t>TAN GROGOL,KABUPATEN SUKOHARJO JAWA</t>
  </si>
  <si>
    <t xml:space="preserve"> TENGAH INDONESIA</t>
  </si>
  <si>
    <t>SHANGHAI SUPER KING TRANSPORT CO.,LTD.</t>
  </si>
  <si>
    <t>ROOM A-718,BUILDING A,RHINE HONGJIN</t>
  </si>
  <si>
    <t>G CENTER,NO.1439 WUSHONG ROAD,MINHA</t>
  </si>
  <si>
    <t>NG DISTRICT,SHANGHAI</t>
  </si>
  <si>
    <t>NANTONG DONGRUN FASHION CO.,LTD.</t>
    <phoneticPr fontId="2"/>
  </si>
  <si>
    <t>JIANGSU RUGAO INDUSTRIAL ZONE,</t>
    <phoneticPr fontId="2"/>
  </si>
  <si>
    <t>204 HIGHWAY CHINA</t>
    <phoneticPr fontId="2"/>
  </si>
  <si>
    <t>NANTONG TIANJUN TRADING CO.,LTD.</t>
  </si>
  <si>
    <t>XINGFU TOWNSHIP INDUSTRIAL AND TRAD</t>
  </si>
  <si>
    <t>E AREA,GANGZHA DISTRICT,NANTONG,CHI</t>
  </si>
  <si>
    <t>ASAHI KASEI ADVANCE CORPORATION</t>
  </si>
  <si>
    <t>DRAGON STATE LIMITED</t>
  </si>
  <si>
    <t>NO-3 TRUCK ROAD PYIN-MA-BIN INDUSTR</t>
  </si>
  <si>
    <t>IAL ESTATE,MINGALADON TOWNSHIP,YANG</t>
  </si>
  <si>
    <t>ON REGION,MYANMAR</t>
  </si>
  <si>
    <t>NANTONG JIANGYAO GARMENT TRADE CO.,LTD.</t>
  </si>
  <si>
    <t>ROOM 607,HUADU COMMERCIAL PLAZA NO.</t>
  </si>
  <si>
    <t>2 BUILDING,NO.288 HAOXI ROAD,NANTON</t>
  </si>
  <si>
    <t>G CITY,JIANGSU PROVINCE CHINA</t>
  </si>
  <si>
    <t>ITOKIN CO.,LTD</t>
    <phoneticPr fontId="2"/>
  </si>
  <si>
    <t>NG AN PROVINCE,VIETNAM</t>
  </si>
  <si>
    <t>STARLILY,INTERNATIONAL INC VIETNAM INDUSTRY</t>
  </si>
  <si>
    <t>B6 FACTORY,8B STR,KIZUNA SERVICED F</t>
  </si>
  <si>
    <t>ACTORY,LOT K,TAN KIM INDUSTRIAL PAR</t>
  </si>
  <si>
    <t>K,CAN GIUOC TOWN,CAN GIUOC DIST.,LO</t>
  </si>
  <si>
    <t>CUONG THINH IMP-EXP CO.,LTD.</t>
  </si>
  <si>
    <t>NO10 THE GIAO STREET LE DAI HANH WA</t>
  </si>
  <si>
    <t>RD,HAIBA TRUNG DISTRICT,HANOI CITY,</t>
  </si>
  <si>
    <t>VIETNAM</t>
  </si>
  <si>
    <t>36 TAY THANH ST.,TAY THANH WARD,</t>
    <phoneticPr fontId="2"/>
  </si>
  <si>
    <t>TANPHU DISTRICT,HOCHIMINH CITY,</t>
    <phoneticPr fontId="2"/>
  </si>
  <si>
    <t>VIETNAM</t>
    <phoneticPr fontId="2"/>
  </si>
  <si>
    <t>THANH CONG TEXTILE GARMENT INVESTMENT TRADING JOINT STOCK COMPANY</t>
    <phoneticPr fontId="2"/>
  </si>
  <si>
    <t>NO.11 JINSHENG EAST ROAD JINTAN</t>
    <phoneticPr fontId="2"/>
  </si>
  <si>
    <t>DISTRICT CHANGZHOU CITY</t>
    <phoneticPr fontId="2"/>
  </si>
  <si>
    <t>GAOMI HAOJIA TRADING CO.,LTD.</t>
  </si>
  <si>
    <t>FUQIAN STREET,CHAIGOU GAOMI CITY SH</t>
  </si>
  <si>
    <t>ANDONG CHINA</t>
  </si>
  <si>
    <t>AL AWALI TRADING CO LLC,</t>
  </si>
  <si>
    <t>GF HAMAD SULTAN AL OWAIS BLDG SABKH</t>
  </si>
  <si>
    <t>A DEIRA PO BOX 97711 DUBAI UNITED A</t>
  </si>
  <si>
    <t>RAB EMIRATES</t>
  </si>
  <si>
    <t>YUI</t>
    <phoneticPr fontId="2"/>
  </si>
  <si>
    <t>WEIHAI MARUYU KNIT CO.,LTD.</t>
  </si>
  <si>
    <t>NO.1206 SHENYANG MIDDLE ROAD,</t>
  </si>
  <si>
    <t>HUANCUI DISTRICT, WEIHAI CITY,</t>
  </si>
  <si>
    <t>SHANDONG PROVINCE CHINA</t>
  </si>
  <si>
    <t>THAI ANH INVESTMENT TRADING SERVICE JOINT STOCK COMPANY</t>
  </si>
  <si>
    <t>437 DA NANG,PHUONG DONGHAI 1,QUAN H</t>
  </si>
  <si>
    <t>AI AN,HAIPHONG</t>
  </si>
  <si>
    <t>ROAD,361,LANG CON VILLAGE,DONG PHUO</t>
  </si>
  <si>
    <t>TUONG NGUYEN GARMENT CO.,LTD.</t>
  </si>
  <si>
    <t>82 NO127 BUI MINH TRUC ST ST,DISTRI</t>
  </si>
  <si>
    <t>CT 8 HCM,VIETNAM</t>
  </si>
  <si>
    <t>HONG SON GARMENT CO.,LTD.</t>
  </si>
  <si>
    <t>56-58,LE BOI STREET,WARD 7,DISTRICT</t>
  </si>
  <si>
    <t xml:space="preserve"> 8,HOCHIMINH CITY,VIETNAM</t>
  </si>
  <si>
    <t>APRON</t>
    <phoneticPr fontId="2"/>
  </si>
  <si>
    <t>HA MINH IMPORT EXPORT SERVICE TRADING COMPANY LIMITED</t>
    <phoneticPr fontId="2"/>
  </si>
  <si>
    <t>22/27 BINH CHIEU STREET,3RD</t>
    <phoneticPr fontId="2"/>
  </si>
  <si>
    <t>QUARTER,BINH CHIEU WARD THU DUC</t>
    <phoneticPr fontId="2"/>
  </si>
  <si>
    <t>DISTRICT,HOCHIMINH CITY,VIETNAM</t>
    <phoneticPr fontId="2"/>
  </si>
  <si>
    <t>SHANGHAI SHENYI FASHION CO.,LTD.</t>
  </si>
  <si>
    <t>SIT A 22F HAIXING PLAZA 1 RUIJING R</t>
  </si>
  <si>
    <t>OAD(S) SHANGHAI CHINA</t>
  </si>
  <si>
    <t>ZHUCHENG CHINATEX G-WAY TEXTILES CO.,LTD.</t>
  </si>
  <si>
    <t>NO.437,NORTH RING ROAD,ZHUCHENG CIT</t>
  </si>
  <si>
    <t>Y,WEIFANG CITY,SHANDONG PROVINCE,CH</t>
  </si>
  <si>
    <t>CONTRADO IMAGING LTD.,</t>
  </si>
  <si>
    <t>UNIT7,SPACE BUSINESS PARK,ABBEY ROA</t>
  </si>
  <si>
    <t>D,PARK ROYAL,LONDON NW10 7SU UNITED</t>
  </si>
  <si>
    <t xml:space="preserve"> KINGDOM</t>
  </si>
  <si>
    <t>CHANGZHOU E-CHEN GARMENTS CO.,LTD.</t>
    <phoneticPr fontId="2"/>
  </si>
  <si>
    <t>4&amp;5/F BUILDING C,TIANAN INDUSTRY VI</t>
    <phoneticPr fontId="2"/>
  </si>
  <si>
    <t>LLAGE,NEW DISTRICT,CHANGZHOU CHINA</t>
    <phoneticPr fontId="2"/>
  </si>
  <si>
    <t>PROVINCE, PREAHSIHANOUK,</t>
    <phoneticPr fontId="2"/>
  </si>
  <si>
    <t>CAMBODIA 180101</t>
    <phoneticPr fontId="2"/>
  </si>
  <si>
    <t>SROK PREYNUP SIHANOUK</t>
    <phoneticPr fontId="2"/>
  </si>
  <si>
    <t>JL.DELANGGU-POLANHARJO KM2.6 RT.002</t>
  </si>
  <si>
    <t>/RW.003 DESA MENDAK,KEC,DELANGGU-KA</t>
  </si>
  <si>
    <t>B.KLATEN-JAWA TENGAH KLATEN</t>
  </si>
  <si>
    <t>KINH BAC-THANH NAM JOINT STOCK COMPANY</t>
  </si>
  <si>
    <t>488 ROAD,BINH MINH COMMUNE NAM TRUC</t>
  </si>
  <si>
    <t xml:space="preserve"> DISTRICT NAM DINH PROVINCE VIETNAM</t>
  </si>
  <si>
    <t>DALIAN YANGERTE GARMENT CO.,LTD.</t>
  </si>
  <si>
    <t>NO.23 HARBIN ROAD DDA,DALIAN,CHINA</t>
  </si>
  <si>
    <t>STRICT,HANAM PROVINCE,VIETNAM</t>
  </si>
  <si>
    <t>TAHA HAMLET,VANLY COMMUNE,LYNHAN DI</t>
  </si>
  <si>
    <t>HT APPAREL COMPANY LIMITED</t>
  </si>
  <si>
    <t>TIANJIN JUNHE TECHNOLOGY DEVELOPMENT CO., LTD</t>
  </si>
  <si>
    <t>ROOM509,PENGZHAN FAVOR BUILDING,YAO</t>
  </si>
  <si>
    <t>LIN ROAD,LIQIZHUANG STREET,</t>
  </si>
  <si>
    <t>XIQING DISTRICT TIANJIN, CHINA</t>
  </si>
  <si>
    <t>DALIAN YUNING APPAREL CO.,LTD.</t>
    <phoneticPr fontId="2"/>
  </si>
  <si>
    <t>1-2GUOTAI STREET,PULANDIAN DIST,</t>
    <phoneticPr fontId="2"/>
  </si>
  <si>
    <t>DALIAN,CHINA 116200</t>
    <phoneticPr fontId="2"/>
  </si>
  <si>
    <t>TOMBOW CO.,LTD.</t>
    <phoneticPr fontId="2"/>
  </si>
  <si>
    <t>59 DUCGIANG STREET,LONG BIEN DISTRI</t>
    <phoneticPr fontId="2"/>
  </si>
  <si>
    <t>PT. DONG LONG TEXTILE INDONESIA</t>
  </si>
  <si>
    <t>JL RAYA JEPARA-KUDUS KM28,KEL SENGO</t>
  </si>
  <si>
    <t>NBUGEL KECAMATAN MAYONG,KABUPATEN J</t>
  </si>
  <si>
    <t>EPARA,PROVINSI JAWATENGAH,INDONESIA</t>
    <phoneticPr fontId="2"/>
  </si>
  <si>
    <t>YANTAI MEYOU GARMENTS CO.,LTD</t>
    <phoneticPr fontId="2"/>
  </si>
  <si>
    <t>19PUCAHNG ROAD SHENGUAN INDUSTRY</t>
    <phoneticPr fontId="2"/>
  </si>
  <si>
    <t>ZONE LAISHAN DISTRICT YANTAI CHINA</t>
    <phoneticPr fontId="2"/>
  </si>
  <si>
    <t>NANTONG ATECHS CLOTHES MANUFACTURING CO.,LTD.</t>
  </si>
  <si>
    <t>175 HAODONG ROAD,NANTONG,JIANGSU,PR</t>
  </si>
  <si>
    <t xml:space="preserve"> OF CHINA</t>
  </si>
  <si>
    <t>SHANGHAI YING YANG TRADING CO.,LTD</t>
    <phoneticPr fontId="2"/>
  </si>
  <si>
    <t>NO8004 ZHENGCHAN DAMANG AVILLAGE</t>
    <phoneticPr fontId="2"/>
  </si>
  <si>
    <t>ZHUJING TOWN JINSHAN DISTRICT</t>
    <phoneticPr fontId="2"/>
  </si>
  <si>
    <t>SHANGHAI CHINA 201599</t>
    <phoneticPr fontId="2"/>
  </si>
  <si>
    <t>ACUSHNET FOOTJOY(THAILAND)LIMITED</t>
    <phoneticPr fontId="2"/>
  </si>
  <si>
    <t>ESTATE(EPZ) TUNGSUKHLA,SRIRACHA,</t>
    <phoneticPr fontId="2"/>
  </si>
  <si>
    <t>CHONBURI 20230 THAILAND</t>
    <phoneticPr fontId="2"/>
  </si>
  <si>
    <t>49/23 M5 LAEMCHABANG INDUSTRIAL</t>
    <phoneticPr fontId="2"/>
  </si>
  <si>
    <t>ATHORN BANGKOK 10120 THAILAND</t>
  </si>
  <si>
    <t>SOJITZ PLANET</t>
    <phoneticPr fontId="2"/>
  </si>
  <si>
    <t>BRANCH OF DH IN NAM DINH</t>
  </si>
  <si>
    <t>KM 3.5 S2 ROAD,NGHIA AN COMMUNE,NEW</t>
  </si>
  <si>
    <t>ETNAM</t>
  </si>
  <si>
    <t>KURABO INTERNATIONAL CO.,LTD.</t>
    <phoneticPr fontId="2"/>
  </si>
  <si>
    <t>SHANGHAI BEI DIE ADORNMENT CO.,LTD.</t>
  </si>
  <si>
    <t>NO.12 HANG YE ROAD PU DONG</t>
  </si>
  <si>
    <t>SHANGHAI CHINA</t>
  </si>
  <si>
    <t>WAKITA CO.,LTD.</t>
    <phoneticPr fontId="2"/>
  </si>
  <si>
    <t>HEBEI FANMEI GARMENTS CO.,LTD.</t>
  </si>
  <si>
    <t>NO.9 PINGAN ROAD XIANXIAN</t>
  </si>
  <si>
    <t>CANGZHOU HEBEI PROVINCE CHINA</t>
    <phoneticPr fontId="2"/>
  </si>
  <si>
    <t>THAI CHORI CO.,LTD.</t>
  </si>
  <si>
    <t>THANIYA PLAZA BLDG 11TH FLOOR ZONE</t>
  </si>
  <si>
    <t>C.D,NO.52 SILOM ROAD SURIYAWONG</t>
  </si>
  <si>
    <t>BANGRAK BANGKOK 10500 THAILAND</t>
  </si>
  <si>
    <t>SONG HONG GARMENT JOINT STOCK COMPANY</t>
  </si>
  <si>
    <t>HONG HA STREET TIEN CAT WARD VIET</t>
    <phoneticPr fontId="2"/>
  </si>
  <si>
    <t>TRI CITY PHUTHO PROVINCE VIETNAM</t>
    <phoneticPr fontId="2"/>
  </si>
  <si>
    <t>SYNNOVA GEARS AND TRANSMISSIONS PVT.LTD.</t>
  </si>
  <si>
    <t>SURVEY NO.196 AND 197,NEAR FALCON P</t>
  </si>
  <si>
    <t>IPES,BEHIND VILLAGE-PIPALIYA VILLAG</t>
  </si>
  <si>
    <t>E RIB.TALUKA GONDAL DIST.RAJKOT.PIN</t>
  </si>
  <si>
    <t>-360311(GUJARAT) INDIA</t>
  </si>
  <si>
    <t>HAKUZO</t>
    <phoneticPr fontId="2"/>
  </si>
  <si>
    <t>DEFRIES INDUSTRIES PTY LTD</t>
  </si>
  <si>
    <t>1/7 VISION STREET,DANDENONG SOUTH,V</t>
  </si>
  <si>
    <t>ICTORIA 3175,AUSTRALIA</t>
  </si>
  <si>
    <t>HUGO TRUMPY/INTERGLOBO SRL</t>
    <phoneticPr fontId="2"/>
  </si>
  <si>
    <t xml:space="preserve">PALAZZINA PONTE CARACCIOLO </t>
    <phoneticPr fontId="2"/>
  </si>
  <si>
    <t>16126 GENOVA ITALY</t>
    <phoneticPr fontId="2"/>
  </si>
  <si>
    <t>GUNZE</t>
    <phoneticPr fontId="2"/>
  </si>
  <si>
    <t>GUNZE HANOI CO.,LTD.</t>
  </si>
  <si>
    <t>DONG VAN II INDUSTRIAL ZONE,DUY MIN</t>
  </si>
  <si>
    <t>H COMMUNE,DUY TIEN DISTRICT,</t>
  </si>
  <si>
    <t>HA NAM PROVINCE, VIETNAM</t>
  </si>
  <si>
    <t>HEBEI FANMEI GARMENTS CO.,LTD.</t>
    <phoneticPr fontId="2"/>
  </si>
  <si>
    <t>NO9 PINGAN STREET XIANXIAN COUNTY</t>
    <phoneticPr fontId="2"/>
  </si>
  <si>
    <t>CANGZHOU CITY HEBEI PROVINCE CHINA</t>
    <phoneticPr fontId="2"/>
  </si>
  <si>
    <t>TAKAOKA &amp; CO.,LTD.</t>
    <phoneticPr fontId="2"/>
  </si>
  <si>
    <t>WING</t>
    <phoneticPr fontId="2"/>
  </si>
  <si>
    <t>BACH HUNG SINH JOINT STOCK COMPANY</t>
    <phoneticPr fontId="2"/>
  </si>
  <si>
    <t>44 LE VAN DUYET ST WARD 1,</t>
    <phoneticPr fontId="2"/>
  </si>
  <si>
    <t>DIST BINH THANH HCM VIETNAM</t>
    <phoneticPr fontId="2"/>
  </si>
  <si>
    <t>DALIAN TIAN MEI YI GARMENT CO.,LTD.</t>
  </si>
  <si>
    <t>NO.10 13TH FIFTH FLOOR NO.56 CHANGJ</t>
  </si>
  <si>
    <t>IANG EAST ROAD ZHONGSHAN DISTRICT D</t>
  </si>
  <si>
    <t>ALIAN CITY LIAONING PROVINCE</t>
  </si>
  <si>
    <t>REDHA TRADERS</t>
  </si>
  <si>
    <t>P.O.BOX 1831 DOHA-QATAR</t>
  </si>
  <si>
    <t>NANTONG YITENG FASHION CO.,LTD.</t>
    <phoneticPr fontId="2"/>
  </si>
  <si>
    <t>FOURTH FLOOR,TIANHUA MANSION,</t>
    <phoneticPr fontId="2"/>
  </si>
  <si>
    <t>NO128 TONGJIN ROAD,JINSHA TOWN</t>
    <phoneticPr fontId="2"/>
  </si>
  <si>
    <t>TONGZHOU DISTRICT,NANTONG</t>
    <phoneticPr fontId="2"/>
  </si>
  <si>
    <t>SANMARINO CO.,LTD.</t>
  </si>
  <si>
    <t>KASHIYAMA (DALIAN) CO.,LTD.</t>
  </si>
  <si>
    <t>NORTH TIESHANXI RD ECONOMIC AND</t>
  </si>
  <si>
    <t>TECHINICAL DEVELOPMENT ZONE</t>
  </si>
  <si>
    <t>DALIAN CHINA</t>
    <phoneticPr fontId="2"/>
  </si>
  <si>
    <t>KURABO INTERNATIONAL CO.,LTD.</t>
  </si>
  <si>
    <t>TAN GROGOL,KABUPATEN SUKOHARJO</t>
  </si>
  <si>
    <t>INDONESIA 57552</t>
  </si>
  <si>
    <t>SILVER STAR ENTERPRISES PVT LTD</t>
  </si>
  <si>
    <t>SILVER STAR CAMPUS DASKA ROAD,SIALK</t>
  </si>
  <si>
    <t>OT-51310 PAKISTAN</t>
  </si>
  <si>
    <t>KHALID A.AL-QADI EST.</t>
  </si>
  <si>
    <t>JEDDAH AL-BALAD CONNICH COM.</t>
  </si>
  <si>
    <t>CENTER 7TH FLOOR OFFICE NO.</t>
  </si>
  <si>
    <t>(704/721) PO BOX 17178</t>
  </si>
  <si>
    <t>JEDDAH 201484,K.S.A.</t>
  </si>
  <si>
    <t>WORLD TEX LLC</t>
  </si>
  <si>
    <t>PO BOX 6637 DUBAI UAE</t>
  </si>
  <si>
    <t>FOLKNER LIMITED</t>
  </si>
  <si>
    <t>PT.SAIMODA GARMINDO</t>
  </si>
  <si>
    <t>JL.RAYA BANJARAN KM.16 BANJARAN KAB</t>
  </si>
  <si>
    <t>UPATEN BANDUNG INDONESIA</t>
  </si>
  <si>
    <t>PHUONG NGA TRADING CO.,LTD</t>
    <phoneticPr fontId="2"/>
  </si>
  <si>
    <t>629/1,CACH MANG THANG 8 STREET</t>
    <phoneticPr fontId="2"/>
  </si>
  <si>
    <t>WARD15,DISTRICT10,HOCHIMINH CITY</t>
    <phoneticPr fontId="2"/>
  </si>
  <si>
    <t>VIETNAM</t>
    <phoneticPr fontId="2"/>
  </si>
  <si>
    <t>TAICANG QIMEI DRESS CO.,LTD.</t>
    <phoneticPr fontId="2"/>
  </si>
  <si>
    <t>DEVELOPMENT ZONE TAICANG CITY</t>
    <phoneticPr fontId="2"/>
  </si>
  <si>
    <t>JIANGSU 215400 CHINA</t>
    <phoneticPr fontId="2"/>
  </si>
  <si>
    <t>PIONEER</t>
    <phoneticPr fontId="2"/>
  </si>
  <si>
    <t>SUNDRAM FASTENERS LIMITED</t>
  </si>
  <si>
    <t>KRISHNAPURAM,AVIYUR(PO),KARIYAPATTI</t>
  </si>
  <si>
    <t xml:space="preserve"> TALUK,VIRUDHUNAGAR DISTRICT,TAMIL</t>
  </si>
  <si>
    <t>NADU,626115 INDIA</t>
  </si>
  <si>
    <t>CHINDWIN BANNER CO.,LTD.</t>
  </si>
  <si>
    <t>NO2,ASIN MYINT YIN PYIN AA LOTE YON</t>
  </si>
  <si>
    <t>E,FRONT OF BAWGATHIRI HIGHWAY STATI</t>
  </si>
  <si>
    <t>ON,PYINMANAR TOWNSHIP,MAYPYITAW REG</t>
  </si>
  <si>
    <t>ION,MYANMAR</t>
  </si>
  <si>
    <t>SAIGON PRIVATE GARMENT EXPORT CO.,LTD</t>
  </si>
  <si>
    <t>45 BUI VAN THEM STREET,WARD9,PHU NH</t>
  </si>
  <si>
    <t>UAN DISTRICT,HOCHIMINH CIT,VIETNAM</t>
  </si>
  <si>
    <t>SMARTECH GRAPHICS PRIVATE LIMITED</t>
  </si>
  <si>
    <t>GALA NO.B/6,KRISHNA COMPLEX,VAL VIL</t>
  </si>
  <si>
    <t>LAGE,NEAR GUPTA COMPOUND,ANJUR,MANK</t>
  </si>
  <si>
    <t>OLI ROAD,BHIWANDI,DIST.THANE,MAHARA</t>
  </si>
  <si>
    <t>SHTRA 421302</t>
  </si>
  <si>
    <t>AN PHUOC GARMENT EMBROIDERY SHOES CO.,LTD.</t>
    <phoneticPr fontId="2"/>
  </si>
  <si>
    <t>100/11-12 AN DUONG VUONG STR.,WARD9</t>
    <phoneticPr fontId="2"/>
  </si>
  <si>
    <t>DISTRICT5,HOCHIMINH CITY VIETNAM</t>
    <phoneticPr fontId="2"/>
  </si>
  <si>
    <t>THANH CONG TEXTILE GARMENT INVESTMENT TRADING JSC.</t>
    <phoneticPr fontId="2"/>
  </si>
  <si>
    <t>36 TAY THANH STR TAY THANH WARD</t>
    <phoneticPr fontId="2"/>
  </si>
  <si>
    <t>TAN PHU DIST HCMC</t>
    <phoneticPr fontId="2"/>
  </si>
  <si>
    <t>WEIHAI TEXTILE GROUP IMPORT &amp; EXPORT CO.,LTD.</t>
    <phoneticPr fontId="2"/>
  </si>
  <si>
    <t>NO186 WENHUA ROAD,WEIHAI CITY,</t>
    <phoneticPr fontId="2"/>
  </si>
  <si>
    <t>SHANDONG PROVINCE,CHINA PC264200</t>
    <phoneticPr fontId="2"/>
  </si>
  <si>
    <t>TOYOBO(SHANGHAI)CO.,LTD.</t>
  </si>
  <si>
    <t>2301A,TOWER B DAWNING CENTER 500 HO</t>
  </si>
  <si>
    <t>NGBAOSHI ROAD SHANGHAI 201103 CHINA</t>
  </si>
  <si>
    <t>NOOR AL AIN INTERNATIONAL TRADING WHOLE SALE AND RETAIL CO.,WLL</t>
    <phoneticPr fontId="2"/>
  </si>
  <si>
    <t>QIBLA,BLOCK NO13,FLOOR8,OFFICE NO2</t>
    <phoneticPr fontId="2"/>
  </si>
  <si>
    <t>FAHAD AL SALEM ST.,SALHIYA TOWER</t>
    <phoneticPr fontId="2"/>
  </si>
  <si>
    <t>FUNING TIAN TING GARMENTS CO.,LTD.</t>
    <phoneticPr fontId="2"/>
  </si>
  <si>
    <t>TOWN FUNING COUNTY YANC JIANGSU</t>
    <phoneticPr fontId="2"/>
  </si>
  <si>
    <t>PROVINCE CHINA</t>
    <phoneticPr fontId="2"/>
  </si>
  <si>
    <t>CI VINA CO.,LTD.</t>
    <phoneticPr fontId="2"/>
  </si>
  <si>
    <t>LA GIANG HAMLET VANTO COMMUNE</t>
    <phoneticPr fontId="2"/>
  </si>
  <si>
    <t>TU KY DISTRICT HAIDUONG PROVINCE</t>
    <phoneticPr fontId="2"/>
  </si>
  <si>
    <t>VIETNAM</t>
    <phoneticPr fontId="2"/>
  </si>
  <si>
    <t>HUU LAP PRODUCTION AND TRADING CO.,LTD</t>
    <phoneticPr fontId="2"/>
  </si>
  <si>
    <t>43/9A PHAN VAN DOI STR, TIEN LAN</t>
    <phoneticPr fontId="2"/>
  </si>
  <si>
    <t>HAMLET,BA DIEM VILLAGE,HOC MON,</t>
    <phoneticPr fontId="2"/>
  </si>
  <si>
    <t>HOCHIMINH CITY,VIETNAM</t>
    <phoneticPr fontId="2"/>
  </si>
  <si>
    <t>BAGO TOWNSHIP,BAGO REGION,MYANMAR</t>
    <phoneticPr fontId="2"/>
  </si>
  <si>
    <t>08017</t>
    <phoneticPr fontId="2"/>
  </si>
  <si>
    <t>TAN PHUOC AN GARMENT CO LTD</t>
  </si>
  <si>
    <t>161/17 TAM BINH STREET TAM PHU WARD</t>
  </si>
  <si>
    <t>THU DUC CITY,HOCHIMINH CITY VIETNAM</t>
  </si>
  <si>
    <t>PANEL</t>
  </si>
  <si>
    <t>MAN SANG CHINA CO.,LTD.</t>
  </si>
  <si>
    <t>GODOWN #5 NO786 WANG QIAO ROAD</t>
  </si>
  <si>
    <t>PUDONG SHANGHAI 201201 CHINA</t>
  </si>
  <si>
    <t>HARU GARMENT IMPORT EXPORT CO.,LTD</t>
  </si>
  <si>
    <t>50C LE THI HOA STREET,QUARTER 3,BIN</t>
  </si>
  <si>
    <t>H CHIEU WARD,THU DUC DISTRICT,HCM C</t>
  </si>
  <si>
    <t>ITY VIETNAM</t>
  </si>
  <si>
    <t>SHANGHAI LINGXIU FASHION GARMENT CO.,LTD.</t>
  </si>
  <si>
    <t>CHONGMING INDUSTRIAL PARK,</t>
  </si>
  <si>
    <t>2F BUILDING 5,NO.7 XIUSHAN ROAD</t>
    <phoneticPr fontId="2"/>
  </si>
  <si>
    <t>SAIGON 3 GARMENT JOINT-STOCK COMPANY</t>
  </si>
  <si>
    <t>47 ROAD NO.17,QUARTER 3,HIEP</t>
  </si>
  <si>
    <t>BINH PHUOC WARD,THU DUC CITY,</t>
  </si>
  <si>
    <t>HOCHIMINH CITY,VIETNAM</t>
  </si>
  <si>
    <t>HAIYAN NANSHENG GARMENTS CO.,LTD.</t>
  </si>
  <si>
    <t>YUCHENG TOWN HAIYAN</t>
  </si>
  <si>
    <t>JIAXING ZHEJIANG CHINA</t>
  </si>
  <si>
    <t>AN PHUOC GARMENT EMBROIDERY SHOES CO.,LTD.</t>
  </si>
  <si>
    <t>100/11-12 AN DUONG VUONG STREET,WAR</t>
  </si>
  <si>
    <t>D9,DISTRICT5,HOCHIMINH CITY,VIETNAM</t>
  </si>
  <si>
    <t>T.STYLE CO.,LTD</t>
    <phoneticPr fontId="2"/>
  </si>
  <si>
    <t>IZUYOSHI</t>
    <phoneticPr fontId="2"/>
  </si>
  <si>
    <t>MAPLE TRADING CO.,LTD</t>
  </si>
  <si>
    <t>210,U WISARA ROAD,BAHAN TOWNSHIP</t>
  </si>
  <si>
    <t>DAGON PO YANGON MYANMAR</t>
  </si>
  <si>
    <t>TREMON SPORTING GOODS ENTERPRISE CO.,LTD.</t>
  </si>
  <si>
    <t>ROAD NO5 TRANG BANG INDUSTRIAL PARK</t>
  </si>
  <si>
    <t xml:space="preserve"> AN TINH WARD-TRANG BANG TOWN TAY N</t>
  </si>
  <si>
    <t>INH PROVINCE VIETNAM 73999</t>
  </si>
  <si>
    <t>LEVEL 23 WEST TOWER WORLD TRADE CEN</t>
  </si>
  <si>
    <t>TRE COLOMBO 01 SRILANKA</t>
  </si>
  <si>
    <t>HIRDARAMANI INT EXPORTS (PVT) LTD</t>
  </si>
  <si>
    <t>SOCCER INTERNATIONAL PVT LTD</t>
  </si>
  <si>
    <t>BASTI SHEIKH ROAD,JALANDHAR 144021</t>
  </si>
  <si>
    <t>(PB) INDIA</t>
  </si>
  <si>
    <t>RIDERS TREND</t>
  </si>
  <si>
    <t>3KM PASRUR ROAD SIALKOT 51310 PAKIS</t>
  </si>
  <si>
    <t>TAN</t>
    <phoneticPr fontId="2"/>
  </si>
  <si>
    <t>UNION CHEMICAL IND CO LTD</t>
  </si>
  <si>
    <t>6TH FL NO9 DEHUI STREET JHONG SHAN</t>
  </si>
  <si>
    <t>DISTRICT 104 TAIPEI TAIWAN</t>
  </si>
  <si>
    <t>TAIKO CORPORATION,LTD.</t>
    <phoneticPr fontId="2"/>
  </si>
  <si>
    <t>SHANGHAI ZHIZHONG TRADING CO.,LTD.</t>
    <phoneticPr fontId="2"/>
  </si>
  <si>
    <t>SHANGHAI JIADING QUXUHANG ZHEN</t>
    <phoneticPr fontId="2"/>
  </si>
  <si>
    <t>YUWAN LU 499 CHINA</t>
    <phoneticPr fontId="2"/>
  </si>
  <si>
    <t xml:space="preserve">KAWASAN INDUSTRI KIIC JL.MALIGI I </t>
    <phoneticPr fontId="2"/>
  </si>
  <si>
    <t>JL.RAYA BATUJAJAR NO.156 KM 1,2 DES</t>
  </si>
  <si>
    <t>A LAKSANAMEKAR KEC.PADALARANG KAB.</t>
  </si>
  <si>
    <t xml:space="preserve">BANDUNG BARAT-40553 JAWA </t>
  </si>
  <si>
    <t xml:space="preserve">BARAT-INDONESIA  </t>
  </si>
  <si>
    <t>YANTAI HENGHUI TRADE CO.,LTD.</t>
    <phoneticPr fontId="2"/>
  </si>
  <si>
    <t>SQUARE NORTH ROAD SHANGQUAN</t>
    <phoneticPr fontId="2"/>
  </si>
  <si>
    <t>INDUSTRIAL ESTATE,LAISHAN DISTRICT</t>
    <phoneticPr fontId="2"/>
  </si>
  <si>
    <t>YANTAI,CHINA</t>
    <phoneticPr fontId="2"/>
  </si>
  <si>
    <t>CHORI AMERICA INC.</t>
  </si>
  <si>
    <t>30 MINTEGOMERY STREET SUITE 1230</t>
  </si>
  <si>
    <t>JERSEY CITY,NJ 07302 USA</t>
  </si>
  <si>
    <t>THREE BAMBI VIETNAM CO.,LTD.</t>
  </si>
  <si>
    <t>8THSTREET TAN THUAN EXPORT PROCESSI</t>
  </si>
  <si>
    <t>NGZONE,DIST7 HOCHIMINH CITY VIETNAM</t>
  </si>
  <si>
    <t>DOMEX(QUANG NAM)CO.,LTD</t>
  </si>
  <si>
    <t>LOT B/B1,HALAM INDUSTRIAL GROUP,DUO</t>
  </si>
  <si>
    <t>C MARKET,BINH PHUC COMMUNE,THANH BI</t>
  </si>
  <si>
    <t>NH DIST.,QUANG NAM PROVINCE,VIETNAM</t>
  </si>
  <si>
    <t>GOLDEN TROGON INDUSTRY CO.,LTD.</t>
  </si>
  <si>
    <t>CORNER OF KANAUNG MIN THAR GYI STRE</t>
  </si>
  <si>
    <t xml:space="preserve"> HMU(6)STREET,NO42/99SHWE PYI THAR</t>
  </si>
  <si>
    <t>ZONE(1),SHWE PYI THAR TOWNSHIP YANG</t>
  </si>
  <si>
    <t>ON MYANMAR</t>
  </si>
  <si>
    <t>HALBRONN S.A.S.</t>
    <phoneticPr fontId="2"/>
  </si>
  <si>
    <t>ZI LOGNES RUE DES CAMPANULES 77437</t>
    <phoneticPr fontId="2"/>
  </si>
  <si>
    <t>MARNE LA VALLEE CEDEX 2 FRANCE</t>
    <phoneticPr fontId="2"/>
  </si>
  <si>
    <t>PT TUPAI ADYAMAS INDONESIA</t>
  </si>
  <si>
    <t>JL.MERBABU KM.1, BOYOLALI,</t>
  </si>
  <si>
    <t>JAWA TENGAH INDONESIA-57315</t>
  </si>
  <si>
    <t>48 TANG NHON PHU,PHUONG TANG NHON P</t>
  </si>
  <si>
    <t>HU B,THANH PHO THU DUC,THANH PHO</t>
  </si>
  <si>
    <t>HOCHIMINH,VIETNAM</t>
  </si>
  <si>
    <t>THANH PHAT PRODUCTION IMPORT EXPORT GARMENT COMPANY LIMITED</t>
  </si>
  <si>
    <t>32 STREET 50,HIEP BINH CHANH,WARD,T</t>
  </si>
  <si>
    <t>HU DUC CITY,HOCHIMINH CITY,VIETNAM</t>
  </si>
  <si>
    <t>CHENGDA CO LTD</t>
  </si>
  <si>
    <t>LOT10,ROAD NO9 TAN DUC INDUSTRIAL P</t>
  </si>
  <si>
    <t>ARK DUC HOA HA,DUC HOA DISTRICT LON</t>
  </si>
  <si>
    <t>GAN PROVINCE</t>
  </si>
  <si>
    <t>TOMOSADA</t>
    <phoneticPr fontId="2"/>
  </si>
  <si>
    <t>B&amp;M GMBH</t>
  </si>
  <si>
    <t>ZIEGELMULLERSTR 6 D-88094 OBERTEURI</t>
  </si>
  <si>
    <t>NGEN NEUHAUS GERMANY</t>
  </si>
  <si>
    <t>UHM LTD.</t>
  </si>
  <si>
    <t>PLOT NO240-243 255 ADAMJEE EPZ</t>
  </si>
  <si>
    <t>SHIDDHIRGONJ NARAYANGONJ BANGLADESH</t>
  </si>
  <si>
    <t>WORKSHOP X4,X7,X9,HAI THANH LEASING</t>
  </si>
  <si>
    <t>WORKSHOP AREA,HAI THANH WARD,DUONG</t>
  </si>
  <si>
    <t>KINH DIST,HAIPHONG CITY,VIETNAM</t>
  </si>
  <si>
    <t>SHUNDAO(VIETNAM)INDUSTRIAL COMPANY LIMITED</t>
  </si>
  <si>
    <t>AREA A AND B,NO.10 STREET,THUAN DAO</t>
  </si>
  <si>
    <t xml:space="preserve"> INDUSTRIAL EXTEND,LONG DINH TOWN,C</t>
  </si>
  <si>
    <t>AN DUOC COUNTRY,LONG AN PROVINCE,VI</t>
  </si>
  <si>
    <t>ETNAM</t>
    <phoneticPr fontId="2"/>
  </si>
  <si>
    <t>QINGDAO BENEFIT BEDCLOTHES AND GARMENT CO.,LTD.</t>
  </si>
  <si>
    <t>189 YINZHUSHAN ROAD,HUANGDAO,</t>
  </si>
  <si>
    <t>QINGDAO,CHINA</t>
  </si>
  <si>
    <t>ARIF SAEED TRADING LLC</t>
  </si>
  <si>
    <t>PO BOX 46872 SHOP NO4 AL QATTAN BUI</t>
  </si>
  <si>
    <t>LDING THAKKAR PARKING TEXTILE MARKE</t>
  </si>
  <si>
    <t>T BUR DUBAI DUBAI UAE</t>
  </si>
  <si>
    <t>SHUBHAM TRADING LLC</t>
  </si>
  <si>
    <t>PO BOX 42826 DUBAI UAE</t>
  </si>
  <si>
    <t>SONA TEXTILES</t>
  </si>
  <si>
    <t>SHOP 15 16 SOUK AL AJMANI BLDG GWAD</t>
  </si>
  <si>
    <t>RI BAZAR SABKHA ROAD DUBAI UNITED A</t>
  </si>
  <si>
    <t>T BUR DUBAI DUBAI,UAE</t>
  </si>
  <si>
    <t>UNIX LINE PTE LTD</t>
  </si>
  <si>
    <t>5 SHENTON WAY,#15-01 UIC BUILDING S</t>
  </si>
  <si>
    <t>INGAPORE 068808</t>
  </si>
  <si>
    <t>SUZHOU ROYAL INTERNATIONAL CO.,LTD.</t>
    <phoneticPr fontId="2"/>
  </si>
  <si>
    <t>10F,ZHONGRUN CENTER 399 EAST BAODAI</t>
    <phoneticPr fontId="2"/>
  </si>
  <si>
    <t>ROAD WUZHONG DISTRICT SUZHOU</t>
    <phoneticPr fontId="2"/>
  </si>
  <si>
    <t>215128 CHINA</t>
    <phoneticPr fontId="2"/>
  </si>
  <si>
    <t>NANTONG HARUKI FASHION CO.,LTD.</t>
    <phoneticPr fontId="2"/>
  </si>
  <si>
    <t>NO201 BUILDING3 YINGBIN ROAD CHEN</t>
    <phoneticPr fontId="2"/>
  </si>
  <si>
    <t>GDONG TOWN HAIAN COUNTY NANTONG</t>
    <phoneticPr fontId="2"/>
  </si>
  <si>
    <t>226000 CHINA</t>
    <phoneticPr fontId="2"/>
  </si>
  <si>
    <t>WETAN,WETAN,KECAMATAN CILEUNYI,</t>
  </si>
  <si>
    <t>KABUPATEN BANDUNG 40393</t>
  </si>
  <si>
    <t>JALAN RAYA BATUJAJAR NO156 KM 12</t>
    <phoneticPr fontId="2"/>
  </si>
  <si>
    <t>DESA LAKSANAMEKAR,PADALARANG</t>
    <phoneticPr fontId="2"/>
  </si>
  <si>
    <t>40553 BANDUNG BARAT JAWA BARAT</t>
    <phoneticPr fontId="2"/>
  </si>
  <si>
    <t>INDONESIA</t>
    <phoneticPr fontId="2"/>
  </si>
  <si>
    <t>LONG FIRST TRADING CO., LTD.</t>
  </si>
  <si>
    <t>7F-4, NO.90, SEC.1, FUXIN S RD.,DA</t>
  </si>
  <si>
    <t>AN DIST.,TAIPEI, TAIWAN R.O.C.</t>
  </si>
  <si>
    <t>GUNZE(SHANGHAI)INTERNATIONAL TRADING CO.,LTD.</t>
  </si>
  <si>
    <t>RM101 UNIT2 BLDG5 38 HUANGHE 3RD RO</t>
  </si>
  <si>
    <t>AD JIMO DIST QINGDAO 266200 CHINA</t>
  </si>
  <si>
    <t>CHUOSENISHIZAI</t>
    <phoneticPr fontId="2"/>
  </si>
  <si>
    <t>LONG AN GENERAL IMPORT EXPORT DUCK FEATHER JOINT STOCK COMPANY</t>
  </si>
  <si>
    <t>53 PHAN VAN LAI ST,WARD6,TANAN CITY</t>
  </si>
  <si>
    <t>LONG AN PROVINCE VIETNAM</t>
  </si>
  <si>
    <t>XIAN GAN CLOTHES RUDONG CO.,LTD.</t>
  </si>
  <si>
    <t>NO888,SHUANGFENG ROAD,JUEGANG TOWN,</t>
  </si>
  <si>
    <t>RUDONG,NANTONG,JIANGSU,CHINA</t>
  </si>
  <si>
    <t>INATECH &amp; CORP INC.</t>
  </si>
  <si>
    <t>#C-812,WOOLIM-LIONVALLEY 371-28 GAS</t>
  </si>
  <si>
    <t>STATION ROAD COLESHILL</t>
    <phoneticPr fontId="2"/>
  </si>
  <si>
    <t>BIRMINHGHAM B46 1JY ENGLAND,UK</t>
    <phoneticPr fontId="2"/>
  </si>
  <si>
    <t>GBBHX</t>
    <phoneticPr fontId="2"/>
  </si>
  <si>
    <t>JIASHAN JIALI INTERNATIONAL TRADE CO.,LTD</t>
    <phoneticPr fontId="2"/>
  </si>
  <si>
    <t>ROOM 301 FLOOR3 OFFICE BUILDING</t>
    <phoneticPr fontId="2"/>
  </si>
  <si>
    <t>NO15 JINYI AVENUE HUIMIN STREET</t>
    <phoneticPr fontId="2"/>
  </si>
  <si>
    <t>JIASHAN COUNTY,JIAXING CITY</t>
    <phoneticPr fontId="2"/>
  </si>
  <si>
    <t>ZHEJIANG PROVINCE CHINA</t>
    <phoneticPr fontId="2"/>
  </si>
  <si>
    <t>SING HUAT HARDWARE &amp; MACHINERY PTE LTD</t>
  </si>
  <si>
    <t>178 GUL CIRCLE,JURONG TOWN SINGAPOR</t>
  </si>
  <si>
    <t>E 629628</t>
  </si>
  <si>
    <t>ROOM NO2388 BUILDING A,888 CHENGDU</t>
  </si>
  <si>
    <t>ROAD,SUZHOU,CHINA</t>
  </si>
  <si>
    <t>MANSION,NO.755 HUAI HAI RD.(M),</t>
    <phoneticPr fontId="2"/>
  </si>
  <si>
    <t>GLOBAL SOURCENET LTD</t>
  </si>
  <si>
    <t>MINH KHAI,NHU QUYNH,VAN LAM,HUNG YE</t>
  </si>
  <si>
    <t>N,VIETNAM</t>
  </si>
  <si>
    <t>TIDY METAL(THAILAND)CO.,LTD.</t>
  </si>
  <si>
    <t>300/164 MOO 1,HEMARAJ EASTERN</t>
  </si>
  <si>
    <t>SEABOARD INDUSTRIAL ESTATE</t>
  </si>
  <si>
    <t>T TASIT A PLUAKDAENG RAYONG</t>
  </si>
  <si>
    <t>21140 THAILAND</t>
  </si>
  <si>
    <t>検索値</t>
    <rPh sb="0" eb="3">
      <t>ケンサクチ</t>
    </rPh>
    <phoneticPr fontId="2"/>
  </si>
  <si>
    <t>HAKSAN VINA CO.,LTD.</t>
    <phoneticPr fontId="2"/>
  </si>
  <si>
    <t xml:space="preserve">QUARTER 3 TAN DINH WARD BEN CAT </t>
    <phoneticPr fontId="2"/>
  </si>
  <si>
    <t>TOWN BINH DUONG PROVINCE VIETNAM</t>
    <phoneticPr fontId="2"/>
  </si>
  <si>
    <t>PHAN THIET GARMENT IM-EXPORT JOINT-STOCK COMPANY</t>
  </si>
  <si>
    <t>282 NGUYEN HOI STREET,XUAN AN WARD,</t>
  </si>
  <si>
    <t>PHAN THIET CITY,BINH THUAN PROVINCE</t>
  </si>
  <si>
    <t xml:space="preserve"> VIETNAM</t>
  </si>
  <si>
    <t>JIANGSU SUNNY INTERNATIONAL TRADING CO.,LTD</t>
    <phoneticPr fontId="2"/>
  </si>
  <si>
    <t>NO19 TONGFU SOUTH ROAD,NANTONG</t>
    <phoneticPr fontId="2"/>
  </si>
  <si>
    <t>ECONOMIC &amp; TECHNOLOGICAL DEVELOP</t>
    <phoneticPr fontId="2"/>
  </si>
  <si>
    <t>MENT ZONE,CHINA PC226009</t>
    <phoneticPr fontId="2"/>
  </si>
  <si>
    <t>HIGASHI CO.,LTD.</t>
  </si>
  <si>
    <t>NANTONG WEIFU FOREIGN TRADE CO.,LTD.</t>
  </si>
  <si>
    <t>7/F YINGXIN BUILDING,NO228 GONGNONG</t>
  </si>
  <si>
    <t>ROAD NANTONG JIANGSU CHINA</t>
  </si>
  <si>
    <t>K TEX</t>
    <phoneticPr fontId="2"/>
  </si>
  <si>
    <t>PK FABRICS</t>
    <phoneticPr fontId="2"/>
  </si>
  <si>
    <t>UNIT12/26 BURROWS ROAD ST PETERS</t>
    <phoneticPr fontId="2"/>
  </si>
  <si>
    <t>NSW 2044 SYDNEY AUSTRALIA</t>
    <phoneticPr fontId="2"/>
  </si>
  <si>
    <t>UNITED NOTIONS</t>
    <phoneticPr fontId="2"/>
  </si>
  <si>
    <t>13800 HUTTON DRIVE DALLAS TEXAS</t>
    <phoneticPr fontId="2"/>
  </si>
  <si>
    <t>JIANGSU JIAXIANG FASHION LTD</t>
    <phoneticPr fontId="2"/>
  </si>
  <si>
    <t>BUILDING 1 NO18 JIANSHE ROAD,</t>
    <phoneticPr fontId="2"/>
  </si>
  <si>
    <t>QUTANG TOWN,HAIAN CITY JIANGSU</t>
    <phoneticPr fontId="2"/>
  </si>
  <si>
    <t>PROVINCE CHINA</t>
    <phoneticPr fontId="2"/>
  </si>
  <si>
    <t>NANTONG KII INTERNATIONAL TRADING CO.,LTD</t>
    <phoneticPr fontId="2"/>
  </si>
  <si>
    <t>705 TIANXIN BUILDING NO155 GONGN</t>
    <phoneticPr fontId="2"/>
  </si>
  <si>
    <t>ONG ROAD NANTONG JIANGSU CHINA</t>
    <phoneticPr fontId="2"/>
  </si>
  <si>
    <t>HANGZHOU SINOSKY SUPPLY CHAIN MANAGEMENT CO.,LTD</t>
    <phoneticPr fontId="2"/>
  </si>
  <si>
    <t>ROOM205,FLOOR2 BUILDING18 NO18</t>
    <phoneticPr fontId="2"/>
  </si>
  <si>
    <t>HUZHOU STREET,GONGSHU DISTRICT</t>
    <phoneticPr fontId="2"/>
  </si>
  <si>
    <t>HANGZHOU ZHEJIANG CHINA</t>
    <phoneticPr fontId="2"/>
  </si>
  <si>
    <t>VINATEX INTERNATIONAL JOINT STOCK COMPANY VTJ.,JSC</t>
    <phoneticPr fontId="2"/>
  </si>
  <si>
    <t xml:space="preserve">ZHONGSHAN DISTRICT,DALIAN CHINA </t>
    <phoneticPr fontId="2"/>
  </si>
  <si>
    <t>116001</t>
    <phoneticPr fontId="2"/>
  </si>
  <si>
    <t>MN INTER-FASHION LTD.</t>
  </si>
  <si>
    <t>JINAN NEW AOSHI GARMENT CO.,LTD.</t>
  </si>
  <si>
    <t>2-3,NO899 GANGXING ONE ROAD,</t>
  </si>
  <si>
    <t>GAOXIN DISTRICT,JINAN,SHANDONG</t>
  </si>
  <si>
    <t>DETRON MACHINE CO.,LTD.</t>
  </si>
  <si>
    <t>NO.47-5,ZUNQIAN RD.,SHENGANG DIST.,</t>
  </si>
  <si>
    <t>TAICHUNG 42952,TAIWAN</t>
  </si>
  <si>
    <t>AL KHAN STORES</t>
  </si>
  <si>
    <t>PO BOX 408 DOHA QATAR</t>
  </si>
  <si>
    <t>GEU-LIM CNF VINA CO.,LTD</t>
    <phoneticPr fontId="2"/>
  </si>
  <si>
    <t>ZONE D BLOCK 3,4,5,11,12,13 INDUSTR</t>
    <phoneticPr fontId="2"/>
  </si>
  <si>
    <t>IAL CLUSTER QUANG TRUNG COMMUNE</t>
    <phoneticPr fontId="2"/>
  </si>
  <si>
    <t>VU BAN DISTRICT NAM DINH PROVINCE</t>
    <phoneticPr fontId="2"/>
  </si>
  <si>
    <t>VIETNAM</t>
    <phoneticPr fontId="2"/>
  </si>
  <si>
    <t xml:space="preserve">BLOSSOM TEXTILES FZCO </t>
    <phoneticPr fontId="2"/>
  </si>
  <si>
    <t xml:space="preserve">WAREHOUSE NO23 DUBAI UNITED ARAB </t>
    <phoneticPr fontId="2"/>
  </si>
  <si>
    <t>EMIRATES</t>
  </si>
  <si>
    <t>WEIFANG YUANBO YUNNI GARMENTS CO.,LTD.</t>
    <phoneticPr fontId="2"/>
  </si>
  <si>
    <t>209-1 ZHUANGTOUCUN WANGLIUZHEN</t>
    <phoneticPr fontId="2"/>
  </si>
  <si>
    <t>WEICHENGQU WEIFANGSHI SHANDONG</t>
    <phoneticPr fontId="2"/>
  </si>
  <si>
    <t>SHENG CHINA</t>
    <phoneticPr fontId="2"/>
  </si>
  <si>
    <t>UNION CO.,LTD.</t>
    <phoneticPr fontId="2"/>
  </si>
  <si>
    <t>TOYO SHIKI</t>
    <phoneticPr fontId="2"/>
  </si>
  <si>
    <t>PT TOYO BP INDONESIA</t>
    <phoneticPr fontId="2"/>
  </si>
  <si>
    <t>SURYA NUSA 1 KAV B-18,SURYACIPTA</t>
    <phoneticPr fontId="2"/>
  </si>
  <si>
    <t>CITY OF INDUSTRY,KUTAMEKAR,</t>
    <phoneticPr fontId="2"/>
  </si>
  <si>
    <t>CIAMPEL,KARAWANG,JAWA BARAT</t>
    <phoneticPr fontId="2"/>
  </si>
  <si>
    <t>QINGDAO TYOUTAI TRADE CO.,LTD</t>
    <phoneticPr fontId="2"/>
  </si>
  <si>
    <t>ROOM 1805 XIWANG BUILDING 138</t>
    <phoneticPr fontId="2"/>
  </si>
  <si>
    <t>DUNHUA ROAD QINGDAO CHINA</t>
    <phoneticPr fontId="2"/>
  </si>
  <si>
    <t>PRITI INTERNATIONAL</t>
  </si>
  <si>
    <t>B-105,DR.GAMBERS RESIDENCY,S.V.ROAD</t>
  </si>
  <si>
    <t xml:space="preserve"> NEAR N.L.HIGH SCHOOL,MALAD-WEST MU</t>
  </si>
  <si>
    <t>MBAI 400064</t>
  </si>
  <si>
    <t>QUANG VIET(LONGAN)CO.,LTD.</t>
  </si>
  <si>
    <t>LOT NL1 DUC HOA III INDUSTRIAL ZONE</t>
  </si>
  <si>
    <t xml:space="preserve"> VIET HOA DUC LAP HA COMMUNE DUC HO</t>
  </si>
  <si>
    <t>A DISTRICT LONGAN PROVINCE VIETNAM</t>
  </si>
  <si>
    <t>CHANGCHUN SHIPPING(ZHOUSHAN)CO.,LTD.</t>
  </si>
  <si>
    <t>ROOM 1002,BLOCK A,GANGHANG BUILDING</t>
  </si>
  <si>
    <t>,ZHOUSHAN CITY,CHINA</t>
  </si>
  <si>
    <t>NO9 SOUTH DONGTING ROAD,ECONOMIC</t>
    <phoneticPr fontId="2"/>
  </si>
  <si>
    <t>ITOCHU TEXTILE(CHINA)CO.,LTD</t>
  </si>
  <si>
    <t>UNITS 1208 TOWER2 RAFFLES CITY CHAN</t>
  </si>
  <si>
    <t>GNING NO1189 CHANGNING ROAD SHANGHA</t>
  </si>
  <si>
    <t>I 200051 CHINA</t>
  </si>
  <si>
    <t>NANTONG FUQUAN INDUSTRIAL TRADE CO.,LTD.</t>
    <phoneticPr fontId="2"/>
  </si>
  <si>
    <t>BUILDING25 HUAHUIZHIGU SCIENCE</t>
    <phoneticPr fontId="2"/>
  </si>
  <si>
    <t>INDUSTRIAL PARK,NO17 YUANLIN</t>
    <phoneticPr fontId="2"/>
  </si>
  <si>
    <t>ROAD NANTONG JIANGSU CHINA</t>
    <phoneticPr fontId="2"/>
  </si>
  <si>
    <t>WUXI NEW SUNSHINE KNITTING CLOTHES CO.,LTD.</t>
  </si>
  <si>
    <t>NO55 TAIPING ROAD CHANGAN COMMUNITY</t>
  </si>
  <si>
    <t xml:space="preserve"> YANQIAO TOWN HUISHAN WUXI CHINA</t>
  </si>
  <si>
    <t>LAN LAN CO.,LTD.</t>
  </si>
  <si>
    <t>KM4 HUNG VUONG ROAD PHU KHANH WARD</t>
  </si>
  <si>
    <t>THAI BINH VIETNAM</t>
  </si>
  <si>
    <t>SUZHOU PEGASUS TRADING CO.,LTD.</t>
    <phoneticPr fontId="2"/>
  </si>
  <si>
    <t>3F BUILDING2 778 PINGAN ROAD</t>
    <phoneticPr fontId="2"/>
  </si>
  <si>
    <t>LINHU TOWN WUZHONG DISTRICT</t>
    <phoneticPr fontId="2"/>
  </si>
  <si>
    <t>SUZHOU 215106 CHINA</t>
    <phoneticPr fontId="2"/>
  </si>
  <si>
    <t>MONTER SHOJI.CO.,LTD.</t>
  </si>
  <si>
    <t>NANTONG XINJIN INTERNATIONAL TRADE CO.,LTD.</t>
    <phoneticPr fontId="2"/>
  </si>
  <si>
    <t>5F,BUILDING4,NO.208 XINSHENG ROAD</t>
    <phoneticPr fontId="2"/>
  </si>
  <si>
    <t>NANTONG,JIANGSU,CHINA</t>
    <phoneticPr fontId="2"/>
  </si>
  <si>
    <t>COL SAN SIT TOPKAPI ISTANBUL,TURKEY</t>
    <phoneticPr fontId="2"/>
  </si>
  <si>
    <t>LOTTE CHEMICAL CORPORATION</t>
  </si>
  <si>
    <t>AGCA YALDIZ KAGIT SANAYI VE TICARET LTD.STI.</t>
    <phoneticPr fontId="2"/>
  </si>
  <si>
    <t>ROOM 202,BUILDING1,FUDI PUJIANG CEN</t>
  </si>
  <si>
    <t>TER,NO1505,LIANHANG ROAD,MINHANG DI</t>
  </si>
  <si>
    <t>STRICT,SHANGHAI CHINA</t>
  </si>
  <si>
    <t>ASAKI CO.,LTD.</t>
    <phoneticPr fontId="2"/>
  </si>
  <si>
    <t>NO.8 SOUTH HUAIHAI ROAD YILIN TOWN</t>
    <phoneticPr fontId="2"/>
  </si>
  <si>
    <t>FUNING ,YANCHE JIANGSU CHINA</t>
    <phoneticPr fontId="2"/>
  </si>
  <si>
    <t>PANKO CORPORATION</t>
    <phoneticPr fontId="2"/>
  </si>
  <si>
    <t>PANKO TOWER 396 GANGSEO-ROAD</t>
    <phoneticPr fontId="2"/>
  </si>
  <si>
    <t>GANGSEO-GU SEOUL,KOREA</t>
    <phoneticPr fontId="2"/>
  </si>
  <si>
    <t>LATEN 57471 JAWA TENGAH</t>
    <phoneticPr fontId="2"/>
  </si>
  <si>
    <t>MYANMAR SUNRUN GARMENTS COMPANY LIMITED</t>
  </si>
  <si>
    <t>OO PAING NO52/3 PLOT NO617 DAWEI IN</t>
  </si>
  <si>
    <t>KWIN UPPER ZAING-GA-NINE-GYI</t>
  </si>
  <si>
    <t>VILLAGE BAGO TOWNSHIP BAGO</t>
  </si>
  <si>
    <t>REGION MYANMAR</t>
  </si>
  <si>
    <t>ROOM B609,BUILDING2,TIANYI ROAD</t>
    <phoneticPr fontId="2"/>
  </si>
  <si>
    <t>568,QINGPU DISTRICT,SHANGHAI</t>
    <phoneticPr fontId="2"/>
  </si>
  <si>
    <t>SHANGHAI YIROYAL CHOTHING CO.,LTD</t>
    <phoneticPr fontId="2"/>
  </si>
  <si>
    <t>NHA BE TRADING JOINT-STOCK COMPANY</t>
    <phoneticPr fontId="2"/>
  </si>
  <si>
    <t>NO4 BEN NGHE STREET,TAN THUAN</t>
    <phoneticPr fontId="2"/>
  </si>
  <si>
    <t>DONG WARD,DISTRICT7,HOCHIMINH CITY,</t>
    <phoneticPr fontId="2"/>
  </si>
  <si>
    <t>VIETNAM</t>
    <phoneticPr fontId="2"/>
  </si>
  <si>
    <t>NO8 SOUTH HUAIHAI ROAD,YILIN</t>
    <phoneticPr fontId="2"/>
  </si>
  <si>
    <t>NO18 LANE 318 YONG HE RD ZHABEI SHA</t>
  </si>
  <si>
    <t>NGHAI CHINA</t>
  </si>
  <si>
    <t>NANTONG QINGFENG TEXTILE CO.,LTD.</t>
  </si>
  <si>
    <t>F/3 BUILDING2 INTERNATIONAL BUILDIN</t>
  </si>
  <si>
    <t>G,NO388 YONGXING ROAD,NANTONG,CHINA</t>
  </si>
  <si>
    <t>BLOSSOM TEXTILES FZCO</t>
  </si>
  <si>
    <t>PO BOX NO7441 DUBAI / UAE</t>
  </si>
  <si>
    <t>EMERALD STAR GENERAL TRADING LLC</t>
  </si>
  <si>
    <t>WAREHOUSE 65,AL HABTOOR WAREHOUSE A</t>
  </si>
  <si>
    <t>L QUSAIS IND AREA-3 DUBAI,UAE</t>
  </si>
  <si>
    <t>DALIAN LUYIMEI TRADING CO.,LTD.</t>
    <phoneticPr fontId="2"/>
  </si>
  <si>
    <t xml:space="preserve">A28-2,NO37,XINKANG GARDEN,GANJINGZI </t>
    <phoneticPr fontId="2"/>
  </si>
  <si>
    <t>DIST,DALIAN CHINA</t>
    <phoneticPr fontId="2"/>
  </si>
  <si>
    <t>YANTAI FEIHAN GARMENT CO.,LTD.</t>
  </si>
  <si>
    <t>3F,BUILDING 10,NO11,JINSHAJIANG</t>
  </si>
  <si>
    <t>ROAD,ETDZ,YANTAI,SHANDONG,CHINA</t>
  </si>
  <si>
    <t>LOT 03,VIET HUONG INDUSTRIAL PARK,T</t>
    <phoneticPr fontId="2"/>
  </si>
  <si>
    <t>HUAN AN CITY,BINH DUONG PROVINCE,</t>
  </si>
  <si>
    <t>AIR LIQUIDE UK LIMITED</t>
    <phoneticPr fontId="2"/>
  </si>
  <si>
    <t>HUZHOU NON NON INTERNATIONAL TRADE CO.,LTD</t>
    <phoneticPr fontId="2"/>
  </si>
  <si>
    <t>BUILDING 11,NO888,EAST SIDE OF THE</t>
    <phoneticPr fontId="2"/>
  </si>
  <si>
    <t>SECOND FLOOR,QIXING ROAD,HUZHOU,</t>
    <phoneticPr fontId="2"/>
  </si>
  <si>
    <t>ZHEJIANG PROVINCE,CHINA</t>
    <phoneticPr fontId="2"/>
  </si>
  <si>
    <t>HUNG VIET GARMENT JOINT STOCK COMPANY(HUNGVIET JSC)</t>
  </si>
  <si>
    <t>Y HAO TOWN,HUNG YEN PROVINCE,VIETNA</t>
  </si>
  <si>
    <t>M COUNTRY</t>
  </si>
  <si>
    <t>PT.RICKY PUTRA GLOBALINDO TBK.</t>
  </si>
  <si>
    <t>JL.INDUSTRI NO54,TARIKOLOT-CITEUREU</t>
  </si>
  <si>
    <t>P,BOGOR-INDONEISA 16810</t>
  </si>
  <si>
    <t>MYANMAR SUNVIEW GARMENTS COMPANY LIMITED</t>
  </si>
  <si>
    <t>NO139 MIN AYEYAR ROAD,SHWE THAN LWI</t>
  </si>
  <si>
    <t>N INDUSTRIAL ZONE,HLAING THAR YAR T</t>
  </si>
  <si>
    <t>OWNSHIP, YANGON MYANMAR</t>
    <phoneticPr fontId="2"/>
  </si>
  <si>
    <t>CONTITECH HUNGARY LTD.,</t>
  </si>
  <si>
    <t>DERKOVITS STR.137,H-4400 NYIREGYHAZ</t>
  </si>
  <si>
    <t>A,HUNGARY</t>
  </si>
  <si>
    <t>HANAWA GARMENT TRADING WUXI CO.,CHINA</t>
    <phoneticPr fontId="2"/>
  </si>
  <si>
    <t>3FLOOR NO9 7TH JINFA ROAD,</t>
    <phoneticPr fontId="2"/>
  </si>
  <si>
    <t>SHUOFANG NEW DISTRICT WUXI</t>
    <phoneticPr fontId="2"/>
  </si>
  <si>
    <t>JIANGSU CHINA</t>
    <phoneticPr fontId="2"/>
  </si>
  <si>
    <t>SLUISWACHTER 20B 3861 SN NIJKERK</t>
    <phoneticPr fontId="2"/>
  </si>
  <si>
    <t>THE NETHERLANDS</t>
    <phoneticPr fontId="2"/>
  </si>
  <si>
    <t>GIBAS NUMERIEK B.V.</t>
    <phoneticPr fontId="2"/>
  </si>
  <si>
    <t>DALIAN LLOYDA INTERNATIONAL TRADING CO.,LTD.</t>
  </si>
  <si>
    <t>ROOM 821,ZHONGNAN BUILDING A 18 ZHO</t>
  </si>
  <si>
    <t xml:space="preserve">NGHUAXI ROAD,GANJINGJI DIST,DALIAN </t>
  </si>
  <si>
    <t>VAN CO,WARD VIET TRI CITY</t>
    <phoneticPr fontId="2"/>
  </si>
  <si>
    <t>ZONE3,VAN CO,WARD VIET TRI CITY</t>
    <phoneticPr fontId="2"/>
  </si>
  <si>
    <t>DONGGUAN DRACO KING COMPANY LTD</t>
    <phoneticPr fontId="2"/>
  </si>
  <si>
    <t>BUILDING6 NO849 ZHENXING ROAD</t>
    <phoneticPr fontId="2"/>
  </si>
  <si>
    <t>XIENGANG TOWN,DONGGUAN CHINA</t>
    <phoneticPr fontId="2"/>
  </si>
  <si>
    <t>ジャンプ</t>
    <phoneticPr fontId="2"/>
  </si>
  <si>
    <t>XIANGSHAN DEXIN PRINTING TEXTILE CO.,LTD</t>
    <phoneticPr fontId="2"/>
  </si>
  <si>
    <t>BEITANG INDUSTRIAL ZONE JUEXI</t>
    <phoneticPr fontId="2"/>
  </si>
  <si>
    <t>XIANGSHAN NINGBO ZHEJIANG CHINA</t>
    <phoneticPr fontId="2"/>
  </si>
  <si>
    <t>DALIAN HECAI IMPORT AND EXPORT CO.,LTD.</t>
  </si>
  <si>
    <t>NO172 HOUSE QIANHOUGLIAN HEALTHY CO</t>
  </si>
  <si>
    <t>NTER,QIANMU TOWN,GANJINGZI DISTRCT</t>
  </si>
  <si>
    <t>NANTONG MINGHAO INTERNATIONAL TRADE CO.,LTD</t>
  </si>
  <si>
    <t>NO8-8,FUMEI ROAD,GANGZHA DISTRICT,N</t>
  </si>
  <si>
    <t>ANTONG,JIANGSU,CHINA PC:226001</t>
  </si>
  <si>
    <t>VSM JAPAN MANUFACTURING CO.,LTD</t>
    <phoneticPr fontId="2"/>
  </si>
  <si>
    <t>TAN TRUONG INDUSTRIAL ZONE,</t>
    <phoneticPr fontId="2"/>
  </si>
  <si>
    <t>CAM GIANG DISTRICT,HAI DUONG</t>
    <phoneticPr fontId="2"/>
  </si>
  <si>
    <t>PROVINCE,VIETNAM</t>
    <phoneticPr fontId="2"/>
  </si>
  <si>
    <t>ONE TOP CO.,LTD.</t>
  </si>
  <si>
    <t>16,DEOGYEONG-DAERO 1556BEON-GIL,</t>
  </si>
  <si>
    <t>YEONGTONG-GU,SUWON-SI,GYEONGGI-DO</t>
  </si>
  <si>
    <t>16690 KOREA</t>
  </si>
  <si>
    <t>NIPPON PILLAR PACKING CO.,LTD.</t>
  </si>
  <si>
    <t>MYANMAR HONGYUAN INTERNATIONAL GARMENT COMPANY LIMITED</t>
  </si>
  <si>
    <t>NO.33/A/1,33/B1,N/4 BANT BWAY KONE</t>
  </si>
  <si>
    <t>VILLAGE GROUP,MAYANTALIN KWIN,NO(58</t>
  </si>
  <si>
    <t>9-A) HIMAWBI TOWNSHIP,YANGON REGION</t>
  </si>
  <si>
    <t>,MYANMAR</t>
  </si>
  <si>
    <t>IHSAN KOCAK MAK. SAN. VE TI A.S.</t>
    <phoneticPr fontId="2"/>
  </si>
  <si>
    <t>FEVZI CAKMAK MAH.BUSAN O.O.S.B.</t>
    <phoneticPr fontId="2"/>
  </si>
  <si>
    <t>10642 SK.NO:32-34-36</t>
    <phoneticPr fontId="2"/>
  </si>
  <si>
    <t>TURKEY</t>
    <phoneticPr fontId="2"/>
  </si>
  <si>
    <t>ONJI</t>
    <phoneticPr fontId="2"/>
  </si>
  <si>
    <t>YANGJIANG DE MENG HARDWARE CO.,LTD</t>
  </si>
  <si>
    <t>NORTH OF XINGPING 5TH ROAD,ZHUHAI</t>
  </si>
  <si>
    <t>INDUSTRIAL,TRANSFER INDUSTRIAL</t>
  </si>
  <si>
    <t>PARK,YANGJIANG CITY,GUANGDONG,</t>
  </si>
  <si>
    <t>529500 CHINA</t>
  </si>
  <si>
    <t>CICA-HUNTEK CHEMICAL TECHNOLOGY TAIWAN CO.,LTD.</t>
  </si>
  <si>
    <t>8F.-1,NO.145,XIANZHENG 9THRD.,ZHUBE</t>
  </si>
  <si>
    <t>I CITY,HSINCHU COUNTY 302005,TAIWAN</t>
  </si>
  <si>
    <t>HOMWELL CO.,LTD.</t>
    <phoneticPr fontId="2"/>
  </si>
  <si>
    <t>NO168,JIESHOU RD.,HSINCHU CITY</t>
    <phoneticPr fontId="2"/>
  </si>
  <si>
    <t>PILLAR TECHNOLOGY(CHUZHOU)CO.,LTD.</t>
  </si>
  <si>
    <t>NO.9 STANDARD WORKSHOP,ZONE 6,MODER</t>
  </si>
  <si>
    <t>N INDUSTRIAL SQUARE,QUANZHOU ROAD,S</t>
  </si>
  <si>
    <t>U CHU MODERN INDUSTRIAL PARK,CHUZHO</t>
  </si>
  <si>
    <t>U CITY,ANHUI PROVINCE,P.R.CHINA</t>
  </si>
  <si>
    <t>K FOILS LIMITED</t>
    <phoneticPr fontId="2"/>
  </si>
  <si>
    <t>FLAT 1 2/F SIU WAI INDUSTRIAL CTR</t>
  </si>
  <si>
    <t>29-33,WING HONG STREET CHEUNG SHA W</t>
  </si>
  <si>
    <t>AN KOWLOON,HONG KONG</t>
  </si>
  <si>
    <t>YANTAI CHERRY GROUP CO.,LTD.</t>
  </si>
  <si>
    <t>18F,CHERRY MANSION,80CHAOYANG ST</t>
  </si>
  <si>
    <t>YANTAI,CHINA</t>
  </si>
  <si>
    <t>LITA MYANMAR CO.,LTD.</t>
    <phoneticPr fontId="2"/>
  </si>
  <si>
    <t>PLOT NO.51/52,SHWE PYI THAR INDUSTR</t>
  </si>
  <si>
    <t>IAL ZONE(4),SET SAYAR U TUN STREET,</t>
  </si>
  <si>
    <t>SHWE PYI THAR,YANGON,MYANMAR 11411</t>
  </si>
  <si>
    <t>NO.129 FUZHOUBEI ROAD</t>
    <phoneticPr fontId="2"/>
  </si>
  <si>
    <t>QINGDAO CHINA</t>
    <phoneticPr fontId="2"/>
  </si>
  <si>
    <t>MERCHANTS JAPAN</t>
    <phoneticPr fontId="2"/>
  </si>
  <si>
    <t>HB LIFE LIMITED</t>
    <phoneticPr fontId="2"/>
  </si>
  <si>
    <t>CHUNG HING INDUSTRIAL MONSIONS</t>
    <phoneticPr fontId="2"/>
  </si>
  <si>
    <t>2-4 LUK HOP STREET,SAN PO KONG,</t>
    <phoneticPr fontId="2"/>
  </si>
  <si>
    <t>KOWLOON,HONG KONG</t>
    <phoneticPr fontId="2"/>
  </si>
  <si>
    <t>POWER</t>
    <phoneticPr fontId="2"/>
  </si>
  <si>
    <t>VIETNAM POWER GARMENT CO.,LTD</t>
  </si>
  <si>
    <t>A1-1,TAN HOI INDUSTRIAL COMPLEX,HOI</t>
  </si>
  <si>
    <t>AN HAMLET,TAN HOI VILLAGE,TAN CHAU</t>
  </si>
  <si>
    <t>DISTRICT,TAY NINH PROVINCE</t>
  </si>
  <si>
    <t>NPK FLUID CONTROL SYSTEMS MEXICO S.A.DE C.V.</t>
    <phoneticPr fontId="2"/>
  </si>
  <si>
    <t>AV.RITA PEREZ,NO2001 D,COL.COLINAS</t>
  </si>
  <si>
    <t>DE LAGOS CP.47515,CARRETERA A SAN L</t>
  </si>
  <si>
    <t>UIS POTOSI,LAGOS DE MORENO JAL.MEXI</t>
  </si>
  <si>
    <t>HANJONG ENGINEERING CO.,LTD.</t>
  </si>
  <si>
    <t>RM504, 53, GASAN DIGITAL 2-RO,</t>
  </si>
  <si>
    <t>GEUMCHEON-GU, SEOUL, 08588 KOREA</t>
  </si>
  <si>
    <t>PLOT NO26/1,KWIN NO.691 (KATAWKAN K</t>
  </si>
  <si>
    <t>WIN) BAGAN STREET,MINGALAR QUARTER,</t>
  </si>
  <si>
    <t>TAIKKYEE TOWNSHIP,NORTHERN,YANGON R</t>
  </si>
  <si>
    <t>MYANMAR POSTARION CO.,LTD</t>
  </si>
  <si>
    <t>PLOT NO.D-8 MINGALARDON INDUSTRIAL</t>
  </si>
  <si>
    <t>PK MINGALARDON TSP,YANGON,MYANMAR</t>
  </si>
  <si>
    <t>GFT ENTERPRISES(H.K.)LIMITED</t>
  </si>
  <si>
    <t>RM.301,3RD FLOOR,SUN HUNG KAI CENTR</t>
  </si>
  <si>
    <t>E,30 HARBOUR ROAD WANCHAI,HONG KONG</t>
  </si>
  <si>
    <t>IHSAN KOCAK MAKINA SANAYI VE</t>
  </si>
  <si>
    <t>FEVZI CAKMAK MAH.BUSAN SAN O.O.S.B.</t>
  </si>
  <si>
    <t>10642,SK.NO:32-34-36,KARATAY KONYA</t>
  </si>
  <si>
    <t>MAGICTEX CO.,LTD.</t>
  </si>
  <si>
    <t>NO.6,BINH AN TEXTILE INDUSTRIAL PAR</t>
  </si>
  <si>
    <t>K,DI AN CITY,BINH DUONG PROVINCE,75</t>
  </si>
  <si>
    <t>309 VIETNAM</t>
  </si>
  <si>
    <t>HANKOOK ENGINEERING WORKS CO.,LTD.</t>
  </si>
  <si>
    <t>112,GAJEONGBUK-RO,YUSEONG-GU,DAEJEO</t>
  </si>
  <si>
    <t>N,KOREA</t>
  </si>
  <si>
    <t>NANTONG OHTAKA GARMENT CO.,LTD.</t>
  </si>
  <si>
    <t>NO.36 YONGXING ROAD NONTONG,</t>
  </si>
  <si>
    <t>22600 JIANGSU CHINA</t>
  </si>
  <si>
    <t>A-SIGN CO.,LTD</t>
    <phoneticPr fontId="2"/>
  </si>
  <si>
    <t>TONGXIANG WUZHEN WINBELL GARMENTS CO.,LTD</t>
    <phoneticPr fontId="2"/>
  </si>
  <si>
    <t>FULANQIAO-CUN,WUZHEN,TONGXIANG-CITY,</t>
    <phoneticPr fontId="2"/>
  </si>
  <si>
    <t>ZHEJIANG,CHINA</t>
    <phoneticPr fontId="2"/>
  </si>
  <si>
    <t>NANTONG XITAI IMPORT &amp; EXPORT CO.,LTD.</t>
    <phoneticPr fontId="2"/>
  </si>
  <si>
    <t>ROOM 1908 BUILDING9,INDUSTRIAL TECH</t>
  </si>
  <si>
    <t>NOLOGY RESEARCH INSTITUTE,58 CHONGC</t>
  </si>
  <si>
    <t>HUAN ROAD,CHONGCHUAN DISTRICT,NANTO</t>
  </si>
  <si>
    <t>THE NATIONAL FORWARDER(S)PTE LTD</t>
  </si>
  <si>
    <t>5 PENJURU LANE SINGAPORE 609186</t>
  </si>
  <si>
    <t>MARUSA</t>
    <phoneticPr fontId="2"/>
  </si>
  <si>
    <t>PT.SANSAN SAUDARATEX JAYA</t>
    <phoneticPr fontId="2"/>
  </si>
  <si>
    <t>JL.CIBALIGO NO33-CIMAHI 40535</t>
    <phoneticPr fontId="2"/>
  </si>
  <si>
    <t>BANDUNG INDONESIA</t>
    <phoneticPr fontId="2"/>
  </si>
  <si>
    <t>30074,TAIWAN R.O.C.</t>
    <phoneticPr fontId="2"/>
  </si>
  <si>
    <t>SHENZHEN QIANSI TEXTILE CO.,LTD</t>
  </si>
  <si>
    <t>NO12A2,FLOOR12,BLOCK A,HONGSONG BUI</t>
  </si>
  <si>
    <t>LDING,TAIRAN 6TH ROAD,FUTIAN DISTRI</t>
  </si>
  <si>
    <t>CT SHENZHEN 518000 CHINA</t>
  </si>
  <si>
    <t>N,VIET NAM</t>
  </si>
  <si>
    <t>DALIAN GLARY INTERNATIONAL TRADING CO.,LTD</t>
  </si>
  <si>
    <t>RM2305 HARBOUR CENTER NO1</t>
  </si>
  <si>
    <t>WUWU ROAD,ZHONGSHAN DISTRICT,</t>
  </si>
  <si>
    <t>DALIAN CITY CHINA</t>
  </si>
  <si>
    <t>SAIGON PRIVATE GARMENT EXPORT CO.,LTD.</t>
  </si>
  <si>
    <t>45 BUIVAN THIEM STREET,WARD9,PHU NH</t>
  </si>
  <si>
    <t>UAN DISTRICT,HOCHIMINH CITY VIETNAM</t>
  </si>
  <si>
    <t>KM3,PHAM VAN DONG ROAD,ANH DUNG PRE</t>
  </si>
  <si>
    <t>CINCT,DUONG KINK DIST.,HAIPHONG CIT</t>
  </si>
  <si>
    <t>Y,VIETNAM</t>
  </si>
  <si>
    <t>THIEN NAM GARMENT CO.,LTD</t>
    <phoneticPr fontId="2"/>
  </si>
  <si>
    <t>MN INTER-FASHION(CHINA)LTD</t>
    <phoneticPr fontId="2"/>
  </si>
  <si>
    <t xml:space="preserve">ROOM801-805/808,GUOCO CHANGFENG </t>
    <phoneticPr fontId="2"/>
  </si>
  <si>
    <t>CITY SOUTH TOWER,NO1,LANE 556</t>
    <phoneticPr fontId="2"/>
  </si>
  <si>
    <t>DADUHE ROAD,PUTUO DIST.,SHANGHAI,</t>
    <phoneticPr fontId="2"/>
  </si>
  <si>
    <t>CHINA</t>
    <phoneticPr fontId="2"/>
  </si>
  <si>
    <t xml:space="preserve">ZONE,SON TINH DIST,QUANG NGAI </t>
    <phoneticPr fontId="2"/>
  </si>
  <si>
    <t>VIETNAM</t>
    <phoneticPr fontId="2"/>
  </si>
  <si>
    <t>DALIAN SENNO FASHION CO.,LTD.</t>
    <phoneticPr fontId="2"/>
  </si>
  <si>
    <t>1ST FLOOR,NO69 XINYI STREET,</t>
    <phoneticPr fontId="2"/>
  </si>
  <si>
    <t>GANJINGZI DISTRICT,DALIAN,CHINA</t>
    <phoneticPr fontId="2"/>
  </si>
  <si>
    <t>VANGUARD APPAREL CO.,LTD.</t>
  </si>
  <si>
    <t>NO.B-14,ZONE(A),THILAWA SPECIAL ECO</t>
  </si>
  <si>
    <t>NOMIC ZONE,THANLYIN TOWNSHIP,YANGON</t>
  </si>
  <si>
    <t>SHANGHAI EAST BEST FOREIGN TRADE CO.,LTD.</t>
    <phoneticPr fontId="2"/>
  </si>
  <si>
    <t>NO258-268 ZHAOJIA BANG ROAD</t>
    <phoneticPr fontId="2"/>
  </si>
  <si>
    <t>27 MIDDLE ZHONGXIU ROAD,NANTONG</t>
    <phoneticPr fontId="2"/>
  </si>
  <si>
    <t>P.R.OF CHINA</t>
    <phoneticPr fontId="2"/>
  </si>
  <si>
    <t>JINSAN MARINE MANAGEMENT CO.,LTD.</t>
    <phoneticPr fontId="2"/>
  </si>
  <si>
    <t>#1396,MAEAM-DONG,NAM-GU,</t>
    <phoneticPr fontId="2"/>
  </si>
  <si>
    <t>ULSAN CITY,44780 KOREA</t>
    <phoneticPr fontId="2"/>
  </si>
  <si>
    <t>DALIAN HUAYING GARMENT CO.,LTD.</t>
    <phoneticPr fontId="2"/>
  </si>
  <si>
    <t>17BLDG,MIDSUMMER GARDEN,NO.133</t>
    <phoneticPr fontId="2"/>
  </si>
  <si>
    <t>BAYI ROAD XIGANG DISTRICT</t>
    <phoneticPr fontId="2"/>
  </si>
  <si>
    <t>DALIAN CHINA</t>
    <phoneticPr fontId="2"/>
  </si>
  <si>
    <t>DALIAN JIACHEN TRADE CO.,LTD</t>
    <phoneticPr fontId="2"/>
  </si>
  <si>
    <t>NO.1C-509,QIAN SHAN ROAD,GAN JING</t>
    <phoneticPr fontId="2"/>
  </si>
  <si>
    <t>ZI DISTRICT,DALIAN,CHINA</t>
    <phoneticPr fontId="2"/>
  </si>
  <si>
    <t>JIANGYIN RUIJIANG GARMENTS CO.,LTD</t>
    <phoneticPr fontId="2"/>
  </si>
  <si>
    <t xml:space="preserve">NO10,NAN QIU ROAD,CHENGCHANG </t>
    <phoneticPr fontId="2"/>
  </si>
  <si>
    <t>DEVELOPMENT ZONE,HUANGTU TOWN,</t>
    <phoneticPr fontId="2"/>
  </si>
  <si>
    <t>JIANG YIN CITY,JIANGSU PROVINCE,CHINA</t>
    <phoneticPr fontId="2"/>
  </si>
  <si>
    <t>REAL STAR MANUFACTURING CO.,LTD.</t>
  </si>
  <si>
    <t>PLOT NO#2/26,KANAUNG MIN THR GYI ST</t>
  </si>
  <si>
    <t xml:space="preserve">REET,DAGON SEIK KAN INDUSTRIAL MYO </t>
  </si>
  <si>
    <t>TAW,DAGON SEIK KAN T/S YANGON,MYANM</t>
  </si>
  <si>
    <t>P.T.MASTERINDO JAYA ABADI</t>
  </si>
  <si>
    <t>JL.SOEKARNO-HATTA NO.24 BANDUNG 402</t>
  </si>
  <si>
    <t>12 INDONESIA</t>
  </si>
  <si>
    <t>15NORTH TAISHAN ROAD,ECOTECH DEV ZO</t>
  </si>
  <si>
    <t>NE,LIANYUNGANG,JIANGSU 222047,CHINA</t>
  </si>
  <si>
    <t>SHIMANO(LIANYUNGANG)INDUSTRIAL CO LTD</t>
    <phoneticPr fontId="2"/>
  </si>
  <si>
    <t>KOREA PILLAR PACKING CO.,LTD.</t>
  </si>
  <si>
    <t>ROOM1703,NAMSAN SQUARE TOEGYE-RO/17</t>
  </si>
  <si>
    <t>3,JUNG-GU,SEOUL,KOREA 04554</t>
  </si>
  <si>
    <t>DALIAN HAIXIN SHIPPING AGENCY CO LTD</t>
  </si>
  <si>
    <t>NO5-8 OF JULIA EAST GARDEN,DALIANWA</t>
  </si>
  <si>
    <t>N ST,GANJINGZI DIST OF DALIAN CITY,</t>
  </si>
  <si>
    <t>JAMES WALKER INMARCO INDUSTRIESPVT. LTD.(EOU)</t>
  </si>
  <si>
    <t>PLOT NO.55/1,WAGHDHARA ROAD.</t>
  </si>
  <si>
    <t>VILLAGE,DADRA AND NAGAR HAVELI</t>
  </si>
  <si>
    <t>DADRA(U.T.)-396193,INDIA</t>
  </si>
  <si>
    <t>CHORI(DALIAN)COMMERCIAL IMPORT EXPORT CO.,LTD</t>
    <phoneticPr fontId="2"/>
  </si>
  <si>
    <t>5F SENMAO BUILDING 147 ZHONGSHAN</t>
    <phoneticPr fontId="2"/>
  </si>
  <si>
    <t>ROAD,XIGANG DIST,DALIAN LIAONING</t>
    <phoneticPr fontId="2"/>
  </si>
  <si>
    <t>PROVINCE,P.R.CHINA</t>
    <phoneticPr fontId="2"/>
  </si>
  <si>
    <t>TAIWAN PILLAR INDUSTRY CO.,LTD.</t>
  </si>
  <si>
    <t>8F.,NO.45,SEC 1,MINQUAN E.RD.,</t>
  </si>
  <si>
    <t>ZHONGSHANG DIST., TAIPEI CITY.,</t>
  </si>
  <si>
    <t>104028,TAIWAN</t>
  </si>
  <si>
    <t>7 AIRLINE ROAD,#03-20/20A CARGO AGE</t>
  </si>
  <si>
    <t>NT BUILDING E,SINGAPORE 819834</t>
  </si>
  <si>
    <t>BUILDING11 NO888,EAST SIDE OF THE</t>
    <phoneticPr fontId="2"/>
  </si>
  <si>
    <t>SECOND FLOOR,QIXING ROAD,HUZHOU</t>
    <phoneticPr fontId="2"/>
  </si>
  <si>
    <t>JIANGSU PURSUIT APPAREL CO.,LTD</t>
    <phoneticPr fontId="2"/>
  </si>
  <si>
    <t>HUZHOU NON NON INTERNATIONAL TRADE CO.,LTD.</t>
  </si>
  <si>
    <t>ZHEJIANG PROVINCE, CHINA</t>
    <phoneticPr fontId="2"/>
  </si>
  <si>
    <t>AN-DONG GEUMCHEON-GU,SEOUL,KOREA</t>
    <phoneticPr fontId="2"/>
  </si>
  <si>
    <t>MAIPU GONG YE YUAN BLD9-302,XINSHEN</t>
  </si>
  <si>
    <t>G ROAD NO.158,NANTONG,JIANGSU,CHINA</t>
  </si>
  <si>
    <t>SCIENTECH CORPORATION</t>
  </si>
  <si>
    <t>11F.,NO.208,RUIGUANG RD.,NEIHU DIST</t>
  </si>
  <si>
    <t>.,TAIPEI CITY 11491,TAIWAN</t>
  </si>
  <si>
    <t>CHANGCHUN SHIPPING (NANTONG) CO.,LTD</t>
  </si>
  <si>
    <t>FEITIAN INDUSTRIAL NO.4 WAREHOUSE</t>
  </si>
  <si>
    <t>NO.299 CHANGJIANG NORTH ROAD,</t>
  </si>
  <si>
    <t>GANGZHA DISTRICT,NANTONG,</t>
  </si>
  <si>
    <t>JIANGSU PROVINCE,CHINA</t>
  </si>
  <si>
    <t>334-27 YEOSUSANDAN-RO YEOSU-SI JEOL</t>
  </si>
  <si>
    <t>LANAM-DO 59616 REPUBLIC OF KOREA</t>
  </si>
  <si>
    <t>VIVA GARMENT PRODUCTS LTD</t>
    <phoneticPr fontId="2"/>
  </si>
  <si>
    <t>H.T APPAREL COMPANY LIMITED</t>
    <phoneticPr fontId="2"/>
  </si>
  <si>
    <t>TAHA HAMLET,VANLY COMMUNE,LYNHAN DI</t>
    <phoneticPr fontId="2"/>
  </si>
  <si>
    <t>STRICT,HANAM PROVINCE,VIETNAM</t>
    <phoneticPr fontId="2"/>
  </si>
  <si>
    <t>NADIA PACIFIC APPAREL CO.,LTD.</t>
  </si>
  <si>
    <t>PLOT NO.107,U TUN NYO STREET,INDUST</t>
  </si>
  <si>
    <t>RIAL 2ND QUARTER,HLAING THARYAR T/S</t>
  </si>
  <si>
    <t xml:space="preserve"> YANGON REGION,MYANMAR 11401</t>
  </si>
  <si>
    <t>NANTONG LINGRI FOREIGN TRADE CO.,LTD</t>
  </si>
  <si>
    <t>ROOM1004,BUILDING2,NO.166 NORTH STR</t>
  </si>
  <si>
    <t>EET,GANGZHA DISTRICT,NANTONG CITY J</t>
  </si>
  <si>
    <t>IANGSU CHINA PC.C226000</t>
  </si>
  <si>
    <t>GLOBAL TECHNOCRATS INC.</t>
    <phoneticPr fontId="2"/>
  </si>
  <si>
    <t>302,GUPTA TOWER II G-33,VIKAS PURI,</t>
    <phoneticPr fontId="2"/>
  </si>
  <si>
    <t>NEW DELHI-110018,INDIA</t>
    <phoneticPr fontId="2"/>
  </si>
  <si>
    <t>84/76,OLD MLABALAM ROAD,SAIDAPET</t>
    <phoneticPr fontId="2"/>
  </si>
  <si>
    <t>CHENNAI-600015,INDIA</t>
    <phoneticPr fontId="2"/>
  </si>
  <si>
    <t>SHIN MYUNG FIRST VINA CO.,LTD.</t>
    <phoneticPr fontId="2"/>
  </si>
  <si>
    <t>TEAM3,TRUNG DONG COMMUNE,</t>
    <phoneticPr fontId="2"/>
  </si>
  <si>
    <t>TRUC NINH DISTRICT NAM DINH</t>
    <phoneticPr fontId="2"/>
  </si>
  <si>
    <t>PROVINCE,VIETNAM</t>
    <phoneticPr fontId="2"/>
  </si>
  <si>
    <t>BAO GIANG LGG GARMENT CORPORATION</t>
    <phoneticPr fontId="2"/>
  </si>
  <si>
    <t>NGHIA HOA COMMUNE,LANG GIANG</t>
    <phoneticPr fontId="2"/>
  </si>
  <si>
    <t>DISTRICT,BAC GIANG PROVINCE,VIETNAM</t>
    <phoneticPr fontId="2"/>
  </si>
  <si>
    <t>LANLAN CO.,LTD.</t>
    <phoneticPr fontId="2"/>
  </si>
  <si>
    <t>KM4,HUNG VUONG ROAD,PHU</t>
    <phoneticPr fontId="2"/>
  </si>
  <si>
    <t>KHANH WARD,THAI BINH CITY,</t>
    <phoneticPr fontId="2"/>
  </si>
  <si>
    <t>THAI BINH PROVINCE,VIETNAM</t>
    <phoneticPr fontId="2"/>
  </si>
  <si>
    <t>CATHUY ONE MEMBER COMPANY LIMITED</t>
    <phoneticPr fontId="2"/>
  </si>
  <si>
    <t>1/147A NGUYEN VAN QUA STREET,</t>
    <phoneticPr fontId="2"/>
  </si>
  <si>
    <t>DONG HUNG THUAN WARD,12 DISTRICT</t>
    <phoneticPr fontId="2"/>
  </si>
  <si>
    <t>HOCHIMINH CITY,VIETNAM</t>
    <phoneticPr fontId="2"/>
  </si>
  <si>
    <t>SSC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</si>
</sst>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26" formatCode="\$#,##0.00_);[Red]\(\$#,##0.00\)"/>
    <numFmt numFmtId="176" formatCode="0.00_ "/>
    <numFmt numFmtId="177" formatCode="0_);[Red]\(0\)"/>
    <numFmt numFmtId="178" formatCode="&quot;¥&quot;#,##0;[Red]\-&quot;¥&quot;#,##0"/>
    <numFmt numFmtId="179" formatCode="###\ ####\ ####"/>
    <numFmt numFmtId="180" formatCode="#,##0.0;[Red]\-#,##0.0"/>
    <numFmt numFmtId="181" formatCode="\$#,##0.00;\-\$#,##0.00"/>
    <numFmt numFmtId="182" formatCode="#,##0.0"/>
    <numFmt numFmtId="183" formatCode="#,##0.0_ ;[Red]\-#,##0.0\ "/>
    <numFmt numFmtId="184" formatCode="\(&quot;¥&quot;#,##0\)"/>
    <numFmt numFmtId="185" formatCode="\(&quot;¥&quot;#,##0.00&quot;/USD&quot;\)"/>
    <numFmt numFmtId="186" formatCode="#,##0.00_ &quot;/USD&quot;"/>
    <numFmt numFmtId="187" formatCode="#,###.00"/>
  </numFmts>
  <fonts count="3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b/>
      <i/>
      <u/>
      <sz val="11"/>
      <color theme="1"/>
      <name val="游ゴシック"/>
      <family val="3"/>
      <charset val="128"/>
      <scheme val="minor"/>
    </font>
    <font>
      <b/>
      <i/>
      <u/>
      <sz val="11"/>
      <name val="游ゴシック"/>
      <family val="3"/>
      <charset val="128"/>
      <scheme val="minor"/>
    </font>
    <font>
      <b/>
      <i/>
      <sz val="14"/>
      <color theme="1"/>
      <name val="游ゴシック"/>
      <family val="3"/>
      <charset val="128"/>
      <scheme val="minor"/>
    </font>
    <font>
      <sz val="11"/>
      <name val="明朝"/>
      <family val="1"/>
      <charset val="128"/>
    </font>
    <font>
      <sz val="12"/>
      <name val="HGPｺﾞｼｯｸM"/>
      <family val="3"/>
      <charset val="128"/>
    </font>
    <font>
      <sz val="11"/>
      <name val="HGPｺﾞｼｯｸM"/>
      <family val="3"/>
      <charset val="128"/>
    </font>
    <font>
      <sz val="6"/>
      <name val="明朝"/>
      <family val="1"/>
      <charset val="128"/>
    </font>
    <font>
      <sz val="8"/>
      <name val="HGPｺﾞｼｯｸM"/>
      <family val="3"/>
      <charset val="128"/>
    </font>
    <font>
      <sz val="10"/>
      <name val="HGPｺﾞｼｯｸM"/>
      <family val="3"/>
      <charset val="128"/>
    </font>
    <font>
      <sz val="6"/>
      <name val="ＭＳ Ｐ明朝"/>
      <family val="1"/>
      <charset val="128"/>
    </font>
    <font>
      <sz val="12"/>
      <name val="明朝"/>
      <family val="1"/>
      <charset val="128"/>
    </font>
    <font>
      <sz val="11"/>
      <color rgb="FF0000FF"/>
      <name val="HGPｺﾞｼｯｸM"/>
      <family val="3"/>
      <charset val="128"/>
    </font>
    <font>
      <sz val="12"/>
      <color indexed="12"/>
      <name val="HGPｺﾞｼｯｸM"/>
      <family val="3"/>
      <charset val="128"/>
    </font>
    <font>
      <sz val="12"/>
      <color rgb="FF0000FF"/>
      <name val="HGPｺﾞｼｯｸM"/>
      <family val="3"/>
      <charset val="128"/>
    </font>
    <font>
      <u/>
      <sz val="12"/>
      <name val="HGPｺﾞｼｯｸM"/>
      <family val="3"/>
      <charset val="128"/>
    </font>
    <font>
      <sz val="12"/>
      <color indexed="8"/>
      <name val="HGPｺﾞｼｯｸM"/>
      <family val="3"/>
      <charset val="128"/>
    </font>
    <font>
      <sz val="12"/>
      <color rgb="FF1B00C0"/>
      <name val="HGPｺﾞｼｯｸM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rgb="FF000000"/>
      <name val="HGPｺﾞｼｯｸM"/>
      <family val="3"/>
      <charset val="128"/>
    </font>
    <font>
      <sz val="12"/>
      <color indexed="56"/>
      <name val="HGPｺﾞｼｯｸM"/>
      <family val="3"/>
      <charset val="128"/>
    </font>
    <font>
      <sz val="12"/>
      <name val="游ゴシック"/>
      <family val="1"/>
      <charset val="128"/>
    </font>
    <font>
      <sz val="12"/>
      <color theme="1"/>
      <name val="HGPｺﾞｼｯｸM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theme="8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4" fillId="0" borderId="0"/>
    <xf numFmtId="38" fontId="14" fillId="0" borderId="0" applyFont="0" applyFill="0" applyBorder="0" applyAlignment="0" applyProtection="0"/>
    <xf numFmtId="178" fontId="14" fillId="0" borderId="0" applyFont="0" applyFill="0" applyBorder="0" applyAlignment="0" applyProtection="0"/>
  </cellStyleXfs>
  <cellXfs count="151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40" fontId="3" fillId="0" borderId="0" xfId="1" applyNumberFormat="1" applyFont="1">
      <alignment vertical="center"/>
    </xf>
    <xf numFmtId="176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4" fontId="3" fillId="0" borderId="0" xfId="0" applyNumberFormat="1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3" fontId="3" fillId="0" borderId="0" xfId="0" applyNumberFormat="1" applyFont="1">
      <alignment vertical="center"/>
    </xf>
    <xf numFmtId="40" fontId="3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4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4" fontId="6" fillId="0" borderId="0" xfId="0" applyNumberFormat="1" applyFont="1">
      <alignment vertical="center"/>
    </xf>
    <xf numFmtId="0" fontId="0" fillId="0" borderId="0" xfId="0" quotePrefix="1">
      <alignment vertical="center"/>
    </xf>
    <xf numFmtId="4" fontId="5" fillId="0" borderId="0" xfId="0" applyNumberFormat="1" applyFont="1" applyAlignment="1">
      <alignment horizontal="right" vertical="center"/>
    </xf>
    <xf numFmtId="4" fontId="6" fillId="0" borderId="0" xfId="0" applyNumberFormat="1" applyFont="1" applyAlignment="1">
      <alignment horizontal="right" vertical="center"/>
    </xf>
    <xf numFmtId="0" fontId="6" fillId="0" borderId="0" xfId="0" applyFont="1">
      <alignment vertical="center"/>
    </xf>
    <xf numFmtId="40" fontId="6" fillId="0" borderId="0" xfId="0" applyNumberFormat="1" applyFont="1">
      <alignment vertical="center"/>
    </xf>
    <xf numFmtId="0" fontId="0" fillId="0" borderId="2" xfId="0" applyBorder="1">
      <alignment vertical="center"/>
    </xf>
    <xf numFmtId="0" fontId="11" fillId="0" borderId="0" xfId="0" applyFont="1">
      <alignment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>
      <alignment vertical="center"/>
    </xf>
    <xf numFmtId="0" fontId="13" fillId="0" borderId="0" xfId="0" applyFont="1" applyAlignment="1">
      <alignment horizontal="left" vertical="center"/>
    </xf>
    <xf numFmtId="177" fontId="13" fillId="0" borderId="0" xfId="0" applyNumberFormat="1" applyFont="1" applyAlignment="1">
      <alignment horizontal="left" vertical="center"/>
    </xf>
    <xf numFmtId="0" fontId="15" fillId="0" borderId="0" xfId="0" applyFont="1" applyAlignment="1"/>
    <xf numFmtId="0" fontId="15" fillId="0" borderId="0" xfId="0" applyFont="1" applyAlignment="1">
      <alignment horizontal="right"/>
    </xf>
    <xf numFmtId="0" fontId="16" fillId="0" borderId="0" xfId="0" applyFont="1" applyAlignment="1"/>
    <xf numFmtId="0" fontId="15" fillId="0" borderId="0" xfId="0" quotePrefix="1" applyFont="1" applyAlignment="1">
      <alignment horizontal="left"/>
    </xf>
    <xf numFmtId="58" fontId="15" fillId="0" borderId="0" xfId="0" applyNumberFormat="1" applyFont="1" applyAlignment="1">
      <alignment horizontal="left"/>
    </xf>
    <xf numFmtId="0" fontId="18" fillId="0" borderId="0" xfId="0" applyFont="1" applyAlignment="1">
      <alignment wrapText="1"/>
    </xf>
    <xf numFmtId="0" fontId="19" fillId="0" borderId="0" xfId="0" applyFont="1" applyAlignment="1"/>
    <xf numFmtId="0" fontId="19" fillId="0" borderId="0" xfId="0" applyFont="1" applyAlignment="1">
      <alignment horizontal="centerContinuous" vertical="center"/>
    </xf>
    <xf numFmtId="0" fontId="18" fillId="0" borderId="0" xfId="0" applyFont="1" applyAlignment="1">
      <alignment horizontal="right"/>
    </xf>
    <xf numFmtId="0" fontId="21" fillId="0" borderId="0" xfId="0" applyFont="1" applyAlignment="1"/>
    <xf numFmtId="0" fontId="16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4" xfId="0" applyFont="1" applyBorder="1" applyAlignment="1"/>
    <xf numFmtId="0" fontId="15" fillId="0" borderId="5" xfId="0" applyFont="1" applyBorder="1" applyAlignment="1"/>
    <xf numFmtId="0" fontId="15" fillId="0" borderId="7" xfId="0" applyFont="1" applyBorder="1" applyAlignment="1"/>
    <xf numFmtId="0" fontId="15" fillId="0" borderId="8" xfId="0" applyFont="1" applyBorder="1" applyAlignment="1"/>
    <xf numFmtId="0" fontId="15" fillId="0" borderId="7" xfId="0" applyFont="1" applyBorder="1">
      <alignment vertical="center"/>
    </xf>
    <xf numFmtId="0" fontId="16" fillId="0" borderId="10" xfId="0" applyFont="1" applyBorder="1" applyAlignment="1"/>
    <xf numFmtId="0" fontId="16" fillId="0" borderId="11" xfId="0" applyFont="1" applyBorder="1" applyAlignment="1"/>
    <xf numFmtId="0" fontId="19" fillId="0" borderId="5" xfId="0" applyFont="1" applyBorder="1" applyAlignment="1"/>
    <xf numFmtId="0" fontId="16" fillId="0" borderId="6" xfId="0" applyFont="1" applyBorder="1" applyAlignment="1"/>
    <xf numFmtId="0" fontId="19" fillId="0" borderId="10" xfId="0" applyFont="1" applyBorder="1" applyAlignment="1"/>
    <xf numFmtId="0" fontId="19" fillId="0" borderId="8" xfId="0" applyFont="1" applyBorder="1" applyAlignment="1"/>
    <xf numFmtId="0" fontId="16" fillId="0" borderId="9" xfId="0" applyFont="1" applyBorder="1" applyAlignment="1"/>
    <xf numFmtId="0" fontId="15" fillId="0" borderId="10" xfId="0" applyFont="1" applyBorder="1" applyAlignment="1">
      <alignment horizontal="left"/>
    </xf>
    <xf numFmtId="0" fontId="15" fillId="0" borderId="3" xfId="0" applyFont="1" applyBorder="1" applyAlignment="1"/>
    <xf numFmtId="0" fontId="15" fillId="0" borderId="6" xfId="0" applyFont="1" applyBorder="1" applyAlignment="1"/>
    <xf numFmtId="0" fontId="15" fillId="0" borderId="10" xfId="0" quotePrefix="1" applyFont="1" applyBorder="1" applyAlignment="1">
      <alignment horizontal="left"/>
    </xf>
    <xf numFmtId="0" fontId="15" fillId="0" borderId="11" xfId="0" applyFont="1" applyBorder="1" applyAlignment="1"/>
    <xf numFmtId="0" fontId="15" fillId="0" borderId="12" xfId="0" applyFont="1" applyBorder="1" applyAlignment="1"/>
    <xf numFmtId="0" fontId="15" fillId="0" borderId="9" xfId="0" applyFont="1" applyBorder="1" applyAlignment="1"/>
    <xf numFmtId="0" fontId="16" fillId="0" borderId="12" xfId="0" applyFont="1" applyBorder="1" applyAlignment="1"/>
    <xf numFmtId="0" fontId="16" fillId="0" borderId="5" xfId="0" applyFont="1" applyBorder="1" applyAlignment="1"/>
    <xf numFmtId="0" fontId="16" fillId="0" borderId="3" xfId="0" applyFont="1" applyBorder="1" applyAlignment="1"/>
    <xf numFmtId="0" fontId="0" fillId="0" borderId="6" xfId="0" applyBorder="1" applyAlignment="1"/>
    <xf numFmtId="0" fontId="16" fillId="0" borderId="8" xfId="0" applyFont="1" applyBorder="1" applyAlignment="1"/>
    <xf numFmtId="0" fontId="23" fillId="0" borderId="0" xfId="0" applyFont="1" applyAlignment="1"/>
    <xf numFmtId="179" fontId="15" fillId="0" borderId="0" xfId="0" applyNumberFormat="1" applyFont="1" applyAlignment="1"/>
    <xf numFmtId="0" fontId="22" fillId="0" borderId="3" xfId="0" applyFont="1" applyBorder="1" applyAlignment="1">
      <alignment vertical="top" wrapText="1"/>
    </xf>
    <xf numFmtId="0" fontId="22" fillId="0" borderId="6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9" xfId="0" applyFont="1" applyBorder="1" applyAlignment="1">
      <alignment vertical="top" wrapText="1"/>
    </xf>
    <xf numFmtId="179" fontId="15" fillId="0" borderId="0" xfId="0" applyNumberFormat="1" applyFont="1">
      <alignment vertical="center"/>
    </xf>
    <xf numFmtId="0" fontId="22" fillId="0" borderId="8" xfId="0" applyFont="1" applyBorder="1" applyAlignment="1">
      <alignment vertical="top"/>
    </xf>
    <xf numFmtId="180" fontId="15" fillId="0" borderId="5" xfId="3" applyNumberFormat="1" applyFont="1" applyFill="1" applyBorder="1" applyAlignment="1">
      <alignment horizontal="right"/>
    </xf>
    <xf numFmtId="181" fontId="25" fillId="0" borderId="5" xfId="0" applyNumberFormat="1" applyFont="1" applyBorder="1" applyAlignment="1">
      <alignment horizontal="centerContinuous" vertical="center"/>
    </xf>
    <xf numFmtId="181" fontId="25" fillId="0" borderId="6" xfId="0" applyNumberFormat="1" applyFont="1" applyBorder="1" applyAlignment="1">
      <alignment horizontal="centerContinuous" vertical="center"/>
    </xf>
    <xf numFmtId="0" fontId="24" fillId="0" borderId="10" xfId="0" applyFont="1" applyBorder="1" applyAlignment="1">
      <alignment horizontal="left"/>
    </xf>
    <xf numFmtId="0" fontId="26" fillId="0" borderId="10" xfId="0" applyFont="1" applyBorder="1">
      <alignment vertical="center"/>
    </xf>
    <xf numFmtId="0" fontId="27" fillId="0" borderId="0" xfId="0" applyFont="1" applyAlignment="1"/>
    <xf numFmtId="182" fontId="23" fillId="0" borderId="10" xfId="0" applyNumberFormat="1" applyFont="1" applyBorder="1" applyAlignment="1">
      <alignment horizontal="right"/>
    </xf>
    <xf numFmtId="0" fontId="28" fillId="0" borderId="11" xfId="0" applyFont="1" applyBorder="1" applyAlignment="1">
      <alignment horizontal="centerContinuous"/>
    </xf>
    <xf numFmtId="0" fontId="26" fillId="0" borderId="10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180" fontId="15" fillId="0" borderId="10" xfId="3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30" fillId="0" borderId="10" xfId="0" applyFont="1" applyBorder="1" applyAlignment="1"/>
    <xf numFmtId="0" fontId="24" fillId="0" borderId="11" xfId="0" quotePrefix="1" applyFont="1" applyBorder="1" applyAlignment="1"/>
    <xf numFmtId="182" fontId="15" fillId="0" borderId="10" xfId="0" applyNumberFormat="1" applyFont="1" applyBorder="1" applyAlignment="1">
      <alignment horizontal="right"/>
    </xf>
    <xf numFmtId="0" fontId="28" fillId="0" borderId="11" xfId="0" applyFont="1" applyBorder="1" applyAlignment="1"/>
    <xf numFmtId="0" fontId="23" fillId="0" borderId="10" xfId="0" applyFont="1" applyBorder="1" applyAlignment="1"/>
    <xf numFmtId="180" fontId="23" fillId="0" borderId="10" xfId="3" applyNumberFormat="1" applyFont="1" applyFill="1" applyBorder="1" applyAlignment="1">
      <alignment horizontal="right"/>
    </xf>
    <xf numFmtId="26" fontId="25" fillId="0" borderId="11" xfId="4" applyNumberFormat="1" applyFont="1" applyFill="1" applyBorder="1" applyAlignment="1">
      <alignment horizontal="center" vertical="center"/>
    </xf>
    <xf numFmtId="3" fontId="15" fillId="0" borderId="10" xfId="0" applyNumberFormat="1" applyFont="1" applyBorder="1" applyAlignment="1">
      <alignment horizontal="right"/>
    </xf>
    <xf numFmtId="0" fontId="15" fillId="0" borderId="10" xfId="0" applyFont="1" applyBorder="1" applyAlignment="1"/>
    <xf numFmtId="183" fontId="15" fillId="0" borderId="7" xfId="0" applyNumberFormat="1" applyFont="1" applyBorder="1" applyAlignment="1">
      <alignment horizontal="right"/>
    </xf>
    <xf numFmtId="184" fontId="30" fillId="0" borderId="10" xfId="0" applyNumberFormat="1" applyFont="1" applyBorder="1" applyAlignment="1">
      <alignment horizontal="centerContinuous"/>
    </xf>
    <xf numFmtId="185" fontId="24" fillId="0" borderId="10" xfId="4" applyNumberFormat="1" applyFont="1" applyFill="1" applyBorder="1" applyAlignment="1">
      <alignment horizontal="centerContinuous" vertical="center"/>
    </xf>
    <xf numFmtId="183" fontId="15" fillId="0" borderId="10" xfId="0" applyNumberFormat="1" applyFont="1" applyBorder="1" applyAlignment="1">
      <alignment horizontal="right"/>
    </xf>
    <xf numFmtId="178" fontId="15" fillId="0" borderId="11" xfId="4" applyFont="1" applyFill="1" applyBorder="1" applyAlignment="1">
      <alignment horizontal="center"/>
    </xf>
    <xf numFmtId="38" fontId="15" fillId="0" borderId="10" xfId="3" applyFont="1" applyFill="1" applyBorder="1" applyAlignment="1">
      <alignment horizontal="right"/>
    </xf>
    <xf numFmtId="26" fontId="24" fillId="0" borderId="11" xfId="4" applyNumberFormat="1" applyFont="1" applyFill="1" applyBorder="1" applyAlignment="1">
      <alignment horizontal="center" vertical="center"/>
    </xf>
    <xf numFmtId="38" fontId="15" fillId="0" borderId="7" xfId="3" applyFont="1" applyFill="1" applyBorder="1" applyAlignment="1">
      <alignment horizontal="right"/>
    </xf>
    <xf numFmtId="186" fontId="15" fillId="0" borderId="9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left" vertical="center"/>
    </xf>
    <xf numFmtId="0" fontId="24" fillId="0" borderId="5" xfId="0" applyFont="1" applyBorder="1">
      <alignment vertical="center"/>
    </xf>
    <xf numFmtId="26" fontId="25" fillId="0" borderId="10" xfId="4" applyNumberFormat="1" applyFont="1" applyFill="1" applyBorder="1" applyAlignment="1">
      <alignment horizontal="centerContinuous" vertical="center"/>
    </xf>
    <xf numFmtId="0" fontId="0" fillId="0" borderId="10" xfId="0" applyBorder="1">
      <alignment vertical="center"/>
    </xf>
    <xf numFmtId="20" fontId="15" fillId="0" borderId="5" xfId="0" quotePrefix="1" applyNumberFormat="1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15" fillId="0" borderId="0" xfId="0" applyFont="1">
      <alignment vertical="center"/>
    </xf>
    <xf numFmtId="0" fontId="31" fillId="0" borderId="0" xfId="0" applyFont="1">
      <alignment vertical="center"/>
    </xf>
    <xf numFmtId="11" fontId="15" fillId="0" borderId="8" xfId="0" quotePrefix="1" applyNumberFormat="1" applyFont="1" applyBorder="1">
      <alignment vertical="center"/>
    </xf>
    <xf numFmtId="0" fontId="15" fillId="0" borderId="12" xfId="0" applyFont="1" applyBorder="1">
      <alignment vertical="center"/>
    </xf>
    <xf numFmtId="0" fontId="15" fillId="0" borderId="10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26" fontId="15" fillId="0" borderId="10" xfId="4" applyNumberFormat="1" applyFont="1" applyFill="1" applyBorder="1" applyAlignment="1">
      <alignment horizontal="center" vertical="center"/>
    </xf>
    <xf numFmtId="187" fontId="28" fillId="0" borderId="11" xfId="0" applyNumberFormat="1" applyFont="1" applyBorder="1" applyAlignment="1">
      <alignment horizontal="centerContinuous"/>
    </xf>
    <xf numFmtId="187" fontId="32" fillId="0" borderId="11" xfId="0" applyNumberFormat="1" applyFont="1" applyBorder="1" applyAlignment="1">
      <alignment horizontal="left" vertical="center" indent="1"/>
    </xf>
    <xf numFmtId="2" fontId="15" fillId="0" borderId="10" xfId="4" applyNumberFormat="1" applyFont="1" applyFill="1" applyBorder="1" applyAlignment="1">
      <alignment horizontal="right" vertical="center"/>
    </xf>
    <xf numFmtId="2" fontId="24" fillId="0" borderId="10" xfId="4" applyNumberFormat="1" applyFont="1" applyFill="1" applyBorder="1" applyAlignment="1">
      <alignment horizontal="right" vertical="center"/>
    </xf>
    <xf numFmtId="0" fontId="24" fillId="0" borderId="10" xfId="4" applyNumberFormat="1" applyFont="1" applyFill="1" applyBorder="1" applyAlignment="1">
      <alignment horizontal="right" vertical="center"/>
    </xf>
    <xf numFmtId="26" fontId="25" fillId="0" borderId="11" xfId="4" applyNumberFormat="1" applyFont="1" applyFill="1" applyBorder="1" applyAlignment="1">
      <alignment horizontal="centerContinuous" vertical="center"/>
    </xf>
    <xf numFmtId="0" fontId="13" fillId="5" borderId="0" xfId="0" applyFont="1" applyFill="1">
      <alignment vertical="center"/>
    </xf>
    <xf numFmtId="0" fontId="24" fillId="0" borderId="0" xfId="0" applyFont="1">
      <alignment vertical="center"/>
    </xf>
    <xf numFmtId="3" fontId="6" fillId="0" borderId="0" xfId="0" applyNumberFormat="1" applyFont="1">
      <alignment vertical="center"/>
    </xf>
    <xf numFmtId="0" fontId="16" fillId="0" borderId="0" xfId="0" applyFont="1" applyAlignment="1">
      <alignment horizontal="righ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2" fillId="0" borderId="8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9" xfId="0" applyFont="1" applyBorder="1" applyAlignment="1">
      <alignment horizontal="left" vertical="center" wrapText="1"/>
    </xf>
    <xf numFmtId="0" fontId="15" fillId="0" borderId="0" xfId="0" applyFont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6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</cellXfs>
  <cellStyles count="5">
    <cellStyle name="桁区切り" xfId="1" builtinId="6"/>
    <cellStyle name="桁区切り 2" xfId="3" xr:uid="{AE3C6A2F-8FC3-4D2B-8BAD-388AF73A5753}"/>
    <cellStyle name="通貨 2" xfId="4" xr:uid="{6008F015-F8EC-45F3-8D8C-8F05AF70C069}"/>
    <cellStyle name="標準" xfId="0" builtinId="0"/>
    <cellStyle name="標準 2" xfId="2" xr:uid="{88AA2CC9-9A45-4A8E-99EB-E4E09ECE38B1}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numFmt numFmtId="8" formatCode="#,##0.00;[Red]\-#,##0.00"/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8" formatCode="#,##0.00;[Red]\-#,##0.00"/>
    </dxf>
    <dxf>
      <font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numFmt numFmtId="8" formatCode="#,##0.00;[Red]\-#,##0.00"/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numFmt numFmtId="176" formatCode="0.00_ "/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color auto="1"/>
        <name val="游ゴシック"/>
        <family val="3"/>
        <charset val="128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4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シート1集計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シート2集計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12</xdr:row>
          <xdr:rowOff>9525</xdr:rowOff>
        </xdr:from>
        <xdr:to>
          <xdr:col>6</xdr:col>
          <xdr:colOff>1114425</xdr:colOff>
          <xdr:row>13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シート1クリア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1114425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単価 x Pcs or 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1114425</xdr:colOff>
          <xdr:row>16</xdr:row>
          <xdr:rowOff>219075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RoundDown_Amount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9525</xdr:rowOff>
        </xdr:from>
        <xdr:to>
          <xdr:col>6</xdr:col>
          <xdr:colOff>1123950</xdr:colOff>
          <xdr:row>14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シート2クリア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テーブル3コピー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1114425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名前付けて保存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印刷2プレビュー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219075</xdr:rowOff>
        </xdr:from>
        <xdr:to>
          <xdr:col>6</xdr:col>
          <xdr:colOff>1133475</xdr:colOff>
          <xdr:row>17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一括処理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0</xdr:row>
          <xdr:rowOff>0</xdr:rowOff>
        </xdr:from>
        <xdr:to>
          <xdr:col>14</xdr:col>
          <xdr:colOff>152400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238125</xdr:colOff>
          <xdr:row>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シート2集計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0</xdr:rowOff>
        </xdr:from>
        <xdr:to>
          <xdr:col>14</xdr:col>
          <xdr:colOff>1266825</xdr:colOff>
          <xdr:row>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テーブル3コピー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1276350</xdr:colOff>
          <xdr:row>0</xdr:row>
          <xdr:rowOff>0</xdr:rowOff>
        </xdr:from>
        <xdr:to>
          <xdr:col>16</xdr:col>
          <xdr:colOff>200025</xdr:colOff>
          <xdr:row>1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名前付けて保存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0</xdr:row>
          <xdr:rowOff>0</xdr:rowOff>
        </xdr:from>
        <xdr:to>
          <xdr:col>17</xdr:col>
          <xdr:colOff>200025</xdr:colOff>
          <xdr:row>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0</xdr:row>
          <xdr:rowOff>0</xdr:rowOff>
        </xdr:from>
        <xdr:to>
          <xdr:col>18</xdr:col>
          <xdr:colOff>638175</xdr:colOff>
          <xdr:row>1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印刷2プレビュー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647700</xdr:colOff>
          <xdr:row>0</xdr:row>
          <xdr:rowOff>0</xdr:rowOff>
        </xdr:from>
        <xdr:to>
          <xdr:col>19</xdr:col>
          <xdr:colOff>447675</xdr:colOff>
          <xdr:row>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1019175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テキスト出力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1000125</xdr:colOff>
          <xdr:row>10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テキストクリア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333375</xdr:colOff>
          <xdr:row>2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1欄申告テキスト出力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3</xdr:col>
          <xdr:colOff>1019175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テキスト出力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1000125</xdr:colOff>
          <xdr:row>9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テキストクリア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14</xdr:col>
          <xdr:colOff>9525</xdr:colOff>
          <xdr:row>6</xdr:row>
          <xdr:rowOff>0</xdr:rowOff>
        </xdr:to>
        <xdr:sp macro="" textlink="">
          <xdr:nvSpPr>
            <xdr:cNvPr id="8196" name="ComboBox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238125</xdr:rowOff>
        </xdr:from>
        <xdr:to>
          <xdr:col>10</xdr:col>
          <xdr:colOff>0</xdr:colOff>
          <xdr:row>13</xdr:row>
          <xdr:rowOff>238125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全て削除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55A6D6-0CA8-4944-B17D-919EE25A47CB}" name="テーブル1" displayName="テーブル1" ref="K1:AC483" totalsRowCount="1" headerRowDxfId="87" dataDxfId="86" totalsRowDxfId="85">
  <autoFilter ref="K1:AC482" xr:uid="{E555A6D6-0CA8-4944-B17D-919EE25A47CB}"/>
  <tableColumns count="19">
    <tableColumn id="1" xr3:uid="{700BCE3A-A0B5-4794-9C40-0364C5DC1DC8}" name="記号" totalsRowLabel="集計" dataDxfId="84" totalsRowDxfId="83"/>
    <tableColumn id="2" xr3:uid="{15540182-E128-4FC6-8CF5-0C8C3CB1FB71}" name="番号" dataDxfId="82" totalsRowDxfId="81"/>
    <tableColumn id="3" xr3:uid="{CB63BF31-F506-46ED-A0AA-8C310726ED70}" name="欄" dataDxfId="80" totalsRowDxfId="79"/>
    <tableColumn id="4" xr3:uid="{064C75A6-B31C-47B2-890A-9435D9BF0F45}" name="HS" totalsRowLabel="集計" dataDxfId="78" totalsRowDxfId="77"/>
    <tableColumn id="5" xr3:uid="{5D75CFDA-09F1-40C6-9694-EEB8DB5315A7}" name="末尾" dataDxfId="76" totalsRowDxfId="75">
      <calculatedColumnFormula>IF(LEN(N2)=10,RIGHT(N2,1),IFERROR(N2-(INT(N2/7)*7),RIGHT(N2,1)))</calculatedColumnFormula>
    </tableColumn>
    <tableColumn id="6" xr3:uid="{3CFD631E-BC75-483A-AB15-8FFB5C6A060A}" name="減免他法令" dataDxfId="74" totalsRowDxfId="73"/>
    <tableColumn id="7" xr3:uid="{18312C91-8E45-4B47-B81C-8CEC04A39CB2}" name="単価" dataDxfId="72" totalsRowDxfId="71"/>
    <tableColumn id="8" xr3:uid="{200AC666-5221-4B7B-8930-37B0FB0CCFF1}" name="金額" totalsRowFunction="sum" dataDxfId="70" totalsRowDxfId="69"/>
    <tableColumn id="10" xr3:uid="{8D4F54D9-654A-4FF2-93C7-A61AF4F69A5E}" name="NO" totalsRowFunction="sum" dataDxfId="68" totalsRowDxfId="67"/>
    <tableColumn id="11" xr3:uid="{AED8AE5E-DA5F-4E6D-9253-00E885C55F41}" name="幅" dataDxfId="66" totalsRowDxfId="65"/>
    <tableColumn id="12" xr3:uid="{7443D919-4CBA-4FEC-8263-6C49191B1D01}" name="長さ" dataDxfId="64" totalsRowDxfId="63"/>
    <tableColumn id="13" xr3:uid="{CE1F5DA9-6D22-4BCA-B563-DECCFDF1BBC3}" name="SM" totalsRowFunction="sum" dataDxfId="62" totalsRowDxfId="61">
      <calculatedColumnFormula>IF($G$8="",テーブル1[[#This Row],[幅]]*テーブル1[[#This Row],[長さ]],テーブル1[[#This Row],[幅]]*テーブル1[[#This Row],[長さ]]*$G$8)</calculatedColumnFormula>
    </tableColumn>
    <tableColumn id="14" xr3:uid="{065BF167-CB6F-4523-8073-042B235B711B}" name="目付" dataDxfId="60" totalsRowDxfId="59">
      <calculatedColumnFormula>IF(テーブル1[[#This Row],[幅]]=0,"",テーブル1[[#This Row],[KG合計]]/テーブル1[[#This Row],[SM]]*1000)</calculatedColumnFormula>
    </tableColumn>
    <tableColumn id="15" xr3:uid="{A8D2384F-60E4-448C-8C52-C00CC84C8862}" name="KG(目付)" dataDxfId="58" totalsRowDxfId="57">
      <calculatedColumnFormula>IF(テーブル1[[#This Row],[g/SM]]="",テーブル1[[#This Row],[長さ]]*テーブル1[[#This Row],[g/M]]/1000,テーブル1[[#This Row],[SM]]*テーブル1[[#This Row],[g/SM]]/1000)</calculatedColumnFormula>
    </tableColumn>
    <tableColumn id="16" xr3:uid="{275D8CBD-A69B-4199-88AB-E7FA0588B700}" name="KG" dataDxfId="56" totalsRowDxfId="55"/>
    <tableColumn id="17" xr3:uid="{76B125BD-9086-47E9-B018-CA17B04AF524}" name="KG合計" totalsRowFunction="sum" dataDxfId="54" totalsRowDxfId="53">
      <calculatedColumnFormula>SUM(テーブル1[[#This Row],[KG(目付)]:[KG]])</calculatedColumnFormula>
    </tableColumn>
    <tableColumn id="18" xr3:uid="{2A2C158F-4D53-4B65-872C-6B51121AF1E5}" name="g/SM" dataDxfId="52" totalsRowDxfId="51"/>
    <tableColumn id="19" xr3:uid="{E20D3D40-CF3C-430D-A9C6-D659F69BF0A2}" name="g/M" totalsRowFunction="count" dataDxfId="50" totalsRowDxfId="49"/>
    <tableColumn id="20" xr3:uid="{84FE6A67-6243-4AD2-ADA3-7A4D10BF28CF}" name="FOB" totalsRowFunction="sum" dataDxfId="48" totalsRowDxfId="47">
      <calculatedColumnFormula>$G$7*(テーブル1[[#This Row],[金額]]*$G$6)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095072-FAE1-4208-B361-87330A33EF07}" name="テーブル2" displayName="テーブル2" ref="C3:L4" insertRow="1" headerRowDxfId="46" dataDxfId="44" headerRowBorderDxfId="45" tableBorderDxfId="43">
  <autoFilter ref="C3:L4" xr:uid="{EC095072-FAE1-4208-B361-87330A33EF07}"/>
  <sortState xmlns:xlrd2="http://schemas.microsoft.com/office/spreadsheetml/2017/richdata2" ref="C4:L4">
    <sortCondition ref="C4"/>
  </sortState>
  <tableColumns count="10">
    <tableColumn id="1" xr3:uid="{FED60286-5497-463C-96C3-6A2DF0508FEA}" name="番号" totalsRowLabel="集計" dataDxfId="42" totalsRowDxfId="41"/>
    <tableColumn id="7" xr3:uid="{F7CC8BBC-219D-4928-8271-D68FB57D4607}" name="欄" dataDxfId="40" totalsRowDxfId="39"/>
    <tableColumn id="2" xr3:uid="{1C251271-4C29-4BA0-9FBC-3BED1C83D522}" name="HS" dataDxfId="38" totalsRowDxfId="37"/>
    <tableColumn id="3" xr3:uid="{B5E63F59-081C-468A-8D62-32344C326418}" name="末尾" dataDxfId="36" totalsRowDxfId="35">
      <calculatedColumnFormula>IF(LEN(E4)=10,RIGHT(E4,1),IFERROR(E4-(INT(E4/7)*7),RIGHT(E4,1)))</calculatedColumnFormula>
    </tableColumn>
    <tableColumn id="4" xr3:uid="{0D282922-48C3-420B-BDD3-E9DE7104141F}" name="減免他法令" dataDxfId="34" totalsRowDxfId="33"/>
    <tableColumn id="5" xr3:uid="{802EE4CD-25FB-47CC-AFA7-1695944A4E66}" name="金額" totalsRowFunction="sum" dataDxfId="32" totalsRowDxfId="31">
      <calculatedColumnFormula>SUMIFS(テーブル1[金額],テーブル1[HS],テーブル2[[#This Row],[HS]],テーブル1[減免他法令],テーブル2[[#This Row],[減免他法令]])</calculatedColumnFormula>
    </tableColumn>
    <tableColumn id="8" xr3:uid="{17551003-D005-4AC0-B997-0A5FA8367C2F}" name="NO" dataDxfId="30" totalsRowDxfId="29">
      <calculatedColumnFormula>SUMIFS(テーブル1[NO],テーブル1[HS],テーブル2[[#This Row],[HS]],テーブル1[減免他法令],テーブル2[[#This Row],[減免他法令]])</calculatedColumnFormula>
    </tableColumn>
    <tableColumn id="9" xr3:uid="{07FEB30E-D81C-4D74-A6C8-EB6F91E8BB13}" name="SM" dataDxfId="28" totalsRowDxfId="27">
      <calculatedColumnFormula>SUMIFS(テーブル1[SM],テーブル1[HS],テーブル2[[#This Row],[HS]],テーブル1[減免他法令],テーブル2[[#This Row],[減免他法令]])</calculatedColumnFormula>
    </tableColumn>
    <tableColumn id="10" xr3:uid="{91C7A036-B50E-4095-96BB-16B2677A8A66}" name="KG" dataDxfId="26" totalsRowDxfId="25">
      <calculatedColumnFormula>SUMIFS(テーブル1[KG合計],テーブル1[HS],テーブル2[[#This Row],[HS]],テーブル1[減免他法令],テーブル2[[#This Row],[減免他法令]])</calculatedColumnFormula>
    </tableColumn>
    <tableColumn id="6" xr3:uid="{ADD29934-AF6B-41E0-BCC0-10D4DFE53A2B}" name="FOB" totalsRowFunction="sum" dataDxfId="24">
      <calculatedColumnFormula>SUMIFS(テーブル1[FOB],テーブル1[HS],テーブル2[[#This Row],[HS]],テーブル1[減免他法令],テーブル2[[#This Row],[減免他法令]])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ED304F-8969-4969-B417-AFAAF6BAC598}" name="テーブル3" displayName="テーブル3" ref="O3:X5" insertRow="1" totalsRowCount="1" headerRowDxfId="23" dataDxfId="21" headerRowBorderDxfId="22" tableBorderDxfId="20">
  <autoFilter ref="O3:X4" xr:uid="{D7ED304F-8969-4969-B417-AFAAF6BAC598}"/>
  <tableColumns count="10">
    <tableColumn id="1" xr3:uid="{42F26F42-88BF-4FF4-A3AC-9AA733D0A0EC}" name="番号" totalsRowLabel="集計" dataDxfId="19" totalsRowDxfId="18"/>
    <tableColumn id="6" xr3:uid="{138443A3-FC86-4F93-8D82-CAD861E749E2}" name="欄" dataDxfId="17" totalsRowDxfId="16"/>
    <tableColumn id="2" xr3:uid="{985B1BE0-5B3B-411F-8334-1AA1BD7E5FA3}" name="HS" dataDxfId="15" totalsRowDxfId="14"/>
    <tableColumn id="3" xr3:uid="{9AF0DEEB-4089-442C-9AA7-746FC19C0699}" name="末尾" dataDxfId="13" totalsRowDxfId="12">
      <calculatedColumnFormula>IF(LEN(Q4)=10,RIGHT(Q4,1),IFERROR(Q4-(INT(Q4/7)*7),RIGHT(Q4,1)))</calculatedColumnFormula>
    </tableColumn>
    <tableColumn id="4" xr3:uid="{73336D6C-8158-4942-817F-E1BD4ECEA744}" name="減免他法令" dataDxfId="11" totalsRowDxfId="10"/>
    <tableColumn id="5" xr3:uid="{F73461D6-2DF8-4DF8-9CF2-991724CFA713}" name="金額" totalsRowFunction="sum" dataDxfId="9" totalsRowDxfId="8">
      <calculatedColumnFormula>SUMIF(テーブル2[欄],テーブル3[[#This Row],[欄]],テーブル2[金額])</calculatedColumnFormula>
    </tableColumn>
    <tableColumn id="8" xr3:uid="{B45FDF6F-2415-4B71-985A-33159B7AC2D1}" name="NO" dataDxfId="7" totalsRowDxfId="6">
      <calculatedColumnFormula>SUMIF(テーブル2[欄],テーブル3[[#This Row],[欄]],テーブル2[NO])</calculatedColumnFormula>
    </tableColumn>
    <tableColumn id="9" xr3:uid="{49183622-BAFC-4C05-AEBA-13D4A57C1EC7}" name="SM" dataDxfId="5" totalsRowDxfId="4">
      <calculatedColumnFormula>SUMIF(テーブル2[欄],テーブル3[[#This Row],[欄]],テーブル2[SM])</calculatedColumnFormula>
    </tableColumn>
    <tableColumn id="10" xr3:uid="{704605FC-7EB1-4A8B-9950-14CD0D9E4FDF}" name="KG" dataDxfId="3" totalsRowDxfId="2">
      <calculatedColumnFormula>SUMIF(テーブル2[欄],テーブル3[[#This Row],[欄]],テーブル2[KG])</calculatedColumnFormula>
    </tableColumn>
    <tableColumn id="7" xr3:uid="{CB8C356B-09DA-4F70-9888-876AF576523F}" name="FOB" totalsRowFunction="sum" dataDxfId="1" totalsRowDxfId="0">
      <calculatedColumnFormula>SUMIF(テーブル2[欄],テーブル3[[#This Row],[欄]],テーブル2[FOB])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B14239-E26D-4132-84BE-8C13AE9F9F2E}">
  <we:reference id="wa104380862" version="1.5.0.0" store="ja-JP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9A5D-3801-4D19-B40A-18CE655B2642}">
  <sheetPr codeName="Sheet1">
    <pageSetUpPr fitToPage="1"/>
  </sheetPr>
  <dimension ref="A1:AC483"/>
  <sheetViews>
    <sheetView tabSelected="1" topLeftCell="C1" zoomScale="70" zoomScaleNormal="70" workbookViewId="0">
      <selection activeCell="G10" sqref="G10"/>
    </sheetView>
  </sheetViews>
  <sheetFormatPr defaultRowHeight="39.950000000000003" customHeight="1"/>
  <cols>
    <col min="1" max="1" width="10.125" style="3" bestFit="1" customWidth="1"/>
    <col min="2" max="2" width="14.625" style="3" bestFit="1" customWidth="1"/>
    <col min="3" max="4" width="9" style="3"/>
    <col min="5" max="5" width="9.25" style="3" bestFit="1" customWidth="1"/>
    <col min="6" max="6" width="14.625" style="3" bestFit="1" customWidth="1"/>
    <col min="7" max="7" width="18.125" style="3" bestFit="1" customWidth="1"/>
    <col min="8" max="8" width="16.5" style="3" customWidth="1"/>
    <col min="9" max="9" width="16.625" style="3" bestFit="1" customWidth="1"/>
    <col min="10" max="10" width="9" style="3"/>
    <col min="11" max="11" width="14.625" style="3" bestFit="1" customWidth="1"/>
    <col min="12" max="12" width="12.625" style="3" bestFit="1" customWidth="1"/>
    <col min="13" max="13" width="10.25" style="3" bestFit="1" customWidth="1"/>
    <col min="14" max="14" width="14.625" style="3" bestFit="1" customWidth="1"/>
    <col min="15" max="15" width="12.75" style="3" bestFit="1" customWidth="1"/>
    <col min="16" max="16" width="19.75" style="3" bestFit="1" customWidth="1"/>
    <col min="17" max="17" width="18.375" style="3" bestFit="1" customWidth="1"/>
    <col min="18" max="18" width="18.875" style="3" customWidth="1"/>
    <col min="19" max="19" width="12.875" style="3" bestFit="1" customWidth="1"/>
    <col min="20" max="20" width="13" style="3" bestFit="1" customWidth="1"/>
    <col min="21" max="21" width="13.5" style="3" customWidth="1"/>
    <col min="22" max="22" width="12.75" style="3" bestFit="1" customWidth="1"/>
    <col min="23" max="23" width="18.375" style="3" bestFit="1" customWidth="1"/>
    <col min="24" max="24" width="10.5" style="3" customWidth="1"/>
    <col min="25" max="25" width="16.25" style="3" bestFit="1" customWidth="1"/>
    <col min="26" max="26" width="16.375" style="3" bestFit="1" customWidth="1"/>
    <col min="27" max="27" width="14.625" style="3" bestFit="1" customWidth="1"/>
    <col min="28" max="28" width="18.25" style="3" bestFit="1" customWidth="1"/>
    <col min="29" max="29" width="17.375" style="3" customWidth="1"/>
    <col min="30" max="16384" width="9" style="3"/>
  </cols>
  <sheetData>
    <row r="1" spans="1:29" ht="39.950000000000003" customHeight="1">
      <c r="A1" s="1">
        <v>3824</v>
      </c>
      <c r="B1" s="2">
        <v>382499090</v>
      </c>
      <c r="F1" s="3" t="s">
        <v>13</v>
      </c>
      <c r="G1" s="4"/>
      <c r="H1" s="4">
        <f>IF($G$9&gt;0,$G$9*0.97,G1*0.97)</f>
        <v>0</v>
      </c>
      <c r="I1" s="6"/>
      <c r="K1" s="7" t="s">
        <v>18</v>
      </c>
      <c r="L1" s="7" t="s">
        <v>17</v>
      </c>
      <c r="M1" s="7" t="s">
        <v>19</v>
      </c>
      <c r="N1" s="7" t="s">
        <v>20</v>
      </c>
      <c r="O1" s="8" t="s">
        <v>21</v>
      </c>
      <c r="P1" s="7" t="s">
        <v>22</v>
      </c>
      <c r="Q1" s="7" t="s">
        <v>23</v>
      </c>
      <c r="R1" s="7" t="s">
        <v>42</v>
      </c>
      <c r="S1" s="7" t="s">
        <v>24</v>
      </c>
      <c r="T1" s="7" t="s">
        <v>25</v>
      </c>
      <c r="U1" s="7" t="s">
        <v>26</v>
      </c>
      <c r="V1" s="8" t="s">
        <v>27</v>
      </c>
      <c r="W1" s="8" t="s">
        <v>28</v>
      </c>
      <c r="X1" s="8" t="s">
        <v>29</v>
      </c>
      <c r="Y1" s="7" t="s">
        <v>30</v>
      </c>
      <c r="Z1" s="8" t="s">
        <v>31</v>
      </c>
      <c r="AA1" s="7" t="s">
        <v>32</v>
      </c>
      <c r="AB1" s="7" t="s">
        <v>33</v>
      </c>
      <c r="AC1" s="8" t="s">
        <v>40</v>
      </c>
    </row>
    <row r="2" spans="1:29" ht="39.950000000000003" customHeight="1">
      <c r="A2" s="1">
        <v>2</v>
      </c>
      <c r="B2" s="2">
        <v>392321000</v>
      </c>
      <c r="F2" s="3" t="s">
        <v>35</v>
      </c>
      <c r="H2" s="4">
        <f>IF($G$9&gt;0,$G$9*0.99,G2*0.99)</f>
        <v>0</v>
      </c>
      <c r="K2" s="7"/>
      <c r="L2" s="7"/>
      <c r="M2" s="7"/>
      <c r="N2" s="7"/>
      <c r="O2" s="21">
        <f t="shared" ref="O2" si="0">IF(LEN(N2)=10,RIGHT(N2,1),IFERROR(N2-(INT(N2/7)*7),RIGHT(N2,1)))</f>
        <v>0</v>
      </c>
      <c r="P2" s="7"/>
      <c r="Q2" s="11"/>
      <c r="R2" s="11"/>
      <c r="S2" s="11"/>
      <c r="T2" s="11"/>
      <c r="U2" s="11"/>
      <c r="V2" s="25">
        <f>IF($G$8="",テーブル1[[#This Row],[幅]]*テーブル1[[#This Row],[長さ]],テーブル1[[#This Row],[幅]]*テーブル1[[#This Row],[長さ]]*$G$8)</f>
        <v>0</v>
      </c>
      <c r="W2" s="25" t="str">
        <f>IF(テーブル1[[#This Row],[幅]]=0,"",テーブル1[[#This Row],[KG合計]]/テーブル1[[#This Row],[SM]]*1000)</f>
        <v/>
      </c>
      <c r="X2" s="25">
        <f>IF(テーブル1[[#This Row],[g/SM]]="",テーブル1[[#This Row],[長さ]]*テーブル1[[#This Row],[g/M]]/1000,テーブル1[[#This Row],[SM]]*テーブル1[[#This Row],[g/SM]]/1000)</f>
        <v>0</v>
      </c>
      <c r="Y2" s="25"/>
      <c r="Z2" s="25">
        <f>SUM(テーブル1[[#This Row],[KG(目付)]:[KG]])</f>
        <v>0</v>
      </c>
      <c r="AA2" s="11"/>
      <c r="AB2" s="11"/>
      <c r="AC2" s="24">
        <f>$G$7*(テーブル1[[#This Row],[金額]]*$G$6)</f>
        <v>0</v>
      </c>
    </row>
    <row r="3" spans="1:29" ht="39.950000000000003" customHeight="1">
      <c r="A3" s="1">
        <v>3</v>
      </c>
      <c r="B3" s="2">
        <v>392329000</v>
      </c>
      <c r="F3" s="3" t="s">
        <v>14</v>
      </c>
      <c r="G3" s="4"/>
      <c r="H3" s="4">
        <f>IF($G$9&gt;0,$G$9*0.96,G3*0.96)</f>
        <v>0</v>
      </c>
      <c r="K3" s="7"/>
      <c r="L3" s="7"/>
      <c r="M3" s="7"/>
      <c r="N3" s="7"/>
      <c r="O3" s="21">
        <f t="shared" ref="O3:O66" si="1">IF(LEN(N3)=10,RIGHT(N3,1),IFERROR(N3-(INT(N3/7)*7),RIGHT(N3,1)))</f>
        <v>0</v>
      </c>
      <c r="P3" s="7"/>
      <c r="Q3" s="11"/>
      <c r="R3" s="11"/>
      <c r="S3" s="11"/>
      <c r="T3" s="11"/>
      <c r="U3" s="11"/>
      <c r="V3" s="25">
        <f>IF($G$8="",テーブル1[[#This Row],[幅]]*テーブル1[[#This Row],[長さ]],テーブル1[[#This Row],[幅]]*テーブル1[[#This Row],[長さ]]*$G$8)</f>
        <v>0</v>
      </c>
      <c r="W3" s="25" t="str">
        <f>IF(テーブル1[[#This Row],[幅]]=0,"",テーブル1[[#This Row],[KG合計]]/テーブル1[[#This Row],[SM]]*1000)</f>
        <v/>
      </c>
      <c r="X3" s="25">
        <f>IF(テーブル1[[#This Row],[g/SM]]="",テーブル1[[#This Row],[長さ]]*テーブル1[[#This Row],[g/M]]/1000,テーブル1[[#This Row],[SM]]*テーブル1[[#This Row],[g/SM]]/1000)</f>
        <v>0</v>
      </c>
      <c r="Y3" s="25"/>
      <c r="Z3" s="25">
        <f>SUM(テーブル1[[#This Row],[KG(目付)]:[KG]])</f>
        <v>0</v>
      </c>
      <c r="AA3" s="11"/>
      <c r="AB3" s="11"/>
      <c r="AC3" s="24">
        <f>$G$7*(テーブル1[[#This Row],[金額]]*$G$6)</f>
        <v>0</v>
      </c>
    </row>
    <row r="4" spans="1:29" ht="39.950000000000003" customHeight="1">
      <c r="A4" s="1" t="s">
        <v>0</v>
      </c>
      <c r="B4" s="2">
        <v>392490000</v>
      </c>
      <c r="F4" s="3" t="s">
        <v>36</v>
      </c>
      <c r="H4" s="4">
        <f>IF($G$9&gt;0,$G$9*0.95,G4*0.95)</f>
        <v>0</v>
      </c>
      <c r="K4" s="7"/>
      <c r="L4" s="7"/>
      <c r="M4" s="7"/>
      <c r="N4" s="7"/>
      <c r="O4" s="21">
        <f t="shared" si="1"/>
        <v>0</v>
      </c>
      <c r="P4" s="7"/>
      <c r="Q4" s="11"/>
      <c r="R4" s="11"/>
      <c r="S4" s="11"/>
      <c r="T4" s="11"/>
      <c r="U4" s="11"/>
      <c r="V4" s="25">
        <f>IF($G$8="",テーブル1[[#This Row],[幅]]*テーブル1[[#This Row],[長さ]],テーブル1[[#This Row],[幅]]*テーブル1[[#This Row],[長さ]]*$G$8)</f>
        <v>0</v>
      </c>
      <c r="W4" s="25" t="str">
        <f>IF(テーブル1[[#This Row],[幅]]=0,"",テーブル1[[#This Row],[KG合計]]/テーブル1[[#This Row],[SM]]*1000)</f>
        <v/>
      </c>
      <c r="X4" s="25">
        <f>IF(テーブル1[[#This Row],[g/SM]]="",テーブル1[[#This Row],[長さ]]*テーブル1[[#This Row],[g/M]]/1000,テーブル1[[#This Row],[SM]]*テーブル1[[#This Row],[g/SM]]/1000)</f>
        <v>0</v>
      </c>
      <c r="Y4" s="25"/>
      <c r="Z4" s="25">
        <f>SUM(テーブル1[[#This Row],[KG(目付)]:[KG]])</f>
        <v>0</v>
      </c>
      <c r="AA4" s="11"/>
      <c r="AB4" s="11"/>
      <c r="AC4" s="24">
        <f>$G$7*(テーブル1[[#This Row],[金額]]*$G$6)</f>
        <v>0</v>
      </c>
    </row>
    <row r="5" spans="1:29" ht="39.950000000000003" customHeight="1">
      <c r="A5" s="1" t="s">
        <v>1</v>
      </c>
      <c r="B5" s="2">
        <v>392690900</v>
      </c>
      <c r="F5" s="3" t="s">
        <v>37</v>
      </c>
      <c r="H5" s="4">
        <f>IF($G$9&gt;0,$G$9*1.05,G5*1.05)</f>
        <v>0</v>
      </c>
      <c r="K5" s="7"/>
      <c r="L5" s="7"/>
      <c r="M5" s="7"/>
      <c r="N5" s="7"/>
      <c r="O5" s="21">
        <f t="shared" si="1"/>
        <v>0</v>
      </c>
      <c r="P5" s="7"/>
      <c r="Q5" s="11"/>
      <c r="R5" s="11"/>
      <c r="S5" s="11"/>
      <c r="T5" s="11"/>
      <c r="U5" s="11"/>
      <c r="V5" s="25">
        <f>IF($G$8="",テーブル1[[#This Row],[幅]]*テーブル1[[#This Row],[長さ]],テーブル1[[#This Row],[幅]]*テーブル1[[#This Row],[長さ]]*$G$8)</f>
        <v>0</v>
      </c>
      <c r="W5" s="25" t="str">
        <f>IF(テーブル1[[#This Row],[幅]]=0,"",テーブル1[[#This Row],[KG合計]]/テーブル1[[#This Row],[SM]]*1000)</f>
        <v/>
      </c>
      <c r="X5" s="25">
        <f>IF(テーブル1[[#This Row],[g/SM]]="",テーブル1[[#This Row],[長さ]]*テーブル1[[#This Row],[g/M]]/1000,テーブル1[[#This Row],[SM]]*テーブル1[[#This Row],[g/SM]]/1000)</f>
        <v>0</v>
      </c>
      <c r="Y5" s="25"/>
      <c r="Z5" s="25">
        <f>SUM(テーブル1[[#This Row],[KG(目付)]:[KG]])</f>
        <v>0</v>
      </c>
      <c r="AA5" s="11"/>
      <c r="AB5" s="11"/>
      <c r="AC5" s="24">
        <f>$G$7*(テーブル1[[#This Row],[金額]]*$G$6)</f>
        <v>0</v>
      </c>
    </row>
    <row r="6" spans="1:29" ht="39.950000000000003" customHeight="1">
      <c r="A6" s="1">
        <v>1</v>
      </c>
      <c r="B6" s="2">
        <v>482110000</v>
      </c>
      <c r="F6" s="9" t="s">
        <v>15</v>
      </c>
      <c r="G6" s="10">
        <v>1</v>
      </c>
      <c r="I6" s="12"/>
      <c r="K6" s="7"/>
      <c r="L6" s="7"/>
      <c r="M6" s="7"/>
      <c r="N6" s="7"/>
      <c r="O6" s="21">
        <f t="shared" si="1"/>
        <v>0</v>
      </c>
      <c r="P6" s="7"/>
      <c r="Q6" s="11"/>
      <c r="R6" s="11"/>
      <c r="S6" s="11"/>
      <c r="T6" s="11"/>
      <c r="U6" s="11"/>
      <c r="V6" s="25">
        <f>IF($G$8="",テーブル1[[#This Row],[幅]]*テーブル1[[#This Row],[長さ]],テーブル1[[#This Row],[幅]]*テーブル1[[#This Row],[長さ]]*$G$8)</f>
        <v>0</v>
      </c>
      <c r="W6" s="25" t="str">
        <f>IF(テーブル1[[#This Row],[幅]]=0,"",テーブル1[[#This Row],[KG合計]]/テーブル1[[#This Row],[SM]]*1000)</f>
        <v/>
      </c>
      <c r="X6" s="25">
        <f>IF(テーブル1[[#This Row],[g/SM]]="",テーブル1[[#This Row],[長さ]]*テーブル1[[#This Row],[g/M]]/1000,テーブル1[[#This Row],[SM]]*テーブル1[[#This Row],[g/SM]]/1000)</f>
        <v>0</v>
      </c>
      <c r="Y6" s="25"/>
      <c r="Z6" s="25">
        <f>SUM(テーブル1[[#This Row],[KG(目付)]:[KG]])</f>
        <v>0</v>
      </c>
      <c r="AA6" s="11"/>
      <c r="AB6" s="11"/>
      <c r="AC6" s="24">
        <f>$G$7*(テーブル1[[#This Row],[金額]]*$G$6)</f>
        <v>0</v>
      </c>
    </row>
    <row r="7" spans="1:29" ht="39.950000000000003" customHeight="1">
      <c r="A7" s="1">
        <v>4823</v>
      </c>
      <c r="B7" s="2">
        <v>482390900</v>
      </c>
      <c r="F7" s="10" t="s">
        <v>16</v>
      </c>
      <c r="G7" s="10">
        <v>1</v>
      </c>
      <c r="K7" s="7"/>
      <c r="L7" s="7"/>
      <c r="M7" s="7"/>
      <c r="N7" s="7"/>
      <c r="O7" s="21">
        <f t="shared" si="1"/>
        <v>0</v>
      </c>
      <c r="P7" s="7"/>
      <c r="Q7" s="11"/>
      <c r="R7" s="11"/>
      <c r="S7" s="11"/>
      <c r="T7" s="11"/>
      <c r="U7" s="11"/>
      <c r="V7" s="25">
        <f>IF($G$8="",テーブル1[[#This Row],[幅]]*テーブル1[[#This Row],[長さ]],テーブル1[[#This Row],[幅]]*テーブル1[[#This Row],[長さ]]*$G$8)</f>
        <v>0</v>
      </c>
      <c r="W7" s="25" t="str">
        <f>IF(テーブル1[[#This Row],[幅]]=0,"",テーブル1[[#This Row],[KG合計]]/テーブル1[[#This Row],[SM]]*1000)</f>
        <v/>
      </c>
      <c r="X7" s="25">
        <f>IF(テーブル1[[#This Row],[g/SM]]="",テーブル1[[#This Row],[長さ]]*テーブル1[[#This Row],[g/M]]/1000,テーブル1[[#This Row],[SM]]*テーブル1[[#This Row],[g/SM]]/1000)</f>
        <v>0</v>
      </c>
      <c r="Y7" s="25"/>
      <c r="Z7" s="25">
        <f>SUM(テーブル1[[#This Row],[KG(目付)]:[KG]])</f>
        <v>0</v>
      </c>
      <c r="AA7" s="11"/>
      <c r="AB7" s="11"/>
      <c r="AC7" s="24">
        <f>$G$7*(テーブル1[[#This Row],[金額]]*$G$6)</f>
        <v>0</v>
      </c>
    </row>
    <row r="8" spans="1:29" ht="39.950000000000003" customHeight="1">
      <c r="A8" s="1" t="s">
        <v>2</v>
      </c>
      <c r="B8" s="2">
        <v>580710000</v>
      </c>
      <c r="F8" s="10" t="s">
        <v>47</v>
      </c>
      <c r="G8" s="10"/>
      <c r="K8" s="7"/>
      <c r="L8" s="7"/>
      <c r="M8" s="7"/>
      <c r="N8" s="7"/>
      <c r="O8" s="21">
        <f t="shared" si="1"/>
        <v>0</v>
      </c>
      <c r="P8" s="7"/>
      <c r="Q8" s="11"/>
      <c r="R8" s="11"/>
      <c r="S8" s="11"/>
      <c r="T8" s="11"/>
      <c r="U8" s="11"/>
      <c r="V8" s="25">
        <f>IF($G$8="",テーブル1[[#This Row],[幅]]*テーブル1[[#This Row],[長さ]],テーブル1[[#This Row],[幅]]*テーブル1[[#This Row],[長さ]]*$G$8)</f>
        <v>0</v>
      </c>
      <c r="W8" s="25" t="str">
        <f>IF(テーブル1[[#This Row],[幅]]=0,"",テーブル1[[#This Row],[KG合計]]/テーブル1[[#This Row],[SM]]*1000)</f>
        <v/>
      </c>
      <c r="X8" s="25">
        <f>IF(テーブル1[[#This Row],[g/SM]]="",テーブル1[[#This Row],[長さ]]*テーブル1[[#This Row],[g/M]]/1000,テーブル1[[#This Row],[SM]]*テーブル1[[#This Row],[g/SM]]/1000)</f>
        <v>0</v>
      </c>
      <c r="Y8" s="25"/>
      <c r="Z8" s="25">
        <f>SUM(テーブル1[[#This Row],[KG(目付)]:[KG]])</f>
        <v>0</v>
      </c>
      <c r="AA8" s="11"/>
      <c r="AB8" s="11"/>
      <c r="AC8" s="24">
        <f>$G$7*(テーブル1[[#This Row],[金額]]*$G$6)</f>
        <v>0</v>
      </c>
    </row>
    <row r="9" spans="1:29" ht="39.950000000000003" customHeight="1">
      <c r="A9" s="1" t="s">
        <v>49</v>
      </c>
      <c r="B9" s="2">
        <v>580790000</v>
      </c>
      <c r="F9" s="3" t="s">
        <v>48</v>
      </c>
      <c r="G9" s="4">
        <f>テーブル1[[#Totals],[金額]]</f>
        <v>0</v>
      </c>
      <c r="K9" s="7"/>
      <c r="L9" s="7"/>
      <c r="M9" s="7"/>
      <c r="N9" s="7"/>
      <c r="O9" s="21">
        <f t="shared" si="1"/>
        <v>0</v>
      </c>
      <c r="P9" s="7"/>
      <c r="Q9" s="11"/>
      <c r="R9" s="11"/>
      <c r="S9" s="11"/>
      <c r="T9" s="11"/>
      <c r="U9" s="11"/>
      <c r="V9" s="25">
        <f>IF($G$8="",テーブル1[[#This Row],[幅]]*テーブル1[[#This Row],[長さ]],テーブル1[[#This Row],[幅]]*テーブル1[[#This Row],[長さ]]*$G$8)</f>
        <v>0</v>
      </c>
      <c r="W9" s="25" t="str">
        <f>IF(テーブル1[[#This Row],[幅]]=0,"",テーブル1[[#This Row],[KG合計]]/テーブル1[[#This Row],[SM]]*1000)</f>
        <v/>
      </c>
      <c r="X9" s="25">
        <f>IF(テーブル1[[#This Row],[g/SM]]="",テーブル1[[#This Row],[長さ]]*テーブル1[[#This Row],[g/M]]/1000,テーブル1[[#This Row],[SM]]*テーブル1[[#This Row],[g/SM]]/1000)</f>
        <v>0</v>
      </c>
      <c r="Y9" s="25"/>
      <c r="Z9" s="25">
        <f>SUM(テーブル1[[#This Row],[KG(目付)]:[KG]])</f>
        <v>0</v>
      </c>
      <c r="AA9" s="11"/>
      <c r="AB9" s="11"/>
      <c r="AC9" s="24">
        <f>$G$7*(テーブル1[[#This Row],[金額]]*$G$6)</f>
        <v>0</v>
      </c>
    </row>
    <row r="10" spans="1:29" ht="39.950000000000003" customHeight="1">
      <c r="A10" s="1">
        <v>4908</v>
      </c>
      <c r="B10" s="2">
        <v>490890000</v>
      </c>
      <c r="F10" s="10" t="s">
        <v>92</v>
      </c>
      <c r="G10" s="10"/>
      <c r="K10" s="7"/>
      <c r="L10" s="7"/>
      <c r="M10" s="7"/>
      <c r="N10" s="7"/>
      <c r="O10" s="21">
        <f t="shared" si="1"/>
        <v>0</v>
      </c>
      <c r="P10" s="7"/>
      <c r="Q10" s="11"/>
      <c r="R10" s="11"/>
      <c r="S10" s="11"/>
      <c r="T10" s="11"/>
      <c r="U10" s="11"/>
      <c r="V10" s="25">
        <f>IF($G$8="",テーブル1[[#This Row],[幅]]*テーブル1[[#This Row],[長さ]],テーブル1[[#This Row],[幅]]*テーブル1[[#This Row],[長さ]]*$G$8)</f>
        <v>0</v>
      </c>
      <c r="W10" s="25" t="str">
        <f>IF(テーブル1[[#This Row],[幅]]=0,"",テーブル1[[#This Row],[KG合計]]/テーブル1[[#This Row],[SM]]*1000)</f>
        <v/>
      </c>
      <c r="X10" s="25">
        <f>IF(テーブル1[[#This Row],[g/SM]]="",テーブル1[[#This Row],[長さ]]*テーブル1[[#This Row],[g/M]]/1000,テーブル1[[#This Row],[SM]]*テーブル1[[#This Row],[g/SM]]/1000)</f>
        <v>0</v>
      </c>
      <c r="Y10" s="25"/>
      <c r="Z10" s="25">
        <f>SUM(テーブル1[[#This Row],[KG(目付)]:[KG]])</f>
        <v>0</v>
      </c>
      <c r="AA10" s="11"/>
      <c r="AB10" s="11"/>
      <c r="AC10" s="24">
        <f>$G$7*(テーブル1[[#This Row],[金額]]*$G$6)</f>
        <v>0</v>
      </c>
    </row>
    <row r="11" spans="1:29" ht="39.950000000000003" customHeight="1">
      <c r="A11" s="1">
        <v>5401</v>
      </c>
      <c r="B11" s="2">
        <v>540110100</v>
      </c>
      <c r="F11" s="10" t="s">
        <v>38810</v>
      </c>
      <c r="G11" s="10"/>
      <c r="K11" s="7"/>
      <c r="L11" s="7"/>
      <c r="M11" s="7"/>
      <c r="N11" s="7"/>
      <c r="O11" s="21">
        <f t="shared" si="1"/>
        <v>0</v>
      </c>
      <c r="P11" s="7"/>
      <c r="Q11" s="11"/>
      <c r="R11" s="11"/>
      <c r="S11" s="11"/>
      <c r="T11" s="11"/>
      <c r="U11" s="11"/>
      <c r="V11" s="25">
        <f>IF($G$8="",テーブル1[[#This Row],[幅]]*テーブル1[[#This Row],[長さ]],テーブル1[[#This Row],[幅]]*テーブル1[[#This Row],[長さ]]*$G$8)</f>
        <v>0</v>
      </c>
      <c r="W11" s="25" t="str">
        <f>IF(テーブル1[[#This Row],[幅]]=0,"",テーブル1[[#This Row],[KG合計]]/テーブル1[[#This Row],[SM]]*1000)</f>
        <v/>
      </c>
      <c r="X11" s="25">
        <f>IF(テーブル1[[#This Row],[g/SM]]="",テーブル1[[#This Row],[長さ]]*テーブル1[[#This Row],[g/M]]/1000,テーブル1[[#This Row],[SM]]*テーブル1[[#This Row],[g/SM]]/1000)</f>
        <v>0</v>
      </c>
      <c r="Y11" s="25"/>
      <c r="Z11" s="25">
        <f>SUM(テーブル1[[#This Row],[KG(目付)]:[KG]])</f>
        <v>0</v>
      </c>
      <c r="AA11" s="11"/>
      <c r="AB11" s="11"/>
      <c r="AC11" s="24">
        <f>$G$7*(テーブル1[[#This Row],[金額]]*$G$6)</f>
        <v>0</v>
      </c>
    </row>
    <row r="12" spans="1:29" ht="39.950000000000003" customHeight="1">
      <c r="A12" s="1">
        <v>54012</v>
      </c>
      <c r="B12" s="2">
        <v>540110200</v>
      </c>
      <c r="K12" s="7"/>
      <c r="L12" s="7"/>
      <c r="M12" s="7"/>
      <c r="N12" s="7"/>
      <c r="O12" s="21">
        <f t="shared" si="1"/>
        <v>0</v>
      </c>
      <c r="P12" s="7"/>
      <c r="Q12" s="11"/>
      <c r="R12" s="11"/>
      <c r="S12" s="11"/>
      <c r="T12" s="11"/>
      <c r="U12" s="11"/>
      <c r="V12" s="25">
        <f>IF($G$8="",テーブル1[[#This Row],[幅]]*テーブル1[[#This Row],[長さ]],テーブル1[[#This Row],[幅]]*テーブル1[[#This Row],[長さ]]*$G$8)</f>
        <v>0</v>
      </c>
      <c r="W12" s="25" t="str">
        <f>IF(テーブル1[[#This Row],[幅]]=0,"",テーブル1[[#This Row],[KG合計]]/テーブル1[[#This Row],[SM]]*1000)</f>
        <v/>
      </c>
      <c r="X12" s="25">
        <f>IF(テーブル1[[#This Row],[g/SM]]="",テーブル1[[#This Row],[長さ]]*テーブル1[[#This Row],[g/M]]/1000,テーブル1[[#This Row],[SM]]*テーブル1[[#This Row],[g/SM]]/1000)</f>
        <v>0</v>
      </c>
      <c r="Y12" s="25"/>
      <c r="Z12" s="25">
        <f>SUM(テーブル1[[#This Row],[KG(目付)]:[KG]])</f>
        <v>0</v>
      </c>
      <c r="AA12" s="11"/>
      <c r="AB12" s="11"/>
      <c r="AC12" s="24">
        <f>$G$7*(テーブル1[[#This Row],[金額]]*$G$6)</f>
        <v>0</v>
      </c>
    </row>
    <row r="13" spans="1:29" ht="39.950000000000003" customHeight="1">
      <c r="A13" s="1">
        <v>5508</v>
      </c>
      <c r="B13" s="2">
        <v>550810200</v>
      </c>
      <c r="K13" s="7"/>
      <c r="L13" s="7"/>
      <c r="M13" s="7"/>
      <c r="N13" s="7"/>
      <c r="O13" s="21">
        <f t="shared" si="1"/>
        <v>0</v>
      </c>
      <c r="P13" s="7"/>
      <c r="Q13" s="11"/>
      <c r="R13" s="11"/>
      <c r="S13" s="11"/>
      <c r="T13" s="11"/>
      <c r="U13" s="11"/>
      <c r="V13" s="25">
        <f>IF($G$8="",テーブル1[[#This Row],[幅]]*テーブル1[[#This Row],[長さ]],テーブル1[[#This Row],[幅]]*テーブル1[[#This Row],[長さ]]*$G$8)</f>
        <v>0</v>
      </c>
      <c r="W13" s="25" t="str">
        <f>IF(テーブル1[[#This Row],[幅]]=0,"",テーブル1[[#This Row],[KG合計]]/テーブル1[[#This Row],[SM]]*1000)</f>
        <v/>
      </c>
      <c r="X13" s="25">
        <f>IF(テーブル1[[#This Row],[g/SM]]="",テーブル1[[#This Row],[長さ]]*テーブル1[[#This Row],[g/M]]/1000,テーブル1[[#This Row],[SM]]*テーブル1[[#This Row],[g/SM]]/1000)</f>
        <v>0</v>
      </c>
      <c r="Y13" s="25"/>
      <c r="Z13" s="25">
        <f>SUM(テーブル1[[#This Row],[KG(目付)]:[KG]])</f>
        <v>0</v>
      </c>
      <c r="AA13" s="11"/>
      <c r="AB13" s="11"/>
      <c r="AC13" s="24">
        <f>$G$7*(テーブル1[[#This Row],[金額]]*$G$6)</f>
        <v>0</v>
      </c>
    </row>
    <row r="14" spans="1:29" ht="39.950000000000003" customHeight="1">
      <c r="A14" s="1">
        <v>55089</v>
      </c>
      <c r="B14" s="2">
        <v>550810900</v>
      </c>
      <c r="K14" s="7"/>
      <c r="L14" s="7"/>
      <c r="M14" s="7"/>
      <c r="N14" s="7"/>
      <c r="O14" s="21">
        <f t="shared" si="1"/>
        <v>0</v>
      </c>
      <c r="P14" s="7"/>
      <c r="Q14" s="11"/>
      <c r="R14" s="11"/>
      <c r="S14" s="11"/>
      <c r="T14" s="11"/>
      <c r="U14" s="11"/>
      <c r="V14" s="25">
        <f>IF($G$8="",テーブル1[[#This Row],[幅]]*テーブル1[[#This Row],[長さ]],テーブル1[[#This Row],[幅]]*テーブル1[[#This Row],[長さ]]*$G$8)</f>
        <v>0</v>
      </c>
      <c r="W14" s="25" t="str">
        <f>IF(テーブル1[[#This Row],[幅]]=0,"",テーブル1[[#This Row],[KG合計]]/テーブル1[[#This Row],[SM]]*1000)</f>
        <v/>
      </c>
      <c r="X14" s="25">
        <f>IF(テーブル1[[#This Row],[g/SM]]="",テーブル1[[#This Row],[長さ]]*テーブル1[[#This Row],[g/M]]/1000,テーブル1[[#This Row],[SM]]*テーブル1[[#This Row],[g/SM]]/1000)</f>
        <v>0</v>
      </c>
      <c r="Y14" s="25"/>
      <c r="Z14" s="25">
        <f>SUM(テーブル1[[#This Row],[KG(目付)]:[KG]])</f>
        <v>0</v>
      </c>
      <c r="AA14" s="11"/>
      <c r="AB14" s="11"/>
      <c r="AC14" s="24">
        <f>$G$7*(テーブル1[[#This Row],[金額]]*$G$6)</f>
        <v>0</v>
      </c>
    </row>
    <row r="15" spans="1:29" ht="39.950000000000003" customHeight="1">
      <c r="A15" s="1">
        <v>5204</v>
      </c>
      <c r="B15" s="2">
        <v>520411000</v>
      </c>
      <c r="K15" s="7"/>
      <c r="L15" s="7"/>
      <c r="M15" s="7"/>
      <c r="N15" s="7"/>
      <c r="O15" s="21">
        <f t="shared" si="1"/>
        <v>0</v>
      </c>
      <c r="P15" s="7"/>
      <c r="Q15" s="11"/>
      <c r="R15" s="11"/>
      <c r="S15" s="11"/>
      <c r="T15" s="11"/>
      <c r="U15" s="11"/>
      <c r="V15" s="25">
        <f>IF($G$8="",テーブル1[[#This Row],[幅]]*テーブル1[[#This Row],[長さ]],テーブル1[[#This Row],[幅]]*テーブル1[[#This Row],[長さ]]*$G$8)</f>
        <v>0</v>
      </c>
      <c r="W15" s="25" t="str">
        <f>IF(テーブル1[[#This Row],[幅]]=0,"",テーブル1[[#This Row],[KG合計]]/テーブル1[[#This Row],[SM]]*1000)</f>
        <v/>
      </c>
      <c r="X15" s="25">
        <f>IF(テーブル1[[#This Row],[g/SM]]="",テーブル1[[#This Row],[長さ]]*テーブル1[[#This Row],[g/M]]/1000,テーブル1[[#This Row],[SM]]*テーブル1[[#This Row],[g/SM]]/1000)</f>
        <v>0</v>
      </c>
      <c r="Y15" s="25"/>
      <c r="Z15" s="25">
        <f>SUM(テーブル1[[#This Row],[KG(目付)]:[KG]])</f>
        <v>0</v>
      </c>
      <c r="AA15" s="11"/>
      <c r="AB15" s="11"/>
      <c r="AC15" s="24">
        <f>$G$7*(テーブル1[[#This Row],[金額]]*$G$6)</f>
        <v>0</v>
      </c>
    </row>
    <row r="16" spans="1:29" ht="39.950000000000003" customHeight="1">
      <c r="A16" s="1">
        <v>540262</v>
      </c>
      <c r="B16" s="2">
        <v>540262000</v>
      </c>
      <c r="K16" s="7"/>
      <c r="L16" s="7"/>
      <c r="M16" s="7"/>
      <c r="N16" s="7"/>
      <c r="O16" s="21">
        <f t="shared" si="1"/>
        <v>0</v>
      </c>
      <c r="P16" s="7"/>
      <c r="Q16" s="11"/>
      <c r="R16" s="11"/>
      <c r="S16" s="11"/>
      <c r="T16" s="11"/>
      <c r="U16" s="11"/>
      <c r="V16" s="25">
        <f>IF($G$8="",テーブル1[[#This Row],[幅]]*テーブル1[[#This Row],[長さ]],テーブル1[[#This Row],[幅]]*テーブル1[[#This Row],[長さ]]*$G$8)</f>
        <v>0</v>
      </c>
      <c r="W16" s="25" t="str">
        <f>IF(テーブル1[[#This Row],[幅]]=0,"",テーブル1[[#This Row],[KG合計]]/テーブル1[[#This Row],[SM]]*1000)</f>
        <v/>
      </c>
      <c r="X16" s="25">
        <f>IF(テーブル1[[#This Row],[g/SM]]="",テーブル1[[#This Row],[長さ]]*テーブル1[[#This Row],[g/M]]/1000,テーブル1[[#This Row],[SM]]*テーブル1[[#This Row],[g/SM]]/1000)</f>
        <v>0</v>
      </c>
      <c r="Y16" s="25"/>
      <c r="Z16" s="25">
        <f>SUM(テーブル1[[#This Row],[KG(目付)]:[KG]])</f>
        <v>0</v>
      </c>
      <c r="AA16" s="11"/>
      <c r="AB16" s="11"/>
      <c r="AC16" s="24">
        <f>$G$7*(テーブル1[[#This Row],[金額]]*$G$6)</f>
        <v>0</v>
      </c>
    </row>
    <row r="17" spans="1:29" ht="39.950000000000003" customHeight="1">
      <c r="A17" s="1">
        <v>540341</v>
      </c>
      <c r="B17" s="2">
        <v>540341000</v>
      </c>
      <c r="K17" s="7"/>
      <c r="L17" s="7"/>
      <c r="M17" s="7"/>
      <c r="N17" s="7"/>
      <c r="O17" s="21">
        <f t="shared" si="1"/>
        <v>0</v>
      </c>
      <c r="P17" s="7"/>
      <c r="Q17" s="11"/>
      <c r="R17" s="11"/>
      <c r="S17" s="11"/>
      <c r="T17" s="11"/>
      <c r="U17" s="11"/>
      <c r="V17" s="25">
        <f>IF($G$8="",テーブル1[[#This Row],[幅]]*テーブル1[[#This Row],[長さ]],テーブル1[[#This Row],[幅]]*テーブル1[[#This Row],[長さ]]*$G$8)</f>
        <v>0</v>
      </c>
      <c r="W17" s="25" t="str">
        <f>IF(テーブル1[[#This Row],[幅]]=0,"",テーブル1[[#This Row],[KG合計]]/テーブル1[[#This Row],[SM]]*1000)</f>
        <v/>
      </c>
      <c r="X17" s="25">
        <f>IF(テーブル1[[#This Row],[g/SM]]="",テーブル1[[#This Row],[長さ]]*テーブル1[[#This Row],[g/M]]/1000,テーブル1[[#This Row],[SM]]*テーブル1[[#This Row],[g/SM]]/1000)</f>
        <v>0</v>
      </c>
      <c r="Y17" s="25"/>
      <c r="Z17" s="25">
        <f>SUM(テーブル1[[#This Row],[KG(目付)]:[KG]])</f>
        <v>0</v>
      </c>
      <c r="AA17" s="11"/>
      <c r="AB17" s="11"/>
      <c r="AC17" s="24">
        <f>$G$7*(テーブル1[[#This Row],[金額]]*$G$6)</f>
        <v>0</v>
      </c>
    </row>
    <row r="18" spans="1:29" ht="39.950000000000003" customHeight="1">
      <c r="A18" s="1">
        <v>550922</v>
      </c>
      <c r="B18" s="2">
        <v>550922000</v>
      </c>
      <c r="K18" s="7"/>
      <c r="L18" s="7"/>
      <c r="M18" s="7"/>
      <c r="N18" s="7"/>
      <c r="O18" s="21">
        <f t="shared" si="1"/>
        <v>0</v>
      </c>
      <c r="P18" s="7"/>
      <c r="Q18" s="11"/>
      <c r="R18" s="11"/>
      <c r="S18" s="11"/>
      <c r="T18" s="11"/>
      <c r="U18" s="11"/>
      <c r="V18" s="25">
        <f>IF($G$8="",テーブル1[[#This Row],[幅]]*テーブル1[[#This Row],[長さ]],テーブル1[[#This Row],[幅]]*テーブル1[[#This Row],[長さ]]*$G$8)</f>
        <v>0</v>
      </c>
      <c r="W18" s="25" t="str">
        <f>IF(テーブル1[[#This Row],[幅]]=0,"",テーブル1[[#This Row],[KG合計]]/テーブル1[[#This Row],[SM]]*1000)</f>
        <v/>
      </c>
      <c r="X18" s="25">
        <f>IF(テーブル1[[#This Row],[g/SM]]="",テーブル1[[#This Row],[長さ]]*テーブル1[[#This Row],[g/M]]/1000,テーブル1[[#This Row],[SM]]*テーブル1[[#This Row],[g/SM]]/1000)</f>
        <v>0</v>
      </c>
      <c r="Y18" s="25"/>
      <c r="Z18" s="25">
        <f>SUM(テーブル1[[#This Row],[KG(目付)]:[KG]])</f>
        <v>0</v>
      </c>
      <c r="AA18" s="11"/>
      <c r="AB18" s="11"/>
      <c r="AC18" s="24">
        <f>$G$7*(テーブル1[[#This Row],[金額]]*$G$6)</f>
        <v>0</v>
      </c>
    </row>
    <row r="19" spans="1:29" ht="39.950000000000003" customHeight="1">
      <c r="A19" s="1" t="s">
        <v>3</v>
      </c>
      <c r="B19" s="2">
        <v>590390000</v>
      </c>
      <c r="E19" s="3" t="s">
        <v>37920</v>
      </c>
      <c r="F19" s="3">
        <v>581100000</v>
      </c>
      <c r="H19" s="1">
        <v>4016</v>
      </c>
      <c r="I19" s="2">
        <v>401693000</v>
      </c>
      <c r="K19" s="7"/>
      <c r="L19" s="7"/>
      <c r="M19" s="7"/>
      <c r="N19" s="7"/>
      <c r="O19" s="21">
        <f t="shared" si="1"/>
        <v>0</v>
      </c>
      <c r="P19" s="7"/>
      <c r="Q19" s="11"/>
      <c r="R19" s="11"/>
      <c r="S19" s="11"/>
      <c r="T19" s="11"/>
      <c r="U19" s="11"/>
      <c r="V19" s="25">
        <f>IF($G$8="",テーブル1[[#This Row],[幅]]*テーブル1[[#This Row],[長さ]],テーブル1[[#This Row],[幅]]*テーブル1[[#This Row],[長さ]]*$G$8)</f>
        <v>0</v>
      </c>
      <c r="W19" s="25" t="str">
        <f>IF(テーブル1[[#This Row],[幅]]=0,"",テーブル1[[#This Row],[KG合計]]/テーブル1[[#This Row],[SM]]*1000)</f>
        <v/>
      </c>
      <c r="X19" s="25">
        <f>IF(テーブル1[[#This Row],[g/SM]]="",テーブル1[[#This Row],[長さ]]*テーブル1[[#This Row],[g/M]]/1000,テーブル1[[#This Row],[SM]]*テーブル1[[#This Row],[g/SM]]/1000)</f>
        <v>0</v>
      </c>
      <c r="Y19" s="25"/>
      <c r="Z19" s="25">
        <f>SUM(テーブル1[[#This Row],[KG(目付)]:[KG]])</f>
        <v>0</v>
      </c>
      <c r="AA19" s="11"/>
      <c r="AB19" s="11"/>
      <c r="AC19" s="24">
        <f>$G$7*(テーブル1[[#This Row],[金額]]*$G$6)</f>
        <v>0</v>
      </c>
    </row>
    <row r="20" spans="1:29" ht="39.950000000000003" customHeight="1">
      <c r="A20" s="1" t="s">
        <v>4</v>
      </c>
      <c r="B20" s="2">
        <v>580810000</v>
      </c>
      <c r="E20" s="3">
        <v>1311</v>
      </c>
      <c r="F20" s="3">
        <v>551311000</v>
      </c>
      <c r="H20" s="1">
        <v>1814</v>
      </c>
      <c r="I20" s="2">
        <v>731814000</v>
      </c>
      <c r="K20" s="7"/>
      <c r="L20" s="7"/>
      <c r="M20" s="7"/>
      <c r="N20" s="7"/>
      <c r="O20" s="21">
        <f t="shared" si="1"/>
        <v>0</v>
      </c>
      <c r="P20" s="7"/>
      <c r="Q20" s="11"/>
      <c r="R20" s="11"/>
      <c r="S20" s="11"/>
      <c r="T20" s="11"/>
      <c r="U20" s="11"/>
      <c r="V20" s="25">
        <f>IF($G$8="",テーブル1[[#This Row],[幅]]*テーブル1[[#This Row],[長さ]],テーブル1[[#This Row],[幅]]*テーブル1[[#This Row],[長さ]]*$G$8)</f>
        <v>0</v>
      </c>
      <c r="W20" s="25" t="str">
        <f>IF(テーブル1[[#This Row],[幅]]=0,"",テーブル1[[#This Row],[KG合計]]/テーブル1[[#This Row],[SM]]*1000)</f>
        <v/>
      </c>
      <c r="X20" s="25">
        <f>IF(テーブル1[[#This Row],[g/SM]]="",テーブル1[[#This Row],[長さ]]*テーブル1[[#This Row],[g/M]]/1000,テーブル1[[#This Row],[SM]]*テーブル1[[#This Row],[g/SM]]/1000)</f>
        <v>0</v>
      </c>
      <c r="Y20" s="25"/>
      <c r="Z20" s="25">
        <f>SUM(テーブル1[[#This Row],[KG(目付)]:[KG]])</f>
        <v>0</v>
      </c>
      <c r="AA20" s="11"/>
      <c r="AB20" s="11"/>
      <c r="AC20" s="24">
        <f>$G$7*(テーブル1[[#This Row],[金額]]*$G$6)</f>
        <v>0</v>
      </c>
    </row>
    <row r="21" spans="1:29" ht="39.950000000000003" customHeight="1">
      <c r="A21" s="1">
        <v>5</v>
      </c>
      <c r="B21" s="2">
        <v>580620100</v>
      </c>
      <c r="E21" s="3">
        <v>1312</v>
      </c>
      <c r="F21" s="3">
        <v>551312000</v>
      </c>
      <c r="H21" s="1">
        <v>1519</v>
      </c>
      <c r="I21" s="2">
        <v>731815190</v>
      </c>
      <c r="K21" s="7"/>
      <c r="L21" s="7"/>
      <c r="M21" s="7"/>
      <c r="N21" s="7"/>
      <c r="O21" s="21">
        <f t="shared" si="1"/>
        <v>0</v>
      </c>
      <c r="P21" s="7"/>
      <c r="Q21" s="11"/>
      <c r="R21" s="11"/>
      <c r="S21" s="11"/>
      <c r="T21" s="11"/>
      <c r="U21" s="11"/>
      <c r="V21" s="25">
        <f>IF($G$8="",テーブル1[[#This Row],[幅]]*テーブル1[[#This Row],[長さ]],テーブル1[[#This Row],[幅]]*テーブル1[[#This Row],[長さ]]*$G$8)</f>
        <v>0</v>
      </c>
      <c r="W21" s="25" t="str">
        <f>IF(テーブル1[[#This Row],[幅]]=0,"",テーブル1[[#This Row],[KG合計]]/テーブル1[[#This Row],[SM]]*1000)</f>
        <v/>
      </c>
      <c r="X21" s="25">
        <f>IF(テーブル1[[#This Row],[g/SM]]="",テーブル1[[#This Row],[長さ]]*テーブル1[[#This Row],[g/M]]/1000,テーブル1[[#This Row],[SM]]*テーブル1[[#This Row],[g/SM]]/1000)</f>
        <v>0</v>
      </c>
      <c r="Y21" s="25"/>
      <c r="Z21" s="25">
        <f>SUM(テーブル1[[#This Row],[KG(目付)]:[KG]])</f>
        <v>0</v>
      </c>
      <c r="AA21" s="11"/>
      <c r="AB21" s="11"/>
      <c r="AC21" s="24">
        <f>$G$7*(テーブル1[[#This Row],[金額]]*$G$6)</f>
        <v>0</v>
      </c>
    </row>
    <row r="22" spans="1:29" ht="39.950000000000003" customHeight="1">
      <c r="A22" s="1">
        <v>6</v>
      </c>
      <c r="B22" s="2">
        <v>580631000</v>
      </c>
      <c r="E22" s="3">
        <v>1313</v>
      </c>
      <c r="F22" s="3">
        <v>551313000</v>
      </c>
      <c r="G22" s="3" t="s">
        <v>74</v>
      </c>
      <c r="H22" s="1">
        <v>1590</v>
      </c>
      <c r="I22" s="2">
        <v>731815900</v>
      </c>
      <c r="K22" s="7"/>
      <c r="L22" s="7"/>
      <c r="M22" s="7"/>
      <c r="N22" s="7"/>
      <c r="O22" s="21">
        <f t="shared" si="1"/>
        <v>0</v>
      </c>
      <c r="P22" s="7"/>
      <c r="Q22" s="11"/>
      <c r="R22" s="11"/>
      <c r="S22" s="11"/>
      <c r="T22" s="11"/>
      <c r="U22" s="11"/>
      <c r="V22" s="25">
        <f>IF($G$8="",テーブル1[[#This Row],[幅]]*テーブル1[[#This Row],[長さ]],テーブル1[[#This Row],[幅]]*テーブル1[[#This Row],[長さ]]*$G$8)</f>
        <v>0</v>
      </c>
      <c r="W22" s="25" t="str">
        <f>IF(テーブル1[[#This Row],[幅]]=0,"",テーブル1[[#This Row],[KG合計]]/テーブル1[[#This Row],[SM]]*1000)</f>
        <v/>
      </c>
      <c r="X22" s="25">
        <f>IF(テーブル1[[#This Row],[g/SM]]="",テーブル1[[#This Row],[長さ]]*テーブル1[[#This Row],[g/M]]/1000,テーブル1[[#This Row],[SM]]*テーブル1[[#This Row],[g/SM]]/1000)</f>
        <v>0</v>
      </c>
      <c r="Y22" s="25"/>
      <c r="Z22" s="25">
        <f>SUM(テーブル1[[#This Row],[KG(目付)]:[KG]])</f>
        <v>0</v>
      </c>
      <c r="AA22" s="11"/>
      <c r="AB22" s="11"/>
      <c r="AC22" s="24">
        <f>$G$7*(テーブル1[[#This Row],[金額]]*$G$6)</f>
        <v>0</v>
      </c>
    </row>
    <row r="23" spans="1:29" ht="39.950000000000003" customHeight="1">
      <c r="A23" s="1">
        <v>4</v>
      </c>
      <c r="B23" s="2">
        <v>580632100</v>
      </c>
      <c r="E23" s="3">
        <v>1319</v>
      </c>
      <c r="F23" s="3">
        <v>551319000</v>
      </c>
      <c r="G23" s="3" t="s">
        <v>54</v>
      </c>
      <c r="H23" s="1">
        <v>1511</v>
      </c>
      <c r="I23" s="2">
        <v>731815110</v>
      </c>
      <c r="K23" s="7"/>
      <c r="L23" s="7"/>
      <c r="M23" s="7"/>
      <c r="N23" s="7"/>
      <c r="O23" s="21">
        <f t="shared" si="1"/>
        <v>0</v>
      </c>
      <c r="P23" s="7"/>
      <c r="Q23" s="11"/>
      <c r="R23" s="11"/>
      <c r="S23" s="11"/>
      <c r="T23" s="11"/>
      <c r="U23" s="11"/>
      <c r="V23" s="25">
        <f>IF($G$8="",テーブル1[[#This Row],[幅]]*テーブル1[[#This Row],[長さ]],テーブル1[[#This Row],[幅]]*テーブル1[[#This Row],[長さ]]*$G$8)</f>
        <v>0</v>
      </c>
      <c r="W23" s="25" t="str">
        <f>IF(テーブル1[[#This Row],[幅]]=0,"",テーブル1[[#This Row],[KG合計]]/テーブル1[[#This Row],[SM]]*1000)</f>
        <v/>
      </c>
      <c r="X23" s="25">
        <f>IF(テーブル1[[#This Row],[g/SM]]="",テーブル1[[#This Row],[長さ]]*テーブル1[[#This Row],[g/M]]/1000,テーブル1[[#This Row],[SM]]*テーブル1[[#This Row],[g/SM]]/1000)</f>
        <v>0</v>
      </c>
      <c r="Y23" s="25"/>
      <c r="Z23" s="25">
        <f>SUM(テーブル1[[#This Row],[KG(目付)]:[KG]])</f>
        <v>0</v>
      </c>
      <c r="AA23" s="11"/>
      <c r="AB23" s="11"/>
      <c r="AC23" s="24">
        <f>$G$7*(テーブル1[[#This Row],[金額]]*$G$6)</f>
        <v>0</v>
      </c>
    </row>
    <row r="24" spans="1:29" ht="39.950000000000003" customHeight="1">
      <c r="A24" s="1">
        <v>7</v>
      </c>
      <c r="B24" s="2">
        <v>580632200</v>
      </c>
      <c r="E24" s="3">
        <v>1321</v>
      </c>
      <c r="F24" s="3">
        <v>551321000</v>
      </c>
      <c r="H24" s="1">
        <v>1690</v>
      </c>
      <c r="I24" s="2">
        <v>731816900</v>
      </c>
      <c r="K24" s="7"/>
      <c r="L24" s="7"/>
      <c r="M24" s="7"/>
      <c r="N24" s="7"/>
      <c r="O24" s="21">
        <f t="shared" si="1"/>
        <v>0</v>
      </c>
      <c r="P24" s="7"/>
      <c r="Q24" s="11"/>
      <c r="R24" s="11"/>
      <c r="S24" s="11"/>
      <c r="T24" s="11"/>
      <c r="U24" s="11"/>
      <c r="V24" s="25">
        <f>IF($G$8="",テーブル1[[#This Row],[幅]]*テーブル1[[#This Row],[長さ]],テーブル1[[#This Row],[幅]]*テーブル1[[#This Row],[長さ]]*$G$8)</f>
        <v>0</v>
      </c>
      <c r="W24" s="25" t="str">
        <f>IF(テーブル1[[#This Row],[幅]]=0,"",テーブル1[[#This Row],[KG合計]]/テーブル1[[#This Row],[SM]]*1000)</f>
        <v/>
      </c>
      <c r="X24" s="25">
        <f>IF(テーブル1[[#This Row],[g/SM]]="",テーブル1[[#This Row],[長さ]]*テーブル1[[#This Row],[g/M]]/1000,テーブル1[[#This Row],[SM]]*テーブル1[[#This Row],[g/SM]]/1000)</f>
        <v>0</v>
      </c>
      <c r="Y24" s="25"/>
      <c r="Z24" s="25">
        <f>SUM(テーブル1[[#This Row],[KG(目付)]:[KG]])</f>
        <v>0</v>
      </c>
      <c r="AA24" s="11"/>
      <c r="AB24" s="11"/>
      <c r="AC24" s="24">
        <f>$G$7*(テーブル1[[#This Row],[金額]]*$G$6)</f>
        <v>0</v>
      </c>
    </row>
    <row r="25" spans="1:29" ht="39.950000000000003" customHeight="1">
      <c r="A25" s="1">
        <v>59</v>
      </c>
      <c r="B25" s="2">
        <v>590700000</v>
      </c>
      <c r="E25" s="3">
        <v>1323</v>
      </c>
      <c r="F25" s="3">
        <v>551323100</v>
      </c>
      <c r="H25" s="1">
        <v>1610</v>
      </c>
      <c r="I25" s="2">
        <v>731816100</v>
      </c>
      <c r="K25" s="7"/>
      <c r="L25" s="7"/>
      <c r="M25" s="7"/>
      <c r="N25" s="7"/>
      <c r="O25" s="21">
        <f t="shared" si="1"/>
        <v>0</v>
      </c>
      <c r="P25" s="7"/>
      <c r="Q25" s="11"/>
      <c r="R25" s="11"/>
      <c r="S25" s="11"/>
      <c r="T25" s="11"/>
      <c r="U25" s="11"/>
      <c r="V25" s="25">
        <f>IF($G$8="",テーブル1[[#This Row],[幅]]*テーブル1[[#This Row],[長さ]],テーブル1[[#This Row],[幅]]*テーブル1[[#This Row],[長さ]]*$G$8)</f>
        <v>0</v>
      </c>
      <c r="W25" s="25" t="str">
        <f>IF(テーブル1[[#This Row],[幅]]=0,"",テーブル1[[#This Row],[KG合計]]/テーブル1[[#This Row],[SM]]*1000)</f>
        <v/>
      </c>
      <c r="X25" s="25">
        <f>IF(テーブル1[[#This Row],[g/SM]]="",テーブル1[[#This Row],[長さ]]*テーブル1[[#This Row],[g/M]]/1000,テーブル1[[#This Row],[SM]]*テーブル1[[#This Row],[g/SM]]/1000)</f>
        <v>0</v>
      </c>
      <c r="Y25" s="25"/>
      <c r="Z25" s="25">
        <f>SUM(テーブル1[[#This Row],[KG(目付)]:[KG]])</f>
        <v>0</v>
      </c>
      <c r="AA25" s="11"/>
      <c r="AB25" s="11"/>
      <c r="AC25" s="24">
        <f>$G$7*(テーブル1[[#This Row],[金額]]*$G$6)</f>
        <v>0</v>
      </c>
    </row>
    <row r="26" spans="1:29" ht="39.950000000000003" customHeight="1">
      <c r="A26" s="1" t="s">
        <v>5</v>
      </c>
      <c r="B26" s="2">
        <v>630790090</v>
      </c>
      <c r="E26" s="3">
        <v>13239</v>
      </c>
      <c r="F26" s="3">
        <v>551323900</v>
      </c>
      <c r="G26" s="3" t="s">
        <v>60</v>
      </c>
      <c r="H26" s="1">
        <v>1819</v>
      </c>
      <c r="I26" s="2">
        <v>731819000</v>
      </c>
      <c r="K26" s="7"/>
      <c r="L26" s="7"/>
      <c r="M26" s="7"/>
      <c r="N26" s="7"/>
      <c r="O26" s="21">
        <f t="shared" si="1"/>
        <v>0</v>
      </c>
      <c r="P26" s="7"/>
      <c r="Q26" s="11"/>
      <c r="R26" s="11"/>
      <c r="S26" s="11"/>
      <c r="T26" s="11"/>
      <c r="U26" s="11"/>
      <c r="V26" s="25">
        <f>IF($G$8="",テーブル1[[#This Row],[幅]]*テーブル1[[#This Row],[長さ]],テーブル1[[#This Row],[幅]]*テーブル1[[#This Row],[長さ]]*$G$8)</f>
        <v>0</v>
      </c>
      <c r="W26" s="25" t="str">
        <f>IF(テーブル1[[#This Row],[幅]]=0,"",テーブル1[[#This Row],[KG合計]]/テーブル1[[#This Row],[SM]]*1000)</f>
        <v/>
      </c>
      <c r="X26" s="25">
        <f>IF(テーブル1[[#This Row],[g/SM]]="",テーブル1[[#This Row],[長さ]]*テーブル1[[#This Row],[g/M]]/1000,テーブル1[[#This Row],[SM]]*テーブル1[[#This Row],[g/SM]]/1000)</f>
        <v>0</v>
      </c>
      <c r="Y26" s="25"/>
      <c r="Z26" s="25">
        <f>SUM(テーブル1[[#This Row],[KG(目付)]:[KG]])</f>
        <v>0</v>
      </c>
      <c r="AA26" s="11"/>
      <c r="AB26" s="11"/>
      <c r="AC26" s="24">
        <f>$G$7*(テーブル1[[#This Row],[金額]]*$G$6)</f>
        <v>0</v>
      </c>
    </row>
    <row r="27" spans="1:29" ht="39.950000000000003" customHeight="1">
      <c r="A27" s="1">
        <v>6117</v>
      </c>
      <c r="B27" s="2">
        <v>611790000</v>
      </c>
      <c r="E27" s="3">
        <v>1329</v>
      </c>
      <c r="F27" s="3">
        <v>551329000</v>
      </c>
      <c r="G27" s="3" t="s">
        <v>62</v>
      </c>
      <c r="H27" s="1">
        <v>1821</v>
      </c>
      <c r="I27" s="2">
        <v>731821000</v>
      </c>
      <c r="K27" s="7"/>
      <c r="L27" s="7"/>
      <c r="M27" s="7"/>
      <c r="N27" s="7"/>
      <c r="O27" s="21">
        <f t="shared" si="1"/>
        <v>0</v>
      </c>
      <c r="P27" s="7"/>
      <c r="Q27" s="11"/>
      <c r="R27" s="11"/>
      <c r="S27" s="11"/>
      <c r="T27" s="11"/>
      <c r="U27" s="11"/>
      <c r="V27" s="25">
        <f>IF($G$8="",テーブル1[[#This Row],[幅]]*テーブル1[[#This Row],[長さ]],テーブル1[[#This Row],[幅]]*テーブル1[[#This Row],[長さ]]*$G$8)</f>
        <v>0</v>
      </c>
      <c r="W27" s="25" t="str">
        <f>IF(テーブル1[[#This Row],[幅]]=0,"",テーブル1[[#This Row],[KG合計]]/テーブル1[[#This Row],[SM]]*1000)</f>
        <v/>
      </c>
      <c r="X27" s="25">
        <f>IF(テーブル1[[#This Row],[g/SM]]="",テーブル1[[#This Row],[長さ]]*テーブル1[[#This Row],[g/M]]/1000,テーブル1[[#This Row],[SM]]*テーブル1[[#This Row],[g/SM]]/1000)</f>
        <v>0</v>
      </c>
      <c r="Y27" s="25"/>
      <c r="Z27" s="25">
        <f>SUM(テーブル1[[#This Row],[KG(目付)]:[KG]])</f>
        <v>0</v>
      </c>
      <c r="AA27" s="11"/>
      <c r="AB27" s="11"/>
      <c r="AC27" s="24">
        <f>$G$7*(テーブル1[[#This Row],[金額]]*$G$6)</f>
        <v>0</v>
      </c>
    </row>
    <row r="28" spans="1:29" ht="39.950000000000003" customHeight="1">
      <c r="A28" s="1">
        <v>6217</v>
      </c>
      <c r="B28" s="2">
        <v>621790000</v>
      </c>
      <c r="E28" s="3">
        <v>1331</v>
      </c>
      <c r="F28" s="3">
        <v>551331000</v>
      </c>
      <c r="H28" s="1">
        <v>1822</v>
      </c>
      <c r="I28" s="2">
        <v>731822000</v>
      </c>
      <c r="K28" s="7"/>
      <c r="L28" s="7"/>
      <c r="M28" s="7"/>
      <c r="N28" s="7"/>
      <c r="O28" s="21">
        <f t="shared" si="1"/>
        <v>0</v>
      </c>
      <c r="P28" s="7"/>
      <c r="Q28" s="11"/>
      <c r="R28" s="11"/>
      <c r="S28" s="11"/>
      <c r="T28" s="11"/>
      <c r="U28" s="11"/>
      <c r="V28" s="25">
        <f>IF($G$8="",テーブル1[[#This Row],[幅]]*テーブル1[[#This Row],[長さ]],テーブル1[[#This Row],[幅]]*テーブル1[[#This Row],[長さ]]*$G$8)</f>
        <v>0</v>
      </c>
      <c r="W28" s="25" t="str">
        <f>IF(テーブル1[[#This Row],[幅]]=0,"",テーブル1[[#This Row],[KG合計]]/テーブル1[[#This Row],[SM]]*1000)</f>
        <v/>
      </c>
      <c r="X28" s="25">
        <f>IF(テーブル1[[#This Row],[g/SM]]="",テーブル1[[#This Row],[長さ]]*テーブル1[[#This Row],[g/M]]/1000,テーブル1[[#This Row],[SM]]*テーブル1[[#This Row],[g/SM]]/1000)</f>
        <v>0</v>
      </c>
      <c r="Y28" s="25"/>
      <c r="Z28" s="25">
        <f>SUM(テーブル1[[#This Row],[KG(目付)]:[KG]])</f>
        <v>0</v>
      </c>
      <c r="AA28" s="11"/>
      <c r="AB28" s="11"/>
      <c r="AC28" s="24">
        <f>$G$7*(テーブル1[[#This Row],[金額]]*$G$6)</f>
        <v>0</v>
      </c>
    </row>
    <row r="29" spans="1:29" ht="39.950000000000003" customHeight="1">
      <c r="A29" s="1">
        <v>8310</v>
      </c>
      <c r="B29" s="2">
        <v>830810000</v>
      </c>
      <c r="E29" s="3">
        <v>1339</v>
      </c>
      <c r="F29" s="3">
        <v>551339100</v>
      </c>
      <c r="G29" s="3" t="s">
        <v>76</v>
      </c>
      <c r="H29" s="1">
        <v>1823</v>
      </c>
      <c r="I29" s="2">
        <v>731823000</v>
      </c>
      <c r="K29" s="7"/>
      <c r="L29" s="7"/>
      <c r="M29" s="7"/>
      <c r="N29" s="7"/>
      <c r="O29" s="21">
        <f t="shared" si="1"/>
        <v>0</v>
      </c>
      <c r="P29" s="7"/>
      <c r="Q29" s="11"/>
      <c r="R29" s="11"/>
      <c r="S29" s="11"/>
      <c r="T29" s="11"/>
      <c r="U29" s="11"/>
      <c r="V29" s="25">
        <f>IF($G$8="",テーブル1[[#This Row],[幅]]*テーブル1[[#This Row],[長さ]],テーブル1[[#This Row],[幅]]*テーブル1[[#This Row],[長さ]]*$G$8)</f>
        <v>0</v>
      </c>
      <c r="W29" s="25" t="str">
        <f>IF(テーブル1[[#This Row],[幅]]=0,"",テーブル1[[#This Row],[KG合計]]/テーブル1[[#This Row],[SM]]*1000)</f>
        <v/>
      </c>
      <c r="X29" s="25">
        <f>IF(テーブル1[[#This Row],[g/SM]]="",テーブル1[[#This Row],[長さ]]*テーブル1[[#This Row],[g/M]]/1000,テーブル1[[#This Row],[SM]]*テーブル1[[#This Row],[g/SM]]/1000)</f>
        <v>0</v>
      </c>
      <c r="Y29" s="25"/>
      <c r="Z29" s="25">
        <f>SUM(テーブル1[[#This Row],[KG(目付)]:[KG]])</f>
        <v>0</v>
      </c>
      <c r="AA29" s="11"/>
      <c r="AB29" s="11"/>
      <c r="AC29" s="24">
        <f>$G$7*(テーブル1[[#This Row],[金額]]*$G$6)</f>
        <v>0</v>
      </c>
    </row>
    <row r="30" spans="1:29" ht="39.950000000000003" customHeight="1">
      <c r="A30" s="1">
        <v>8320</v>
      </c>
      <c r="B30" s="2">
        <v>830820000</v>
      </c>
      <c r="E30" s="3">
        <v>13399</v>
      </c>
      <c r="F30" s="3">
        <v>551339900</v>
      </c>
      <c r="G30" s="3" t="s">
        <v>78</v>
      </c>
      <c r="H30" s="1">
        <v>1824</v>
      </c>
      <c r="I30" s="2">
        <v>731824000</v>
      </c>
      <c r="K30" s="7"/>
      <c r="L30" s="7"/>
      <c r="M30" s="7"/>
      <c r="N30" s="7"/>
      <c r="O30" s="21">
        <f t="shared" si="1"/>
        <v>0</v>
      </c>
      <c r="P30" s="7"/>
      <c r="Q30" s="11"/>
      <c r="R30" s="11"/>
      <c r="S30" s="11"/>
      <c r="T30" s="11"/>
      <c r="U30" s="11"/>
      <c r="V30" s="25">
        <f>IF($G$8="",テーブル1[[#This Row],[幅]]*テーブル1[[#This Row],[長さ]],テーブル1[[#This Row],[幅]]*テーブル1[[#This Row],[長さ]]*$G$8)</f>
        <v>0</v>
      </c>
      <c r="W30" s="25" t="str">
        <f>IF(テーブル1[[#This Row],[幅]]=0,"",テーブル1[[#This Row],[KG合計]]/テーブル1[[#This Row],[SM]]*1000)</f>
        <v/>
      </c>
      <c r="X30" s="25">
        <f>IF(テーブル1[[#This Row],[g/SM]]="",テーブル1[[#This Row],[長さ]]*テーブル1[[#This Row],[g/M]]/1000,テーブル1[[#This Row],[SM]]*テーブル1[[#This Row],[g/SM]]/1000)</f>
        <v>0</v>
      </c>
      <c r="Y30" s="25"/>
      <c r="Z30" s="25">
        <f>SUM(テーブル1[[#This Row],[KG(目付)]:[KG]])</f>
        <v>0</v>
      </c>
      <c r="AA30" s="11"/>
      <c r="AB30" s="11"/>
      <c r="AC30" s="24">
        <f>$G$7*(テーブル1[[#This Row],[金額]]*$G$6)</f>
        <v>0</v>
      </c>
    </row>
    <row r="31" spans="1:29" ht="39.950000000000003" customHeight="1">
      <c r="A31" s="1">
        <v>8390</v>
      </c>
      <c r="B31" s="2">
        <v>830890000</v>
      </c>
      <c r="E31" s="3">
        <v>1341</v>
      </c>
      <c r="F31" s="3">
        <v>551341000</v>
      </c>
      <c r="G31" s="3" t="s">
        <v>66</v>
      </c>
      <c r="H31" s="1">
        <v>1829</v>
      </c>
      <c r="I31" s="2">
        <v>731829000</v>
      </c>
      <c r="K31" s="7"/>
      <c r="L31" s="7"/>
      <c r="M31" s="7"/>
      <c r="N31" s="7"/>
      <c r="O31" s="21">
        <f t="shared" si="1"/>
        <v>0</v>
      </c>
      <c r="P31" s="7"/>
      <c r="Q31" s="11"/>
      <c r="R31" s="11"/>
      <c r="S31" s="11"/>
      <c r="T31" s="11"/>
      <c r="U31" s="11"/>
      <c r="V31" s="25">
        <f>IF($G$8="",テーブル1[[#This Row],[幅]]*テーブル1[[#This Row],[長さ]],テーブル1[[#This Row],[幅]]*テーブル1[[#This Row],[長さ]]*$G$8)</f>
        <v>0</v>
      </c>
      <c r="W31" s="25" t="str">
        <f>IF(テーブル1[[#This Row],[幅]]=0,"",テーブル1[[#This Row],[KG合計]]/テーブル1[[#This Row],[SM]]*1000)</f>
        <v/>
      </c>
      <c r="X31" s="25">
        <f>IF(テーブル1[[#This Row],[g/SM]]="",テーブル1[[#This Row],[長さ]]*テーブル1[[#This Row],[g/M]]/1000,テーブル1[[#This Row],[SM]]*テーブル1[[#This Row],[g/SM]]/1000)</f>
        <v>0</v>
      </c>
      <c r="Y31" s="25"/>
      <c r="Z31" s="25">
        <f>SUM(テーブル1[[#This Row],[KG(目付)]:[KG]])</f>
        <v>0</v>
      </c>
      <c r="AA31" s="11"/>
      <c r="AB31" s="11"/>
      <c r="AC31" s="24">
        <f>$G$7*(テーブル1[[#This Row],[金額]]*$G$6)</f>
        <v>0</v>
      </c>
    </row>
    <row r="32" spans="1:29" ht="39.950000000000003" customHeight="1">
      <c r="A32" s="1">
        <v>7419</v>
      </c>
      <c r="B32" s="2">
        <v>741999900</v>
      </c>
      <c r="E32" s="3">
        <v>1349</v>
      </c>
      <c r="F32" s="3">
        <v>551349000</v>
      </c>
      <c r="G32" s="3" t="s">
        <v>72</v>
      </c>
      <c r="H32" s="1">
        <v>741533</v>
      </c>
      <c r="I32" s="2">
        <v>741533000</v>
      </c>
      <c r="K32" s="7"/>
      <c r="L32" s="7"/>
      <c r="M32" s="7"/>
      <c r="N32" s="7"/>
      <c r="O32" s="21">
        <f t="shared" si="1"/>
        <v>0</v>
      </c>
      <c r="P32" s="7"/>
      <c r="Q32" s="11"/>
      <c r="R32" s="11"/>
      <c r="S32" s="11"/>
      <c r="T32" s="11"/>
      <c r="U32" s="11"/>
      <c r="V32" s="25">
        <f>IF($G$8="",テーブル1[[#This Row],[幅]]*テーブル1[[#This Row],[長さ]],テーブル1[[#This Row],[幅]]*テーブル1[[#This Row],[長さ]]*$G$8)</f>
        <v>0</v>
      </c>
      <c r="W32" s="25" t="str">
        <f>IF(テーブル1[[#This Row],[幅]]=0,"",テーブル1[[#This Row],[KG合計]]/テーブル1[[#This Row],[SM]]*1000)</f>
        <v/>
      </c>
      <c r="X32" s="25">
        <f>IF(テーブル1[[#This Row],[g/SM]]="",テーブル1[[#This Row],[長さ]]*テーブル1[[#This Row],[g/M]]/1000,テーブル1[[#This Row],[SM]]*テーブル1[[#This Row],[g/SM]]/1000)</f>
        <v>0</v>
      </c>
      <c r="Y32" s="25"/>
      <c r="Z32" s="25">
        <f>SUM(テーブル1[[#This Row],[KG(目付)]:[KG]])</f>
        <v>0</v>
      </c>
      <c r="AA32" s="11"/>
      <c r="AB32" s="11"/>
      <c r="AC32" s="24">
        <f>$G$7*(テーブル1[[#This Row],[金額]]*$G$6)</f>
        <v>0</v>
      </c>
    </row>
    <row r="33" spans="1:29" ht="39.950000000000003" customHeight="1">
      <c r="A33" s="1">
        <v>7326</v>
      </c>
      <c r="B33" s="2">
        <v>732690000</v>
      </c>
      <c r="E33" s="3">
        <v>1411</v>
      </c>
      <c r="F33" s="3">
        <v>551411000</v>
      </c>
      <c r="G33" s="3" t="s">
        <v>50</v>
      </c>
      <c r="H33" s="1">
        <v>3926</v>
      </c>
      <c r="I33" s="2">
        <v>392690900</v>
      </c>
      <c r="K33" s="7"/>
      <c r="L33" s="7"/>
      <c r="M33" s="7"/>
      <c r="N33" s="7"/>
      <c r="O33" s="21">
        <f t="shared" si="1"/>
        <v>0</v>
      </c>
      <c r="P33" s="7"/>
      <c r="Q33" s="11"/>
      <c r="R33" s="11"/>
      <c r="S33" s="11"/>
      <c r="T33" s="11"/>
      <c r="U33" s="11"/>
      <c r="V33" s="25">
        <f>IF($G$8="",テーブル1[[#This Row],[幅]]*テーブル1[[#This Row],[長さ]],テーブル1[[#This Row],[幅]]*テーブル1[[#This Row],[長さ]]*$G$8)</f>
        <v>0</v>
      </c>
      <c r="W33" s="25" t="str">
        <f>IF(テーブル1[[#This Row],[幅]]=0,"",テーブル1[[#This Row],[KG合計]]/テーブル1[[#This Row],[SM]]*1000)</f>
        <v/>
      </c>
      <c r="X33" s="25">
        <f>IF(テーブル1[[#This Row],[g/SM]]="",テーブル1[[#This Row],[長さ]]*テーブル1[[#This Row],[g/M]]/1000,テーブル1[[#This Row],[SM]]*テーブル1[[#This Row],[g/SM]]/1000)</f>
        <v>0</v>
      </c>
      <c r="Y33" s="25"/>
      <c r="Z33" s="25">
        <f>SUM(テーブル1[[#This Row],[KG(目付)]:[KG]])</f>
        <v>0</v>
      </c>
      <c r="AA33" s="11"/>
      <c r="AB33" s="11"/>
      <c r="AC33" s="24">
        <f>$G$7*(テーブル1[[#This Row],[金額]]*$G$6)</f>
        <v>0</v>
      </c>
    </row>
    <row r="34" spans="1:29" ht="39.950000000000003" customHeight="1">
      <c r="A34" s="1" t="s">
        <v>6</v>
      </c>
      <c r="B34" s="2">
        <v>960621000</v>
      </c>
      <c r="E34" s="3">
        <v>1412</v>
      </c>
      <c r="F34" s="3">
        <v>551412000</v>
      </c>
      <c r="G34" s="3" t="s">
        <v>52</v>
      </c>
      <c r="H34" s="1">
        <v>7326</v>
      </c>
      <c r="I34" s="2">
        <v>732690000</v>
      </c>
      <c r="K34" s="7"/>
      <c r="L34" s="7"/>
      <c r="M34" s="7"/>
      <c r="N34" s="7"/>
      <c r="O34" s="21">
        <f t="shared" si="1"/>
        <v>0</v>
      </c>
      <c r="P34" s="7"/>
      <c r="Q34" s="11"/>
      <c r="R34" s="11"/>
      <c r="S34" s="11"/>
      <c r="T34" s="11"/>
      <c r="U34" s="11"/>
      <c r="V34" s="25">
        <f>IF($G$8="",テーブル1[[#This Row],[幅]]*テーブル1[[#This Row],[長さ]],テーブル1[[#This Row],[幅]]*テーブル1[[#This Row],[長さ]]*$G$8)</f>
        <v>0</v>
      </c>
      <c r="W34" s="25" t="str">
        <f>IF(テーブル1[[#This Row],[幅]]=0,"",テーブル1[[#This Row],[KG合計]]/テーブル1[[#This Row],[SM]]*1000)</f>
        <v/>
      </c>
      <c r="X34" s="25">
        <f>IF(テーブル1[[#This Row],[g/SM]]="",テーブル1[[#This Row],[長さ]]*テーブル1[[#This Row],[g/M]]/1000,テーブル1[[#This Row],[SM]]*テーブル1[[#This Row],[g/SM]]/1000)</f>
        <v>0</v>
      </c>
      <c r="Y34" s="25"/>
      <c r="Z34" s="25">
        <f>SUM(テーブル1[[#This Row],[KG(目付)]:[KG]])</f>
        <v>0</v>
      </c>
      <c r="AA34" s="11"/>
      <c r="AB34" s="11"/>
      <c r="AC34" s="24">
        <f>$G$7*(テーブル1[[#This Row],[金額]]*$G$6)</f>
        <v>0</v>
      </c>
    </row>
    <row r="35" spans="1:29" ht="39.950000000000003" customHeight="1">
      <c r="A35" s="1" t="s">
        <v>7</v>
      </c>
      <c r="B35" s="2">
        <v>960622000</v>
      </c>
      <c r="E35" s="3">
        <v>1419</v>
      </c>
      <c r="F35" s="3">
        <v>551419000</v>
      </c>
      <c r="G35" s="3" t="s">
        <v>54</v>
      </c>
      <c r="H35" s="1">
        <v>401699</v>
      </c>
      <c r="I35" s="2">
        <v>401699000</v>
      </c>
      <c r="K35" s="7"/>
      <c r="L35" s="7"/>
      <c r="M35" s="7"/>
      <c r="N35" s="7"/>
      <c r="O35" s="21">
        <f t="shared" si="1"/>
        <v>0</v>
      </c>
      <c r="P35" s="7"/>
      <c r="Q35" s="11"/>
      <c r="R35" s="11"/>
      <c r="S35" s="11"/>
      <c r="T35" s="11"/>
      <c r="U35" s="11"/>
      <c r="V35" s="25">
        <f>IF($G$8="",テーブル1[[#This Row],[幅]]*テーブル1[[#This Row],[長さ]],テーブル1[[#This Row],[幅]]*テーブル1[[#This Row],[長さ]]*$G$8)</f>
        <v>0</v>
      </c>
      <c r="W35" s="25" t="str">
        <f>IF(テーブル1[[#This Row],[幅]]=0,"",テーブル1[[#This Row],[KG合計]]/テーブル1[[#This Row],[SM]]*1000)</f>
        <v/>
      </c>
      <c r="X35" s="25">
        <f>IF(テーブル1[[#This Row],[g/SM]]="",テーブル1[[#This Row],[長さ]]*テーブル1[[#This Row],[g/M]]/1000,テーブル1[[#This Row],[SM]]*テーブル1[[#This Row],[g/SM]]/1000)</f>
        <v>0</v>
      </c>
      <c r="Y35" s="25"/>
      <c r="Z35" s="25">
        <f>SUM(テーブル1[[#This Row],[KG(目付)]:[KG]])</f>
        <v>0</v>
      </c>
      <c r="AA35" s="11"/>
      <c r="AB35" s="11"/>
      <c r="AC35" s="24">
        <f>$G$7*(テーブル1[[#This Row],[金額]]*$G$6)</f>
        <v>0</v>
      </c>
    </row>
    <row r="36" spans="1:29" ht="39.950000000000003" customHeight="1">
      <c r="A36" s="1" t="s">
        <v>8</v>
      </c>
      <c r="B36" s="2">
        <v>960629000</v>
      </c>
      <c r="E36" s="3">
        <v>1421</v>
      </c>
      <c r="F36" s="3">
        <v>551421000</v>
      </c>
      <c r="G36" s="3" t="s">
        <v>56</v>
      </c>
      <c r="K36" s="7"/>
      <c r="L36" s="7"/>
      <c r="M36" s="7"/>
      <c r="N36" s="7"/>
      <c r="O36" s="21">
        <f t="shared" si="1"/>
        <v>0</v>
      </c>
      <c r="P36" s="7"/>
      <c r="Q36" s="11"/>
      <c r="R36" s="11"/>
      <c r="S36" s="11"/>
      <c r="T36" s="11"/>
      <c r="U36" s="11"/>
      <c r="V36" s="25">
        <f>IF($G$8="",テーブル1[[#This Row],[幅]]*テーブル1[[#This Row],[長さ]],テーブル1[[#This Row],[幅]]*テーブル1[[#This Row],[長さ]]*$G$8)</f>
        <v>0</v>
      </c>
      <c r="W36" s="25" t="str">
        <f>IF(テーブル1[[#This Row],[幅]]=0,"",テーブル1[[#This Row],[KG合計]]/テーブル1[[#This Row],[SM]]*1000)</f>
        <v/>
      </c>
      <c r="X36" s="25">
        <f>IF(テーブル1[[#This Row],[g/SM]]="",テーブル1[[#This Row],[長さ]]*テーブル1[[#This Row],[g/M]]/1000,テーブル1[[#This Row],[SM]]*テーブル1[[#This Row],[g/SM]]/1000)</f>
        <v>0</v>
      </c>
      <c r="Y36" s="25"/>
      <c r="Z36" s="25">
        <f>SUM(テーブル1[[#This Row],[KG(目付)]:[KG]])</f>
        <v>0</v>
      </c>
      <c r="AA36" s="11"/>
      <c r="AB36" s="11"/>
      <c r="AC36" s="24">
        <f>$G$7*(テーブル1[[#This Row],[金額]]*$G$6)</f>
        <v>0</v>
      </c>
    </row>
    <row r="37" spans="1:29" ht="39.950000000000003" customHeight="1">
      <c r="A37" s="1" t="s">
        <v>9</v>
      </c>
      <c r="B37" s="2">
        <v>960610000</v>
      </c>
      <c r="E37" s="3">
        <v>1422</v>
      </c>
      <c r="F37" s="3">
        <v>551422000</v>
      </c>
      <c r="G37" s="3" t="s">
        <v>58</v>
      </c>
      <c r="K37" s="7"/>
      <c r="L37" s="7"/>
      <c r="M37" s="7"/>
      <c r="N37" s="7"/>
      <c r="O37" s="21">
        <f t="shared" si="1"/>
        <v>0</v>
      </c>
      <c r="P37" s="7"/>
      <c r="Q37" s="11"/>
      <c r="R37" s="11"/>
      <c r="S37" s="11"/>
      <c r="T37" s="11"/>
      <c r="U37" s="11"/>
      <c r="V37" s="25">
        <f>IF($G$8="",テーブル1[[#This Row],[幅]]*テーブル1[[#This Row],[長さ]],テーブル1[[#This Row],[幅]]*テーブル1[[#This Row],[長さ]]*$G$8)</f>
        <v>0</v>
      </c>
      <c r="W37" s="25" t="str">
        <f>IF(テーブル1[[#This Row],[幅]]=0,"",テーブル1[[#This Row],[KG合計]]/テーブル1[[#This Row],[SM]]*1000)</f>
        <v/>
      </c>
      <c r="X37" s="25">
        <f>IF(テーブル1[[#This Row],[g/SM]]="",テーブル1[[#This Row],[長さ]]*テーブル1[[#This Row],[g/M]]/1000,テーブル1[[#This Row],[SM]]*テーブル1[[#This Row],[g/SM]]/1000)</f>
        <v>0</v>
      </c>
      <c r="Y37" s="25"/>
      <c r="Z37" s="25">
        <f>SUM(テーブル1[[#This Row],[KG(目付)]:[KG]])</f>
        <v>0</v>
      </c>
      <c r="AA37" s="11"/>
      <c r="AB37" s="11"/>
      <c r="AC37" s="24">
        <f>$G$7*(テーブル1[[#This Row],[金額]]*$G$6)</f>
        <v>0</v>
      </c>
    </row>
    <row r="38" spans="1:29" ht="39.950000000000003" customHeight="1">
      <c r="A38" s="1" t="s">
        <v>10</v>
      </c>
      <c r="B38" s="2">
        <v>960719000</v>
      </c>
      <c r="E38" s="3">
        <v>1423</v>
      </c>
      <c r="F38" s="3">
        <v>551423000</v>
      </c>
      <c r="G38" s="3" t="s">
        <v>60</v>
      </c>
      <c r="K38" s="7"/>
      <c r="L38" s="7"/>
      <c r="M38" s="7"/>
      <c r="N38" s="7"/>
      <c r="O38" s="21">
        <f t="shared" si="1"/>
        <v>0</v>
      </c>
      <c r="P38" s="7"/>
      <c r="Q38" s="11"/>
      <c r="R38" s="11"/>
      <c r="S38" s="11"/>
      <c r="T38" s="11"/>
      <c r="U38" s="11"/>
      <c r="V38" s="25">
        <f>IF($G$8="",テーブル1[[#This Row],[幅]]*テーブル1[[#This Row],[長さ]],テーブル1[[#This Row],[幅]]*テーブル1[[#This Row],[長さ]]*$G$8)</f>
        <v>0</v>
      </c>
      <c r="W38" s="25" t="str">
        <f>IF(テーブル1[[#This Row],[幅]]=0,"",テーブル1[[#This Row],[KG合計]]/テーブル1[[#This Row],[SM]]*1000)</f>
        <v/>
      </c>
      <c r="X38" s="25">
        <f>IF(テーブル1[[#This Row],[g/SM]]="",テーブル1[[#This Row],[長さ]]*テーブル1[[#This Row],[g/M]]/1000,テーブル1[[#This Row],[SM]]*テーブル1[[#This Row],[g/SM]]/1000)</f>
        <v>0</v>
      </c>
      <c r="Y38" s="25"/>
      <c r="Z38" s="25">
        <f>SUM(テーブル1[[#This Row],[KG(目付)]:[KG]])</f>
        <v>0</v>
      </c>
      <c r="AA38" s="11"/>
      <c r="AB38" s="11"/>
      <c r="AC38" s="24">
        <f>$G$7*(テーブル1[[#This Row],[金額]]*$G$6)</f>
        <v>0</v>
      </c>
    </row>
    <row r="39" spans="1:29" ht="39.950000000000003" customHeight="1">
      <c r="A39" s="1" t="s">
        <v>11</v>
      </c>
      <c r="B39" s="2">
        <v>960711000</v>
      </c>
      <c r="E39" s="3">
        <v>1429</v>
      </c>
      <c r="F39" s="3">
        <v>551429000</v>
      </c>
      <c r="G39" s="3" t="s">
        <v>62</v>
      </c>
      <c r="K39" s="7"/>
      <c r="L39" s="7"/>
      <c r="M39" s="7"/>
      <c r="N39" s="7"/>
      <c r="O39" s="21">
        <f t="shared" si="1"/>
        <v>0</v>
      </c>
      <c r="P39" s="7"/>
      <c r="Q39" s="11"/>
      <c r="R39" s="11"/>
      <c r="S39" s="11"/>
      <c r="T39" s="11"/>
      <c r="U39" s="11"/>
      <c r="V39" s="25">
        <f>IF($G$8="",テーブル1[[#This Row],[幅]]*テーブル1[[#This Row],[長さ]],テーブル1[[#This Row],[幅]]*テーブル1[[#This Row],[長さ]]*$G$8)</f>
        <v>0</v>
      </c>
      <c r="W39" s="25" t="str">
        <f>IF(テーブル1[[#This Row],[幅]]=0,"",テーブル1[[#This Row],[KG合計]]/テーブル1[[#This Row],[SM]]*1000)</f>
        <v/>
      </c>
      <c r="X39" s="25">
        <f>IF(テーブル1[[#This Row],[g/SM]]="",テーブル1[[#This Row],[長さ]]*テーブル1[[#This Row],[g/M]]/1000,テーブル1[[#This Row],[SM]]*テーブル1[[#This Row],[g/SM]]/1000)</f>
        <v>0</v>
      </c>
      <c r="Y39" s="25"/>
      <c r="Z39" s="25">
        <f>SUM(テーブル1[[#This Row],[KG(目付)]:[KG]])</f>
        <v>0</v>
      </c>
      <c r="AA39" s="11"/>
      <c r="AB39" s="11"/>
      <c r="AC39" s="24">
        <f>$G$7*(テーブル1[[#This Row],[金額]]*$G$6)</f>
        <v>0</v>
      </c>
    </row>
    <row r="40" spans="1:29" ht="39.950000000000003" customHeight="1">
      <c r="A40" s="1" t="s">
        <v>12</v>
      </c>
      <c r="B40" s="2">
        <v>960720000</v>
      </c>
      <c r="E40" s="3">
        <v>1430</v>
      </c>
      <c r="F40" s="3">
        <v>551430000</v>
      </c>
      <c r="G40" s="3" t="s">
        <v>64</v>
      </c>
      <c r="K40" s="7"/>
      <c r="L40" s="7"/>
      <c r="M40" s="7"/>
      <c r="N40" s="7"/>
      <c r="O40" s="21">
        <f t="shared" si="1"/>
        <v>0</v>
      </c>
      <c r="P40" s="7"/>
      <c r="Q40" s="11"/>
      <c r="R40" s="11"/>
      <c r="S40" s="11"/>
      <c r="T40" s="11"/>
      <c r="U40" s="11"/>
      <c r="V40" s="25">
        <f>IF($G$8="",テーブル1[[#This Row],[幅]]*テーブル1[[#This Row],[長さ]],テーブル1[[#This Row],[幅]]*テーブル1[[#This Row],[長さ]]*$G$8)</f>
        <v>0</v>
      </c>
      <c r="W40" s="25" t="str">
        <f>IF(テーブル1[[#This Row],[幅]]=0,"",テーブル1[[#This Row],[KG合計]]/テーブル1[[#This Row],[SM]]*1000)</f>
        <v/>
      </c>
      <c r="X40" s="25">
        <f>IF(テーブル1[[#This Row],[g/SM]]="",テーブル1[[#This Row],[長さ]]*テーブル1[[#This Row],[g/M]]/1000,テーブル1[[#This Row],[SM]]*テーブル1[[#This Row],[g/SM]]/1000)</f>
        <v>0</v>
      </c>
      <c r="Y40" s="25"/>
      <c r="Z40" s="25">
        <f>SUM(テーブル1[[#This Row],[KG(目付)]:[KG]])</f>
        <v>0</v>
      </c>
      <c r="AA40" s="11"/>
      <c r="AB40" s="11"/>
      <c r="AC40" s="24">
        <f>$G$7*(テーブル1[[#This Row],[金額]]*$G$6)</f>
        <v>0</v>
      </c>
    </row>
    <row r="41" spans="1:29" ht="39.950000000000003" customHeight="1">
      <c r="A41" s="1">
        <v>6590</v>
      </c>
      <c r="B41" s="2">
        <v>600590000</v>
      </c>
      <c r="E41" s="3">
        <v>1441</v>
      </c>
      <c r="F41" s="3">
        <v>551441000</v>
      </c>
      <c r="G41" s="3" t="s">
        <v>66</v>
      </c>
      <c r="K41" s="7"/>
      <c r="L41" s="7"/>
      <c r="M41" s="7"/>
      <c r="N41" s="7"/>
      <c r="O41" s="21">
        <f t="shared" si="1"/>
        <v>0</v>
      </c>
      <c r="P41" s="7"/>
      <c r="Q41" s="11"/>
      <c r="R41" s="11"/>
      <c r="S41" s="11"/>
      <c r="T41" s="11"/>
      <c r="U41" s="11"/>
      <c r="V41" s="25">
        <f>IF($G$8="",テーブル1[[#This Row],[幅]]*テーブル1[[#This Row],[長さ]],テーブル1[[#This Row],[幅]]*テーブル1[[#This Row],[長さ]]*$G$8)</f>
        <v>0</v>
      </c>
      <c r="W41" s="25" t="str">
        <f>IF(テーブル1[[#This Row],[幅]]=0,"",テーブル1[[#This Row],[KG合計]]/テーブル1[[#This Row],[SM]]*1000)</f>
        <v/>
      </c>
      <c r="X41" s="25">
        <f>IF(テーブル1[[#This Row],[g/SM]]="",テーブル1[[#This Row],[長さ]]*テーブル1[[#This Row],[g/M]]/1000,テーブル1[[#This Row],[SM]]*テーブル1[[#This Row],[g/SM]]/1000)</f>
        <v>0</v>
      </c>
      <c r="Y41" s="25"/>
      <c r="Z41" s="25">
        <f>SUM(テーブル1[[#This Row],[KG(目付)]:[KG]])</f>
        <v>0</v>
      </c>
      <c r="AA41" s="11"/>
      <c r="AB41" s="11"/>
      <c r="AC41" s="24">
        <f>$G$7*(テーブル1[[#This Row],[金額]]*$G$6)</f>
        <v>0</v>
      </c>
    </row>
    <row r="42" spans="1:29" ht="39.950000000000003" customHeight="1">
      <c r="A42" s="1">
        <v>6610</v>
      </c>
      <c r="B42" s="2">
        <v>600610000</v>
      </c>
      <c r="E42" s="3">
        <v>1442</v>
      </c>
      <c r="F42" s="3">
        <v>551442000</v>
      </c>
      <c r="G42" s="3" t="s">
        <v>68</v>
      </c>
      <c r="K42" s="7"/>
      <c r="L42" s="7"/>
      <c r="M42" s="7"/>
      <c r="N42" s="7"/>
      <c r="O42" s="21">
        <f t="shared" si="1"/>
        <v>0</v>
      </c>
      <c r="P42" s="7"/>
      <c r="Q42" s="11"/>
      <c r="R42" s="11"/>
      <c r="S42" s="11"/>
      <c r="T42" s="11"/>
      <c r="U42" s="11"/>
      <c r="V42" s="25">
        <f>IF($G$8="",テーブル1[[#This Row],[幅]]*テーブル1[[#This Row],[長さ]],テーブル1[[#This Row],[幅]]*テーブル1[[#This Row],[長さ]]*$G$8)</f>
        <v>0</v>
      </c>
      <c r="W42" s="25" t="str">
        <f>IF(テーブル1[[#This Row],[幅]]=0,"",テーブル1[[#This Row],[KG合計]]/テーブル1[[#This Row],[SM]]*1000)</f>
        <v/>
      </c>
      <c r="X42" s="25">
        <f>IF(テーブル1[[#This Row],[g/SM]]="",テーブル1[[#This Row],[長さ]]*テーブル1[[#This Row],[g/M]]/1000,テーブル1[[#This Row],[SM]]*テーブル1[[#This Row],[g/SM]]/1000)</f>
        <v>0</v>
      </c>
      <c r="Y42" s="25"/>
      <c r="Z42" s="25">
        <f>SUM(テーブル1[[#This Row],[KG(目付)]:[KG]])</f>
        <v>0</v>
      </c>
      <c r="AA42" s="11"/>
      <c r="AB42" s="11"/>
      <c r="AC42" s="24">
        <f>$G$7*(テーブル1[[#This Row],[金額]]*$G$6)</f>
        <v>0</v>
      </c>
    </row>
    <row r="43" spans="1:29" ht="39.950000000000003" customHeight="1">
      <c r="A43" s="1">
        <v>6690</v>
      </c>
      <c r="B43" s="2">
        <v>600690000</v>
      </c>
      <c r="E43" s="3">
        <v>1443</v>
      </c>
      <c r="F43" s="3">
        <v>551443000</v>
      </c>
      <c r="G43" s="3" t="s">
        <v>70</v>
      </c>
      <c r="K43" s="7"/>
      <c r="L43" s="7"/>
      <c r="M43" s="7"/>
      <c r="N43" s="7"/>
      <c r="O43" s="21">
        <f t="shared" si="1"/>
        <v>0</v>
      </c>
      <c r="P43" s="7"/>
      <c r="Q43" s="11"/>
      <c r="R43" s="11"/>
      <c r="S43" s="11"/>
      <c r="T43" s="11"/>
      <c r="U43" s="11"/>
      <c r="V43" s="25">
        <f>IF($G$8="",テーブル1[[#This Row],[幅]]*テーブル1[[#This Row],[長さ]],テーブル1[[#This Row],[幅]]*テーブル1[[#This Row],[長さ]]*$G$8)</f>
        <v>0</v>
      </c>
      <c r="W43" s="25" t="str">
        <f>IF(テーブル1[[#This Row],[幅]]=0,"",テーブル1[[#This Row],[KG合計]]/テーブル1[[#This Row],[SM]]*1000)</f>
        <v/>
      </c>
      <c r="X43" s="25">
        <f>IF(テーブル1[[#This Row],[g/SM]]="",テーブル1[[#This Row],[長さ]]*テーブル1[[#This Row],[g/M]]/1000,テーブル1[[#This Row],[SM]]*テーブル1[[#This Row],[g/SM]]/1000)</f>
        <v>0</v>
      </c>
      <c r="Y43" s="25"/>
      <c r="Z43" s="25">
        <f>SUM(テーブル1[[#This Row],[KG(目付)]:[KG]])</f>
        <v>0</v>
      </c>
      <c r="AA43" s="11"/>
      <c r="AB43" s="11"/>
      <c r="AC43" s="24">
        <f>$G$7*(テーブル1[[#This Row],[金額]]*$G$6)</f>
        <v>0</v>
      </c>
    </row>
    <row r="44" spans="1:29" ht="39.950000000000003" customHeight="1">
      <c r="A44" s="1">
        <v>6521</v>
      </c>
      <c r="B44" s="2">
        <v>600521000</v>
      </c>
      <c r="E44" s="3">
        <v>1449</v>
      </c>
      <c r="F44" s="3">
        <v>551449000</v>
      </c>
      <c r="G44" s="3" t="s">
        <v>72</v>
      </c>
      <c r="K44" s="7"/>
      <c r="L44" s="7"/>
      <c r="M44" s="7"/>
      <c r="N44" s="7"/>
      <c r="O44" s="21">
        <f t="shared" si="1"/>
        <v>0</v>
      </c>
      <c r="P44" s="7"/>
      <c r="Q44" s="11"/>
      <c r="R44" s="11"/>
      <c r="S44" s="11"/>
      <c r="T44" s="11"/>
      <c r="U44" s="11"/>
      <c r="V44" s="25">
        <f>IF($G$8="",テーブル1[[#This Row],[幅]]*テーブル1[[#This Row],[長さ]],テーブル1[[#This Row],[幅]]*テーブル1[[#This Row],[長さ]]*$G$8)</f>
        <v>0</v>
      </c>
      <c r="W44" s="25" t="str">
        <f>IF(テーブル1[[#This Row],[幅]]=0,"",テーブル1[[#This Row],[KG合計]]/テーブル1[[#This Row],[SM]]*1000)</f>
        <v/>
      </c>
      <c r="X44" s="25">
        <f>IF(テーブル1[[#This Row],[g/SM]]="",テーブル1[[#This Row],[長さ]]*テーブル1[[#This Row],[g/M]]/1000,テーブル1[[#This Row],[SM]]*テーブル1[[#This Row],[g/SM]]/1000)</f>
        <v>0</v>
      </c>
      <c r="Y44" s="25"/>
      <c r="Z44" s="25">
        <f>SUM(テーブル1[[#This Row],[KG(目付)]:[KG]])</f>
        <v>0</v>
      </c>
      <c r="AA44" s="11"/>
      <c r="AB44" s="11"/>
      <c r="AC44" s="24">
        <f>$G$7*(テーブル1[[#This Row],[金額]]*$G$6)</f>
        <v>0</v>
      </c>
    </row>
    <row r="45" spans="1:29" ht="39.950000000000003" customHeight="1">
      <c r="A45" s="1">
        <v>6522</v>
      </c>
      <c r="B45" s="2">
        <v>600522000</v>
      </c>
      <c r="K45" s="7"/>
      <c r="L45" s="7"/>
      <c r="M45" s="7"/>
      <c r="N45" s="7"/>
      <c r="O45" s="21">
        <f t="shared" si="1"/>
        <v>0</v>
      </c>
      <c r="P45" s="7"/>
      <c r="Q45" s="11"/>
      <c r="R45" s="11"/>
      <c r="S45" s="11"/>
      <c r="T45" s="11"/>
      <c r="U45" s="11"/>
      <c r="V45" s="25">
        <f>IF($G$8="",テーブル1[[#This Row],[幅]]*テーブル1[[#This Row],[長さ]],テーブル1[[#This Row],[幅]]*テーブル1[[#This Row],[長さ]]*$G$8)</f>
        <v>0</v>
      </c>
      <c r="W45" s="25" t="str">
        <f>IF(テーブル1[[#This Row],[幅]]=0,"",テーブル1[[#This Row],[KG合計]]/テーブル1[[#This Row],[SM]]*1000)</f>
        <v/>
      </c>
      <c r="X45" s="25">
        <f>IF(テーブル1[[#This Row],[g/SM]]="",テーブル1[[#This Row],[長さ]]*テーブル1[[#This Row],[g/M]]/1000,テーブル1[[#This Row],[SM]]*テーブル1[[#This Row],[g/SM]]/1000)</f>
        <v>0</v>
      </c>
      <c r="Y45" s="25"/>
      <c r="Z45" s="25">
        <f>SUM(テーブル1[[#This Row],[KG(目付)]:[KG]])</f>
        <v>0</v>
      </c>
      <c r="AA45" s="11"/>
      <c r="AB45" s="11"/>
      <c r="AC45" s="24">
        <f>$G$7*(テーブル1[[#This Row],[金額]]*$G$6)</f>
        <v>0</v>
      </c>
    </row>
    <row r="46" spans="1:29" ht="39.950000000000003" customHeight="1">
      <c r="A46" s="1">
        <v>6523</v>
      </c>
      <c r="B46" s="2">
        <v>600523000</v>
      </c>
      <c r="E46" s="3">
        <v>6221</v>
      </c>
      <c r="F46" s="3">
        <v>600240210</v>
      </c>
      <c r="G46" s="3" t="s">
        <v>80</v>
      </c>
      <c r="K46" s="7"/>
      <c r="L46" s="7"/>
      <c r="M46" s="7"/>
      <c r="N46" s="7"/>
      <c r="O46" s="21">
        <f t="shared" si="1"/>
        <v>0</v>
      </c>
      <c r="P46" s="7"/>
      <c r="Q46" s="11"/>
      <c r="R46" s="11"/>
      <c r="S46" s="11"/>
      <c r="T46" s="11"/>
      <c r="U46" s="11"/>
      <c r="V46" s="25">
        <f>IF($G$8="",テーブル1[[#This Row],[幅]]*テーブル1[[#This Row],[長さ]],テーブル1[[#This Row],[幅]]*テーブル1[[#This Row],[長さ]]*$G$8)</f>
        <v>0</v>
      </c>
      <c r="W46" s="25" t="str">
        <f>IF(テーブル1[[#This Row],[幅]]=0,"",テーブル1[[#This Row],[KG合計]]/テーブル1[[#This Row],[SM]]*1000)</f>
        <v/>
      </c>
      <c r="X46" s="25">
        <f>IF(テーブル1[[#This Row],[g/SM]]="",テーブル1[[#This Row],[長さ]]*テーブル1[[#This Row],[g/M]]/1000,テーブル1[[#This Row],[SM]]*テーブル1[[#This Row],[g/SM]]/1000)</f>
        <v>0</v>
      </c>
      <c r="Y46" s="25"/>
      <c r="Z46" s="25">
        <f>SUM(テーブル1[[#This Row],[KG(目付)]:[KG]])</f>
        <v>0</v>
      </c>
      <c r="AA46" s="11"/>
      <c r="AB46" s="11"/>
      <c r="AC46" s="24">
        <f>$G$7*(テーブル1[[#This Row],[金額]]*$G$6)</f>
        <v>0</v>
      </c>
    </row>
    <row r="47" spans="1:29" ht="39.950000000000003" customHeight="1">
      <c r="A47" s="1">
        <v>6524</v>
      </c>
      <c r="B47" s="2">
        <v>600524000</v>
      </c>
      <c r="E47" s="3">
        <v>6229</v>
      </c>
      <c r="F47" s="3">
        <v>600240290</v>
      </c>
      <c r="G47" s="3" t="s">
        <v>81</v>
      </c>
      <c r="K47" s="7"/>
      <c r="L47" s="7"/>
      <c r="M47" s="7"/>
      <c r="N47" s="7"/>
      <c r="O47" s="21">
        <f t="shared" si="1"/>
        <v>0</v>
      </c>
      <c r="P47" s="7"/>
      <c r="Q47" s="11"/>
      <c r="R47" s="11"/>
      <c r="S47" s="11"/>
      <c r="T47" s="11"/>
      <c r="U47" s="11"/>
      <c r="V47" s="25">
        <f>IF($G$8="",テーブル1[[#This Row],[幅]]*テーブル1[[#This Row],[長さ]],テーブル1[[#This Row],[幅]]*テーブル1[[#This Row],[長さ]]*$G$8)</f>
        <v>0</v>
      </c>
      <c r="W47" s="25" t="str">
        <f>IF(テーブル1[[#This Row],[幅]]=0,"",テーブル1[[#This Row],[KG合計]]/テーブル1[[#This Row],[SM]]*1000)</f>
        <v/>
      </c>
      <c r="X47" s="25">
        <f>IF(テーブル1[[#This Row],[g/SM]]="",テーブル1[[#This Row],[長さ]]*テーブル1[[#This Row],[g/M]]/1000,テーブル1[[#This Row],[SM]]*テーブル1[[#This Row],[g/SM]]/1000)</f>
        <v>0</v>
      </c>
      <c r="Y47" s="25"/>
      <c r="Z47" s="25">
        <f>SUM(テーブル1[[#This Row],[KG(目付)]:[KG]])</f>
        <v>0</v>
      </c>
      <c r="AA47" s="11"/>
      <c r="AB47" s="11"/>
      <c r="AC47" s="24">
        <f>$G$7*(テーブル1[[#This Row],[金額]]*$G$6)</f>
        <v>0</v>
      </c>
    </row>
    <row r="48" spans="1:29" ht="39.950000000000003" customHeight="1">
      <c r="A48" s="1">
        <v>6536</v>
      </c>
      <c r="B48" s="2">
        <v>600536000</v>
      </c>
      <c r="E48" s="3">
        <v>6249</v>
      </c>
      <c r="F48" s="3">
        <v>600240900</v>
      </c>
      <c r="K48" s="7"/>
      <c r="L48" s="7"/>
      <c r="M48" s="7"/>
      <c r="N48" s="7"/>
      <c r="O48" s="21">
        <f t="shared" si="1"/>
        <v>0</v>
      </c>
      <c r="P48" s="7"/>
      <c r="Q48" s="11"/>
      <c r="R48" s="11"/>
      <c r="S48" s="11"/>
      <c r="T48" s="11"/>
      <c r="U48" s="11"/>
      <c r="V48" s="25">
        <f>IF($G$8="",テーブル1[[#This Row],[幅]]*テーブル1[[#This Row],[長さ]],テーブル1[[#This Row],[幅]]*テーブル1[[#This Row],[長さ]]*$G$8)</f>
        <v>0</v>
      </c>
      <c r="W48" s="25" t="str">
        <f>IF(テーブル1[[#This Row],[幅]]=0,"",テーブル1[[#This Row],[KG合計]]/テーブル1[[#This Row],[SM]]*1000)</f>
        <v/>
      </c>
      <c r="X48" s="25">
        <f>IF(テーブル1[[#This Row],[g/SM]]="",テーブル1[[#This Row],[長さ]]*テーブル1[[#This Row],[g/M]]/1000,テーブル1[[#This Row],[SM]]*テーブル1[[#This Row],[g/SM]]/1000)</f>
        <v>0</v>
      </c>
      <c r="Y48" s="25"/>
      <c r="Z48" s="25">
        <f>SUM(テーブル1[[#This Row],[KG(目付)]:[KG]])</f>
        <v>0</v>
      </c>
      <c r="AA48" s="11"/>
      <c r="AB48" s="11"/>
      <c r="AC48" s="24">
        <f>$G$7*(テーブル1[[#This Row],[金額]]*$G$6)</f>
        <v>0</v>
      </c>
    </row>
    <row r="49" spans="1:29" ht="39.950000000000003" customHeight="1">
      <c r="A49" s="1">
        <v>6537</v>
      </c>
      <c r="B49" s="2">
        <v>600537000</v>
      </c>
      <c r="E49" s="3">
        <v>6310</v>
      </c>
      <c r="F49" s="3">
        <v>600310000</v>
      </c>
      <c r="G49" s="3" t="s">
        <v>82</v>
      </c>
      <c r="K49" s="7"/>
      <c r="L49" s="7"/>
      <c r="M49" s="7"/>
      <c r="N49" s="7"/>
      <c r="O49" s="21">
        <f t="shared" si="1"/>
        <v>0</v>
      </c>
      <c r="P49" s="7"/>
      <c r="Q49" s="11"/>
      <c r="R49" s="11"/>
      <c r="S49" s="11"/>
      <c r="T49" s="11"/>
      <c r="U49" s="11"/>
      <c r="V49" s="25">
        <f>IF($G$8="",テーブル1[[#This Row],[幅]]*テーブル1[[#This Row],[長さ]],テーブル1[[#This Row],[幅]]*テーブル1[[#This Row],[長さ]]*$G$8)</f>
        <v>0</v>
      </c>
      <c r="W49" s="25" t="str">
        <f>IF(テーブル1[[#This Row],[幅]]=0,"",テーブル1[[#This Row],[KG合計]]/テーブル1[[#This Row],[SM]]*1000)</f>
        <v/>
      </c>
      <c r="X49" s="25">
        <f>IF(テーブル1[[#This Row],[g/SM]]="",テーブル1[[#This Row],[長さ]]*テーブル1[[#This Row],[g/M]]/1000,テーブル1[[#This Row],[SM]]*テーブル1[[#This Row],[g/SM]]/1000)</f>
        <v>0</v>
      </c>
      <c r="Y49" s="25"/>
      <c r="Z49" s="25">
        <f>SUM(テーブル1[[#This Row],[KG(目付)]:[KG]])</f>
        <v>0</v>
      </c>
      <c r="AA49" s="11"/>
      <c r="AB49" s="11"/>
      <c r="AC49" s="24">
        <f>$G$7*(テーブル1[[#This Row],[金額]]*$G$6)</f>
        <v>0</v>
      </c>
    </row>
    <row r="50" spans="1:29" ht="39.950000000000003" customHeight="1">
      <c r="A50" s="1">
        <v>6538</v>
      </c>
      <c r="B50" s="2">
        <v>600538000</v>
      </c>
      <c r="E50" s="3">
        <v>6320</v>
      </c>
      <c r="F50" s="3">
        <v>600320000</v>
      </c>
      <c r="G50" s="3" t="s">
        <v>84</v>
      </c>
      <c r="K50" s="7"/>
      <c r="L50" s="7"/>
      <c r="M50" s="7"/>
      <c r="N50" s="7"/>
      <c r="O50" s="21">
        <f t="shared" si="1"/>
        <v>0</v>
      </c>
      <c r="P50" s="7"/>
      <c r="Q50" s="11"/>
      <c r="R50" s="11"/>
      <c r="S50" s="11"/>
      <c r="T50" s="11"/>
      <c r="U50" s="11"/>
      <c r="V50" s="25">
        <f>IF($G$8="",テーブル1[[#This Row],[幅]]*テーブル1[[#This Row],[長さ]],テーブル1[[#This Row],[幅]]*テーブル1[[#This Row],[長さ]]*$G$8)</f>
        <v>0</v>
      </c>
      <c r="W50" s="25" t="str">
        <f>IF(テーブル1[[#This Row],[幅]]=0,"",テーブル1[[#This Row],[KG合計]]/テーブル1[[#This Row],[SM]]*1000)</f>
        <v/>
      </c>
      <c r="X50" s="25">
        <f>IF(テーブル1[[#This Row],[g/SM]]="",テーブル1[[#This Row],[長さ]]*テーブル1[[#This Row],[g/M]]/1000,テーブル1[[#This Row],[SM]]*テーブル1[[#This Row],[g/SM]]/1000)</f>
        <v>0</v>
      </c>
      <c r="Y50" s="25"/>
      <c r="Z50" s="25">
        <f>SUM(テーブル1[[#This Row],[KG(目付)]:[KG]])</f>
        <v>0</v>
      </c>
      <c r="AA50" s="11"/>
      <c r="AB50" s="11"/>
      <c r="AC50" s="24">
        <f>$G$7*(テーブル1[[#This Row],[金額]]*$G$6)</f>
        <v>0</v>
      </c>
    </row>
    <row r="51" spans="1:29" ht="39.950000000000003" customHeight="1">
      <c r="A51" s="1">
        <v>6539</v>
      </c>
      <c r="B51" s="2">
        <v>600539000</v>
      </c>
      <c r="E51" s="3">
        <v>6311</v>
      </c>
      <c r="F51" s="3">
        <v>600330110</v>
      </c>
      <c r="G51" s="3" t="s">
        <v>86</v>
      </c>
      <c r="K51" s="7"/>
      <c r="L51" s="7"/>
      <c r="M51" s="7"/>
      <c r="N51" s="7"/>
      <c r="O51" s="21">
        <f t="shared" si="1"/>
        <v>0</v>
      </c>
      <c r="P51" s="7"/>
      <c r="Q51" s="11"/>
      <c r="R51" s="11"/>
      <c r="S51" s="11"/>
      <c r="T51" s="11"/>
      <c r="U51" s="11"/>
      <c r="V51" s="25">
        <f>IF($G$8="",テーブル1[[#This Row],[幅]]*テーブル1[[#This Row],[長さ]],テーブル1[[#This Row],[幅]]*テーブル1[[#This Row],[長さ]]*$G$8)</f>
        <v>0</v>
      </c>
      <c r="W51" s="25" t="str">
        <f>IF(テーブル1[[#This Row],[幅]]=0,"",テーブル1[[#This Row],[KG合計]]/テーブル1[[#This Row],[SM]]*1000)</f>
        <v/>
      </c>
      <c r="X51" s="25">
        <f>IF(テーブル1[[#This Row],[g/SM]]="",テーブル1[[#This Row],[長さ]]*テーブル1[[#This Row],[g/M]]/1000,テーブル1[[#This Row],[SM]]*テーブル1[[#This Row],[g/SM]]/1000)</f>
        <v>0</v>
      </c>
      <c r="Y51" s="25"/>
      <c r="Z51" s="25">
        <f>SUM(テーブル1[[#This Row],[KG(目付)]:[KG]])</f>
        <v>0</v>
      </c>
      <c r="AA51" s="11"/>
      <c r="AB51" s="11"/>
      <c r="AC51" s="24">
        <f>$G$7*(テーブル1[[#This Row],[金額]]*$G$6)</f>
        <v>0</v>
      </c>
    </row>
    <row r="52" spans="1:29" ht="39.950000000000003" customHeight="1">
      <c r="A52" s="1">
        <v>6541</v>
      </c>
      <c r="B52" s="2">
        <v>600541000</v>
      </c>
      <c r="E52" s="3">
        <v>6319</v>
      </c>
      <c r="F52" s="3">
        <v>600330190</v>
      </c>
      <c r="G52" s="3" t="s">
        <v>87</v>
      </c>
      <c r="K52" s="7"/>
      <c r="L52" s="7"/>
      <c r="M52" s="7"/>
      <c r="N52" s="7"/>
      <c r="O52" s="21">
        <f t="shared" si="1"/>
        <v>0</v>
      </c>
      <c r="P52" s="7"/>
      <c r="Q52" s="11"/>
      <c r="R52" s="11"/>
      <c r="S52" s="11"/>
      <c r="T52" s="11"/>
      <c r="U52" s="11"/>
      <c r="V52" s="25">
        <f>IF($G$8="",テーブル1[[#This Row],[幅]]*テーブル1[[#This Row],[長さ]],テーブル1[[#This Row],[幅]]*テーブル1[[#This Row],[長さ]]*$G$8)</f>
        <v>0</v>
      </c>
      <c r="W52" s="25" t="str">
        <f>IF(テーブル1[[#This Row],[幅]]=0,"",テーブル1[[#This Row],[KG合計]]/テーブル1[[#This Row],[SM]]*1000)</f>
        <v/>
      </c>
      <c r="X52" s="25">
        <f>IF(テーブル1[[#This Row],[g/SM]]="",テーブル1[[#This Row],[長さ]]*テーブル1[[#This Row],[g/M]]/1000,テーブル1[[#This Row],[SM]]*テーブル1[[#This Row],[g/SM]]/1000)</f>
        <v>0</v>
      </c>
      <c r="Y52" s="25"/>
      <c r="Z52" s="25">
        <f>SUM(テーブル1[[#This Row],[KG(目付)]:[KG]])</f>
        <v>0</v>
      </c>
      <c r="AA52" s="11"/>
      <c r="AB52" s="11"/>
      <c r="AC52" s="24">
        <f>$G$7*(テーブル1[[#This Row],[金額]]*$G$6)</f>
        <v>0</v>
      </c>
    </row>
    <row r="53" spans="1:29" ht="39.950000000000003" customHeight="1">
      <c r="A53" s="1">
        <v>6542</v>
      </c>
      <c r="B53" s="2">
        <v>600542000</v>
      </c>
      <c r="E53" s="3">
        <v>6340</v>
      </c>
      <c r="F53" s="3">
        <v>600340000</v>
      </c>
      <c r="G53" s="3" t="s">
        <v>88</v>
      </c>
      <c r="K53" s="7"/>
      <c r="L53" s="7"/>
      <c r="M53" s="7"/>
      <c r="N53" s="7"/>
      <c r="O53" s="21">
        <f t="shared" si="1"/>
        <v>0</v>
      </c>
      <c r="P53" s="7"/>
      <c r="Q53" s="11"/>
      <c r="R53" s="11"/>
      <c r="S53" s="11"/>
      <c r="T53" s="11"/>
      <c r="U53" s="11"/>
      <c r="V53" s="25">
        <f>IF($G$8="",テーブル1[[#This Row],[幅]]*テーブル1[[#This Row],[長さ]],テーブル1[[#This Row],[幅]]*テーブル1[[#This Row],[長さ]]*$G$8)</f>
        <v>0</v>
      </c>
      <c r="W53" s="25" t="str">
        <f>IF(テーブル1[[#This Row],[幅]]=0,"",テーブル1[[#This Row],[KG合計]]/テーブル1[[#This Row],[SM]]*1000)</f>
        <v/>
      </c>
      <c r="X53" s="25">
        <f>IF(テーブル1[[#This Row],[g/SM]]="",テーブル1[[#This Row],[長さ]]*テーブル1[[#This Row],[g/M]]/1000,テーブル1[[#This Row],[SM]]*テーブル1[[#This Row],[g/SM]]/1000)</f>
        <v>0</v>
      </c>
      <c r="Y53" s="25"/>
      <c r="Z53" s="25">
        <f>SUM(テーブル1[[#This Row],[KG(目付)]:[KG]])</f>
        <v>0</v>
      </c>
      <c r="AA53" s="11"/>
      <c r="AB53" s="11"/>
      <c r="AC53" s="24">
        <f>$G$7*(テーブル1[[#This Row],[金額]]*$G$6)</f>
        <v>0</v>
      </c>
    </row>
    <row r="54" spans="1:29" ht="39.950000000000003" customHeight="1">
      <c r="A54" s="1">
        <v>6543</v>
      </c>
      <c r="B54" s="2">
        <v>600543000</v>
      </c>
      <c r="E54" s="3">
        <v>6390</v>
      </c>
      <c r="F54" s="3">
        <v>600390000</v>
      </c>
      <c r="K54" s="7"/>
      <c r="L54" s="7"/>
      <c r="M54" s="7"/>
      <c r="N54" s="7"/>
      <c r="O54" s="21">
        <f t="shared" si="1"/>
        <v>0</v>
      </c>
      <c r="P54" s="7"/>
      <c r="Q54" s="11"/>
      <c r="R54" s="11"/>
      <c r="S54" s="11"/>
      <c r="T54" s="11"/>
      <c r="U54" s="11"/>
      <c r="V54" s="25">
        <f>IF($G$8="",テーブル1[[#This Row],[幅]]*テーブル1[[#This Row],[長さ]],テーブル1[[#This Row],[幅]]*テーブル1[[#This Row],[長さ]]*$G$8)</f>
        <v>0</v>
      </c>
      <c r="W54" s="25" t="str">
        <f>IF(テーブル1[[#This Row],[幅]]=0,"",テーブル1[[#This Row],[KG合計]]/テーブル1[[#This Row],[SM]]*1000)</f>
        <v/>
      </c>
      <c r="X54" s="25">
        <f>IF(テーブル1[[#This Row],[g/SM]]="",テーブル1[[#This Row],[長さ]]*テーブル1[[#This Row],[g/M]]/1000,テーブル1[[#This Row],[SM]]*テーブル1[[#This Row],[g/SM]]/1000)</f>
        <v>0</v>
      </c>
      <c r="Y54" s="25"/>
      <c r="Z54" s="25">
        <f>SUM(テーブル1[[#This Row],[KG(目付)]:[KG]])</f>
        <v>0</v>
      </c>
      <c r="AA54" s="11"/>
      <c r="AB54" s="11"/>
      <c r="AC54" s="24">
        <f>$G$7*(テーブル1[[#This Row],[金額]]*$G$6)</f>
        <v>0</v>
      </c>
    </row>
    <row r="55" spans="1:29" ht="39.950000000000003" customHeight="1">
      <c r="A55" s="1">
        <v>6544</v>
      </c>
      <c r="B55" s="2">
        <v>600544000</v>
      </c>
      <c r="E55" s="3">
        <v>6411</v>
      </c>
      <c r="F55" s="3">
        <v>600410100</v>
      </c>
      <c r="G55" s="3" t="s">
        <v>84</v>
      </c>
      <c r="K55" s="7"/>
      <c r="L55" s="7"/>
      <c r="M55" s="7"/>
      <c r="N55" s="7"/>
      <c r="O55" s="21">
        <f t="shared" si="1"/>
        <v>0</v>
      </c>
      <c r="P55" s="7"/>
      <c r="Q55" s="11"/>
      <c r="R55" s="11"/>
      <c r="S55" s="11"/>
      <c r="T55" s="11"/>
      <c r="U55" s="11"/>
      <c r="V55" s="25">
        <f>IF($G$8="",テーブル1[[#This Row],[幅]]*テーブル1[[#This Row],[長さ]],テーブル1[[#This Row],[幅]]*テーブル1[[#This Row],[長さ]]*$G$8)</f>
        <v>0</v>
      </c>
      <c r="W55" s="25" t="str">
        <f>IF(テーブル1[[#This Row],[幅]]=0,"",テーブル1[[#This Row],[KG合計]]/テーブル1[[#This Row],[SM]]*1000)</f>
        <v/>
      </c>
      <c r="X55" s="25">
        <f>IF(テーブル1[[#This Row],[g/SM]]="",テーブル1[[#This Row],[長さ]]*テーブル1[[#This Row],[g/M]]/1000,テーブル1[[#This Row],[SM]]*テーブル1[[#This Row],[g/SM]]/1000)</f>
        <v>0</v>
      </c>
      <c r="Y55" s="25"/>
      <c r="Z55" s="25">
        <f>SUM(テーブル1[[#This Row],[KG(目付)]:[KG]])</f>
        <v>0</v>
      </c>
      <c r="AA55" s="11"/>
      <c r="AB55" s="11"/>
      <c r="AC55" s="24">
        <f>$G$7*(テーブル1[[#This Row],[金額]]*$G$6)</f>
        <v>0</v>
      </c>
    </row>
    <row r="56" spans="1:29" ht="39.950000000000003" customHeight="1">
      <c r="A56" s="1">
        <v>6631</v>
      </c>
      <c r="B56" s="2">
        <v>600631000</v>
      </c>
      <c r="E56" s="3">
        <v>6441</v>
      </c>
      <c r="F56" s="3">
        <v>600410410</v>
      </c>
      <c r="G56" s="3" t="s">
        <v>90</v>
      </c>
      <c r="K56" s="7"/>
      <c r="L56" s="7"/>
      <c r="M56" s="7"/>
      <c r="N56" s="7"/>
      <c r="O56" s="21">
        <f t="shared" si="1"/>
        <v>0</v>
      </c>
      <c r="P56" s="7"/>
      <c r="Q56" s="11"/>
      <c r="R56" s="11"/>
      <c r="S56" s="11"/>
      <c r="T56" s="11"/>
      <c r="U56" s="11"/>
      <c r="V56" s="25">
        <f>IF($G$8="",テーブル1[[#This Row],[幅]]*テーブル1[[#This Row],[長さ]],テーブル1[[#This Row],[幅]]*テーブル1[[#This Row],[長さ]]*$G$8)</f>
        <v>0</v>
      </c>
      <c r="W56" s="25" t="str">
        <f>IF(テーブル1[[#This Row],[幅]]=0,"",テーブル1[[#This Row],[KG合計]]/テーブル1[[#This Row],[SM]]*1000)</f>
        <v/>
      </c>
      <c r="X56" s="25">
        <f>IF(テーブル1[[#This Row],[g/SM]]="",テーブル1[[#This Row],[長さ]]*テーブル1[[#This Row],[g/M]]/1000,テーブル1[[#This Row],[SM]]*テーブル1[[#This Row],[g/SM]]/1000)</f>
        <v>0</v>
      </c>
      <c r="Y56" s="25"/>
      <c r="Z56" s="25">
        <f>SUM(テーブル1[[#This Row],[KG(目付)]:[KG]])</f>
        <v>0</v>
      </c>
      <c r="AA56" s="11"/>
      <c r="AB56" s="11"/>
      <c r="AC56" s="24">
        <f>$G$7*(テーブル1[[#This Row],[金額]]*$G$6)</f>
        <v>0</v>
      </c>
    </row>
    <row r="57" spans="1:29" ht="39.950000000000003" customHeight="1">
      <c r="A57" s="1">
        <v>6632</v>
      </c>
      <c r="B57" s="2">
        <v>600632000</v>
      </c>
      <c r="E57" s="3">
        <v>6449</v>
      </c>
      <c r="F57" s="3">
        <v>600410490</v>
      </c>
      <c r="G57" s="3" t="s">
        <v>90</v>
      </c>
      <c r="K57" s="7"/>
      <c r="L57" s="7"/>
      <c r="M57" s="7"/>
      <c r="N57" s="7"/>
      <c r="O57" s="21">
        <f t="shared" si="1"/>
        <v>0</v>
      </c>
      <c r="P57" s="7"/>
      <c r="Q57" s="11"/>
      <c r="R57" s="11"/>
      <c r="S57" s="11"/>
      <c r="T57" s="11"/>
      <c r="U57" s="11"/>
      <c r="V57" s="25">
        <f>IF($G$8="",テーブル1[[#This Row],[幅]]*テーブル1[[#This Row],[長さ]],テーブル1[[#This Row],[幅]]*テーブル1[[#This Row],[長さ]]*$G$8)</f>
        <v>0</v>
      </c>
      <c r="W57" s="25" t="str">
        <f>IF(テーブル1[[#This Row],[幅]]=0,"",テーブル1[[#This Row],[KG合計]]/テーブル1[[#This Row],[SM]]*1000)</f>
        <v/>
      </c>
      <c r="X57" s="25">
        <f>IF(テーブル1[[#This Row],[g/SM]]="",テーブル1[[#This Row],[長さ]]*テーブル1[[#This Row],[g/M]]/1000,テーブル1[[#This Row],[SM]]*テーブル1[[#This Row],[g/SM]]/1000)</f>
        <v>0</v>
      </c>
      <c r="Y57" s="25"/>
      <c r="Z57" s="25">
        <f>SUM(テーブル1[[#This Row],[KG(目付)]:[KG]])</f>
        <v>0</v>
      </c>
      <c r="AA57" s="11"/>
      <c r="AB57" s="11"/>
      <c r="AC57" s="24">
        <f>$G$7*(テーブル1[[#This Row],[金額]]*$G$6)</f>
        <v>0</v>
      </c>
    </row>
    <row r="58" spans="1:29" ht="39.950000000000003" customHeight="1">
      <c r="A58" s="1">
        <v>6633</v>
      </c>
      <c r="B58" s="2">
        <v>600633000</v>
      </c>
      <c r="E58" s="3">
        <v>6419</v>
      </c>
      <c r="F58" s="3">
        <v>600410900</v>
      </c>
      <c r="G58" s="3" t="s">
        <v>91</v>
      </c>
      <c r="K58" s="7"/>
      <c r="L58" s="7"/>
      <c r="M58" s="7"/>
      <c r="N58" s="7"/>
      <c r="O58" s="21">
        <f t="shared" si="1"/>
        <v>0</v>
      </c>
      <c r="P58" s="7"/>
      <c r="Q58" s="11"/>
      <c r="R58" s="11"/>
      <c r="S58" s="11"/>
      <c r="T58" s="11"/>
      <c r="U58" s="11"/>
      <c r="V58" s="25">
        <f>IF($G$8="",テーブル1[[#This Row],[幅]]*テーブル1[[#This Row],[長さ]],テーブル1[[#This Row],[幅]]*テーブル1[[#This Row],[長さ]]*$G$8)</f>
        <v>0</v>
      </c>
      <c r="W58" s="25" t="str">
        <f>IF(テーブル1[[#This Row],[幅]]=0,"",テーブル1[[#This Row],[KG合計]]/テーブル1[[#This Row],[SM]]*1000)</f>
        <v/>
      </c>
      <c r="X58" s="25">
        <f>IF(テーブル1[[#This Row],[g/SM]]="",テーブル1[[#This Row],[長さ]]*テーブル1[[#This Row],[g/M]]/1000,テーブル1[[#This Row],[SM]]*テーブル1[[#This Row],[g/SM]]/1000)</f>
        <v>0</v>
      </c>
      <c r="Y58" s="25"/>
      <c r="Z58" s="25">
        <f>SUM(テーブル1[[#This Row],[KG(目付)]:[KG]])</f>
        <v>0</v>
      </c>
      <c r="AA58" s="11"/>
      <c r="AB58" s="11"/>
      <c r="AC58" s="24">
        <f>$G$7*(テーブル1[[#This Row],[金額]]*$G$6)</f>
        <v>0</v>
      </c>
    </row>
    <row r="59" spans="1:29" ht="39.950000000000003" customHeight="1">
      <c r="A59" s="1">
        <v>6634</v>
      </c>
      <c r="B59" s="2">
        <v>600634000</v>
      </c>
      <c r="K59" s="7"/>
      <c r="L59" s="7"/>
      <c r="M59" s="7"/>
      <c r="N59" s="7"/>
      <c r="O59" s="21">
        <f t="shared" si="1"/>
        <v>0</v>
      </c>
      <c r="P59" s="7"/>
      <c r="Q59" s="11"/>
      <c r="R59" s="11"/>
      <c r="S59" s="11"/>
      <c r="T59" s="11"/>
      <c r="U59" s="11"/>
      <c r="V59" s="25">
        <f>IF($G$8="",テーブル1[[#This Row],[幅]]*テーブル1[[#This Row],[長さ]],テーブル1[[#This Row],[幅]]*テーブル1[[#This Row],[長さ]]*$G$8)</f>
        <v>0</v>
      </c>
      <c r="W59" s="25" t="str">
        <f>IF(テーブル1[[#This Row],[幅]]=0,"",テーブル1[[#This Row],[KG合計]]/テーブル1[[#This Row],[SM]]*1000)</f>
        <v/>
      </c>
      <c r="X59" s="25">
        <f>IF(テーブル1[[#This Row],[g/SM]]="",テーブル1[[#This Row],[長さ]]*テーブル1[[#This Row],[g/M]]/1000,テーブル1[[#This Row],[SM]]*テーブル1[[#This Row],[g/SM]]/1000)</f>
        <v>0</v>
      </c>
      <c r="Y59" s="25"/>
      <c r="Z59" s="25">
        <f>SUM(テーブル1[[#This Row],[KG(目付)]:[KG]])</f>
        <v>0</v>
      </c>
      <c r="AA59" s="11"/>
      <c r="AB59" s="11"/>
      <c r="AC59" s="24">
        <f>$G$7*(テーブル1[[#This Row],[金額]]*$G$6)</f>
        <v>0</v>
      </c>
    </row>
    <row r="60" spans="1:29" ht="39.950000000000003" customHeight="1">
      <c r="A60" s="1">
        <v>6621</v>
      </c>
      <c r="B60" s="2">
        <v>600621000</v>
      </c>
      <c r="K60" s="7"/>
      <c r="L60" s="7"/>
      <c r="M60" s="7"/>
      <c r="N60" s="7"/>
      <c r="O60" s="21">
        <f t="shared" si="1"/>
        <v>0</v>
      </c>
      <c r="P60" s="7"/>
      <c r="Q60" s="11"/>
      <c r="R60" s="11"/>
      <c r="S60" s="11"/>
      <c r="T60" s="11"/>
      <c r="U60" s="11"/>
      <c r="V60" s="25">
        <f>IF($G$8="",テーブル1[[#This Row],[幅]]*テーブル1[[#This Row],[長さ]],テーブル1[[#This Row],[幅]]*テーブル1[[#This Row],[長さ]]*$G$8)</f>
        <v>0</v>
      </c>
      <c r="W60" s="25" t="str">
        <f>IF(テーブル1[[#This Row],[幅]]=0,"",テーブル1[[#This Row],[KG合計]]/テーブル1[[#This Row],[SM]]*1000)</f>
        <v/>
      </c>
      <c r="X60" s="25">
        <f>IF(テーブル1[[#This Row],[g/SM]]="",テーブル1[[#This Row],[長さ]]*テーブル1[[#This Row],[g/M]]/1000,テーブル1[[#This Row],[SM]]*テーブル1[[#This Row],[g/SM]]/1000)</f>
        <v>0</v>
      </c>
      <c r="Y60" s="25"/>
      <c r="Z60" s="25">
        <f>SUM(テーブル1[[#This Row],[KG(目付)]:[KG]])</f>
        <v>0</v>
      </c>
      <c r="AA60" s="11"/>
      <c r="AB60" s="11"/>
      <c r="AC60" s="24">
        <f>$G$7*(テーブル1[[#This Row],[金額]]*$G$6)</f>
        <v>0</v>
      </c>
    </row>
    <row r="61" spans="1:29" ht="39.950000000000003" customHeight="1">
      <c r="A61" s="1">
        <v>6622</v>
      </c>
      <c r="B61" s="2">
        <v>600622000</v>
      </c>
      <c r="K61" s="7"/>
      <c r="L61" s="7"/>
      <c r="M61" s="7"/>
      <c r="N61" s="7"/>
      <c r="O61" s="21">
        <f t="shared" si="1"/>
        <v>0</v>
      </c>
      <c r="P61" s="7"/>
      <c r="Q61" s="11"/>
      <c r="R61" s="11"/>
      <c r="S61" s="11"/>
      <c r="T61" s="11"/>
      <c r="U61" s="11"/>
      <c r="V61" s="25">
        <f>IF($G$8="",テーブル1[[#This Row],[幅]]*テーブル1[[#This Row],[長さ]],テーブル1[[#This Row],[幅]]*テーブル1[[#This Row],[長さ]]*$G$8)</f>
        <v>0</v>
      </c>
      <c r="W61" s="25" t="str">
        <f>IF(テーブル1[[#This Row],[幅]]=0,"",テーブル1[[#This Row],[KG合計]]/テーブル1[[#This Row],[SM]]*1000)</f>
        <v/>
      </c>
      <c r="X61" s="25">
        <f>IF(テーブル1[[#This Row],[g/SM]]="",テーブル1[[#This Row],[長さ]]*テーブル1[[#This Row],[g/M]]/1000,テーブル1[[#This Row],[SM]]*テーブル1[[#This Row],[g/SM]]/1000)</f>
        <v>0</v>
      </c>
      <c r="Y61" s="25"/>
      <c r="Z61" s="25">
        <f>SUM(テーブル1[[#This Row],[KG(目付)]:[KG]])</f>
        <v>0</v>
      </c>
      <c r="AA61" s="11"/>
      <c r="AB61" s="11"/>
      <c r="AC61" s="24">
        <f>$G$7*(テーブル1[[#This Row],[金額]]*$G$6)</f>
        <v>0</v>
      </c>
    </row>
    <row r="62" spans="1:29" ht="39.950000000000003" customHeight="1">
      <c r="A62" s="1">
        <v>6623</v>
      </c>
      <c r="B62" s="2">
        <v>600623000</v>
      </c>
      <c r="K62" s="7"/>
      <c r="L62" s="7"/>
      <c r="M62" s="7"/>
      <c r="N62" s="7"/>
      <c r="O62" s="21">
        <f t="shared" si="1"/>
        <v>0</v>
      </c>
      <c r="P62" s="7"/>
      <c r="Q62" s="11"/>
      <c r="R62" s="11"/>
      <c r="S62" s="11"/>
      <c r="T62" s="11"/>
      <c r="U62" s="11"/>
      <c r="V62" s="25">
        <f>IF($G$8="",テーブル1[[#This Row],[幅]]*テーブル1[[#This Row],[長さ]],テーブル1[[#This Row],[幅]]*テーブル1[[#This Row],[長さ]]*$G$8)</f>
        <v>0</v>
      </c>
      <c r="W62" s="25" t="str">
        <f>IF(テーブル1[[#This Row],[幅]]=0,"",テーブル1[[#This Row],[KG合計]]/テーブル1[[#This Row],[SM]]*1000)</f>
        <v/>
      </c>
      <c r="X62" s="25">
        <f>IF(テーブル1[[#This Row],[g/SM]]="",テーブル1[[#This Row],[長さ]]*テーブル1[[#This Row],[g/M]]/1000,テーブル1[[#This Row],[SM]]*テーブル1[[#This Row],[g/SM]]/1000)</f>
        <v>0</v>
      </c>
      <c r="Y62" s="25"/>
      <c r="Z62" s="25">
        <f>SUM(テーブル1[[#This Row],[KG(目付)]:[KG]])</f>
        <v>0</v>
      </c>
      <c r="AA62" s="11"/>
      <c r="AB62" s="11"/>
      <c r="AC62" s="24">
        <f>$G$7*(テーブル1[[#This Row],[金額]]*$G$6)</f>
        <v>0</v>
      </c>
    </row>
    <row r="63" spans="1:29" ht="39.950000000000003" customHeight="1">
      <c r="A63" s="1">
        <v>6624</v>
      </c>
      <c r="B63" s="2">
        <v>600624000</v>
      </c>
      <c r="K63" s="7"/>
      <c r="L63" s="7"/>
      <c r="M63" s="7"/>
      <c r="N63" s="7"/>
      <c r="O63" s="21">
        <f t="shared" si="1"/>
        <v>0</v>
      </c>
      <c r="P63" s="7"/>
      <c r="Q63" s="11"/>
      <c r="R63" s="11"/>
      <c r="S63" s="11"/>
      <c r="T63" s="11"/>
      <c r="U63" s="11"/>
      <c r="V63" s="25">
        <f>IF($G$8="",テーブル1[[#This Row],[幅]]*テーブル1[[#This Row],[長さ]],テーブル1[[#This Row],[幅]]*テーブル1[[#This Row],[長さ]]*$G$8)</f>
        <v>0</v>
      </c>
      <c r="W63" s="25" t="str">
        <f>IF(テーブル1[[#This Row],[幅]]=0,"",テーブル1[[#This Row],[KG合計]]/テーブル1[[#This Row],[SM]]*1000)</f>
        <v/>
      </c>
      <c r="X63" s="25">
        <f>IF(テーブル1[[#This Row],[g/SM]]="",テーブル1[[#This Row],[長さ]]*テーブル1[[#This Row],[g/M]]/1000,テーブル1[[#This Row],[SM]]*テーブル1[[#This Row],[g/SM]]/1000)</f>
        <v>0</v>
      </c>
      <c r="Y63" s="25"/>
      <c r="Z63" s="25">
        <f>SUM(テーブル1[[#This Row],[KG(目付)]:[KG]])</f>
        <v>0</v>
      </c>
      <c r="AA63" s="11"/>
      <c r="AB63" s="11"/>
      <c r="AC63" s="24">
        <f>$G$7*(テーブル1[[#This Row],[金額]]*$G$6)</f>
        <v>0</v>
      </c>
    </row>
    <row r="64" spans="1:29" ht="39.950000000000003" customHeight="1">
      <c r="A64" s="1">
        <v>6641</v>
      </c>
      <c r="B64" s="2">
        <v>600641000</v>
      </c>
      <c r="K64" s="7"/>
      <c r="L64" s="7"/>
      <c r="M64" s="7"/>
      <c r="N64" s="7"/>
      <c r="O64" s="21">
        <f t="shared" si="1"/>
        <v>0</v>
      </c>
      <c r="P64" s="7"/>
      <c r="Q64" s="11"/>
      <c r="R64" s="11"/>
      <c r="S64" s="11"/>
      <c r="T64" s="11"/>
      <c r="U64" s="11"/>
      <c r="V64" s="25">
        <f>IF($G$8="",テーブル1[[#This Row],[幅]]*テーブル1[[#This Row],[長さ]],テーブル1[[#This Row],[幅]]*テーブル1[[#This Row],[長さ]]*$G$8)</f>
        <v>0</v>
      </c>
      <c r="W64" s="25" t="str">
        <f>IF(テーブル1[[#This Row],[幅]]=0,"",テーブル1[[#This Row],[KG合計]]/テーブル1[[#This Row],[SM]]*1000)</f>
        <v/>
      </c>
      <c r="X64" s="25">
        <f>IF(テーブル1[[#This Row],[g/SM]]="",テーブル1[[#This Row],[長さ]]*テーブル1[[#This Row],[g/M]]/1000,テーブル1[[#This Row],[SM]]*テーブル1[[#This Row],[g/SM]]/1000)</f>
        <v>0</v>
      </c>
      <c r="Y64" s="25"/>
      <c r="Z64" s="25">
        <f>SUM(テーブル1[[#This Row],[KG(目付)]:[KG]])</f>
        <v>0</v>
      </c>
      <c r="AA64" s="11"/>
      <c r="AB64" s="11"/>
      <c r="AC64" s="24">
        <f>$G$7*(テーブル1[[#This Row],[金額]]*$G$6)</f>
        <v>0</v>
      </c>
    </row>
    <row r="65" spans="1:29" ht="39.950000000000003" customHeight="1">
      <c r="A65" s="1">
        <v>6642</v>
      </c>
      <c r="B65" s="2">
        <v>600642000</v>
      </c>
      <c r="K65" s="7"/>
      <c r="L65" s="7"/>
      <c r="M65" s="7"/>
      <c r="N65" s="7"/>
      <c r="O65" s="21">
        <f t="shared" si="1"/>
        <v>0</v>
      </c>
      <c r="P65" s="7"/>
      <c r="Q65" s="11"/>
      <c r="R65" s="11"/>
      <c r="S65" s="11"/>
      <c r="T65" s="11"/>
      <c r="U65" s="11"/>
      <c r="V65" s="25">
        <f>IF($G$8="",テーブル1[[#This Row],[幅]]*テーブル1[[#This Row],[長さ]],テーブル1[[#This Row],[幅]]*テーブル1[[#This Row],[長さ]]*$G$8)</f>
        <v>0</v>
      </c>
      <c r="W65" s="25" t="str">
        <f>IF(テーブル1[[#This Row],[幅]]=0,"",テーブル1[[#This Row],[KG合計]]/テーブル1[[#This Row],[SM]]*1000)</f>
        <v/>
      </c>
      <c r="X65" s="25">
        <f>IF(テーブル1[[#This Row],[g/SM]]="",テーブル1[[#This Row],[長さ]]*テーブル1[[#This Row],[g/M]]/1000,テーブル1[[#This Row],[SM]]*テーブル1[[#This Row],[g/SM]]/1000)</f>
        <v>0</v>
      </c>
      <c r="Y65" s="25"/>
      <c r="Z65" s="25">
        <f>SUM(テーブル1[[#This Row],[KG(目付)]:[KG]])</f>
        <v>0</v>
      </c>
      <c r="AA65" s="11"/>
      <c r="AB65" s="11"/>
      <c r="AC65" s="24">
        <f>$G$7*(テーブル1[[#This Row],[金額]]*$G$6)</f>
        <v>0</v>
      </c>
    </row>
    <row r="66" spans="1:29" ht="39.950000000000003" customHeight="1">
      <c r="A66" s="1">
        <v>6643</v>
      </c>
      <c r="B66" s="2">
        <v>600643000</v>
      </c>
      <c r="K66" s="7"/>
      <c r="L66" s="7"/>
      <c r="M66" s="7"/>
      <c r="N66" s="7"/>
      <c r="O66" s="21">
        <f t="shared" si="1"/>
        <v>0</v>
      </c>
      <c r="P66" s="7"/>
      <c r="Q66" s="11"/>
      <c r="R66" s="11"/>
      <c r="S66" s="11"/>
      <c r="T66" s="11"/>
      <c r="U66" s="11"/>
      <c r="V66" s="25">
        <f>IF($G$8="",テーブル1[[#This Row],[幅]]*テーブル1[[#This Row],[長さ]],テーブル1[[#This Row],[幅]]*テーブル1[[#This Row],[長さ]]*$G$8)</f>
        <v>0</v>
      </c>
      <c r="W66" s="25" t="str">
        <f>IF(テーブル1[[#This Row],[幅]]=0,"",テーブル1[[#This Row],[KG合計]]/テーブル1[[#This Row],[SM]]*1000)</f>
        <v/>
      </c>
      <c r="X66" s="25">
        <f>IF(テーブル1[[#This Row],[g/SM]]="",テーブル1[[#This Row],[長さ]]*テーブル1[[#This Row],[g/M]]/1000,テーブル1[[#This Row],[SM]]*テーブル1[[#This Row],[g/SM]]/1000)</f>
        <v>0</v>
      </c>
      <c r="Y66" s="25"/>
      <c r="Z66" s="25">
        <f>SUM(テーブル1[[#This Row],[KG(目付)]:[KG]])</f>
        <v>0</v>
      </c>
      <c r="AA66" s="11"/>
      <c r="AB66" s="11"/>
      <c r="AC66" s="24">
        <f>$G$7*(テーブル1[[#This Row],[金額]]*$G$6)</f>
        <v>0</v>
      </c>
    </row>
    <row r="67" spans="1:29" ht="39.950000000000003" customHeight="1">
      <c r="A67" s="1">
        <v>6644</v>
      </c>
      <c r="B67" s="2">
        <v>600644000</v>
      </c>
      <c r="K67" s="7"/>
      <c r="L67" s="7"/>
      <c r="M67" s="7"/>
      <c r="N67" s="7"/>
      <c r="O67" s="21">
        <f t="shared" ref="O67:O130" si="2">IF(LEN(N67)=10,RIGHT(N67,1),IFERROR(N67-(INT(N67/7)*7),RIGHT(N67,1)))</f>
        <v>0</v>
      </c>
      <c r="P67" s="7"/>
      <c r="Q67" s="11"/>
      <c r="R67" s="11"/>
      <c r="S67" s="11"/>
      <c r="T67" s="11"/>
      <c r="U67" s="11"/>
      <c r="V67" s="25">
        <f>IF($G$8="",テーブル1[[#This Row],[幅]]*テーブル1[[#This Row],[長さ]],テーブル1[[#This Row],[幅]]*テーブル1[[#This Row],[長さ]]*$G$8)</f>
        <v>0</v>
      </c>
      <c r="W67" s="25" t="str">
        <f>IF(テーブル1[[#This Row],[幅]]=0,"",テーブル1[[#This Row],[KG合計]]/テーブル1[[#This Row],[SM]]*1000)</f>
        <v/>
      </c>
      <c r="X67" s="25">
        <f>IF(テーブル1[[#This Row],[g/SM]]="",テーブル1[[#This Row],[長さ]]*テーブル1[[#This Row],[g/M]]/1000,テーブル1[[#This Row],[SM]]*テーブル1[[#This Row],[g/SM]]/1000)</f>
        <v>0</v>
      </c>
      <c r="Y67" s="25"/>
      <c r="Z67" s="25">
        <f>SUM(テーブル1[[#This Row],[KG(目付)]:[KG]])</f>
        <v>0</v>
      </c>
      <c r="AA67" s="11"/>
      <c r="AB67" s="11"/>
      <c r="AC67" s="24">
        <f>$G$7*(テーブル1[[#This Row],[金額]]*$G$6)</f>
        <v>0</v>
      </c>
    </row>
    <row r="68" spans="1:29" ht="39.950000000000003" customHeight="1">
      <c r="A68" s="1">
        <v>6221</v>
      </c>
      <c r="B68" s="2">
        <v>600240210</v>
      </c>
      <c r="C68" s="3" t="s">
        <v>80</v>
      </c>
      <c r="K68" s="7"/>
      <c r="L68" s="7"/>
      <c r="M68" s="7"/>
      <c r="N68" s="7"/>
      <c r="O68" s="21">
        <f t="shared" si="2"/>
        <v>0</v>
      </c>
      <c r="P68" s="7"/>
      <c r="Q68" s="11"/>
      <c r="R68" s="11"/>
      <c r="S68" s="11"/>
      <c r="T68" s="11"/>
      <c r="U68" s="11"/>
      <c r="V68" s="25">
        <f>IF($G$8="",テーブル1[[#This Row],[幅]]*テーブル1[[#This Row],[長さ]],テーブル1[[#This Row],[幅]]*テーブル1[[#This Row],[長さ]]*$G$8)</f>
        <v>0</v>
      </c>
      <c r="W68" s="25" t="str">
        <f>IF(テーブル1[[#This Row],[幅]]=0,"",テーブル1[[#This Row],[KG合計]]/テーブル1[[#This Row],[SM]]*1000)</f>
        <v/>
      </c>
      <c r="X68" s="25">
        <f>IF(テーブル1[[#This Row],[g/SM]]="",テーブル1[[#This Row],[長さ]]*テーブル1[[#This Row],[g/M]]/1000,テーブル1[[#This Row],[SM]]*テーブル1[[#This Row],[g/SM]]/1000)</f>
        <v>0</v>
      </c>
      <c r="Y68" s="25"/>
      <c r="Z68" s="25">
        <f>SUM(テーブル1[[#This Row],[KG(目付)]:[KG]])</f>
        <v>0</v>
      </c>
      <c r="AA68" s="11"/>
      <c r="AB68" s="11"/>
      <c r="AC68" s="24">
        <f>$G$7*(テーブル1[[#This Row],[金額]]*$G$6)</f>
        <v>0</v>
      </c>
    </row>
    <row r="69" spans="1:29" ht="39.950000000000003" customHeight="1">
      <c r="A69" s="1">
        <v>6229</v>
      </c>
      <c r="B69" s="2">
        <v>600240290</v>
      </c>
      <c r="C69" s="3" t="s">
        <v>81</v>
      </c>
      <c r="K69" s="7"/>
      <c r="L69" s="7"/>
      <c r="M69" s="7"/>
      <c r="N69" s="7"/>
      <c r="O69" s="21">
        <f t="shared" si="2"/>
        <v>0</v>
      </c>
      <c r="P69" s="7"/>
      <c r="Q69" s="11"/>
      <c r="R69" s="11"/>
      <c r="S69" s="11"/>
      <c r="T69" s="11"/>
      <c r="U69" s="11"/>
      <c r="V69" s="25">
        <f>IF($G$8="",テーブル1[[#This Row],[幅]]*テーブル1[[#This Row],[長さ]],テーブル1[[#This Row],[幅]]*テーブル1[[#This Row],[長さ]]*$G$8)</f>
        <v>0</v>
      </c>
      <c r="W69" s="25" t="str">
        <f>IF(テーブル1[[#This Row],[幅]]=0,"",テーブル1[[#This Row],[KG合計]]/テーブル1[[#This Row],[SM]]*1000)</f>
        <v/>
      </c>
      <c r="X69" s="25">
        <f>IF(テーブル1[[#This Row],[g/SM]]="",テーブル1[[#This Row],[長さ]]*テーブル1[[#This Row],[g/M]]/1000,テーブル1[[#This Row],[SM]]*テーブル1[[#This Row],[g/SM]]/1000)</f>
        <v>0</v>
      </c>
      <c r="Y69" s="25"/>
      <c r="Z69" s="25">
        <f>SUM(テーブル1[[#This Row],[KG(目付)]:[KG]])</f>
        <v>0</v>
      </c>
      <c r="AA69" s="11"/>
      <c r="AB69" s="11"/>
      <c r="AC69" s="24">
        <f>$G$7*(テーブル1[[#This Row],[金額]]*$G$6)</f>
        <v>0</v>
      </c>
    </row>
    <row r="70" spans="1:29" ht="39.950000000000003" customHeight="1">
      <c r="A70" s="1">
        <v>6249</v>
      </c>
      <c r="B70" s="2">
        <v>600240900</v>
      </c>
      <c r="K70" s="7"/>
      <c r="L70" s="7"/>
      <c r="M70" s="7"/>
      <c r="N70" s="7"/>
      <c r="O70" s="21">
        <f t="shared" si="2"/>
        <v>0</v>
      </c>
      <c r="P70" s="7"/>
      <c r="Q70" s="11"/>
      <c r="R70" s="11"/>
      <c r="S70" s="11"/>
      <c r="T70" s="11"/>
      <c r="U70" s="11"/>
      <c r="V70" s="25">
        <f>IF($G$8="",テーブル1[[#This Row],[幅]]*テーブル1[[#This Row],[長さ]],テーブル1[[#This Row],[幅]]*テーブル1[[#This Row],[長さ]]*$G$8)</f>
        <v>0</v>
      </c>
      <c r="W70" s="25" t="str">
        <f>IF(テーブル1[[#This Row],[幅]]=0,"",テーブル1[[#This Row],[KG合計]]/テーブル1[[#This Row],[SM]]*1000)</f>
        <v/>
      </c>
      <c r="X70" s="25">
        <f>IF(テーブル1[[#This Row],[g/SM]]="",テーブル1[[#This Row],[長さ]]*テーブル1[[#This Row],[g/M]]/1000,テーブル1[[#This Row],[SM]]*テーブル1[[#This Row],[g/SM]]/1000)</f>
        <v>0</v>
      </c>
      <c r="Y70" s="25"/>
      <c r="Z70" s="25">
        <f>SUM(テーブル1[[#This Row],[KG(目付)]:[KG]])</f>
        <v>0</v>
      </c>
      <c r="AA70" s="11"/>
      <c r="AB70" s="11"/>
      <c r="AC70" s="24">
        <f>$G$7*(テーブル1[[#This Row],[金額]]*$G$6)</f>
        <v>0</v>
      </c>
    </row>
    <row r="71" spans="1:29" ht="39.950000000000003" customHeight="1">
      <c r="A71" s="1">
        <v>6310</v>
      </c>
      <c r="B71" s="2">
        <v>600310000</v>
      </c>
      <c r="C71" s="3" t="s">
        <v>83</v>
      </c>
      <c r="K71" s="7"/>
      <c r="L71" s="7"/>
      <c r="M71" s="7"/>
      <c r="N71" s="7"/>
      <c r="O71" s="21">
        <f t="shared" si="2"/>
        <v>0</v>
      </c>
      <c r="P71" s="7"/>
      <c r="Q71" s="11"/>
      <c r="R71" s="11"/>
      <c r="S71" s="11"/>
      <c r="T71" s="11"/>
      <c r="U71" s="11"/>
      <c r="V71" s="25">
        <f>IF($G$8="",テーブル1[[#This Row],[幅]]*テーブル1[[#This Row],[長さ]],テーブル1[[#This Row],[幅]]*テーブル1[[#This Row],[長さ]]*$G$8)</f>
        <v>0</v>
      </c>
      <c r="W71" s="25" t="str">
        <f>IF(テーブル1[[#This Row],[幅]]=0,"",テーブル1[[#This Row],[KG合計]]/テーブル1[[#This Row],[SM]]*1000)</f>
        <v/>
      </c>
      <c r="X71" s="25">
        <f>IF(テーブル1[[#This Row],[g/SM]]="",テーブル1[[#This Row],[長さ]]*テーブル1[[#This Row],[g/M]]/1000,テーブル1[[#This Row],[SM]]*テーブル1[[#This Row],[g/SM]]/1000)</f>
        <v>0</v>
      </c>
      <c r="Y71" s="25"/>
      <c r="Z71" s="25">
        <f>SUM(テーブル1[[#This Row],[KG(目付)]:[KG]])</f>
        <v>0</v>
      </c>
      <c r="AA71" s="11"/>
      <c r="AB71" s="11"/>
      <c r="AC71" s="24">
        <f>$G$7*(テーブル1[[#This Row],[金額]]*$G$6)</f>
        <v>0</v>
      </c>
    </row>
    <row r="72" spans="1:29" ht="39.950000000000003" customHeight="1">
      <c r="A72" s="1">
        <v>6320</v>
      </c>
      <c r="B72" s="2">
        <v>600320000</v>
      </c>
      <c r="C72" s="3" t="s">
        <v>85</v>
      </c>
      <c r="K72" s="7"/>
      <c r="L72" s="7"/>
      <c r="M72" s="7"/>
      <c r="N72" s="7"/>
      <c r="O72" s="21">
        <f t="shared" si="2"/>
        <v>0</v>
      </c>
      <c r="P72" s="7"/>
      <c r="Q72" s="11"/>
      <c r="R72" s="11"/>
      <c r="S72" s="11"/>
      <c r="T72" s="11"/>
      <c r="U72" s="11"/>
      <c r="V72" s="25">
        <f>IF($G$8="",テーブル1[[#This Row],[幅]]*テーブル1[[#This Row],[長さ]],テーブル1[[#This Row],[幅]]*テーブル1[[#This Row],[長さ]]*$G$8)</f>
        <v>0</v>
      </c>
      <c r="W72" s="25" t="str">
        <f>IF(テーブル1[[#This Row],[幅]]=0,"",テーブル1[[#This Row],[KG合計]]/テーブル1[[#This Row],[SM]]*1000)</f>
        <v/>
      </c>
      <c r="X72" s="25">
        <f>IF(テーブル1[[#This Row],[g/SM]]="",テーブル1[[#This Row],[長さ]]*テーブル1[[#This Row],[g/M]]/1000,テーブル1[[#This Row],[SM]]*テーブル1[[#This Row],[g/SM]]/1000)</f>
        <v>0</v>
      </c>
      <c r="Y72" s="25"/>
      <c r="Z72" s="25">
        <f>SUM(テーブル1[[#This Row],[KG(目付)]:[KG]])</f>
        <v>0</v>
      </c>
      <c r="AA72" s="11"/>
      <c r="AB72" s="11"/>
      <c r="AC72" s="24">
        <f>$G$7*(テーブル1[[#This Row],[金額]]*$G$6)</f>
        <v>0</v>
      </c>
    </row>
    <row r="73" spans="1:29" ht="39.950000000000003" customHeight="1">
      <c r="A73" s="1">
        <v>6311</v>
      </c>
      <c r="B73" s="2">
        <v>600330110</v>
      </c>
      <c r="C73" s="3" t="s">
        <v>86</v>
      </c>
      <c r="K73" s="7"/>
      <c r="L73" s="7"/>
      <c r="M73" s="7"/>
      <c r="N73" s="7"/>
      <c r="O73" s="21">
        <f t="shared" si="2"/>
        <v>0</v>
      </c>
      <c r="P73" s="7"/>
      <c r="Q73" s="11"/>
      <c r="R73" s="11"/>
      <c r="S73" s="11"/>
      <c r="T73" s="11"/>
      <c r="U73" s="11"/>
      <c r="V73" s="25">
        <f>IF($G$8="",テーブル1[[#This Row],[幅]]*テーブル1[[#This Row],[長さ]],テーブル1[[#This Row],[幅]]*テーブル1[[#This Row],[長さ]]*$G$8)</f>
        <v>0</v>
      </c>
      <c r="W73" s="25" t="str">
        <f>IF(テーブル1[[#This Row],[幅]]=0,"",テーブル1[[#This Row],[KG合計]]/テーブル1[[#This Row],[SM]]*1000)</f>
        <v/>
      </c>
      <c r="X73" s="25">
        <f>IF(テーブル1[[#This Row],[g/SM]]="",テーブル1[[#This Row],[長さ]]*テーブル1[[#This Row],[g/M]]/1000,テーブル1[[#This Row],[SM]]*テーブル1[[#This Row],[g/SM]]/1000)</f>
        <v>0</v>
      </c>
      <c r="Y73" s="25"/>
      <c r="Z73" s="25">
        <f>SUM(テーブル1[[#This Row],[KG(目付)]:[KG]])</f>
        <v>0</v>
      </c>
      <c r="AA73" s="11"/>
      <c r="AB73" s="11"/>
      <c r="AC73" s="24">
        <f>$G$7*(テーブル1[[#This Row],[金額]]*$G$6)</f>
        <v>0</v>
      </c>
    </row>
    <row r="74" spans="1:29" ht="39.950000000000003" customHeight="1">
      <c r="A74" s="1">
        <v>6319</v>
      </c>
      <c r="B74" s="2">
        <v>600330190</v>
      </c>
      <c r="C74" s="3" t="s">
        <v>87</v>
      </c>
      <c r="K74" s="7"/>
      <c r="L74" s="7"/>
      <c r="M74" s="7"/>
      <c r="N74" s="7"/>
      <c r="O74" s="21">
        <f t="shared" si="2"/>
        <v>0</v>
      </c>
      <c r="P74" s="7"/>
      <c r="Q74" s="11"/>
      <c r="R74" s="11"/>
      <c r="S74" s="11"/>
      <c r="T74" s="11"/>
      <c r="U74" s="11"/>
      <c r="V74" s="25">
        <f>IF($G$8="",テーブル1[[#This Row],[幅]]*テーブル1[[#This Row],[長さ]],テーブル1[[#This Row],[幅]]*テーブル1[[#This Row],[長さ]]*$G$8)</f>
        <v>0</v>
      </c>
      <c r="W74" s="25" t="str">
        <f>IF(テーブル1[[#This Row],[幅]]=0,"",テーブル1[[#This Row],[KG合計]]/テーブル1[[#This Row],[SM]]*1000)</f>
        <v/>
      </c>
      <c r="X74" s="25">
        <f>IF(テーブル1[[#This Row],[g/SM]]="",テーブル1[[#This Row],[長さ]]*テーブル1[[#This Row],[g/M]]/1000,テーブル1[[#This Row],[SM]]*テーブル1[[#This Row],[g/SM]]/1000)</f>
        <v>0</v>
      </c>
      <c r="Y74" s="25"/>
      <c r="Z74" s="25">
        <f>SUM(テーブル1[[#This Row],[KG(目付)]:[KG]])</f>
        <v>0</v>
      </c>
      <c r="AA74" s="11"/>
      <c r="AB74" s="11"/>
      <c r="AC74" s="24">
        <f>$G$7*(テーブル1[[#This Row],[金額]]*$G$6)</f>
        <v>0</v>
      </c>
    </row>
    <row r="75" spans="1:29" ht="39.950000000000003" customHeight="1">
      <c r="A75" s="1">
        <v>6340</v>
      </c>
      <c r="B75" s="2">
        <v>600340000</v>
      </c>
      <c r="C75" s="3" t="s">
        <v>89</v>
      </c>
      <c r="K75" s="7"/>
      <c r="L75" s="7"/>
      <c r="M75" s="7"/>
      <c r="N75" s="7"/>
      <c r="O75" s="21">
        <f t="shared" si="2"/>
        <v>0</v>
      </c>
      <c r="P75" s="7"/>
      <c r="Q75" s="11"/>
      <c r="R75" s="11"/>
      <c r="S75" s="11"/>
      <c r="T75" s="11"/>
      <c r="U75" s="11"/>
      <c r="V75" s="25">
        <f>IF($G$8="",テーブル1[[#This Row],[幅]]*テーブル1[[#This Row],[長さ]],テーブル1[[#This Row],[幅]]*テーブル1[[#This Row],[長さ]]*$G$8)</f>
        <v>0</v>
      </c>
      <c r="W75" s="25" t="str">
        <f>IF(テーブル1[[#This Row],[幅]]=0,"",テーブル1[[#This Row],[KG合計]]/テーブル1[[#This Row],[SM]]*1000)</f>
        <v/>
      </c>
      <c r="X75" s="25">
        <f>IF(テーブル1[[#This Row],[g/SM]]="",テーブル1[[#This Row],[長さ]]*テーブル1[[#This Row],[g/M]]/1000,テーブル1[[#This Row],[SM]]*テーブル1[[#This Row],[g/SM]]/1000)</f>
        <v>0</v>
      </c>
      <c r="Y75" s="25"/>
      <c r="Z75" s="25">
        <f>SUM(テーブル1[[#This Row],[KG(目付)]:[KG]])</f>
        <v>0</v>
      </c>
      <c r="AA75" s="11"/>
      <c r="AB75" s="11"/>
      <c r="AC75" s="24">
        <f>$G$7*(テーブル1[[#This Row],[金額]]*$G$6)</f>
        <v>0</v>
      </c>
    </row>
    <row r="76" spans="1:29" ht="39.950000000000003" customHeight="1">
      <c r="A76" s="1">
        <v>6390</v>
      </c>
      <c r="B76" s="2">
        <v>600390000</v>
      </c>
      <c r="K76" s="7"/>
      <c r="L76" s="7"/>
      <c r="M76" s="7"/>
      <c r="N76" s="7"/>
      <c r="O76" s="21">
        <f t="shared" si="2"/>
        <v>0</v>
      </c>
      <c r="P76" s="7"/>
      <c r="Q76" s="11"/>
      <c r="R76" s="11"/>
      <c r="S76" s="11"/>
      <c r="T76" s="11"/>
      <c r="U76" s="11"/>
      <c r="V76" s="25">
        <f>IF($G$8="",テーブル1[[#This Row],[幅]]*テーブル1[[#This Row],[長さ]],テーブル1[[#This Row],[幅]]*テーブル1[[#This Row],[長さ]]*$G$8)</f>
        <v>0</v>
      </c>
      <c r="W76" s="25" t="str">
        <f>IF(テーブル1[[#This Row],[幅]]=0,"",テーブル1[[#This Row],[KG合計]]/テーブル1[[#This Row],[SM]]*1000)</f>
        <v/>
      </c>
      <c r="X76" s="25">
        <f>IF(テーブル1[[#This Row],[g/SM]]="",テーブル1[[#This Row],[長さ]]*テーブル1[[#This Row],[g/M]]/1000,テーブル1[[#This Row],[SM]]*テーブル1[[#This Row],[g/SM]]/1000)</f>
        <v>0</v>
      </c>
      <c r="Y76" s="25"/>
      <c r="Z76" s="25">
        <f>SUM(テーブル1[[#This Row],[KG(目付)]:[KG]])</f>
        <v>0</v>
      </c>
      <c r="AA76" s="11"/>
      <c r="AB76" s="11"/>
      <c r="AC76" s="24">
        <f>$G$7*(テーブル1[[#This Row],[金額]]*$G$6)</f>
        <v>0</v>
      </c>
    </row>
    <row r="77" spans="1:29" ht="39.950000000000003" customHeight="1">
      <c r="A77" s="1">
        <v>6411</v>
      </c>
      <c r="B77" s="2">
        <v>600410100</v>
      </c>
      <c r="C77" s="3" t="s">
        <v>85</v>
      </c>
      <c r="K77" s="7"/>
      <c r="L77" s="7"/>
      <c r="M77" s="7"/>
      <c r="N77" s="7"/>
      <c r="O77" s="21">
        <f t="shared" si="2"/>
        <v>0</v>
      </c>
      <c r="P77" s="7"/>
      <c r="Q77" s="11"/>
      <c r="R77" s="11"/>
      <c r="S77" s="11"/>
      <c r="T77" s="11"/>
      <c r="U77" s="11"/>
      <c r="V77" s="25">
        <f>IF($G$8="",テーブル1[[#This Row],[幅]]*テーブル1[[#This Row],[長さ]],テーブル1[[#This Row],[幅]]*テーブル1[[#This Row],[長さ]]*$G$8)</f>
        <v>0</v>
      </c>
      <c r="W77" s="25" t="str">
        <f>IF(テーブル1[[#This Row],[幅]]=0,"",テーブル1[[#This Row],[KG合計]]/テーブル1[[#This Row],[SM]]*1000)</f>
        <v/>
      </c>
      <c r="X77" s="25">
        <f>IF(テーブル1[[#This Row],[g/SM]]="",テーブル1[[#This Row],[長さ]]*テーブル1[[#This Row],[g/M]]/1000,テーブル1[[#This Row],[SM]]*テーブル1[[#This Row],[g/SM]]/1000)</f>
        <v>0</v>
      </c>
      <c r="Y77" s="25"/>
      <c r="Z77" s="25">
        <f>SUM(テーブル1[[#This Row],[KG(目付)]:[KG]])</f>
        <v>0</v>
      </c>
      <c r="AA77" s="11"/>
      <c r="AB77" s="11"/>
      <c r="AC77" s="24">
        <f>$G$7*(テーブル1[[#This Row],[金額]]*$G$6)</f>
        <v>0</v>
      </c>
    </row>
    <row r="78" spans="1:29" ht="39.950000000000003" customHeight="1">
      <c r="A78" s="1">
        <v>6441</v>
      </c>
      <c r="B78" s="2">
        <v>600410410</v>
      </c>
      <c r="C78" s="3" t="s">
        <v>90</v>
      </c>
      <c r="K78" s="7"/>
      <c r="L78" s="7"/>
      <c r="M78" s="7"/>
      <c r="N78" s="7"/>
      <c r="O78" s="21">
        <f t="shared" si="2"/>
        <v>0</v>
      </c>
      <c r="P78" s="7"/>
      <c r="Q78" s="11"/>
      <c r="R78" s="11"/>
      <c r="S78" s="11"/>
      <c r="T78" s="11"/>
      <c r="U78" s="11"/>
      <c r="V78" s="25">
        <f>IF($G$8="",テーブル1[[#This Row],[幅]]*テーブル1[[#This Row],[長さ]],テーブル1[[#This Row],[幅]]*テーブル1[[#This Row],[長さ]]*$G$8)</f>
        <v>0</v>
      </c>
      <c r="W78" s="25" t="str">
        <f>IF(テーブル1[[#This Row],[幅]]=0,"",テーブル1[[#This Row],[KG合計]]/テーブル1[[#This Row],[SM]]*1000)</f>
        <v/>
      </c>
      <c r="X78" s="25">
        <f>IF(テーブル1[[#This Row],[g/SM]]="",テーブル1[[#This Row],[長さ]]*テーブル1[[#This Row],[g/M]]/1000,テーブル1[[#This Row],[SM]]*テーブル1[[#This Row],[g/SM]]/1000)</f>
        <v>0</v>
      </c>
      <c r="Y78" s="25"/>
      <c r="Z78" s="25">
        <f>SUM(テーブル1[[#This Row],[KG(目付)]:[KG]])</f>
        <v>0</v>
      </c>
      <c r="AA78" s="11"/>
      <c r="AB78" s="11"/>
      <c r="AC78" s="24">
        <f>$G$7*(テーブル1[[#This Row],[金額]]*$G$6)</f>
        <v>0</v>
      </c>
    </row>
    <row r="79" spans="1:29" ht="39.950000000000003" customHeight="1">
      <c r="A79" s="1">
        <v>6449</v>
      </c>
      <c r="B79" s="2">
        <v>600410490</v>
      </c>
      <c r="C79" s="3" t="s">
        <v>90</v>
      </c>
      <c r="K79" s="7"/>
      <c r="L79" s="7"/>
      <c r="M79" s="7"/>
      <c r="N79" s="7"/>
      <c r="O79" s="21">
        <f t="shared" si="2"/>
        <v>0</v>
      </c>
      <c r="P79" s="7"/>
      <c r="Q79" s="11"/>
      <c r="R79" s="11"/>
      <c r="S79" s="11"/>
      <c r="T79" s="11"/>
      <c r="U79" s="11"/>
      <c r="V79" s="25">
        <f>IF($G$8="",テーブル1[[#This Row],[幅]]*テーブル1[[#This Row],[長さ]],テーブル1[[#This Row],[幅]]*テーブル1[[#This Row],[長さ]]*$G$8)</f>
        <v>0</v>
      </c>
      <c r="W79" s="25" t="str">
        <f>IF(テーブル1[[#This Row],[幅]]=0,"",テーブル1[[#This Row],[KG合計]]/テーブル1[[#This Row],[SM]]*1000)</f>
        <v/>
      </c>
      <c r="X79" s="25">
        <f>IF(テーブル1[[#This Row],[g/SM]]="",テーブル1[[#This Row],[長さ]]*テーブル1[[#This Row],[g/M]]/1000,テーブル1[[#This Row],[SM]]*テーブル1[[#This Row],[g/SM]]/1000)</f>
        <v>0</v>
      </c>
      <c r="Y79" s="25"/>
      <c r="Z79" s="25">
        <f>SUM(テーブル1[[#This Row],[KG(目付)]:[KG]])</f>
        <v>0</v>
      </c>
      <c r="AA79" s="11"/>
      <c r="AB79" s="11"/>
      <c r="AC79" s="24">
        <f>$G$7*(テーブル1[[#This Row],[金額]]*$G$6)</f>
        <v>0</v>
      </c>
    </row>
    <row r="80" spans="1:29" ht="39.950000000000003" customHeight="1">
      <c r="A80" s="1">
        <v>6419</v>
      </c>
      <c r="B80" s="2">
        <v>600410900</v>
      </c>
      <c r="C80" s="3" t="s">
        <v>91</v>
      </c>
      <c r="K80" s="7"/>
      <c r="L80" s="7"/>
      <c r="M80" s="7"/>
      <c r="N80" s="7"/>
      <c r="O80" s="21">
        <f t="shared" si="2"/>
        <v>0</v>
      </c>
      <c r="P80" s="7"/>
      <c r="Q80" s="11"/>
      <c r="R80" s="11"/>
      <c r="S80" s="11"/>
      <c r="T80" s="11"/>
      <c r="U80" s="11"/>
      <c r="V80" s="25">
        <f>IF($G$8="",テーブル1[[#This Row],[幅]]*テーブル1[[#This Row],[長さ]],テーブル1[[#This Row],[幅]]*テーブル1[[#This Row],[長さ]]*$G$8)</f>
        <v>0</v>
      </c>
      <c r="W80" s="25" t="str">
        <f>IF(テーブル1[[#This Row],[幅]]=0,"",テーブル1[[#This Row],[KG合計]]/テーブル1[[#This Row],[SM]]*1000)</f>
        <v/>
      </c>
      <c r="X80" s="25">
        <f>IF(テーブル1[[#This Row],[g/SM]]="",テーブル1[[#This Row],[長さ]]*テーブル1[[#This Row],[g/M]]/1000,テーブル1[[#This Row],[SM]]*テーブル1[[#This Row],[g/SM]]/1000)</f>
        <v>0</v>
      </c>
      <c r="Y80" s="25"/>
      <c r="Z80" s="25">
        <f>SUM(テーブル1[[#This Row],[KG(目付)]:[KG]])</f>
        <v>0</v>
      </c>
      <c r="AA80" s="11"/>
      <c r="AB80" s="11"/>
      <c r="AC80" s="24">
        <f>$G$7*(テーブル1[[#This Row],[金額]]*$G$6)</f>
        <v>0</v>
      </c>
    </row>
    <row r="81" spans="1:29" ht="39.950000000000003" customHeight="1">
      <c r="A81" s="1">
        <v>5471</v>
      </c>
      <c r="B81" s="2">
        <v>540771000</v>
      </c>
      <c r="K81" s="7"/>
      <c r="L81" s="7"/>
      <c r="M81" s="7"/>
      <c r="N81" s="7"/>
      <c r="O81" s="21">
        <f t="shared" si="2"/>
        <v>0</v>
      </c>
      <c r="P81" s="7"/>
      <c r="Q81" s="11"/>
      <c r="R81" s="11"/>
      <c r="S81" s="11"/>
      <c r="T81" s="11"/>
      <c r="U81" s="11"/>
      <c r="V81" s="25">
        <f>IF($G$8="",テーブル1[[#This Row],[幅]]*テーブル1[[#This Row],[長さ]],テーブル1[[#This Row],[幅]]*テーブル1[[#This Row],[長さ]]*$G$8)</f>
        <v>0</v>
      </c>
      <c r="W81" s="25" t="str">
        <f>IF(テーブル1[[#This Row],[幅]]=0,"",テーブル1[[#This Row],[KG合計]]/テーブル1[[#This Row],[SM]]*1000)</f>
        <v/>
      </c>
      <c r="X81" s="25">
        <f>IF(テーブル1[[#This Row],[g/SM]]="",テーブル1[[#This Row],[長さ]]*テーブル1[[#This Row],[g/M]]/1000,テーブル1[[#This Row],[SM]]*テーブル1[[#This Row],[g/SM]]/1000)</f>
        <v>0</v>
      </c>
      <c r="Y81" s="25"/>
      <c r="Z81" s="25">
        <f>SUM(テーブル1[[#This Row],[KG(目付)]:[KG]])</f>
        <v>0</v>
      </c>
      <c r="AA81" s="11"/>
      <c r="AB81" s="11"/>
      <c r="AC81" s="24">
        <f>$G$7*(テーブル1[[#This Row],[金額]]*$G$6)</f>
        <v>0</v>
      </c>
    </row>
    <row r="82" spans="1:29" ht="39.950000000000003" customHeight="1">
      <c r="A82" s="1">
        <v>5472</v>
      </c>
      <c r="B82" s="2">
        <v>540772000</v>
      </c>
      <c r="K82" s="7"/>
      <c r="L82" s="7"/>
      <c r="M82" s="7"/>
      <c r="N82" s="7"/>
      <c r="O82" s="21">
        <f t="shared" si="2"/>
        <v>0</v>
      </c>
      <c r="P82" s="7"/>
      <c r="Q82" s="11"/>
      <c r="R82" s="11"/>
      <c r="S82" s="11"/>
      <c r="T82" s="11"/>
      <c r="U82" s="11"/>
      <c r="V82" s="25">
        <f>IF($G$8="",テーブル1[[#This Row],[幅]]*テーブル1[[#This Row],[長さ]],テーブル1[[#This Row],[幅]]*テーブル1[[#This Row],[長さ]]*$G$8)</f>
        <v>0</v>
      </c>
      <c r="W82" s="25" t="str">
        <f>IF(テーブル1[[#This Row],[幅]]=0,"",テーブル1[[#This Row],[KG合計]]/テーブル1[[#This Row],[SM]]*1000)</f>
        <v/>
      </c>
      <c r="X82" s="25">
        <f>IF(テーブル1[[#This Row],[g/SM]]="",テーブル1[[#This Row],[長さ]]*テーブル1[[#This Row],[g/M]]/1000,テーブル1[[#This Row],[SM]]*テーブル1[[#This Row],[g/SM]]/1000)</f>
        <v>0</v>
      </c>
      <c r="Y82" s="25"/>
      <c r="Z82" s="25">
        <f>SUM(テーブル1[[#This Row],[KG(目付)]:[KG]])</f>
        <v>0</v>
      </c>
      <c r="AA82" s="11"/>
      <c r="AB82" s="11"/>
      <c r="AC82" s="24">
        <f>$G$7*(テーブル1[[#This Row],[金額]]*$G$6)</f>
        <v>0</v>
      </c>
    </row>
    <row r="83" spans="1:29" ht="39.950000000000003" customHeight="1">
      <c r="A83" s="1">
        <v>5473</v>
      </c>
      <c r="B83" s="2">
        <v>540773000</v>
      </c>
      <c r="K83" s="7"/>
      <c r="L83" s="7"/>
      <c r="M83" s="7"/>
      <c r="N83" s="7"/>
      <c r="O83" s="21">
        <f t="shared" si="2"/>
        <v>0</v>
      </c>
      <c r="P83" s="7"/>
      <c r="Q83" s="11"/>
      <c r="R83" s="11"/>
      <c r="S83" s="11"/>
      <c r="T83" s="11"/>
      <c r="U83" s="11"/>
      <c r="V83" s="25">
        <f>IF($G$8="",テーブル1[[#This Row],[幅]]*テーブル1[[#This Row],[長さ]],テーブル1[[#This Row],[幅]]*テーブル1[[#This Row],[長さ]]*$G$8)</f>
        <v>0</v>
      </c>
      <c r="W83" s="25" t="str">
        <f>IF(テーブル1[[#This Row],[幅]]=0,"",テーブル1[[#This Row],[KG合計]]/テーブル1[[#This Row],[SM]]*1000)</f>
        <v/>
      </c>
      <c r="X83" s="25">
        <f>IF(テーブル1[[#This Row],[g/SM]]="",テーブル1[[#This Row],[長さ]]*テーブル1[[#This Row],[g/M]]/1000,テーブル1[[#This Row],[SM]]*テーブル1[[#This Row],[g/SM]]/1000)</f>
        <v>0</v>
      </c>
      <c r="Y83" s="25"/>
      <c r="Z83" s="25">
        <f>SUM(テーブル1[[#This Row],[KG(目付)]:[KG]])</f>
        <v>0</v>
      </c>
      <c r="AA83" s="11"/>
      <c r="AB83" s="11"/>
      <c r="AC83" s="24">
        <f>$G$7*(テーブル1[[#This Row],[金額]]*$G$6)</f>
        <v>0</v>
      </c>
    </row>
    <row r="84" spans="1:29" ht="39.950000000000003" customHeight="1">
      <c r="A84" s="1">
        <v>5474</v>
      </c>
      <c r="B84" s="2">
        <v>540774000</v>
      </c>
      <c r="K84" s="7"/>
      <c r="L84" s="7"/>
      <c r="M84" s="7"/>
      <c r="N84" s="7"/>
      <c r="O84" s="21">
        <f t="shared" si="2"/>
        <v>0</v>
      </c>
      <c r="P84" s="7"/>
      <c r="Q84" s="11"/>
      <c r="R84" s="11"/>
      <c r="S84" s="11"/>
      <c r="T84" s="11"/>
      <c r="U84" s="11"/>
      <c r="V84" s="25">
        <f>IF($G$8="",テーブル1[[#This Row],[幅]]*テーブル1[[#This Row],[長さ]],テーブル1[[#This Row],[幅]]*テーブル1[[#This Row],[長さ]]*$G$8)</f>
        <v>0</v>
      </c>
      <c r="W84" s="25" t="str">
        <f>IF(テーブル1[[#This Row],[幅]]=0,"",テーブル1[[#This Row],[KG合計]]/テーブル1[[#This Row],[SM]]*1000)</f>
        <v/>
      </c>
      <c r="X84" s="25">
        <f>IF(テーブル1[[#This Row],[g/SM]]="",テーブル1[[#This Row],[長さ]]*テーブル1[[#This Row],[g/M]]/1000,テーブル1[[#This Row],[SM]]*テーブル1[[#This Row],[g/SM]]/1000)</f>
        <v>0</v>
      </c>
      <c r="Y84" s="25"/>
      <c r="Z84" s="25">
        <f>SUM(テーブル1[[#This Row],[KG(目付)]:[KG]])</f>
        <v>0</v>
      </c>
      <c r="AA84" s="11"/>
      <c r="AB84" s="11"/>
      <c r="AC84" s="24">
        <f>$G$7*(テーブル1[[#This Row],[金額]]*$G$6)</f>
        <v>0</v>
      </c>
    </row>
    <row r="85" spans="1:29" ht="39.950000000000003" customHeight="1">
      <c r="A85" s="1">
        <v>5481</v>
      </c>
      <c r="B85" s="2">
        <v>540781000</v>
      </c>
      <c r="K85" s="7"/>
      <c r="L85" s="7"/>
      <c r="M85" s="7"/>
      <c r="N85" s="7"/>
      <c r="O85" s="21">
        <f t="shared" si="2"/>
        <v>0</v>
      </c>
      <c r="P85" s="7"/>
      <c r="Q85" s="11"/>
      <c r="R85" s="11"/>
      <c r="S85" s="11"/>
      <c r="T85" s="11"/>
      <c r="U85" s="11"/>
      <c r="V85" s="25">
        <f>IF($G$8="",テーブル1[[#This Row],[幅]]*テーブル1[[#This Row],[長さ]],テーブル1[[#This Row],[幅]]*テーブル1[[#This Row],[長さ]]*$G$8)</f>
        <v>0</v>
      </c>
      <c r="W85" s="25" t="str">
        <f>IF(テーブル1[[#This Row],[幅]]=0,"",テーブル1[[#This Row],[KG合計]]/テーブル1[[#This Row],[SM]]*1000)</f>
        <v/>
      </c>
      <c r="X85" s="25">
        <f>IF(テーブル1[[#This Row],[g/SM]]="",テーブル1[[#This Row],[長さ]]*テーブル1[[#This Row],[g/M]]/1000,テーブル1[[#This Row],[SM]]*テーブル1[[#This Row],[g/SM]]/1000)</f>
        <v>0</v>
      </c>
      <c r="Y85" s="25"/>
      <c r="Z85" s="25">
        <f>SUM(テーブル1[[#This Row],[KG(目付)]:[KG]])</f>
        <v>0</v>
      </c>
      <c r="AA85" s="11"/>
      <c r="AB85" s="11"/>
      <c r="AC85" s="24">
        <f>$G$7*(テーブル1[[#This Row],[金額]]*$G$6)</f>
        <v>0</v>
      </c>
    </row>
    <row r="86" spans="1:29" ht="39.950000000000003" customHeight="1">
      <c r="A86" s="1">
        <v>5482</v>
      </c>
      <c r="B86" s="2">
        <v>540782000</v>
      </c>
      <c r="K86" s="7"/>
      <c r="L86" s="7"/>
      <c r="M86" s="7"/>
      <c r="N86" s="7"/>
      <c r="O86" s="21">
        <f t="shared" si="2"/>
        <v>0</v>
      </c>
      <c r="P86" s="7"/>
      <c r="Q86" s="11"/>
      <c r="R86" s="11"/>
      <c r="S86" s="11"/>
      <c r="T86" s="11"/>
      <c r="U86" s="11"/>
      <c r="V86" s="25">
        <f>IF($G$8="",テーブル1[[#This Row],[幅]]*テーブル1[[#This Row],[長さ]],テーブル1[[#This Row],[幅]]*テーブル1[[#This Row],[長さ]]*$G$8)</f>
        <v>0</v>
      </c>
      <c r="W86" s="25" t="str">
        <f>IF(テーブル1[[#This Row],[幅]]=0,"",テーブル1[[#This Row],[KG合計]]/テーブル1[[#This Row],[SM]]*1000)</f>
        <v/>
      </c>
      <c r="X86" s="25">
        <f>IF(テーブル1[[#This Row],[g/SM]]="",テーブル1[[#This Row],[長さ]]*テーブル1[[#This Row],[g/M]]/1000,テーブル1[[#This Row],[SM]]*テーブル1[[#This Row],[g/SM]]/1000)</f>
        <v>0</v>
      </c>
      <c r="Y86" s="25"/>
      <c r="Z86" s="25">
        <f>SUM(テーブル1[[#This Row],[KG(目付)]:[KG]])</f>
        <v>0</v>
      </c>
      <c r="AA86" s="11"/>
      <c r="AB86" s="11"/>
      <c r="AC86" s="24">
        <f>$G$7*(テーブル1[[#This Row],[金額]]*$G$6)</f>
        <v>0</v>
      </c>
    </row>
    <row r="87" spans="1:29" ht="39.950000000000003" customHeight="1">
      <c r="A87" s="1">
        <v>5483</v>
      </c>
      <c r="B87" s="2">
        <v>540783000</v>
      </c>
      <c r="K87" s="7"/>
      <c r="L87" s="7"/>
      <c r="M87" s="7"/>
      <c r="N87" s="7"/>
      <c r="O87" s="21">
        <f t="shared" si="2"/>
        <v>0</v>
      </c>
      <c r="P87" s="7"/>
      <c r="Q87" s="11"/>
      <c r="R87" s="11"/>
      <c r="S87" s="11"/>
      <c r="T87" s="11"/>
      <c r="U87" s="11"/>
      <c r="V87" s="25">
        <f>IF($G$8="",テーブル1[[#This Row],[幅]]*テーブル1[[#This Row],[長さ]],テーブル1[[#This Row],[幅]]*テーブル1[[#This Row],[長さ]]*$G$8)</f>
        <v>0</v>
      </c>
      <c r="W87" s="25" t="str">
        <f>IF(テーブル1[[#This Row],[幅]]=0,"",テーブル1[[#This Row],[KG合計]]/テーブル1[[#This Row],[SM]]*1000)</f>
        <v/>
      </c>
      <c r="X87" s="25">
        <f>IF(テーブル1[[#This Row],[g/SM]]="",テーブル1[[#This Row],[長さ]]*テーブル1[[#This Row],[g/M]]/1000,テーブル1[[#This Row],[SM]]*テーブル1[[#This Row],[g/SM]]/1000)</f>
        <v>0</v>
      </c>
      <c r="Y87" s="25"/>
      <c r="Z87" s="25">
        <f>SUM(テーブル1[[#This Row],[KG(目付)]:[KG]])</f>
        <v>0</v>
      </c>
      <c r="AA87" s="11"/>
      <c r="AB87" s="11"/>
      <c r="AC87" s="24">
        <f>$G$7*(テーブル1[[#This Row],[金額]]*$G$6)</f>
        <v>0</v>
      </c>
    </row>
    <row r="88" spans="1:29" ht="39.950000000000003" customHeight="1">
      <c r="A88" s="1">
        <v>5484</v>
      </c>
      <c r="B88" s="2">
        <v>540784000</v>
      </c>
      <c r="K88" s="7"/>
      <c r="L88" s="7"/>
      <c r="M88" s="7"/>
      <c r="N88" s="7"/>
      <c r="O88" s="21">
        <f t="shared" si="2"/>
        <v>0</v>
      </c>
      <c r="P88" s="7"/>
      <c r="Q88" s="11"/>
      <c r="R88" s="11"/>
      <c r="S88" s="11"/>
      <c r="T88" s="11"/>
      <c r="U88" s="11"/>
      <c r="V88" s="25">
        <f>IF($G$8="",テーブル1[[#This Row],[幅]]*テーブル1[[#This Row],[長さ]],テーブル1[[#This Row],[幅]]*テーブル1[[#This Row],[長さ]]*$G$8)</f>
        <v>0</v>
      </c>
      <c r="W88" s="25" t="str">
        <f>IF(テーブル1[[#This Row],[幅]]=0,"",テーブル1[[#This Row],[KG合計]]/テーブル1[[#This Row],[SM]]*1000)</f>
        <v/>
      </c>
      <c r="X88" s="25">
        <f>IF(テーブル1[[#This Row],[g/SM]]="",テーブル1[[#This Row],[長さ]]*テーブル1[[#This Row],[g/M]]/1000,テーブル1[[#This Row],[SM]]*テーブル1[[#This Row],[g/SM]]/1000)</f>
        <v>0</v>
      </c>
      <c r="Y88" s="25"/>
      <c r="Z88" s="25">
        <f>SUM(テーブル1[[#This Row],[KG(目付)]:[KG]])</f>
        <v>0</v>
      </c>
      <c r="AA88" s="11"/>
      <c r="AB88" s="11"/>
      <c r="AC88" s="24">
        <f>$G$7*(テーブル1[[#This Row],[金額]]*$G$6)</f>
        <v>0</v>
      </c>
    </row>
    <row r="89" spans="1:29" ht="39.950000000000003" customHeight="1">
      <c r="A89" s="1">
        <v>5491</v>
      </c>
      <c r="B89" s="2">
        <v>540791000</v>
      </c>
      <c r="K89" s="7"/>
      <c r="L89" s="7"/>
      <c r="M89" s="7"/>
      <c r="N89" s="7"/>
      <c r="O89" s="21">
        <f t="shared" si="2"/>
        <v>0</v>
      </c>
      <c r="P89" s="7"/>
      <c r="Q89" s="11"/>
      <c r="R89" s="11"/>
      <c r="S89" s="11"/>
      <c r="T89" s="11"/>
      <c r="U89" s="11"/>
      <c r="V89" s="25">
        <f>IF($G$8="",テーブル1[[#This Row],[幅]]*テーブル1[[#This Row],[長さ]],テーブル1[[#This Row],[幅]]*テーブル1[[#This Row],[長さ]]*$G$8)</f>
        <v>0</v>
      </c>
      <c r="W89" s="25" t="str">
        <f>IF(テーブル1[[#This Row],[幅]]=0,"",テーブル1[[#This Row],[KG合計]]/テーブル1[[#This Row],[SM]]*1000)</f>
        <v/>
      </c>
      <c r="X89" s="25">
        <f>IF(テーブル1[[#This Row],[g/SM]]="",テーブル1[[#This Row],[長さ]]*テーブル1[[#This Row],[g/M]]/1000,テーブル1[[#This Row],[SM]]*テーブル1[[#This Row],[g/SM]]/1000)</f>
        <v>0</v>
      </c>
      <c r="Y89" s="25"/>
      <c r="Z89" s="25">
        <f>SUM(テーブル1[[#This Row],[KG(目付)]:[KG]])</f>
        <v>0</v>
      </c>
      <c r="AA89" s="11"/>
      <c r="AB89" s="11"/>
      <c r="AC89" s="24">
        <f>$G$7*(テーブル1[[#This Row],[金額]]*$G$6)</f>
        <v>0</v>
      </c>
    </row>
    <row r="90" spans="1:29" ht="39.950000000000003" customHeight="1">
      <c r="A90" s="1">
        <v>5492</v>
      </c>
      <c r="B90" s="2">
        <v>540792000</v>
      </c>
      <c r="K90" s="7"/>
      <c r="L90" s="7"/>
      <c r="M90" s="7"/>
      <c r="N90" s="7"/>
      <c r="O90" s="21">
        <f t="shared" si="2"/>
        <v>0</v>
      </c>
      <c r="P90" s="7"/>
      <c r="Q90" s="11"/>
      <c r="R90" s="11"/>
      <c r="S90" s="11"/>
      <c r="T90" s="11"/>
      <c r="U90" s="11"/>
      <c r="V90" s="25">
        <f>IF($G$8="",テーブル1[[#This Row],[幅]]*テーブル1[[#This Row],[長さ]],テーブル1[[#This Row],[幅]]*テーブル1[[#This Row],[長さ]]*$G$8)</f>
        <v>0</v>
      </c>
      <c r="W90" s="25" t="str">
        <f>IF(テーブル1[[#This Row],[幅]]=0,"",テーブル1[[#This Row],[KG合計]]/テーブル1[[#This Row],[SM]]*1000)</f>
        <v/>
      </c>
      <c r="X90" s="25">
        <f>IF(テーブル1[[#This Row],[g/SM]]="",テーブル1[[#This Row],[長さ]]*テーブル1[[#This Row],[g/M]]/1000,テーブル1[[#This Row],[SM]]*テーブル1[[#This Row],[g/SM]]/1000)</f>
        <v>0</v>
      </c>
      <c r="Y90" s="25"/>
      <c r="Z90" s="25">
        <f>SUM(テーブル1[[#This Row],[KG(目付)]:[KG]])</f>
        <v>0</v>
      </c>
      <c r="AA90" s="11"/>
      <c r="AB90" s="11"/>
      <c r="AC90" s="24">
        <f>$G$7*(テーブル1[[#This Row],[金額]]*$G$6)</f>
        <v>0</v>
      </c>
    </row>
    <row r="91" spans="1:29" ht="39.950000000000003" customHeight="1">
      <c r="A91" s="1">
        <v>5493</v>
      </c>
      <c r="B91" s="2">
        <v>540793000</v>
      </c>
      <c r="K91" s="7"/>
      <c r="L91" s="7"/>
      <c r="M91" s="7"/>
      <c r="N91" s="7"/>
      <c r="O91" s="21">
        <f t="shared" si="2"/>
        <v>0</v>
      </c>
      <c r="P91" s="7"/>
      <c r="Q91" s="11"/>
      <c r="R91" s="11"/>
      <c r="S91" s="11"/>
      <c r="T91" s="11"/>
      <c r="U91" s="11"/>
      <c r="V91" s="25">
        <f>IF($G$8="",テーブル1[[#This Row],[幅]]*テーブル1[[#This Row],[長さ]],テーブル1[[#This Row],[幅]]*テーブル1[[#This Row],[長さ]]*$G$8)</f>
        <v>0</v>
      </c>
      <c r="W91" s="25" t="str">
        <f>IF(テーブル1[[#This Row],[幅]]=0,"",テーブル1[[#This Row],[KG合計]]/テーブル1[[#This Row],[SM]]*1000)</f>
        <v/>
      </c>
      <c r="X91" s="25">
        <f>IF(テーブル1[[#This Row],[g/SM]]="",テーブル1[[#This Row],[長さ]]*テーブル1[[#This Row],[g/M]]/1000,テーブル1[[#This Row],[SM]]*テーブル1[[#This Row],[g/SM]]/1000)</f>
        <v>0</v>
      </c>
      <c r="Y91" s="25"/>
      <c r="Z91" s="25">
        <f>SUM(テーブル1[[#This Row],[KG(目付)]:[KG]])</f>
        <v>0</v>
      </c>
      <c r="AA91" s="11"/>
      <c r="AB91" s="11"/>
      <c r="AC91" s="24">
        <f>$G$7*(テーブル1[[#This Row],[金額]]*$G$6)</f>
        <v>0</v>
      </c>
    </row>
    <row r="92" spans="1:29" ht="39.950000000000003" customHeight="1">
      <c r="A92" s="1">
        <v>5494</v>
      </c>
      <c r="B92" s="2">
        <v>540794000</v>
      </c>
      <c r="K92" s="7"/>
      <c r="L92" s="7"/>
      <c r="M92" s="7"/>
      <c r="N92" s="7"/>
      <c r="O92" s="21">
        <f t="shared" si="2"/>
        <v>0</v>
      </c>
      <c r="P92" s="7"/>
      <c r="Q92" s="11"/>
      <c r="R92" s="11"/>
      <c r="S92" s="11"/>
      <c r="T92" s="11"/>
      <c r="U92" s="11"/>
      <c r="V92" s="25">
        <f>IF($G$8="",テーブル1[[#This Row],[幅]]*テーブル1[[#This Row],[長さ]],テーブル1[[#This Row],[幅]]*テーブル1[[#This Row],[長さ]]*$G$8)</f>
        <v>0</v>
      </c>
      <c r="W92" s="25" t="str">
        <f>IF(テーブル1[[#This Row],[幅]]=0,"",テーブル1[[#This Row],[KG合計]]/テーブル1[[#This Row],[SM]]*1000)</f>
        <v/>
      </c>
      <c r="X92" s="25">
        <f>IF(テーブル1[[#This Row],[g/SM]]="",テーブル1[[#This Row],[長さ]]*テーブル1[[#This Row],[g/M]]/1000,テーブル1[[#This Row],[SM]]*テーブル1[[#This Row],[g/SM]]/1000)</f>
        <v>0</v>
      </c>
      <c r="Y92" s="25"/>
      <c r="Z92" s="25">
        <f>SUM(テーブル1[[#This Row],[KG(目付)]:[KG]])</f>
        <v>0</v>
      </c>
      <c r="AA92" s="11"/>
      <c r="AB92" s="11"/>
      <c r="AC92" s="24">
        <f>$G$7*(テーブル1[[#This Row],[金額]]*$G$6)</f>
        <v>0</v>
      </c>
    </row>
    <row r="93" spans="1:29" ht="39.950000000000003" customHeight="1">
      <c r="A93" s="1">
        <v>1211</v>
      </c>
      <c r="B93" s="2">
        <v>551211000</v>
      </c>
      <c r="K93" s="7"/>
      <c r="L93" s="7"/>
      <c r="M93" s="7"/>
      <c r="N93" s="7"/>
      <c r="O93" s="21">
        <f t="shared" si="2"/>
        <v>0</v>
      </c>
      <c r="P93" s="7"/>
      <c r="Q93" s="11"/>
      <c r="R93" s="11"/>
      <c r="S93" s="11"/>
      <c r="T93" s="11"/>
      <c r="U93" s="11"/>
      <c r="V93" s="25">
        <f>IF($G$8="",テーブル1[[#This Row],[幅]]*テーブル1[[#This Row],[長さ]],テーブル1[[#This Row],[幅]]*テーブル1[[#This Row],[長さ]]*$G$8)</f>
        <v>0</v>
      </c>
      <c r="W93" s="25" t="str">
        <f>IF(テーブル1[[#This Row],[幅]]=0,"",テーブル1[[#This Row],[KG合計]]/テーブル1[[#This Row],[SM]]*1000)</f>
        <v/>
      </c>
      <c r="X93" s="25">
        <f>IF(テーブル1[[#This Row],[g/SM]]="",テーブル1[[#This Row],[長さ]]*テーブル1[[#This Row],[g/M]]/1000,テーブル1[[#This Row],[SM]]*テーブル1[[#This Row],[g/SM]]/1000)</f>
        <v>0</v>
      </c>
      <c r="Y93" s="25"/>
      <c r="Z93" s="25">
        <f>SUM(テーブル1[[#This Row],[KG(目付)]:[KG]])</f>
        <v>0</v>
      </c>
      <c r="AA93" s="11"/>
      <c r="AB93" s="11"/>
      <c r="AC93" s="24">
        <f>$G$7*(テーブル1[[#This Row],[金額]]*$G$6)</f>
        <v>0</v>
      </c>
    </row>
    <row r="94" spans="1:29" ht="39.950000000000003" customHeight="1">
      <c r="A94" s="1">
        <v>1219</v>
      </c>
      <c r="B94" s="2">
        <v>551219000</v>
      </c>
      <c r="K94" s="7"/>
      <c r="L94" s="7"/>
      <c r="M94" s="7"/>
      <c r="N94" s="7"/>
      <c r="O94" s="21">
        <f t="shared" si="2"/>
        <v>0</v>
      </c>
      <c r="P94" s="7"/>
      <c r="Q94" s="11"/>
      <c r="R94" s="11"/>
      <c r="S94" s="11"/>
      <c r="T94" s="11"/>
      <c r="U94" s="11"/>
      <c r="V94" s="25">
        <f>IF($G$8="",テーブル1[[#This Row],[幅]]*テーブル1[[#This Row],[長さ]],テーブル1[[#This Row],[幅]]*テーブル1[[#This Row],[長さ]]*$G$8)</f>
        <v>0</v>
      </c>
      <c r="W94" s="25" t="str">
        <f>IF(テーブル1[[#This Row],[幅]]=0,"",テーブル1[[#This Row],[KG合計]]/テーブル1[[#This Row],[SM]]*1000)</f>
        <v/>
      </c>
      <c r="X94" s="25">
        <f>IF(テーブル1[[#This Row],[g/SM]]="",テーブル1[[#This Row],[長さ]]*テーブル1[[#This Row],[g/M]]/1000,テーブル1[[#This Row],[SM]]*テーブル1[[#This Row],[g/SM]]/1000)</f>
        <v>0</v>
      </c>
      <c r="Y94" s="25"/>
      <c r="Z94" s="25">
        <f>SUM(テーブル1[[#This Row],[KG(目付)]:[KG]])</f>
        <v>0</v>
      </c>
      <c r="AA94" s="11"/>
      <c r="AB94" s="11"/>
      <c r="AC94" s="24">
        <f>$G$7*(テーブル1[[#This Row],[金額]]*$G$6)</f>
        <v>0</v>
      </c>
    </row>
    <row r="95" spans="1:29" ht="39.950000000000003" customHeight="1">
      <c r="A95" s="1">
        <v>1511</v>
      </c>
      <c r="B95" s="2">
        <v>551511000</v>
      </c>
      <c r="K95" s="7"/>
      <c r="L95" s="7"/>
      <c r="M95" s="7"/>
      <c r="N95" s="7"/>
      <c r="O95" s="21">
        <f t="shared" si="2"/>
        <v>0</v>
      </c>
      <c r="P95" s="7"/>
      <c r="Q95" s="11"/>
      <c r="R95" s="11"/>
      <c r="S95" s="11"/>
      <c r="T95" s="11"/>
      <c r="U95" s="11"/>
      <c r="V95" s="25">
        <f>IF($G$8="",テーブル1[[#This Row],[幅]]*テーブル1[[#This Row],[長さ]],テーブル1[[#This Row],[幅]]*テーブル1[[#This Row],[長さ]]*$G$8)</f>
        <v>0</v>
      </c>
      <c r="W95" s="25" t="str">
        <f>IF(テーブル1[[#This Row],[幅]]=0,"",テーブル1[[#This Row],[KG合計]]/テーブル1[[#This Row],[SM]]*1000)</f>
        <v/>
      </c>
      <c r="X95" s="25">
        <f>IF(テーブル1[[#This Row],[g/SM]]="",テーブル1[[#This Row],[長さ]]*テーブル1[[#This Row],[g/M]]/1000,テーブル1[[#This Row],[SM]]*テーブル1[[#This Row],[g/SM]]/1000)</f>
        <v>0</v>
      </c>
      <c r="Y95" s="25"/>
      <c r="Z95" s="25">
        <f>SUM(テーブル1[[#This Row],[KG(目付)]:[KG]])</f>
        <v>0</v>
      </c>
      <c r="AA95" s="11"/>
      <c r="AB95" s="11"/>
      <c r="AC95" s="24">
        <f>$G$7*(テーブル1[[#This Row],[金額]]*$G$6)</f>
        <v>0</v>
      </c>
    </row>
    <row r="96" spans="1:29" ht="39.950000000000003" customHeight="1">
      <c r="A96" s="1">
        <v>1512</v>
      </c>
      <c r="B96" s="2">
        <v>551512000</v>
      </c>
      <c r="K96" s="7"/>
      <c r="L96" s="7"/>
      <c r="M96" s="7"/>
      <c r="N96" s="7"/>
      <c r="O96" s="21">
        <f t="shared" si="2"/>
        <v>0</v>
      </c>
      <c r="P96" s="7"/>
      <c r="Q96" s="11"/>
      <c r="R96" s="11"/>
      <c r="S96" s="11"/>
      <c r="T96" s="11"/>
      <c r="U96" s="11"/>
      <c r="V96" s="25">
        <f>IF($G$8="",テーブル1[[#This Row],[幅]]*テーブル1[[#This Row],[長さ]],テーブル1[[#This Row],[幅]]*テーブル1[[#This Row],[長さ]]*$G$8)</f>
        <v>0</v>
      </c>
      <c r="W96" s="25" t="str">
        <f>IF(テーブル1[[#This Row],[幅]]=0,"",テーブル1[[#This Row],[KG合計]]/テーブル1[[#This Row],[SM]]*1000)</f>
        <v/>
      </c>
      <c r="X96" s="25">
        <f>IF(テーブル1[[#This Row],[g/SM]]="",テーブル1[[#This Row],[長さ]]*テーブル1[[#This Row],[g/M]]/1000,テーブル1[[#This Row],[SM]]*テーブル1[[#This Row],[g/SM]]/1000)</f>
        <v>0</v>
      </c>
      <c r="Y96" s="25"/>
      <c r="Z96" s="25">
        <f>SUM(テーブル1[[#This Row],[KG(目付)]:[KG]])</f>
        <v>0</v>
      </c>
      <c r="AA96" s="11"/>
      <c r="AB96" s="11"/>
      <c r="AC96" s="24">
        <f>$G$7*(テーブル1[[#This Row],[金額]]*$G$6)</f>
        <v>0</v>
      </c>
    </row>
    <row r="97" spans="1:29" ht="39.950000000000003" customHeight="1">
      <c r="A97" s="1">
        <v>1513</v>
      </c>
      <c r="B97" s="2">
        <v>551513000</v>
      </c>
      <c r="K97" s="7"/>
      <c r="L97" s="7"/>
      <c r="M97" s="7"/>
      <c r="N97" s="7"/>
      <c r="O97" s="21">
        <f t="shared" si="2"/>
        <v>0</v>
      </c>
      <c r="P97" s="7"/>
      <c r="Q97" s="11"/>
      <c r="R97" s="11"/>
      <c r="S97" s="11"/>
      <c r="T97" s="11"/>
      <c r="U97" s="11"/>
      <c r="V97" s="25">
        <f>IF($G$8="",テーブル1[[#This Row],[幅]]*テーブル1[[#This Row],[長さ]],テーブル1[[#This Row],[幅]]*テーブル1[[#This Row],[長さ]]*$G$8)</f>
        <v>0</v>
      </c>
      <c r="W97" s="25" t="str">
        <f>IF(テーブル1[[#This Row],[幅]]=0,"",テーブル1[[#This Row],[KG合計]]/テーブル1[[#This Row],[SM]]*1000)</f>
        <v/>
      </c>
      <c r="X97" s="25">
        <f>IF(テーブル1[[#This Row],[g/SM]]="",テーブル1[[#This Row],[長さ]]*テーブル1[[#This Row],[g/M]]/1000,テーブル1[[#This Row],[SM]]*テーブル1[[#This Row],[g/SM]]/1000)</f>
        <v>0</v>
      </c>
      <c r="Y97" s="25"/>
      <c r="Z97" s="25">
        <f>SUM(テーブル1[[#This Row],[KG(目付)]:[KG]])</f>
        <v>0</v>
      </c>
      <c r="AA97" s="11"/>
      <c r="AB97" s="11"/>
      <c r="AC97" s="24">
        <f>$G$7*(テーブル1[[#This Row],[金額]]*$G$6)</f>
        <v>0</v>
      </c>
    </row>
    <row r="98" spans="1:29" ht="39.950000000000003" customHeight="1">
      <c r="A98" s="1">
        <v>6111</v>
      </c>
      <c r="B98" s="2">
        <v>540761110</v>
      </c>
      <c r="K98" s="7"/>
      <c r="L98" s="7"/>
      <c r="M98" s="7"/>
      <c r="N98" s="7"/>
      <c r="O98" s="21">
        <f t="shared" si="2"/>
        <v>0</v>
      </c>
      <c r="P98" s="7"/>
      <c r="Q98" s="11"/>
      <c r="R98" s="11"/>
      <c r="S98" s="11"/>
      <c r="T98" s="11"/>
      <c r="U98" s="11"/>
      <c r="V98" s="25">
        <f>IF($G$8="",テーブル1[[#This Row],[幅]]*テーブル1[[#This Row],[長さ]],テーブル1[[#This Row],[幅]]*テーブル1[[#This Row],[長さ]]*$G$8)</f>
        <v>0</v>
      </c>
      <c r="W98" s="25" t="str">
        <f>IF(テーブル1[[#This Row],[幅]]=0,"",テーブル1[[#This Row],[KG合計]]/テーブル1[[#This Row],[SM]]*1000)</f>
        <v/>
      </c>
      <c r="X98" s="25">
        <f>IF(テーブル1[[#This Row],[g/SM]]="",テーブル1[[#This Row],[長さ]]*テーブル1[[#This Row],[g/M]]/1000,テーブル1[[#This Row],[SM]]*テーブル1[[#This Row],[g/SM]]/1000)</f>
        <v>0</v>
      </c>
      <c r="Y98" s="25"/>
      <c r="Z98" s="25">
        <f>SUM(テーブル1[[#This Row],[KG(目付)]:[KG]])</f>
        <v>0</v>
      </c>
      <c r="AA98" s="11"/>
      <c r="AB98" s="11"/>
      <c r="AC98" s="24">
        <f>$G$7*(テーブル1[[#This Row],[金額]]*$G$6)</f>
        <v>0</v>
      </c>
    </row>
    <row r="99" spans="1:29" ht="39.950000000000003" customHeight="1">
      <c r="A99" s="1">
        <v>6112</v>
      </c>
      <c r="B99" s="2">
        <v>540761120</v>
      </c>
      <c r="K99" s="7"/>
      <c r="L99" s="7"/>
      <c r="M99" s="7"/>
      <c r="N99" s="7"/>
      <c r="O99" s="21">
        <f t="shared" si="2"/>
        <v>0</v>
      </c>
      <c r="P99" s="7"/>
      <c r="Q99" s="11"/>
      <c r="R99" s="11"/>
      <c r="S99" s="11"/>
      <c r="T99" s="11"/>
      <c r="U99" s="11"/>
      <c r="V99" s="25">
        <f>IF($G$8="",テーブル1[[#This Row],[幅]]*テーブル1[[#This Row],[長さ]],テーブル1[[#This Row],[幅]]*テーブル1[[#This Row],[長さ]]*$G$8)</f>
        <v>0</v>
      </c>
      <c r="W99" s="25" t="str">
        <f>IF(テーブル1[[#This Row],[幅]]=0,"",テーブル1[[#This Row],[KG合計]]/テーブル1[[#This Row],[SM]]*1000)</f>
        <v/>
      </c>
      <c r="X99" s="25">
        <f>IF(テーブル1[[#This Row],[g/SM]]="",テーブル1[[#This Row],[長さ]]*テーブル1[[#This Row],[g/M]]/1000,テーブル1[[#This Row],[SM]]*テーブル1[[#This Row],[g/SM]]/1000)</f>
        <v>0</v>
      </c>
      <c r="Y99" s="25"/>
      <c r="Z99" s="25">
        <f>SUM(テーブル1[[#This Row],[KG(目付)]:[KG]])</f>
        <v>0</v>
      </c>
      <c r="AA99" s="11"/>
      <c r="AB99" s="11"/>
      <c r="AC99" s="24">
        <f>$G$7*(テーブル1[[#This Row],[金額]]*$G$6)</f>
        <v>0</v>
      </c>
    </row>
    <row r="100" spans="1:29" ht="39.950000000000003" customHeight="1">
      <c r="A100" s="1">
        <v>6119</v>
      </c>
      <c r="B100" s="2">
        <v>540761190</v>
      </c>
      <c r="K100" s="7"/>
      <c r="L100" s="7"/>
      <c r="M100" s="7"/>
      <c r="N100" s="7"/>
      <c r="O100" s="21">
        <f t="shared" si="2"/>
        <v>0</v>
      </c>
      <c r="P100" s="7"/>
      <c r="Q100" s="11"/>
      <c r="R100" s="11"/>
      <c r="S100" s="11"/>
      <c r="T100" s="11"/>
      <c r="U100" s="11"/>
      <c r="V100" s="25">
        <f>IF($G$8="",テーブル1[[#This Row],[幅]]*テーブル1[[#This Row],[長さ]],テーブル1[[#This Row],[幅]]*テーブル1[[#This Row],[長さ]]*$G$8)</f>
        <v>0</v>
      </c>
      <c r="W100" s="25" t="str">
        <f>IF(テーブル1[[#This Row],[幅]]=0,"",テーブル1[[#This Row],[KG合計]]/テーブル1[[#This Row],[SM]]*1000)</f>
        <v/>
      </c>
      <c r="X100" s="25">
        <f>IF(テーブル1[[#This Row],[g/SM]]="",テーブル1[[#This Row],[長さ]]*テーブル1[[#This Row],[g/M]]/1000,テーブル1[[#This Row],[SM]]*テーブル1[[#This Row],[g/SM]]/1000)</f>
        <v>0</v>
      </c>
      <c r="Y100" s="25"/>
      <c r="Z100" s="25">
        <f>SUM(テーブル1[[#This Row],[KG(目付)]:[KG]])</f>
        <v>0</v>
      </c>
      <c r="AA100" s="11"/>
      <c r="AB100" s="11"/>
      <c r="AC100" s="24">
        <f>$G$7*(テーブル1[[#This Row],[金額]]*$G$6)</f>
        <v>0</v>
      </c>
    </row>
    <row r="101" spans="1:29" ht="39.950000000000003" customHeight="1">
      <c r="A101" s="1">
        <v>6121</v>
      </c>
      <c r="B101" s="2">
        <v>540761210</v>
      </c>
      <c r="K101" s="7"/>
      <c r="L101" s="7"/>
      <c r="M101" s="7"/>
      <c r="N101" s="7"/>
      <c r="O101" s="21">
        <f t="shared" si="2"/>
        <v>0</v>
      </c>
      <c r="P101" s="7"/>
      <c r="Q101" s="11"/>
      <c r="R101" s="11"/>
      <c r="S101" s="11"/>
      <c r="T101" s="11"/>
      <c r="U101" s="11"/>
      <c r="V101" s="25">
        <f>IF($G$8="",テーブル1[[#This Row],[幅]]*テーブル1[[#This Row],[長さ]],テーブル1[[#This Row],[幅]]*テーブル1[[#This Row],[長さ]]*$G$8)</f>
        <v>0</v>
      </c>
      <c r="W101" s="25" t="str">
        <f>IF(テーブル1[[#This Row],[幅]]=0,"",テーブル1[[#This Row],[KG合計]]/テーブル1[[#This Row],[SM]]*1000)</f>
        <v/>
      </c>
      <c r="X101" s="25">
        <f>IF(テーブル1[[#This Row],[g/SM]]="",テーブル1[[#This Row],[長さ]]*テーブル1[[#This Row],[g/M]]/1000,テーブル1[[#This Row],[SM]]*テーブル1[[#This Row],[g/SM]]/1000)</f>
        <v>0</v>
      </c>
      <c r="Y101" s="25"/>
      <c r="Z101" s="25">
        <f>SUM(テーブル1[[#This Row],[KG(目付)]:[KG]])</f>
        <v>0</v>
      </c>
      <c r="AA101" s="11"/>
      <c r="AB101" s="11"/>
      <c r="AC101" s="24">
        <f>$G$7*(テーブル1[[#This Row],[金額]]*$G$6)</f>
        <v>0</v>
      </c>
    </row>
    <row r="102" spans="1:29" ht="39.950000000000003" customHeight="1">
      <c r="A102" s="1">
        <v>6122</v>
      </c>
      <c r="B102" s="2">
        <v>540761220</v>
      </c>
      <c r="K102" s="7"/>
      <c r="L102" s="7"/>
      <c r="M102" s="7"/>
      <c r="N102" s="7"/>
      <c r="O102" s="21">
        <f t="shared" si="2"/>
        <v>0</v>
      </c>
      <c r="P102" s="7"/>
      <c r="Q102" s="11"/>
      <c r="R102" s="11"/>
      <c r="S102" s="11"/>
      <c r="T102" s="11"/>
      <c r="U102" s="11"/>
      <c r="V102" s="25">
        <f>IF($G$8="",テーブル1[[#This Row],[幅]]*テーブル1[[#This Row],[長さ]],テーブル1[[#This Row],[幅]]*テーブル1[[#This Row],[長さ]]*$G$8)</f>
        <v>0</v>
      </c>
      <c r="W102" s="25" t="str">
        <f>IF(テーブル1[[#This Row],[幅]]=0,"",テーブル1[[#This Row],[KG合計]]/テーブル1[[#This Row],[SM]]*1000)</f>
        <v/>
      </c>
      <c r="X102" s="25">
        <f>IF(テーブル1[[#This Row],[g/SM]]="",テーブル1[[#This Row],[長さ]]*テーブル1[[#This Row],[g/M]]/1000,テーブル1[[#This Row],[SM]]*テーブル1[[#This Row],[g/SM]]/1000)</f>
        <v>0</v>
      </c>
      <c r="Y102" s="25"/>
      <c r="Z102" s="25">
        <f>SUM(テーブル1[[#This Row],[KG(目付)]:[KG]])</f>
        <v>0</v>
      </c>
      <c r="AA102" s="11"/>
      <c r="AB102" s="11"/>
      <c r="AC102" s="24">
        <f>$G$7*(テーブル1[[#This Row],[金額]]*$G$6)</f>
        <v>0</v>
      </c>
    </row>
    <row r="103" spans="1:29" ht="39.950000000000003" customHeight="1">
      <c r="A103" s="1">
        <v>6129</v>
      </c>
      <c r="B103" s="2">
        <v>540761290</v>
      </c>
      <c r="K103" s="7"/>
      <c r="L103" s="7"/>
      <c r="M103" s="7"/>
      <c r="N103" s="7"/>
      <c r="O103" s="21">
        <f t="shared" si="2"/>
        <v>0</v>
      </c>
      <c r="P103" s="7"/>
      <c r="Q103" s="11"/>
      <c r="R103" s="11"/>
      <c r="S103" s="11"/>
      <c r="T103" s="11"/>
      <c r="U103" s="11"/>
      <c r="V103" s="25">
        <f>IF($G$8="",テーブル1[[#This Row],[幅]]*テーブル1[[#This Row],[長さ]],テーブル1[[#This Row],[幅]]*テーブル1[[#This Row],[長さ]]*$G$8)</f>
        <v>0</v>
      </c>
      <c r="W103" s="25" t="str">
        <f>IF(テーブル1[[#This Row],[幅]]=0,"",テーブル1[[#This Row],[KG合計]]/テーブル1[[#This Row],[SM]]*1000)</f>
        <v/>
      </c>
      <c r="X103" s="25">
        <f>IF(テーブル1[[#This Row],[g/SM]]="",テーブル1[[#This Row],[長さ]]*テーブル1[[#This Row],[g/M]]/1000,テーブル1[[#This Row],[SM]]*テーブル1[[#This Row],[g/SM]]/1000)</f>
        <v>0</v>
      </c>
      <c r="Y103" s="25"/>
      <c r="Z103" s="25">
        <f>SUM(テーブル1[[#This Row],[KG(目付)]:[KG]])</f>
        <v>0</v>
      </c>
      <c r="AA103" s="11"/>
      <c r="AB103" s="11"/>
      <c r="AC103" s="24">
        <f>$G$7*(テーブル1[[#This Row],[金額]]*$G$6)</f>
        <v>0</v>
      </c>
    </row>
    <row r="104" spans="1:29" ht="39.950000000000003" customHeight="1">
      <c r="A104" s="1">
        <v>6131</v>
      </c>
      <c r="B104" s="2">
        <v>540761310</v>
      </c>
      <c r="K104" s="7"/>
      <c r="L104" s="7"/>
      <c r="M104" s="7"/>
      <c r="N104" s="7"/>
      <c r="O104" s="21">
        <f t="shared" si="2"/>
        <v>0</v>
      </c>
      <c r="P104" s="7"/>
      <c r="Q104" s="11"/>
      <c r="R104" s="11"/>
      <c r="S104" s="11"/>
      <c r="T104" s="11"/>
      <c r="U104" s="11"/>
      <c r="V104" s="25">
        <f>IF($G$8="",テーブル1[[#This Row],[幅]]*テーブル1[[#This Row],[長さ]],テーブル1[[#This Row],[幅]]*テーブル1[[#This Row],[長さ]]*$G$8)</f>
        <v>0</v>
      </c>
      <c r="W104" s="25" t="str">
        <f>IF(テーブル1[[#This Row],[幅]]=0,"",テーブル1[[#This Row],[KG合計]]/テーブル1[[#This Row],[SM]]*1000)</f>
        <v/>
      </c>
      <c r="X104" s="25">
        <f>IF(テーブル1[[#This Row],[g/SM]]="",テーブル1[[#This Row],[長さ]]*テーブル1[[#This Row],[g/M]]/1000,テーブル1[[#This Row],[SM]]*テーブル1[[#This Row],[g/SM]]/1000)</f>
        <v>0</v>
      </c>
      <c r="Y104" s="25"/>
      <c r="Z104" s="25">
        <f>SUM(テーブル1[[#This Row],[KG(目付)]:[KG]])</f>
        <v>0</v>
      </c>
      <c r="AA104" s="11"/>
      <c r="AB104" s="11"/>
      <c r="AC104" s="24">
        <f>$G$7*(テーブル1[[#This Row],[金額]]*$G$6)</f>
        <v>0</v>
      </c>
    </row>
    <row r="105" spans="1:29" ht="39.950000000000003" customHeight="1">
      <c r="A105" s="1">
        <v>6132</v>
      </c>
      <c r="B105" s="2">
        <v>540761320</v>
      </c>
      <c r="K105" s="7"/>
      <c r="L105" s="7"/>
      <c r="M105" s="7"/>
      <c r="N105" s="7"/>
      <c r="O105" s="21">
        <f t="shared" si="2"/>
        <v>0</v>
      </c>
      <c r="P105" s="7"/>
      <c r="Q105" s="11"/>
      <c r="R105" s="11"/>
      <c r="S105" s="11"/>
      <c r="T105" s="11"/>
      <c r="U105" s="11"/>
      <c r="V105" s="25">
        <f>IF($G$8="",テーブル1[[#This Row],[幅]]*テーブル1[[#This Row],[長さ]],テーブル1[[#This Row],[幅]]*テーブル1[[#This Row],[長さ]]*$G$8)</f>
        <v>0</v>
      </c>
      <c r="W105" s="25" t="str">
        <f>IF(テーブル1[[#This Row],[幅]]=0,"",テーブル1[[#This Row],[KG合計]]/テーブル1[[#This Row],[SM]]*1000)</f>
        <v/>
      </c>
      <c r="X105" s="25">
        <f>IF(テーブル1[[#This Row],[g/SM]]="",テーブル1[[#This Row],[長さ]]*テーブル1[[#This Row],[g/M]]/1000,テーブル1[[#This Row],[SM]]*テーブル1[[#This Row],[g/SM]]/1000)</f>
        <v>0</v>
      </c>
      <c r="Y105" s="25"/>
      <c r="Z105" s="25">
        <f>SUM(テーブル1[[#This Row],[KG(目付)]:[KG]])</f>
        <v>0</v>
      </c>
      <c r="AA105" s="11"/>
      <c r="AB105" s="11"/>
      <c r="AC105" s="24">
        <f>$G$7*(テーブル1[[#This Row],[金額]]*$G$6)</f>
        <v>0</v>
      </c>
    </row>
    <row r="106" spans="1:29" ht="39.950000000000003" customHeight="1">
      <c r="A106" s="1">
        <v>6139</v>
      </c>
      <c r="B106" s="2">
        <v>540761390</v>
      </c>
      <c r="K106" s="7"/>
      <c r="L106" s="7"/>
      <c r="M106" s="7"/>
      <c r="N106" s="7"/>
      <c r="O106" s="21">
        <f t="shared" si="2"/>
        <v>0</v>
      </c>
      <c r="P106" s="7"/>
      <c r="Q106" s="11"/>
      <c r="R106" s="11"/>
      <c r="S106" s="11"/>
      <c r="T106" s="11"/>
      <c r="U106" s="11"/>
      <c r="V106" s="25">
        <f>IF($G$8="",テーブル1[[#This Row],[幅]]*テーブル1[[#This Row],[長さ]],テーブル1[[#This Row],[幅]]*テーブル1[[#This Row],[長さ]]*$G$8)</f>
        <v>0</v>
      </c>
      <c r="W106" s="25" t="str">
        <f>IF(テーブル1[[#This Row],[幅]]=0,"",テーブル1[[#This Row],[KG合計]]/テーブル1[[#This Row],[SM]]*1000)</f>
        <v/>
      </c>
      <c r="X106" s="25">
        <f>IF(テーブル1[[#This Row],[g/SM]]="",テーブル1[[#This Row],[長さ]]*テーブル1[[#This Row],[g/M]]/1000,テーブル1[[#This Row],[SM]]*テーブル1[[#This Row],[g/SM]]/1000)</f>
        <v>0</v>
      </c>
      <c r="Y106" s="25"/>
      <c r="Z106" s="25">
        <f>SUM(テーブル1[[#This Row],[KG(目付)]:[KG]])</f>
        <v>0</v>
      </c>
      <c r="AA106" s="11"/>
      <c r="AB106" s="11"/>
      <c r="AC106" s="24">
        <f>$G$7*(テーブル1[[#This Row],[金額]]*$G$6)</f>
        <v>0</v>
      </c>
    </row>
    <row r="107" spans="1:29" ht="39.950000000000003" customHeight="1">
      <c r="A107" s="1">
        <v>6141</v>
      </c>
      <c r="B107" s="2">
        <v>540761410</v>
      </c>
      <c r="K107" s="7"/>
      <c r="L107" s="7"/>
      <c r="M107" s="7"/>
      <c r="N107" s="7"/>
      <c r="O107" s="21">
        <f t="shared" si="2"/>
        <v>0</v>
      </c>
      <c r="P107" s="7"/>
      <c r="Q107" s="11"/>
      <c r="R107" s="11"/>
      <c r="S107" s="11"/>
      <c r="T107" s="11"/>
      <c r="U107" s="11"/>
      <c r="V107" s="25">
        <f>IF($G$8="",テーブル1[[#This Row],[幅]]*テーブル1[[#This Row],[長さ]],テーブル1[[#This Row],[幅]]*テーブル1[[#This Row],[長さ]]*$G$8)</f>
        <v>0</v>
      </c>
      <c r="W107" s="25" t="str">
        <f>IF(テーブル1[[#This Row],[幅]]=0,"",テーブル1[[#This Row],[KG合計]]/テーブル1[[#This Row],[SM]]*1000)</f>
        <v/>
      </c>
      <c r="X107" s="25">
        <f>IF(テーブル1[[#This Row],[g/SM]]="",テーブル1[[#This Row],[長さ]]*テーブル1[[#This Row],[g/M]]/1000,テーブル1[[#This Row],[SM]]*テーブル1[[#This Row],[g/SM]]/1000)</f>
        <v>0</v>
      </c>
      <c r="Y107" s="25"/>
      <c r="Z107" s="25">
        <f>SUM(テーブル1[[#This Row],[KG(目付)]:[KG]])</f>
        <v>0</v>
      </c>
      <c r="AA107" s="11"/>
      <c r="AB107" s="11"/>
      <c r="AC107" s="24">
        <f>$G$7*(テーブル1[[#This Row],[金額]]*$G$6)</f>
        <v>0</v>
      </c>
    </row>
    <row r="108" spans="1:29" ht="39.950000000000003" customHeight="1">
      <c r="A108" s="1">
        <v>6142</v>
      </c>
      <c r="B108" s="2">
        <v>540761420</v>
      </c>
      <c r="K108" s="7"/>
      <c r="L108" s="7"/>
      <c r="M108" s="7"/>
      <c r="N108" s="7"/>
      <c r="O108" s="21">
        <f t="shared" si="2"/>
        <v>0</v>
      </c>
      <c r="P108" s="7"/>
      <c r="Q108" s="11"/>
      <c r="R108" s="11"/>
      <c r="S108" s="11"/>
      <c r="T108" s="11"/>
      <c r="U108" s="11"/>
      <c r="V108" s="25">
        <f>IF($G$8="",テーブル1[[#This Row],[幅]]*テーブル1[[#This Row],[長さ]],テーブル1[[#This Row],[幅]]*テーブル1[[#This Row],[長さ]]*$G$8)</f>
        <v>0</v>
      </c>
      <c r="W108" s="25" t="str">
        <f>IF(テーブル1[[#This Row],[幅]]=0,"",テーブル1[[#This Row],[KG合計]]/テーブル1[[#This Row],[SM]]*1000)</f>
        <v/>
      </c>
      <c r="X108" s="25">
        <f>IF(テーブル1[[#This Row],[g/SM]]="",テーブル1[[#This Row],[長さ]]*テーブル1[[#This Row],[g/M]]/1000,テーブル1[[#This Row],[SM]]*テーブル1[[#This Row],[g/SM]]/1000)</f>
        <v>0</v>
      </c>
      <c r="Y108" s="25"/>
      <c r="Z108" s="25">
        <f>SUM(テーブル1[[#This Row],[KG(目付)]:[KG]])</f>
        <v>0</v>
      </c>
      <c r="AA108" s="11"/>
      <c r="AB108" s="11"/>
      <c r="AC108" s="24">
        <f>$G$7*(テーブル1[[#This Row],[金額]]*$G$6)</f>
        <v>0</v>
      </c>
    </row>
    <row r="109" spans="1:29" ht="39.950000000000003" customHeight="1">
      <c r="A109" s="1">
        <v>6149</v>
      </c>
      <c r="B109" s="2">
        <v>540761490</v>
      </c>
      <c r="K109" s="7"/>
      <c r="L109" s="7"/>
      <c r="M109" s="7"/>
      <c r="N109" s="7"/>
      <c r="O109" s="21">
        <f t="shared" si="2"/>
        <v>0</v>
      </c>
      <c r="P109" s="7"/>
      <c r="Q109" s="11"/>
      <c r="R109" s="11"/>
      <c r="S109" s="11"/>
      <c r="T109" s="11"/>
      <c r="U109" s="11"/>
      <c r="V109" s="25">
        <f>IF($G$8="",テーブル1[[#This Row],[幅]]*テーブル1[[#This Row],[長さ]],テーブル1[[#This Row],[幅]]*テーブル1[[#This Row],[長さ]]*$G$8)</f>
        <v>0</v>
      </c>
      <c r="W109" s="25" t="str">
        <f>IF(テーブル1[[#This Row],[幅]]=0,"",テーブル1[[#This Row],[KG合計]]/テーブル1[[#This Row],[SM]]*1000)</f>
        <v/>
      </c>
      <c r="X109" s="25">
        <f>IF(テーブル1[[#This Row],[g/SM]]="",テーブル1[[#This Row],[長さ]]*テーブル1[[#This Row],[g/M]]/1000,テーブル1[[#This Row],[SM]]*テーブル1[[#This Row],[g/SM]]/1000)</f>
        <v>0</v>
      </c>
      <c r="Y109" s="25"/>
      <c r="Z109" s="25">
        <f>SUM(テーブル1[[#This Row],[KG(目付)]:[KG]])</f>
        <v>0</v>
      </c>
      <c r="AA109" s="11"/>
      <c r="AB109" s="11"/>
      <c r="AC109" s="24">
        <f>$G$7*(テーブル1[[#This Row],[金額]]*$G$6)</f>
        <v>0</v>
      </c>
    </row>
    <row r="110" spans="1:29" ht="39.950000000000003" customHeight="1">
      <c r="A110" s="1">
        <v>4110</v>
      </c>
      <c r="B110" s="2">
        <v>540741100</v>
      </c>
      <c r="K110" s="7"/>
      <c r="L110" s="7"/>
      <c r="M110" s="7"/>
      <c r="N110" s="7"/>
      <c r="O110" s="21">
        <f t="shared" si="2"/>
        <v>0</v>
      </c>
      <c r="P110" s="7"/>
      <c r="Q110" s="11"/>
      <c r="R110" s="11"/>
      <c r="S110" s="11"/>
      <c r="T110" s="11"/>
      <c r="U110" s="11"/>
      <c r="V110" s="25">
        <f>IF($G$8="",テーブル1[[#This Row],[幅]]*テーブル1[[#This Row],[長さ]],テーブル1[[#This Row],[幅]]*テーブル1[[#This Row],[長さ]]*$G$8)</f>
        <v>0</v>
      </c>
      <c r="W110" s="25" t="str">
        <f>IF(テーブル1[[#This Row],[幅]]=0,"",テーブル1[[#This Row],[KG合計]]/テーブル1[[#This Row],[SM]]*1000)</f>
        <v/>
      </c>
      <c r="X110" s="25">
        <f>IF(テーブル1[[#This Row],[g/SM]]="",テーブル1[[#This Row],[長さ]]*テーブル1[[#This Row],[g/M]]/1000,テーブル1[[#This Row],[SM]]*テーブル1[[#This Row],[g/SM]]/1000)</f>
        <v>0</v>
      </c>
      <c r="Y110" s="25"/>
      <c r="Z110" s="25">
        <f>SUM(テーブル1[[#This Row],[KG(目付)]:[KG]])</f>
        <v>0</v>
      </c>
      <c r="AA110" s="11"/>
      <c r="AB110" s="11"/>
      <c r="AC110" s="24">
        <f>$G$7*(テーブル1[[#This Row],[金額]]*$G$6)</f>
        <v>0</v>
      </c>
    </row>
    <row r="111" spans="1:29" ht="39.950000000000003" customHeight="1">
      <c r="A111" s="1">
        <v>4190</v>
      </c>
      <c r="B111" s="2">
        <v>540741900</v>
      </c>
      <c r="K111" s="7"/>
      <c r="L111" s="7"/>
      <c r="M111" s="7"/>
      <c r="N111" s="7"/>
      <c r="O111" s="21">
        <f t="shared" si="2"/>
        <v>0</v>
      </c>
      <c r="P111" s="7"/>
      <c r="Q111" s="11"/>
      <c r="R111" s="11"/>
      <c r="S111" s="11"/>
      <c r="T111" s="11"/>
      <c r="U111" s="11"/>
      <c r="V111" s="25">
        <f>IF($G$8="",テーブル1[[#This Row],[幅]]*テーブル1[[#This Row],[長さ]],テーブル1[[#This Row],[幅]]*テーブル1[[#This Row],[長さ]]*$G$8)</f>
        <v>0</v>
      </c>
      <c r="W111" s="25" t="str">
        <f>IF(テーブル1[[#This Row],[幅]]=0,"",テーブル1[[#This Row],[KG合計]]/テーブル1[[#This Row],[SM]]*1000)</f>
        <v/>
      </c>
      <c r="X111" s="25">
        <f>IF(テーブル1[[#This Row],[g/SM]]="",テーブル1[[#This Row],[長さ]]*テーブル1[[#This Row],[g/M]]/1000,テーブル1[[#This Row],[SM]]*テーブル1[[#This Row],[g/SM]]/1000)</f>
        <v>0</v>
      </c>
      <c r="Y111" s="25"/>
      <c r="Z111" s="25">
        <f>SUM(テーブル1[[#This Row],[KG(目付)]:[KG]])</f>
        <v>0</v>
      </c>
      <c r="AA111" s="11"/>
      <c r="AB111" s="11"/>
      <c r="AC111" s="24">
        <f>$G$7*(テーブル1[[#This Row],[金額]]*$G$6)</f>
        <v>0</v>
      </c>
    </row>
    <row r="112" spans="1:29" ht="39.950000000000003" customHeight="1">
      <c r="A112" s="1">
        <v>4210</v>
      </c>
      <c r="B112" s="2">
        <v>540742100</v>
      </c>
      <c r="K112" s="7"/>
      <c r="L112" s="7"/>
      <c r="M112" s="7"/>
      <c r="N112" s="7"/>
      <c r="O112" s="21">
        <f t="shared" si="2"/>
        <v>0</v>
      </c>
      <c r="P112" s="7"/>
      <c r="Q112" s="11"/>
      <c r="R112" s="11"/>
      <c r="S112" s="11"/>
      <c r="T112" s="11"/>
      <c r="U112" s="11"/>
      <c r="V112" s="25">
        <f>IF($G$8="",テーブル1[[#This Row],[幅]]*テーブル1[[#This Row],[長さ]],テーブル1[[#This Row],[幅]]*テーブル1[[#This Row],[長さ]]*$G$8)</f>
        <v>0</v>
      </c>
      <c r="W112" s="25" t="str">
        <f>IF(テーブル1[[#This Row],[幅]]=0,"",テーブル1[[#This Row],[KG合計]]/テーブル1[[#This Row],[SM]]*1000)</f>
        <v/>
      </c>
      <c r="X112" s="25">
        <f>IF(テーブル1[[#This Row],[g/SM]]="",テーブル1[[#This Row],[長さ]]*テーブル1[[#This Row],[g/M]]/1000,テーブル1[[#This Row],[SM]]*テーブル1[[#This Row],[g/SM]]/1000)</f>
        <v>0</v>
      </c>
      <c r="Y112" s="25"/>
      <c r="Z112" s="25">
        <f>SUM(テーブル1[[#This Row],[KG(目付)]:[KG]])</f>
        <v>0</v>
      </c>
      <c r="AA112" s="11"/>
      <c r="AB112" s="11"/>
      <c r="AC112" s="24">
        <f>$G$7*(テーブル1[[#This Row],[金額]]*$G$6)</f>
        <v>0</v>
      </c>
    </row>
    <row r="113" spans="1:29" ht="39.950000000000003" customHeight="1">
      <c r="A113" s="1">
        <v>4290</v>
      </c>
      <c r="B113" s="2">
        <v>540742900</v>
      </c>
      <c r="K113" s="7"/>
      <c r="L113" s="7"/>
      <c r="M113" s="7"/>
      <c r="N113" s="7"/>
      <c r="O113" s="21">
        <f t="shared" si="2"/>
        <v>0</v>
      </c>
      <c r="P113" s="7"/>
      <c r="Q113" s="11"/>
      <c r="R113" s="11"/>
      <c r="S113" s="11"/>
      <c r="T113" s="11"/>
      <c r="U113" s="11"/>
      <c r="V113" s="25">
        <f>IF($G$8="",テーブル1[[#This Row],[幅]]*テーブル1[[#This Row],[長さ]],テーブル1[[#This Row],[幅]]*テーブル1[[#This Row],[長さ]]*$G$8)</f>
        <v>0</v>
      </c>
      <c r="W113" s="25" t="str">
        <f>IF(テーブル1[[#This Row],[幅]]=0,"",テーブル1[[#This Row],[KG合計]]/テーブル1[[#This Row],[SM]]*1000)</f>
        <v/>
      </c>
      <c r="X113" s="25">
        <f>IF(テーブル1[[#This Row],[g/SM]]="",テーブル1[[#This Row],[長さ]]*テーブル1[[#This Row],[g/M]]/1000,テーブル1[[#This Row],[SM]]*テーブル1[[#This Row],[g/SM]]/1000)</f>
        <v>0</v>
      </c>
      <c r="Y113" s="25"/>
      <c r="Z113" s="25">
        <f>SUM(テーブル1[[#This Row],[KG(目付)]:[KG]])</f>
        <v>0</v>
      </c>
      <c r="AA113" s="11"/>
      <c r="AB113" s="11"/>
      <c r="AC113" s="24">
        <f>$G$7*(テーブル1[[#This Row],[金額]]*$G$6)</f>
        <v>0</v>
      </c>
    </row>
    <row r="114" spans="1:29" ht="39.950000000000003" customHeight="1">
      <c r="A114" s="1">
        <v>4310</v>
      </c>
      <c r="B114" s="2">
        <v>540743100</v>
      </c>
      <c r="K114" s="7"/>
      <c r="L114" s="7"/>
      <c r="M114" s="7"/>
      <c r="N114" s="7"/>
      <c r="O114" s="21">
        <f t="shared" si="2"/>
        <v>0</v>
      </c>
      <c r="P114" s="7"/>
      <c r="Q114" s="11"/>
      <c r="R114" s="11"/>
      <c r="S114" s="11"/>
      <c r="T114" s="11"/>
      <c r="U114" s="11"/>
      <c r="V114" s="25">
        <f>IF($G$8="",テーブル1[[#This Row],[幅]]*テーブル1[[#This Row],[長さ]],テーブル1[[#This Row],[幅]]*テーブル1[[#This Row],[長さ]]*$G$8)</f>
        <v>0</v>
      </c>
      <c r="W114" s="25" t="str">
        <f>IF(テーブル1[[#This Row],[幅]]=0,"",テーブル1[[#This Row],[KG合計]]/テーブル1[[#This Row],[SM]]*1000)</f>
        <v/>
      </c>
      <c r="X114" s="25">
        <f>IF(テーブル1[[#This Row],[g/SM]]="",テーブル1[[#This Row],[長さ]]*テーブル1[[#This Row],[g/M]]/1000,テーブル1[[#This Row],[SM]]*テーブル1[[#This Row],[g/SM]]/1000)</f>
        <v>0</v>
      </c>
      <c r="Y114" s="25"/>
      <c r="Z114" s="25">
        <f>SUM(テーブル1[[#This Row],[KG(目付)]:[KG]])</f>
        <v>0</v>
      </c>
      <c r="AA114" s="11"/>
      <c r="AB114" s="11"/>
      <c r="AC114" s="24">
        <f>$G$7*(テーブル1[[#This Row],[金額]]*$G$6)</f>
        <v>0</v>
      </c>
    </row>
    <row r="115" spans="1:29" ht="39.950000000000003" customHeight="1">
      <c r="A115" s="1">
        <v>4390</v>
      </c>
      <c r="B115" s="2">
        <v>540743900</v>
      </c>
      <c r="K115" s="7"/>
      <c r="L115" s="7"/>
      <c r="M115" s="7"/>
      <c r="N115" s="7"/>
      <c r="O115" s="21">
        <f t="shared" si="2"/>
        <v>0</v>
      </c>
      <c r="P115" s="7"/>
      <c r="Q115" s="11"/>
      <c r="R115" s="11"/>
      <c r="S115" s="11"/>
      <c r="T115" s="11"/>
      <c r="U115" s="11"/>
      <c r="V115" s="25">
        <f>IF($G$8="",テーブル1[[#This Row],[幅]]*テーブル1[[#This Row],[長さ]],テーブル1[[#This Row],[幅]]*テーブル1[[#This Row],[長さ]]*$G$8)</f>
        <v>0</v>
      </c>
      <c r="W115" s="25" t="str">
        <f>IF(テーブル1[[#This Row],[幅]]=0,"",テーブル1[[#This Row],[KG合計]]/テーブル1[[#This Row],[SM]]*1000)</f>
        <v/>
      </c>
      <c r="X115" s="25">
        <f>IF(テーブル1[[#This Row],[g/SM]]="",テーブル1[[#This Row],[長さ]]*テーブル1[[#This Row],[g/M]]/1000,テーブル1[[#This Row],[SM]]*テーブル1[[#This Row],[g/SM]]/1000)</f>
        <v>0</v>
      </c>
      <c r="Y115" s="25"/>
      <c r="Z115" s="25">
        <f>SUM(テーブル1[[#This Row],[KG(目付)]:[KG]])</f>
        <v>0</v>
      </c>
      <c r="AA115" s="11"/>
      <c r="AB115" s="11"/>
      <c r="AC115" s="24">
        <f>$G$7*(テーブル1[[#This Row],[金額]]*$G$6)</f>
        <v>0</v>
      </c>
    </row>
    <row r="116" spans="1:29" ht="39.950000000000003" customHeight="1">
      <c r="A116" s="1">
        <v>4410</v>
      </c>
      <c r="B116" s="2">
        <v>540744100</v>
      </c>
      <c r="K116" s="7"/>
      <c r="L116" s="7"/>
      <c r="M116" s="7"/>
      <c r="N116" s="7"/>
      <c r="O116" s="21">
        <f t="shared" si="2"/>
        <v>0</v>
      </c>
      <c r="P116" s="7"/>
      <c r="Q116" s="11"/>
      <c r="R116" s="11"/>
      <c r="S116" s="11"/>
      <c r="T116" s="11"/>
      <c r="U116" s="11"/>
      <c r="V116" s="25">
        <f>IF($G$8="",テーブル1[[#This Row],[幅]]*テーブル1[[#This Row],[長さ]],テーブル1[[#This Row],[幅]]*テーブル1[[#This Row],[長さ]]*$G$8)</f>
        <v>0</v>
      </c>
      <c r="W116" s="25" t="str">
        <f>IF(テーブル1[[#This Row],[幅]]=0,"",テーブル1[[#This Row],[KG合計]]/テーブル1[[#This Row],[SM]]*1000)</f>
        <v/>
      </c>
      <c r="X116" s="25">
        <f>IF(テーブル1[[#This Row],[g/SM]]="",テーブル1[[#This Row],[長さ]]*テーブル1[[#This Row],[g/M]]/1000,テーブル1[[#This Row],[SM]]*テーブル1[[#This Row],[g/SM]]/1000)</f>
        <v>0</v>
      </c>
      <c r="Y116" s="25"/>
      <c r="Z116" s="25">
        <f>SUM(テーブル1[[#This Row],[KG(目付)]:[KG]])</f>
        <v>0</v>
      </c>
      <c r="AA116" s="11"/>
      <c r="AB116" s="11"/>
      <c r="AC116" s="24">
        <f>$G$7*(テーブル1[[#This Row],[金額]]*$G$6)</f>
        <v>0</v>
      </c>
    </row>
    <row r="117" spans="1:29" ht="39.950000000000003" customHeight="1">
      <c r="A117" s="1">
        <v>4490</v>
      </c>
      <c r="B117" s="2">
        <v>540744900</v>
      </c>
      <c r="K117" s="7"/>
      <c r="L117" s="7"/>
      <c r="M117" s="7"/>
      <c r="N117" s="7"/>
      <c r="O117" s="21">
        <f t="shared" si="2"/>
        <v>0</v>
      </c>
      <c r="P117" s="7"/>
      <c r="Q117" s="11"/>
      <c r="R117" s="11"/>
      <c r="S117" s="11"/>
      <c r="T117" s="11"/>
      <c r="U117" s="11"/>
      <c r="V117" s="25">
        <f>IF($G$8="",テーブル1[[#This Row],[幅]]*テーブル1[[#This Row],[長さ]],テーブル1[[#This Row],[幅]]*テーブル1[[#This Row],[長さ]]*$G$8)</f>
        <v>0</v>
      </c>
      <c r="W117" s="25" t="str">
        <f>IF(テーブル1[[#This Row],[幅]]=0,"",テーブル1[[#This Row],[KG合計]]/テーブル1[[#This Row],[SM]]*1000)</f>
        <v/>
      </c>
      <c r="X117" s="25">
        <f>IF(テーブル1[[#This Row],[g/SM]]="",テーブル1[[#This Row],[長さ]]*テーブル1[[#This Row],[g/M]]/1000,テーブル1[[#This Row],[SM]]*テーブル1[[#This Row],[g/SM]]/1000)</f>
        <v>0</v>
      </c>
      <c r="Y117" s="25"/>
      <c r="Z117" s="25">
        <f>SUM(テーブル1[[#This Row],[KG(目付)]:[KG]])</f>
        <v>0</v>
      </c>
      <c r="AA117" s="11"/>
      <c r="AB117" s="11"/>
      <c r="AC117" s="24">
        <f>$G$7*(テーブル1[[#This Row],[金額]]*$G$6)</f>
        <v>0</v>
      </c>
    </row>
    <row r="118" spans="1:29" ht="39.950000000000003" customHeight="1">
      <c r="A118" s="1" t="s">
        <v>37920</v>
      </c>
      <c r="B118" s="2">
        <v>581100000</v>
      </c>
      <c r="K118" s="7"/>
      <c r="L118" s="7"/>
      <c r="M118" s="7"/>
      <c r="N118" s="7"/>
      <c r="O118" s="21">
        <f t="shared" si="2"/>
        <v>0</v>
      </c>
      <c r="P118" s="7"/>
      <c r="Q118" s="11"/>
      <c r="R118" s="11"/>
      <c r="S118" s="11"/>
      <c r="T118" s="11"/>
      <c r="U118" s="11"/>
      <c r="V118" s="25">
        <f>IF($G$8="",テーブル1[[#This Row],[幅]]*テーブル1[[#This Row],[長さ]],テーブル1[[#This Row],[幅]]*テーブル1[[#This Row],[長さ]]*$G$8)</f>
        <v>0</v>
      </c>
      <c r="W118" s="25" t="str">
        <f>IF(テーブル1[[#This Row],[幅]]=0,"",テーブル1[[#This Row],[KG合計]]/テーブル1[[#This Row],[SM]]*1000)</f>
        <v/>
      </c>
      <c r="X118" s="25">
        <f>IF(テーブル1[[#This Row],[g/SM]]="",テーブル1[[#This Row],[長さ]]*テーブル1[[#This Row],[g/M]]/1000,テーブル1[[#This Row],[SM]]*テーブル1[[#This Row],[g/SM]]/1000)</f>
        <v>0</v>
      </c>
      <c r="Y118" s="25"/>
      <c r="Z118" s="25">
        <f>SUM(テーブル1[[#This Row],[KG(目付)]:[KG]])</f>
        <v>0</v>
      </c>
      <c r="AA118" s="11"/>
      <c r="AB118" s="11"/>
      <c r="AC118" s="24">
        <f>$G$7*(テーブル1[[#This Row],[金額]]*$G$6)</f>
        <v>0</v>
      </c>
    </row>
    <row r="119" spans="1:29" ht="39.950000000000003" customHeight="1">
      <c r="A119" s="1">
        <v>1311</v>
      </c>
      <c r="B119" s="2">
        <v>551311000</v>
      </c>
      <c r="K119" s="7"/>
      <c r="L119" s="7"/>
      <c r="M119" s="7"/>
      <c r="N119" s="7"/>
      <c r="O119" s="21">
        <f t="shared" si="2"/>
        <v>0</v>
      </c>
      <c r="P119" s="7"/>
      <c r="Q119" s="11"/>
      <c r="R119" s="11"/>
      <c r="S119" s="11"/>
      <c r="T119" s="11"/>
      <c r="U119" s="11"/>
      <c r="V119" s="25">
        <f>IF($G$8="",テーブル1[[#This Row],[幅]]*テーブル1[[#This Row],[長さ]],テーブル1[[#This Row],[幅]]*テーブル1[[#This Row],[長さ]]*$G$8)</f>
        <v>0</v>
      </c>
      <c r="W119" s="25" t="str">
        <f>IF(テーブル1[[#This Row],[幅]]=0,"",テーブル1[[#This Row],[KG合計]]/テーブル1[[#This Row],[SM]]*1000)</f>
        <v/>
      </c>
      <c r="X119" s="25">
        <f>IF(テーブル1[[#This Row],[g/SM]]="",テーブル1[[#This Row],[長さ]]*テーブル1[[#This Row],[g/M]]/1000,テーブル1[[#This Row],[SM]]*テーブル1[[#This Row],[g/SM]]/1000)</f>
        <v>0</v>
      </c>
      <c r="Y119" s="25"/>
      <c r="Z119" s="25">
        <f>SUM(テーブル1[[#This Row],[KG(目付)]:[KG]])</f>
        <v>0</v>
      </c>
      <c r="AA119" s="11"/>
      <c r="AB119" s="11"/>
      <c r="AC119" s="24">
        <f>$G$7*(テーブル1[[#This Row],[金額]]*$G$6)</f>
        <v>0</v>
      </c>
    </row>
    <row r="120" spans="1:29" ht="39.950000000000003" customHeight="1">
      <c r="A120" s="1">
        <v>1312</v>
      </c>
      <c r="B120" s="2">
        <v>551312000</v>
      </c>
      <c r="K120" s="7"/>
      <c r="L120" s="7"/>
      <c r="M120" s="7"/>
      <c r="N120" s="7"/>
      <c r="O120" s="21">
        <f t="shared" si="2"/>
        <v>0</v>
      </c>
      <c r="P120" s="7"/>
      <c r="Q120" s="11"/>
      <c r="R120" s="11"/>
      <c r="S120" s="11"/>
      <c r="T120" s="11"/>
      <c r="U120" s="11"/>
      <c r="V120" s="25">
        <f>IF($G$8="",テーブル1[[#This Row],[幅]]*テーブル1[[#This Row],[長さ]],テーブル1[[#This Row],[幅]]*テーブル1[[#This Row],[長さ]]*$G$8)</f>
        <v>0</v>
      </c>
      <c r="W120" s="25" t="str">
        <f>IF(テーブル1[[#This Row],[幅]]=0,"",テーブル1[[#This Row],[KG合計]]/テーブル1[[#This Row],[SM]]*1000)</f>
        <v/>
      </c>
      <c r="X120" s="25">
        <f>IF(テーブル1[[#This Row],[g/SM]]="",テーブル1[[#This Row],[長さ]]*テーブル1[[#This Row],[g/M]]/1000,テーブル1[[#This Row],[SM]]*テーブル1[[#This Row],[g/SM]]/1000)</f>
        <v>0</v>
      </c>
      <c r="Y120" s="25"/>
      <c r="Z120" s="25">
        <f>SUM(テーブル1[[#This Row],[KG(目付)]:[KG]])</f>
        <v>0</v>
      </c>
      <c r="AA120" s="11"/>
      <c r="AB120" s="11"/>
      <c r="AC120" s="24">
        <f>$G$7*(テーブル1[[#This Row],[金額]]*$G$6)</f>
        <v>0</v>
      </c>
    </row>
    <row r="121" spans="1:29" ht="39.950000000000003" customHeight="1">
      <c r="A121" s="1">
        <v>1313</v>
      </c>
      <c r="B121" s="2">
        <v>551313000</v>
      </c>
      <c r="C121" s="3" t="s">
        <v>75</v>
      </c>
      <c r="K121" s="7"/>
      <c r="L121" s="7"/>
      <c r="M121" s="7"/>
      <c r="N121" s="7"/>
      <c r="O121" s="21">
        <f t="shared" si="2"/>
        <v>0</v>
      </c>
      <c r="P121" s="7"/>
      <c r="Q121" s="11"/>
      <c r="R121" s="11"/>
      <c r="S121" s="11"/>
      <c r="T121" s="11"/>
      <c r="U121" s="11"/>
      <c r="V121" s="25">
        <f>IF($G$8="",テーブル1[[#This Row],[幅]]*テーブル1[[#This Row],[長さ]],テーブル1[[#This Row],[幅]]*テーブル1[[#This Row],[長さ]]*$G$8)</f>
        <v>0</v>
      </c>
      <c r="W121" s="25" t="str">
        <f>IF(テーブル1[[#This Row],[幅]]=0,"",テーブル1[[#This Row],[KG合計]]/テーブル1[[#This Row],[SM]]*1000)</f>
        <v/>
      </c>
      <c r="X121" s="25">
        <f>IF(テーブル1[[#This Row],[g/SM]]="",テーブル1[[#This Row],[長さ]]*テーブル1[[#This Row],[g/M]]/1000,テーブル1[[#This Row],[SM]]*テーブル1[[#This Row],[g/SM]]/1000)</f>
        <v>0</v>
      </c>
      <c r="Y121" s="25"/>
      <c r="Z121" s="25">
        <f>SUM(テーブル1[[#This Row],[KG(目付)]:[KG]])</f>
        <v>0</v>
      </c>
      <c r="AA121" s="11"/>
      <c r="AB121" s="11"/>
      <c r="AC121" s="24">
        <f>$G$7*(テーブル1[[#This Row],[金額]]*$G$6)</f>
        <v>0</v>
      </c>
    </row>
    <row r="122" spans="1:29" ht="39.950000000000003" customHeight="1">
      <c r="A122" s="1">
        <v>1319</v>
      </c>
      <c r="B122" s="2">
        <v>551319000</v>
      </c>
      <c r="C122" s="3" t="s">
        <v>55</v>
      </c>
      <c r="K122" s="7"/>
      <c r="L122" s="7"/>
      <c r="M122" s="7"/>
      <c r="N122" s="7"/>
      <c r="O122" s="21">
        <f t="shared" si="2"/>
        <v>0</v>
      </c>
      <c r="P122" s="7"/>
      <c r="Q122" s="11"/>
      <c r="R122" s="11"/>
      <c r="S122" s="11"/>
      <c r="T122" s="11"/>
      <c r="U122" s="11"/>
      <c r="V122" s="25">
        <f>IF($G$8="",テーブル1[[#This Row],[幅]]*テーブル1[[#This Row],[長さ]],テーブル1[[#This Row],[幅]]*テーブル1[[#This Row],[長さ]]*$G$8)</f>
        <v>0</v>
      </c>
      <c r="W122" s="25" t="str">
        <f>IF(テーブル1[[#This Row],[幅]]=0,"",テーブル1[[#This Row],[KG合計]]/テーブル1[[#This Row],[SM]]*1000)</f>
        <v/>
      </c>
      <c r="X122" s="25">
        <f>IF(テーブル1[[#This Row],[g/SM]]="",テーブル1[[#This Row],[長さ]]*テーブル1[[#This Row],[g/M]]/1000,テーブル1[[#This Row],[SM]]*テーブル1[[#This Row],[g/SM]]/1000)</f>
        <v>0</v>
      </c>
      <c r="Y122" s="25"/>
      <c r="Z122" s="25">
        <f>SUM(テーブル1[[#This Row],[KG(目付)]:[KG]])</f>
        <v>0</v>
      </c>
      <c r="AA122" s="11"/>
      <c r="AB122" s="11"/>
      <c r="AC122" s="24">
        <f>$G$7*(テーブル1[[#This Row],[金額]]*$G$6)</f>
        <v>0</v>
      </c>
    </row>
    <row r="123" spans="1:29" ht="39.950000000000003" customHeight="1">
      <c r="A123" s="1">
        <v>1321</v>
      </c>
      <c r="B123" s="2">
        <v>551321000</v>
      </c>
      <c r="K123" s="7"/>
      <c r="L123" s="7"/>
      <c r="M123" s="7"/>
      <c r="N123" s="7"/>
      <c r="O123" s="21">
        <f t="shared" si="2"/>
        <v>0</v>
      </c>
      <c r="P123" s="7"/>
      <c r="Q123" s="11"/>
      <c r="R123" s="11"/>
      <c r="S123" s="11"/>
      <c r="T123" s="11"/>
      <c r="U123" s="11"/>
      <c r="V123" s="25">
        <f>IF($G$8="",テーブル1[[#This Row],[幅]]*テーブル1[[#This Row],[長さ]],テーブル1[[#This Row],[幅]]*テーブル1[[#This Row],[長さ]]*$G$8)</f>
        <v>0</v>
      </c>
      <c r="W123" s="25" t="str">
        <f>IF(テーブル1[[#This Row],[幅]]=0,"",テーブル1[[#This Row],[KG合計]]/テーブル1[[#This Row],[SM]]*1000)</f>
        <v/>
      </c>
      <c r="X123" s="25">
        <f>IF(テーブル1[[#This Row],[g/SM]]="",テーブル1[[#This Row],[長さ]]*テーブル1[[#This Row],[g/M]]/1000,テーブル1[[#This Row],[SM]]*テーブル1[[#This Row],[g/SM]]/1000)</f>
        <v>0</v>
      </c>
      <c r="Y123" s="25"/>
      <c r="Z123" s="25">
        <f>SUM(テーブル1[[#This Row],[KG(目付)]:[KG]])</f>
        <v>0</v>
      </c>
      <c r="AA123" s="11"/>
      <c r="AB123" s="11"/>
      <c r="AC123" s="24">
        <f>$G$7*(テーブル1[[#This Row],[金額]]*$G$6)</f>
        <v>0</v>
      </c>
    </row>
    <row r="124" spans="1:29" ht="39.950000000000003" customHeight="1">
      <c r="A124" s="1">
        <v>1323</v>
      </c>
      <c r="B124" s="2">
        <v>551323100</v>
      </c>
      <c r="K124" s="7"/>
      <c r="L124" s="7"/>
      <c r="M124" s="7"/>
      <c r="N124" s="7"/>
      <c r="O124" s="21">
        <f t="shared" si="2"/>
        <v>0</v>
      </c>
      <c r="P124" s="7"/>
      <c r="Q124" s="11"/>
      <c r="R124" s="11"/>
      <c r="S124" s="11"/>
      <c r="T124" s="11"/>
      <c r="U124" s="11"/>
      <c r="V124" s="25">
        <f>IF($G$8="",テーブル1[[#This Row],[幅]]*テーブル1[[#This Row],[長さ]],テーブル1[[#This Row],[幅]]*テーブル1[[#This Row],[長さ]]*$G$8)</f>
        <v>0</v>
      </c>
      <c r="W124" s="25" t="str">
        <f>IF(テーブル1[[#This Row],[幅]]=0,"",テーブル1[[#This Row],[KG合計]]/テーブル1[[#This Row],[SM]]*1000)</f>
        <v/>
      </c>
      <c r="X124" s="25">
        <f>IF(テーブル1[[#This Row],[g/SM]]="",テーブル1[[#This Row],[長さ]]*テーブル1[[#This Row],[g/M]]/1000,テーブル1[[#This Row],[SM]]*テーブル1[[#This Row],[g/SM]]/1000)</f>
        <v>0</v>
      </c>
      <c r="Y124" s="25"/>
      <c r="Z124" s="25">
        <f>SUM(テーブル1[[#This Row],[KG(目付)]:[KG]])</f>
        <v>0</v>
      </c>
      <c r="AA124" s="11"/>
      <c r="AB124" s="11"/>
      <c r="AC124" s="24">
        <f>$G$7*(テーブル1[[#This Row],[金額]]*$G$6)</f>
        <v>0</v>
      </c>
    </row>
    <row r="125" spans="1:29" ht="39.950000000000003" customHeight="1">
      <c r="A125" s="1">
        <v>13239</v>
      </c>
      <c r="B125" s="2">
        <v>551323900</v>
      </c>
      <c r="C125" s="3" t="s">
        <v>61</v>
      </c>
      <c r="K125" s="7"/>
      <c r="L125" s="7"/>
      <c r="M125" s="7"/>
      <c r="N125" s="7"/>
      <c r="O125" s="21">
        <f t="shared" si="2"/>
        <v>0</v>
      </c>
      <c r="P125" s="7"/>
      <c r="Q125" s="11"/>
      <c r="R125" s="11"/>
      <c r="S125" s="11"/>
      <c r="T125" s="11"/>
      <c r="U125" s="11"/>
      <c r="V125" s="25">
        <f>IF($G$8="",テーブル1[[#This Row],[幅]]*テーブル1[[#This Row],[長さ]],テーブル1[[#This Row],[幅]]*テーブル1[[#This Row],[長さ]]*$G$8)</f>
        <v>0</v>
      </c>
      <c r="W125" s="25" t="str">
        <f>IF(テーブル1[[#This Row],[幅]]=0,"",テーブル1[[#This Row],[KG合計]]/テーブル1[[#This Row],[SM]]*1000)</f>
        <v/>
      </c>
      <c r="X125" s="25">
        <f>IF(テーブル1[[#This Row],[g/SM]]="",テーブル1[[#This Row],[長さ]]*テーブル1[[#This Row],[g/M]]/1000,テーブル1[[#This Row],[SM]]*テーブル1[[#This Row],[g/SM]]/1000)</f>
        <v>0</v>
      </c>
      <c r="Y125" s="25"/>
      <c r="Z125" s="25">
        <f>SUM(テーブル1[[#This Row],[KG(目付)]:[KG]])</f>
        <v>0</v>
      </c>
      <c r="AA125" s="11"/>
      <c r="AB125" s="11"/>
      <c r="AC125" s="24">
        <f>$G$7*(テーブル1[[#This Row],[金額]]*$G$6)</f>
        <v>0</v>
      </c>
    </row>
    <row r="126" spans="1:29" ht="39.950000000000003" customHeight="1">
      <c r="A126" s="1">
        <v>1329</v>
      </c>
      <c r="B126" s="2">
        <v>551329000</v>
      </c>
      <c r="C126" s="3" t="s">
        <v>63</v>
      </c>
      <c r="K126" s="7"/>
      <c r="L126" s="7"/>
      <c r="M126" s="7"/>
      <c r="N126" s="7"/>
      <c r="O126" s="21">
        <f t="shared" si="2"/>
        <v>0</v>
      </c>
      <c r="P126" s="7"/>
      <c r="Q126" s="11"/>
      <c r="R126" s="11"/>
      <c r="S126" s="11"/>
      <c r="T126" s="11"/>
      <c r="U126" s="11"/>
      <c r="V126" s="25">
        <f>IF($G$8="",テーブル1[[#This Row],[幅]]*テーブル1[[#This Row],[長さ]],テーブル1[[#This Row],[幅]]*テーブル1[[#This Row],[長さ]]*$G$8)</f>
        <v>0</v>
      </c>
      <c r="W126" s="25" t="str">
        <f>IF(テーブル1[[#This Row],[幅]]=0,"",テーブル1[[#This Row],[KG合計]]/テーブル1[[#This Row],[SM]]*1000)</f>
        <v/>
      </c>
      <c r="X126" s="25">
        <f>IF(テーブル1[[#This Row],[g/SM]]="",テーブル1[[#This Row],[長さ]]*テーブル1[[#This Row],[g/M]]/1000,テーブル1[[#This Row],[SM]]*テーブル1[[#This Row],[g/SM]]/1000)</f>
        <v>0</v>
      </c>
      <c r="Y126" s="25"/>
      <c r="Z126" s="25">
        <f>SUM(テーブル1[[#This Row],[KG(目付)]:[KG]])</f>
        <v>0</v>
      </c>
      <c r="AA126" s="11"/>
      <c r="AB126" s="11"/>
      <c r="AC126" s="24">
        <f>$G$7*(テーブル1[[#This Row],[金額]]*$G$6)</f>
        <v>0</v>
      </c>
    </row>
    <row r="127" spans="1:29" ht="39.950000000000003" customHeight="1">
      <c r="A127" s="1">
        <v>1331</v>
      </c>
      <c r="B127" s="2">
        <v>551331000</v>
      </c>
      <c r="K127" s="7"/>
      <c r="L127" s="7"/>
      <c r="M127" s="7"/>
      <c r="N127" s="7"/>
      <c r="O127" s="21">
        <f t="shared" si="2"/>
        <v>0</v>
      </c>
      <c r="P127" s="7"/>
      <c r="Q127" s="11"/>
      <c r="R127" s="11"/>
      <c r="S127" s="11"/>
      <c r="T127" s="11"/>
      <c r="U127" s="11"/>
      <c r="V127" s="25">
        <f>IF($G$8="",テーブル1[[#This Row],[幅]]*テーブル1[[#This Row],[長さ]],テーブル1[[#This Row],[幅]]*テーブル1[[#This Row],[長さ]]*$G$8)</f>
        <v>0</v>
      </c>
      <c r="W127" s="25" t="str">
        <f>IF(テーブル1[[#This Row],[幅]]=0,"",テーブル1[[#This Row],[KG合計]]/テーブル1[[#This Row],[SM]]*1000)</f>
        <v/>
      </c>
      <c r="X127" s="25">
        <f>IF(テーブル1[[#This Row],[g/SM]]="",テーブル1[[#This Row],[長さ]]*テーブル1[[#This Row],[g/M]]/1000,テーブル1[[#This Row],[SM]]*テーブル1[[#This Row],[g/SM]]/1000)</f>
        <v>0</v>
      </c>
      <c r="Y127" s="25"/>
      <c r="Z127" s="25">
        <f>SUM(テーブル1[[#This Row],[KG(目付)]:[KG]])</f>
        <v>0</v>
      </c>
      <c r="AA127" s="11"/>
      <c r="AB127" s="11"/>
      <c r="AC127" s="24">
        <f>$G$7*(テーブル1[[#This Row],[金額]]*$G$6)</f>
        <v>0</v>
      </c>
    </row>
    <row r="128" spans="1:29" ht="39.950000000000003" customHeight="1">
      <c r="A128" s="1">
        <v>1339</v>
      </c>
      <c r="B128" s="2">
        <v>551339100</v>
      </c>
      <c r="C128" s="3" t="s">
        <v>77</v>
      </c>
      <c r="K128" s="7"/>
      <c r="L128" s="7"/>
      <c r="M128" s="7"/>
      <c r="N128" s="7"/>
      <c r="O128" s="21">
        <f t="shared" si="2"/>
        <v>0</v>
      </c>
      <c r="P128" s="7"/>
      <c r="Q128" s="11"/>
      <c r="R128" s="11"/>
      <c r="S128" s="11"/>
      <c r="T128" s="11"/>
      <c r="U128" s="11"/>
      <c r="V128" s="25">
        <f>IF($G$8="",テーブル1[[#This Row],[幅]]*テーブル1[[#This Row],[長さ]],テーブル1[[#This Row],[幅]]*テーブル1[[#This Row],[長さ]]*$G$8)</f>
        <v>0</v>
      </c>
      <c r="W128" s="25" t="str">
        <f>IF(テーブル1[[#This Row],[幅]]=0,"",テーブル1[[#This Row],[KG合計]]/テーブル1[[#This Row],[SM]]*1000)</f>
        <v/>
      </c>
      <c r="X128" s="25">
        <f>IF(テーブル1[[#This Row],[g/SM]]="",テーブル1[[#This Row],[長さ]]*テーブル1[[#This Row],[g/M]]/1000,テーブル1[[#This Row],[SM]]*テーブル1[[#This Row],[g/SM]]/1000)</f>
        <v>0</v>
      </c>
      <c r="Y128" s="25"/>
      <c r="Z128" s="25">
        <f>SUM(テーブル1[[#This Row],[KG(目付)]:[KG]])</f>
        <v>0</v>
      </c>
      <c r="AA128" s="11"/>
      <c r="AB128" s="11"/>
      <c r="AC128" s="24">
        <f>$G$7*(テーブル1[[#This Row],[金額]]*$G$6)</f>
        <v>0</v>
      </c>
    </row>
    <row r="129" spans="1:29" ht="39.950000000000003" customHeight="1">
      <c r="A129" s="1">
        <v>13399</v>
      </c>
      <c r="B129" s="2">
        <v>551339900</v>
      </c>
      <c r="C129" s="3" t="s">
        <v>79</v>
      </c>
      <c r="K129" s="7"/>
      <c r="L129" s="7"/>
      <c r="M129" s="7"/>
      <c r="N129" s="7"/>
      <c r="O129" s="21">
        <f t="shared" si="2"/>
        <v>0</v>
      </c>
      <c r="P129" s="7"/>
      <c r="Q129" s="11"/>
      <c r="R129" s="11"/>
      <c r="S129" s="11"/>
      <c r="T129" s="11"/>
      <c r="U129" s="11"/>
      <c r="V129" s="25">
        <f>IF($G$8="",テーブル1[[#This Row],[幅]]*テーブル1[[#This Row],[長さ]],テーブル1[[#This Row],[幅]]*テーブル1[[#This Row],[長さ]]*$G$8)</f>
        <v>0</v>
      </c>
      <c r="W129" s="25" t="str">
        <f>IF(テーブル1[[#This Row],[幅]]=0,"",テーブル1[[#This Row],[KG合計]]/テーブル1[[#This Row],[SM]]*1000)</f>
        <v/>
      </c>
      <c r="X129" s="25">
        <f>IF(テーブル1[[#This Row],[g/SM]]="",テーブル1[[#This Row],[長さ]]*テーブル1[[#This Row],[g/M]]/1000,テーブル1[[#This Row],[SM]]*テーブル1[[#This Row],[g/SM]]/1000)</f>
        <v>0</v>
      </c>
      <c r="Y129" s="25"/>
      <c r="Z129" s="25">
        <f>SUM(テーブル1[[#This Row],[KG(目付)]:[KG]])</f>
        <v>0</v>
      </c>
      <c r="AA129" s="11"/>
      <c r="AB129" s="11"/>
      <c r="AC129" s="24">
        <f>$G$7*(テーブル1[[#This Row],[金額]]*$G$6)</f>
        <v>0</v>
      </c>
    </row>
    <row r="130" spans="1:29" ht="39.950000000000003" customHeight="1">
      <c r="A130" s="1">
        <v>1341</v>
      </c>
      <c r="B130" s="2">
        <v>551341000</v>
      </c>
      <c r="C130" s="3" t="s">
        <v>67</v>
      </c>
      <c r="K130" s="7"/>
      <c r="L130" s="7"/>
      <c r="M130" s="7"/>
      <c r="N130" s="7"/>
      <c r="O130" s="21">
        <f t="shared" si="2"/>
        <v>0</v>
      </c>
      <c r="P130" s="7"/>
      <c r="Q130" s="11"/>
      <c r="R130" s="11"/>
      <c r="S130" s="11"/>
      <c r="T130" s="11"/>
      <c r="U130" s="11"/>
      <c r="V130" s="25">
        <f>IF($G$8="",テーブル1[[#This Row],[幅]]*テーブル1[[#This Row],[長さ]],テーブル1[[#This Row],[幅]]*テーブル1[[#This Row],[長さ]]*$G$8)</f>
        <v>0</v>
      </c>
      <c r="W130" s="25" t="str">
        <f>IF(テーブル1[[#This Row],[幅]]=0,"",テーブル1[[#This Row],[KG合計]]/テーブル1[[#This Row],[SM]]*1000)</f>
        <v/>
      </c>
      <c r="X130" s="25">
        <f>IF(テーブル1[[#This Row],[g/SM]]="",テーブル1[[#This Row],[長さ]]*テーブル1[[#This Row],[g/M]]/1000,テーブル1[[#This Row],[SM]]*テーブル1[[#This Row],[g/SM]]/1000)</f>
        <v>0</v>
      </c>
      <c r="Y130" s="25"/>
      <c r="Z130" s="25">
        <f>SUM(テーブル1[[#This Row],[KG(目付)]:[KG]])</f>
        <v>0</v>
      </c>
      <c r="AA130" s="11"/>
      <c r="AB130" s="11"/>
      <c r="AC130" s="24">
        <f>$G$7*(テーブル1[[#This Row],[金額]]*$G$6)</f>
        <v>0</v>
      </c>
    </row>
    <row r="131" spans="1:29" ht="39.950000000000003" customHeight="1">
      <c r="A131" s="1">
        <v>1349</v>
      </c>
      <c r="B131" s="2">
        <v>551349000</v>
      </c>
      <c r="C131" s="3" t="s">
        <v>73</v>
      </c>
      <c r="K131" s="7"/>
      <c r="L131" s="7"/>
      <c r="M131" s="7"/>
      <c r="N131" s="7"/>
      <c r="O131" s="21">
        <f t="shared" ref="O131:O194" si="3">IF(LEN(N131)=10,RIGHT(N131,1),IFERROR(N131-(INT(N131/7)*7),RIGHT(N131,1)))</f>
        <v>0</v>
      </c>
      <c r="P131" s="7"/>
      <c r="Q131" s="11"/>
      <c r="R131" s="11"/>
      <c r="S131" s="11"/>
      <c r="T131" s="11"/>
      <c r="U131" s="11"/>
      <c r="V131" s="25">
        <f>IF($G$8="",テーブル1[[#This Row],[幅]]*テーブル1[[#This Row],[長さ]],テーブル1[[#This Row],[幅]]*テーブル1[[#This Row],[長さ]]*$G$8)</f>
        <v>0</v>
      </c>
      <c r="W131" s="25" t="str">
        <f>IF(テーブル1[[#This Row],[幅]]=0,"",テーブル1[[#This Row],[KG合計]]/テーブル1[[#This Row],[SM]]*1000)</f>
        <v/>
      </c>
      <c r="X131" s="25">
        <f>IF(テーブル1[[#This Row],[g/SM]]="",テーブル1[[#This Row],[長さ]]*テーブル1[[#This Row],[g/M]]/1000,テーブル1[[#This Row],[SM]]*テーブル1[[#This Row],[g/SM]]/1000)</f>
        <v>0</v>
      </c>
      <c r="Y131" s="25"/>
      <c r="Z131" s="25">
        <f>SUM(テーブル1[[#This Row],[KG(目付)]:[KG]])</f>
        <v>0</v>
      </c>
      <c r="AA131" s="11"/>
      <c r="AB131" s="11"/>
      <c r="AC131" s="24">
        <f>$G$7*(テーブル1[[#This Row],[金額]]*$G$6)</f>
        <v>0</v>
      </c>
    </row>
    <row r="132" spans="1:29" ht="39.950000000000003" customHeight="1">
      <c r="A132" s="1">
        <v>1411</v>
      </c>
      <c r="B132" s="2">
        <v>551411000</v>
      </c>
      <c r="C132" s="3" t="s">
        <v>51</v>
      </c>
      <c r="K132" s="7"/>
      <c r="L132" s="7"/>
      <c r="M132" s="7"/>
      <c r="N132" s="7"/>
      <c r="O132" s="21">
        <f t="shared" si="3"/>
        <v>0</v>
      </c>
      <c r="P132" s="7"/>
      <c r="Q132" s="11"/>
      <c r="R132" s="11"/>
      <c r="S132" s="11"/>
      <c r="T132" s="11"/>
      <c r="U132" s="11"/>
      <c r="V132" s="25">
        <f>IF($G$8="",テーブル1[[#This Row],[幅]]*テーブル1[[#This Row],[長さ]],テーブル1[[#This Row],[幅]]*テーブル1[[#This Row],[長さ]]*$G$8)</f>
        <v>0</v>
      </c>
      <c r="W132" s="25" t="str">
        <f>IF(テーブル1[[#This Row],[幅]]=0,"",テーブル1[[#This Row],[KG合計]]/テーブル1[[#This Row],[SM]]*1000)</f>
        <v/>
      </c>
      <c r="X132" s="25">
        <f>IF(テーブル1[[#This Row],[g/SM]]="",テーブル1[[#This Row],[長さ]]*テーブル1[[#This Row],[g/M]]/1000,テーブル1[[#This Row],[SM]]*テーブル1[[#This Row],[g/SM]]/1000)</f>
        <v>0</v>
      </c>
      <c r="Y132" s="25"/>
      <c r="Z132" s="25">
        <f>SUM(テーブル1[[#This Row],[KG(目付)]:[KG]])</f>
        <v>0</v>
      </c>
      <c r="AA132" s="11"/>
      <c r="AB132" s="11"/>
      <c r="AC132" s="24">
        <f>$G$7*(テーブル1[[#This Row],[金額]]*$G$6)</f>
        <v>0</v>
      </c>
    </row>
    <row r="133" spans="1:29" ht="39.950000000000003" customHeight="1">
      <c r="A133" s="1">
        <v>1412</v>
      </c>
      <c r="B133" s="2">
        <v>551412000</v>
      </c>
      <c r="C133" s="3" t="s">
        <v>53</v>
      </c>
      <c r="K133" s="7"/>
      <c r="L133" s="7"/>
      <c r="M133" s="7"/>
      <c r="N133" s="7"/>
      <c r="O133" s="21">
        <f t="shared" si="3"/>
        <v>0</v>
      </c>
      <c r="P133" s="7"/>
      <c r="Q133" s="11"/>
      <c r="R133" s="11"/>
      <c r="S133" s="11"/>
      <c r="T133" s="11"/>
      <c r="U133" s="11"/>
      <c r="V133" s="25">
        <f>IF($G$8="",テーブル1[[#This Row],[幅]]*テーブル1[[#This Row],[長さ]],テーブル1[[#This Row],[幅]]*テーブル1[[#This Row],[長さ]]*$G$8)</f>
        <v>0</v>
      </c>
      <c r="W133" s="25" t="str">
        <f>IF(テーブル1[[#This Row],[幅]]=0,"",テーブル1[[#This Row],[KG合計]]/テーブル1[[#This Row],[SM]]*1000)</f>
        <v/>
      </c>
      <c r="X133" s="25">
        <f>IF(テーブル1[[#This Row],[g/SM]]="",テーブル1[[#This Row],[長さ]]*テーブル1[[#This Row],[g/M]]/1000,テーブル1[[#This Row],[SM]]*テーブル1[[#This Row],[g/SM]]/1000)</f>
        <v>0</v>
      </c>
      <c r="Y133" s="25"/>
      <c r="Z133" s="25">
        <f>SUM(テーブル1[[#This Row],[KG(目付)]:[KG]])</f>
        <v>0</v>
      </c>
      <c r="AA133" s="11"/>
      <c r="AB133" s="11"/>
      <c r="AC133" s="24">
        <f>$G$7*(テーブル1[[#This Row],[金額]]*$G$6)</f>
        <v>0</v>
      </c>
    </row>
    <row r="134" spans="1:29" ht="39.950000000000003" customHeight="1">
      <c r="A134" s="1">
        <v>1419</v>
      </c>
      <c r="B134" s="2">
        <v>551419000</v>
      </c>
      <c r="C134" s="3" t="s">
        <v>55</v>
      </c>
      <c r="K134" s="7"/>
      <c r="L134" s="7"/>
      <c r="M134" s="7"/>
      <c r="N134" s="7"/>
      <c r="O134" s="21">
        <f t="shared" si="3"/>
        <v>0</v>
      </c>
      <c r="P134" s="7"/>
      <c r="Q134" s="11"/>
      <c r="R134" s="11"/>
      <c r="S134" s="11"/>
      <c r="T134" s="11"/>
      <c r="U134" s="11"/>
      <c r="V134" s="25">
        <f>IF($G$8="",テーブル1[[#This Row],[幅]]*テーブル1[[#This Row],[長さ]],テーブル1[[#This Row],[幅]]*テーブル1[[#This Row],[長さ]]*$G$8)</f>
        <v>0</v>
      </c>
      <c r="W134" s="25" t="str">
        <f>IF(テーブル1[[#This Row],[幅]]=0,"",テーブル1[[#This Row],[KG合計]]/テーブル1[[#This Row],[SM]]*1000)</f>
        <v/>
      </c>
      <c r="X134" s="25">
        <f>IF(テーブル1[[#This Row],[g/SM]]="",テーブル1[[#This Row],[長さ]]*テーブル1[[#This Row],[g/M]]/1000,テーブル1[[#This Row],[SM]]*テーブル1[[#This Row],[g/SM]]/1000)</f>
        <v>0</v>
      </c>
      <c r="Y134" s="25"/>
      <c r="Z134" s="25">
        <f>SUM(テーブル1[[#This Row],[KG(目付)]:[KG]])</f>
        <v>0</v>
      </c>
      <c r="AA134" s="11"/>
      <c r="AB134" s="11"/>
      <c r="AC134" s="24">
        <f>$G$7*(テーブル1[[#This Row],[金額]]*$G$6)</f>
        <v>0</v>
      </c>
    </row>
    <row r="135" spans="1:29" ht="39.950000000000003" customHeight="1">
      <c r="A135" s="1">
        <v>1421</v>
      </c>
      <c r="B135" s="2">
        <v>551421000</v>
      </c>
      <c r="C135" s="3" t="s">
        <v>57</v>
      </c>
      <c r="K135" s="7"/>
      <c r="L135" s="7"/>
      <c r="M135" s="7"/>
      <c r="N135" s="7"/>
      <c r="O135" s="21">
        <f t="shared" si="3"/>
        <v>0</v>
      </c>
      <c r="P135" s="7"/>
      <c r="Q135" s="11"/>
      <c r="R135" s="11"/>
      <c r="S135" s="11"/>
      <c r="T135" s="11"/>
      <c r="U135" s="11"/>
      <c r="V135" s="25">
        <f>IF($G$8="",テーブル1[[#This Row],[幅]]*テーブル1[[#This Row],[長さ]],テーブル1[[#This Row],[幅]]*テーブル1[[#This Row],[長さ]]*$G$8)</f>
        <v>0</v>
      </c>
      <c r="W135" s="25" t="str">
        <f>IF(テーブル1[[#This Row],[幅]]=0,"",テーブル1[[#This Row],[KG合計]]/テーブル1[[#This Row],[SM]]*1000)</f>
        <v/>
      </c>
      <c r="X135" s="25">
        <f>IF(テーブル1[[#This Row],[g/SM]]="",テーブル1[[#This Row],[長さ]]*テーブル1[[#This Row],[g/M]]/1000,テーブル1[[#This Row],[SM]]*テーブル1[[#This Row],[g/SM]]/1000)</f>
        <v>0</v>
      </c>
      <c r="Y135" s="25"/>
      <c r="Z135" s="25">
        <f>SUM(テーブル1[[#This Row],[KG(目付)]:[KG]])</f>
        <v>0</v>
      </c>
      <c r="AA135" s="11"/>
      <c r="AB135" s="11"/>
      <c r="AC135" s="24">
        <f>$G$7*(テーブル1[[#This Row],[金額]]*$G$6)</f>
        <v>0</v>
      </c>
    </row>
    <row r="136" spans="1:29" ht="39.950000000000003" customHeight="1">
      <c r="A136" s="1">
        <v>1422</v>
      </c>
      <c r="B136" s="2">
        <v>551422000</v>
      </c>
      <c r="C136" s="3" t="s">
        <v>59</v>
      </c>
      <c r="K136" s="7"/>
      <c r="L136" s="7"/>
      <c r="M136" s="7"/>
      <c r="N136" s="7"/>
      <c r="O136" s="21">
        <f t="shared" si="3"/>
        <v>0</v>
      </c>
      <c r="P136" s="7"/>
      <c r="Q136" s="11"/>
      <c r="R136" s="11"/>
      <c r="S136" s="11"/>
      <c r="T136" s="11"/>
      <c r="U136" s="11"/>
      <c r="V136" s="25">
        <f>IF($G$8="",テーブル1[[#This Row],[幅]]*テーブル1[[#This Row],[長さ]],テーブル1[[#This Row],[幅]]*テーブル1[[#This Row],[長さ]]*$G$8)</f>
        <v>0</v>
      </c>
      <c r="W136" s="25" t="str">
        <f>IF(テーブル1[[#This Row],[幅]]=0,"",テーブル1[[#This Row],[KG合計]]/テーブル1[[#This Row],[SM]]*1000)</f>
        <v/>
      </c>
      <c r="X136" s="25">
        <f>IF(テーブル1[[#This Row],[g/SM]]="",テーブル1[[#This Row],[長さ]]*テーブル1[[#This Row],[g/M]]/1000,テーブル1[[#This Row],[SM]]*テーブル1[[#This Row],[g/SM]]/1000)</f>
        <v>0</v>
      </c>
      <c r="Y136" s="25"/>
      <c r="Z136" s="25">
        <f>SUM(テーブル1[[#This Row],[KG(目付)]:[KG]])</f>
        <v>0</v>
      </c>
      <c r="AA136" s="11"/>
      <c r="AB136" s="11"/>
      <c r="AC136" s="24">
        <f>$G$7*(テーブル1[[#This Row],[金額]]*$G$6)</f>
        <v>0</v>
      </c>
    </row>
    <row r="137" spans="1:29" ht="39.950000000000003" customHeight="1">
      <c r="A137" s="1">
        <v>1423</v>
      </c>
      <c r="B137" s="2">
        <v>551423000</v>
      </c>
      <c r="C137" s="3" t="s">
        <v>61</v>
      </c>
      <c r="K137" s="7"/>
      <c r="L137" s="7"/>
      <c r="M137" s="7"/>
      <c r="N137" s="7"/>
      <c r="O137" s="21">
        <f t="shared" si="3"/>
        <v>0</v>
      </c>
      <c r="P137" s="7"/>
      <c r="Q137" s="11"/>
      <c r="R137" s="11"/>
      <c r="S137" s="11"/>
      <c r="T137" s="11"/>
      <c r="U137" s="11"/>
      <c r="V137" s="25">
        <f>IF($G$8="",テーブル1[[#This Row],[幅]]*テーブル1[[#This Row],[長さ]],テーブル1[[#This Row],[幅]]*テーブル1[[#This Row],[長さ]]*$G$8)</f>
        <v>0</v>
      </c>
      <c r="W137" s="25" t="str">
        <f>IF(テーブル1[[#This Row],[幅]]=0,"",テーブル1[[#This Row],[KG合計]]/テーブル1[[#This Row],[SM]]*1000)</f>
        <v/>
      </c>
      <c r="X137" s="25">
        <f>IF(テーブル1[[#This Row],[g/SM]]="",テーブル1[[#This Row],[長さ]]*テーブル1[[#This Row],[g/M]]/1000,テーブル1[[#This Row],[SM]]*テーブル1[[#This Row],[g/SM]]/1000)</f>
        <v>0</v>
      </c>
      <c r="Y137" s="25"/>
      <c r="Z137" s="25">
        <f>SUM(テーブル1[[#This Row],[KG(目付)]:[KG]])</f>
        <v>0</v>
      </c>
      <c r="AA137" s="11"/>
      <c r="AB137" s="11"/>
      <c r="AC137" s="24">
        <f>$G$7*(テーブル1[[#This Row],[金額]]*$G$6)</f>
        <v>0</v>
      </c>
    </row>
    <row r="138" spans="1:29" ht="39.950000000000003" customHeight="1">
      <c r="A138" s="1">
        <v>1429</v>
      </c>
      <c r="B138" s="2">
        <v>551429000</v>
      </c>
      <c r="C138" s="3" t="s">
        <v>63</v>
      </c>
      <c r="K138" s="7"/>
      <c r="L138" s="7"/>
      <c r="M138" s="7"/>
      <c r="N138" s="7"/>
      <c r="O138" s="21">
        <f t="shared" si="3"/>
        <v>0</v>
      </c>
      <c r="P138" s="7"/>
      <c r="Q138" s="11"/>
      <c r="R138" s="11"/>
      <c r="S138" s="11"/>
      <c r="T138" s="11"/>
      <c r="U138" s="11"/>
      <c r="V138" s="25">
        <f>IF($G$8="",テーブル1[[#This Row],[幅]]*テーブル1[[#This Row],[長さ]],テーブル1[[#This Row],[幅]]*テーブル1[[#This Row],[長さ]]*$G$8)</f>
        <v>0</v>
      </c>
      <c r="W138" s="25" t="str">
        <f>IF(テーブル1[[#This Row],[幅]]=0,"",テーブル1[[#This Row],[KG合計]]/テーブル1[[#This Row],[SM]]*1000)</f>
        <v/>
      </c>
      <c r="X138" s="25">
        <f>IF(テーブル1[[#This Row],[g/SM]]="",テーブル1[[#This Row],[長さ]]*テーブル1[[#This Row],[g/M]]/1000,テーブル1[[#This Row],[SM]]*テーブル1[[#This Row],[g/SM]]/1000)</f>
        <v>0</v>
      </c>
      <c r="Y138" s="25"/>
      <c r="Z138" s="25">
        <f>SUM(テーブル1[[#This Row],[KG(目付)]:[KG]])</f>
        <v>0</v>
      </c>
      <c r="AA138" s="11"/>
      <c r="AB138" s="11"/>
      <c r="AC138" s="24">
        <f>$G$7*(テーブル1[[#This Row],[金額]]*$G$6)</f>
        <v>0</v>
      </c>
    </row>
    <row r="139" spans="1:29" ht="39.950000000000003" customHeight="1">
      <c r="A139" s="1">
        <v>1430</v>
      </c>
      <c r="B139" s="2">
        <v>551430000</v>
      </c>
      <c r="C139" s="3" t="s">
        <v>65</v>
      </c>
      <c r="K139" s="7"/>
      <c r="L139" s="7"/>
      <c r="M139" s="7"/>
      <c r="N139" s="7"/>
      <c r="O139" s="21">
        <f t="shared" si="3"/>
        <v>0</v>
      </c>
      <c r="P139" s="7"/>
      <c r="Q139" s="11"/>
      <c r="R139" s="11"/>
      <c r="S139" s="11"/>
      <c r="T139" s="11"/>
      <c r="U139" s="11"/>
      <c r="V139" s="25">
        <f>IF($G$8="",テーブル1[[#This Row],[幅]]*テーブル1[[#This Row],[長さ]],テーブル1[[#This Row],[幅]]*テーブル1[[#This Row],[長さ]]*$G$8)</f>
        <v>0</v>
      </c>
      <c r="W139" s="25" t="str">
        <f>IF(テーブル1[[#This Row],[幅]]=0,"",テーブル1[[#This Row],[KG合計]]/テーブル1[[#This Row],[SM]]*1000)</f>
        <v/>
      </c>
      <c r="X139" s="25">
        <f>IF(テーブル1[[#This Row],[g/SM]]="",テーブル1[[#This Row],[長さ]]*テーブル1[[#This Row],[g/M]]/1000,テーブル1[[#This Row],[SM]]*テーブル1[[#This Row],[g/SM]]/1000)</f>
        <v>0</v>
      </c>
      <c r="Y139" s="25"/>
      <c r="Z139" s="25">
        <f>SUM(テーブル1[[#This Row],[KG(目付)]:[KG]])</f>
        <v>0</v>
      </c>
      <c r="AA139" s="11"/>
      <c r="AB139" s="11"/>
      <c r="AC139" s="24">
        <f>$G$7*(テーブル1[[#This Row],[金額]]*$G$6)</f>
        <v>0</v>
      </c>
    </row>
    <row r="140" spans="1:29" ht="39.950000000000003" customHeight="1">
      <c r="A140" s="1">
        <v>1441</v>
      </c>
      <c r="B140" s="2">
        <v>551441000</v>
      </c>
      <c r="C140" s="3" t="s">
        <v>67</v>
      </c>
      <c r="K140" s="7"/>
      <c r="L140" s="7"/>
      <c r="M140" s="7"/>
      <c r="N140" s="7"/>
      <c r="O140" s="21">
        <f t="shared" si="3"/>
        <v>0</v>
      </c>
      <c r="P140" s="7"/>
      <c r="Q140" s="11"/>
      <c r="R140" s="11"/>
      <c r="S140" s="11"/>
      <c r="T140" s="11"/>
      <c r="U140" s="11"/>
      <c r="V140" s="25">
        <f>IF($G$8="",テーブル1[[#This Row],[幅]]*テーブル1[[#This Row],[長さ]],テーブル1[[#This Row],[幅]]*テーブル1[[#This Row],[長さ]]*$G$8)</f>
        <v>0</v>
      </c>
      <c r="W140" s="25" t="str">
        <f>IF(テーブル1[[#This Row],[幅]]=0,"",テーブル1[[#This Row],[KG合計]]/テーブル1[[#This Row],[SM]]*1000)</f>
        <v/>
      </c>
      <c r="X140" s="25">
        <f>IF(テーブル1[[#This Row],[g/SM]]="",テーブル1[[#This Row],[長さ]]*テーブル1[[#This Row],[g/M]]/1000,テーブル1[[#This Row],[SM]]*テーブル1[[#This Row],[g/SM]]/1000)</f>
        <v>0</v>
      </c>
      <c r="Y140" s="25"/>
      <c r="Z140" s="25">
        <f>SUM(テーブル1[[#This Row],[KG(目付)]:[KG]])</f>
        <v>0</v>
      </c>
      <c r="AA140" s="11"/>
      <c r="AB140" s="11"/>
      <c r="AC140" s="24">
        <f>$G$7*(テーブル1[[#This Row],[金額]]*$G$6)</f>
        <v>0</v>
      </c>
    </row>
    <row r="141" spans="1:29" ht="39.950000000000003" customHeight="1">
      <c r="A141" s="1">
        <v>1442</v>
      </c>
      <c r="B141" s="2">
        <v>551442000</v>
      </c>
      <c r="C141" s="3" t="s">
        <v>69</v>
      </c>
      <c r="K141" s="7"/>
      <c r="L141" s="7"/>
      <c r="M141" s="7"/>
      <c r="N141" s="7"/>
      <c r="O141" s="21">
        <f t="shared" si="3"/>
        <v>0</v>
      </c>
      <c r="P141" s="7"/>
      <c r="Q141" s="11"/>
      <c r="R141" s="11"/>
      <c r="S141" s="11"/>
      <c r="T141" s="11"/>
      <c r="U141" s="11"/>
      <c r="V141" s="25">
        <f>IF($G$8="",テーブル1[[#This Row],[幅]]*テーブル1[[#This Row],[長さ]],テーブル1[[#This Row],[幅]]*テーブル1[[#This Row],[長さ]]*$G$8)</f>
        <v>0</v>
      </c>
      <c r="W141" s="25" t="str">
        <f>IF(テーブル1[[#This Row],[幅]]=0,"",テーブル1[[#This Row],[KG合計]]/テーブル1[[#This Row],[SM]]*1000)</f>
        <v/>
      </c>
      <c r="X141" s="25">
        <f>IF(テーブル1[[#This Row],[g/SM]]="",テーブル1[[#This Row],[長さ]]*テーブル1[[#This Row],[g/M]]/1000,テーブル1[[#This Row],[SM]]*テーブル1[[#This Row],[g/SM]]/1000)</f>
        <v>0</v>
      </c>
      <c r="Y141" s="25"/>
      <c r="Z141" s="25">
        <f>SUM(テーブル1[[#This Row],[KG(目付)]:[KG]])</f>
        <v>0</v>
      </c>
      <c r="AA141" s="11"/>
      <c r="AB141" s="11"/>
      <c r="AC141" s="24">
        <f>$G$7*(テーブル1[[#This Row],[金額]]*$G$6)</f>
        <v>0</v>
      </c>
    </row>
    <row r="142" spans="1:29" ht="39.950000000000003" customHeight="1">
      <c r="A142" s="1">
        <v>1443</v>
      </c>
      <c r="B142" s="2">
        <v>551443000</v>
      </c>
      <c r="C142" s="3" t="s">
        <v>71</v>
      </c>
      <c r="K142" s="7"/>
      <c r="L142" s="7"/>
      <c r="M142" s="7"/>
      <c r="N142" s="7"/>
      <c r="O142" s="21">
        <f t="shared" si="3"/>
        <v>0</v>
      </c>
      <c r="P142" s="7"/>
      <c r="Q142" s="11"/>
      <c r="R142" s="11"/>
      <c r="S142" s="11"/>
      <c r="T142" s="11"/>
      <c r="U142" s="11"/>
      <c r="V142" s="25">
        <f>IF($G$8="",テーブル1[[#This Row],[幅]]*テーブル1[[#This Row],[長さ]],テーブル1[[#This Row],[幅]]*テーブル1[[#This Row],[長さ]]*$G$8)</f>
        <v>0</v>
      </c>
      <c r="W142" s="25" t="str">
        <f>IF(テーブル1[[#This Row],[幅]]=0,"",テーブル1[[#This Row],[KG合計]]/テーブル1[[#This Row],[SM]]*1000)</f>
        <v/>
      </c>
      <c r="X142" s="25">
        <f>IF(テーブル1[[#This Row],[g/SM]]="",テーブル1[[#This Row],[長さ]]*テーブル1[[#This Row],[g/M]]/1000,テーブル1[[#This Row],[SM]]*テーブル1[[#This Row],[g/SM]]/1000)</f>
        <v>0</v>
      </c>
      <c r="Y142" s="25"/>
      <c r="Z142" s="25">
        <f>SUM(テーブル1[[#This Row],[KG(目付)]:[KG]])</f>
        <v>0</v>
      </c>
      <c r="AA142" s="11"/>
      <c r="AB142" s="11"/>
      <c r="AC142" s="24">
        <f>$G$7*(テーブル1[[#This Row],[金額]]*$G$6)</f>
        <v>0</v>
      </c>
    </row>
    <row r="143" spans="1:29" ht="39.950000000000003" customHeight="1">
      <c r="A143" s="1">
        <v>1449</v>
      </c>
      <c r="B143" s="2">
        <v>551449000</v>
      </c>
      <c r="C143" s="3" t="s">
        <v>73</v>
      </c>
      <c r="K143" s="7"/>
      <c r="L143" s="7"/>
      <c r="M143" s="7"/>
      <c r="N143" s="7"/>
      <c r="O143" s="21">
        <f t="shared" si="3"/>
        <v>0</v>
      </c>
      <c r="P143" s="7"/>
      <c r="Q143" s="11"/>
      <c r="R143" s="11"/>
      <c r="S143" s="11"/>
      <c r="T143" s="11"/>
      <c r="U143" s="11"/>
      <c r="V143" s="25">
        <f>IF($G$8="",テーブル1[[#This Row],[幅]]*テーブル1[[#This Row],[長さ]],テーブル1[[#This Row],[幅]]*テーブル1[[#This Row],[長さ]]*$G$8)</f>
        <v>0</v>
      </c>
      <c r="W143" s="25" t="str">
        <f>IF(テーブル1[[#This Row],[幅]]=0,"",テーブル1[[#This Row],[KG合計]]/テーブル1[[#This Row],[SM]]*1000)</f>
        <v/>
      </c>
      <c r="X143" s="25">
        <f>IF(テーブル1[[#This Row],[g/SM]]="",テーブル1[[#This Row],[長さ]]*テーブル1[[#This Row],[g/M]]/1000,テーブル1[[#This Row],[SM]]*テーブル1[[#This Row],[g/SM]]/1000)</f>
        <v>0</v>
      </c>
      <c r="Y143" s="25"/>
      <c r="Z143" s="25">
        <f>SUM(テーブル1[[#This Row],[KG(目付)]:[KG]])</f>
        <v>0</v>
      </c>
      <c r="AA143" s="11"/>
      <c r="AB143" s="11"/>
      <c r="AC143" s="24">
        <f>$G$7*(テーブル1[[#This Row],[金額]]*$G$6)</f>
        <v>0</v>
      </c>
    </row>
    <row r="144" spans="1:29" ht="39.950000000000003" customHeight="1">
      <c r="A144" s="1">
        <v>48211</v>
      </c>
      <c r="B144" s="2">
        <v>540821100</v>
      </c>
      <c r="K144" s="7"/>
      <c r="L144" s="7"/>
      <c r="M144" s="7"/>
      <c r="N144" s="7"/>
      <c r="O144" s="21">
        <f t="shared" si="3"/>
        <v>0</v>
      </c>
      <c r="P144" s="7"/>
      <c r="Q144" s="11"/>
      <c r="R144" s="11"/>
      <c r="S144" s="11"/>
      <c r="T144" s="11"/>
      <c r="U144" s="11"/>
      <c r="V144" s="25">
        <f>IF($G$8="",テーブル1[[#This Row],[幅]]*テーブル1[[#This Row],[長さ]],テーブル1[[#This Row],[幅]]*テーブル1[[#This Row],[長さ]]*$G$8)</f>
        <v>0</v>
      </c>
      <c r="W144" s="25" t="str">
        <f>IF(テーブル1[[#This Row],[幅]]=0,"",テーブル1[[#This Row],[KG合計]]/テーブル1[[#This Row],[SM]]*1000)</f>
        <v/>
      </c>
      <c r="X144" s="25">
        <f>IF(テーブル1[[#This Row],[g/SM]]="",テーブル1[[#This Row],[長さ]]*テーブル1[[#This Row],[g/M]]/1000,テーブル1[[#This Row],[SM]]*テーブル1[[#This Row],[g/SM]]/1000)</f>
        <v>0</v>
      </c>
      <c r="Y144" s="25"/>
      <c r="Z144" s="25">
        <f>SUM(テーブル1[[#This Row],[KG(目付)]:[KG]])</f>
        <v>0</v>
      </c>
      <c r="AA144" s="11"/>
      <c r="AB144" s="11"/>
      <c r="AC144" s="24">
        <f>$G$7*(テーブル1[[#This Row],[金額]]*$G$6)</f>
        <v>0</v>
      </c>
    </row>
    <row r="145" spans="1:29" ht="39.950000000000003" customHeight="1">
      <c r="A145" s="1">
        <v>48212</v>
      </c>
      <c r="B145" s="2">
        <v>540821200</v>
      </c>
      <c r="K145" s="7"/>
      <c r="L145" s="7"/>
      <c r="M145" s="7"/>
      <c r="N145" s="7"/>
      <c r="O145" s="21">
        <f t="shared" si="3"/>
        <v>0</v>
      </c>
      <c r="P145" s="7"/>
      <c r="Q145" s="11"/>
      <c r="R145" s="11"/>
      <c r="S145" s="11"/>
      <c r="T145" s="11"/>
      <c r="U145" s="11"/>
      <c r="V145" s="25">
        <f>IF($G$8="",テーブル1[[#This Row],[幅]]*テーブル1[[#This Row],[長さ]],テーブル1[[#This Row],[幅]]*テーブル1[[#This Row],[長さ]]*$G$8)</f>
        <v>0</v>
      </c>
      <c r="W145" s="25" t="str">
        <f>IF(テーブル1[[#This Row],[幅]]=0,"",テーブル1[[#This Row],[KG合計]]/テーブル1[[#This Row],[SM]]*1000)</f>
        <v/>
      </c>
      <c r="X145" s="25">
        <f>IF(テーブル1[[#This Row],[g/SM]]="",テーブル1[[#This Row],[長さ]]*テーブル1[[#This Row],[g/M]]/1000,テーブル1[[#This Row],[SM]]*テーブル1[[#This Row],[g/SM]]/1000)</f>
        <v>0</v>
      </c>
      <c r="Y145" s="25"/>
      <c r="Z145" s="25">
        <f>SUM(テーブル1[[#This Row],[KG(目付)]:[KG]])</f>
        <v>0</v>
      </c>
      <c r="AA145" s="11"/>
      <c r="AB145" s="11"/>
      <c r="AC145" s="24">
        <f>$G$7*(テーブル1[[#This Row],[金額]]*$G$6)</f>
        <v>0</v>
      </c>
    </row>
    <row r="146" spans="1:29" ht="39.950000000000003" customHeight="1">
      <c r="A146" s="1">
        <v>48213</v>
      </c>
      <c r="B146" s="2">
        <v>540821300</v>
      </c>
      <c r="K146" s="7"/>
      <c r="L146" s="7"/>
      <c r="M146" s="7"/>
      <c r="N146" s="7"/>
      <c r="O146" s="21">
        <f t="shared" si="3"/>
        <v>0</v>
      </c>
      <c r="P146" s="7"/>
      <c r="Q146" s="11"/>
      <c r="R146" s="11"/>
      <c r="S146" s="11"/>
      <c r="T146" s="11"/>
      <c r="U146" s="11"/>
      <c r="V146" s="25">
        <f>IF($G$8="",テーブル1[[#This Row],[幅]]*テーブル1[[#This Row],[長さ]],テーブル1[[#This Row],[幅]]*テーブル1[[#This Row],[長さ]]*$G$8)</f>
        <v>0</v>
      </c>
      <c r="W146" s="25" t="str">
        <f>IF(テーブル1[[#This Row],[幅]]=0,"",テーブル1[[#This Row],[KG合計]]/テーブル1[[#This Row],[SM]]*1000)</f>
        <v/>
      </c>
      <c r="X146" s="25">
        <f>IF(テーブル1[[#This Row],[g/SM]]="",テーブル1[[#This Row],[長さ]]*テーブル1[[#This Row],[g/M]]/1000,テーブル1[[#This Row],[SM]]*テーブル1[[#This Row],[g/SM]]/1000)</f>
        <v>0</v>
      </c>
      <c r="Y146" s="25"/>
      <c r="Z146" s="25">
        <f>SUM(テーブル1[[#This Row],[KG(目付)]:[KG]])</f>
        <v>0</v>
      </c>
      <c r="AA146" s="11"/>
      <c r="AB146" s="11"/>
      <c r="AC146" s="24">
        <f>$G$7*(テーブル1[[#This Row],[金額]]*$G$6)</f>
        <v>0</v>
      </c>
    </row>
    <row r="147" spans="1:29" ht="39.950000000000003" customHeight="1">
      <c r="A147" s="1">
        <v>48219</v>
      </c>
      <c r="B147" s="2">
        <v>540821900</v>
      </c>
      <c r="K147" s="7"/>
      <c r="L147" s="7"/>
      <c r="M147" s="7"/>
      <c r="N147" s="7"/>
      <c r="O147" s="21">
        <f t="shared" si="3"/>
        <v>0</v>
      </c>
      <c r="P147" s="7"/>
      <c r="Q147" s="11"/>
      <c r="R147" s="11"/>
      <c r="S147" s="11"/>
      <c r="T147" s="11"/>
      <c r="U147" s="11"/>
      <c r="V147" s="25">
        <f>IF($G$8="",テーブル1[[#This Row],[幅]]*テーブル1[[#This Row],[長さ]],テーブル1[[#This Row],[幅]]*テーブル1[[#This Row],[長さ]]*$G$8)</f>
        <v>0</v>
      </c>
      <c r="W147" s="25" t="str">
        <f>IF(テーブル1[[#This Row],[幅]]=0,"",テーブル1[[#This Row],[KG合計]]/テーブル1[[#This Row],[SM]]*1000)</f>
        <v/>
      </c>
      <c r="X147" s="25">
        <f>IF(テーブル1[[#This Row],[g/SM]]="",テーブル1[[#This Row],[長さ]]*テーブル1[[#This Row],[g/M]]/1000,テーブル1[[#This Row],[SM]]*テーブル1[[#This Row],[g/SM]]/1000)</f>
        <v>0</v>
      </c>
      <c r="Y147" s="25"/>
      <c r="Z147" s="25">
        <f>SUM(テーブル1[[#This Row],[KG(目付)]:[KG]])</f>
        <v>0</v>
      </c>
      <c r="AA147" s="11"/>
      <c r="AB147" s="11"/>
      <c r="AC147" s="24">
        <f>$G$7*(テーブル1[[#This Row],[金額]]*$G$6)</f>
        <v>0</v>
      </c>
    </row>
    <row r="148" spans="1:29" ht="39.950000000000003" customHeight="1">
      <c r="A148" s="1">
        <v>48221</v>
      </c>
      <c r="B148" s="2">
        <v>540822100</v>
      </c>
      <c r="K148" s="7"/>
      <c r="L148" s="7"/>
      <c r="M148" s="7"/>
      <c r="N148" s="7"/>
      <c r="O148" s="21">
        <f t="shared" si="3"/>
        <v>0</v>
      </c>
      <c r="P148" s="7"/>
      <c r="Q148" s="11"/>
      <c r="R148" s="11"/>
      <c r="S148" s="11"/>
      <c r="T148" s="11"/>
      <c r="U148" s="11"/>
      <c r="V148" s="25">
        <f>IF($G$8="",テーブル1[[#This Row],[幅]]*テーブル1[[#This Row],[長さ]],テーブル1[[#This Row],[幅]]*テーブル1[[#This Row],[長さ]]*$G$8)</f>
        <v>0</v>
      </c>
      <c r="W148" s="25" t="str">
        <f>IF(テーブル1[[#This Row],[幅]]=0,"",テーブル1[[#This Row],[KG合計]]/テーブル1[[#This Row],[SM]]*1000)</f>
        <v/>
      </c>
      <c r="X148" s="25">
        <f>IF(テーブル1[[#This Row],[g/SM]]="",テーブル1[[#This Row],[長さ]]*テーブル1[[#This Row],[g/M]]/1000,テーブル1[[#This Row],[SM]]*テーブル1[[#This Row],[g/SM]]/1000)</f>
        <v>0</v>
      </c>
      <c r="Y148" s="25"/>
      <c r="Z148" s="25">
        <f>SUM(テーブル1[[#This Row],[KG(目付)]:[KG]])</f>
        <v>0</v>
      </c>
      <c r="AA148" s="11"/>
      <c r="AB148" s="11"/>
      <c r="AC148" s="24">
        <f>$G$7*(テーブル1[[#This Row],[金額]]*$G$6)</f>
        <v>0</v>
      </c>
    </row>
    <row r="149" spans="1:29" ht="39.950000000000003" customHeight="1">
      <c r="A149" s="1">
        <v>48222</v>
      </c>
      <c r="B149" s="2">
        <v>540822200</v>
      </c>
      <c r="K149" s="7"/>
      <c r="L149" s="7"/>
      <c r="M149" s="7"/>
      <c r="N149" s="7"/>
      <c r="O149" s="21">
        <f t="shared" si="3"/>
        <v>0</v>
      </c>
      <c r="P149" s="7"/>
      <c r="Q149" s="11"/>
      <c r="R149" s="11"/>
      <c r="S149" s="11"/>
      <c r="T149" s="11"/>
      <c r="U149" s="11"/>
      <c r="V149" s="25">
        <f>IF($G$8="",テーブル1[[#This Row],[幅]]*テーブル1[[#This Row],[長さ]],テーブル1[[#This Row],[幅]]*テーブル1[[#This Row],[長さ]]*$G$8)</f>
        <v>0</v>
      </c>
      <c r="W149" s="25" t="str">
        <f>IF(テーブル1[[#This Row],[幅]]=0,"",テーブル1[[#This Row],[KG合計]]/テーブル1[[#This Row],[SM]]*1000)</f>
        <v/>
      </c>
      <c r="X149" s="25">
        <f>IF(テーブル1[[#This Row],[g/SM]]="",テーブル1[[#This Row],[長さ]]*テーブル1[[#This Row],[g/M]]/1000,テーブル1[[#This Row],[SM]]*テーブル1[[#This Row],[g/SM]]/1000)</f>
        <v>0</v>
      </c>
      <c r="Y149" s="25"/>
      <c r="Z149" s="25">
        <f>SUM(テーブル1[[#This Row],[KG(目付)]:[KG]])</f>
        <v>0</v>
      </c>
      <c r="AA149" s="11"/>
      <c r="AB149" s="11"/>
      <c r="AC149" s="24">
        <f>$G$7*(テーブル1[[#This Row],[金額]]*$G$6)</f>
        <v>0</v>
      </c>
    </row>
    <row r="150" spans="1:29" ht="39.950000000000003" customHeight="1">
      <c r="A150" s="1">
        <v>48223</v>
      </c>
      <c r="B150" s="2">
        <v>540822300</v>
      </c>
      <c r="K150" s="7"/>
      <c r="L150" s="7"/>
      <c r="M150" s="7"/>
      <c r="N150" s="7"/>
      <c r="O150" s="21">
        <f t="shared" si="3"/>
        <v>0</v>
      </c>
      <c r="P150" s="7"/>
      <c r="Q150" s="11"/>
      <c r="R150" s="11"/>
      <c r="S150" s="11"/>
      <c r="T150" s="11"/>
      <c r="U150" s="11"/>
      <c r="V150" s="25">
        <f>IF($G$8="",テーブル1[[#This Row],[幅]]*テーブル1[[#This Row],[長さ]],テーブル1[[#This Row],[幅]]*テーブル1[[#This Row],[長さ]]*$G$8)</f>
        <v>0</v>
      </c>
      <c r="W150" s="25" t="str">
        <f>IF(テーブル1[[#This Row],[幅]]=0,"",テーブル1[[#This Row],[KG合計]]/テーブル1[[#This Row],[SM]]*1000)</f>
        <v/>
      </c>
      <c r="X150" s="25">
        <f>IF(テーブル1[[#This Row],[g/SM]]="",テーブル1[[#This Row],[長さ]]*テーブル1[[#This Row],[g/M]]/1000,テーブル1[[#This Row],[SM]]*テーブル1[[#This Row],[g/SM]]/1000)</f>
        <v>0</v>
      </c>
      <c r="Y150" s="25"/>
      <c r="Z150" s="25">
        <f>SUM(テーブル1[[#This Row],[KG(目付)]:[KG]])</f>
        <v>0</v>
      </c>
      <c r="AA150" s="11"/>
      <c r="AB150" s="11"/>
      <c r="AC150" s="24">
        <f>$G$7*(テーブル1[[#This Row],[金額]]*$G$6)</f>
        <v>0</v>
      </c>
    </row>
    <row r="151" spans="1:29" ht="39.950000000000003" customHeight="1">
      <c r="A151" s="1">
        <v>48229</v>
      </c>
      <c r="B151" s="2">
        <v>540822900</v>
      </c>
      <c r="K151" s="7"/>
      <c r="L151" s="7"/>
      <c r="M151" s="7"/>
      <c r="N151" s="7"/>
      <c r="O151" s="21">
        <f t="shared" si="3"/>
        <v>0</v>
      </c>
      <c r="P151" s="7"/>
      <c r="Q151" s="11"/>
      <c r="R151" s="11"/>
      <c r="S151" s="11"/>
      <c r="T151" s="11"/>
      <c r="U151" s="11"/>
      <c r="V151" s="25">
        <f>IF($G$8="",テーブル1[[#This Row],[幅]]*テーブル1[[#This Row],[長さ]],テーブル1[[#This Row],[幅]]*テーブル1[[#This Row],[長さ]]*$G$8)</f>
        <v>0</v>
      </c>
      <c r="W151" s="25" t="str">
        <f>IF(テーブル1[[#This Row],[幅]]=0,"",テーブル1[[#This Row],[KG合計]]/テーブル1[[#This Row],[SM]]*1000)</f>
        <v/>
      </c>
      <c r="X151" s="25">
        <f>IF(テーブル1[[#This Row],[g/SM]]="",テーブル1[[#This Row],[長さ]]*テーブル1[[#This Row],[g/M]]/1000,テーブル1[[#This Row],[SM]]*テーブル1[[#This Row],[g/SM]]/1000)</f>
        <v>0</v>
      </c>
      <c r="Y151" s="25"/>
      <c r="Z151" s="25">
        <f>SUM(テーブル1[[#This Row],[KG(目付)]:[KG]])</f>
        <v>0</v>
      </c>
      <c r="AA151" s="11"/>
      <c r="AB151" s="11"/>
      <c r="AC151" s="24">
        <f>$G$7*(テーブル1[[#This Row],[金額]]*$G$6)</f>
        <v>0</v>
      </c>
    </row>
    <row r="152" spans="1:29" ht="39.950000000000003" customHeight="1">
      <c r="A152" s="1">
        <v>48231</v>
      </c>
      <c r="B152" s="2">
        <v>540823100</v>
      </c>
      <c r="K152" s="7"/>
      <c r="L152" s="7"/>
      <c r="M152" s="7"/>
      <c r="N152" s="7"/>
      <c r="O152" s="21">
        <f t="shared" si="3"/>
        <v>0</v>
      </c>
      <c r="P152" s="7"/>
      <c r="Q152" s="11"/>
      <c r="R152" s="11"/>
      <c r="S152" s="11"/>
      <c r="T152" s="11"/>
      <c r="U152" s="11"/>
      <c r="V152" s="25">
        <f>IF($G$8="",テーブル1[[#This Row],[幅]]*テーブル1[[#This Row],[長さ]],テーブル1[[#This Row],[幅]]*テーブル1[[#This Row],[長さ]]*$G$8)</f>
        <v>0</v>
      </c>
      <c r="W152" s="25" t="str">
        <f>IF(テーブル1[[#This Row],[幅]]=0,"",テーブル1[[#This Row],[KG合計]]/テーブル1[[#This Row],[SM]]*1000)</f>
        <v/>
      </c>
      <c r="X152" s="25">
        <f>IF(テーブル1[[#This Row],[g/SM]]="",テーブル1[[#This Row],[長さ]]*テーブル1[[#This Row],[g/M]]/1000,テーブル1[[#This Row],[SM]]*テーブル1[[#This Row],[g/SM]]/1000)</f>
        <v>0</v>
      </c>
      <c r="Y152" s="25"/>
      <c r="Z152" s="25">
        <f>SUM(テーブル1[[#This Row],[KG(目付)]:[KG]])</f>
        <v>0</v>
      </c>
      <c r="AA152" s="11"/>
      <c r="AB152" s="11"/>
      <c r="AC152" s="24">
        <f>$G$7*(テーブル1[[#This Row],[金額]]*$G$6)</f>
        <v>0</v>
      </c>
    </row>
    <row r="153" spans="1:29" ht="39.950000000000003" customHeight="1">
      <c r="A153" s="1">
        <v>48232</v>
      </c>
      <c r="B153" s="2">
        <v>540823200</v>
      </c>
      <c r="K153" s="7"/>
      <c r="L153" s="7"/>
      <c r="M153" s="7"/>
      <c r="N153" s="7"/>
      <c r="O153" s="21">
        <f t="shared" si="3"/>
        <v>0</v>
      </c>
      <c r="P153" s="7"/>
      <c r="Q153" s="11"/>
      <c r="R153" s="11"/>
      <c r="S153" s="11"/>
      <c r="T153" s="11"/>
      <c r="U153" s="11"/>
      <c r="V153" s="25">
        <f>IF($G$8="",テーブル1[[#This Row],[幅]]*テーブル1[[#This Row],[長さ]],テーブル1[[#This Row],[幅]]*テーブル1[[#This Row],[長さ]]*$G$8)</f>
        <v>0</v>
      </c>
      <c r="W153" s="25" t="str">
        <f>IF(テーブル1[[#This Row],[幅]]=0,"",テーブル1[[#This Row],[KG合計]]/テーブル1[[#This Row],[SM]]*1000)</f>
        <v/>
      </c>
      <c r="X153" s="25">
        <f>IF(テーブル1[[#This Row],[g/SM]]="",テーブル1[[#This Row],[長さ]]*テーブル1[[#This Row],[g/M]]/1000,テーブル1[[#This Row],[SM]]*テーブル1[[#This Row],[g/SM]]/1000)</f>
        <v>0</v>
      </c>
      <c r="Y153" s="25"/>
      <c r="Z153" s="25">
        <f>SUM(テーブル1[[#This Row],[KG(目付)]:[KG]])</f>
        <v>0</v>
      </c>
      <c r="AA153" s="11"/>
      <c r="AB153" s="11"/>
      <c r="AC153" s="24">
        <f>$G$7*(テーブル1[[#This Row],[金額]]*$G$6)</f>
        <v>0</v>
      </c>
    </row>
    <row r="154" spans="1:29" ht="39.950000000000003" customHeight="1">
      <c r="A154" s="1">
        <v>48233</v>
      </c>
      <c r="B154" s="2">
        <v>540823300</v>
      </c>
      <c r="K154" s="7"/>
      <c r="L154" s="7"/>
      <c r="M154" s="7"/>
      <c r="N154" s="7"/>
      <c r="O154" s="21">
        <f t="shared" si="3"/>
        <v>0</v>
      </c>
      <c r="P154" s="7"/>
      <c r="Q154" s="11"/>
      <c r="R154" s="11"/>
      <c r="S154" s="11"/>
      <c r="T154" s="11"/>
      <c r="U154" s="11"/>
      <c r="V154" s="25">
        <f>IF($G$8="",テーブル1[[#This Row],[幅]]*テーブル1[[#This Row],[長さ]],テーブル1[[#This Row],[幅]]*テーブル1[[#This Row],[長さ]]*$G$8)</f>
        <v>0</v>
      </c>
      <c r="W154" s="25" t="str">
        <f>IF(テーブル1[[#This Row],[幅]]=0,"",テーブル1[[#This Row],[KG合計]]/テーブル1[[#This Row],[SM]]*1000)</f>
        <v/>
      </c>
      <c r="X154" s="25">
        <f>IF(テーブル1[[#This Row],[g/SM]]="",テーブル1[[#This Row],[長さ]]*テーブル1[[#This Row],[g/M]]/1000,テーブル1[[#This Row],[SM]]*テーブル1[[#This Row],[g/SM]]/1000)</f>
        <v>0</v>
      </c>
      <c r="Y154" s="25"/>
      <c r="Z154" s="25">
        <f>SUM(テーブル1[[#This Row],[KG(目付)]:[KG]])</f>
        <v>0</v>
      </c>
      <c r="AA154" s="11"/>
      <c r="AB154" s="11"/>
      <c r="AC154" s="24">
        <f>$G$7*(テーブル1[[#This Row],[金額]]*$G$6)</f>
        <v>0</v>
      </c>
    </row>
    <row r="155" spans="1:29" ht="39.950000000000003" customHeight="1">
      <c r="A155" s="1">
        <v>48239</v>
      </c>
      <c r="B155" s="2">
        <v>540823900</v>
      </c>
      <c r="K155" s="7"/>
      <c r="L155" s="7"/>
      <c r="M155" s="7"/>
      <c r="N155" s="7"/>
      <c r="O155" s="21">
        <f t="shared" si="3"/>
        <v>0</v>
      </c>
      <c r="P155" s="7"/>
      <c r="Q155" s="11"/>
      <c r="R155" s="11"/>
      <c r="S155" s="11"/>
      <c r="T155" s="11"/>
      <c r="U155" s="11"/>
      <c r="V155" s="25">
        <f>IF($G$8="",テーブル1[[#This Row],[幅]]*テーブル1[[#This Row],[長さ]],テーブル1[[#This Row],[幅]]*テーブル1[[#This Row],[長さ]]*$G$8)</f>
        <v>0</v>
      </c>
      <c r="W155" s="25" t="str">
        <f>IF(テーブル1[[#This Row],[幅]]=0,"",テーブル1[[#This Row],[KG合計]]/テーブル1[[#This Row],[SM]]*1000)</f>
        <v/>
      </c>
      <c r="X155" s="25">
        <f>IF(テーブル1[[#This Row],[g/SM]]="",テーブル1[[#This Row],[長さ]]*テーブル1[[#This Row],[g/M]]/1000,テーブル1[[#This Row],[SM]]*テーブル1[[#This Row],[g/SM]]/1000)</f>
        <v>0</v>
      </c>
      <c r="Y155" s="25"/>
      <c r="Z155" s="25">
        <f>SUM(テーブル1[[#This Row],[KG(目付)]:[KG]])</f>
        <v>0</v>
      </c>
      <c r="AA155" s="11"/>
      <c r="AB155" s="11"/>
      <c r="AC155" s="24">
        <f>$G$7*(テーブル1[[#This Row],[金額]]*$G$6)</f>
        <v>0</v>
      </c>
    </row>
    <row r="156" spans="1:29" ht="39.950000000000003" customHeight="1">
      <c r="A156" s="1">
        <v>48241</v>
      </c>
      <c r="B156" s="2">
        <v>540824100</v>
      </c>
      <c r="K156" s="7"/>
      <c r="L156" s="7"/>
      <c r="M156" s="7"/>
      <c r="N156" s="7"/>
      <c r="O156" s="21">
        <f t="shared" si="3"/>
        <v>0</v>
      </c>
      <c r="P156" s="7"/>
      <c r="Q156" s="11"/>
      <c r="R156" s="11"/>
      <c r="S156" s="11"/>
      <c r="T156" s="11"/>
      <c r="U156" s="11"/>
      <c r="V156" s="25">
        <f>IF($G$8="",テーブル1[[#This Row],[幅]]*テーブル1[[#This Row],[長さ]],テーブル1[[#This Row],[幅]]*テーブル1[[#This Row],[長さ]]*$G$8)</f>
        <v>0</v>
      </c>
      <c r="W156" s="25" t="str">
        <f>IF(テーブル1[[#This Row],[幅]]=0,"",テーブル1[[#This Row],[KG合計]]/テーブル1[[#This Row],[SM]]*1000)</f>
        <v/>
      </c>
      <c r="X156" s="25">
        <f>IF(テーブル1[[#This Row],[g/SM]]="",テーブル1[[#This Row],[長さ]]*テーブル1[[#This Row],[g/M]]/1000,テーブル1[[#This Row],[SM]]*テーブル1[[#This Row],[g/SM]]/1000)</f>
        <v>0</v>
      </c>
      <c r="Y156" s="25"/>
      <c r="Z156" s="25">
        <f>SUM(テーブル1[[#This Row],[KG(目付)]:[KG]])</f>
        <v>0</v>
      </c>
      <c r="AA156" s="11"/>
      <c r="AB156" s="11"/>
      <c r="AC156" s="24">
        <f>$G$7*(テーブル1[[#This Row],[金額]]*$G$6)</f>
        <v>0</v>
      </c>
    </row>
    <row r="157" spans="1:29" ht="39.950000000000003" customHeight="1">
      <c r="A157" s="1">
        <v>48242</v>
      </c>
      <c r="B157" s="2">
        <v>540824200</v>
      </c>
      <c r="K157" s="7"/>
      <c r="L157" s="7"/>
      <c r="M157" s="7"/>
      <c r="N157" s="7"/>
      <c r="O157" s="21">
        <f t="shared" si="3"/>
        <v>0</v>
      </c>
      <c r="P157" s="7"/>
      <c r="Q157" s="11"/>
      <c r="R157" s="11"/>
      <c r="S157" s="11"/>
      <c r="T157" s="11"/>
      <c r="U157" s="11"/>
      <c r="V157" s="25">
        <f>IF($G$8="",テーブル1[[#This Row],[幅]]*テーブル1[[#This Row],[長さ]],テーブル1[[#This Row],[幅]]*テーブル1[[#This Row],[長さ]]*$G$8)</f>
        <v>0</v>
      </c>
      <c r="W157" s="25" t="str">
        <f>IF(テーブル1[[#This Row],[幅]]=0,"",テーブル1[[#This Row],[KG合計]]/テーブル1[[#This Row],[SM]]*1000)</f>
        <v/>
      </c>
      <c r="X157" s="25">
        <f>IF(テーブル1[[#This Row],[g/SM]]="",テーブル1[[#This Row],[長さ]]*テーブル1[[#This Row],[g/M]]/1000,テーブル1[[#This Row],[SM]]*テーブル1[[#This Row],[g/SM]]/1000)</f>
        <v>0</v>
      </c>
      <c r="Y157" s="25"/>
      <c r="Z157" s="25">
        <f>SUM(テーブル1[[#This Row],[KG(目付)]:[KG]])</f>
        <v>0</v>
      </c>
      <c r="AA157" s="11"/>
      <c r="AB157" s="11"/>
      <c r="AC157" s="24">
        <f>$G$7*(テーブル1[[#This Row],[金額]]*$G$6)</f>
        <v>0</v>
      </c>
    </row>
    <row r="158" spans="1:29" ht="39.950000000000003" customHeight="1">
      <c r="A158" s="1">
        <v>48243</v>
      </c>
      <c r="B158" s="2">
        <v>540824300</v>
      </c>
      <c r="K158" s="7"/>
      <c r="L158" s="7"/>
      <c r="M158" s="7"/>
      <c r="N158" s="7"/>
      <c r="O158" s="21">
        <f t="shared" si="3"/>
        <v>0</v>
      </c>
      <c r="P158" s="7"/>
      <c r="Q158" s="11"/>
      <c r="R158" s="11"/>
      <c r="S158" s="11"/>
      <c r="T158" s="11"/>
      <c r="U158" s="11"/>
      <c r="V158" s="25">
        <f>IF($G$8="",テーブル1[[#This Row],[幅]]*テーブル1[[#This Row],[長さ]],テーブル1[[#This Row],[幅]]*テーブル1[[#This Row],[長さ]]*$G$8)</f>
        <v>0</v>
      </c>
      <c r="W158" s="25" t="str">
        <f>IF(テーブル1[[#This Row],[幅]]=0,"",テーブル1[[#This Row],[KG合計]]/テーブル1[[#This Row],[SM]]*1000)</f>
        <v/>
      </c>
      <c r="X158" s="25">
        <f>IF(テーブル1[[#This Row],[g/SM]]="",テーブル1[[#This Row],[長さ]]*テーブル1[[#This Row],[g/M]]/1000,テーブル1[[#This Row],[SM]]*テーブル1[[#This Row],[g/SM]]/1000)</f>
        <v>0</v>
      </c>
      <c r="Y158" s="25"/>
      <c r="Z158" s="25">
        <f>SUM(テーブル1[[#This Row],[KG(目付)]:[KG]])</f>
        <v>0</v>
      </c>
      <c r="AA158" s="11"/>
      <c r="AB158" s="11"/>
      <c r="AC158" s="24">
        <f>$G$7*(テーブル1[[#This Row],[金額]]*$G$6)</f>
        <v>0</v>
      </c>
    </row>
    <row r="159" spans="1:29" ht="39.950000000000003" customHeight="1">
      <c r="A159" s="1">
        <v>48249</v>
      </c>
      <c r="B159" s="2">
        <v>540824900</v>
      </c>
      <c r="K159" s="7"/>
      <c r="L159" s="7"/>
      <c r="M159" s="7"/>
      <c r="N159" s="7"/>
      <c r="O159" s="21">
        <f t="shared" si="3"/>
        <v>0</v>
      </c>
      <c r="P159" s="7"/>
      <c r="Q159" s="11"/>
      <c r="R159" s="11"/>
      <c r="S159" s="11"/>
      <c r="T159" s="11"/>
      <c r="U159" s="11"/>
      <c r="V159" s="25">
        <f>IF($G$8="",テーブル1[[#This Row],[幅]]*テーブル1[[#This Row],[長さ]],テーブル1[[#This Row],[幅]]*テーブル1[[#This Row],[長さ]]*$G$8)</f>
        <v>0</v>
      </c>
      <c r="W159" s="25" t="str">
        <f>IF(テーブル1[[#This Row],[幅]]=0,"",テーブル1[[#This Row],[KG合計]]/テーブル1[[#This Row],[SM]]*1000)</f>
        <v/>
      </c>
      <c r="X159" s="25">
        <f>IF(テーブル1[[#This Row],[g/SM]]="",テーブル1[[#This Row],[長さ]]*テーブル1[[#This Row],[g/M]]/1000,テーブル1[[#This Row],[SM]]*テーブル1[[#This Row],[g/SM]]/1000)</f>
        <v>0</v>
      </c>
      <c r="Y159" s="25"/>
      <c r="Z159" s="25">
        <f>SUM(テーブル1[[#This Row],[KG(目付)]:[KG]])</f>
        <v>0</v>
      </c>
      <c r="AA159" s="11"/>
      <c r="AB159" s="11"/>
      <c r="AC159" s="24">
        <f>$G$7*(テーブル1[[#This Row],[金額]]*$G$6)</f>
        <v>0</v>
      </c>
    </row>
    <row r="160" spans="1:29" ht="39.950000000000003" customHeight="1">
      <c r="A160" s="1">
        <v>48311</v>
      </c>
      <c r="B160" s="2">
        <v>540831100</v>
      </c>
      <c r="K160" s="7"/>
      <c r="L160" s="7"/>
      <c r="M160" s="7"/>
      <c r="N160" s="7"/>
      <c r="O160" s="21">
        <f t="shared" si="3"/>
        <v>0</v>
      </c>
      <c r="P160" s="7"/>
      <c r="Q160" s="11"/>
      <c r="R160" s="11"/>
      <c r="S160" s="11"/>
      <c r="T160" s="11"/>
      <c r="U160" s="11"/>
      <c r="V160" s="25">
        <f>IF($G$8="",テーブル1[[#This Row],[幅]]*テーブル1[[#This Row],[長さ]],テーブル1[[#This Row],[幅]]*テーブル1[[#This Row],[長さ]]*$G$8)</f>
        <v>0</v>
      </c>
      <c r="W160" s="25" t="str">
        <f>IF(テーブル1[[#This Row],[幅]]=0,"",テーブル1[[#This Row],[KG合計]]/テーブル1[[#This Row],[SM]]*1000)</f>
        <v/>
      </c>
      <c r="X160" s="25">
        <f>IF(テーブル1[[#This Row],[g/SM]]="",テーブル1[[#This Row],[長さ]]*テーブル1[[#This Row],[g/M]]/1000,テーブル1[[#This Row],[SM]]*テーブル1[[#This Row],[g/SM]]/1000)</f>
        <v>0</v>
      </c>
      <c r="Y160" s="25"/>
      <c r="Z160" s="25">
        <f>SUM(テーブル1[[#This Row],[KG(目付)]:[KG]])</f>
        <v>0</v>
      </c>
      <c r="AA160" s="11"/>
      <c r="AB160" s="11"/>
      <c r="AC160" s="24">
        <f>$G$7*(テーブル1[[#This Row],[金額]]*$G$6)</f>
        <v>0</v>
      </c>
    </row>
    <row r="161" spans="1:29" ht="39.950000000000003" customHeight="1">
      <c r="A161" s="1">
        <v>48312</v>
      </c>
      <c r="B161" s="2">
        <v>540831200</v>
      </c>
      <c r="K161" s="7"/>
      <c r="L161" s="7"/>
      <c r="M161" s="7"/>
      <c r="N161" s="7"/>
      <c r="O161" s="21">
        <f t="shared" si="3"/>
        <v>0</v>
      </c>
      <c r="P161" s="7"/>
      <c r="Q161" s="11"/>
      <c r="R161" s="11"/>
      <c r="S161" s="11"/>
      <c r="T161" s="11"/>
      <c r="U161" s="11"/>
      <c r="V161" s="25">
        <f>IF($G$8="",テーブル1[[#This Row],[幅]]*テーブル1[[#This Row],[長さ]],テーブル1[[#This Row],[幅]]*テーブル1[[#This Row],[長さ]]*$G$8)</f>
        <v>0</v>
      </c>
      <c r="W161" s="25" t="str">
        <f>IF(テーブル1[[#This Row],[幅]]=0,"",テーブル1[[#This Row],[KG合計]]/テーブル1[[#This Row],[SM]]*1000)</f>
        <v/>
      </c>
      <c r="X161" s="25">
        <f>IF(テーブル1[[#This Row],[g/SM]]="",テーブル1[[#This Row],[長さ]]*テーブル1[[#This Row],[g/M]]/1000,テーブル1[[#This Row],[SM]]*テーブル1[[#This Row],[g/SM]]/1000)</f>
        <v>0</v>
      </c>
      <c r="Y161" s="25"/>
      <c r="Z161" s="25">
        <f>SUM(テーブル1[[#This Row],[KG(目付)]:[KG]])</f>
        <v>0</v>
      </c>
      <c r="AA161" s="11"/>
      <c r="AB161" s="11"/>
      <c r="AC161" s="24">
        <f>$G$7*(テーブル1[[#This Row],[金額]]*$G$6)</f>
        <v>0</v>
      </c>
    </row>
    <row r="162" spans="1:29" ht="39.950000000000003" customHeight="1">
      <c r="A162" s="1">
        <v>48313</v>
      </c>
      <c r="B162" s="2">
        <v>540831300</v>
      </c>
      <c r="K162" s="7"/>
      <c r="L162" s="7"/>
      <c r="M162" s="7"/>
      <c r="N162" s="7"/>
      <c r="O162" s="21">
        <f t="shared" si="3"/>
        <v>0</v>
      </c>
      <c r="P162" s="7"/>
      <c r="Q162" s="11"/>
      <c r="R162" s="11"/>
      <c r="S162" s="11"/>
      <c r="T162" s="11"/>
      <c r="U162" s="11"/>
      <c r="V162" s="25">
        <f>IF($G$8="",テーブル1[[#This Row],[幅]]*テーブル1[[#This Row],[長さ]],テーブル1[[#This Row],[幅]]*テーブル1[[#This Row],[長さ]]*$G$8)</f>
        <v>0</v>
      </c>
      <c r="W162" s="25" t="str">
        <f>IF(テーブル1[[#This Row],[幅]]=0,"",テーブル1[[#This Row],[KG合計]]/テーブル1[[#This Row],[SM]]*1000)</f>
        <v/>
      </c>
      <c r="X162" s="25">
        <f>IF(テーブル1[[#This Row],[g/SM]]="",テーブル1[[#This Row],[長さ]]*テーブル1[[#This Row],[g/M]]/1000,テーブル1[[#This Row],[SM]]*テーブル1[[#This Row],[g/SM]]/1000)</f>
        <v>0</v>
      </c>
      <c r="Y162" s="25"/>
      <c r="Z162" s="25">
        <f>SUM(テーブル1[[#This Row],[KG(目付)]:[KG]])</f>
        <v>0</v>
      </c>
      <c r="AA162" s="11"/>
      <c r="AB162" s="11"/>
      <c r="AC162" s="24">
        <f>$G$7*(テーブル1[[#This Row],[金額]]*$G$6)</f>
        <v>0</v>
      </c>
    </row>
    <row r="163" spans="1:29" ht="39.950000000000003" customHeight="1">
      <c r="A163" s="1">
        <v>48319</v>
      </c>
      <c r="B163" s="2">
        <v>540831900</v>
      </c>
      <c r="K163" s="7"/>
      <c r="L163" s="7"/>
      <c r="M163" s="7"/>
      <c r="N163" s="7"/>
      <c r="O163" s="21">
        <f t="shared" si="3"/>
        <v>0</v>
      </c>
      <c r="P163" s="7"/>
      <c r="Q163" s="11"/>
      <c r="R163" s="11"/>
      <c r="S163" s="11"/>
      <c r="T163" s="11"/>
      <c r="U163" s="11"/>
      <c r="V163" s="25">
        <f>IF($G$8="",テーブル1[[#This Row],[幅]]*テーブル1[[#This Row],[長さ]],テーブル1[[#This Row],[幅]]*テーブル1[[#This Row],[長さ]]*$G$8)</f>
        <v>0</v>
      </c>
      <c r="W163" s="25" t="str">
        <f>IF(テーブル1[[#This Row],[幅]]=0,"",テーブル1[[#This Row],[KG合計]]/テーブル1[[#This Row],[SM]]*1000)</f>
        <v/>
      </c>
      <c r="X163" s="25">
        <f>IF(テーブル1[[#This Row],[g/SM]]="",テーブル1[[#This Row],[長さ]]*テーブル1[[#This Row],[g/M]]/1000,テーブル1[[#This Row],[SM]]*テーブル1[[#This Row],[g/SM]]/1000)</f>
        <v>0</v>
      </c>
      <c r="Y163" s="25"/>
      <c r="Z163" s="25">
        <f>SUM(テーブル1[[#This Row],[KG(目付)]:[KG]])</f>
        <v>0</v>
      </c>
      <c r="AA163" s="11"/>
      <c r="AB163" s="11"/>
      <c r="AC163" s="24">
        <f>$G$7*(テーブル1[[#This Row],[金額]]*$G$6)</f>
        <v>0</v>
      </c>
    </row>
    <row r="164" spans="1:29" ht="39.950000000000003" customHeight="1">
      <c r="A164" s="1">
        <v>48321</v>
      </c>
      <c r="B164" s="2">
        <v>540832100</v>
      </c>
      <c r="K164" s="7"/>
      <c r="L164" s="7"/>
      <c r="M164" s="7"/>
      <c r="N164" s="7"/>
      <c r="O164" s="21">
        <f t="shared" si="3"/>
        <v>0</v>
      </c>
      <c r="P164" s="7"/>
      <c r="Q164" s="11"/>
      <c r="R164" s="11"/>
      <c r="S164" s="11"/>
      <c r="T164" s="11"/>
      <c r="U164" s="11"/>
      <c r="V164" s="25">
        <f>IF($G$8="",テーブル1[[#This Row],[幅]]*テーブル1[[#This Row],[長さ]],テーブル1[[#This Row],[幅]]*テーブル1[[#This Row],[長さ]]*$G$8)</f>
        <v>0</v>
      </c>
      <c r="W164" s="25" t="str">
        <f>IF(テーブル1[[#This Row],[幅]]=0,"",テーブル1[[#This Row],[KG合計]]/テーブル1[[#This Row],[SM]]*1000)</f>
        <v/>
      </c>
      <c r="X164" s="25">
        <f>IF(テーブル1[[#This Row],[g/SM]]="",テーブル1[[#This Row],[長さ]]*テーブル1[[#This Row],[g/M]]/1000,テーブル1[[#This Row],[SM]]*テーブル1[[#This Row],[g/SM]]/1000)</f>
        <v>0</v>
      </c>
      <c r="Y164" s="25"/>
      <c r="Z164" s="25">
        <f>SUM(テーブル1[[#This Row],[KG(目付)]:[KG]])</f>
        <v>0</v>
      </c>
      <c r="AA164" s="11"/>
      <c r="AB164" s="11"/>
      <c r="AC164" s="24">
        <f>$G$7*(テーブル1[[#This Row],[金額]]*$G$6)</f>
        <v>0</v>
      </c>
    </row>
    <row r="165" spans="1:29" ht="39.950000000000003" customHeight="1">
      <c r="A165" s="1">
        <v>48322</v>
      </c>
      <c r="B165" s="2">
        <v>540832200</v>
      </c>
      <c r="K165" s="7"/>
      <c r="L165" s="7"/>
      <c r="M165" s="7"/>
      <c r="N165" s="7"/>
      <c r="O165" s="21">
        <f t="shared" si="3"/>
        <v>0</v>
      </c>
      <c r="P165" s="7"/>
      <c r="Q165" s="11"/>
      <c r="R165" s="11"/>
      <c r="S165" s="11"/>
      <c r="T165" s="11"/>
      <c r="U165" s="11"/>
      <c r="V165" s="25">
        <f>IF($G$8="",テーブル1[[#This Row],[幅]]*テーブル1[[#This Row],[長さ]],テーブル1[[#This Row],[幅]]*テーブル1[[#This Row],[長さ]]*$G$8)</f>
        <v>0</v>
      </c>
      <c r="W165" s="25" t="str">
        <f>IF(テーブル1[[#This Row],[幅]]=0,"",テーブル1[[#This Row],[KG合計]]/テーブル1[[#This Row],[SM]]*1000)</f>
        <v/>
      </c>
      <c r="X165" s="25">
        <f>IF(テーブル1[[#This Row],[g/SM]]="",テーブル1[[#This Row],[長さ]]*テーブル1[[#This Row],[g/M]]/1000,テーブル1[[#This Row],[SM]]*テーブル1[[#This Row],[g/SM]]/1000)</f>
        <v>0</v>
      </c>
      <c r="Y165" s="25"/>
      <c r="Z165" s="25">
        <f>SUM(テーブル1[[#This Row],[KG(目付)]:[KG]])</f>
        <v>0</v>
      </c>
      <c r="AA165" s="11"/>
      <c r="AB165" s="11"/>
      <c r="AC165" s="24">
        <f>$G$7*(テーブル1[[#This Row],[金額]]*$G$6)</f>
        <v>0</v>
      </c>
    </row>
    <row r="166" spans="1:29" ht="39.950000000000003" customHeight="1">
      <c r="A166" s="1">
        <v>48323</v>
      </c>
      <c r="B166" s="2">
        <v>540832300</v>
      </c>
      <c r="K166" s="7"/>
      <c r="L166" s="7"/>
      <c r="M166" s="7"/>
      <c r="N166" s="7"/>
      <c r="O166" s="21">
        <f t="shared" si="3"/>
        <v>0</v>
      </c>
      <c r="P166" s="7"/>
      <c r="Q166" s="11"/>
      <c r="R166" s="11"/>
      <c r="S166" s="11"/>
      <c r="T166" s="11"/>
      <c r="U166" s="11"/>
      <c r="V166" s="25">
        <f>IF($G$8="",テーブル1[[#This Row],[幅]]*テーブル1[[#This Row],[長さ]],テーブル1[[#This Row],[幅]]*テーブル1[[#This Row],[長さ]]*$G$8)</f>
        <v>0</v>
      </c>
      <c r="W166" s="25" t="str">
        <f>IF(テーブル1[[#This Row],[幅]]=0,"",テーブル1[[#This Row],[KG合計]]/テーブル1[[#This Row],[SM]]*1000)</f>
        <v/>
      </c>
      <c r="X166" s="25">
        <f>IF(テーブル1[[#This Row],[g/SM]]="",テーブル1[[#This Row],[長さ]]*テーブル1[[#This Row],[g/M]]/1000,テーブル1[[#This Row],[SM]]*テーブル1[[#This Row],[g/SM]]/1000)</f>
        <v>0</v>
      </c>
      <c r="Y166" s="25"/>
      <c r="Z166" s="25">
        <f>SUM(テーブル1[[#This Row],[KG(目付)]:[KG]])</f>
        <v>0</v>
      </c>
      <c r="AA166" s="11"/>
      <c r="AB166" s="11"/>
      <c r="AC166" s="24">
        <f>$G$7*(テーブル1[[#This Row],[金額]]*$G$6)</f>
        <v>0</v>
      </c>
    </row>
    <row r="167" spans="1:29" ht="39.950000000000003" customHeight="1">
      <c r="A167" s="1">
        <v>48329</v>
      </c>
      <c r="B167" s="2">
        <v>540832900</v>
      </c>
      <c r="K167" s="7"/>
      <c r="L167" s="7"/>
      <c r="M167" s="7"/>
      <c r="N167" s="7"/>
      <c r="O167" s="21">
        <f t="shared" si="3"/>
        <v>0</v>
      </c>
      <c r="P167" s="7"/>
      <c r="Q167" s="11"/>
      <c r="R167" s="11"/>
      <c r="S167" s="11"/>
      <c r="T167" s="11"/>
      <c r="U167" s="11"/>
      <c r="V167" s="25">
        <f>IF($G$8="",テーブル1[[#This Row],[幅]]*テーブル1[[#This Row],[長さ]],テーブル1[[#This Row],[幅]]*テーブル1[[#This Row],[長さ]]*$G$8)</f>
        <v>0</v>
      </c>
      <c r="W167" s="25" t="str">
        <f>IF(テーブル1[[#This Row],[幅]]=0,"",テーブル1[[#This Row],[KG合計]]/テーブル1[[#This Row],[SM]]*1000)</f>
        <v/>
      </c>
      <c r="X167" s="25">
        <f>IF(テーブル1[[#This Row],[g/SM]]="",テーブル1[[#This Row],[長さ]]*テーブル1[[#This Row],[g/M]]/1000,テーブル1[[#This Row],[SM]]*テーブル1[[#This Row],[g/SM]]/1000)</f>
        <v>0</v>
      </c>
      <c r="Y167" s="25"/>
      <c r="Z167" s="25">
        <f>SUM(テーブル1[[#This Row],[KG(目付)]:[KG]])</f>
        <v>0</v>
      </c>
      <c r="AA167" s="11"/>
      <c r="AB167" s="11"/>
      <c r="AC167" s="24">
        <f>$G$7*(テーブル1[[#This Row],[金額]]*$G$6)</f>
        <v>0</v>
      </c>
    </row>
    <row r="168" spans="1:29" ht="39.950000000000003" customHeight="1">
      <c r="A168" s="1">
        <v>48331</v>
      </c>
      <c r="B168" s="2">
        <v>540833100</v>
      </c>
      <c r="K168" s="7"/>
      <c r="L168" s="7"/>
      <c r="M168" s="7"/>
      <c r="N168" s="7"/>
      <c r="O168" s="21">
        <f t="shared" si="3"/>
        <v>0</v>
      </c>
      <c r="P168" s="7"/>
      <c r="Q168" s="11"/>
      <c r="R168" s="11"/>
      <c r="S168" s="11"/>
      <c r="T168" s="11"/>
      <c r="U168" s="11"/>
      <c r="V168" s="25">
        <f>IF($G$8="",テーブル1[[#This Row],[幅]]*テーブル1[[#This Row],[長さ]],テーブル1[[#This Row],[幅]]*テーブル1[[#This Row],[長さ]]*$G$8)</f>
        <v>0</v>
      </c>
      <c r="W168" s="25" t="str">
        <f>IF(テーブル1[[#This Row],[幅]]=0,"",テーブル1[[#This Row],[KG合計]]/テーブル1[[#This Row],[SM]]*1000)</f>
        <v/>
      </c>
      <c r="X168" s="25">
        <f>IF(テーブル1[[#This Row],[g/SM]]="",テーブル1[[#This Row],[長さ]]*テーブル1[[#This Row],[g/M]]/1000,テーブル1[[#This Row],[SM]]*テーブル1[[#This Row],[g/SM]]/1000)</f>
        <v>0</v>
      </c>
      <c r="Y168" s="25"/>
      <c r="Z168" s="25">
        <f>SUM(テーブル1[[#This Row],[KG(目付)]:[KG]])</f>
        <v>0</v>
      </c>
      <c r="AA168" s="11"/>
      <c r="AB168" s="11"/>
      <c r="AC168" s="24">
        <f>$G$7*(テーブル1[[#This Row],[金額]]*$G$6)</f>
        <v>0</v>
      </c>
    </row>
    <row r="169" spans="1:29" ht="39.950000000000003" customHeight="1">
      <c r="A169" s="1">
        <v>48332</v>
      </c>
      <c r="B169" s="2">
        <v>540833200</v>
      </c>
      <c r="K169" s="7"/>
      <c r="L169" s="7"/>
      <c r="M169" s="7"/>
      <c r="N169" s="7"/>
      <c r="O169" s="21">
        <f t="shared" si="3"/>
        <v>0</v>
      </c>
      <c r="P169" s="7"/>
      <c r="Q169" s="11"/>
      <c r="R169" s="11"/>
      <c r="S169" s="11"/>
      <c r="T169" s="11"/>
      <c r="U169" s="11"/>
      <c r="V169" s="25">
        <f>IF($G$8="",テーブル1[[#This Row],[幅]]*テーブル1[[#This Row],[長さ]],テーブル1[[#This Row],[幅]]*テーブル1[[#This Row],[長さ]]*$G$8)</f>
        <v>0</v>
      </c>
      <c r="W169" s="25" t="str">
        <f>IF(テーブル1[[#This Row],[幅]]=0,"",テーブル1[[#This Row],[KG合計]]/テーブル1[[#This Row],[SM]]*1000)</f>
        <v/>
      </c>
      <c r="X169" s="25">
        <f>IF(テーブル1[[#This Row],[g/SM]]="",テーブル1[[#This Row],[長さ]]*テーブル1[[#This Row],[g/M]]/1000,テーブル1[[#This Row],[SM]]*テーブル1[[#This Row],[g/SM]]/1000)</f>
        <v>0</v>
      </c>
      <c r="Y169" s="25"/>
      <c r="Z169" s="25">
        <f>SUM(テーブル1[[#This Row],[KG(目付)]:[KG]])</f>
        <v>0</v>
      </c>
      <c r="AA169" s="11"/>
      <c r="AB169" s="11"/>
      <c r="AC169" s="24">
        <f>$G$7*(テーブル1[[#This Row],[金額]]*$G$6)</f>
        <v>0</v>
      </c>
    </row>
    <row r="170" spans="1:29" ht="39.950000000000003" customHeight="1">
      <c r="A170" s="1">
        <v>48333</v>
      </c>
      <c r="B170" s="2">
        <v>540833300</v>
      </c>
      <c r="K170" s="7"/>
      <c r="L170" s="7"/>
      <c r="M170" s="7"/>
      <c r="N170" s="7"/>
      <c r="O170" s="21">
        <f t="shared" si="3"/>
        <v>0</v>
      </c>
      <c r="P170" s="7"/>
      <c r="Q170" s="11"/>
      <c r="R170" s="11"/>
      <c r="S170" s="11"/>
      <c r="T170" s="11"/>
      <c r="U170" s="11"/>
      <c r="V170" s="25">
        <f>IF($G$8="",テーブル1[[#This Row],[幅]]*テーブル1[[#This Row],[長さ]],テーブル1[[#This Row],[幅]]*テーブル1[[#This Row],[長さ]]*$G$8)</f>
        <v>0</v>
      </c>
      <c r="W170" s="25" t="str">
        <f>IF(テーブル1[[#This Row],[幅]]=0,"",テーブル1[[#This Row],[KG合計]]/テーブル1[[#This Row],[SM]]*1000)</f>
        <v/>
      </c>
      <c r="X170" s="25">
        <f>IF(テーブル1[[#This Row],[g/SM]]="",テーブル1[[#This Row],[長さ]]*テーブル1[[#This Row],[g/M]]/1000,テーブル1[[#This Row],[SM]]*テーブル1[[#This Row],[g/SM]]/1000)</f>
        <v>0</v>
      </c>
      <c r="Y170" s="25"/>
      <c r="Z170" s="25">
        <f>SUM(テーブル1[[#This Row],[KG(目付)]:[KG]])</f>
        <v>0</v>
      </c>
      <c r="AA170" s="11"/>
      <c r="AB170" s="11"/>
      <c r="AC170" s="24">
        <f>$G$7*(テーブル1[[#This Row],[金額]]*$G$6)</f>
        <v>0</v>
      </c>
    </row>
    <row r="171" spans="1:29" ht="39.950000000000003" customHeight="1">
      <c r="A171" s="1">
        <v>48339</v>
      </c>
      <c r="B171" s="2">
        <v>540833900</v>
      </c>
      <c r="K171" s="7"/>
      <c r="L171" s="7"/>
      <c r="M171" s="7"/>
      <c r="N171" s="7"/>
      <c r="O171" s="21">
        <f t="shared" si="3"/>
        <v>0</v>
      </c>
      <c r="P171" s="7"/>
      <c r="Q171" s="11"/>
      <c r="R171" s="11"/>
      <c r="S171" s="11"/>
      <c r="T171" s="11"/>
      <c r="U171" s="11"/>
      <c r="V171" s="25">
        <f>IF($G$8="",テーブル1[[#This Row],[幅]]*テーブル1[[#This Row],[長さ]],テーブル1[[#This Row],[幅]]*テーブル1[[#This Row],[長さ]]*$G$8)</f>
        <v>0</v>
      </c>
      <c r="W171" s="25" t="str">
        <f>IF(テーブル1[[#This Row],[幅]]=0,"",テーブル1[[#This Row],[KG合計]]/テーブル1[[#This Row],[SM]]*1000)</f>
        <v/>
      </c>
      <c r="X171" s="25">
        <f>IF(テーブル1[[#This Row],[g/SM]]="",テーブル1[[#This Row],[長さ]]*テーブル1[[#This Row],[g/M]]/1000,テーブル1[[#This Row],[SM]]*テーブル1[[#This Row],[g/SM]]/1000)</f>
        <v>0</v>
      </c>
      <c r="Y171" s="25"/>
      <c r="Z171" s="25">
        <f>SUM(テーブル1[[#This Row],[KG(目付)]:[KG]])</f>
        <v>0</v>
      </c>
      <c r="AA171" s="11"/>
      <c r="AB171" s="11"/>
      <c r="AC171" s="24">
        <f>$G$7*(テーブル1[[#This Row],[金額]]*$G$6)</f>
        <v>0</v>
      </c>
    </row>
    <row r="172" spans="1:29" ht="39.950000000000003" customHeight="1">
      <c r="A172" s="1">
        <v>48341</v>
      </c>
      <c r="B172" s="2">
        <v>540834100</v>
      </c>
      <c r="K172" s="7"/>
      <c r="L172" s="7"/>
      <c r="M172" s="7"/>
      <c r="N172" s="7"/>
      <c r="O172" s="21">
        <f t="shared" si="3"/>
        <v>0</v>
      </c>
      <c r="P172" s="7"/>
      <c r="Q172" s="11"/>
      <c r="R172" s="11"/>
      <c r="S172" s="11"/>
      <c r="T172" s="11"/>
      <c r="U172" s="11"/>
      <c r="V172" s="25">
        <f>IF($G$8="",テーブル1[[#This Row],[幅]]*テーブル1[[#This Row],[長さ]],テーブル1[[#This Row],[幅]]*テーブル1[[#This Row],[長さ]]*$G$8)</f>
        <v>0</v>
      </c>
      <c r="W172" s="25" t="str">
        <f>IF(テーブル1[[#This Row],[幅]]=0,"",テーブル1[[#This Row],[KG合計]]/テーブル1[[#This Row],[SM]]*1000)</f>
        <v/>
      </c>
      <c r="X172" s="25">
        <f>IF(テーブル1[[#This Row],[g/SM]]="",テーブル1[[#This Row],[長さ]]*テーブル1[[#This Row],[g/M]]/1000,テーブル1[[#This Row],[SM]]*テーブル1[[#This Row],[g/SM]]/1000)</f>
        <v>0</v>
      </c>
      <c r="Y172" s="25"/>
      <c r="Z172" s="25">
        <f>SUM(テーブル1[[#This Row],[KG(目付)]:[KG]])</f>
        <v>0</v>
      </c>
      <c r="AA172" s="11"/>
      <c r="AB172" s="11"/>
      <c r="AC172" s="24">
        <f>$G$7*(テーブル1[[#This Row],[金額]]*$G$6)</f>
        <v>0</v>
      </c>
    </row>
    <row r="173" spans="1:29" ht="39.950000000000003" customHeight="1">
      <c r="A173" s="1">
        <v>48342</v>
      </c>
      <c r="B173" s="2">
        <v>540834200</v>
      </c>
      <c r="K173" s="7"/>
      <c r="L173" s="7"/>
      <c r="M173" s="7"/>
      <c r="N173" s="7"/>
      <c r="O173" s="21">
        <f t="shared" si="3"/>
        <v>0</v>
      </c>
      <c r="P173" s="7"/>
      <c r="Q173" s="11"/>
      <c r="R173" s="11"/>
      <c r="S173" s="11"/>
      <c r="T173" s="11"/>
      <c r="U173" s="11"/>
      <c r="V173" s="25">
        <f>IF($G$8="",テーブル1[[#This Row],[幅]]*テーブル1[[#This Row],[長さ]],テーブル1[[#This Row],[幅]]*テーブル1[[#This Row],[長さ]]*$G$8)</f>
        <v>0</v>
      </c>
      <c r="W173" s="25" t="str">
        <f>IF(テーブル1[[#This Row],[幅]]=0,"",テーブル1[[#This Row],[KG合計]]/テーブル1[[#This Row],[SM]]*1000)</f>
        <v/>
      </c>
      <c r="X173" s="25">
        <f>IF(テーブル1[[#This Row],[g/SM]]="",テーブル1[[#This Row],[長さ]]*テーブル1[[#This Row],[g/M]]/1000,テーブル1[[#This Row],[SM]]*テーブル1[[#This Row],[g/SM]]/1000)</f>
        <v>0</v>
      </c>
      <c r="Y173" s="25"/>
      <c r="Z173" s="25">
        <f>SUM(テーブル1[[#This Row],[KG(目付)]:[KG]])</f>
        <v>0</v>
      </c>
      <c r="AA173" s="11"/>
      <c r="AB173" s="11"/>
      <c r="AC173" s="24">
        <f>$G$7*(テーブル1[[#This Row],[金額]]*$G$6)</f>
        <v>0</v>
      </c>
    </row>
    <row r="174" spans="1:29" ht="39.950000000000003" customHeight="1">
      <c r="A174" s="1">
        <v>48343</v>
      </c>
      <c r="B174" s="2">
        <v>540834300</v>
      </c>
      <c r="K174" s="7"/>
      <c r="L174" s="7"/>
      <c r="M174" s="7"/>
      <c r="N174" s="7"/>
      <c r="O174" s="21">
        <f t="shared" si="3"/>
        <v>0</v>
      </c>
      <c r="P174" s="7"/>
      <c r="Q174" s="11"/>
      <c r="R174" s="11"/>
      <c r="S174" s="11"/>
      <c r="T174" s="11"/>
      <c r="U174" s="11"/>
      <c r="V174" s="25">
        <f>IF($G$8="",テーブル1[[#This Row],[幅]]*テーブル1[[#This Row],[長さ]],テーブル1[[#This Row],[幅]]*テーブル1[[#This Row],[長さ]]*$G$8)</f>
        <v>0</v>
      </c>
      <c r="W174" s="25" t="str">
        <f>IF(テーブル1[[#This Row],[幅]]=0,"",テーブル1[[#This Row],[KG合計]]/テーブル1[[#This Row],[SM]]*1000)</f>
        <v/>
      </c>
      <c r="X174" s="25">
        <f>IF(テーブル1[[#This Row],[g/SM]]="",テーブル1[[#This Row],[長さ]]*テーブル1[[#This Row],[g/M]]/1000,テーブル1[[#This Row],[SM]]*テーブル1[[#This Row],[g/SM]]/1000)</f>
        <v>0</v>
      </c>
      <c r="Y174" s="25"/>
      <c r="Z174" s="25">
        <f>SUM(テーブル1[[#This Row],[KG(目付)]:[KG]])</f>
        <v>0</v>
      </c>
      <c r="AA174" s="11"/>
      <c r="AB174" s="11"/>
      <c r="AC174" s="24">
        <f>$G$7*(テーブル1[[#This Row],[金額]]*$G$6)</f>
        <v>0</v>
      </c>
    </row>
    <row r="175" spans="1:29" ht="39.950000000000003" customHeight="1">
      <c r="A175" s="1">
        <v>48349</v>
      </c>
      <c r="B175" s="2">
        <v>540834900</v>
      </c>
      <c r="K175" s="7"/>
      <c r="L175" s="7"/>
      <c r="M175" s="7"/>
      <c r="N175" s="7"/>
      <c r="O175" s="21">
        <f t="shared" si="3"/>
        <v>0</v>
      </c>
      <c r="P175" s="7"/>
      <c r="Q175" s="11"/>
      <c r="R175" s="11"/>
      <c r="S175" s="11"/>
      <c r="T175" s="11"/>
      <c r="U175" s="11"/>
      <c r="V175" s="25">
        <f>IF($G$8="",テーブル1[[#This Row],[幅]]*テーブル1[[#This Row],[長さ]],テーブル1[[#This Row],[幅]]*テーブル1[[#This Row],[長さ]]*$G$8)</f>
        <v>0</v>
      </c>
      <c r="W175" s="25" t="str">
        <f>IF(テーブル1[[#This Row],[幅]]=0,"",テーブル1[[#This Row],[KG合計]]/テーブル1[[#This Row],[SM]]*1000)</f>
        <v/>
      </c>
      <c r="X175" s="25">
        <f>IF(テーブル1[[#This Row],[g/SM]]="",テーブル1[[#This Row],[長さ]]*テーブル1[[#This Row],[g/M]]/1000,テーブル1[[#This Row],[SM]]*テーブル1[[#This Row],[g/SM]]/1000)</f>
        <v>0</v>
      </c>
      <c r="Y175" s="25"/>
      <c r="Z175" s="25">
        <f>SUM(テーブル1[[#This Row],[KG(目付)]:[KG]])</f>
        <v>0</v>
      </c>
      <c r="AA175" s="11"/>
      <c r="AB175" s="11"/>
      <c r="AC175" s="24">
        <f>$G$7*(テーブル1[[#This Row],[金額]]*$G$6)</f>
        <v>0</v>
      </c>
    </row>
    <row r="176" spans="1:29" ht="39.950000000000003" customHeight="1">
      <c r="A176" s="1">
        <v>560210</v>
      </c>
      <c r="B176" s="2">
        <v>560210000</v>
      </c>
      <c r="K176" s="7"/>
      <c r="L176" s="7"/>
      <c r="M176" s="7"/>
      <c r="N176" s="7"/>
      <c r="O176" s="21">
        <f t="shared" si="3"/>
        <v>0</v>
      </c>
      <c r="P176" s="7"/>
      <c r="Q176" s="11"/>
      <c r="R176" s="11"/>
      <c r="S176" s="11"/>
      <c r="T176" s="11"/>
      <c r="U176" s="11"/>
      <c r="V176" s="25">
        <f>IF($G$8="",テーブル1[[#This Row],[幅]]*テーブル1[[#This Row],[長さ]],テーブル1[[#This Row],[幅]]*テーブル1[[#This Row],[長さ]]*$G$8)</f>
        <v>0</v>
      </c>
      <c r="W176" s="25" t="str">
        <f>IF(テーブル1[[#This Row],[幅]]=0,"",テーブル1[[#This Row],[KG合計]]/テーブル1[[#This Row],[SM]]*1000)</f>
        <v/>
      </c>
      <c r="X176" s="25">
        <f>IF(テーブル1[[#This Row],[g/SM]]="",テーブル1[[#This Row],[長さ]]*テーブル1[[#This Row],[g/M]]/1000,テーブル1[[#This Row],[SM]]*テーブル1[[#This Row],[g/SM]]/1000)</f>
        <v>0</v>
      </c>
      <c r="Y176" s="25"/>
      <c r="Z176" s="25">
        <f>SUM(テーブル1[[#This Row],[KG(目付)]:[KG]])</f>
        <v>0</v>
      </c>
      <c r="AA176" s="11"/>
      <c r="AB176" s="11"/>
      <c r="AC176" s="24">
        <f>$G$7*(テーブル1[[#This Row],[金額]]*$G$6)</f>
        <v>0</v>
      </c>
    </row>
    <row r="177" spans="1:29" ht="39.950000000000003" customHeight="1">
      <c r="A177" s="1">
        <v>560221</v>
      </c>
      <c r="B177" s="2">
        <v>560221000</v>
      </c>
      <c r="K177" s="7"/>
      <c r="L177" s="7"/>
      <c r="M177" s="7"/>
      <c r="N177" s="7"/>
      <c r="O177" s="21">
        <f t="shared" si="3"/>
        <v>0</v>
      </c>
      <c r="P177" s="7"/>
      <c r="Q177" s="11"/>
      <c r="R177" s="11"/>
      <c r="S177" s="11"/>
      <c r="T177" s="11"/>
      <c r="U177" s="11"/>
      <c r="V177" s="25">
        <f>IF($G$8="",テーブル1[[#This Row],[幅]]*テーブル1[[#This Row],[長さ]],テーブル1[[#This Row],[幅]]*テーブル1[[#This Row],[長さ]]*$G$8)</f>
        <v>0</v>
      </c>
      <c r="W177" s="25" t="str">
        <f>IF(テーブル1[[#This Row],[幅]]=0,"",テーブル1[[#This Row],[KG合計]]/テーブル1[[#This Row],[SM]]*1000)</f>
        <v/>
      </c>
      <c r="X177" s="25">
        <f>IF(テーブル1[[#This Row],[g/SM]]="",テーブル1[[#This Row],[長さ]]*テーブル1[[#This Row],[g/M]]/1000,テーブル1[[#This Row],[SM]]*テーブル1[[#This Row],[g/SM]]/1000)</f>
        <v>0</v>
      </c>
      <c r="Y177" s="25"/>
      <c r="Z177" s="25">
        <f>SUM(テーブル1[[#This Row],[KG(目付)]:[KG]])</f>
        <v>0</v>
      </c>
      <c r="AA177" s="11"/>
      <c r="AB177" s="11"/>
      <c r="AC177" s="24">
        <f>$G$7*(テーブル1[[#This Row],[金額]]*$G$6)</f>
        <v>0</v>
      </c>
    </row>
    <row r="178" spans="1:29" ht="39.950000000000003" customHeight="1">
      <c r="A178" s="1">
        <v>560229</v>
      </c>
      <c r="B178" s="2">
        <v>560229000</v>
      </c>
      <c r="K178" s="7"/>
      <c r="L178" s="7"/>
      <c r="M178" s="7"/>
      <c r="N178" s="7"/>
      <c r="O178" s="21">
        <f t="shared" si="3"/>
        <v>0</v>
      </c>
      <c r="P178" s="7"/>
      <c r="Q178" s="11"/>
      <c r="R178" s="11"/>
      <c r="S178" s="11"/>
      <c r="T178" s="11"/>
      <c r="U178" s="11"/>
      <c r="V178" s="25">
        <f>IF($G$8="",テーブル1[[#This Row],[幅]]*テーブル1[[#This Row],[長さ]],テーブル1[[#This Row],[幅]]*テーブル1[[#This Row],[長さ]]*$G$8)</f>
        <v>0</v>
      </c>
      <c r="W178" s="25" t="str">
        <f>IF(テーブル1[[#This Row],[幅]]=0,"",テーブル1[[#This Row],[KG合計]]/テーブル1[[#This Row],[SM]]*1000)</f>
        <v/>
      </c>
      <c r="X178" s="25">
        <f>IF(テーブル1[[#This Row],[g/SM]]="",テーブル1[[#This Row],[長さ]]*テーブル1[[#This Row],[g/M]]/1000,テーブル1[[#This Row],[SM]]*テーブル1[[#This Row],[g/SM]]/1000)</f>
        <v>0</v>
      </c>
      <c r="Y178" s="25"/>
      <c r="Z178" s="25">
        <f>SUM(テーブル1[[#This Row],[KG(目付)]:[KG]])</f>
        <v>0</v>
      </c>
      <c r="AA178" s="11"/>
      <c r="AB178" s="11"/>
      <c r="AC178" s="24">
        <f>$G$7*(テーブル1[[#This Row],[金額]]*$G$6)</f>
        <v>0</v>
      </c>
    </row>
    <row r="179" spans="1:29" ht="39.950000000000003" customHeight="1">
      <c r="A179" s="1">
        <v>560290</v>
      </c>
      <c r="B179" s="2">
        <v>560290000</v>
      </c>
      <c r="K179" s="7"/>
      <c r="L179" s="7"/>
      <c r="M179" s="7"/>
      <c r="N179" s="7"/>
      <c r="O179" s="21">
        <f t="shared" si="3"/>
        <v>0</v>
      </c>
      <c r="P179" s="7"/>
      <c r="Q179" s="11"/>
      <c r="R179" s="11"/>
      <c r="S179" s="11"/>
      <c r="T179" s="11"/>
      <c r="U179" s="11"/>
      <c r="V179" s="25">
        <f>IF($G$8="",テーブル1[[#This Row],[幅]]*テーブル1[[#This Row],[長さ]],テーブル1[[#This Row],[幅]]*テーブル1[[#This Row],[長さ]]*$G$8)</f>
        <v>0</v>
      </c>
      <c r="W179" s="25" t="str">
        <f>IF(テーブル1[[#This Row],[幅]]=0,"",テーブル1[[#This Row],[KG合計]]/テーブル1[[#This Row],[SM]]*1000)</f>
        <v/>
      </c>
      <c r="X179" s="25">
        <f>IF(テーブル1[[#This Row],[g/SM]]="",テーブル1[[#This Row],[長さ]]*テーブル1[[#This Row],[g/M]]/1000,テーブル1[[#This Row],[SM]]*テーブル1[[#This Row],[g/SM]]/1000)</f>
        <v>0</v>
      </c>
      <c r="Y179" s="25"/>
      <c r="Z179" s="25">
        <f>SUM(テーブル1[[#This Row],[KG(目付)]:[KG]])</f>
        <v>0</v>
      </c>
      <c r="AA179" s="11"/>
      <c r="AB179" s="11"/>
      <c r="AC179" s="24">
        <f>$G$7*(テーブル1[[#This Row],[金額]]*$G$6)</f>
        <v>0</v>
      </c>
    </row>
    <row r="180" spans="1:29" ht="39.950000000000003" customHeight="1">
      <c r="A180" s="1">
        <v>5609</v>
      </c>
      <c r="B180" s="2">
        <v>560900000</v>
      </c>
      <c r="K180" s="7"/>
      <c r="L180" s="7"/>
      <c r="M180" s="7"/>
      <c r="N180" s="7"/>
      <c r="O180" s="21">
        <f t="shared" si="3"/>
        <v>0</v>
      </c>
      <c r="P180" s="7"/>
      <c r="Q180" s="11"/>
      <c r="R180" s="11"/>
      <c r="S180" s="11"/>
      <c r="T180" s="11"/>
      <c r="U180" s="11"/>
      <c r="V180" s="25">
        <f>IF($G$8="",テーブル1[[#This Row],[幅]]*テーブル1[[#This Row],[長さ]],テーブル1[[#This Row],[幅]]*テーブル1[[#This Row],[長さ]]*$G$8)</f>
        <v>0</v>
      </c>
      <c r="W180" s="25" t="str">
        <f>IF(テーブル1[[#This Row],[幅]]=0,"",テーブル1[[#This Row],[KG合計]]/テーブル1[[#This Row],[SM]]*1000)</f>
        <v/>
      </c>
      <c r="X180" s="25">
        <f>IF(テーブル1[[#This Row],[g/SM]]="",テーブル1[[#This Row],[長さ]]*テーブル1[[#This Row],[g/M]]/1000,テーブル1[[#This Row],[SM]]*テーブル1[[#This Row],[g/SM]]/1000)</f>
        <v>0</v>
      </c>
      <c r="Y180" s="25"/>
      <c r="Z180" s="25">
        <f>SUM(テーブル1[[#This Row],[KG(目付)]:[KG]])</f>
        <v>0</v>
      </c>
      <c r="AA180" s="11"/>
      <c r="AB180" s="11"/>
      <c r="AC180" s="24">
        <f>$G$7*(テーブル1[[#This Row],[金額]]*$G$6)</f>
        <v>0</v>
      </c>
    </row>
    <row r="181" spans="1:29" ht="39.950000000000003" customHeight="1">
      <c r="A181" s="1">
        <v>112</v>
      </c>
      <c r="B181" s="2">
        <v>560311200</v>
      </c>
      <c r="C181" s="3" t="s">
        <v>93</v>
      </c>
      <c r="K181" s="7"/>
      <c r="L181" s="7"/>
      <c r="M181" s="7"/>
      <c r="N181" s="7"/>
      <c r="O181" s="21">
        <f t="shared" si="3"/>
        <v>0</v>
      </c>
      <c r="P181" s="7"/>
      <c r="Q181" s="11"/>
      <c r="R181" s="11"/>
      <c r="S181" s="11"/>
      <c r="T181" s="11"/>
      <c r="U181" s="11"/>
      <c r="V181" s="25">
        <f>IF($G$8="",テーブル1[[#This Row],[幅]]*テーブル1[[#This Row],[長さ]],テーブル1[[#This Row],[幅]]*テーブル1[[#This Row],[長さ]]*$G$8)</f>
        <v>0</v>
      </c>
      <c r="W181" s="25" t="str">
        <f>IF(テーブル1[[#This Row],[幅]]=0,"",テーブル1[[#This Row],[KG合計]]/テーブル1[[#This Row],[SM]]*1000)</f>
        <v/>
      </c>
      <c r="X181" s="25">
        <f>IF(テーブル1[[#This Row],[g/SM]]="",テーブル1[[#This Row],[長さ]]*テーブル1[[#This Row],[g/M]]/1000,テーブル1[[#This Row],[SM]]*テーブル1[[#This Row],[g/SM]]/1000)</f>
        <v>0</v>
      </c>
      <c r="Y181" s="25"/>
      <c r="Z181" s="25">
        <f>SUM(テーブル1[[#This Row],[KG(目付)]:[KG]])</f>
        <v>0</v>
      </c>
      <c r="AA181" s="11"/>
      <c r="AB181" s="11"/>
      <c r="AC181" s="24">
        <f>$G$7*(テーブル1[[#This Row],[金額]]*$G$6)</f>
        <v>0</v>
      </c>
    </row>
    <row r="182" spans="1:29" ht="39.950000000000003" customHeight="1">
      <c r="A182" s="1">
        <v>119</v>
      </c>
      <c r="B182" s="2">
        <v>560311900</v>
      </c>
      <c r="C182" s="3" t="s">
        <v>96</v>
      </c>
      <c r="K182" s="7"/>
      <c r="L182" s="7"/>
      <c r="M182" s="7"/>
      <c r="N182" s="7"/>
      <c r="O182" s="21">
        <f t="shared" si="3"/>
        <v>0</v>
      </c>
      <c r="P182" s="7"/>
      <c r="Q182" s="11"/>
      <c r="R182" s="11"/>
      <c r="S182" s="11"/>
      <c r="T182" s="11"/>
      <c r="U182" s="11"/>
      <c r="V182" s="25">
        <f>IF($G$8="",テーブル1[[#This Row],[幅]]*テーブル1[[#This Row],[長さ]],テーブル1[[#This Row],[幅]]*テーブル1[[#This Row],[長さ]]*$G$8)</f>
        <v>0</v>
      </c>
      <c r="W182" s="25" t="str">
        <f>IF(テーブル1[[#This Row],[幅]]=0,"",テーブル1[[#This Row],[KG合計]]/テーブル1[[#This Row],[SM]]*1000)</f>
        <v/>
      </c>
      <c r="X182" s="25">
        <f>IF(テーブル1[[#This Row],[g/SM]]="",テーブル1[[#This Row],[長さ]]*テーブル1[[#This Row],[g/M]]/1000,テーブル1[[#This Row],[SM]]*テーブル1[[#This Row],[g/SM]]/1000)</f>
        <v>0</v>
      </c>
      <c r="Y182" s="25"/>
      <c r="Z182" s="25">
        <f>SUM(テーブル1[[#This Row],[KG(目付)]:[KG]])</f>
        <v>0</v>
      </c>
      <c r="AA182" s="11"/>
      <c r="AB182" s="11"/>
      <c r="AC182" s="24">
        <f>$G$7*(テーブル1[[#This Row],[金額]]*$G$6)</f>
        <v>0</v>
      </c>
    </row>
    <row r="183" spans="1:29" ht="39.950000000000003" customHeight="1">
      <c r="A183" s="1">
        <v>121</v>
      </c>
      <c r="B183" s="2">
        <v>560312100</v>
      </c>
      <c r="C183" s="3" t="s">
        <v>94</v>
      </c>
      <c r="K183" s="7"/>
      <c r="L183" s="7"/>
      <c r="M183" s="7"/>
      <c r="N183" s="7"/>
      <c r="O183" s="21">
        <f t="shared" si="3"/>
        <v>0</v>
      </c>
      <c r="P183" s="7"/>
      <c r="Q183" s="11"/>
      <c r="R183" s="11"/>
      <c r="S183" s="11"/>
      <c r="T183" s="11"/>
      <c r="U183" s="11"/>
      <c r="V183" s="25">
        <f>IF($G$8="",テーブル1[[#This Row],[幅]]*テーブル1[[#This Row],[長さ]],テーブル1[[#This Row],[幅]]*テーブル1[[#This Row],[長さ]]*$G$8)</f>
        <v>0</v>
      </c>
      <c r="W183" s="25" t="str">
        <f>IF(テーブル1[[#This Row],[幅]]=0,"",テーブル1[[#This Row],[KG合計]]/テーブル1[[#This Row],[SM]]*1000)</f>
        <v/>
      </c>
      <c r="X183" s="25">
        <f>IF(テーブル1[[#This Row],[g/SM]]="",テーブル1[[#This Row],[長さ]]*テーブル1[[#This Row],[g/M]]/1000,テーブル1[[#This Row],[SM]]*テーブル1[[#This Row],[g/SM]]/1000)</f>
        <v>0</v>
      </c>
      <c r="Y183" s="25"/>
      <c r="Z183" s="25">
        <f>SUM(テーブル1[[#This Row],[KG(目付)]:[KG]])</f>
        <v>0</v>
      </c>
      <c r="AA183" s="11"/>
      <c r="AB183" s="11"/>
      <c r="AC183" s="24">
        <f>$G$7*(テーブル1[[#This Row],[金額]]*$G$6)</f>
        <v>0</v>
      </c>
    </row>
    <row r="184" spans="1:29" ht="39.950000000000003" customHeight="1">
      <c r="A184" s="1">
        <v>122</v>
      </c>
      <c r="B184" s="2">
        <v>560312200</v>
      </c>
      <c r="C184" s="3" t="s">
        <v>95</v>
      </c>
      <c r="K184" s="7"/>
      <c r="L184" s="7"/>
      <c r="M184" s="7"/>
      <c r="N184" s="7"/>
      <c r="O184" s="21">
        <f t="shared" si="3"/>
        <v>0</v>
      </c>
      <c r="P184" s="7"/>
      <c r="Q184" s="11"/>
      <c r="R184" s="11"/>
      <c r="S184" s="11"/>
      <c r="T184" s="11"/>
      <c r="U184" s="11"/>
      <c r="V184" s="25">
        <f>IF($G$8="",テーブル1[[#This Row],[幅]]*テーブル1[[#This Row],[長さ]],テーブル1[[#This Row],[幅]]*テーブル1[[#This Row],[長さ]]*$G$8)</f>
        <v>0</v>
      </c>
      <c r="W184" s="25" t="str">
        <f>IF(テーブル1[[#This Row],[幅]]=0,"",テーブル1[[#This Row],[KG合計]]/テーブル1[[#This Row],[SM]]*1000)</f>
        <v/>
      </c>
      <c r="X184" s="25">
        <f>IF(テーブル1[[#This Row],[g/SM]]="",テーブル1[[#This Row],[長さ]]*テーブル1[[#This Row],[g/M]]/1000,テーブル1[[#This Row],[SM]]*テーブル1[[#This Row],[g/SM]]/1000)</f>
        <v>0</v>
      </c>
      <c r="Y184" s="25"/>
      <c r="Z184" s="25">
        <f>SUM(テーブル1[[#This Row],[KG(目付)]:[KG]])</f>
        <v>0</v>
      </c>
      <c r="AA184" s="11"/>
      <c r="AB184" s="11"/>
      <c r="AC184" s="24">
        <f>$G$7*(テーブル1[[#This Row],[金額]]*$G$6)</f>
        <v>0</v>
      </c>
    </row>
    <row r="185" spans="1:29" ht="39.950000000000003" customHeight="1">
      <c r="A185" s="1">
        <v>123</v>
      </c>
      <c r="B185" s="2">
        <v>560312300</v>
      </c>
      <c r="C185" s="3" t="s">
        <v>97</v>
      </c>
      <c r="K185" s="7"/>
      <c r="L185" s="7"/>
      <c r="M185" s="7"/>
      <c r="N185" s="7"/>
      <c r="O185" s="21">
        <f t="shared" si="3"/>
        <v>0</v>
      </c>
      <c r="P185" s="7"/>
      <c r="Q185" s="11"/>
      <c r="R185" s="11"/>
      <c r="S185" s="11"/>
      <c r="T185" s="11"/>
      <c r="U185" s="11"/>
      <c r="V185" s="25">
        <f>IF($G$8="",テーブル1[[#This Row],[幅]]*テーブル1[[#This Row],[長さ]],テーブル1[[#This Row],[幅]]*テーブル1[[#This Row],[長さ]]*$G$8)</f>
        <v>0</v>
      </c>
      <c r="W185" s="25" t="str">
        <f>IF(テーブル1[[#This Row],[幅]]=0,"",テーブル1[[#This Row],[KG合計]]/テーブル1[[#This Row],[SM]]*1000)</f>
        <v/>
      </c>
      <c r="X185" s="25">
        <f>IF(テーブル1[[#This Row],[g/SM]]="",テーブル1[[#This Row],[長さ]]*テーブル1[[#This Row],[g/M]]/1000,テーブル1[[#This Row],[SM]]*テーブル1[[#This Row],[g/SM]]/1000)</f>
        <v>0</v>
      </c>
      <c r="Y185" s="25"/>
      <c r="Z185" s="25">
        <f>SUM(テーブル1[[#This Row],[KG(目付)]:[KG]])</f>
        <v>0</v>
      </c>
      <c r="AA185" s="11"/>
      <c r="AB185" s="11"/>
      <c r="AC185" s="24">
        <f>$G$7*(テーブル1[[#This Row],[金額]]*$G$6)</f>
        <v>0</v>
      </c>
    </row>
    <row r="186" spans="1:29" ht="39.950000000000003" customHeight="1">
      <c r="A186" s="1">
        <v>129</v>
      </c>
      <c r="B186" s="2">
        <v>560312900</v>
      </c>
      <c r="C186" s="3" t="s">
        <v>98</v>
      </c>
      <c r="K186" s="7"/>
      <c r="L186" s="7"/>
      <c r="M186" s="7"/>
      <c r="N186" s="7"/>
      <c r="O186" s="21">
        <f t="shared" si="3"/>
        <v>0</v>
      </c>
      <c r="P186" s="7"/>
      <c r="Q186" s="11"/>
      <c r="R186" s="11"/>
      <c r="S186" s="11"/>
      <c r="T186" s="11"/>
      <c r="U186" s="11"/>
      <c r="V186" s="25">
        <f>IF($G$8="",テーブル1[[#This Row],[幅]]*テーブル1[[#This Row],[長さ]],テーブル1[[#This Row],[幅]]*テーブル1[[#This Row],[長さ]]*$G$8)</f>
        <v>0</v>
      </c>
      <c r="W186" s="25" t="str">
        <f>IF(テーブル1[[#This Row],[幅]]=0,"",テーブル1[[#This Row],[KG合計]]/テーブル1[[#This Row],[SM]]*1000)</f>
        <v/>
      </c>
      <c r="X186" s="25">
        <f>IF(テーブル1[[#This Row],[g/SM]]="",テーブル1[[#This Row],[長さ]]*テーブル1[[#This Row],[g/M]]/1000,テーブル1[[#This Row],[SM]]*テーブル1[[#This Row],[g/SM]]/1000)</f>
        <v>0</v>
      </c>
      <c r="Y186" s="25"/>
      <c r="Z186" s="25">
        <f>SUM(テーブル1[[#This Row],[KG(目付)]:[KG]])</f>
        <v>0</v>
      </c>
      <c r="AA186" s="11"/>
      <c r="AB186" s="11"/>
      <c r="AC186" s="24">
        <f>$G$7*(テーブル1[[#This Row],[金額]]*$G$6)</f>
        <v>0</v>
      </c>
    </row>
    <row r="187" spans="1:29" ht="39.950000000000003" customHeight="1">
      <c r="A187" s="1">
        <v>132</v>
      </c>
      <c r="B187" s="2">
        <v>560313200</v>
      </c>
      <c r="C187" s="3" t="s">
        <v>100</v>
      </c>
      <c r="K187" s="7"/>
      <c r="L187" s="7"/>
      <c r="M187" s="7"/>
      <c r="N187" s="7"/>
      <c r="O187" s="21">
        <f t="shared" si="3"/>
        <v>0</v>
      </c>
      <c r="P187" s="7"/>
      <c r="Q187" s="11"/>
      <c r="R187" s="11"/>
      <c r="S187" s="11"/>
      <c r="T187" s="11"/>
      <c r="U187" s="11"/>
      <c r="V187" s="25">
        <f>IF($G$8="",テーブル1[[#This Row],[幅]]*テーブル1[[#This Row],[長さ]],テーブル1[[#This Row],[幅]]*テーブル1[[#This Row],[長さ]]*$G$8)</f>
        <v>0</v>
      </c>
      <c r="W187" s="25" t="str">
        <f>IF(テーブル1[[#This Row],[幅]]=0,"",テーブル1[[#This Row],[KG合計]]/テーブル1[[#This Row],[SM]]*1000)</f>
        <v/>
      </c>
      <c r="X187" s="25">
        <f>IF(テーブル1[[#This Row],[g/SM]]="",テーブル1[[#This Row],[長さ]]*テーブル1[[#This Row],[g/M]]/1000,テーブル1[[#This Row],[SM]]*テーブル1[[#This Row],[g/SM]]/1000)</f>
        <v>0</v>
      </c>
      <c r="Y187" s="25"/>
      <c r="Z187" s="25">
        <f>SUM(テーブル1[[#This Row],[KG(目付)]:[KG]])</f>
        <v>0</v>
      </c>
      <c r="AA187" s="11"/>
      <c r="AB187" s="11"/>
      <c r="AC187" s="24">
        <f>$G$7*(テーブル1[[#This Row],[金額]]*$G$6)</f>
        <v>0</v>
      </c>
    </row>
    <row r="188" spans="1:29" ht="39.950000000000003" customHeight="1">
      <c r="A188" s="1">
        <v>133</v>
      </c>
      <c r="B188" s="2">
        <v>560313300</v>
      </c>
      <c r="C188" s="3" t="s">
        <v>105</v>
      </c>
      <c r="K188" s="7"/>
      <c r="L188" s="7"/>
      <c r="M188" s="7"/>
      <c r="N188" s="7"/>
      <c r="O188" s="21">
        <f t="shared" si="3"/>
        <v>0</v>
      </c>
      <c r="P188" s="7"/>
      <c r="Q188" s="11"/>
      <c r="R188" s="11"/>
      <c r="S188" s="11"/>
      <c r="T188" s="11"/>
      <c r="U188" s="11"/>
      <c r="V188" s="25">
        <f>IF($G$8="",テーブル1[[#This Row],[幅]]*テーブル1[[#This Row],[長さ]],テーブル1[[#This Row],[幅]]*テーブル1[[#This Row],[長さ]]*$G$8)</f>
        <v>0</v>
      </c>
      <c r="W188" s="25" t="str">
        <f>IF(テーブル1[[#This Row],[幅]]=0,"",テーブル1[[#This Row],[KG合計]]/テーブル1[[#This Row],[SM]]*1000)</f>
        <v/>
      </c>
      <c r="X188" s="25">
        <f>IF(テーブル1[[#This Row],[g/SM]]="",テーブル1[[#This Row],[長さ]]*テーブル1[[#This Row],[g/M]]/1000,テーブル1[[#This Row],[SM]]*テーブル1[[#This Row],[g/SM]]/1000)</f>
        <v>0</v>
      </c>
      <c r="Y188" s="25"/>
      <c r="Z188" s="25">
        <f>SUM(テーブル1[[#This Row],[KG(目付)]:[KG]])</f>
        <v>0</v>
      </c>
      <c r="AA188" s="11"/>
      <c r="AB188" s="11"/>
      <c r="AC188" s="24">
        <f>$G$7*(テーブル1[[#This Row],[金額]]*$G$6)</f>
        <v>0</v>
      </c>
    </row>
    <row r="189" spans="1:29" ht="39.950000000000003" customHeight="1">
      <c r="A189" s="1">
        <v>139</v>
      </c>
      <c r="B189" s="2">
        <v>560313900</v>
      </c>
      <c r="C189" s="3" t="s">
        <v>101</v>
      </c>
      <c r="K189" s="7"/>
      <c r="L189" s="7"/>
      <c r="M189" s="7"/>
      <c r="N189" s="7"/>
      <c r="O189" s="21">
        <f t="shared" si="3"/>
        <v>0</v>
      </c>
      <c r="P189" s="7"/>
      <c r="Q189" s="11"/>
      <c r="R189" s="11"/>
      <c r="S189" s="11"/>
      <c r="T189" s="11"/>
      <c r="U189" s="11"/>
      <c r="V189" s="25">
        <f>IF($G$8="",テーブル1[[#This Row],[幅]]*テーブル1[[#This Row],[長さ]],テーブル1[[#This Row],[幅]]*テーブル1[[#This Row],[長さ]]*$G$8)</f>
        <v>0</v>
      </c>
      <c r="W189" s="25" t="str">
        <f>IF(テーブル1[[#This Row],[幅]]=0,"",テーブル1[[#This Row],[KG合計]]/テーブル1[[#This Row],[SM]]*1000)</f>
        <v/>
      </c>
      <c r="X189" s="25">
        <f>IF(テーブル1[[#This Row],[g/SM]]="",テーブル1[[#This Row],[長さ]]*テーブル1[[#This Row],[g/M]]/1000,テーブル1[[#This Row],[SM]]*テーブル1[[#This Row],[g/SM]]/1000)</f>
        <v>0</v>
      </c>
      <c r="Y189" s="25"/>
      <c r="Z189" s="25">
        <f>SUM(テーブル1[[#This Row],[KG(目付)]:[KG]])</f>
        <v>0</v>
      </c>
      <c r="AA189" s="11"/>
      <c r="AB189" s="11"/>
      <c r="AC189" s="24">
        <f>$G$7*(テーブル1[[#This Row],[金額]]*$G$6)</f>
        <v>0</v>
      </c>
    </row>
    <row r="190" spans="1:29" ht="39.950000000000003" customHeight="1">
      <c r="A190" s="1">
        <v>141</v>
      </c>
      <c r="B190" s="2">
        <v>560314100</v>
      </c>
      <c r="C190" s="3" t="s">
        <v>102</v>
      </c>
      <c r="K190" s="7"/>
      <c r="L190" s="7"/>
      <c r="M190" s="7"/>
      <c r="N190" s="7"/>
      <c r="O190" s="21">
        <f t="shared" si="3"/>
        <v>0</v>
      </c>
      <c r="P190" s="7"/>
      <c r="Q190" s="11"/>
      <c r="R190" s="11"/>
      <c r="S190" s="11"/>
      <c r="T190" s="11"/>
      <c r="U190" s="11"/>
      <c r="V190" s="25">
        <f>IF($G$8="",テーブル1[[#This Row],[幅]]*テーブル1[[#This Row],[長さ]],テーブル1[[#This Row],[幅]]*テーブル1[[#This Row],[長さ]]*$G$8)</f>
        <v>0</v>
      </c>
      <c r="W190" s="25" t="str">
        <f>IF(テーブル1[[#This Row],[幅]]=0,"",テーブル1[[#This Row],[KG合計]]/テーブル1[[#This Row],[SM]]*1000)</f>
        <v/>
      </c>
      <c r="X190" s="25">
        <f>IF(テーブル1[[#This Row],[g/SM]]="",テーブル1[[#This Row],[長さ]]*テーブル1[[#This Row],[g/M]]/1000,テーブル1[[#This Row],[SM]]*テーブル1[[#This Row],[g/SM]]/1000)</f>
        <v>0</v>
      </c>
      <c r="Y190" s="25"/>
      <c r="Z190" s="25">
        <f>SUM(テーブル1[[#This Row],[KG(目付)]:[KG]])</f>
        <v>0</v>
      </c>
      <c r="AA190" s="11"/>
      <c r="AB190" s="11"/>
      <c r="AC190" s="24">
        <f>$G$7*(テーブル1[[#This Row],[金額]]*$G$6)</f>
        <v>0</v>
      </c>
    </row>
    <row r="191" spans="1:29" ht="39.950000000000003" customHeight="1">
      <c r="A191" s="1">
        <v>142</v>
      </c>
      <c r="B191" s="2">
        <v>560314200</v>
      </c>
      <c r="C191" s="3" t="s">
        <v>103</v>
      </c>
      <c r="K191" s="7"/>
      <c r="L191" s="7"/>
      <c r="M191" s="7"/>
      <c r="N191" s="7"/>
      <c r="O191" s="21">
        <f t="shared" si="3"/>
        <v>0</v>
      </c>
      <c r="P191" s="7"/>
      <c r="Q191" s="11"/>
      <c r="R191" s="11"/>
      <c r="S191" s="11"/>
      <c r="T191" s="11"/>
      <c r="U191" s="11"/>
      <c r="V191" s="25">
        <f>IF($G$8="",テーブル1[[#This Row],[幅]]*テーブル1[[#This Row],[長さ]],テーブル1[[#This Row],[幅]]*テーブル1[[#This Row],[長さ]]*$G$8)</f>
        <v>0</v>
      </c>
      <c r="W191" s="25" t="str">
        <f>IF(テーブル1[[#This Row],[幅]]=0,"",テーブル1[[#This Row],[KG合計]]/テーブル1[[#This Row],[SM]]*1000)</f>
        <v/>
      </c>
      <c r="X191" s="25">
        <f>IF(テーブル1[[#This Row],[g/SM]]="",テーブル1[[#This Row],[長さ]]*テーブル1[[#This Row],[g/M]]/1000,テーブル1[[#This Row],[SM]]*テーブル1[[#This Row],[g/SM]]/1000)</f>
        <v>0</v>
      </c>
      <c r="Y191" s="25"/>
      <c r="Z191" s="25">
        <f>SUM(テーブル1[[#This Row],[KG(目付)]:[KG]])</f>
        <v>0</v>
      </c>
      <c r="AA191" s="11"/>
      <c r="AB191" s="11"/>
      <c r="AC191" s="24">
        <f>$G$7*(テーブル1[[#This Row],[金額]]*$G$6)</f>
        <v>0</v>
      </c>
    </row>
    <row r="192" spans="1:29" ht="39.950000000000003" customHeight="1">
      <c r="A192" s="1">
        <v>149</v>
      </c>
      <c r="B192" s="2">
        <v>560314900</v>
      </c>
      <c r="C192" s="3" t="s">
        <v>104</v>
      </c>
      <c r="K192" s="7"/>
      <c r="L192" s="7"/>
      <c r="M192" s="7"/>
      <c r="N192" s="7"/>
      <c r="O192" s="21">
        <f t="shared" si="3"/>
        <v>0</v>
      </c>
      <c r="P192" s="7"/>
      <c r="Q192" s="11"/>
      <c r="R192" s="11"/>
      <c r="S192" s="11"/>
      <c r="T192" s="11"/>
      <c r="U192" s="11"/>
      <c r="V192" s="25">
        <f>IF($G$8="",テーブル1[[#This Row],[幅]]*テーブル1[[#This Row],[長さ]],テーブル1[[#This Row],[幅]]*テーブル1[[#This Row],[長さ]]*$G$8)</f>
        <v>0</v>
      </c>
      <c r="W192" s="25" t="str">
        <f>IF(テーブル1[[#This Row],[幅]]=0,"",テーブル1[[#This Row],[KG合計]]/テーブル1[[#This Row],[SM]]*1000)</f>
        <v/>
      </c>
      <c r="X192" s="25">
        <f>IF(テーブル1[[#This Row],[g/SM]]="",テーブル1[[#This Row],[長さ]]*テーブル1[[#This Row],[g/M]]/1000,テーブル1[[#This Row],[SM]]*テーブル1[[#This Row],[g/SM]]/1000)</f>
        <v>0</v>
      </c>
      <c r="Y192" s="25"/>
      <c r="Z192" s="25">
        <f>SUM(テーブル1[[#This Row],[KG(目付)]:[KG]])</f>
        <v>0</v>
      </c>
      <c r="AA192" s="11"/>
      <c r="AB192" s="11"/>
      <c r="AC192" s="24">
        <f>$G$7*(テーブル1[[#This Row],[金額]]*$G$6)</f>
        <v>0</v>
      </c>
    </row>
    <row r="193" spans="1:29" ht="39.950000000000003" customHeight="1">
      <c r="A193" s="1">
        <v>913</v>
      </c>
      <c r="B193" s="2">
        <v>560391300</v>
      </c>
      <c r="C193" s="3" t="s">
        <v>106</v>
      </c>
      <c r="K193" s="7"/>
      <c r="L193" s="7"/>
      <c r="M193" s="7"/>
      <c r="N193" s="7"/>
      <c r="O193" s="21">
        <f t="shared" si="3"/>
        <v>0</v>
      </c>
      <c r="P193" s="7"/>
      <c r="Q193" s="11"/>
      <c r="R193" s="11"/>
      <c r="S193" s="11"/>
      <c r="T193" s="11"/>
      <c r="U193" s="11"/>
      <c r="V193" s="25">
        <f>IF($G$8="",テーブル1[[#This Row],[幅]]*テーブル1[[#This Row],[長さ]],テーブル1[[#This Row],[幅]]*テーブル1[[#This Row],[長さ]]*$G$8)</f>
        <v>0</v>
      </c>
      <c r="W193" s="25" t="str">
        <f>IF(テーブル1[[#This Row],[幅]]=0,"",テーブル1[[#This Row],[KG合計]]/テーブル1[[#This Row],[SM]]*1000)</f>
        <v/>
      </c>
      <c r="X193" s="25">
        <f>IF(テーブル1[[#This Row],[g/SM]]="",テーブル1[[#This Row],[長さ]]*テーブル1[[#This Row],[g/M]]/1000,テーブル1[[#This Row],[SM]]*テーブル1[[#This Row],[g/SM]]/1000)</f>
        <v>0</v>
      </c>
      <c r="Y193" s="25"/>
      <c r="Z193" s="25">
        <f>SUM(テーブル1[[#This Row],[KG(目付)]:[KG]])</f>
        <v>0</v>
      </c>
      <c r="AA193" s="11"/>
      <c r="AB193" s="11"/>
      <c r="AC193" s="24">
        <f>$G$7*(テーブル1[[#This Row],[金額]]*$G$6)</f>
        <v>0</v>
      </c>
    </row>
    <row r="194" spans="1:29" ht="39.950000000000003" customHeight="1">
      <c r="A194" s="1">
        <v>919</v>
      </c>
      <c r="B194" s="2">
        <v>560391900</v>
      </c>
      <c r="C194" s="3" t="s">
        <v>96</v>
      </c>
      <c r="K194" s="7"/>
      <c r="L194" s="7"/>
      <c r="M194" s="7"/>
      <c r="N194" s="7"/>
      <c r="O194" s="21">
        <f t="shared" si="3"/>
        <v>0</v>
      </c>
      <c r="P194" s="7"/>
      <c r="Q194" s="11"/>
      <c r="R194" s="11"/>
      <c r="S194" s="11"/>
      <c r="T194" s="11"/>
      <c r="U194" s="11"/>
      <c r="V194" s="25">
        <f>IF($G$8="",テーブル1[[#This Row],[幅]]*テーブル1[[#This Row],[長さ]],テーブル1[[#This Row],[幅]]*テーブル1[[#This Row],[長さ]]*$G$8)</f>
        <v>0</v>
      </c>
      <c r="W194" s="25" t="str">
        <f>IF(テーブル1[[#This Row],[幅]]=0,"",テーブル1[[#This Row],[KG合計]]/テーブル1[[#This Row],[SM]]*1000)</f>
        <v/>
      </c>
      <c r="X194" s="25">
        <f>IF(テーブル1[[#This Row],[g/SM]]="",テーブル1[[#This Row],[長さ]]*テーブル1[[#This Row],[g/M]]/1000,テーブル1[[#This Row],[SM]]*テーブル1[[#This Row],[g/SM]]/1000)</f>
        <v>0</v>
      </c>
      <c r="Y194" s="25"/>
      <c r="Z194" s="25">
        <f>SUM(テーブル1[[#This Row],[KG(目付)]:[KG]])</f>
        <v>0</v>
      </c>
      <c r="AA194" s="11"/>
      <c r="AB194" s="11"/>
      <c r="AC194" s="24">
        <f>$G$7*(テーブル1[[#This Row],[金額]]*$G$6)</f>
        <v>0</v>
      </c>
    </row>
    <row r="195" spans="1:29" ht="39.950000000000003" customHeight="1">
      <c r="A195" s="1">
        <v>921</v>
      </c>
      <c r="B195" s="2">
        <v>560392100</v>
      </c>
      <c r="C195" s="3" t="s">
        <v>94</v>
      </c>
      <c r="K195" s="7"/>
      <c r="L195" s="7"/>
      <c r="M195" s="7"/>
      <c r="N195" s="7"/>
      <c r="O195" s="21">
        <f t="shared" ref="O195:O242" si="4">IF(LEN(N195)=10,RIGHT(N195,1),IFERROR(N195-(INT(N195/7)*7),RIGHT(N195,1)))</f>
        <v>0</v>
      </c>
      <c r="P195" s="7"/>
      <c r="Q195" s="11"/>
      <c r="R195" s="11"/>
      <c r="S195" s="11"/>
      <c r="T195" s="11"/>
      <c r="U195" s="11"/>
      <c r="V195" s="25">
        <f>IF($G$8="",テーブル1[[#This Row],[幅]]*テーブル1[[#This Row],[長さ]],テーブル1[[#This Row],[幅]]*テーブル1[[#This Row],[長さ]]*$G$8)</f>
        <v>0</v>
      </c>
      <c r="W195" s="25" t="str">
        <f>IF(テーブル1[[#This Row],[幅]]=0,"",テーブル1[[#This Row],[KG合計]]/テーブル1[[#This Row],[SM]]*1000)</f>
        <v/>
      </c>
      <c r="X195" s="25">
        <f>IF(テーブル1[[#This Row],[g/SM]]="",テーブル1[[#This Row],[長さ]]*テーブル1[[#This Row],[g/M]]/1000,テーブル1[[#This Row],[SM]]*テーブル1[[#This Row],[g/SM]]/1000)</f>
        <v>0</v>
      </c>
      <c r="Y195" s="25"/>
      <c r="Z195" s="25">
        <f>SUM(テーブル1[[#This Row],[KG(目付)]:[KG]])</f>
        <v>0</v>
      </c>
      <c r="AA195" s="11"/>
      <c r="AB195" s="11"/>
      <c r="AC195" s="24">
        <f>$G$7*(テーブル1[[#This Row],[金額]]*$G$6)</f>
        <v>0</v>
      </c>
    </row>
    <row r="196" spans="1:29" ht="39.950000000000003" customHeight="1">
      <c r="A196" s="2">
        <v>922</v>
      </c>
      <c r="B196" s="2">
        <v>560392200</v>
      </c>
      <c r="C196" s="3" t="s">
        <v>95</v>
      </c>
      <c r="K196" s="7"/>
      <c r="L196" s="7"/>
      <c r="M196" s="7"/>
      <c r="N196" s="7"/>
      <c r="O196" s="21">
        <f t="shared" si="4"/>
        <v>0</v>
      </c>
      <c r="P196" s="7"/>
      <c r="Q196" s="11"/>
      <c r="R196" s="11"/>
      <c r="S196" s="11"/>
      <c r="T196" s="11"/>
      <c r="U196" s="11"/>
      <c r="V196" s="25">
        <f>IF($G$8="",テーブル1[[#This Row],[幅]]*テーブル1[[#This Row],[長さ]],テーブル1[[#This Row],[幅]]*テーブル1[[#This Row],[長さ]]*$G$8)</f>
        <v>0</v>
      </c>
      <c r="W196" s="25" t="str">
        <f>IF(テーブル1[[#This Row],[幅]]=0,"",テーブル1[[#This Row],[KG合計]]/テーブル1[[#This Row],[SM]]*1000)</f>
        <v/>
      </c>
      <c r="X196" s="25">
        <f>IF(テーブル1[[#This Row],[g/SM]]="",テーブル1[[#This Row],[長さ]]*テーブル1[[#This Row],[g/M]]/1000,テーブル1[[#This Row],[SM]]*テーブル1[[#This Row],[g/SM]]/1000)</f>
        <v>0</v>
      </c>
      <c r="Y196" s="25"/>
      <c r="Z196" s="25">
        <f>SUM(テーブル1[[#This Row],[KG(目付)]:[KG]])</f>
        <v>0</v>
      </c>
      <c r="AA196" s="11"/>
      <c r="AB196" s="11"/>
      <c r="AC196" s="24">
        <f>$G$7*(テーブル1[[#This Row],[金額]]*$G$6)</f>
        <v>0</v>
      </c>
    </row>
    <row r="197" spans="1:29" ht="39.950000000000003" customHeight="1">
      <c r="A197" s="2">
        <v>923</v>
      </c>
      <c r="B197" s="2">
        <v>560392300</v>
      </c>
      <c r="C197" s="3" t="s">
        <v>97</v>
      </c>
      <c r="K197" s="7"/>
      <c r="L197" s="7"/>
      <c r="M197" s="7"/>
      <c r="N197" s="7"/>
      <c r="O197" s="21">
        <f t="shared" si="4"/>
        <v>0</v>
      </c>
      <c r="P197" s="7"/>
      <c r="Q197" s="11"/>
      <c r="R197" s="11"/>
      <c r="S197" s="11"/>
      <c r="T197" s="11"/>
      <c r="U197" s="11"/>
      <c r="V197" s="25">
        <f>IF($G$8="",テーブル1[[#This Row],[幅]]*テーブル1[[#This Row],[長さ]],テーブル1[[#This Row],[幅]]*テーブル1[[#This Row],[長さ]]*$G$8)</f>
        <v>0</v>
      </c>
      <c r="W197" s="25" t="str">
        <f>IF(テーブル1[[#This Row],[幅]]=0,"",テーブル1[[#This Row],[KG合計]]/テーブル1[[#This Row],[SM]]*1000)</f>
        <v/>
      </c>
      <c r="X197" s="25">
        <f>IF(テーブル1[[#This Row],[g/SM]]="",テーブル1[[#This Row],[長さ]]*テーブル1[[#This Row],[g/M]]/1000,テーブル1[[#This Row],[SM]]*テーブル1[[#This Row],[g/SM]]/1000)</f>
        <v>0</v>
      </c>
      <c r="Y197" s="25"/>
      <c r="Z197" s="25">
        <f>SUM(テーブル1[[#This Row],[KG(目付)]:[KG]])</f>
        <v>0</v>
      </c>
      <c r="AA197" s="11"/>
      <c r="AB197" s="11"/>
      <c r="AC197" s="24">
        <f>$G$7*(テーブル1[[#This Row],[金額]]*$G$6)</f>
        <v>0</v>
      </c>
    </row>
    <row r="198" spans="1:29" ht="39.950000000000003" customHeight="1">
      <c r="A198" s="2">
        <v>929</v>
      </c>
      <c r="B198" s="2">
        <v>560392900</v>
      </c>
      <c r="C198" s="3" t="s">
        <v>98</v>
      </c>
      <c r="K198" s="7"/>
      <c r="L198" s="7"/>
      <c r="M198" s="7"/>
      <c r="N198" s="7"/>
      <c r="O198" s="21">
        <f t="shared" si="4"/>
        <v>0</v>
      </c>
      <c r="P198" s="7"/>
      <c r="Q198" s="11"/>
      <c r="R198" s="11"/>
      <c r="S198" s="11"/>
      <c r="T198" s="11"/>
      <c r="U198" s="11"/>
      <c r="V198" s="25">
        <f>IF($G$8="",テーブル1[[#This Row],[幅]]*テーブル1[[#This Row],[長さ]],テーブル1[[#This Row],[幅]]*テーブル1[[#This Row],[長さ]]*$G$8)</f>
        <v>0</v>
      </c>
      <c r="W198" s="25" t="str">
        <f>IF(テーブル1[[#This Row],[幅]]=0,"",テーブル1[[#This Row],[KG合計]]/テーブル1[[#This Row],[SM]]*1000)</f>
        <v/>
      </c>
      <c r="X198" s="25">
        <f>IF(テーブル1[[#This Row],[g/SM]]="",テーブル1[[#This Row],[長さ]]*テーブル1[[#This Row],[g/M]]/1000,テーブル1[[#This Row],[SM]]*テーブル1[[#This Row],[g/SM]]/1000)</f>
        <v>0</v>
      </c>
      <c r="Y198" s="25"/>
      <c r="Z198" s="25">
        <f>SUM(テーブル1[[#This Row],[KG(目付)]:[KG]])</f>
        <v>0</v>
      </c>
      <c r="AA198" s="11"/>
      <c r="AB198" s="11"/>
      <c r="AC198" s="24">
        <f>$G$7*(テーブル1[[#This Row],[金額]]*$G$6)</f>
        <v>0</v>
      </c>
    </row>
    <row r="199" spans="1:29" ht="39.950000000000003" customHeight="1">
      <c r="A199" s="2">
        <v>931</v>
      </c>
      <c r="B199" s="2">
        <v>560393100</v>
      </c>
      <c r="C199" s="3" t="s">
        <v>99</v>
      </c>
      <c r="K199" s="7"/>
      <c r="L199" s="7"/>
      <c r="M199" s="7"/>
      <c r="N199" s="7"/>
      <c r="O199" s="21">
        <f t="shared" si="4"/>
        <v>0</v>
      </c>
      <c r="P199" s="7"/>
      <c r="Q199" s="11"/>
      <c r="R199" s="11"/>
      <c r="S199" s="11"/>
      <c r="T199" s="11"/>
      <c r="U199" s="11"/>
      <c r="V199" s="25">
        <f>IF($G$8="",テーブル1[[#This Row],[幅]]*テーブル1[[#This Row],[長さ]],テーブル1[[#This Row],[幅]]*テーブル1[[#This Row],[長さ]]*$G$8)</f>
        <v>0</v>
      </c>
      <c r="W199" s="25" t="str">
        <f>IF(テーブル1[[#This Row],[幅]]=0,"",テーブル1[[#This Row],[KG合計]]/テーブル1[[#This Row],[SM]]*1000)</f>
        <v/>
      </c>
      <c r="X199" s="25">
        <f>IF(テーブル1[[#This Row],[g/SM]]="",テーブル1[[#This Row],[長さ]]*テーブル1[[#This Row],[g/M]]/1000,テーブル1[[#This Row],[SM]]*テーブル1[[#This Row],[g/SM]]/1000)</f>
        <v>0</v>
      </c>
      <c r="Y199" s="25"/>
      <c r="Z199" s="25">
        <f>SUM(テーブル1[[#This Row],[KG(目付)]:[KG]])</f>
        <v>0</v>
      </c>
      <c r="AA199" s="11"/>
      <c r="AB199" s="11"/>
      <c r="AC199" s="24">
        <f>$G$7*(テーブル1[[#This Row],[金額]]*$G$6)</f>
        <v>0</v>
      </c>
    </row>
    <row r="200" spans="1:29" ht="39.950000000000003" customHeight="1">
      <c r="A200" s="2">
        <v>932</v>
      </c>
      <c r="B200" s="2">
        <v>560393200</v>
      </c>
      <c r="C200" s="3" t="s">
        <v>100</v>
      </c>
      <c r="K200" s="7"/>
      <c r="L200" s="7"/>
      <c r="M200" s="7"/>
      <c r="N200" s="7"/>
      <c r="O200" s="21">
        <f t="shared" si="4"/>
        <v>0</v>
      </c>
      <c r="P200" s="7"/>
      <c r="Q200" s="11"/>
      <c r="R200" s="11"/>
      <c r="S200" s="11"/>
      <c r="T200" s="11"/>
      <c r="U200" s="11"/>
      <c r="V200" s="25">
        <f>IF($G$8="",テーブル1[[#This Row],[幅]]*テーブル1[[#This Row],[長さ]],テーブル1[[#This Row],[幅]]*テーブル1[[#This Row],[長さ]]*$G$8)</f>
        <v>0</v>
      </c>
      <c r="W200" s="25" t="str">
        <f>IF(テーブル1[[#This Row],[幅]]=0,"",テーブル1[[#This Row],[KG合計]]/テーブル1[[#This Row],[SM]]*1000)</f>
        <v/>
      </c>
      <c r="X200" s="25">
        <f>IF(テーブル1[[#This Row],[g/SM]]="",テーブル1[[#This Row],[長さ]]*テーブル1[[#This Row],[g/M]]/1000,テーブル1[[#This Row],[SM]]*テーブル1[[#This Row],[g/SM]]/1000)</f>
        <v>0</v>
      </c>
      <c r="Y200" s="25"/>
      <c r="Z200" s="25">
        <f>SUM(テーブル1[[#This Row],[KG(目付)]:[KG]])</f>
        <v>0</v>
      </c>
      <c r="AA200" s="11"/>
      <c r="AB200" s="11"/>
      <c r="AC200" s="24">
        <f>$G$7*(テーブル1[[#This Row],[金額]]*$G$6)</f>
        <v>0</v>
      </c>
    </row>
    <row r="201" spans="1:29" ht="39.950000000000003" customHeight="1">
      <c r="A201" s="2">
        <v>939</v>
      </c>
      <c r="B201" s="2">
        <v>560393900</v>
      </c>
      <c r="C201" s="3" t="s">
        <v>101</v>
      </c>
      <c r="K201" s="7"/>
      <c r="L201" s="7"/>
      <c r="M201" s="7"/>
      <c r="N201" s="7"/>
      <c r="O201" s="21">
        <f t="shared" si="4"/>
        <v>0</v>
      </c>
      <c r="P201" s="7"/>
      <c r="Q201" s="11"/>
      <c r="R201" s="11"/>
      <c r="S201" s="11"/>
      <c r="T201" s="11"/>
      <c r="U201" s="11"/>
      <c r="V201" s="25">
        <f>IF($G$8="",テーブル1[[#This Row],[幅]]*テーブル1[[#This Row],[長さ]],テーブル1[[#This Row],[幅]]*テーブル1[[#This Row],[長さ]]*$G$8)</f>
        <v>0</v>
      </c>
      <c r="W201" s="25" t="str">
        <f>IF(テーブル1[[#This Row],[幅]]=0,"",テーブル1[[#This Row],[KG合計]]/テーブル1[[#This Row],[SM]]*1000)</f>
        <v/>
      </c>
      <c r="X201" s="25">
        <f>IF(テーブル1[[#This Row],[g/SM]]="",テーブル1[[#This Row],[長さ]]*テーブル1[[#This Row],[g/M]]/1000,テーブル1[[#This Row],[SM]]*テーブル1[[#This Row],[g/SM]]/1000)</f>
        <v>0</v>
      </c>
      <c r="Y201" s="25"/>
      <c r="Z201" s="25">
        <f>SUM(テーブル1[[#This Row],[KG(目付)]:[KG]])</f>
        <v>0</v>
      </c>
      <c r="AA201" s="11"/>
      <c r="AB201" s="11"/>
      <c r="AC201" s="24">
        <f>$G$7*(テーブル1[[#This Row],[金額]]*$G$6)</f>
        <v>0</v>
      </c>
    </row>
    <row r="202" spans="1:29" ht="39.950000000000003" customHeight="1">
      <c r="A202" s="2">
        <v>941</v>
      </c>
      <c r="B202" s="2">
        <v>560394100</v>
      </c>
      <c r="C202" s="3" t="s">
        <v>102</v>
      </c>
      <c r="K202" s="7"/>
      <c r="L202" s="7"/>
      <c r="M202" s="7"/>
      <c r="N202" s="7"/>
      <c r="O202" s="21">
        <f t="shared" si="4"/>
        <v>0</v>
      </c>
      <c r="P202" s="7"/>
      <c r="Q202" s="11"/>
      <c r="R202" s="11"/>
      <c r="S202" s="11"/>
      <c r="T202" s="11"/>
      <c r="U202" s="11"/>
      <c r="V202" s="25">
        <f>IF($G$8="",テーブル1[[#This Row],[幅]]*テーブル1[[#This Row],[長さ]],テーブル1[[#This Row],[幅]]*テーブル1[[#This Row],[長さ]]*$G$8)</f>
        <v>0</v>
      </c>
      <c r="W202" s="25" t="str">
        <f>IF(テーブル1[[#This Row],[幅]]=0,"",テーブル1[[#This Row],[KG合計]]/テーブル1[[#This Row],[SM]]*1000)</f>
        <v/>
      </c>
      <c r="X202" s="25">
        <f>IF(テーブル1[[#This Row],[g/SM]]="",テーブル1[[#This Row],[長さ]]*テーブル1[[#This Row],[g/M]]/1000,テーブル1[[#This Row],[SM]]*テーブル1[[#This Row],[g/SM]]/1000)</f>
        <v>0</v>
      </c>
      <c r="Y202" s="25"/>
      <c r="Z202" s="25">
        <f>SUM(テーブル1[[#This Row],[KG(目付)]:[KG]])</f>
        <v>0</v>
      </c>
      <c r="AA202" s="11"/>
      <c r="AB202" s="11"/>
      <c r="AC202" s="24">
        <f>$G$7*(テーブル1[[#This Row],[金額]]*$G$6)</f>
        <v>0</v>
      </c>
    </row>
    <row r="203" spans="1:29" ht="39.950000000000003" customHeight="1">
      <c r="A203" s="2">
        <v>942</v>
      </c>
      <c r="B203" s="2">
        <v>560394200</v>
      </c>
      <c r="C203" s="3" t="s">
        <v>103</v>
      </c>
      <c r="K203" s="7"/>
      <c r="L203" s="7"/>
      <c r="M203" s="7"/>
      <c r="N203" s="7"/>
      <c r="O203" s="21">
        <f t="shared" si="4"/>
        <v>0</v>
      </c>
      <c r="P203" s="7"/>
      <c r="Q203" s="11"/>
      <c r="R203" s="11"/>
      <c r="S203" s="11"/>
      <c r="T203" s="11"/>
      <c r="U203" s="11"/>
      <c r="V203" s="25">
        <f>IF($G$8="",テーブル1[[#This Row],[幅]]*テーブル1[[#This Row],[長さ]],テーブル1[[#This Row],[幅]]*テーブル1[[#This Row],[長さ]]*$G$8)</f>
        <v>0</v>
      </c>
      <c r="W203" s="25" t="str">
        <f>IF(テーブル1[[#This Row],[幅]]=0,"",テーブル1[[#This Row],[KG合計]]/テーブル1[[#This Row],[SM]]*1000)</f>
        <v/>
      </c>
      <c r="X203" s="25">
        <f>IF(テーブル1[[#This Row],[g/SM]]="",テーブル1[[#This Row],[長さ]]*テーブル1[[#This Row],[g/M]]/1000,テーブル1[[#This Row],[SM]]*テーブル1[[#This Row],[g/SM]]/1000)</f>
        <v>0</v>
      </c>
      <c r="Y203" s="25"/>
      <c r="Z203" s="25">
        <f>SUM(テーブル1[[#This Row],[KG(目付)]:[KG]])</f>
        <v>0</v>
      </c>
      <c r="AA203" s="11"/>
      <c r="AB203" s="11"/>
      <c r="AC203" s="24">
        <f>$G$7*(テーブル1[[#This Row],[金額]]*$G$6)</f>
        <v>0</v>
      </c>
    </row>
    <row r="204" spans="1:29" ht="39.950000000000003" customHeight="1">
      <c r="A204" s="2">
        <v>949</v>
      </c>
      <c r="B204" s="2">
        <v>560394900</v>
      </c>
      <c r="C204" s="3" t="s">
        <v>104</v>
      </c>
      <c r="K204" s="7"/>
      <c r="L204" s="7"/>
      <c r="M204" s="7"/>
      <c r="N204" s="7"/>
      <c r="O204" s="21">
        <f t="shared" si="4"/>
        <v>0</v>
      </c>
      <c r="P204" s="7"/>
      <c r="Q204" s="11"/>
      <c r="R204" s="11"/>
      <c r="S204" s="11"/>
      <c r="T204" s="11"/>
      <c r="U204" s="11"/>
      <c r="V204" s="25">
        <f>IF($G$8="",テーブル1[[#This Row],[幅]]*テーブル1[[#This Row],[長さ]],テーブル1[[#This Row],[幅]]*テーブル1[[#This Row],[長さ]]*$G$8)</f>
        <v>0</v>
      </c>
      <c r="W204" s="25" t="str">
        <f>IF(テーブル1[[#This Row],[幅]]=0,"",テーブル1[[#This Row],[KG合計]]/テーブル1[[#This Row],[SM]]*1000)</f>
        <v/>
      </c>
      <c r="X204" s="25">
        <f>IF(テーブル1[[#This Row],[g/SM]]="",テーブル1[[#This Row],[長さ]]*テーブル1[[#This Row],[g/M]]/1000,テーブル1[[#This Row],[SM]]*テーブル1[[#This Row],[g/SM]]/1000)</f>
        <v>0</v>
      </c>
      <c r="Y204" s="25"/>
      <c r="Z204" s="25">
        <f>SUM(テーブル1[[#This Row],[KG(目付)]:[KG]])</f>
        <v>0</v>
      </c>
      <c r="AA204" s="11"/>
      <c r="AB204" s="11"/>
      <c r="AC204" s="24">
        <f>$G$7*(テーブル1[[#This Row],[金額]]*$G$6)</f>
        <v>0</v>
      </c>
    </row>
    <row r="205" spans="1:29" ht="39.950000000000003" customHeight="1">
      <c r="A205" s="1">
        <v>4016</v>
      </c>
      <c r="B205" s="2">
        <v>401693000</v>
      </c>
      <c r="K205" s="7"/>
      <c r="L205" s="7"/>
      <c r="M205" s="7"/>
      <c r="N205" s="7"/>
      <c r="O205" s="21">
        <f t="shared" si="4"/>
        <v>0</v>
      </c>
      <c r="P205" s="7"/>
      <c r="Q205" s="11"/>
      <c r="R205" s="11"/>
      <c r="S205" s="11"/>
      <c r="T205" s="11"/>
      <c r="U205" s="11"/>
      <c r="V205" s="25">
        <f>IF($G$8="",テーブル1[[#This Row],[幅]]*テーブル1[[#This Row],[長さ]],テーブル1[[#This Row],[幅]]*テーブル1[[#This Row],[長さ]]*$G$8)</f>
        <v>0</v>
      </c>
      <c r="W205" s="25" t="str">
        <f>IF(テーブル1[[#This Row],[幅]]=0,"",テーブル1[[#This Row],[KG合計]]/テーブル1[[#This Row],[SM]]*1000)</f>
        <v/>
      </c>
      <c r="X205" s="25">
        <f>IF(テーブル1[[#This Row],[g/SM]]="",テーブル1[[#This Row],[長さ]]*テーブル1[[#This Row],[g/M]]/1000,テーブル1[[#This Row],[SM]]*テーブル1[[#This Row],[g/SM]]/1000)</f>
        <v>0</v>
      </c>
      <c r="Y205" s="25"/>
      <c r="Z205" s="25">
        <f>SUM(テーブル1[[#This Row],[KG(目付)]:[KG]])</f>
        <v>0</v>
      </c>
      <c r="AA205" s="11"/>
      <c r="AB205" s="11"/>
      <c r="AC205" s="24">
        <f>$G$7*(テーブル1[[#This Row],[金額]]*$G$6)</f>
        <v>0</v>
      </c>
    </row>
    <row r="206" spans="1:29" ht="39.950000000000003" customHeight="1">
      <c r="A206" s="1">
        <v>1814</v>
      </c>
      <c r="B206" s="2">
        <v>731814000</v>
      </c>
      <c r="K206" s="7"/>
      <c r="L206" s="7"/>
      <c r="M206" s="7"/>
      <c r="N206" s="7"/>
      <c r="O206" s="21">
        <f t="shared" si="4"/>
        <v>0</v>
      </c>
      <c r="P206" s="7"/>
      <c r="Q206" s="11"/>
      <c r="R206" s="11"/>
      <c r="S206" s="11"/>
      <c r="T206" s="11"/>
      <c r="U206" s="11"/>
      <c r="V206" s="25">
        <f>IF($G$8="",テーブル1[[#This Row],[幅]]*テーブル1[[#This Row],[長さ]],テーブル1[[#This Row],[幅]]*テーブル1[[#This Row],[長さ]]*$G$8)</f>
        <v>0</v>
      </c>
      <c r="W206" s="25" t="str">
        <f>IF(テーブル1[[#This Row],[幅]]=0,"",テーブル1[[#This Row],[KG合計]]/テーブル1[[#This Row],[SM]]*1000)</f>
        <v/>
      </c>
      <c r="X206" s="25">
        <f>IF(テーブル1[[#This Row],[g/SM]]="",テーブル1[[#This Row],[長さ]]*テーブル1[[#This Row],[g/M]]/1000,テーブル1[[#This Row],[SM]]*テーブル1[[#This Row],[g/SM]]/1000)</f>
        <v>0</v>
      </c>
      <c r="Y206" s="25"/>
      <c r="Z206" s="25">
        <f>SUM(テーブル1[[#This Row],[KG(目付)]:[KG]])</f>
        <v>0</v>
      </c>
      <c r="AA206" s="11"/>
      <c r="AB206" s="11"/>
      <c r="AC206" s="24">
        <f>$G$7*(テーブル1[[#This Row],[金額]]*$G$6)</f>
        <v>0</v>
      </c>
    </row>
    <row r="207" spans="1:29" ht="39.950000000000003" customHeight="1">
      <c r="A207" s="1">
        <v>1519</v>
      </c>
      <c r="B207" s="2">
        <v>731815190</v>
      </c>
      <c r="K207" s="7"/>
      <c r="L207" s="7"/>
      <c r="M207" s="7"/>
      <c r="N207" s="7"/>
      <c r="O207" s="21">
        <f t="shared" si="4"/>
        <v>0</v>
      </c>
      <c r="P207" s="7"/>
      <c r="Q207" s="11"/>
      <c r="R207" s="11"/>
      <c r="S207" s="11"/>
      <c r="T207" s="11"/>
      <c r="U207" s="11"/>
      <c r="V207" s="25">
        <f>IF($G$8="",テーブル1[[#This Row],[幅]]*テーブル1[[#This Row],[長さ]],テーブル1[[#This Row],[幅]]*テーブル1[[#This Row],[長さ]]*$G$8)</f>
        <v>0</v>
      </c>
      <c r="W207" s="25" t="str">
        <f>IF(テーブル1[[#This Row],[幅]]=0,"",テーブル1[[#This Row],[KG合計]]/テーブル1[[#This Row],[SM]]*1000)</f>
        <v/>
      </c>
      <c r="X207" s="25">
        <f>IF(テーブル1[[#This Row],[g/SM]]="",テーブル1[[#This Row],[長さ]]*テーブル1[[#This Row],[g/M]]/1000,テーブル1[[#This Row],[SM]]*テーブル1[[#This Row],[g/SM]]/1000)</f>
        <v>0</v>
      </c>
      <c r="Y207" s="25"/>
      <c r="Z207" s="25">
        <f>SUM(テーブル1[[#This Row],[KG(目付)]:[KG]])</f>
        <v>0</v>
      </c>
      <c r="AA207" s="11"/>
      <c r="AB207" s="11"/>
      <c r="AC207" s="24">
        <f>$G$7*(テーブル1[[#This Row],[金額]]*$G$6)</f>
        <v>0</v>
      </c>
    </row>
    <row r="208" spans="1:29" ht="39.950000000000003" customHeight="1">
      <c r="A208" s="1">
        <v>1590</v>
      </c>
      <c r="B208" s="2">
        <v>731815900</v>
      </c>
      <c r="K208" s="7"/>
      <c r="L208" s="7"/>
      <c r="M208" s="7"/>
      <c r="N208" s="7"/>
      <c r="O208" s="21">
        <f t="shared" si="4"/>
        <v>0</v>
      </c>
      <c r="P208" s="7"/>
      <c r="Q208" s="11"/>
      <c r="R208" s="11"/>
      <c r="S208" s="11"/>
      <c r="T208" s="11"/>
      <c r="U208" s="11"/>
      <c r="V208" s="25">
        <f>IF($G$8="",テーブル1[[#This Row],[幅]]*テーブル1[[#This Row],[長さ]],テーブル1[[#This Row],[幅]]*テーブル1[[#This Row],[長さ]]*$G$8)</f>
        <v>0</v>
      </c>
      <c r="W208" s="25" t="str">
        <f>IF(テーブル1[[#This Row],[幅]]=0,"",テーブル1[[#This Row],[KG合計]]/テーブル1[[#This Row],[SM]]*1000)</f>
        <v/>
      </c>
      <c r="X208" s="25">
        <f>IF(テーブル1[[#This Row],[g/SM]]="",テーブル1[[#This Row],[長さ]]*テーブル1[[#This Row],[g/M]]/1000,テーブル1[[#This Row],[SM]]*テーブル1[[#This Row],[g/SM]]/1000)</f>
        <v>0</v>
      </c>
      <c r="Y208" s="25"/>
      <c r="Z208" s="25">
        <f>SUM(テーブル1[[#This Row],[KG(目付)]:[KG]])</f>
        <v>0</v>
      </c>
      <c r="AA208" s="11"/>
      <c r="AB208" s="11"/>
      <c r="AC208" s="24">
        <f>$G$7*(テーブル1[[#This Row],[金額]]*$G$6)</f>
        <v>0</v>
      </c>
    </row>
    <row r="209" spans="1:29" ht="39.950000000000003" customHeight="1">
      <c r="A209" s="1">
        <v>1511</v>
      </c>
      <c r="B209" s="2">
        <v>731815110</v>
      </c>
      <c r="K209" s="7"/>
      <c r="L209" s="7"/>
      <c r="M209" s="7"/>
      <c r="N209" s="7"/>
      <c r="O209" s="21">
        <f t="shared" si="4"/>
        <v>0</v>
      </c>
      <c r="P209" s="7"/>
      <c r="Q209" s="11"/>
      <c r="R209" s="11"/>
      <c r="S209" s="11"/>
      <c r="T209" s="11"/>
      <c r="U209" s="11"/>
      <c r="V209" s="25">
        <f>IF($G$8="",テーブル1[[#This Row],[幅]]*テーブル1[[#This Row],[長さ]],テーブル1[[#This Row],[幅]]*テーブル1[[#This Row],[長さ]]*$G$8)</f>
        <v>0</v>
      </c>
      <c r="W209" s="25" t="str">
        <f>IF(テーブル1[[#This Row],[幅]]=0,"",テーブル1[[#This Row],[KG合計]]/テーブル1[[#This Row],[SM]]*1000)</f>
        <v/>
      </c>
      <c r="X209" s="25">
        <f>IF(テーブル1[[#This Row],[g/SM]]="",テーブル1[[#This Row],[長さ]]*テーブル1[[#This Row],[g/M]]/1000,テーブル1[[#This Row],[SM]]*テーブル1[[#This Row],[g/SM]]/1000)</f>
        <v>0</v>
      </c>
      <c r="Y209" s="25"/>
      <c r="Z209" s="25">
        <f>SUM(テーブル1[[#This Row],[KG(目付)]:[KG]])</f>
        <v>0</v>
      </c>
      <c r="AA209" s="11"/>
      <c r="AB209" s="11"/>
      <c r="AC209" s="24">
        <f>$G$7*(テーブル1[[#This Row],[金額]]*$G$6)</f>
        <v>0</v>
      </c>
    </row>
    <row r="210" spans="1:29" ht="39.950000000000003" customHeight="1">
      <c r="A210" s="1">
        <v>1690</v>
      </c>
      <c r="B210" s="2">
        <v>731816900</v>
      </c>
      <c r="K210" s="7"/>
      <c r="L210" s="7"/>
      <c r="M210" s="7"/>
      <c r="N210" s="7"/>
      <c r="O210" s="21">
        <f t="shared" si="4"/>
        <v>0</v>
      </c>
      <c r="P210" s="7"/>
      <c r="Q210" s="11"/>
      <c r="R210" s="11"/>
      <c r="S210" s="11"/>
      <c r="T210" s="11"/>
      <c r="U210" s="11"/>
      <c r="V210" s="25">
        <f>IF($G$8="",テーブル1[[#This Row],[幅]]*テーブル1[[#This Row],[長さ]],テーブル1[[#This Row],[幅]]*テーブル1[[#This Row],[長さ]]*$G$8)</f>
        <v>0</v>
      </c>
      <c r="W210" s="25" t="str">
        <f>IF(テーブル1[[#This Row],[幅]]=0,"",テーブル1[[#This Row],[KG合計]]/テーブル1[[#This Row],[SM]]*1000)</f>
        <v/>
      </c>
      <c r="X210" s="25">
        <f>IF(テーブル1[[#This Row],[g/SM]]="",テーブル1[[#This Row],[長さ]]*テーブル1[[#This Row],[g/M]]/1000,テーブル1[[#This Row],[SM]]*テーブル1[[#This Row],[g/SM]]/1000)</f>
        <v>0</v>
      </c>
      <c r="Y210" s="25"/>
      <c r="Z210" s="25">
        <f>SUM(テーブル1[[#This Row],[KG(目付)]:[KG]])</f>
        <v>0</v>
      </c>
      <c r="AA210" s="11"/>
      <c r="AB210" s="11"/>
      <c r="AC210" s="24">
        <f>$G$7*(テーブル1[[#This Row],[金額]]*$G$6)</f>
        <v>0</v>
      </c>
    </row>
    <row r="211" spans="1:29" ht="39.950000000000003" customHeight="1">
      <c r="A211" s="1">
        <v>1610</v>
      </c>
      <c r="B211" s="2">
        <v>731816100</v>
      </c>
      <c r="K211" s="7"/>
      <c r="L211" s="7"/>
      <c r="M211" s="7"/>
      <c r="N211" s="7"/>
      <c r="O211" s="21">
        <f t="shared" si="4"/>
        <v>0</v>
      </c>
      <c r="P211" s="7"/>
      <c r="Q211" s="11"/>
      <c r="R211" s="11"/>
      <c r="S211" s="11"/>
      <c r="T211" s="11"/>
      <c r="U211" s="11"/>
      <c r="V211" s="25">
        <f>IF($G$8="",テーブル1[[#This Row],[幅]]*テーブル1[[#This Row],[長さ]],テーブル1[[#This Row],[幅]]*テーブル1[[#This Row],[長さ]]*$G$8)</f>
        <v>0</v>
      </c>
      <c r="W211" s="25" t="str">
        <f>IF(テーブル1[[#This Row],[幅]]=0,"",テーブル1[[#This Row],[KG合計]]/テーブル1[[#This Row],[SM]]*1000)</f>
        <v/>
      </c>
      <c r="X211" s="25">
        <f>IF(テーブル1[[#This Row],[g/SM]]="",テーブル1[[#This Row],[長さ]]*テーブル1[[#This Row],[g/M]]/1000,テーブル1[[#This Row],[SM]]*テーブル1[[#This Row],[g/SM]]/1000)</f>
        <v>0</v>
      </c>
      <c r="Y211" s="25"/>
      <c r="Z211" s="25">
        <f>SUM(テーブル1[[#This Row],[KG(目付)]:[KG]])</f>
        <v>0</v>
      </c>
      <c r="AA211" s="11"/>
      <c r="AB211" s="11"/>
      <c r="AC211" s="24">
        <f>$G$7*(テーブル1[[#This Row],[金額]]*$G$6)</f>
        <v>0</v>
      </c>
    </row>
    <row r="212" spans="1:29" ht="39.950000000000003" customHeight="1">
      <c r="A212" s="1">
        <v>1819</v>
      </c>
      <c r="B212" s="2">
        <v>731819000</v>
      </c>
      <c r="K212" s="7"/>
      <c r="L212" s="7"/>
      <c r="M212" s="7"/>
      <c r="N212" s="7"/>
      <c r="O212" s="21">
        <f t="shared" si="4"/>
        <v>0</v>
      </c>
      <c r="P212" s="7"/>
      <c r="Q212" s="11"/>
      <c r="R212" s="11"/>
      <c r="S212" s="11"/>
      <c r="T212" s="11"/>
      <c r="U212" s="11"/>
      <c r="V212" s="25">
        <f>IF($G$8="",テーブル1[[#This Row],[幅]]*テーブル1[[#This Row],[長さ]],テーブル1[[#This Row],[幅]]*テーブル1[[#This Row],[長さ]]*$G$8)</f>
        <v>0</v>
      </c>
      <c r="W212" s="25" t="str">
        <f>IF(テーブル1[[#This Row],[幅]]=0,"",テーブル1[[#This Row],[KG合計]]/テーブル1[[#This Row],[SM]]*1000)</f>
        <v/>
      </c>
      <c r="X212" s="25">
        <f>IF(テーブル1[[#This Row],[g/SM]]="",テーブル1[[#This Row],[長さ]]*テーブル1[[#This Row],[g/M]]/1000,テーブル1[[#This Row],[SM]]*テーブル1[[#This Row],[g/SM]]/1000)</f>
        <v>0</v>
      </c>
      <c r="Y212" s="25"/>
      <c r="Z212" s="25">
        <f>SUM(テーブル1[[#This Row],[KG(目付)]:[KG]])</f>
        <v>0</v>
      </c>
      <c r="AA212" s="11"/>
      <c r="AB212" s="11"/>
      <c r="AC212" s="24">
        <f>$G$7*(テーブル1[[#This Row],[金額]]*$G$6)</f>
        <v>0</v>
      </c>
    </row>
    <row r="213" spans="1:29" ht="39.950000000000003" customHeight="1">
      <c r="A213" s="1">
        <v>1821</v>
      </c>
      <c r="B213" s="2">
        <v>731821000</v>
      </c>
      <c r="K213" s="7"/>
      <c r="L213" s="7"/>
      <c r="M213" s="7"/>
      <c r="N213" s="7"/>
      <c r="O213" s="21">
        <f t="shared" si="4"/>
        <v>0</v>
      </c>
      <c r="P213" s="7"/>
      <c r="Q213" s="11"/>
      <c r="R213" s="11"/>
      <c r="S213" s="11"/>
      <c r="T213" s="11"/>
      <c r="U213" s="11"/>
      <c r="V213" s="25">
        <f>IF($G$8="",テーブル1[[#This Row],[幅]]*テーブル1[[#This Row],[長さ]],テーブル1[[#This Row],[幅]]*テーブル1[[#This Row],[長さ]]*$G$8)</f>
        <v>0</v>
      </c>
      <c r="W213" s="25" t="str">
        <f>IF(テーブル1[[#This Row],[幅]]=0,"",テーブル1[[#This Row],[KG合計]]/テーブル1[[#This Row],[SM]]*1000)</f>
        <v/>
      </c>
      <c r="X213" s="25">
        <f>IF(テーブル1[[#This Row],[g/SM]]="",テーブル1[[#This Row],[長さ]]*テーブル1[[#This Row],[g/M]]/1000,テーブル1[[#This Row],[SM]]*テーブル1[[#This Row],[g/SM]]/1000)</f>
        <v>0</v>
      </c>
      <c r="Y213" s="25"/>
      <c r="Z213" s="25">
        <f>SUM(テーブル1[[#This Row],[KG(目付)]:[KG]])</f>
        <v>0</v>
      </c>
      <c r="AA213" s="11"/>
      <c r="AB213" s="11"/>
      <c r="AC213" s="24">
        <f>$G$7*(テーブル1[[#This Row],[金額]]*$G$6)</f>
        <v>0</v>
      </c>
    </row>
    <row r="214" spans="1:29" ht="39.950000000000003" customHeight="1">
      <c r="A214" s="1">
        <v>1822</v>
      </c>
      <c r="B214" s="2">
        <v>731822000</v>
      </c>
      <c r="K214" s="7"/>
      <c r="L214" s="7"/>
      <c r="M214" s="7"/>
      <c r="N214" s="7"/>
      <c r="O214" s="21">
        <f t="shared" si="4"/>
        <v>0</v>
      </c>
      <c r="P214" s="7"/>
      <c r="Q214" s="11"/>
      <c r="R214" s="11"/>
      <c r="S214" s="11"/>
      <c r="T214" s="11"/>
      <c r="U214" s="11"/>
      <c r="V214" s="25">
        <f>IF($G$8="",テーブル1[[#This Row],[幅]]*テーブル1[[#This Row],[長さ]],テーブル1[[#This Row],[幅]]*テーブル1[[#This Row],[長さ]]*$G$8)</f>
        <v>0</v>
      </c>
      <c r="W214" s="25" t="str">
        <f>IF(テーブル1[[#This Row],[幅]]=0,"",テーブル1[[#This Row],[KG合計]]/テーブル1[[#This Row],[SM]]*1000)</f>
        <v/>
      </c>
      <c r="X214" s="25">
        <f>IF(テーブル1[[#This Row],[g/SM]]="",テーブル1[[#This Row],[長さ]]*テーブル1[[#This Row],[g/M]]/1000,テーブル1[[#This Row],[SM]]*テーブル1[[#This Row],[g/SM]]/1000)</f>
        <v>0</v>
      </c>
      <c r="Y214" s="25"/>
      <c r="Z214" s="25">
        <f>SUM(テーブル1[[#This Row],[KG(目付)]:[KG]])</f>
        <v>0</v>
      </c>
      <c r="AA214" s="11"/>
      <c r="AB214" s="11"/>
      <c r="AC214" s="24">
        <f>$G$7*(テーブル1[[#This Row],[金額]]*$G$6)</f>
        <v>0</v>
      </c>
    </row>
    <row r="215" spans="1:29" ht="39.950000000000003" customHeight="1">
      <c r="A215" s="1">
        <v>1823</v>
      </c>
      <c r="B215" s="2">
        <v>731823000</v>
      </c>
      <c r="K215" s="7"/>
      <c r="L215" s="7"/>
      <c r="M215" s="7"/>
      <c r="N215" s="7"/>
      <c r="O215" s="21">
        <f t="shared" si="4"/>
        <v>0</v>
      </c>
      <c r="P215" s="7"/>
      <c r="Q215" s="11"/>
      <c r="R215" s="11"/>
      <c r="S215" s="11"/>
      <c r="T215" s="11"/>
      <c r="U215" s="11"/>
      <c r="V215" s="25">
        <f>IF($G$8="",テーブル1[[#This Row],[幅]]*テーブル1[[#This Row],[長さ]],テーブル1[[#This Row],[幅]]*テーブル1[[#This Row],[長さ]]*$G$8)</f>
        <v>0</v>
      </c>
      <c r="W215" s="25" t="str">
        <f>IF(テーブル1[[#This Row],[幅]]=0,"",テーブル1[[#This Row],[KG合計]]/テーブル1[[#This Row],[SM]]*1000)</f>
        <v/>
      </c>
      <c r="X215" s="25">
        <f>IF(テーブル1[[#This Row],[g/SM]]="",テーブル1[[#This Row],[長さ]]*テーブル1[[#This Row],[g/M]]/1000,テーブル1[[#This Row],[SM]]*テーブル1[[#This Row],[g/SM]]/1000)</f>
        <v>0</v>
      </c>
      <c r="Y215" s="25"/>
      <c r="Z215" s="25">
        <f>SUM(テーブル1[[#This Row],[KG(目付)]:[KG]])</f>
        <v>0</v>
      </c>
      <c r="AA215" s="11"/>
      <c r="AB215" s="11"/>
      <c r="AC215" s="24">
        <f>$G$7*(テーブル1[[#This Row],[金額]]*$G$6)</f>
        <v>0</v>
      </c>
    </row>
    <row r="216" spans="1:29" ht="39.950000000000003" customHeight="1">
      <c r="A216" s="1">
        <v>1824</v>
      </c>
      <c r="B216" s="2">
        <v>731824000</v>
      </c>
      <c r="K216" s="7"/>
      <c r="L216" s="7"/>
      <c r="M216" s="7"/>
      <c r="N216" s="7"/>
      <c r="O216" s="21">
        <f t="shared" si="4"/>
        <v>0</v>
      </c>
      <c r="P216" s="7"/>
      <c r="Q216" s="11"/>
      <c r="R216" s="11"/>
      <c r="S216" s="11"/>
      <c r="T216" s="11"/>
      <c r="U216" s="11"/>
      <c r="V216" s="25">
        <f>IF($G$8="",テーブル1[[#This Row],[幅]]*テーブル1[[#This Row],[長さ]],テーブル1[[#This Row],[幅]]*テーブル1[[#This Row],[長さ]]*$G$8)</f>
        <v>0</v>
      </c>
      <c r="W216" s="25" t="str">
        <f>IF(テーブル1[[#This Row],[幅]]=0,"",テーブル1[[#This Row],[KG合計]]/テーブル1[[#This Row],[SM]]*1000)</f>
        <v/>
      </c>
      <c r="X216" s="25">
        <f>IF(テーブル1[[#This Row],[g/SM]]="",テーブル1[[#This Row],[長さ]]*テーブル1[[#This Row],[g/M]]/1000,テーブル1[[#This Row],[SM]]*テーブル1[[#This Row],[g/SM]]/1000)</f>
        <v>0</v>
      </c>
      <c r="Y216" s="25"/>
      <c r="Z216" s="25">
        <f>SUM(テーブル1[[#This Row],[KG(目付)]:[KG]])</f>
        <v>0</v>
      </c>
      <c r="AA216" s="11"/>
      <c r="AB216" s="11"/>
      <c r="AC216" s="24">
        <f>$G$7*(テーブル1[[#This Row],[金額]]*$G$6)</f>
        <v>0</v>
      </c>
    </row>
    <row r="217" spans="1:29" ht="39.950000000000003" customHeight="1">
      <c r="A217" s="1">
        <v>1829</v>
      </c>
      <c r="B217" s="2">
        <v>731829000</v>
      </c>
      <c r="K217" s="7"/>
      <c r="L217" s="7"/>
      <c r="M217" s="7"/>
      <c r="N217" s="7"/>
      <c r="O217" s="21">
        <f t="shared" si="4"/>
        <v>0</v>
      </c>
      <c r="P217" s="7"/>
      <c r="Q217" s="11"/>
      <c r="R217" s="11"/>
      <c r="S217" s="11"/>
      <c r="T217" s="11"/>
      <c r="U217" s="11"/>
      <c r="V217" s="25">
        <f>IF($G$8="",テーブル1[[#This Row],[幅]]*テーブル1[[#This Row],[長さ]],テーブル1[[#This Row],[幅]]*テーブル1[[#This Row],[長さ]]*$G$8)</f>
        <v>0</v>
      </c>
      <c r="W217" s="25" t="str">
        <f>IF(テーブル1[[#This Row],[幅]]=0,"",テーブル1[[#This Row],[KG合計]]/テーブル1[[#This Row],[SM]]*1000)</f>
        <v/>
      </c>
      <c r="X217" s="25">
        <f>IF(テーブル1[[#This Row],[g/SM]]="",テーブル1[[#This Row],[長さ]]*テーブル1[[#This Row],[g/M]]/1000,テーブル1[[#This Row],[SM]]*テーブル1[[#This Row],[g/SM]]/1000)</f>
        <v>0</v>
      </c>
      <c r="Y217" s="25"/>
      <c r="Z217" s="25">
        <f>SUM(テーブル1[[#This Row],[KG(目付)]:[KG]])</f>
        <v>0</v>
      </c>
      <c r="AA217" s="11"/>
      <c r="AB217" s="11"/>
      <c r="AC217" s="24">
        <f>$G$7*(テーブル1[[#This Row],[金額]]*$G$6)</f>
        <v>0</v>
      </c>
    </row>
    <row r="218" spans="1:29" ht="39.950000000000003" customHeight="1">
      <c r="A218" s="1">
        <v>741533</v>
      </c>
      <c r="B218" s="2">
        <v>741533000</v>
      </c>
      <c r="K218" s="7"/>
      <c r="L218" s="7"/>
      <c r="M218" s="7"/>
      <c r="N218" s="7"/>
      <c r="O218" s="21">
        <f t="shared" si="4"/>
        <v>0</v>
      </c>
      <c r="P218" s="7"/>
      <c r="Q218" s="11"/>
      <c r="R218" s="11"/>
      <c r="S218" s="11"/>
      <c r="T218" s="11"/>
      <c r="U218" s="11"/>
      <c r="V218" s="25">
        <f>IF($G$8="",テーブル1[[#This Row],[幅]]*テーブル1[[#This Row],[長さ]],テーブル1[[#This Row],[幅]]*テーブル1[[#This Row],[長さ]]*$G$8)</f>
        <v>0</v>
      </c>
      <c r="W218" s="25" t="str">
        <f>IF(テーブル1[[#This Row],[幅]]=0,"",テーブル1[[#This Row],[KG合計]]/テーブル1[[#This Row],[SM]]*1000)</f>
        <v/>
      </c>
      <c r="X218" s="25">
        <f>IF(テーブル1[[#This Row],[g/SM]]="",テーブル1[[#This Row],[長さ]]*テーブル1[[#This Row],[g/M]]/1000,テーブル1[[#This Row],[SM]]*テーブル1[[#This Row],[g/SM]]/1000)</f>
        <v>0</v>
      </c>
      <c r="Y218" s="25"/>
      <c r="Z218" s="25">
        <f>SUM(テーブル1[[#This Row],[KG(目付)]:[KG]])</f>
        <v>0</v>
      </c>
      <c r="AA218" s="11"/>
      <c r="AB218" s="11"/>
      <c r="AC218" s="24">
        <f>$G$7*(テーブル1[[#This Row],[金額]]*$G$6)</f>
        <v>0</v>
      </c>
    </row>
    <row r="219" spans="1:29" ht="39.950000000000003" customHeight="1">
      <c r="A219" s="1">
        <v>3926</v>
      </c>
      <c r="B219" s="2">
        <v>392690900</v>
      </c>
      <c r="K219" s="7"/>
      <c r="L219" s="7"/>
      <c r="M219" s="7"/>
      <c r="N219" s="7"/>
      <c r="O219" s="21">
        <f t="shared" si="4"/>
        <v>0</v>
      </c>
      <c r="P219" s="7"/>
      <c r="Q219" s="11"/>
      <c r="R219" s="11"/>
      <c r="S219" s="11"/>
      <c r="T219" s="11"/>
      <c r="U219" s="11"/>
      <c r="V219" s="25">
        <f>IF($G$8="",テーブル1[[#This Row],[幅]]*テーブル1[[#This Row],[長さ]],テーブル1[[#This Row],[幅]]*テーブル1[[#This Row],[長さ]]*$G$8)</f>
        <v>0</v>
      </c>
      <c r="W219" s="25" t="str">
        <f>IF(テーブル1[[#This Row],[幅]]=0,"",テーブル1[[#This Row],[KG合計]]/テーブル1[[#This Row],[SM]]*1000)</f>
        <v/>
      </c>
      <c r="X219" s="25">
        <f>IF(テーブル1[[#This Row],[g/SM]]="",テーブル1[[#This Row],[長さ]]*テーブル1[[#This Row],[g/M]]/1000,テーブル1[[#This Row],[SM]]*テーブル1[[#This Row],[g/SM]]/1000)</f>
        <v>0</v>
      </c>
      <c r="Y219" s="25"/>
      <c r="Z219" s="25">
        <f>SUM(テーブル1[[#This Row],[KG(目付)]:[KG]])</f>
        <v>0</v>
      </c>
      <c r="AA219" s="11"/>
      <c r="AB219" s="11"/>
      <c r="AC219" s="24">
        <f>$G$7*(テーブル1[[#This Row],[金額]]*$G$6)</f>
        <v>0</v>
      </c>
    </row>
    <row r="220" spans="1:29" ht="39.950000000000003" customHeight="1">
      <c r="A220" s="1">
        <v>7326</v>
      </c>
      <c r="B220" s="2">
        <v>732690000</v>
      </c>
      <c r="K220" s="7"/>
      <c r="L220" s="7"/>
      <c r="M220" s="7"/>
      <c r="N220" s="7"/>
      <c r="O220" s="21">
        <f t="shared" si="4"/>
        <v>0</v>
      </c>
      <c r="P220" s="7"/>
      <c r="Q220" s="11"/>
      <c r="R220" s="11"/>
      <c r="S220" s="11"/>
      <c r="T220" s="11"/>
      <c r="U220" s="11"/>
      <c r="V220" s="25">
        <f>IF($G$8="",テーブル1[[#This Row],[幅]]*テーブル1[[#This Row],[長さ]],テーブル1[[#This Row],[幅]]*テーブル1[[#This Row],[長さ]]*$G$8)</f>
        <v>0</v>
      </c>
      <c r="W220" s="25" t="str">
        <f>IF(テーブル1[[#This Row],[幅]]=0,"",テーブル1[[#This Row],[KG合計]]/テーブル1[[#This Row],[SM]]*1000)</f>
        <v/>
      </c>
      <c r="X220" s="25">
        <f>IF(テーブル1[[#This Row],[g/SM]]="",テーブル1[[#This Row],[長さ]]*テーブル1[[#This Row],[g/M]]/1000,テーブル1[[#This Row],[SM]]*テーブル1[[#This Row],[g/SM]]/1000)</f>
        <v>0</v>
      </c>
      <c r="Y220" s="25"/>
      <c r="Z220" s="25">
        <f>SUM(テーブル1[[#This Row],[KG(目付)]:[KG]])</f>
        <v>0</v>
      </c>
      <c r="AA220" s="11"/>
      <c r="AB220" s="11"/>
      <c r="AC220" s="24">
        <f>$G$7*(テーブル1[[#This Row],[金額]]*$G$6)</f>
        <v>0</v>
      </c>
    </row>
    <row r="221" spans="1:29" ht="39.950000000000003" customHeight="1">
      <c r="A221" s="1">
        <v>401699</v>
      </c>
      <c r="B221" s="2">
        <v>401699000</v>
      </c>
      <c r="K221" s="7"/>
      <c r="L221" s="7"/>
      <c r="M221" s="7"/>
      <c r="N221" s="7"/>
      <c r="O221" s="21">
        <f t="shared" si="4"/>
        <v>0</v>
      </c>
      <c r="P221" s="7"/>
      <c r="Q221" s="11"/>
      <c r="R221" s="11"/>
      <c r="S221" s="11"/>
      <c r="T221" s="11"/>
      <c r="U221" s="11"/>
      <c r="V221" s="25">
        <f>IF($G$8="",テーブル1[[#This Row],[幅]]*テーブル1[[#This Row],[長さ]],テーブル1[[#This Row],[幅]]*テーブル1[[#This Row],[長さ]]*$G$8)</f>
        <v>0</v>
      </c>
      <c r="W221" s="25" t="str">
        <f>IF(テーブル1[[#This Row],[幅]]=0,"",テーブル1[[#This Row],[KG合計]]/テーブル1[[#This Row],[SM]]*1000)</f>
        <v/>
      </c>
      <c r="X221" s="25">
        <f>IF(テーブル1[[#This Row],[g/SM]]="",テーブル1[[#This Row],[長さ]]*テーブル1[[#This Row],[g/M]]/1000,テーブル1[[#This Row],[SM]]*テーブル1[[#This Row],[g/SM]]/1000)</f>
        <v>0</v>
      </c>
      <c r="Y221" s="25"/>
      <c r="Z221" s="25">
        <f>SUM(テーブル1[[#This Row],[KG(目付)]:[KG]])</f>
        <v>0</v>
      </c>
      <c r="AA221" s="11"/>
      <c r="AB221" s="11"/>
      <c r="AC221" s="24">
        <f>$G$7*(テーブル1[[#This Row],[金額]]*$G$6)</f>
        <v>0</v>
      </c>
    </row>
    <row r="222" spans="1:29" ht="39.950000000000003" customHeight="1">
      <c r="A222" s="3">
        <v>5604</v>
      </c>
      <c r="B222" s="3">
        <v>560410000</v>
      </c>
      <c r="K222" s="7"/>
      <c r="L222" s="7"/>
      <c r="M222" s="7"/>
      <c r="N222" s="7"/>
      <c r="O222" s="21">
        <f t="shared" si="4"/>
        <v>0</v>
      </c>
      <c r="P222" s="7"/>
      <c r="Q222" s="11"/>
      <c r="R222" s="11"/>
      <c r="S222" s="11"/>
      <c r="T222" s="11"/>
      <c r="U222" s="11"/>
      <c r="V222" s="25">
        <f>IF($G$8="",テーブル1[[#This Row],[幅]]*テーブル1[[#This Row],[長さ]],テーブル1[[#This Row],[幅]]*テーブル1[[#This Row],[長さ]]*$G$8)</f>
        <v>0</v>
      </c>
      <c r="W222" s="25" t="str">
        <f>IF(テーブル1[[#This Row],[幅]]=0,"",テーブル1[[#This Row],[KG合計]]/テーブル1[[#This Row],[SM]]*1000)</f>
        <v/>
      </c>
      <c r="X222" s="25">
        <f>IF(テーブル1[[#This Row],[g/SM]]="",テーブル1[[#This Row],[長さ]]*テーブル1[[#This Row],[g/M]]/1000,テーブル1[[#This Row],[SM]]*テーブル1[[#This Row],[g/SM]]/1000)</f>
        <v>0</v>
      </c>
      <c r="Y222" s="25"/>
      <c r="Z222" s="25">
        <f>SUM(テーブル1[[#This Row],[KG(目付)]:[KG]])</f>
        <v>0</v>
      </c>
      <c r="AA222" s="11"/>
      <c r="AB222" s="11"/>
      <c r="AC222" s="24">
        <f>$G$7*(テーブル1[[#This Row],[金額]]*$G$6)</f>
        <v>0</v>
      </c>
    </row>
    <row r="223" spans="1:29" ht="39.950000000000003" customHeight="1">
      <c r="K223" s="7"/>
      <c r="L223" s="7"/>
      <c r="M223" s="7"/>
      <c r="N223" s="7"/>
      <c r="O223" s="21">
        <f t="shared" si="4"/>
        <v>0</v>
      </c>
      <c r="P223" s="7"/>
      <c r="Q223" s="11"/>
      <c r="R223" s="11"/>
      <c r="S223" s="11"/>
      <c r="T223" s="11"/>
      <c r="U223" s="11"/>
      <c r="V223" s="25">
        <f>IF($G$8="",テーブル1[[#This Row],[幅]]*テーブル1[[#This Row],[長さ]],テーブル1[[#This Row],[幅]]*テーブル1[[#This Row],[長さ]]*$G$8)</f>
        <v>0</v>
      </c>
      <c r="W223" s="25" t="str">
        <f>IF(テーブル1[[#This Row],[幅]]=0,"",テーブル1[[#This Row],[KG合計]]/テーブル1[[#This Row],[SM]]*1000)</f>
        <v/>
      </c>
      <c r="X223" s="25">
        <f>IF(テーブル1[[#This Row],[g/SM]]="",テーブル1[[#This Row],[長さ]]*テーブル1[[#This Row],[g/M]]/1000,テーブル1[[#This Row],[SM]]*テーブル1[[#This Row],[g/SM]]/1000)</f>
        <v>0</v>
      </c>
      <c r="Y223" s="25"/>
      <c r="Z223" s="25">
        <f>SUM(テーブル1[[#This Row],[KG(目付)]:[KG]])</f>
        <v>0</v>
      </c>
      <c r="AA223" s="11"/>
      <c r="AB223" s="11"/>
      <c r="AC223" s="24">
        <f>$G$7*(テーブル1[[#This Row],[金額]]*$G$6)</f>
        <v>0</v>
      </c>
    </row>
    <row r="224" spans="1:29" ht="39.950000000000003" customHeight="1">
      <c r="K224" s="7"/>
      <c r="L224" s="7"/>
      <c r="M224" s="7"/>
      <c r="N224" s="7"/>
      <c r="O224" s="21">
        <f t="shared" si="4"/>
        <v>0</v>
      </c>
      <c r="P224" s="7"/>
      <c r="Q224" s="11"/>
      <c r="R224" s="11"/>
      <c r="S224" s="11"/>
      <c r="T224" s="11"/>
      <c r="U224" s="11"/>
      <c r="V224" s="25">
        <f>IF($G$8="",テーブル1[[#This Row],[幅]]*テーブル1[[#This Row],[長さ]],テーブル1[[#This Row],[幅]]*テーブル1[[#This Row],[長さ]]*$G$8)</f>
        <v>0</v>
      </c>
      <c r="W224" s="25" t="str">
        <f>IF(テーブル1[[#This Row],[幅]]=0,"",テーブル1[[#This Row],[KG合計]]/テーブル1[[#This Row],[SM]]*1000)</f>
        <v/>
      </c>
      <c r="X224" s="25">
        <f>IF(テーブル1[[#This Row],[g/SM]]="",テーブル1[[#This Row],[長さ]]*テーブル1[[#This Row],[g/M]]/1000,テーブル1[[#This Row],[SM]]*テーブル1[[#This Row],[g/SM]]/1000)</f>
        <v>0</v>
      </c>
      <c r="Y224" s="25"/>
      <c r="Z224" s="25">
        <f>SUM(テーブル1[[#This Row],[KG(目付)]:[KG]])</f>
        <v>0</v>
      </c>
      <c r="AA224" s="11"/>
      <c r="AB224" s="11"/>
      <c r="AC224" s="24">
        <f>$G$7*(テーブル1[[#This Row],[金額]]*$G$6)</f>
        <v>0</v>
      </c>
    </row>
    <row r="225" spans="11:29" ht="39.950000000000003" customHeight="1">
      <c r="K225" s="7"/>
      <c r="L225" s="7"/>
      <c r="M225" s="7"/>
      <c r="N225" s="7"/>
      <c r="O225" s="21">
        <f t="shared" si="4"/>
        <v>0</v>
      </c>
      <c r="P225" s="7"/>
      <c r="Q225" s="11"/>
      <c r="R225" s="11"/>
      <c r="S225" s="11"/>
      <c r="T225" s="11"/>
      <c r="U225" s="11"/>
      <c r="V225" s="25">
        <f>IF($G$8="",テーブル1[[#This Row],[幅]]*テーブル1[[#This Row],[長さ]],テーブル1[[#This Row],[幅]]*テーブル1[[#This Row],[長さ]]*$G$8)</f>
        <v>0</v>
      </c>
      <c r="W225" s="25" t="str">
        <f>IF(テーブル1[[#This Row],[幅]]=0,"",テーブル1[[#This Row],[KG合計]]/テーブル1[[#This Row],[SM]]*1000)</f>
        <v/>
      </c>
      <c r="X225" s="25">
        <f>IF(テーブル1[[#This Row],[g/SM]]="",テーブル1[[#This Row],[長さ]]*テーブル1[[#This Row],[g/M]]/1000,テーブル1[[#This Row],[SM]]*テーブル1[[#This Row],[g/SM]]/1000)</f>
        <v>0</v>
      </c>
      <c r="Y225" s="25"/>
      <c r="Z225" s="25">
        <f>SUM(テーブル1[[#This Row],[KG(目付)]:[KG]])</f>
        <v>0</v>
      </c>
      <c r="AA225" s="11"/>
      <c r="AB225" s="11"/>
      <c r="AC225" s="24">
        <f>$G$7*(テーブル1[[#This Row],[金額]]*$G$6)</f>
        <v>0</v>
      </c>
    </row>
    <row r="226" spans="11:29" ht="39.950000000000003" customHeight="1">
      <c r="K226" s="7"/>
      <c r="L226" s="7"/>
      <c r="M226" s="7"/>
      <c r="N226" s="7"/>
      <c r="O226" s="21">
        <f t="shared" si="4"/>
        <v>0</v>
      </c>
      <c r="P226" s="7"/>
      <c r="Q226" s="11"/>
      <c r="R226" s="11"/>
      <c r="S226" s="11"/>
      <c r="T226" s="11"/>
      <c r="U226" s="11"/>
      <c r="V226" s="25">
        <f>IF($G$8="",テーブル1[[#This Row],[幅]]*テーブル1[[#This Row],[長さ]],テーブル1[[#This Row],[幅]]*テーブル1[[#This Row],[長さ]]*$G$8)</f>
        <v>0</v>
      </c>
      <c r="W226" s="25" t="str">
        <f>IF(テーブル1[[#This Row],[幅]]=0,"",テーブル1[[#This Row],[KG合計]]/テーブル1[[#This Row],[SM]]*1000)</f>
        <v/>
      </c>
      <c r="X226" s="25">
        <f>IF(テーブル1[[#This Row],[g/SM]]="",テーブル1[[#This Row],[長さ]]*テーブル1[[#This Row],[g/M]]/1000,テーブル1[[#This Row],[SM]]*テーブル1[[#This Row],[g/SM]]/1000)</f>
        <v>0</v>
      </c>
      <c r="Y226" s="25"/>
      <c r="Z226" s="25">
        <f>SUM(テーブル1[[#This Row],[KG(目付)]:[KG]])</f>
        <v>0</v>
      </c>
      <c r="AA226" s="11"/>
      <c r="AB226" s="11"/>
      <c r="AC226" s="24">
        <f>$G$7*(テーブル1[[#This Row],[金額]]*$G$6)</f>
        <v>0</v>
      </c>
    </row>
    <row r="227" spans="11:29" ht="39.950000000000003" customHeight="1">
      <c r="K227" s="7"/>
      <c r="L227" s="7"/>
      <c r="M227" s="7"/>
      <c r="N227" s="7"/>
      <c r="O227" s="21">
        <f t="shared" si="4"/>
        <v>0</v>
      </c>
      <c r="P227" s="7"/>
      <c r="Q227" s="11"/>
      <c r="R227" s="11"/>
      <c r="S227" s="11"/>
      <c r="T227" s="11"/>
      <c r="U227" s="11"/>
      <c r="V227" s="25">
        <f>IF($G$8="",テーブル1[[#This Row],[幅]]*テーブル1[[#This Row],[長さ]],テーブル1[[#This Row],[幅]]*テーブル1[[#This Row],[長さ]]*$G$8)</f>
        <v>0</v>
      </c>
      <c r="W227" s="25" t="str">
        <f>IF(テーブル1[[#This Row],[幅]]=0,"",テーブル1[[#This Row],[KG合計]]/テーブル1[[#This Row],[SM]]*1000)</f>
        <v/>
      </c>
      <c r="X227" s="25">
        <f>IF(テーブル1[[#This Row],[g/SM]]="",テーブル1[[#This Row],[長さ]]*テーブル1[[#This Row],[g/M]]/1000,テーブル1[[#This Row],[SM]]*テーブル1[[#This Row],[g/SM]]/1000)</f>
        <v>0</v>
      </c>
      <c r="Y227" s="25"/>
      <c r="Z227" s="25">
        <f>SUM(テーブル1[[#This Row],[KG(目付)]:[KG]])</f>
        <v>0</v>
      </c>
      <c r="AA227" s="11"/>
      <c r="AB227" s="11"/>
      <c r="AC227" s="24">
        <f>$G$7*(テーブル1[[#This Row],[金額]]*$G$6)</f>
        <v>0</v>
      </c>
    </row>
    <row r="228" spans="11:29" ht="39.950000000000003" customHeight="1">
      <c r="K228" s="7"/>
      <c r="L228" s="7"/>
      <c r="M228" s="7"/>
      <c r="N228" s="7"/>
      <c r="O228" s="21">
        <f t="shared" si="4"/>
        <v>0</v>
      </c>
      <c r="P228" s="7"/>
      <c r="Q228" s="11"/>
      <c r="R228" s="11"/>
      <c r="S228" s="11"/>
      <c r="T228" s="11"/>
      <c r="U228" s="11"/>
      <c r="V228" s="25">
        <f>IF($G$8="",テーブル1[[#This Row],[幅]]*テーブル1[[#This Row],[長さ]],テーブル1[[#This Row],[幅]]*テーブル1[[#This Row],[長さ]]*$G$8)</f>
        <v>0</v>
      </c>
      <c r="W228" s="25" t="str">
        <f>IF(テーブル1[[#This Row],[幅]]=0,"",テーブル1[[#This Row],[KG合計]]/テーブル1[[#This Row],[SM]]*1000)</f>
        <v/>
      </c>
      <c r="X228" s="25">
        <f>IF(テーブル1[[#This Row],[g/SM]]="",テーブル1[[#This Row],[長さ]]*テーブル1[[#This Row],[g/M]]/1000,テーブル1[[#This Row],[SM]]*テーブル1[[#This Row],[g/SM]]/1000)</f>
        <v>0</v>
      </c>
      <c r="Y228" s="25"/>
      <c r="Z228" s="25">
        <f>SUM(テーブル1[[#This Row],[KG(目付)]:[KG]])</f>
        <v>0</v>
      </c>
      <c r="AA228" s="11"/>
      <c r="AB228" s="11"/>
      <c r="AC228" s="24">
        <f>$G$7*(テーブル1[[#This Row],[金額]]*$G$6)</f>
        <v>0</v>
      </c>
    </row>
    <row r="229" spans="11:29" ht="39.950000000000003" customHeight="1">
      <c r="K229" s="7"/>
      <c r="L229" s="7"/>
      <c r="M229" s="7"/>
      <c r="N229" s="7"/>
      <c r="O229" s="21">
        <f t="shared" si="4"/>
        <v>0</v>
      </c>
      <c r="P229" s="7"/>
      <c r="Q229" s="11"/>
      <c r="R229" s="11"/>
      <c r="S229" s="11"/>
      <c r="T229" s="11"/>
      <c r="U229" s="11"/>
      <c r="V229" s="25">
        <f>IF($G$8="",テーブル1[[#This Row],[幅]]*テーブル1[[#This Row],[長さ]],テーブル1[[#This Row],[幅]]*テーブル1[[#This Row],[長さ]]*$G$8)</f>
        <v>0</v>
      </c>
      <c r="W229" s="25" t="str">
        <f>IF(テーブル1[[#This Row],[幅]]=0,"",テーブル1[[#This Row],[KG合計]]/テーブル1[[#This Row],[SM]]*1000)</f>
        <v/>
      </c>
      <c r="X229" s="25">
        <f>IF(テーブル1[[#This Row],[g/SM]]="",テーブル1[[#This Row],[長さ]]*テーブル1[[#This Row],[g/M]]/1000,テーブル1[[#This Row],[SM]]*テーブル1[[#This Row],[g/SM]]/1000)</f>
        <v>0</v>
      </c>
      <c r="Y229" s="25"/>
      <c r="Z229" s="25">
        <f>SUM(テーブル1[[#This Row],[KG(目付)]:[KG]])</f>
        <v>0</v>
      </c>
      <c r="AA229" s="11"/>
      <c r="AB229" s="11"/>
      <c r="AC229" s="24">
        <f>$G$7*(テーブル1[[#This Row],[金額]]*$G$6)</f>
        <v>0</v>
      </c>
    </row>
    <row r="230" spans="11:29" ht="39.950000000000003" customHeight="1">
      <c r="K230" s="7"/>
      <c r="L230" s="7"/>
      <c r="M230" s="7"/>
      <c r="N230" s="7"/>
      <c r="O230" s="21">
        <f t="shared" si="4"/>
        <v>0</v>
      </c>
      <c r="P230" s="7"/>
      <c r="Q230" s="11"/>
      <c r="R230" s="11"/>
      <c r="S230" s="11"/>
      <c r="T230" s="11"/>
      <c r="U230" s="11"/>
      <c r="V230" s="25">
        <f>IF($G$8="",テーブル1[[#This Row],[幅]]*テーブル1[[#This Row],[長さ]],テーブル1[[#This Row],[幅]]*テーブル1[[#This Row],[長さ]]*$G$8)</f>
        <v>0</v>
      </c>
      <c r="W230" s="25" t="str">
        <f>IF(テーブル1[[#This Row],[幅]]=0,"",テーブル1[[#This Row],[KG合計]]/テーブル1[[#This Row],[SM]]*1000)</f>
        <v/>
      </c>
      <c r="X230" s="25">
        <f>IF(テーブル1[[#This Row],[g/SM]]="",テーブル1[[#This Row],[長さ]]*テーブル1[[#This Row],[g/M]]/1000,テーブル1[[#This Row],[SM]]*テーブル1[[#This Row],[g/SM]]/1000)</f>
        <v>0</v>
      </c>
      <c r="Y230" s="25"/>
      <c r="Z230" s="25">
        <f>SUM(テーブル1[[#This Row],[KG(目付)]:[KG]])</f>
        <v>0</v>
      </c>
      <c r="AA230" s="11"/>
      <c r="AB230" s="11"/>
      <c r="AC230" s="24">
        <f>$G$7*(テーブル1[[#This Row],[金額]]*$G$6)</f>
        <v>0</v>
      </c>
    </row>
    <row r="231" spans="11:29" ht="39.950000000000003" customHeight="1">
      <c r="K231" s="7"/>
      <c r="L231" s="7"/>
      <c r="M231" s="7"/>
      <c r="N231" s="7"/>
      <c r="O231" s="21">
        <f t="shared" si="4"/>
        <v>0</v>
      </c>
      <c r="P231" s="7"/>
      <c r="Q231" s="11"/>
      <c r="R231" s="11"/>
      <c r="S231" s="11"/>
      <c r="T231" s="11"/>
      <c r="U231" s="11"/>
      <c r="V231" s="25">
        <f>IF($G$8="",テーブル1[[#This Row],[幅]]*テーブル1[[#This Row],[長さ]],テーブル1[[#This Row],[幅]]*テーブル1[[#This Row],[長さ]]*$G$8)</f>
        <v>0</v>
      </c>
      <c r="W231" s="25" t="str">
        <f>IF(テーブル1[[#This Row],[幅]]=0,"",テーブル1[[#This Row],[KG合計]]/テーブル1[[#This Row],[SM]]*1000)</f>
        <v/>
      </c>
      <c r="X231" s="25">
        <f>IF(テーブル1[[#This Row],[g/SM]]="",テーブル1[[#This Row],[長さ]]*テーブル1[[#This Row],[g/M]]/1000,テーブル1[[#This Row],[SM]]*テーブル1[[#This Row],[g/SM]]/1000)</f>
        <v>0</v>
      </c>
      <c r="Y231" s="25"/>
      <c r="Z231" s="25">
        <f>SUM(テーブル1[[#This Row],[KG(目付)]:[KG]])</f>
        <v>0</v>
      </c>
      <c r="AA231" s="11"/>
      <c r="AB231" s="11"/>
      <c r="AC231" s="24">
        <f>$G$7*(テーブル1[[#This Row],[金額]]*$G$6)</f>
        <v>0</v>
      </c>
    </row>
    <row r="232" spans="11:29" ht="39.950000000000003" customHeight="1">
      <c r="K232" s="7"/>
      <c r="L232" s="7"/>
      <c r="M232" s="7"/>
      <c r="N232" s="7"/>
      <c r="O232" s="21">
        <f t="shared" si="4"/>
        <v>0</v>
      </c>
      <c r="P232" s="7"/>
      <c r="Q232" s="11"/>
      <c r="R232" s="11"/>
      <c r="S232" s="11"/>
      <c r="T232" s="11"/>
      <c r="U232" s="11"/>
      <c r="V232" s="25">
        <f>IF($G$8="",テーブル1[[#This Row],[幅]]*テーブル1[[#This Row],[長さ]],テーブル1[[#This Row],[幅]]*テーブル1[[#This Row],[長さ]]*$G$8)</f>
        <v>0</v>
      </c>
      <c r="W232" s="25" t="str">
        <f>IF(テーブル1[[#This Row],[幅]]=0,"",テーブル1[[#This Row],[KG合計]]/テーブル1[[#This Row],[SM]]*1000)</f>
        <v/>
      </c>
      <c r="X232" s="25">
        <f>IF(テーブル1[[#This Row],[g/SM]]="",テーブル1[[#This Row],[長さ]]*テーブル1[[#This Row],[g/M]]/1000,テーブル1[[#This Row],[SM]]*テーブル1[[#This Row],[g/SM]]/1000)</f>
        <v>0</v>
      </c>
      <c r="Y232" s="25"/>
      <c r="Z232" s="25">
        <f>SUM(テーブル1[[#This Row],[KG(目付)]:[KG]])</f>
        <v>0</v>
      </c>
      <c r="AA232" s="11"/>
      <c r="AB232" s="11"/>
      <c r="AC232" s="24">
        <f>$G$7*(テーブル1[[#This Row],[金額]]*$G$6)</f>
        <v>0</v>
      </c>
    </row>
    <row r="233" spans="11:29" ht="39.950000000000003" customHeight="1">
      <c r="K233" s="7"/>
      <c r="L233" s="7"/>
      <c r="M233" s="7"/>
      <c r="N233" s="7"/>
      <c r="O233" s="21">
        <f t="shared" si="4"/>
        <v>0</v>
      </c>
      <c r="P233" s="7"/>
      <c r="Q233" s="11"/>
      <c r="R233" s="11"/>
      <c r="S233" s="11"/>
      <c r="T233" s="11"/>
      <c r="U233" s="11"/>
      <c r="V233" s="25">
        <f>IF($G$8="",テーブル1[[#This Row],[幅]]*テーブル1[[#This Row],[長さ]],テーブル1[[#This Row],[幅]]*テーブル1[[#This Row],[長さ]]*$G$8)</f>
        <v>0</v>
      </c>
      <c r="W233" s="25" t="str">
        <f>IF(テーブル1[[#This Row],[幅]]=0,"",テーブル1[[#This Row],[KG合計]]/テーブル1[[#This Row],[SM]]*1000)</f>
        <v/>
      </c>
      <c r="X233" s="25">
        <f>IF(テーブル1[[#This Row],[g/SM]]="",テーブル1[[#This Row],[長さ]]*テーブル1[[#This Row],[g/M]]/1000,テーブル1[[#This Row],[SM]]*テーブル1[[#This Row],[g/SM]]/1000)</f>
        <v>0</v>
      </c>
      <c r="Y233" s="25"/>
      <c r="Z233" s="25">
        <f>SUM(テーブル1[[#This Row],[KG(目付)]:[KG]])</f>
        <v>0</v>
      </c>
      <c r="AA233" s="11"/>
      <c r="AB233" s="11"/>
      <c r="AC233" s="24">
        <f>$G$7*(テーブル1[[#This Row],[金額]]*$G$6)</f>
        <v>0</v>
      </c>
    </row>
    <row r="234" spans="11:29" ht="39.950000000000003" customHeight="1">
      <c r="K234" s="7"/>
      <c r="L234" s="7"/>
      <c r="M234" s="7"/>
      <c r="N234" s="7"/>
      <c r="O234" s="21">
        <f t="shared" si="4"/>
        <v>0</v>
      </c>
      <c r="P234" s="7"/>
      <c r="Q234" s="11"/>
      <c r="R234" s="11"/>
      <c r="S234" s="11"/>
      <c r="T234" s="11"/>
      <c r="U234" s="11"/>
      <c r="V234" s="25">
        <f>IF($G$8="",テーブル1[[#This Row],[幅]]*テーブル1[[#This Row],[長さ]],テーブル1[[#This Row],[幅]]*テーブル1[[#This Row],[長さ]]*$G$8)</f>
        <v>0</v>
      </c>
      <c r="W234" s="25" t="str">
        <f>IF(テーブル1[[#This Row],[幅]]=0,"",テーブル1[[#This Row],[KG合計]]/テーブル1[[#This Row],[SM]]*1000)</f>
        <v/>
      </c>
      <c r="X234" s="25">
        <f>IF(テーブル1[[#This Row],[g/SM]]="",テーブル1[[#This Row],[長さ]]*テーブル1[[#This Row],[g/M]]/1000,テーブル1[[#This Row],[SM]]*テーブル1[[#This Row],[g/SM]]/1000)</f>
        <v>0</v>
      </c>
      <c r="Y234" s="25"/>
      <c r="Z234" s="25">
        <f>SUM(テーブル1[[#This Row],[KG(目付)]:[KG]])</f>
        <v>0</v>
      </c>
      <c r="AA234" s="11"/>
      <c r="AB234" s="11"/>
      <c r="AC234" s="24">
        <f>$G$7*(テーブル1[[#This Row],[金額]]*$G$6)</f>
        <v>0</v>
      </c>
    </row>
    <row r="235" spans="11:29" ht="39.950000000000003" customHeight="1">
      <c r="K235" s="7"/>
      <c r="L235" s="7"/>
      <c r="M235" s="7"/>
      <c r="N235" s="7"/>
      <c r="O235" s="21">
        <f t="shared" si="4"/>
        <v>0</v>
      </c>
      <c r="P235" s="7"/>
      <c r="Q235" s="11"/>
      <c r="R235" s="11"/>
      <c r="S235" s="11"/>
      <c r="T235" s="11"/>
      <c r="U235" s="11"/>
      <c r="V235" s="25">
        <f>IF($G$8="",テーブル1[[#This Row],[幅]]*テーブル1[[#This Row],[長さ]],テーブル1[[#This Row],[幅]]*テーブル1[[#This Row],[長さ]]*$G$8)</f>
        <v>0</v>
      </c>
      <c r="W235" s="25" t="str">
        <f>IF(テーブル1[[#This Row],[幅]]=0,"",テーブル1[[#This Row],[KG合計]]/テーブル1[[#This Row],[SM]]*1000)</f>
        <v/>
      </c>
      <c r="X235" s="25">
        <f>IF(テーブル1[[#This Row],[g/SM]]="",テーブル1[[#This Row],[長さ]]*テーブル1[[#This Row],[g/M]]/1000,テーブル1[[#This Row],[SM]]*テーブル1[[#This Row],[g/SM]]/1000)</f>
        <v>0</v>
      </c>
      <c r="Y235" s="25"/>
      <c r="Z235" s="25">
        <f>SUM(テーブル1[[#This Row],[KG(目付)]:[KG]])</f>
        <v>0</v>
      </c>
      <c r="AA235" s="11"/>
      <c r="AB235" s="11"/>
      <c r="AC235" s="24">
        <f>$G$7*(テーブル1[[#This Row],[金額]]*$G$6)</f>
        <v>0</v>
      </c>
    </row>
    <row r="236" spans="11:29" ht="39.950000000000003" customHeight="1">
      <c r="K236" s="7"/>
      <c r="L236" s="7"/>
      <c r="M236" s="7"/>
      <c r="N236" s="7"/>
      <c r="O236" s="21">
        <f t="shared" si="4"/>
        <v>0</v>
      </c>
      <c r="P236" s="7"/>
      <c r="Q236" s="11"/>
      <c r="R236" s="11"/>
      <c r="S236" s="11"/>
      <c r="T236" s="11"/>
      <c r="U236" s="11"/>
      <c r="V236" s="25">
        <f>IF($G$8="",テーブル1[[#This Row],[幅]]*テーブル1[[#This Row],[長さ]],テーブル1[[#This Row],[幅]]*テーブル1[[#This Row],[長さ]]*$G$8)</f>
        <v>0</v>
      </c>
      <c r="W236" s="25" t="str">
        <f>IF(テーブル1[[#This Row],[幅]]=0,"",テーブル1[[#This Row],[KG合計]]/テーブル1[[#This Row],[SM]]*1000)</f>
        <v/>
      </c>
      <c r="X236" s="25">
        <f>IF(テーブル1[[#This Row],[g/SM]]="",テーブル1[[#This Row],[長さ]]*テーブル1[[#This Row],[g/M]]/1000,テーブル1[[#This Row],[SM]]*テーブル1[[#This Row],[g/SM]]/1000)</f>
        <v>0</v>
      </c>
      <c r="Y236" s="25"/>
      <c r="Z236" s="25">
        <f>SUM(テーブル1[[#This Row],[KG(目付)]:[KG]])</f>
        <v>0</v>
      </c>
      <c r="AA236" s="11"/>
      <c r="AB236" s="11"/>
      <c r="AC236" s="24">
        <f>$G$7*(テーブル1[[#This Row],[金額]]*$G$6)</f>
        <v>0</v>
      </c>
    </row>
    <row r="237" spans="11:29" ht="39.950000000000003" customHeight="1">
      <c r="K237" s="7"/>
      <c r="L237" s="7"/>
      <c r="M237" s="7"/>
      <c r="N237" s="7"/>
      <c r="O237" s="21">
        <f t="shared" si="4"/>
        <v>0</v>
      </c>
      <c r="P237" s="7"/>
      <c r="Q237" s="11"/>
      <c r="R237" s="11"/>
      <c r="S237" s="11"/>
      <c r="T237" s="11"/>
      <c r="U237" s="11"/>
      <c r="V237" s="25">
        <f>IF($G$8="",テーブル1[[#This Row],[幅]]*テーブル1[[#This Row],[長さ]],テーブル1[[#This Row],[幅]]*テーブル1[[#This Row],[長さ]]*$G$8)</f>
        <v>0</v>
      </c>
      <c r="W237" s="25" t="str">
        <f>IF(テーブル1[[#This Row],[幅]]=0,"",テーブル1[[#This Row],[KG合計]]/テーブル1[[#This Row],[SM]]*1000)</f>
        <v/>
      </c>
      <c r="X237" s="25">
        <f>IF(テーブル1[[#This Row],[g/SM]]="",テーブル1[[#This Row],[長さ]]*テーブル1[[#This Row],[g/M]]/1000,テーブル1[[#This Row],[SM]]*テーブル1[[#This Row],[g/SM]]/1000)</f>
        <v>0</v>
      </c>
      <c r="Y237" s="25"/>
      <c r="Z237" s="25">
        <f>SUM(テーブル1[[#This Row],[KG(目付)]:[KG]])</f>
        <v>0</v>
      </c>
      <c r="AA237" s="11"/>
      <c r="AB237" s="11"/>
      <c r="AC237" s="24">
        <f>$G$7*(テーブル1[[#This Row],[金額]]*$G$6)</f>
        <v>0</v>
      </c>
    </row>
    <row r="238" spans="11:29" ht="39.950000000000003" customHeight="1">
      <c r="K238" s="7"/>
      <c r="L238" s="7"/>
      <c r="M238" s="7"/>
      <c r="N238" s="7"/>
      <c r="O238" s="21">
        <f t="shared" si="4"/>
        <v>0</v>
      </c>
      <c r="P238" s="7"/>
      <c r="Q238" s="11"/>
      <c r="R238" s="11"/>
      <c r="S238" s="11"/>
      <c r="T238" s="11"/>
      <c r="U238" s="11"/>
      <c r="V238" s="25">
        <f>IF($G$8="",テーブル1[[#This Row],[幅]]*テーブル1[[#This Row],[長さ]],テーブル1[[#This Row],[幅]]*テーブル1[[#This Row],[長さ]]*$G$8)</f>
        <v>0</v>
      </c>
      <c r="W238" s="25" t="str">
        <f>IF(テーブル1[[#This Row],[幅]]=0,"",テーブル1[[#This Row],[KG合計]]/テーブル1[[#This Row],[SM]]*1000)</f>
        <v/>
      </c>
      <c r="X238" s="25">
        <f>IF(テーブル1[[#This Row],[g/SM]]="",テーブル1[[#This Row],[長さ]]*テーブル1[[#This Row],[g/M]]/1000,テーブル1[[#This Row],[SM]]*テーブル1[[#This Row],[g/SM]]/1000)</f>
        <v>0</v>
      </c>
      <c r="Y238" s="25"/>
      <c r="Z238" s="25">
        <f>SUM(テーブル1[[#This Row],[KG(目付)]:[KG]])</f>
        <v>0</v>
      </c>
      <c r="AA238" s="11"/>
      <c r="AB238" s="11"/>
      <c r="AC238" s="24">
        <f>$G$7*(テーブル1[[#This Row],[金額]]*$G$6)</f>
        <v>0</v>
      </c>
    </row>
    <row r="239" spans="11:29" ht="39.950000000000003" customHeight="1">
      <c r="K239" s="7"/>
      <c r="L239" s="7"/>
      <c r="M239" s="7"/>
      <c r="N239" s="7"/>
      <c r="O239" s="21">
        <f t="shared" si="4"/>
        <v>0</v>
      </c>
      <c r="P239" s="7"/>
      <c r="Q239" s="11"/>
      <c r="R239" s="11"/>
      <c r="S239" s="11"/>
      <c r="T239" s="11"/>
      <c r="U239" s="11"/>
      <c r="V239" s="25">
        <f>IF($G$8="",テーブル1[[#This Row],[幅]]*テーブル1[[#This Row],[長さ]],テーブル1[[#This Row],[幅]]*テーブル1[[#This Row],[長さ]]*$G$8)</f>
        <v>0</v>
      </c>
      <c r="W239" s="25" t="str">
        <f>IF(テーブル1[[#This Row],[幅]]=0,"",テーブル1[[#This Row],[KG合計]]/テーブル1[[#This Row],[SM]]*1000)</f>
        <v/>
      </c>
      <c r="X239" s="25">
        <f>IF(テーブル1[[#This Row],[g/SM]]="",テーブル1[[#This Row],[長さ]]*テーブル1[[#This Row],[g/M]]/1000,テーブル1[[#This Row],[SM]]*テーブル1[[#This Row],[g/SM]]/1000)</f>
        <v>0</v>
      </c>
      <c r="Y239" s="25"/>
      <c r="Z239" s="25">
        <f>SUM(テーブル1[[#This Row],[KG(目付)]:[KG]])</f>
        <v>0</v>
      </c>
      <c r="AA239" s="11"/>
      <c r="AB239" s="11"/>
      <c r="AC239" s="24">
        <f>$G$7*(テーブル1[[#This Row],[金額]]*$G$6)</f>
        <v>0</v>
      </c>
    </row>
    <row r="240" spans="11:29" ht="39.950000000000003" customHeight="1">
      <c r="K240" s="7"/>
      <c r="L240" s="7"/>
      <c r="M240" s="7"/>
      <c r="N240" s="7"/>
      <c r="O240" s="21">
        <f t="shared" si="4"/>
        <v>0</v>
      </c>
      <c r="P240" s="7"/>
      <c r="Q240" s="11"/>
      <c r="R240" s="11"/>
      <c r="S240" s="11"/>
      <c r="T240" s="11"/>
      <c r="U240" s="11"/>
      <c r="V240" s="25">
        <f>IF($G$8="",テーブル1[[#This Row],[幅]]*テーブル1[[#This Row],[長さ]],テーブル1[[#This Row],[幅]]*テーブル1[[#This Row],[長さ]]*$G$8)</f>
        <v>0</v>
      </c>
      <c r="W240" s="25" t="str">
        <f>IF(テーブル1[[#This Row],[幅]]=0,"",テーブル1[[#This Row],[KG合計]]/テーブル1[[#This Row],[SM]]*1000)</f>
        <v/>
      </c>
      <c r="X240" s="25">
        <f>IF(テーブル1[[#This Row],[g/SM]]="",テーブル1[[#This Row],[長さ]]*テーブル1[[#This Row],[g/M]]/1000,テーブル1[[#This Row],[SM]]*テーブル1[[#This Row],[g/SM]]/1000)</f>
        <v>0</v>
      </c>
      <c r="Y240" s="25"/>
      <c r="Z240" s="25">
        <f>SUM(テーブル1[[#This Row],[KG(目付)]:[KG]])</f>
        <v>0</v>
      </c>
      <c r="AA240" s="11"/>
      <c r="AB240" s="11"/>
      <c r="AC240" s="24">
        <f>$G$7*(テーブル1[[#This Row],[金額]]*$G$6)</f>
        <v>0</v>
      </c>
    </row>
    <row r="241" spans="11:29" ht="39.950000000000003" customHeight="1">
      <c r="K241" s="7"/>
      <c r="L241" s="7"/>
      <c r="M241" s="7"/>
      <c r="N241" s="7"/>
      <c r="O241" s="21">
        <f t="shared" si="4"/>
        <v>0</v>
      </c>
      <c r="P241" s="7"/>
      <c r="Q241" s="11"/>
      <c r="R241" s="11"/>
      <c r="S241" s="11"/>
      <c r="T241" s="11"/>
      <c r="U241" s="11"/>
      <c r="V241" s="25">
        <f>IF($G$8="",テーブル1[[#This Row],[幅]]*テーブル1[[#This Row],[長さ]],テーブル1[[#This Row],[幅]]*テーブル1[[#This Row],[長さ]]*$G$8)</f>
        <v>0</v>
      </c>
      <c r="W241" s="25" t="str">
        <f>IF(テーブル1[[#This Row],[幅]]=0,"",テーブル1[[#This Row],[KG合計]]/テーブル1[[#This Row],[SM]]*1000)</f>
        <v/>
      </c>
      <c r="X241" s="25">
        <f>IF(テーブル1[[#This Row],[g/SM]]="",テーブル1[[#This Row],[長さ]]*テーブル1[[#This Row],[g/M]]/1000,テーブル1[[#This Row],[SM]]*テーブル1[[#This Row],[g/SM]]/1000)</f>
        <v>0</v>
      </c>
      <c r="Y241" s="25"/>
      <c r="Z241" s="25">
        <f>SUM(テーブル1[[#This Row],[KG(目付)]:[KG]])</f>
        <v>0</v>
      </c>
      <c r="AA241" s="11"/>
      <c r="AB241" s="11"/>
      <c r="AC241" s="24">
        <f>$G$7*(テーブル1[[#This Row],[金額]]*$G$6)</f>
        <v>0</v>
      </c>
    </row>
    <row r="242" spans="11:29" ht="39.950000000000003" customHeight="1">
      <c r="K242" s="7"/>
      <c r="L242" s="7"/>
      <c r="M242" s="7"/>
      <c r="N242" s="7"/>
      <c r="O242" s="21">
        <f t="shared" si="4"/>
        <v>0</v>
      </c>
      <c r="P242" s="7"/>
      <c r="Q242" s="11"/>
      <c r="R242" s="11"/>
      <c r="S242" s="11"/>
      <c r="T242" s="11"/>
      <c r="U242" s="11"/>
      <c r="V242" s="25">
        <f>IF($G$8="",テーブル1[[#This Row],[幅]]*テーブル1[[#This Row],[長さ]],テーブル1[[#This Row],[幅]]*テーブル1[[#This Row],[長さ]]*$G$8)</f>
        <v>0</v>
      </c>
      <c r="W242" s="25" t="str">
        <f>IF(テーブル1[[#This Row],[幅]]=0,"",テーブル1[[#This Row],[KG合計]]/テーブル1[[#This Row],[SM]]*1000)</f>
        <v/>
      </c>
      <c r="X242" s="25">
        <f>IF(テーブル1[[#This Row],[g/SM]]="",テーブル1[[#This Row],[長さ]]*テーブル1[[#This Row],[g/M]]/1000,テーブル1[[#This Row],[SM]]*テーブル1[[#This Row],[g/SM]]/1000)</f>
        <v>0</v>
      </c>
      <c r="Y242" s="25"/>
      <c r="Z242" s="25">
        <f>SUM(テーブル1[[#This Row],[KG(目付)]:[KG]])</f>
        <v>0</v>
      </c>
      <c r="AA242" s="11"/>
      <c r="AB242" s="11"/>
      <c r="AC242" s="24">
        <f>$G$7*(テーブル1[[#This Row],[金額]]*$G$6)</f>
        <v>0</v>
      </c>
    </row>
    <row r="243" spans="11:29" ht="39.950000000000003" customHeight="1">
      <c r="K243" s="7"/>
      <c r="L243" s="7"/>
      <c r="M243" s="7"/>
      <c r="N243" s="7"/>
      <c r="O243" s="21">
        <f t="shared" ref="O243:O274" si="5">IF(LEN(N243)=10,RIGHT(N243,1),IFERROR(N243-(INT(N243/7)*7),RIGHT(N243,1)))</f>
        <v>0</v>
      </c>
      <c r="P243" s="7"/>
      <c r="Q243" s="11"/>
      <c r="R243" s="11"/>
      <c r="S243" s="11"/>
      <c r="T243" s="11"/>
      <c r="U243" s="11"/>
      <c r="V243" s="25">
        <f>IF($G$8="",テーブル1[[#This Row],[幅]]*テーブル1[[#This Row],[長さ]],テーブル1[[#This Row],[幅]]*テーブル1[[#This Row],[長さ]]*$G$8)</f>
        <v>0</v>
      </c>
      <c r="W243" s="25" t="str">
        <f>IF(テーブル1[[#This Row],[幅]]=0,"",テーブル1[[#This Row],[KG合計]]/テーブル1[[#This Row],[SM]]*1000)</f>
        <v/>
      </c>
      <c r="X243" s="25">
        <f>IF(テーブル1[[#This Row],[g/SM]]="",テーブル1[[#This Row],[長さ]]*テーブル1[[#This Row],[g/M]]/1000,テーブル1[[#This Row],[SM]]*テーブル1[[#This Row],[g/SM]]/1000)</f>
        <v>0</v>
      </c>
      <c r="Y243" s="25"/>
      <c r="Z243" s="25">
        <f>SUM(テーブル1[[#This Row],[KG(目付)]:[KG]])</f>
        <v>0</v>
      </c>
      <c r="AA243" s="11"/>
      <c r="AB243" s="11"/>
      <c r="AC243" s="24">
        <f>$G$7*(テーブル1[[#This Row],[金額]]*$G$6)</f>
        <v>0</v>
      </c>
    </row>
    <row r="244" spans="11:29" ht="39.950000000000003" customHeight="1">
      <c r="K244" s="7"/>
      <c r="L244" s="7"/>
      <c r="M244" s="7"/>
      <c r="N244" s="7"/>
      <c r="O244" s="21">
        <f t="shared" si="5"/>
        <v>0</v>
      </c>
      <c r="P244" s="7"/>
      <c r="Q244" s="11"/>
      <c r="R244" s="11"/>
      <c r="S244" s="11"/>
      <c r="T244" s="11"/>
      <c r="U244" s="11"/>
      <c r="V244" s="25">
        <f>IF($G$8="",テーブル1[[#This Row],[幅]]*テーブル1[[#This Row],[長さ]],テーブル1[[#This Row],[幅]]*テーブル1[[#This Row],[長さ]]*$G$8)</f>
        <v>0</v>
      </c>
      <c r="W244" s="25" t="str">
        <f>IF(テーブル1[[#This Row],[幅]]=0,"",テーブル1[[#This Row],[KG合計]]/テーブル1[[#This Row],[SM]]*1000)</f>
        <v/>
      </c>
      <c r="X244" s="25">
        <f>IF(テーブル1[[#This Row],[g/SM]]="",テーブル1[[#This Row],[長さ]]*テーブル1[[#This Row],[g/M]]/1000,テーブル1[[#This Row],[SM]]*テーブル1[[#This Row],[g/SM]]/1000)</f>
        <v>0</v>
      </c>
      <c r="Y244" s="25"/>
      <c r="Z244" s="25">
        <f>SUM(テーブル1[[#This Row],[KG(目付)]:[KG]])</f>
        <v>0</v>
      </c>
      <c r="AA244" s="11"/>
      <c r="AB244" s="11"/>
      <c r="AC244" s="24">
        <f>$G$7*(テーブル1[[#This Row],[金額]]*$G$6)</f>
        <v>0</v>
      </c>
    </row>
    <row r="245" spans="11:29" ht="39.950000000000003" customHeight="1">
      <c r="K245" s="7"/>
      <c r="L245" s="7"/>
      <c r="M245" s="7"/>
      <c r="N245" s="7"/>
      <c r="O245" s="21">
        <f t="shared" si="5"/>
        <v>0</v>
      </c>
      <c r="P245" s="7"/>
      <c r="Q245" s="11"/>
      <c r="R245" s="11"/>
      <c r="S245" s="11"/>
      <c r="T245" s="11"/>
      <c r="U245" s="11"/>
      <c r="V245" s="25">
        <f>IF($G$8="",テーブル1[[#This Row],[幅]]*テーブル1[[#This Row],[長さ]],テーブル1[[#This Row],[幅]]*テーブル1[[#This Row],[長さ]]*$G$8)</f>
        <v>0</v>
      </c>
      <c r="W245" s="25" t="str">
        <f>IF(テーブル1[[#This Row],[幅]]=0,"",テーブル1[[#This Row],[KG合計]]/テーブル1[[#This Row],[SM]]*1000)</f>
        <v/>
      </c>
      <c r="X245" s="25">
        <f>IF(テーブル1[[#This Row],[g/SM]]="",テーブル1[[#This Row],[長さ]]*テーブル1[[#This Row],[g/M]]/1000,テーブル1[[#This Row],[SM]]*テーブル1[[#This Row],[g/SM]]/1000)</f>
        <v>0</v>
      </c>
      <c r="Y245" s="25"/>
      <c r="Z245" s="25">
        <f>SUM(テーブル1[[#This Row],[KG(目付)]:[KG]])</f>
        <v>0</v>
      </c>
      <c r="AA245" s="11"/>
      <c r="AB245" s="11"/>
      <c r="AC245" s="24">
        <f>$G$7*(テーブル1[[#This Row],[金額]]*$G$6)</f>
        <v>0</v>
      </c>
    </row>
    <row r="246" spans="11:29" ht="39.950000000000003" customHeight="1">
      <c r="K246" s="7"/>
      <c r="L246" s="7"/>
      <c r="M246" s="7"/>
      <c r="N246" s="7"/>
      <c r="O246" s="21">
        <f t="shared" si="5"/>
        <v>0</v>
      </c>
      <c r="P246" s="7"/>
      <c r="Q246" s="11"/>
      <c r="R246" s="11"/>
      <c r="S246" s="11"/>
      <c r="T246" s="11"/>
      <c r="U246" s="11"/>
      <c r="V246" s="25">
        <f>IF($G$8="",テーブル1[[#This Row],[幅]]*テーブル1[[#This Row],[長さ]],テーブル1[[#This Row],[幅]]*テーブル1[[#This Row],[長さ]]*$G$8)</f>
        <v>0</v>
      </c>
      <c r="W246" s="25" t="str">
        <f>IF(テーブル1[[#This Row],[幅]]=0,"",テーブル1[[#This Row],[KG合計]]/テーブル1[[#This Row],[SM]]*1000)</f>
        <v/>
      </c>
      <c r="X246" s="25">
        <f>IF(テーブル1[[#This Row],[g/SM]]="",テーブル1[[#This Row],[長さ]]*テーブル1[[#This Row],[g/M]]/1000,テーブル1[[#This Row],[SM]]*テーブル1[[#This Row],[g/SM]]/1000)</f>
        <v>0</v>
      </c>
      <c r="Y246" s="25"/>
      <c r="Z246" s="25">
        <f>SUM(テーブル1[[#This Row],[KG(目付)]:[KG]])</f>
        <v>0</v>
      </c>
      <c r="AA246" s="11"/>
      <c r="AB246" s="11"/>
      <c r="AC246" s="24">
        <f>$G$7*(テーブル1[[#This Row],[金額]]*$G$6)</f>
        <v>0</v>
      </c>
    </row>
    <row r="247" spans="11:29" ht="39.950000000000003" customHeight="1">
      <c r="K247" s="7"/>
      <c r="L247" s="7"/>
      <c r="M247" s="7"/>
      <c r="N247" s="7"/>
      <c r="O247" s="21">
        <f t="shared" si="5"/>
        <v>0</v>
      </c>
      <c r="P247" s="7"/>
      <c r="Q247" s="11"/>
      <c r="R247" s="11"/>
      <c r="S247" s="11"/>
      <c r="T247" s="11"/>
      <c r="U247" s="11"/>
      <c r="V247" s="25">
        <f>IF($G$8="",テーブル1[[#This Row],[幅]]*テーブル1[[#This Row],[長さ]],テーブル1[[#This Row],[幅]]*テーブル1[[#This Row],[長さ]]*$G$8)</f>
        <v>0</v>
      </c>
      <c r="W247" s="25" t="str">
        <f>IF(テーブル1[[#This Row],[幅]]=0,"",テーブル1[[#This Row],[KG合計]]/テーブル1[[#This Row],[SM]]*1000)</f>
        <v/>
      </c>
      <c r="X247" s="25">
        <f>IF(テーブル1[[#This Row],[g/SM]]="",テーブル1[[#This Row],[長さ]]*テーブル1[[#This Row],[g/M]]/1000,テーブル1[[#This Row],[SM]]*テーブル1[[#This Row],[g/SM]]/1000)</f>
        <v>0</v>
      </c>
      <c r="Y247" s="25"/>
      <c r="Z247" s="25">
        <f>SUM(テーブル1[[#This Row],[KG(目付)]:[KG]])</f>
        <v>0</v>
      </c>
      <c r="AA247" s="11"/>
      <c r="AB247" s="11"/>
      <c r="AC247" s="24">
        <f>$G$7*(テーブル1[[#This Row],[金額]]*$G$6)</f>
        <v>0</v>
      </c>
    </row>
    <row r="248" spans="11:29" ht="39.950000000000003" customHeight="1">
      <c r="K248" s="7"/>
      <c r="L248" s="7"/>
      <c r="M248" s="7"/>
      <c r="N248" s="7"/>
      <c r="O248" s="21">
        <f t="shared" si="5"/>
        <v>0</v>
      </c>
      <c r="P248" s="7"/>
      <c r="Q248" s="11"/>
      <c r="R248" s="11"/>
      <c r="S248" s="11"/>
      <c r="T248" s="11"/>
      <c r="U248" s="11"/>
      <c r="V248" s="25">
        <f>IF($G$8="",テーブル1[[#This Row],[幅]]*テーブル1[[#This Row],[長さ]],テーブル1[[#This Row],[幅]]*テーブル1[[#This Row],[長さ]]*$G$8)</f>
        <v>0</v>
      </c>
      <c r="W248" s="25" t="str">
        <f>IF(テーブル1[[#This Row],[幅]]=0,"",テーブル1[[#This Row],[KG合計]]/テーブル1[[#This Row],[SM]]*1000)</f>
        <v/>
      </c>
      <c r="X248" s="25">
        <f>IF(テーブル1[[#This Row],[g/SM]]="",テーブル1[[#This Row],[長さ]]*テーブル1[[#This Row],[g/M]]/1000,テーブル1[[#This Row],[SM]]*テーブル1[[#This Row],[g/SM]]/1000)</f>
        <v>0</v>
      </c>
      <c r="Y248" s="25"/>
      <c r="Z248" s="25">
        <f>SUM(テーブル1[[#This Row],[KG(目付)]:[KG]])</f>
        <v>0</v>
      </c>
      <c r="AA248" s="11"/>
      <c r="AB248" s="11"/>
      <c r="AC248" s="24">
        <f>$G$7*(テーブル1[[#This Row],[金額]]*$G$6)</f>
        <v>0</v>
      </c>
    </row>
    <row r="249" spans="11:29" ht="39.950000000000003" customHeight="1">
      <c r="K249" s="7"/>
      <c r="L249" s="7"/>
      <c r="M249" s="7"/>
      <c r="N249" s="7"/>
      <c r="O249" s="21">
        <f t="shared" si="5"/>
        <v>0</v>
      </c>
      <c r="P249" s="7"/>
      <c r="Q249" s="11"/>
      <c r="R249" s="11"/>
      <c r="S249" s="11"/>
      <c r="T249" s="11"/>
      <c r="U249" s="11"/>
      <c r="V249" s="25">
        <f>IF($G$8="",テーブル1[[#This Row],[幅]]*テーブル1[[#This Row],[長さ]],テーブル1[[#This Row],[幅]]*テーブル1[[#This Row],[長さ]]*$G$8)</f>
        <v>0</v>
      </c>
      <c r="W249" s="25" t="str">
        <f>IF(テーブル1[[#This Row],[幅]]=0,"",テーブル1[[#This Row],[KG合計]]/テーブル1[[#This Row],[SM]]*1000)</f>
        <v/>
      </c>
      <c r="X249" s="25">
        <f>IF(テーブル1[[#This Row],[g/SM]]="",テーブル1[[#This Row],[長さ]]*テーブル1[[#This Row],[g/M]]/1000,テーブル1[[#This Row],[SM]]*テーブル1[[#This Row],[g/SM]]/1000)</f>
        <v>0</v>
      </c>
      <c r="Y249" s="25"/>
      <c r="Z249" s="25">
        <f>SUM(テーブル1[[#This Row],[KG(目付)]:[KG]])</f>
        <v>0</v>
      </c>
      <c r="AA249" s="11"/>
      <c r="AB249" s="11"/>
      <c r="AC249" s="24">
        <f>$G$7*(テーブル1[[#This Row],[金額]]*$G$6)</f>
        <v>0</v>
      </c>
    </row>
    <row r="250" spans="11:29" ht="39.950000000000003" customHeight="1">
      <c r="K250" s="7"/>
      <c r="L250" s="7"/>
      <c r="M250" s="7"/>
      <c r="N250" s="7"/>
      <c r="O250" s="21">
        <f t="shared" si="5"/>
        <v>0</v>
      </c>
      <c r="P250" s="7"/>
      <c r="Q250" s="11"/>
      <c r="R250" s="11"/>
      <c r="S250" s="11"/>
      <c r="T250" s="11"/>
      <c r="U250" s="11"/>
      <c r="V250" s="25">
        <f>IF($G$8="",テーブル1[[#This Row],[幅]]*テーブル1[[#This Row],[長さ]],テーブル1[[#This Row],[幅]]*テーブル1[[#This Row],[長さ]]*$G$8)</f>
        <v>0</v>
      </c>
      <c r="W250" s="25" t="str">
        <f>IF(テーブル1[[#This Row],[幅]]=0,"",テーブル1[[#This Row],[KG合計]]/テーブル1[[#This Row],[SM]]*1000)</f>
        <v/>
      </c>
      <c r="X250" s="25">
        <f>IF(テーブル1[[#This Row],[g/SM]]="",テーブル1[[#This Row],[長さ]]*テーブル1[[#This Row],[g/M]]/1000,テーブル1[[#This Row],[SM]]*テーブル1[[#This Row],[g/SM]]/1000)</f>
        <v>0</v>
      </c>
      <c r="Y250" s="25"/>
      <c r="Z250" s="25">
        <f>SUM(テーブル1[[#This Row],[KG(目付)]:[KG]])</f>
        <v>0</v>
      </c>
      <c r="AA250" s="11"/>
      <c r="AB250" s="11"/>
      <c r="AC250" s="24">
        <f>$G$7*(テーブル1[[#This Row],[金額]]*$G$6)</f>
        <v>0</v>
      </c>
    </row>
    <row r="251" spans="11:29" ht="39.950000000000003" customHeight="1">
      <c r="K251" s="7"/>
      <c r="L251" s="7"/>
      <c r="M251" s="7"/>
      <c r="N251" s="7"/>
      <c r="O251" s="21">
        <f t="shared" si="5"/>
        <v>0</v>
      </c>
      <c r="P251" s="7"/>
      <c r="Q251" s="11"/>
      <c r="R251" s="11"/>
      <c r="S251" s="11"/>
      <c r="T251" s="11"/>
      <c r="U251" s="11"/>
      <c r="V251" s="25">
        <f>IF($G$8="",テーブル1[[#This Row],[幅]]*テーブル1[[#This Row],[長さ]],テーブル1[[#This Row],[幅]]*テーブル1[[#This Row],[長さ]]*$G$8)</f>
        <v>0</v>
      </c>
      <c r="W251" s="25" t="str">
        <f>IF(テーブル1[[#This Row],[幅]]=0,"",テーブル1[[#This Row],[KG合計]]/テーブル1[[#This Row],[SM]]*1000)</f>
        <v/>
      </c>
      <c r="X251" s="25">
        <f>IF(テーブル1[[#This Row],[g/SM]]="",テーブル1[[#This Row],[長さ]]*テーブル1[[#This Row],[g/M]]/1000,テーブル1[[#This Row],[SM]]*テーブル1[[#This Row],[g/SM]]/1000)</f>
        <v>0</v>
      </c>
      <c r="Y251" s="25"/>
      <c r="Z251" s="25">
        <f>SUM(テーブル1[[#This Row],[KG(目付)]:[KG]])</f>
        <v>0</v>
      </c>
      <c r="AA251" s="11"/>
      <c r="AB251" s="11"/>
      <c r="AC251" s="24">
        <f>$G$7*(テーブル1[[#This Row],[金額]]*$G$6)</f>
        <v>0</v>
      </c>
    </row>
    <row r="252" spans="11:29" ht="39.950000000000003" customHeight="1">
      <c r="K252" s="7"/>
      <c r="L252" s="7"/>
      <c r="M252" s="7"/>
      <c r="N252" s="7"/>
      <c r="O252" s="21">
        <f t="shared" si="5"/>
        <v>0</v>
      </c>
      <c r="P252" s="7"/>
      <c r="Q252" s="11"/>
      <c r="R252" s="11"/>
      <c r="S252" s="11"/>
      <c r="T252" s="11"/>
      <c r="U252" s="11"/>
      <c r="V252" s="25">
        <f>IF($G$8="",テーブル1[[#This Row],[幅]]*テーブル1[[#This Row],[長さ]],テーブル1[[#This Row],[幅]]*テーブル1[[#This Row],[長さ]]*$G$8)</f>
        <v>0</v>
      </c>
      <c r="W252" s="25" t="str">
        <f>IF(テーブル1[[#This Row],[幅]]=0,"",テーブル1[[#This Row],[KG合計]]/テーブル1[[#This Row],[SM]]*1000)</f>
        <v/>
      </c>
      <c r="X252" s="25">
        <f>IF(テーブル1[[#This Row],[g/SM]]="",テーブル1[[#This Row],[長さ]]*テーブル1[[#This Row],[g/M]]/1000,テーブル1[[#This Row],[SM]]*テーブル1[[#This Row],[g/SM]]/1000)</f>
        <v>0</v>
      </c>
      <c r="Y252" s="25"/>
      <c r="Z252" s="25">
        <f>SUM(テーブル1[[#This Row],[KG(目付)]:[KG]])</f>
        <v>0</v>
      </c>
      <c r="AA252" s="11"/>
      <c r="AB252" s="11"/>
      <c r="AC252" s="24">
        <f>$G$7*(テーブル1[[#This Row],[金額]]*$G$6)</f>
        <v>0</v>
      </c>
    </row>
    <row r="253" spans="11:29" ht="39.950000000000003" customHeight="1">
      <c r="K253" s="7"/>
      <c r="L253" s="7"/>
      <c r="M253" s="7"/>
      <c r="N253" s="7"/>
      <c r="O253" s="21">
        <f t="shared" si="5"/>
        <v>0</v>
      </c>
      <c r="P253" s="7"/>
      <c r="Q253" s="11"/>
      <c r="R253" s="11"/>
      <c r="S253" s="11"/>
      <c r="T253" s="11"/>
      <c r="U253" s="11"/>
      <c r="V253" s="25">
        <f>IF($G$8="",テーブル1[[#This Row],[幅]]*テーブル1[[#This Row],[長さ]],テーブル1[[#This Row],[幅]]*テーブル1[[#This Row],[長さ]]*$G$8)</f>
        <v>0</v>
      </c>
      <c r="W253" s="25" t="str">
        <f>IF(テーブル1[[#This Row],[幅]]=0,"",テーブル1[[#This Row],[KG合計]]/テーブル1[[#This Row],[SM]]*1000)</f>
        <v/>
      </c>
      <c r="X253" s="25">
        <f>IF(テーブル1[[#This Row],[g/SM]]="",テーブル1[[#This Row],[長さ]]*テーブル1[[#This Row],[g/M]]/1000,テーブル1[[#This Row],[SM]]*テーブル1[[#This Row],[g/SM]]/1000)</f>
        <v>0</v>
      </c>
      <c r="Y253" s="25"/>
      <c r="Z253" s="25">
        <f>SUM(テーブル1[[#This Row],[KG(目付)]:[KG]])</f>
        <v>0</v>
      </c>
      <c r="AA253" s="11"/>
      <c r="AB253" s="11"/>
      <c r="AC253" s="24">
        <f>$G$7*(テーブル1[[#This Row],[金額]]*$G$6)</f>
        <v>0</v>
      </c>
    </row>
    <row r="254" spans="11:29" ht="39.950000000000003" customHeight="1">
      <c r="K254" s="7"/>
      <c r="L254" s="7"/>
      <c r="M254" s="7"/>
      <c r="N254" s="7"/>
      <c r="O254" s="21">
        <f t="shared" si="5"/>
        <v>0</v>
      </c>
      <c r="P254" s="7"/>
      <c r="Q254" s="11"/>
      <c r="R254" s="11"/>
      <c r="S254" s="11"/>
      <c r="T254" s="11"/>
      <c r="U254" s="11"/>
      <c r="V254" s="25">
        <f>IF($G$8="",テーブル1[[#This Row],[幅]]*テーブル1[[#This Row],[長さ]],テーブル1[[#This Row],[幅]]*テーブル1[[#This Row],[長さ]]*$G$8)</f>
        <v>0</v>
      </c>
      <c r="W254" s="25" t="str">
        <f>IF(テーブル1[[#This Row],[幅]]=0,"",テーブル1[[#This Row],[KG合計]]/テーブル1[[#This Row],[SM]]*1000)</f>
        <v/>
      </c>
      <c r="X254" s="25">
        <f>IF(テーブル1[[#This Row],[g/SM]]="",テーブル1[[#This Row],[長さ]]*テーブル1[[#This Row],[g/M]]/1000,テーブル1[[#This Row],[SM]]*テーブル1[[#This Row],[g/SM]]/1000)</f>
        <v>0</v>
      </c>
      <c r="Y254" s="25"/>
      <c r="Z254" s="25">
        <f>SUM(テーブル1[[#This Row],[KG(目付)]:[KG]])</f>
        <v>0</v>
      </c>
      <c r="AA254" s="11"/>
      <c r="AB254" s="11"/>
      <c r="AC254" s="24">
        <f>$G$7*(テーブル1[[#This Row],[金額]]*$G$6)</f>
        <v>0</v>
      </c>
    </row>
    <row r="255" spans="11:29" ht="39.950000000000003" customHeight="1">
      <c r="K255" s="7"/>
      <c r="L255" s="7"/>
      <c r="M255" s="7"/>
      <c r="N255" s="7"/>
      <c r="O255" s="21">
        <f t="shared" si="5"/>
        <v>0</v>
      </c>
      <c r="P255" s="7"/>
      <c r="Q255" s="11"/>
      <c r="R255" s="11"/>
      <c r="S255" s="11"/>
      <c r="T255" s="11"/>
      <c r="U255" s="11"/>
      <c r="V255" s="25">
        <f>IF($G$8="",テーブル1[[#This Row],[幅]]*テーブル1[[#This Row],[長さ]],テーブル1[[#This Row],[幅]]*テーブル1[[#This Row],[長さ]]*$G$8)</f>
        <v>0</v>
      </c>
      <c r="W255" s="25" t="str">
        <f>IF(テーブル1[[#This Row],[幅]]=0,"",テーブル1[[#This Row],[KG合計]]/テーブル1[[#This Row],[SM]]*1000)</f>
        <v/>
      </c>
      <c r="X255" s="25">
        <f>IF(テーブル1[[#This Row],[g/SM]]="",テーブル1[[#This Row],[長さ]]*テーブル1[[#This Row],[g/M]]/1000,テーブル1[[#This Row],[SM]]*テーブル1[[#This Row],[g/SM]]/1000)</f>
        <v>0</v>
      </c>
      <c r="Y255" s="25"/>
      <c r="Z255" s="25">
        <f>SUM(テーブル1[[#This Row],[KG(目付)]:[KG]])</f>
        <v>0</v>
      </c>
      <c r="AA255" s="11"/>
      <c r="AB255" s="11"/>
      <c r="AC255" s="24">
        <f>$G$7*(テーブル1[[#This Row],[金額]]*$G$6)</f>
        <v>0</v>
      </c>
    </row>
    <row r="256" spans="11:29" ht="39.950000000000003" customHeight="1">
      <c r="K256" s="7"/>
      <c r="L256" s="7"/>
      <c r="M256" s="7"/>
      <c r="N256" s="7"/>
      <c r="O256" s="21">
        <f t="shared" si="5"/>
        <v>0</v>
      </c>
      <c r="P256" s="7"/>
      <c r="Q256" s="11"/>
      <c r="R256" s="11"/>
      <c r="S256" s="11"/>
      <c r="T256" s="11"/>
      <c r="U256" s="11"/>
      <c r="V256" s="25">
        <f>IF($G$8="",テーブル1[[#This Row],[幅]]*テーブル1[[#This Row],[長さ]],テーブル1[[#This Row],[幅]]*テーブル1[[#This Row],[長さ]]*$G$8)</f>
        <v>0</v>
      </c>
      <c r="W256" s="25" t="str">
        <f>IF(テーブル1[[#This Row],[幅]]=0,"",テーブル1[[#This Row],[KG合計]]/テーブル1[[#This Row],[SM]]*1000)</f>
        <v/>
      </c>
      <c r="X256" s="25">
        <f>IF(テーブル1[[#This Row],[g/SM]]="",テーブル1[[#This Row],[長さ]]*テーブル1[[#This Row],[g/M]]/1000,テーブル1[[#This Row],[SM]]*テーブル1[[#This Row],[g/SM]]/1000)</f>
        <v>0</v>
      </c>
      <c r="Y256" s="25"/>
      <c r="Z256" s="25">
        <f>SUM(テーブル1[[#This Row],[KG(目付)]:[KG]])</f>
        <v>0</v>
      </c>
      <c r="AA256" s="11"/>
      <c r="AB256" s="11"/>
      <c r="AC256" s="24">
        <f>$G$7*(テーブル1[[#This Row],[金額]]*$G$6)</f>
        <v>0</v>
      </c>
    </row>
    <row r="257" spans="11:29" ht="39.950000000000003" customHeight="1">
      <c r="K257" s="7"/>
      <c r="L257" s="7"/>
      <c r="M257" s="7"/>
      <c r="N257" s="7"/>
      <c r="O257" s="21">
        <f t="shared" si="5"/>
        <v>0</v>
      </c>
      <c r="P257" s="7"/>
      <c r="Q257" s="11"/>
      <c r="R257" s="11"/>
      <c r="S257" s="11"/>
      <c r="T257" s="11"/>
      <c r="U257" s="11"/>
      <c r="V257" s="25">
        <f>IF($G$8="",テーブル1[[#This Row],[幅]]*テーブル1[[#This Row],[長さ]],テーブル1[[#This Row],[幅]]*テーブル1[[#This Row],[長さ]]*$G$8)</f>
        <v>0</v>
      </c>
      <c r="W257" s="25" t="str">
        <f>IF(テーブル1[[#This Row],[幅]]=0,"",テーブル1[[#This Row],[KG合計]]/テーブル1[[#This Row],[SM]]*1000)</f>
        <v/>
      </c>
      <c r="X257" s="25">
        <f>IF(テーブル1[[#This Row],[g/SM]]="",テーブル1[[#This Row],[長さ]]*テーブル1[[#This Row],[g/M]]/1000,テーブル1[[#This Row],[SM]]*テーブル1[[#This Row],[g/SM]]/1000)</f>
        <v>0</v>
      </c>
      <c r="Y257" s="25"/>
      <c r="Z257" s="25">
        <f>SUM(テーブル1[[#This Row],[KG(目付)]:[KG]])</f>
        <v>0</v>
      </c>
      <c r="AA257" s="11"/>
      <c r="AB257" s="11"/>
      <c r="AC257" s="24">
        <f>$G$7*(テーブル1[[#This Row],[金額]]*$G$6)</f>
        <v>0</v>
      </c>
    </row>
    <row r="258" spans="11:29" ht="39.950000000000003" customHeight="1">
      <c r="K258" s="7"/>
      <c r="L258" s="7"/>
      <c r="M258" s="7"/>
      <c r="N258" s="7"/>
      <c r="O258" s="21">
        <f t="shared" si="5"/>
        <v>0</v>
      </c>
      <c r="P258" s="7"/>
      <c r="Q258" s="11"/>
      <c r="R258" s="11"/>
      <c r="S258" s="11"/>
      <c r="T258" s="11"/>
      <c r="U258" s="11"/>
      <c r="V258" s="25">
        <f>IF($G$8="",テーブル1[[#This Row],[幅]]*テーブル1[[#This Row],[長さ]],テーブル1[[#This Row],[幅]]*テーブル1[[#This Row],[長さ]]*$G$8)</f>
        <v>0</v>
      </c>
      <c r="W258" s="25" t="str">
        <f>IF(テーブル1[[#This Row],[幅]]=0,"",テーブル1[[#This Row],[KG合計]]/テーブル1[[#This Row],[SM]]*1000)</f>
        <v/>
      </c>
      <c r="X258" s="25">
        <f>IF(テーブル1[[#This Row],[g/SM]]="",テーブル1[[#This Row],[長さ]]*テーブル1[[#This Row],[g/M]]/1000,テーブル1[[#This Row],[SM]]*テーブル1[[#This Row],[g/SM]]/1000)</f>
        <v>0</v>
      </c>
      <c r="Y258" s="25"/>
      <c r="Z258" s="25">
        <f>SUM(テーブル1[[#This Row],[KG(目付)]:[KG]])</f>
        <v>0</v>
      </c>
      <c r="AA258" s="11"/>
      <c r="AB258" s="11"/>
      <c r="AC258" s="24">
        <f>$G$7*(テーブル1[[#This Row],[金額]]*$G$6)</f>
        <v>0</v>
      </c>
    </row>
    <row r="259" spans="11:29" ht="39.950000000000003" customHeight="1">
      <c r="K259" s="7"/>
      <c r="L259" s="7"/>
      <c r="M259" s="7"/>
      <c r="N259" s="7"/>
      <c r="O259" s="21">
        <f t="shared" si="5"/>
        <v>0</v>
      </c>
      <c r="P259" s="7"/>
      <c r="Q259" s="11"/>
      <c r="R259" s="11"/>
      <c r="S259" s="11"/>
      <c r="T259" s="11"/>
      <c r="U259" s="11"/>
      <c r="V259" s="25">
        <f>IF($G$8="",テーブル1[[#This Row],[幅]]*テーブル1[[#This Row],[長さ]],テーブル1[[#This Row],[幅]]*テーブル1[[#This Row],[長さ]]*$G$8)</f>
        <v>0</v>
      </c>
      <c r="W259" s="25" t="str">
        <f>IF(テーブル1[[#This Row],[幅]]=0,"",テーブル1[[#This Row],[KG合計]]/テーブル1[[#This Row],[SM]]*1000)</f>
        <v/>
      </c>
      <c r="X259" s="25">
        <f>IF(テーブル1[[#This Row],[g/SM]]="",テーブル1[[#This Row],[長さ]]*テーブル1[[#This Row],[g/M]]/1000,テーブル1[[#This Row],[SM]]*テーブル1[[#This Row],[g/SM]]/1000)</f>
        <v>0</v>
      </c>
      <c r="Y259" s="25"/>
      <c r="Z259" s="25">
        <f>SUM(テーブル1[[#This Row],[KG(目付)]:[KG]])</f>
        <v>0</v>
      </c>
      <c r="AA259" s="11"/>
      <c r="AB259" s="11"/>
      <c r="AC259" s="24">
        <f>$G$7*(テーブル1[[#This Row],[金額]]*$G$6)</f>
        <v>0</v>
      </c>
    </row>
    <row r="260" spans="11:29" ht="39.950000000000003" customHeight="1">
      <c r="K260" s="7"/>
      <c r="L260" s="7"/>
      <c r="M260" s="7"/>
      <c r="N260" s="7"/>
      <c r="O260" s="21">
        <f t="shared" si="5"/>
        <v>0</v>
      </c>
      <c r="P260" s="7"/>
      <c r="Q260" s="11"/>
      <c r="R260" s="11"/>
      <c r="S260" s="11"/>
      <c r="T260" s="11"/>
      <c r="U260" s="11"/>
      <c r="V260" s="25">
        <f>IF($G$8="",テーブル1[[#This Row],[幅]]*テーブル1[[#This Row],[長さ]],テーブル1[[#This Row],[幅]]*テーブル1[[#This Row],[長さ]]*$G$8)</f>
        <v>0</v>
      </c>
      <c r="W260" s="25" t="str">
        <f>IF(テーブル1[[#This Row],[幅]]=0,"",テーブル1[[#This Row],[KG合計]]/テーブル1[[#This Row],[SM]]*1000)</f>
        <v/>
      </c>
      <c r="X260" s="25">
        <f>IF(テーブル1[[#This Row],[g/SM]]="",テーブル1[[#This Row],[長さ]]*テーブル1[[#This Row],[g/M]]/1000,テーブル1[[#This Row],[SM]]*テーブル1[[#This Row],[g/SM]]/1000)</f>
        <v>0</v>
      </c>
      <c r="Y260" s="25"/>
      <c r="Z260" s="25">
        <f>SUM(テーブル1[[#This Row],[KG(目付)]:[KG]])</f>
        <v>0</v>
      </c>
      <c r="AA260" s="11"/>
      <c r="AB260" s="11"/>
      <c r="AC260" s="24">
        <f>$G$7*(テーブル1[[#This Row],[金額]]*$G$6)</f>
        <v>0</v>
      </c>
    </row>
    <row r="261" spans="11:29" ht="39.950000000000003" customHeight="1">
      <c r="K261" s="7"/>
      <c r="L261" s="7"/>
      <c r="M261" s="7"/>
      <c r="N261" s="7"/>
      <c r="O261" s="21">
        <f t="shared" si="5"/>
        <v>0</v>
      </c>
      <c r="P261" s="7"/>
      <c r="Q261" s="11"/>
      <c r="R261" s="11"/>
      <c r="S261" s="11"/>
      <c r="T261" s="11"/>
      <c r="U261" s="11"/>
      <c r="V261" s="25">
        <f>IF($G$8="",テーブル1[[#This Row],[幅]]*テーブル1[[#This Row],[長さ]],テーブル1[[#This Row],[幅]]*テーブル1[[#This Row],[長さ]]*$G$8)</f>
        <v>0</v>
      </c>
      <c r="W261" s="25" t="str">
        <f>IF(テーブル1[[#This Row],[幅]]=0,"",テーブル1[[#This Row],[KG合計]]/テーブル1[[#This Row],[SM]]*1000)</f>
        <v/>
      </c>
      <c r="X261" s="25">
        <f>IF(テーブル1[[#This Row],[g/SM]]="",テーブル1[[#This Row],[長さ]]*テーブル1[[#This Row],[g/M]]/1000,テーブル1[[#This Row],[SM]]*テーブル1[[#This Row],[g/SM]]/1000)</f>
        <v>0</v>
      </c>
      <c r="Y261" s="25"/>
      <c r="Z261" s="25">
        <f>SUM(テーブル1[[#This Row],[KG(目付)]:[KG]])</f>
        <v>0</v>
      </c>
      <c r="AA261" s="11"/>
      <c r="AB261" s="11"/>
      <c r="AC261" s="24">
        <f>$G$7*(テーブル1[[#This Row],[金額]]*$G$6)</f>
        <v>0</v>
      </c>
    </row>
    <row r="262" spans="11:29" ht="39.950000000000003" customHeight="1">
      <c r="K262" s="7"/>
      <c r="L262" s="7"/>
      <c r="M262" s="7"/>
      <c r="N262" s="7"/>
      <c r="O262" s="21">
        <f t="shared" si="5"/>
        <v>0</v>
      </c>
      <c r="P262" s="7"/>
      <c r="Q262" s="11"/>
      <c r="R262" s="11"/>
      <c r="S262" s="11"/>
      <c r="T262" s="11"/>
      <c r="U262" s="11"/>
      <c r="V262" s="25">
        <f>IF($G$8="",テーブル1[[#This Row],[幅]]*テーブル1[[#This Row],[長さ]],テーブル1[[#This Row],[幅]]*テーブル1[[#This Row],[長さ]]*$G$8)</f>
        <v>0</v>
      </c>
      <c r="W262" s="25" t="str">
        <f>IF(テーブル1[[#This Row],[幅]]=0,"",テーブル1[[#This Row],[KG合計]]/テーブル1[[#This Row],[SM]]*1000)</f>
        <v/>
      </c>
      <c r="X262" s="25">
        <f>IF(テーブル1[[#This Row],[g/SM]]="",テーブル1[[#This Row],[長さ]]*テーブル1[[#This Row],[g/M]]/1000,テーブル1[[#This Row],[SM]]*テーブル1[[#This Row],[g/SM]]/1000)</f>
        <v>0</v>
      </c>
      <c r="Y262" s="25"/>
      <c r="Z262" s="25">
        <f>SUM(テーブル1[[#This Row],[KG(目付)]:[KG]])</f>
        <v>0</v>
      </c>
      <c r="AA262" s="11"/>
      <c r="AB262" s="11"/>
      <c r="AC262" s="24">
        <f>$G$7*(テーブル1[[#This Row],[金額]]*$G$6)</f>
        <v>0</v>
      </c>
    </row>
    <row r="263" spans="11:29" ht="39.950000000000003" customHeight="1">
      <c r="K263" s="7"/>
      <c r="L263" s="7"/>
      <c r="M263" s="7"/>
      <c r="N263" s="7"/>
      <c r="O263" s="21">
        <f t="shared" si="5"/>
        <v>0</v>
      </c>
      <c r="P263" s="7"/>
      <c r="Q263" s="11"/>
      <c r="R263" s="11"/>
      <c r="S263" s="11"/>
      <c r="T263" s="11"/>
      <c r="U263" s="11"/>
      <c r="V263" s="25">
        <f>IF($G$8="",テーブル1[[#This Row],[幅]]*テーブル1[[#This Row],[長さ]],テーブル1[[#This Row],[幅]]*テーブル1[[#This Row],[長さ]]*$G$8)</f>
        <v>0</v>
      </c>
      <c r="W263" s="25" t="str">
        <f>IF(テーブル1[[#This Row],[幅]]=0,"",テーブル1[[#This Row],[KG合計]]/テーブル1[[#This Row],[SM]]*1000)</f>
        <v/>
      </c>
      <c r="X263" s="25">
        <f>IF(テーブル1[[#This Row],[g/SM]]="",テーブル1[[#This Row],[長さ]]*テーブル1[[#This Row],[g/M]]/1000,テーブル1[[#This Row],[SM]]*テーブル1[[#This Row],[g/SM]]/1000)</f>
        <v>0</v>
      </c>
      <c r="Y263" s="25"/>
      <c r="Z263" s="25">
        <f>SUM(テーブル1[[#This Row],[KG(目付)]:[KG]])</f>
        <v>0</v>
      </c>
      <c r="AA263" s="11"/>
      <c r="AB263" s="11"/>
      <c r="AC263" s="24">
        <f>$G$7*(テーブル1[[#This Row],[金額]]*$G$6)</f>
        <v>0</v>
      </c>
    </row>
    <row r="264" spans="11:29" ht="39.950000000000003" customHeight="1">
      <c r="K264" s="7"/>
      <c r="L264" s="7"/>
      <c r="M264" s="7"/>
      <c r="N264" s="7"/>
      <c r="O264" s="21">
        <f t="shared" si="5"/>
        <v>0</v>
      </c>
      <c r="P264" s="7"/>
      <c r="Q264" s="11"/>
      <c r="R264" s="11"/>
      <c r="S264" s="11"/>
      <c r="T264" s="11"/>
      <c r="U264" s="11"/>
      <c r="V264" s="25">
        <f>IF($G$8="",テーブル1[[#This Row],[幅]]*テーブル1[[#This Row],[長さ]],テーブル1[[#This Row],[幅]]*テーブル1[[#This Row],[長さ]]*$G$8)</f>
        <v>0</v>
      </c>
      <c r="W264" s="25" t="str">
        <f>IF(テーブル1[[#This Row],[幅]]=0,"",テーブル1[[#This Row],[KG合計]]/テーブル1[[#This Row],[SM]]*1000)</f>
        <v/>
      </c>
      <c r="X264" s="25">
        <f>IF(テーブル1[[#This Row],[g/SM]]="",テーブル1[[#This Row],[長さ]]*テーブル1[[#This Row],[g/M]]/1000,テーブル1[[#This Row],[SM]]*テーブル1[[#This Row],[g/SM]]/1000)</f>
        <v>0</v>
      </c>
      <c r="Y264" s="25"/>
      <c r="Z264" s="25">
        <f>SUM(テーブル1[[#This Row],[KG(目付)]:[KG]])</f>
        <v>0</v>
      </c>
      <c r="AA264" s="11"/>
      <c r="AB264" s="11"/>
      <c r="AC264" s="24">
        <f>$G$7*(テーブル1[[#This Row],[金額]]*$G$6)</f>
        <v>0</v>
      </c>
    </row>
    <row r="265" spans="11:29" ht="39.950000000000003" customHeight="1">
      <c r="K265" s="7"/>
      <c r="L265" s="7"/>
      <c r="M265" s="7"/>
      <c r="N265" s="7"/>
      <c r="O265" s="21">
        <f t="shared" si="5"/>
        <v>0</v>
      </c>
      <c r="P265" s="7"/>
      <c r="Q265" s="11"/>
      <c r="R265" s="11"/>
      <c r="S265" s="11"/>
      <c r="T265" s="11"/>
      <c r="U265" s="11"/>
      <c r="V265" s="25">
        <f>IF($G$8="",テーブル1[[#This Row],[幅]]*テーブル1[[#This Row],[長さ]],テーブル1[[#This Row],[幅]]*テーブル1[[#This Row],[長さ]]*$G$8)</f>
        <v>0</v>
      </c>
      <c r="W265" s="25" t="str">
        <f>IF(テーブル1[[#This Row],[幅]]=0,"",テーブル1[[#This Row],[KG合計]]/テーブル1[[#This Row],[SM]]*1000)</f>
        <v/>
      </c>
      <c r="X265" s="25">
        <f>IF(テーブル1[[#This Row],[g/SM]]="",テーブル1[[#This Row],[長さ]]*テーブル1[[#This Row],[g/M]]/1000,テーブル1[[#This Row],[SM]]*テーブル1[[#This Row],[g/SM]]/1000)</f>
        <v>0</v>
      </c>
      <c r="Y265" s="25"/>
      <c r="Z265" s="25">
        <f>SUM(テーブル1[[#This Row],[KG(目付)]:[KG]])</f>
        <v>0</v>
      </c>
      <c r="AA265" s="11"/>
      <c r="AB265" s="11"/>
      <c r="AC265" s="24">
        <f>$G$7*(テーブル1[[#This Row],[金額]]*$G$6)</f>
        <v>0</v>
      </c>
    </row>
    <row r="266" spans="11:29" ht="39.950000000000003" customHeight="1">
      <c r="K266" s="7"/>
      <c r="L266" s="7"/>
      <c r="M266" s="7"/>
      <c r="N266" s="7"/>
      <c r="O266" s="21">
        <f t="shared" si="5"/>
        <v>0</v>
      </c>
      <c r="P266" s="7"/>
      <c r="Q266" s="11"/>
      <c r="R266" s="11"/>
      <c r="S266" s="11"/>
      <c r="T266" s="11"/>
      <c r="U266" s="11"/>
      <c r="V266" s="25">
        <f>IF($G$8="",テーブル1[[#This Row],[幅]]*テーブル1[[#This Row],[長さ]],テーブル1[[#This Row],[幅]]*テーブル1[[#This Row],[長さ]]*$G$8)</f>
        <v>0</v>
      </c>
      <c r="W266" s="25" t="str">
        <f>IF(テーブル1[[#This Row],[幅]]=0,"",テーブル1[[#This Row],[KG合計]]/テーブル1[[#This Row],[SM]]*1000)</f>
        <v/>
      </c>
      <c r="X266" s="25">
        <f>IF(テーブル1[[#This Row],[g/SM]]="",テーブル1[[#This Row],[長さ]]*テーブル1[[#This Row],[g/M]]/1000,テーブル1[[#This Row],[SM]]*テーブル1[[#This Row],[g/SM]]/1000)</f>
        <v>0</v>
      </c>
      <c r="Y266" s="25"/>
      <c r="Z266" s="25">
        <f>SUM(テーブル1[[#This Row],[KG(目付)]:[KG]])</f>
        <v>0</v>
      </c>
      <c r="AA266" s="11"/>
      <c r="AB266" s="11"/>
      <c r="AC266" s="24">
        <f>$G$7*(テーブル1[[#This Row],[金額]]*$G$6)</f>
        <v>0</v>
      </c>
    </row>
    <row r="267" spans="11:29" ht="39.950000000000003" customHeight="1">
      <c r="K267" s="7"/>
      <c r="L267" s="7"/>
      <c r="M267" s="7"/>
      <c r="N267" s="7"/>
      <c r="O267" s="21">
        <f t="shared" si="5"/>
        <v>0</v>
      </c>
      <c r="P267" s="7"/>
      <c r="Q267" s="11"/>
      <c r="R267" s="11"/>
      <c r="S267" s="11"/>
      <c r="T267" s="11"/>
      <c r="U267" s="11"/>
      <c r="V267" s="25">
        <f>IF($G$8="",テーブル1[[#This Row],[幅]]*テーブル1[[#This Row],[長さ]],テーブル1[[#This Row],[幅]]*テーブル1[[#This Row],[長さ]]*$G$8)</f>
        <v>0</v>
      </c>
      <c r="W267" s="25" t="str">
        <f>IF(テーブル1[[#This Row],[幅]]=0,"",テーブル1[[#This Row],[KG合計]]/テーブル1[[#This Row],[SM]]*1000)</f>
        <v/>
      </c>
      <c r="X267" s="25">
        <f>IF(テーブル1[[#This Row],[g/SM]]="",テーブル1[[#This Row],[長さ]]*テーブル1[[#This Row],[g/M]]/1000,テーブル1[[#This Row],[SM]]*テーブル1[[#This Row],[g/SM]]/1000)</f>
        <v>0</v>
      </c>
      <c r="Y267" s="25"/>
      <c r="Z267" s="25">
        <f>SUM(テーブル1[[#This Row],[KG(目付)]:[KG]])</f>
        <v>0</v>
      </c>
      <c r="AA267" s="11"/>
      <c r="AB267" s="11"/>
      <c r="AC267" s="24">
        <f>$G$7*(テーブル1[[#This Row],[金額]]*$G$6)</f>
        <v>0</v>
      </c>
    </row>
    <row r="268" spans="11:29" ht="39.950000000000003" customHeight="1">
      <c r="K268" s="7"/>
      <c r="L268" s="7"/>
      <c r="M268" s="7"/>
      <c r="N268" s="7"/>
      <c r="O268" s="21">
        <f t="shared" si="5"/>
        <v>0</v>
      </c>
      <c r="P268" s="7"/>
      <c r="Q268" s="11"/>
      <c r="R268" s="11"/>
      <c r="S268" s="11"/>
      <c r="T268" s="11"/>
      <c r="U268" s="11"/>
      <c r="V268" s="25">
        <f>IF($G$8="",テーブル1[[#This Row],[幅]]*テーブル1[[#This Row],[長さ]],テーブル1[[#This Row],[幅]]*テーブル1[[#This Row],[長さ]]*$G$8)</f>
        <v>0</v>
      </c>
      <c r="W268" s="25" t="str">
        <f>IF(テーブル1[[#This Row],[幅]]=0,"",テーブル1[[#This Row],[KG合計]]/テーブル1[[#This Row],[SM]]*1000)</f>
        <v/>
      </c>
      <c r="X268" s="25">
        <f>IF(テーブル1[[#This Row],[g/SM]]="",テーブル1[[#This Row],[長さ]]*テーブル1[[#This Row],[g/M]]/1000,テーブル1[[#This Row],[SM]]*テーブル1[[#This Row],[g/SM]]/1000)</f>
        <v>0</v>
      </c>
      <c r="Y268" s="25"/>
      <c r="Z268" s="25">
        <f>SUM(テーブル1[[#This Row],[KG(目付)]:[KG]])</f>
        <v>0</v>
      </c>
      <c r="AA268" s="11"/>
      <c r="AB268" s="11"/>
      <c r="AC268" s="24">
        <f>$G$7*(テーブル1[[#This Row],[金額]]*$G$6)</f>
        <v>0</v>
      </c>
    </row>
    <row r="269" spans="11:29" ht="39.950000000000003" customHeight="1">
      <c r="K269" s="7"/>
      <c r="L269" s="7"/>
      <c r="M269" s="7"/>
      <c r="N269" s="7"/>
      <c r="O269" s="21">
        <f t="shared" si="5"/>
        <v>0</v>
      </c>
      <c r="P269" s="7"/>
      <c r="Q269" s="11"/>
      <c r="R269" s="11"/>
      <c r="S269" s="11"/>
      <c r="T269" s="11"/>
      <c r="U269" s="11"/>
      <c r="V269" s="25">
        <f>IF($G$8="",テーブル1[[#This Row],[幅]]*テーブル1[[#This Row],[長さ]],テーブル1[[#This Row],[幅]]*テーブル1[[#This Row],[長さ]]*$G$8)</f>
        <v>0</v>
      </c>
      <c r="W269" s="25" t="str">
        <f>IF(テーブル1[[#This Row],[幅]]=0,"",テーブル1[[#This Row],[KG合計]]/テーブル1[[#This Row],[SM]]*1000)</f>
        <v/>
      </c>
      <c r="X269" s="25">
        <f>IF(テーブル1[[#This Row],[g/SM]]="",テーブル1[[#This Row],[長さ]]*テーブル1[[#This Row],[g/M]]/1000,テーブル1[[#This Row],[SM]]*テーブル1[[#This Row],[g/SM]]/1000)</f>
        <v>0</v>
      </c>
      <c r="Y269" s="25"/>
      <c r="Z269" s="25">
        <f>SUM(テーブル1[[#This Row],[KG(目付)]:[KG]])</f>
        <v>0</v>
      </c>
      <c r="AA269" s="11"/>
      <c r="AB269" s="11"/>
      <c r="AC269" s="24">
        <f>$G$7*(テーブル1[[#This Row],[金額]]*$G$6)</f>
        <v>0</v>
      </c>
    </row>
    <row r="270" spans="11:29" ht="39.950000000000003" customHeight="1">
      <c r="K270" s="7"/>
      <c r="L270" s="7"/>
      <c r="M270" s="7"/>
      <c r="N270" s="7"/>
      <c r="O270" s="21">
        <f t="shared" si="5"/>
        <v>0</v>
      </c>
      <c r="P270" s="7"/>
      <c r="Q270" s="11"/>
      <c r="R270" s="11"/>
      <c r="S270" s="11"/>
      <c r="T270" s="11"/>
      <c r="U270" s="11"/>
      <c r="V270" s="25">
        <f>IF($G$8="",テーブル1[[#This Row],[幅]]*テーブル1[[#This Row],[長さ]],テーブル1[[#This Row],[幅]]*テーブル1[[#This Row],[長さ]]*$G$8)</f>
        <v>0</v>
      </c>
      <c r="W270" s="25" t="str">
        <f>IF(テーブル1[[#This Row],[幅]]=0,"",テーブル1[[#This Row],[KG合計]]/テーブル1[[#This Row],[SM]]*1000)</f>
        <v/>
      </c>
      <c r="X270" s="25">
        <f>IF(テーブル1[[#This Row],[g/SM]]="",テーブル1[[#This Row],[長さ]]*テーブル1[[#This Row],[g/M]]/1000,テーブル1[[#This Row],[SM]]*テーブル1[[#This Row],[g/SM]]/1000)</f>
        <v>0</v>
      </c>
      <c r="Y270" s="25"/>
      <c r="Z270" s="25">
        <f>SUM(テーブル1[[#This Row],[KG(目付)]:[KG]])</f>
        <v>0</v>
      </c>
      <c r="AA270" s="11"/>
      <c r="AB270" s="11"/>
      <c r="AC270" s="24">
        <f>$G$7*(テーブル1[[#This Row],[金額]]*$G$6)</f>
        <v>0</v>
      </c>
    </row>
    <row r="271" spans="11:29" ht="39.950000000000003" customHeight="1">
      <c r="K271" s="7"/>
      <c r="L271" s="7"/>
      <c r="M271" s="7"/>
      <c r="N271" s="7"/>
      <c r="O271" s="21">
        <f t="shared" si="5"/>
        <v>0</v>
      </c>
      <c r="P271" s="7"/>
      <c r="Q271" s="11"/>
      <c r="R271" s="11"/>
      <c r="S271" s="11"/>
      <c r="T271" s="11"/>
      <c r="U271" s="11"/>
      <c r="V271" s="25">
        <f>IF($G$8="",テーブル1[[#This Row],[幅]]*テーブル1[[#This Row],[長さ]],テーブル1[[#This Row],[幅]]*テーブル1[[#This Row],[長さ]]*$G$8)</f>
        <v>0</v>
      </c>
      <c r="W271" s="25" t="str">
        <f>IF(テーブル1[[#This Row],[幅]]=0,"",テーブル1[[#This Row],[KG合計]]/テーブル1[[#This Row],[SM]]*1000)</f>
        <v/>
      </c>
      <c r="X271" s="25">
        <f>IF(テーブル1[[#This Row],[g/SM]]="",テーブル1[[#This Row],[長さ]]*テーブル1[[#This Row],[g/M]]/1000,テーブル1[[#This Row],[SM]]*テーブル1[[#This Row],[g/SM]]/1000)</f>
        <v>0</v>
      </c>
      <c r="Y271" s="25"/>
      <c r="Z271" s="25">
        <f>SUM(テーブル1[[#This Row],[KG(目付)]:[KG]])</f>
        <v>0</v>
      </c>
      <c r="AA271" s="11"/>
      <c r="AB271" s="11"/>
      <c r="AC271" s="24">
        <f>$G$7*(テーブル1[[#This Row],[金額]]*$G$6)</f>
        <v>0</v>
      </c>
    </row>
    <row r="272" spans="11:29" ht="39.950000000000003" customHeight="1">
      <c r="K272" s="7"/>
      <c r="L272" s="7"/>
      <c r="M272" s="7"/>
      <c r="N272" s="7"/>
      <c r="O272" s="21">
        <f t="shared" si="5"/>
        <v>0</v>
      </c>
      <c r="P272" s="7"/>
      <c r="Q272" s="11"/>
      <c r="R272" s="11"/>
      <c r="S272" s="11"/>
      <c r="T272" s="11"/>
      <c r="U272" s="11"/>
      <c r="V272" s="25">
        <f>IF($G$8="",テーブル1[[#This Row],[幅]]*テーブル1[[#This Row],[長さ]],テーブル1[[#This Row],[幅]]*テーブル1[[#This Row],[長さ]]*$G$8)</f>
        <v>0</v>
      </c>
      <c r="W272" s="25" t="str">
        <f>IF(テーブル1[[#This Row],[幅]]=0,"",テーブル1[[#This Row],[KG合計]]/テーブル1[[#This Row],[SM]]*1000)</f>
        <v/>
      </c>
      <c r="X272" s="25">
        <f>IF(テーブル1[[#This Row],[g/SM]]="",テーブル1[[#This Row],[長さ]]*テーブル1[[#This Row],[g/M]]/1000,テーブル1[[#This Row],[SM]]*テーブル1[[#This Row],[g/SM]]/1000)</f>
        <v>0</v>
      </c>
      <c r="Y272" s="25"/>
      <c r="Z272" s="25">
        <f>SUM(テーブル1[[#This Row],[KG(目付)]:[KG]])</f>
        <v>0</v>
      </c>
      <c r="AA272" s="11"/>
      <c r="AB272" s="11"/>
      <c r="AC272" s="24">
        <f>$G$7*(テーブル1[[#This Row],[金額]]*$G$6)</f>
        <v>0</v>
      </c>
    </row>
    <row r="273" spans="11:29" ht="39.950000000000003" customHeight="1">
      <c r="K273" s="7"/>
      <c r="L273" s="7"/>
      <c r="M273" s="7"/>
      <c r="N273" s="7"/>
      <c r="O273" s="21">
        <f t="shared" si="5"/>
        <v>0</v>
      </c>
      <c r="P273" s="7"/>
      <c r="Q273" s="11"/>
      <c r="R273" s="11"/>
      <c r="S273" s="11"/>
      <c r="T273" s="11"/>
      <c r="U273" s="11"/>
      <c r="V273" s="25">
        <f>IF($G$8="",テーブル1[[#This Row],[幅]]*テーブル1[[#This Row],[長さ]],テーブル1[[#This Row],[幅]]*テーブル1[[#This Row],[長さ]]*$G$8)</f>
        <v>0</v>
      </c>
      <c r="W273" s="25" t="str">
        <f>IF(テーブル1[[#This Row],[幅]]=0,"",テーブル1[[#This Row],[KG合計]]/テーブル1[[#This Row],[SM]]*1000)</f>
        <v/>
      </c>
      <c r="X273" s="25">
        <f>IF(テーブル1[[#This Row],[g/SM]]="",テーブル1[[#This Row],[長さ]]*テーブル1[[#This Row],[g/M]]/1000,テーブル1[[#This Row],[SM]]*テーブル1[[#This Row],[g/SM]]/1000)</f>
        <v>0</v>
      </c>
      <c r="Y273" s="25"/>
      <c r="Z273" s="25">
        <f>SUM(テーブル1[[#This Row],[KG(目付)]:[KG]])</f>
        <v>0</v>
      </c>
      <c r="AA273" s="11"/>
      <c r="AB273" s="11"/>
      <c r="AC273" s="24">
        <f>$G$7*(テーブル1[[#This Row],[金額]]*$G$6)</f>
        <v>0</v>
      </c>
    </row>
    <row r="274" spans="11:29" ht="39.950000000000003" customHeight="1">
      <c r="K274" s="7"/>
      <c r="L274" s="7"/>
      <c r="M274" s="7"/>
      <c r="N274" s="7"/>
      <c r="O274" s="21">
        <f t="shared" si="5"/>
        <v>0</v>
      </c>
      <c r="P274" s="7"/>
      <c r="Q274" s="11"/>
      <c r="R274" s="11"/>
      <c r="S274" s="11"/>
      <c r="T274" s="11"/>
      <c r="U274" s="11"/>
      <c r="V274" s="25">
        <f>IF($G$8="",テーブル1[[#This Row],[幅]]*テーブル1[[#This Row],[長さ]],テーブル1[[#This Row],[幅]]*テーブル1[[#This Row],[長さ]]*$G$8)</f>
        <v>0</v>
      </c>
      <c r="W274" s="25" t="str">
        <f>IF(テーブル1[[#This Row],[幅]]=0,"",テーブル1[[#This Row],[KG合計]]/テーブル1[[#This Row],[SM]]*1000)</f>
        <v/>
      </c>
      <c r="X274" s="25">
        <f>IF(テーブル1[[#This Row],[g/SM]]="",テーブル1[[#This Row],[長さ]]*テーブル1[[#This Row],[g/M]]/1000,テーブル1[[#This Row],[SM]]*テーブル1[[#This Row],[g/SM]]/1000)</f>
        <v>0</v>
      </c>
      <c r="Y274" s="25"/>
      <c r="Z274" s="25">
        <f>SUM(テーブル1[[#This Row],[KG(目付)]:[KG]])</f>
        <v>0</v>
      </c>
      <c r="AA274" s="11"/>
      <c r="AB274" s="11"/>
      <c r="AC274" s="24">
        <f>$G$7*(テーブル1[[#This Row],[金額]]*$G$6)</f>
        <v>0</v>
      </c>
    </row>
    <row r="275" spans="11:29" ht="39.950000000000003" customHeight="1">
      <c r="K275" s="7"/>
      <c r="L275" s="7"/>
      <c r="M275" s="7"/>
      <c r="N275" s="7"/>
      <c r="O275" s="21">
        <f t="shared" ref="O275:O306" si="6">IF(LEN(N275)=10,RIGHT(N275,1),IFERROR(N275-(INT(N275/7)*7),RIGHT(N275,1)))</f>
        <v>0</v>
      </c>
      <c r="P275" s="7"/>
      <c r="Q275" s="11"/>
      <c r="R275" s="11"/>
      <c r="S275" s="11"/>
      <c r="T275" s="11"/>
      <c r="U275" s="11"/>
      <c r="V275" s="25">
        <f>IF($G$8="",テーブル1[[#This Row],[幅]]*テーブル1[[#This Row],[長さ]],テーブル1[[#This Row],[幅]]*テーブル1[[#This Row],[長さ]]*$G$8)</f>
        <v>0</v>
      </c>
      <c r="W275" s="25" t="str">
        <f>IF(テーブル1[[#This Row],[幅]]=0,"",テーブル1[[#This Row],[KG合計]]/テーブル1[[#This Row],[SM]]*1000)</f>
        <v/>
      </c>
      <c r="X275" s="25">
        <f>IF(テーブル1[[#This Row],[g/SM]]="",テーブル1[[#This Row],[長さ]]*テーブル1[[#This Row],[g/M]]/1000,テーブル1[[#This Row],[SM]]*テーブル1[[#This Row],[g/SM]]/1000)</f>
        <v>0</v>
      </c>
      <c r="Y275" s="25"/>
      <c r="Z275" s="25">
        <f>SUM(テーブル1[[#This Row],[KG(目付)]:[KG]])</f>
        <v>0</v>
      </c>
      <c r="AA275" s="11"/>
      <c r="AB275" s="11"/>
      <c r="AC275" s="24">
        <f>$G$7*(テーブル1[[#This Row],[金額]]*$G$6)</f>
        <v>0</v>
      </c>
    </row>
    <row r="276" spans="11:29" ht="39.950000000000003" customHeight="1">
      <c r="K276" s="7"/>
      <c r="L276" s="7"/>
      <c r="M276" s="7"/>
      <c r="N276" s="7"/>
      <c r="O276" s="21">
        <f t="shared" si="6"/>
        <v>0</v>
      </c>
      <c r="P276" s="7"/>
      <c r="Q276" s="11"/>
      <c r="R276" s="11"/>
      <c r="S276" s="11"/>
      <c r="T276" s="11"/>
      <c r="U276" s="11"/>
      <c r="V276" s="25">
        <f>IF($G$8="",テーブル1[[#This Row],[幅]]*テーブル1[[#This Row],[長さ]],テーブル1[[#This Row],[幅]]*テーブル1[[#This Row],[長さ]]*$G$8)</f>
        <v>0</v>
      </c>
      <c r="W276" s="25" t="str">
        <f>IF(テーブル1[[#This Row],[幅]]=0,"",テーブル1[[#This Row],[KG合計]]/テーブル1[[#This Row],[SM]]*1000)</f>
        <v/>
      </c>
      <c r="X276" s="25">
        <f>IF(テーブル1[[#This Row],[g/SM]]="",テーブル1[[#This Row],[長さ]]*テーブル1[[#This Row],[g/M]]/1000,テーブル1[[#This Row],[SM]]*テーブル1[[#This Row],[g/SM]]/1000)</f>
        <v>0</v>
      </c>
      <c r="Y276" s="25"/>
      <c r="Z276" s="25">
        <f>SUM(テーブル1[[#This Row],[KG(目付)]:[KG]])</f>
        <v>0</v>
      </c>
      <c r="AA276" s="11"/>
      <c r="AB276" s="11"/>
      <c r="AC276" s="24">
        <f>$G$7*(テーブル1[[#This Row],[金額]]*$G$6)</f>
        <v>0</v>
      </c>
    </row>
    <row r="277" spans="11:29" ht="39.950000000000003" customHeight="1">
      <c r="K277" s="7"/>
      <c r="L277" s="7"/>
      <c r="M277" s="7"/>
      <c r="N277" s="7"/>
      <c r="O277" s="21">
        <f t="shared" si="6"/>
        <v>0</v>
      </c>
      <c r="P277" s="7"/>
      <c r="Q277" s="11"/>
      <c r="R277" s="11"/>
      <c r="S277" s="11"/>
      <c r="T277" s="11"/>
      <c r="U277" s="11"/>
      <c r="V277" s="25">
        <f>IF($G$8="",テーブル1[[#This Row],[幅]]*テーブル1[[#This Row],[長さ]],テーブル1[[#This Row],[幅]]*テーブル1[[#This Row],[長さ]]*$G$8)</f>
        <v>0</v>
      </c>
      <c r="W277" s="25" t="str">
        <f>IF(テーブル1[[#This Row],[幅]]=0,"",テーブル1[[#This Row],[KG合計]]/テーブル1[[#This Row],[SM]]*1000)</f>
        <v/>
      </c>
      <c r="X277" s="25">
        <f>IF(テーブル1[[#This Row],[g/SM]]="",テーブル1[[#This Row],[長さ]]*テーブル1[[#This Row],[g/M]]/1000,テーブル1[[#This Row],[SM]]*テーブル1[[#This Row],[g/SM]]/1000)</f>
        <v>0</v>
      </c>
      <c r="Y277" s="25"/>
      <c r="Z277" s="25">
        <f>SUM(テーブル1[[#This Row],[KG(目付)]:[KG]])</f>
        <v>0</v>
      </c>
      <c r="AA277" s="11"/>
      <c r="AB277" s="11"/>
      <c r="AC277" s="24">
        <f>$G$7*(テーブル1[[#This Row],[金額]]*$G$6)</f>
        <v>0</v>
      </c>
    </row>
    <row r="278" spans="11:29" ht="39.950000000000003" customHeight="1">
      <c r="K278" s="7"/>
      <c r="L278" s="7"/>
      <c r="M278" s="7"/>
      <c r="N278" s="7"/>
      <c r="O278" s="21">
        <f t="shared" si="6"/>
        <v>0</v>
      </c>
      <c r="P278" s="7"/>
      <c r="Q278" s="11"/>
      <c r="R278" s="11"/>
      <c r="S278" s="11"/>
      <c r="T278" s="11"/>
      <c r="U278" s="11"/>
      <c r="V278" s="25">
        <f>IF($G$8="",テーブル1[[#This Row],[幅]]*テーブル1[[#This Row],[長さ]],テーブル1[[#This Row],[幅]]*テーブル1[[#This Row],[長さ]]*$G$8)</f>
        <v>0</v>
      </c>
      <c r="W278" s="25" t="str">
        <f>IF(テーブル1[[#This Row],[幅]]=0,"",テーブル1[[#This Row],[KG合計]]/テーブル1[[#This Row],[SM]]*1000)</f>
        <v/>
      </c>
      <c r="X278" s="25">
        <f>IF(テーブル1[[#This Row],[g/SM]]="",テーブル1[[#This Row],[長さ]]*テーブル1[[#This Row],[g/M]]/1000,テーブル1[[#This Row],[SM]]*テーブル1[[#This Row],[g/SM]]/1000)</f>
        <v>0</v>
      </c>
      <c r="Y278" s="25"/>
      <c r="Z278" s="25">
        <f>SUM(テーブル1[[#This Row],[KG(目付)]:[KG]])</f>
        <v>0</v>
      </c>
      <c r="AA278" s="11"/>
      <c r="AB278" s="11"/>
      <c r="AC278" s="24">
        <f>$G$7*(テーブル1[[#This Row],[金額]]*$G$6)</f>
        <v>0</v>
      </c>
    </row>
    <row r="279" spans="11:29" ht="39.950000000000003" customHeight="1">
      <c r="K279" s="7"/>
      <c r="L279" s="7"/>
      <c r="M279" s="7"/>
      <c r="N279" s="7"/>
      <c r="O279" s="21">
        <f t="shared" si="6"/>
        <v>0</v>
      </c>
      <c r="P279" s="7"/>
      <c r="Q279" s="11"/>
      <c r="R279" s="11"/>
      <c r="S279" s="11"/>
      <c r="T279" s="11"/>
      <c r="U279" s="11"/>
      <c r="V279" s="25">
        <f>IF($G$8="",テーブル1[[#This Row],[幅]]*テーブル1[[#This Row],[長さ]],テーブル1[[#This Row],[幅]]*テーブル1[[#This Row],[長さ]]*$G$8)</f>
        <v>0</v>
      </c>
      <c r="W279" s="25" t="str">
        <f>IF(テーブル1[[#This Row],[幅]]=0,"",テーブル1[[#This Row],[KG合計]]/テーブル1[[#This Row],[SM]]*1000)</f>
        <v/>
      </c>
      <c r="X279" s="25">
        <f>IF(テーブル1[[#This Row],[g/SM]]="",テーブル1[[#This Row],[長さ]]*テーブル1[[#This Row],[g/M]]/1000,テーブル1[[#This Row],[SM]]*テーブル1[[#This Row],[g/SM]]/1000)</f>
        <v>0</v>
      </c>
      <c r="Y279" s="25"/>
      <c r="Z279" s="25">
        <f>SUM(テーブル1[[#This Row],[KG(目付)]:[KG]])</f>
        <v>0</v>
      </c>
      <c r="AA279" s="11"/>
      <c r="AB279" s="11"/>
      <c r="AC279" s="24">
        <f>$G$7*(テーブル1[[#This Row],[金額]]*$G$6)</f>
        <v>0</v>
      </c>
    </row>
    <row r="280" spans="11:29" ht="39.950000000000003" customHeight="1">
      <c r="K280" s="7"/>
      <c r="L280" s="7"/>
      <c r="M280" s="7"/>
      <c r="N280" s="7"/>
      <c r="O280" s="21">
        <f t="shared" si="6"/>
        <v>0</v>
      </c>
      <c r="P280" s="7"/>
      <c r="Q280" s="11"/>
      <c r="R280" s="11"/>
      <c r="S280" s="11"/>
      <c r="T280" s="11"/>
      <c r="U280" s="11"/>
      <c r="V280" s="25">
        <f>IF($G$8="",テーブル1[[#This Row],[幅]]*テーブル1[[#This Row],[長さ]],テーブル1[[#This Row],[幅]]*テーブル1[[#This Row],[長さ]]*$G$8)</f>
        <v>0</v>
      </c>
      <c r="W280" s="25" t="str">
        <f>IF(テーブル1[[#This Row],[幅]]=0,"",テーブル1[[#This Row],[KG合計]]/テーブル1[[#This Row],[SM]]*1000)</f>
        <v/>
      </c>
      <c r="X280" s="25">
        <f>IF(テーブル1[[#This Row],[g/SM]]="",テーブル1[[#This Row],[長さ]]*テーブル1[[#This Row],[g/M]]/1000,テーブル1[[#This Row],[SM]]*テーブル1[[#This Row],[g/SM]]/1000)</f>
        <v>0</v>
      </c>
      <c r="Y280" s="25"/>
      <c r="Z280" s="25">
        <f>SUM(テーブル1[[#This Row],[KG(目付)]:[KG]])</f>
        <v>0</v>
      </c>
      <c r="AA280" s="11"/>
      <c r="AB280" s="11"/>
      <c r="AC280" s="24">
        <f>$G$7*(テーブル1[[#This Row],[金額]]*$G$6)</f>
        <v>0</v>
      </c>
    </row>
    <row r="281" spans="11:29" ht="39.950000000000003" customHeight="1">
      <c r="K281" s="7"/>
      <c r="L281" s="7"/>
      <c r="M281" s="7"/>
      <c r="N281" s="7"/>
      <c r="O281" s="21">
        <f t="shared" si="6"/>
        <v>0</v>
      </c>
      <c r="P281" s="7"/>
      <c r="Q281" s="11"/>
      <c r="R281" s="11"/>
      <c r="S281" s="11"/>
      <c r="T281" s="11"/>
      <c r="U281" s="11"/>
      <c r="V281" s="25">
        <f>IF($G$8="",テーブル1[[#This Row],[幅]]*テーブル1[[#This Row],[長さ]],テーブル1[[#This Row],[幅]]*テーブル1[[#This Row],[長さ]]*$G$8)</f>
        <v>0</v>
      </c>
      <c r="W281" s="25" t="str">
        <f>IF(テーブル1[[#This Row],[幅]]=0,"",テーブル1[[#This Row],[KG合計]]/テーブル1[[#This Row],[SM]]*1000)</f>
        <v/>
      </c>
      <c r="X281" s="25">
        <f>IF(テーブル1[[#This Row],[g/SM]]="",テーブル1[[#This Row],[長さ]]*テーブル1[[#This Row],[g/M]]/1000,テーブル1[[#This Row],[SM]]*テーブル1[[#This Row],[g/SM]]/1000)</f>
        <v>0</v>
      </c>
      <c r="Y281" s="25"/>
      <c r="Z281" s="25">
        <f>SUM(テーブル1[[#This Row],[KG(目付)]:[KG]])</f>
        <v>0</v>
      </c>
      <c r="AA281" s="11"/>
      <c r="AB281" s="11"/>
      <c r="AC281" s="24">
        <f>$G$7*(テーブル1[[#This Row],[金額]]*$G$6)</f>
        <v>0</v>
      </c>
    </row>
    <row r="282" spans="11:29" ht="39.950000000000003" customHeight="1">
      <c r="K282" s="7"/>
      <c r="L282" s="7"/>
      <c r="M282" s="7"/>
      <c r="N282" s="7"/>
      <c r="O282" s="21">
        <f t="shared" si="6"/>
        <v>0</v>
      </c>
      <c r="P282" s="7"/>
      <c r="Q282" s="11"/>
      <c r="R282" s="11"/>
      <c r="S282" s="11"/>
      <c r="T282" s="11"/>
      <c r="U282" s="11"/>
      <c r="V282" s="25">
        <f>IF($G$8="",テーブル1[[#This Row],[幅]]*テーブル1[[#This Row],[長さ]],テーブル1[[#This Row],[幅]]*テーブル1[[#This Row],[長さ]]*$G$8)</f>
        <v>0</v>
      </c>
      <c r="W282" s="25" t="str">
        <f>IF(テーブル1[[#This Row],[幅]]=0,"",テーブル1[[#This Row],[KG合計]]/テーブル1[[#This Row],[SM]]*1000)</f>
        <v/>
      </c>
      <c r="X282" s="25">
        <f>IF(テーブル1[[#This Row],[g/SM]]="",テーブル1[[#This Row],[長さ]]*テーブル1[[#This Row],[g/M]]/1000,テーブル1[[#This Row],[SM]]*テーブル1[[#This Row],[g/SM]]/1000)</f>
        <v>0</v>
      </c>
      <c r="Y282" s="25"/>
      <c r="Z282" s="25">
        <f>SUM(テーブル1[[#This Row],[KG(目付)]:[KG]])</f>
        <v>0</v>
      </c>
      <c r="AA282" s="11"/>
      <c r="AB282" s="11"/>
      <c r="AC282" s="24">
        <f>$G$7*(テーブル1[[#This Row],[金額]]*$G$6)</f>
        <v>0</v>
      </c>
    </row>
    <row r="283" spans="11:29" ht="39.950000000000003" customHeight="1">
      <c r="K283" s="7"/>
      <c r="L283" s="7"/>
      <c r="M283" s="7"/>
      <c r="N283" s="7"/>
      <c r="O283" s="21">
        <f t="shared" si="6"/>
        <v>0</v>
      </c>
      <c r="P283" s="7"/>
      <c r="Q283" s="11"/>
      <c r="R283" s="11"/>
      <c r="S283" s="11"/>
      <c r="T283" s="11"/>
      <c r="U283" s="11"/>
      <c r="V283" s="25">
        <f>IF($G$8="",テーブル1[[#This Row],[幅]]*テーブル1[[#This Row],[長さ]],テーブル1[[#This Row],[幅]]*テーブル1[[#This Row],[長さ]]*$G$8)</f>
        <v>0</v>
      </c>
      <c r="W283" s="25" t="str">
        <f>IF(テーブル1[[#This Row],[幅]]=0,"",テーブル1[[#This Row],[KG合計]]/テーブル1[[#This Row],[SM]]*1000)</f>
        <v/>
      </c>
      <c r="X283" s="25">
        <f>IF(テーブル1[[#This Row],[g/SM]]="",テーブル1[[#This Row],[長さ]]*テーブル1[[#This Row],[g/M]]/1000,テーブル1[[#This Row],[SM]]*テーブル1[[#This Row],[g/SM]]/1000)</f>
        <v>0</v>
      </c>
      <c r="Y283" s="25"/>
      <c r="Z283" s="25">
        <f>SUM(テーブル1[[#This Row],[KG(目付)]:[KG]])</f>
        <v>0</v>
      </c>
      <c r="AA283" s="11"/>
      <c r="AB283" s="11"/>
      <c r="AC283" s="24">
        <f>$G$7*(テーブル1[[#This Row],[金額]]*$G$6)</f>
        <v>0</v>
      </c>
    </row>
    <row r="284" spans="11:29" ht="39.950000000000003" customHeight="1">
      <c r="K284" s="7"/>
      <c r="L284" s="7"/>
      <c r="M284" s="7"/>
      <c r="N284" s="7"/>
      <c r="O284" s="21">
        <f t="shared" si="6"/>
        <v>0</v>
      </c>
      <c r="P284" s="7"/>
      <c r="Q284" s="11"/>
      <c r="R284" s="11"/>
      <c r="S284" s="11"/>
      <c r="T284" s="11"/>
      <c r="U284" s="11"/>
      <c r="V284" s="25">
        <f>IF($G$8="",テーブル1[[#This Row],[幅]]*テーブル1[[#This Row],[長さ]],テーブル1[[#This Row],[幅]]*テーブル1[[#This Row],[長さ]]*$G$8)</f>
        <v>0</v>
      </c>
      <c r="W284" s="25" t="str">
        <f>IF(テーブル1[[#This Row],[幅]]=0,"",テーブル1[[#This Row],[KG合計]]/テーブル1[[#This Row],[SM]]*1000)</f>
        <v/>
      </c>
      <c r="X284" s="25">
        <f>IF(テーブル1[[#This Row],[g/SM]]="",テーブル1[[#This Row],[長さ]]*テーブル1[[#This Row],[g/M]]/1000,テーブル1[[#This Row],[SM]]*テーブル1[[#This Row],[g/SM]]/1000)</f>
        <v>0</v>
      </c>
      <c r="Y284" s="25"/>
      <c r="Z284" s="25">
        <f>SUM(テーブル1[[#This Row],[KG(目付)]:[KG]])</f>
        <v>0</v>
      </c>
      <c r="AA284" s="11"/>
      <c r="AB284" s="11"/>
      <c r="AC284" s="24">
        <f>$G$7*(テーブル1[[#This Row],[金額]]*$G$6)</f>
        <v>0</v>
      </c>
    </row>
    <row r="285" spans="11:29" ht="39.950000000000003" customHeight="1">
      <c r="K285" s="7"/>
      <c r="L285" s="7"/>
      <c r="M285" s="7"/>
      <c r="N285" s="7"/>
      <c r="O285" s="21">
        <f t="shared" si="6"/>
        <v>0</v>
      </c>
      <c r="P285" s="7"/>
      <c r="Q285" s="11"/>
      <c r="R285" s="11"/>
      <c r="S285" s="11"/>
      <c r="T285" s="11"/>
      <c r="U285" s="11"/>
      <c r="V285" s="25">
        <f>IF($G$8="",テーブル1[[#This Row],[幅]]*テーブル1[[#This Row],[長さ]],テーブル1[[#This Row],[幅]]*テーブル1[[#This Row],[長さ]]*$G$8)</f>
        <v>0</v>
      </c>
      <c r="W285" s="25" t="str">
        <f>IF(テーブル1[[#This Row],[幅]]=0,"",テーブル1[[#This Row],[KG合計]]/テーブル1[[#This Row],[SM]]*1000)</f>
        <v/>
      </c>
      <c r="X285" s="25">
        <f>IF(テーブル1[[#This Row],[g/SM]]="",テーブル1[[#This Row],[長さ]]*テーブル1[[#This Row],[g/M]]/1000,テーブル1[[#This Row],[SM]]*テーブル1[[#This Row],[g/SM]]/1000)</f>
        <v>0</v>
      </c>
      <c r="Y285" s="25"/>
      <c r="Z285" s="25">
        <f>SUM(テーブル1[[#This Row],[KG(目付)]:[KG]])</f>
        <v>0</v>
      </c>
      <c r="AA285" s="11"/>
      <c r="AB285" s="11"/>
      <c r="AC285" s="24">
        <f>$G$7*(テーブル1[[#This Row],[金額]]*$G$6)</f>
        <v>0</v>
      </c>
    </row>
    <row r="286" spans="11:29" ht="39.950000000000003" customHeight="1">
      <c r="K286" s="7"/>
      <c r="L286" s="7"/>
      <c r="M286" s="7"/>
      <c r="N286" s="7"/>
      <c r="O286" s="21">
        <f t="shared" si="6"/>
        <v>0</v>
      </c>
      <c r="P286" s="7"/>
      <c r="Q286" s="11"/>
      <c r="R286" s="11"/>
      <c r="S286" s="11"/>
      <c r="T286" s="11"/>
      <c r="U286" s="11"/>
      <c r="V286" s="25">
        <f>IF($G$8="",テーブル1[[#This Row],[幅]]*テーブル1[[#This Row],[長さ]],テーブル1[[#This Row],[幅]]*テーブル1[[#This Row],[長さ]]*$G$8)</f>
        <v>0</v>
      </c>
      <c r="W286" s="25" t="str">
        <f>IF(テーブル1[[#This Row],[幅]]=0,"",テーブル1[[#This Row],[KG合計]]/テーブル1[[#This Row],[SM]]*1000)</f>
        <v/>
      </c>
      <c r="X286" s="25">
        <f>IF(テーブル1[[#This Row],[g/SM]]="",テーブル1[[#This Row],[長さ]]*テーブル1[[#This Row],[g/M]]/1000,テーブル1[[#This Row],[SM]]*テーブル1[[#This Row],[g/SM]]/1000)</f>
        <v>0</v>
      </c>
      <c r="Y286" s="25"/>
      <c r="Z286" s="25">
        <f>SUM(テーブル1[[#This Row],[KG(目付)]:[KG]])</f>
        <v>0</v>
      </c>
      <c r="AA286" s="11"/>
      <c r="AB286" s="11"/>
      <c r="AC286" s="24">
        <f>$G$7*(テーブル1[[#This Row],[金額]]*$G$6)</f>
        <v>0</v>
      </c>
    </row>
    <row r="287" spans="11:29" ht="39.950000000000003" customHeight="1">
      <c r="K287" s="7"/>
      <c r="L287" s="7"/>
      <c r="M287" s="7"/>
      <c r="N287" s="7"/>
      <c r="O287" s="21">
        <f t="shared" si="6"/>
        <v>0</v>
      </c>
      <c r="P287" s="7"/>
      <c r="Q287" s="11"/>
      <c r="R287" s="11"/>
      <c r="S287" s="11"/>
      <c r="T287" s="11"/>
      <c r="U287" s="11"/>
      <c r="V287" s="25">
        <f>IF($G$8="",テーブル1[[#This Row],[幅]]*テーブル1[[#This Row],[長さ]],テーブル1[[#This Row],[幅]]*テーブル1[[#This Row],[長さ]]*$G$8)</f>
        <v>0</v>
      </c>
      <c r="W287" s="25" t="str">
        <f>IF(テーブル1[[#This Row],[幅]]=0,"",テーブル1[[#This Row],[KG合計]]/テーブル1[[#This Row],[SM]]*1000)</f>
        <v/>
      </c>
      <c r="X287" s="25">
        <f>IF(テーブル1[[#This Row],[g/SM]]="",テーブル1[[#This Row],[長さ]]*テーブル1[[#This Row],[g/M]]/1000,テーブル1[[#This Row],[SM]]*テーブル1[[#This Row],[g/SM]]/1000)</f>
        <v>0</v>
      </c>
      <c r="Y287" s="25"/>
      <c r="Z287" s="25">
        <f>SUM(テーブル1[[#This Row],[KG(目付)]:[KG]])</f>
        <v>0</v>
      </c>
      <c r="AA287" s="11"/>
      <c r="AB287" s="11"/>
      <c r="AC287" s="24">
        <f>$G$7*(テーブル1[[#This Row],[金額]]*$G$6)</f>
        <v>0</v>
      </c>
    </row>
    <row r="288" spans="11:29" ht="39.950000000000003" customHeight="1">
      <c r="K288" s="7"/>
      <c r="L288" s="7"/>
      <c r="M288" s="7"/>
      <c r="N288" s="7"/>
      <c r="O288" s="21">
        <f t="shared" si="6"/>
        <v>0</v>
      </c>
      <c r="P288" s="7"/>
      <c r="Q288" s="11"/>
      <c r="R288" s="11"/>
      <c r="S288" s="11"/>
      <c r="T288" s="11"/>
      <c r="U288" s="11"/>
      <c r="V288" s="25">
        <f>IF($G$8="",テーブル1[[#This Row],[幅]]*テーブル1[[#This Row],[長さ]],テーブル1[[#This Row],[幅]]*テーブル1[[#This Row],[長さ]]*$G$8)</f>
        <v>0</v>
      </c>
      <c r="W288" s="25" t="str">
        <f>IF(テーブル1[[#This Row],[幅]]=0,"",テーブル1[[#This Row],[KG合計]]/テーブル1[[#This Row],[SM]]*1000)</f>
        <v/>
      </c>
      <c r="X288" s="25">
        <f>IF(テーブル1[[#This Row],[g/SM]]="",テーブル1[[#This Row],[長さ]]*テーブル1[[#This Row],[g/M]]/1000,テーブル1[[#This Row],[SM]]*テーブル1[[#This Row],[g/SM]]/1000)</f>
        <v>0</v>
      </c>
      <c r="Y288" s="25"/>
      <c r="Z288" s="25">
        <f>SUM(テーブル1[[#This Row],[KG(目付)]:[KG]])</f>
        <v>0</v>
      </c>
      <c r="AA288" s="11"/>
      <c r="AB288" s="11"/>
      <c r="AC288" s="24">
        <f>$G$7*(テーブル1[[#This Row],[金額]]*$G$6)</f>
        <v>0</v>
      </c>
    </row>
    <row r="289" spans="11:29" ht="39.950000000000003" customHeight="1">
      <c r="K289" s="7"/>
      <c r="L289" s="7"/>
      <c r="M289" s="7"/>
      <c r="N289" s="7"/>
      <c r="O289" s="21">
        <f t="shared" si="6"/>
        <v>0</v>
      </c>
      <c r="P289" s="7"/>
      <c r="Q289" s="11"/>
      <c r="R289" s="11"/>
      <c r="S289" s="11"/>
      <c r="T289" s="11"/>
      <c r="U289" s="11"/>
      <c r="V289" s="25">
        <f>IF($G$8="",テーブル1[[#This Row],[幅]]*テーブル1[[#This Row],[長さ]],テーブル1[[#This Row],[幅]]*テーブル1[[#This Row],[長さ]]*$G$8)</f>
        <v>0</v>
      </c>
      <c r="W289" s="25" t="str">
        <f>IF(テーブル1[[#This Row],[幅]]=0,"",テーブル1[[#This Row],[KG合計]]/テーブル1[[#This Row],[SM]]*1000)</f>
        <v/>
      </c>
      <c r="X289" s="25">
        <f>IF(テーブル1[[#This Row],[g/SM]]="",テーブル1[[#This Row],[長さ]]*テーブル1[[#This Row],[g/M]]/1000,テーブル1[[#This Row],[SM]]*テーブル1[[#This Row],[g/SM]]/1000)</f>
        <v>0</v>
      </c>
      <c r="Y289" s="25"/>
      <c r="Z289" s="25">
        <f>SUM(テーブル1[[#This Row],[KG(目付)]:[KG]])</f>
        <v>0</v>
      </c>
      <c r="AA289" s="11"/>
      <c r="AB289" s="11"/>
      <c r="AC289" s="24">
        <f>$G$7*(テーブル1[[#This Row],[金額]]*$G$6)</f>
        <v>0</v>
      </c>
    </row>
    <row r="290" spans="11:29" ht="39.950000000000003" customHeight="1">
      <c r="K290" s="7"/>
      <c r="L290" s="7"/>
      <c r="M290" s="7"/>
      <c r="N290" s="7"/>
      <c r="O290" s="21">
        <f t="shared" si="6"/>
        <v>0</v>
      </c>
      <c r="P290" s="7"/>
      <c r="Q290" s="11"/>
      <c r="R290" s="11"/>
      <c r="S290" s="11"/>
      <c r="T290" s="11"/>
      <c r="U290" s="11"/>
      <c r="V290" s="25">
        <f>IF($G$8="",テーブル1[[#This Row],[幅]]*テーブル1[[#This Row],[長さ]],テーブル1[[#This Row],[幅]]*テーブル1[[#This Row],[長さ]]*$G$8)</f>
        <v>0</v>
      </c>
      <c r="W290" s="25" t="str">
        <f>IF(テーブル1[[#This Row],[幅]]=0,"",テーブル1[[#This Row],[KG合計]]/テーブル1[[#This Row],[SM]]*1000)</f>
        <v/>
      </c>
      <c r="X290" s="25">
        <f>IF(テーブル1[[#This Row],[g/SM]]="",テーブル1[[#This Row],[長さ]]*テーブル1[[#This Row],[g/M]]/1000,テーブル1[[#This Row],[SM]]*テーブル1[[#This Row],[g/SM]]/1000)</f>
        <v>0</v>
      </c>
      <c r="Y290" s="25"/>
      <c r="Z290" s="25">
        <f>SUM(テーブル1[[#This Row],[KG(目付)]:[KG]])</f>
        <v>0</v>
      </c>
      <c r="AA290" s="11"/>
      <c r="AB290" s="11"/>
      <c r="AC290" s="24">
        <f>$G$7*(テーブル1[[#This Row],[金額]]*$G$6)</f>
        <v>0</v>
      </c>
    </row>
    <row r="291" spans="11:29" ht="39.950000000000003" customHeight="1">
      <c r="K291" s="7"/>
      <c r="L291" s="7"/>
      <c r="M291" s="7"/>
      <c r="N291" s="7"/>
      <c r="O291" s="21">
        <f t="shared" si="6"/>
        <v>0</v>
      </c>
      <c r="P291" s="7"/>
      <c r="Q291" s="11"/>
      <c r="R291" s="11"/>
      <c r="S291" s="11"/>
      <c r="T291" s="11"/>
      <c r="U291" s="11"/>
      <c r="V291" s="25">
        <f>IF($G$8="",テーブル1[[#This Row],[幅]]*テーブル1[[#This Row],[長さ]],テーブル1[[#This Row],[幅]]*テーブル1[[#This Row],[長さ]]*$G$8)</f>
        <v>0</v>
      </c>
      <c r="W291" s="25" t="str">
        <f>IF(テーブル1[[#This Row],[幅]]=0,"",テーブル1[[#This Row],[KG合計]]/テーブル1[[#This Row],[SM]]*1000)</f>
        <v/>
      </c>
      <c r="X291" s="25">
        <f>IF(テーブル1[[#This Row],[g/SM]]="",テーブル1[[#This Row],[長さ]]*テーブル1[[#This Row],[g/M]]/1000,テーブル1[[#This Row],[SM]]*テーブル1[[#This Row],[g/SM]]/1000)</f>
        <v>0</v>
      </c>
      <c r="Y291" s="25"/>
      <c r="Z291" s="25">
        <f>SUM(テーブル1[[#This Row],[KG(目付)]:[KG]])</f>
        <v>0</v>
      </c>
      <c r="AA291" s="11"/>
      <c r="AB291" s="11"/>
      <c r="AC291" s="24">
        <f>$G$7*(テーブル1[[#This Row],[金額]]*$G$6)</f>
        <v>0</v>
      </c>
    </row>
    <row r="292" spans="11:29" ht="39.950000000000003" customHeight="1">
      <c r="K292" s="7"/>
      <c r="L292" s="7"/>
      <c r="M292" s="7"/>
      <c r="N292" s="7"/>
      <c r="O292" s="21">
        <f t="shared" si="6"/>
        <v>0</v>
      </c>
      <c r="P292" s="7"/>
      <c r="Q292" s="11"/>
      <c r="R292" s="11"/>
      <c r="S292" s="11"/>
      <c r="T292" s="11"/>
      <c r="U292" s="11"/>
      <c r="V292" s="25">
        <f>IF($G$8="",テーブル1[[#This Row],[幅]]*テーブル1[[#This Row],[長さ]],テーブル1[[#This Row],[幅]]*テーブル1[[#This Row],[長さ]]*$G$8)</f>
        <v>0</v>
      </c>
      <c r="W292" s="25" t="str">
        <f>IF(テーブル1[[#This Row],[幅]]=0,"",テーブル1[[#This Row],[KG合計]]/テーブル1[[#This Row],[SM]]*1000)</f>
        <v/>
      </c>
      <c r="X292" s="25">
        <f>IF(テーブル1[[#This Row],[g/SM]]="",テーブル1[[#This Row],[長さ]]*テーブル1[[#This Row],[g/M]]/1000,テーブル1[[#This Row],[SM]]*テーブル1[[#This Row],[g/SM]]/1000)</f>
        <v>0</v>
      </c>
      <c r="Y292" s="25"/>
      <c r="Z292" s="25">
        <f>SUM(テーブル1[[#This Row],[KG(目付)]:[KG]])</f>
        <v>0</v>
      </c>
      <c r="AA292" s="11"/>
      <c r="AB292" s="11"/>
      <c r="AC292" s="24">
        <f>$G$7*(テーブル1[[#This Row],[金額]]*$G$6)</f>
        <v>0</v>
      </c>
    </row>
    <row r="293" spans="11:29" ht="39.950000000000003" customHeight="1">
      <c r="K293" s="7"/>
      <c r="L293" s="7"/>
      <c r="M293" s="7"/>
      <c r="N293" s="7"/>
      <c r="O293" s="21">
        <f t="shared" si="6"/>
        <v>0</v>
      </c>
      <c r="P293" s="7"/>
      <c r="Q293" s="11"/>
      <c r="R293" s="11"/>
      <c r="S293" s="11"/>
      <c r="T293" s="11"/>
      <c r="U293" s="11"/>
      <c r="V293" s="25">
        <f>IF($G$8="",テーブル1[[#This Row],[幅]]*テーブル1[[#This Row],[長さ]],テーブル1[[#This Row],[幅]]*テーブル1[[#This Row],[長さ]]*$G$8)</f>
        <v>0</v>
      </c>
      <c r="W293" s="25" t="str">
        <f>IF(テーブル1[[#This Row],[幅]]=0,"",テーブル1[[#This Row],[KG合計]]/テーブル1[[#This Row],[SM]]*1000)</f>
        <v/>
      </c>
      <c r="X293" s="25">
        <f>IF(テーブル1[[#This Row],[g/SM]]="",テーブル1[[#This Row],[長さ]]*テーブル1[[#This Row],[g/M]]/1000,テーブル1[[#This Row],[SM]]*テーブル1[[#This Row],[g/SM]]/1000)</f>
        <v>0</v>
      </c>
      <c r="Y293" s="25"/>
      <c r="Z293" s="25">
        <f>SUM(テーブル1[[#This Row],[KG(目付)]:[KG]])</f>
        <v>0</v>
      </c>
      <c r="AA293" s="11"/>
      <c r="AB293" s="11"/>
      <c r="AC293" s="24">
        <f>$G$7*(テーブル1[[#This Row],[金額]]*$G$6)</f>
        <v>0</v>
      </c>
    </row>
    <row r="294" spans="11:29" ht="39.950000000000003" customHeight="1">
      <c r="K294" s="7"/>
      <c r="L294" s="7"/>
      <c r="M294" s="7"/>
      <c r="N294" s="7"/>
      <c r="O294" s="21">
        <f t="shared" si="6"/>
        <v>0</v>
      </c>
      <c r="P294" s="7"/>
      <c r="Q294" s="11"/>
      <c r="R294" s="11"/>
      <c r="S294" s="11"/>
      <c r="T294" s="11"/>
      <c r="U294" s="11"/>
      <c r="V294" s="25">
        <f>IF($G$8="",テーブル1[[#This Row],[幅]]*テーブル1[[#This Row],[長さ]],テーブル1[[#This Row],[幅]]*テーブル1[[#This Row],[長さ]]*$G$8)</f>
        <v>0</v>
      </c>
      <c r="W294" s="25" t="str">
        <f>IF(テーブル1[[#This Row],[幅]]=0,"",テーブル1[[#This Row],[KG合計]]/テーブル1[[#This Row],[SM]]*1000)</f>
        <v/>
      </c>
      <c r="X294" s="25">
        <f>IF(テーブル1[[#This Row],[g/SM]]="",テーブル1[[#This Row],[長さ]]*テーブル1[[#This Row],[g/M]]/1000,テーブル1[[#This Row],[SM]]*テーブル1[[#This Row],[g/SM]]/1000)</f>
        <v>0</v>
      </c>
      <c r="Y294" s="25"/>
      <c r="Z294" s="25">
        <f>SUM(テーブル1[[#This Row],[KG(目付)]:[KG]])</f>
        <v>0</v>
      </c>
      <c r="AA294" s="11"/>
      <c r="AB294" s="11"/>
      <c r="AC294" s="24">
        <f>$G$7*(テーブル1[[#This Row],[金額]]*$G$6)</f>
        <v>0</v>
      </c>
    </row>
    <row r="295" spans="11:29" ht="39.950000000000003" customHeight="1">
      <c r="K295" s="7"/>
      <c r="L295" s="7"/>
      <c r="M295" s="7"/>
      <c r="N295" s="7"/>
      <c r="O295" s="21">
        <f t="shared" si="6"/>
        <v>0</v>
      </c>
      <c r="P295" s="7"/>
      <c r="Q295" s="11"/>
      <c r="R295" s="11"/>
      <c r="S295" s="11"/>
      <c r="T295" s="11"/>
      <c r="U295" s="11"/>
      <c r="V295" s="25">
        <f>IF($G$8="",テーブル1[[#This Row],[幅]]*テーブル1[[#This Row],[長さ]],テーブル1[[#This Row],[幅]]*テーブル1[[#This Row],[長さ]]*$G$8)</f>
        <v>0</v>
      </c>
      <c r="W295" s="25" t="str">
        <f>IF(テーブル1[[#This Row],[幅]]=0,"",テーブル1[[#This Row],[KG合計]]/テーブル1[[#This Row],[SM]]*1000)</f>
        <v/>
      </c>
      <c r="X295" s="25">
        <f>IF(テーブル1[[#This Row],[g/SM]]="",テーブル1[[#This Row],[長さ]]*テーブル1[[#This Row],[g/M]]/1000,テーブル1[[#This Row],[SM]]*テーブル1[[#This Row],[g/SM]]/1000)</f>
        <v>0</v>
      </c>
      <c r="Y295" s="25"/>
      <c r="Z295" s="25">
        <f>SUM(テーブル1[[#This Row],[KG(目付)]:[KG]])</f>
        <v>0</v>
      </c>
      <c r="AA295" s="11"/>
      <c r="AB295" s="11"/>
      <c r="AC295" s="24">
        <f>$G$7*(テーブル1[[#This Row],[金額]]*$G$6)</f>
        <v>0</v>
      </c>
    </row>
    <row r="296" spans="11:29" ht="39.950000000000003" customHeight="1">
      <c r="K296" s="7"/>
      <c r="L296" s="7"/>
      <c r="M296" s="7"/>
      <c r="N296" s="7"/>
      <c r="O296" s="21">
        <f t="shared" si="6"/>
        <v>0</v>
      </c>
      <c r="P296" s="7"/>
      <c r="Q296" s="11"/>
      <c r="R296" s="11"/>
      <c r="S296" s="11"/>
      <c r="T296" s="11"/>
      <c r="U296" s="11"/>
      <c r="V296" s="25">
        <f>IF($G$8="",テーブル1[[#This Row],[幅]]*テーブル1[[#This Row],[長さ]],テーブル1[[#This Row],[幅]]*テーブル1[[#This Row],[長さ]]*$G$8)</f>
        <v>0</v>
      </c>
      <c r="W296" s="25" t="str">
        <f>IF(テーブル1[[#This Row],[幅]]=0,"",テーブル1[[#This Row],[KG合計]]/テーブル1[[#This Row],[SM]]*1000)</f>
        <v/>
      </c>
      <c r="X296" s="25">
        <f>IF(テーブル1[[#This Row],[g/SM]]="",テーブル1[[#This Row],[長さ]]*テーブル1[[#This Row],[g/M]]/1000,テーブル1[[#This Row],[SM]]*テーブル1[[#This Row],[g/SM]]/1000)</f>
        <v>0</v>
      </c>
      <c r="Y296" s="25"/>
      <c r="Z296" s="25">
        <f>SUM(テーブル1[[#This Row],[KG(目付)]:[KG]])</f>
        <v>0</v>
      </c>
      <c r="AA296" s="11"/>
      <c r="AB296" s="11"/>
      <c r="AC296" s="24">
        <f>$G$7*(テーブル1[[#This Row],[金額]]*$G$6)</f>
        <v>0</v>
      </c>
    </row>
    <row r="297" spans="11:29" ht="39.950000000000003" customHeight="1">
      <c r="K297" s="7"/>
      <c r="L297" s="7"/>
      <c r="M297" s="7"/>
      <c r="N297" s="7"/>
      <c r="O297" s="21">
        <f t="shared" si="6"/>
        <v>0</v>
      </c>
      <c r="P297" s="7"/>
      <c r="Q297" s="11"/>
      <c r="R297" s="11"/>
      <c r="S297" s="11"/>
      <c r="T297" s="11"/>
      <c r="U297" s="11"/>
      <c r="V297" s="25">
        <f>IF($G$8="",テーブル1[[#This Row],[幅]]*テーブル1[[#This Row],[長さ]],テーブル1[[#This Row],[幅]]*テーブル1[[#This Row],[長さ]]*$G$8)</f>
        <v>0</v>
      </c>
      <c r="W297" s="25" t="str">
        <f>IF(テーブル1[[#This Row],[幅]]=0,"",テーブル1[[#This Row],[KG合計]]/テーブル1[[#This Row],[SM]]*1000)</f>
        <v/>
      </c>
      <c r="X297" s="25">
        <f>IF(テーブル1[[#This Row],[g/SM]]="",テーブル1[[#This Row],[長さ]]*テーブル1[[#This Row],[g/M]]/1000,テーブル1[[#This Row],[SM]]*テーブル1[[#This Row],[g/SM]]/1000)</f>
        <v>0</v>
      </c>
      <c r="Y297" s="25"/>
      <c r="Z297" s="25">
        <f>SUM(テーブル1[[#This Row],[KG(目付)]:[KG]])</f>
        <v>0</v>
      </c>
      <c r="AA297" s="11"/>
      <c r="AB297" s="11"/>
      <c r="AC297" s="24">
        <f>$G$7*(テーブル1[[#This Row],[金額]]*$G$6)</f>
        <v>0</v>
      </c>
    </row>
    <row r="298" spans="11:29" ht="39.950000000000003" customHeight="1">
      <c r="K298" s="7"/>
      <c r="L298" s="7"/>
      <c r="M298" s="7"/>
      <c r="N298" s="7"/>
      <c r="O298" s="21">
        <f t="shared" si="6"/>
        <v>0</v>
      </c>
      <c r="P298" s="7"/>
      <c r="Q298" s="11"/>
      <c r="R298" s="11"/>
      <c r="S298" s="11"/>
      <c r="T298" s="11"/>
      <c r="U298" s="11"/>
      <c r="V298" s="25">
        <f>IF($G$8="",テーブル1[[#This Row],[幅]]*テーブル1[[#This Row],[長さ]],テーブル1[[#This Row],[幅]]*テーブル1[[#This Row],[長さ]]*$G$8)</f>
        <v>0</v>
      </c>
      <c r="W298" s="25" t="str">
        <f>IF(テーブル1[[#This Row],[幅]]=0,"",テーブル1[[#This Row],[KG合計]]/テーブル1[[#This Row],[SM]]*1000)</f>
        <v/>
      </c>
      <c r="X298" s="25">
        <f>IF(テーブル1[[#This Row],[g/SM]]="",テーブル1[[#This Row],[長さ]]*テーブル1[[#This Row],[g/M]]/1000,テーブル1[[#This Row],[SM]]*テーブル1[[#This Row],[g/SM]]/1000)</f>
        <v>0</v>
      </c>
      <c r="Y298" s="25"/>
      <c r="Z298" s="25">
        <f>SUM(テーブル1[[#This Row],[KG(目付)]:[KG]])</f>
        <v>0</v>
      </c>
      <c r="AA298" s="11"/>
      <c r="AB298" s="11"/>
      <c r="AC298" s="24">
        <f>$G$7*(テーブル1[[#This Row],[金額]]*$G$6)</f>
        <v>0</v>
      </c>
    </row>
    <row r="299" spans="11:29" ht="39.950000000000003" customHeight="1">
      <c r="K299" s="7"/>
      <c r="L299" s="7"/>
      <c r="M299" s="7"/>
      <c r="N299" s="7"/>
      <c r="O299" s="21">
        <f t="shared" si="6"/>
        <v>0</v>
      </c>
      <c r="P299" s="7"/>
      <c r="Q299" s="11"/>
      <c r="R299" s="11"/>
      <c r="S299" s="11"/>
      <c r="T299" s="11"/>
      <c r="U299" s="11"/>
      <c r="V299" s="25">
        <f>IF($G$8="",テーブル1[[#This Row],[幅]]*テーブル1[[#This Row],[長さ]],テーブル1[[#This Row],[幅]]*テーブル1[[#This Row],[長さ]]*$G$8)</f>
        <v>0</v>
      </c>
      <c r="W299" s="25" t="str">
        <f>IF(テーブル1[[#This Row],[幅]]=0,"",テーブル1[[#This Row],[KG合計]]/テーブル1[[#This Row],[SM]]*1000)</f>
        <v/>
      </c>
      <c r="X299" s="25">
        <f>IF(テーブル1[[#This Row],[g/SM]]="",テーブル1[[#This Row],[長さ]]*テーブル1[[#This Row],[g/M]]/1000,テーブル1[[#This Row],[SM]]*テーブル1[[#This Row],[g/SM]]/1000)</f>
        <v>0</v>
      </c>
      <c r="Y299" s="25"/>
      <c r="Z299" s="25">
        <f>SUM(テーブル1[[#This Row],[KG(目付)]:[KG]])</f>
        <v>0</v>
      </c>
      <c r="AA299" s="11"/>
      <c r="AB299" s="11"/>
      <c r="AC299" s="24">
        <f>$G$7*(テーブル1[[#This Row],[金額]]*$G$6)</f>
        <v>0</v>
      </c>
    </row>
    <row r="300" spans="11:29" ht="39.950000000000003" customHeight="1">
      <c r="K300" s="7"/>
      <c r="L300" s="7"/>
      <c r="M300" s="7"/>
      <c r="N300" s="7"/>
      <c r="O300" s="21">
        <f t="shared" si="6"/>
        <v>0</v>
      </c>
      <c r="P300" s="7"/>
      <c r="Q300" s="11"/>
      <c r="R300" s="11"/>
      <c r="S300" s="11"/>
      <c r="T300" s="11"/>
      <c r="U300" s="11"/>
      <c r="V300" s="25">
        <f>IF($G$8="",テーブル1[[#This Row],[幅]]*テーブル1[[#This Row],[長さ]],テーブル1[[#This Row],[幅]]*テーブル1[[#This Row],[長さ]]*$G$8)</f>
        <v>0</v>
      </c>
      <c r="W300" s="25" t="str">
        <f>IF(テーブル1[[#This Row],[幅]]=0,"",テーブル1[[#This Row],[KG合計]]/テーブル1[[#This Row],[SM]]*1000)</f>
        <v/>
      </c>
      <c r="X300" s="25">
        <f>IF(テーブル1[[#This Row],[g/SM]]="",テーブル1[[#This Row],[長さ]]*テーブル1[[#This Row],[g/M]]/1000,テーブル1[[#This Row],[SM]]*テーブル1[[#This Row],[g/SM]]/1000)</f>
        <v>0</v>
      </c>
      <c r="Y300" s="25"/>
      <c r="Z300" s="25">
        <f>SUM(テーブル1[[#This Row],[KG(目付)]:[KG]])</f>
        <v>0</v>
      </c>
      <c r="AA300" s="11"/>
      <c r="AB300" s="11"/>
      <c r="AC300" s="24">
        <f>$G$7*(テーブル1[[#This Row],[金額]]*$G$6)</f>
        <v>0</v>
      </c>
    </row>
    <row r="301" spans="11:29" ht="39.950000000000003" customHeight="1">
      <c r="K301" s="7"/>
      <c r="L301" s="7"/>
      <c r="M301" s="7"/>
      <c r="N301" s="7"/>
      <c r="O301" s="21">
        <f t="shared" si="6"/>
        <v>0</v>
      </c>
      <c r="P301" s="7"/>
      <c r="Q301" s="11"/>
      <c r="R301" s="11"/>
      <c r="S301" s="11"/>
      <c r="T301" s="11"/>
      <c r="U301" s="11"/>
      <c r="V301" s="25">
        <f>IF($G$8="",テーブル1[[#This Row],[幅]]*テーブル1[[#This Row],[長さ]],テーブル1[[#This Row],[幅]]*テーブル1[[#This Row],[長さ]]*$G$8)</f>
        <v>0</v>
      </c>
      <c r="W301" s="25" t="str">
        <f>IF(テーブル1[[#This Row],[幅]]=0,"",テーブル1[[#This Row],[KG合計]]/テーブル1[[#This Row],[SM]]*1000)</f>
        <v/>
      </c>
      <c r="X301" s="25">
        <f>IF(テーブル1[[#This Row],[g/SM]]="",テーブル1[[#This Row],[長さ]]*テーブル1[[#This Row],[g/M]]/1000,テーブル1[[#This Row],[SM]]*テーブル1[[#This Row],[g/SM]]/1000)</f>
        <v>0</v>
      </c>
      <c r="Y301" s="25"/>
      <c r="Z301" s="25">
        <f>SUM(テーブル1[[#This Row],[KG(目付)]:[KG]])</f>
        <v>0</v>
      </c>
      <c r="AA301" s="11"/>
      <c r="AB301" s="11"/>
      <c r="AC301" s="24">
        <f>$G$7*(テーブル1[[#This Row],[金額]]*$G$6)</f>
        <v>0</v>
      </c>
    </row>
    <row r="302" spans="11:29" ht="39.950000000000003" customHeight="1">
      <c r="K302" s="7"/>
      <c r="L302" s="7"/>
      <c r="M302" s="7"/>
      <c r="N302" s="7"/>
      <c r="O302" s="21">
        <f t="shared" si="6"/>
        <v>0</v>
      </c>
      <c r="P302" s="7"/>
      <c r="Q302" s="11"/>
      <c r="R302" s="11"/>
      <c r="S302" s="11"/>
      <c r="T302" s="11"/>
      <c r="U302" s="11"/>
      <c r="V302" s="25">
        <f>IF($G$8="",テーブル1[[#This Row],[幅]]*テーブル1[[#This Row],[長さ]],テーブル1[[#This Row],[幅]]*テーブル1[[#This Row],[長さ]]*$G$8)</f>
        <v>0</v>
      </c>
      <c r="W302" s="25" t="str">
        <f>IF(テーブル1[[#This Row],[幅]]=0,"",テーブル1[[#This Row],[KG合計]]/テーブル1[[#This Row],[SM]]*1000)</f>
        <v/>
      </c>
      <c r="X302" s="25">
        <f>IF(テーブル1[[#This Row],[g/SM]]="",テーブル1[[#This Row],[長さ]]*テーブル1[[#This Row],[g/M]]/1000,テーブル1[[#This Row],[SM]]*テーブル1[[#This Row],[g/SM]]/1000)</f>
        <v>0</v>
      </c>
      <c r="Y302" s="25"/>
      <c r="Z302" s="25">
        <f>SUM(テーブル1[[#This Row],[KG(目付)]:[KG]])</f>
        <v>0</v>
      </c>
      <c r="AA302" s="11"/>
      <c r="AB302" s="11"/>
      <c r="AC302" s="24">
        <f>$G$7*(テーブル1[[#This Row],[金額]]*$G$6)</f>
        <v>0</v>
      </c>
    </row>
    <row r="303" spans="11:29" ht="39.950000000000003" customHeight="1">
      <c r="K303" s="7"/>
      <c r="L303" s="7"/>
      <c r="M303" s="7"/>
      <c r="N303" s="7"/>
      <c r="O303" s="21">
        <f t="shared" si="6"/>
        <v>0</v>
      </c>
      <c r="P303" s="7"/>
      <c r="Q303" s="11"/>
      <c r="R303" s="11"/>
      <c r="S303" s="11"/>
      <c r="T303" s="11"/>
      <c r="U303" s="11"/>
      <c r="V303" s="25">
        <f>IF($G$8="",テーブル1[[#This Row],[幅]]*テーブル1[[#This Row],[長さ]],テーブル1[[#This Row],[幅]]*テーブル1[[#This Row],[長さ]]*$G$8)</f>
        <v>0</v>
      </c>
      <c r="W303" s="25" t="str">
        <f>IF(テーブル1[[#This Row],[幅]]=0,"",テーブル1[[#This Row],[KG合計]]/テーブル1[[#This Row],[SM]]*1000)</f>
        <v/>
      </c>
      <c r="X303" s="25">
        <f>IF(テーブル1[[#This Row],[g/SM]]="",テーブル1[[#This Row],[長さ]]*テーブル1[[#This Row],[g/M]]/1000,テーブル1[[#This Row],[SM]]*テーブル1[[#This Row],[g/SM]]/1000)</f>
        <v>0</v>
      </c>
      <c r="Y303" s="25"/>
      <c r="Z303" s="25">
        <f>SUM(テーブル1[[#This Row],[KG(目付)]:[KG]])</f>
        <v>0</v>
      </c>
      <c r="AA303" s="11"/>
      <c r="AB303" s="11"/>
      <c r="AC303" s="24">
        <f>$G$7*(テーブル1[[#This Row],[金額]]*$G$6)</f>
        <v>0</v>
      </c>
    </row>
    <row r="304" spans="11:29" ht="39.950000000000003" customHeight="1">
      <c r="K304" s="7"/>
      <c r="L304" s="7"/>
      <c r="M304" s="7"/>
      <c r="N304" s="7"/>
      <c r="O304" s="21">
        <f t="shared" si="6"/>
        <v>0</v>
      </c>
      <c r="P304" s="7"/>
      <c r="Q304" s="11"/>
      <c r="R304" s="11"/>
      <c r="S304" s="11"/>
      <c r="T304" s="11"/>
      <c r="U304" s="11"/>
      <c r="V304" s="25">
        <f>IF($G$8="",テーブル1[[#This Row],[幅]]*テーブル1[[#This Row],[長さ]],テーブル1[[#This Row],[幅]]*テーブル1[[#This Row],[長さ]]*$G$8)</f>
        <v>0</v>
      </c>
      <c r="W304" s="25" t="str">
        <f>IF(テーブル1[[#This Row],[幅]]=0,"",テーブル1[[#This Row],[KG合計]]/テーブル1[[#This Row],[SM]]*1000)</f>
        <v/>
      </c>
      <c r="X304" s="25">
        <f>IF(テーブル1[[#This Row],[g/SM]]="",テーブル1[[#This Row],[長さ]]*テーブル1[[#This Row],[g/M]]/1000,テーブル1[[#This Row],[SM]]*テーブル1[[#This Row],[g/SM]]/1000)</f>
        <v>0</v>
      </c>
      <c r="Y304" s="25"/>
      <c r="Z304" s="25">
        <f>SUM(テーブル1[[#This Row],[KG(目付)]:[KG]])</f>
        <v>0</v>
      </c>
      <c r="AA304" s="11"/>
      <c r="AB304" s="11"/>
      <c r="AC304" s="24">
        <f>$G$7*(テーブル1[[#This Row],[金額]]*$G$6)</f>
        <v>0</v>
      </c>
    </row>
    <row r="305" spans="11:29" ht="39.950000000000003" customHeight="1">
      <c r="K305" s="7"/>
      <c r="L305" s="7"/>
      <c r="M305" s="7"/>
      <c r="N305" s="7"/>
      <c r="O305" s="21">
        <f t="shared" si="6"/>
        <v>0</v>
      </c>
      <c r="P305" s="7"/>
      <c r="Q305" s="11"/>
      <c r="R305" s="11"/>
      <c r="S305" s="11"/>
      <c r="T305" s="11"/>
      <c r="U305" s="11"/>
      <c r="V305" s="25">
        <f>IF($G$8="",テーブル1[[#This Row],[幅]]*テーブル1[[#This Row],[長さ]],テーブル1[[#This Row],[幅]]*テーブル1[[#This Row],[長さ]]*$G$8)</f>
        <v>0</v>
      </c>
      <c r="W305" s="25" t="str">
        <f>IF(テーブル1[[#This Row],[幅]]=0,"",テーブル1[[#This Row],[KG合計]]/テーブル1[[#This Row],[SM]]*1000)</f>
        <v/>
      </c>
      <c r="X305" s="25">
        <f>IF(テーブル1[[#This Row],[g/SM]]="",テーブル1[[#This Row],[長さ]]*テーブル1[[#This Row],[g/M]]/1000,テーブル1[[#This Row],[SM]]*テーブル1[[#This Row],[g/SM]]/1000)</f>
        <v>0</v>
      </c>
      <c r="Y305" s="25"/>
      <c r="Z305" s="25">
        <f>SUM(テーブル1[[#This Row],[KG(目付)]:[KG]])</f>
        <v>0</v>
      </c>
      <c r="AA305" s="11"/>
      <c r="AB305" s="11"/>
      <c r="AC305" s="24">
        <f>$G$7*(テーブル1[[#This Row],[金額]]*$G$6)</f>
        <v>0</v>
      </c>
    </row>
    <row r="306" spans="11:29" ht="39.950000000000003" customHeight="1">
      <c r="K306" s="7"/>
      <c r="L306" s="7"/>
      <c r="M306" s="7"/>
      <c r="N306" s="7"/>
      <c r="O306" s="21">
        <f t="shared" si="6"/>
        <v>0</v>
      </c>
      <c r="P306" s="7"/>
      <c r="Q306" s="11"/>
      <c r="R306" s="11"/>
      <c r="S306" s="11"/>
      <c r="T306" s="11"/>
      <c r="U306" s="11"/>
      <c r="V306" s="25">
        <f>IF($G$8="",テーブル1[[#This Row],[幅]]*テーブル1[[#This Row],[長さ]],テーブル1[[#This Row],[幅]]*テーブル1[[#This Row],[長さ]]*$G$8)</f>
        <v>0</v>
      </c>
      <c r="W306" s="25" t="str">
        <f>IF(テーブル1[[#This Row],[幅]]=0,"",テーブル1[[#This Row],[KG合計]]/テーブル1[[#This Row],[SM]]*1000)</f>
        <v/>
      </c>
      <c r="X306" s="25">
        <f>IF(テーブル1[[#This Row],[g/SM]]="",テーブル1[[#This Row],[長さ]]*テーブル1[[#This Row],[g/M]]/1000,テーブル1[[#This Row],[SM]]*テーブル1[[#This Row],[g/SM]]/1000)</f>
        <v>0</v>
      </c>
      <c r="Y306" s="25"/>
      <c r="Z306" s="25">
        <f>SUM(テーブル1[[#This Row],[KG(目付)]:[KG]])</f>
        <v>0</v>
      </c>
      <c r="AA306" s="11"/>
      <c r="AB306" s="11"/>
      <c r="AC306" s="24">
        <f>$G$7*(テーブル1[[#This Row],[金額]]*$G$6)</f>
        <v>0</v>
      </c>
    </row>
    <row r="307" spans="11:29" ht="39.950000000000003" customHeight="1">
      <c r="K307" s="7"/>
      <c r="L307" s="7"/>
      <c r="M307" s="7"/>
      <c r="N307" s="7"/>
      <c r="O307" s="21">
        <f t="shared" ref="O307:O338" si="7">IF(LEN(N307)=10,RIGHT(N307,1),IFERROR(N307-(INT(N307/7)*7),RIGHT(N307,1)))</f>
        <v>0</v>
      </c>
      <c r="P307" s="7"/>
      <c r="Q307" s="11"/>
      <c r="R307" s="11"/>
      <c r="S307" s="11"/>
      <c r="T307" s="11"/>
      <c r="U307" s="11"/>
      <c r="V307" s="25">
        <f>IF($G$8="",テーブル1[[#This Row],[幅]]*テーブル1[[#This Row],[長さ]],テーブル1[[#This Row],[幅]]*テーブル1[[#This Row],[長さ]]*$G$8)</f>
        <v>0</v>
      </c>
      <c r="W307" s="25" t="str">
        <f>IF(テーブル1[[#This Row],[幅]]=0,"",テーブル1[[#This Row],[KG合計]]/テーブル1[[#This Row],[SM]]*1000)</f>
        <v/>
      </c>
      <c r="X307" s="25">
        <f>IF(テーブル1[[#This Row],[g/SM]]="",テーブル1[[#This Row],[長さ]]*テーブル1[[#This Row],[g/M]]/1000,テーブル1[[#This Row],[SM]]*テーブル1[[#This Row],[g/SM]]/1000)</f>
        <v>0</v>
      </c>
      <c r="Y307" s="25"/>
      <c r="Z307" s="25">
        <f>SUM(テーブル1[[#This Row],[KG(目付)]:[KG]])</f>
        <v>0</v>
      </c>
      <c r="AA307" s="11"/>
      <c r="AB307" s="11"/>
      <c r="AC307" s="24">
        <f>$G$7*(テーブル1[[#This Row],[金額]]*$G$6)</f>
        <v>0</v>
      </c>
    </row>
    <row r="308" spans="11:29" ht="39.950000000000003" customHeight="1">
      <c r="K308" s="7"/>
      <c r="L308" s="7"/>
      <c r="M308" s="7"/>
      <c r="N308" s="7"/>
      <c r="O308" s="21">
        <f t="shared" si="7"/>
        <v>0</v>
      </c>
      <c r="P308" s="7"/>
      <c r="Q308" s="11"/>
      <c r="R308" s="11"/>
      <c r="S308" s="11"/>
      <c r="T308" s="11"/>
      <c r="U308" s="11"/>
      <c r="V308" s="25">
        <f>IF($G$8="",テーブル1[[#This Row],[幅]]*テーブル1[[#This Row],[長さ]],テーブル1[[#This Row],[幅]]*テーブル1[[#This Row],[長さ]]*$G$8)</f>
        <v>0</v>
      </c>
      <c r="W308" s="25" t="str">
        <f>IF(テーブル1[[#This Row],[幅]]=0,"",テーブル1[[#This Row],[KG合計]]/テーブル1[[#This Row],[SM]]*1000)</f>
        <v/>
      </c>
      <c r="X308" s="25">
        <f>IF(テーブル1[[#This Row],[g/SM]]="",テーブル1[[#This Row],[長さ]]*テーブル1[[#This Row],[g/M]]/1000,テーブル1[[#This Row],[SM]]*テーブル1[[#This Row],[g/SM]]/1000)</f>
        <v>0</v>
      </c>
      <c r="Y308" s="25"/>
      <c r="Z308" s="25">
        <f>SUM(テーブル1[[#This Row],[KG(目付)]:[KG]])</f>
        <v>0</v>
      </c>
      <c r="AA308" s="11"/>
      <c r="AB308" s="11"/>
      <c r="AC308" s="24">
        <f>$G$7*(テーブル1[[#This Row],[金額]]*$G$6)</f>
        <v>0</v>
      </c>
    </row>
    <row r="309" spans="11:29" ht="39.950000000000003" customHeight="1">
      <c r="K309" s="7"/>
      <c r="L309" s="7"/>
      <c r="M309" s="7"/>
      <c r="N309" s="7"/>
      <c r="O309" s="21">
        <f t="shared" si="7"/>
        <v>0</v>
      </c>
      <c r="P309" s="7"/>
      <c r="Q309" s="11"/>
      <c r="R309" s="11"/>
      <c r="S309" s="11"/>
      <c r="T309" s="11"/>
      <c r="U309" s="11"/>
      <c r="V309" s="25">
        <f>IF($G$8="",テーブル1[[#This Row],[幅]]*テーブル1[[#This Row],[長さ]],テーブル1[[#This Row],[幅]]*テーブル1[[#This Row],[長さ]]*$G$8)</f>
        <v>0</v>
      </c>
      <c r="W309" s="25" t="str">
        <f>IF(テーブル1[[#This Row],[幅]]=0,"",テーブル1[[#This Row],[KG合計]]/テーブル1[[#This Row],[SM]]*1000)</f>
        <v/>
      </c>
      <c r="X309" s="25">
        <f>IF(テーブル1[[#This Row],[g/SM]]="",テーブル1[[#This Row],[長さ]]*テーブル1[[#This Row],[g/M]]/1000,テーブル1[[#This Row],[SM]]*テーブル1[[#This Row],[g/SM]]/1000)</f>
        <v>0</v>
      </c>
      <c r="Y309" s="25"/>
      <c r="Z309" s="25">
        <f>SUM(テーブル1[[#This Row],[KG(目付)]:[KG]])</f>
        <v>0</v>
      </c>
      <c r="AA309" s="11"/>
      <c r="AB309" s="11"/>
      <c r="AC309" s="24">
        <f>$G$7*(テーブル1[[#This Row],[金額]]*$G$6)</f>
        <v>0</v>
      </c>
    </row>
    <row r="310" spans="11:29" ht="39.950000000000003" customHeight="1">
      <c r="K310" s="7"/>
      <c r="L310" s="7"/>
      <c r="M310" s="7"/>
      <c r="N310" s="7"/>
      <c r="O310" s="21">
        <f t="shared" si="7"/>
        <v>0</v>
      </c>
      <c r="P310" s="7"/>
      <c r="Q310" s="11"/>
      <c r="R310" s="11"/>
      <c r="S310" s="11"/>
      <c r="T310" s="11"/>
      <c r="U310" s="11"/>
      <c r="V310" s="25">
        <f>IF($G$8="",テーブル1[[#This Row],[幅]]*テーブル1[[#This Row],[長さ]],テーブル1[[#This Row],[幅]]*テーブル1[[#This Row],[長さ]]*$G$8)</f>
        <v>0</v>
      </c>
      <c r="W310" s="25" t="str">
        <f>IF(テーブル1[[#This Row],[幅]]=0,"",テーブル1[[#This Row],[KG合計]]/テーブル1[[#This Row],[SM]]*1000)</f>
        <v/>
      </c>
      <c r="X310" s="25">
        <f>IF(テーブル1[[#This Row],[g/SM]]="",テーブル1[[#This Row],[長さ]]*テーブル1[[#This Row],[g/M]]/1000,テーブル1[[#This Row],[SM]]*テーブル1[[#This Row],[g/SM]]/1000)</f>
        <v>0</v>
      </c>
      <c r="Y310" s="25"/>
      <c r="Z310" s="25">
        <f>SUM(テーブル1[[#This Row],[KG(目付)]:[KG]])</f>
        <v>0</v>
      </c>
      <c r="AA310" s="11"/>
      <c r="AB310" s="11"/>
      <c r="AC310" s="24">
        <f>$G$7*(テーブル1[[#This Row],[金額]]*$G$6)</f>
        <v>0</v>
      </c>
    </row>
    <row r="311" spans="11:29" ht="39.950000000000003" customHeight="1">
      <c r="K311" s="7"/>
      <c r="L311" s="7"/>
      <c r="M311" s="7"/>
      <c r="N311" s="7"/>
      <c r="O311" s="21">
        <f t="shared" si="7"/>
        <v>0</v>
      </c>
      <c r="P311" s="7"/>
      <c r="Q311" s="11"/>
      <c r="R311" s="11"/>
      <c r="S311" s="11"/>
      <c r="T311" s="11"/>
      <c r="U311" s="11"/>
      <c r="V311" s="25">
        <f>IF($G$8="",テーブル1[[#This Row],[幅]]*テーブル1[[#This Row],[長さ]],テーブル1[[#This Row],[幅]]*テーブル1[[#This Row],[長さ]]*$G$8)</f>
        <v>0</v>
      </c>
      <c r="W311" s="25" t="str">
        <f>IF(テーブル1[[#This Row],[幅]]=0,"",テーブル1[[#This Row],[KG合計]]/テーブル1[[#This Row],[SM]]*1000)</f>
        <v/>
      </c>
      <c r="X311" s="25">
        <f>IF(テーブル1[[#This Row],[g/SM]]="",テーブル1[[#This Row],[長さ]]*テーブル1[[#This Row],[g/M]]/1000,テーブル1[[#This Row],[SM]]*テーブル1[[#This Row],[g/SM]]/1000)</f>
        <v>0</v>
      </c>
      <c r="Y311" s="25"/>
      <c r="Z311" s="25">
        <f>SUM(テーブル1[[#This Row],[KG(目付)]:[KG]])</f>
        <v>0</v>
      </c>
      <c r="AA311" s="11"/>
      <c r="AB311" s="11"/>
      <c r="AC311" s="24">
        <f>$G$7*(テーブル1[[#This Row],[金額]]*$G$6)</f>
        <v>0</v>
      </c>
    </row>
    <row r="312" spans="11:29" ht="39.950000000000003" customHeight="1">
      <c r="K312" s="7"/>
      <c r="L312" s="7"/>
      <c r="M312" s="7"/>
      <c r="N312" s="7"/>
      <c r="O312" s="21">
        <f t="shared" si="7"/>
        <v>0</v>
      </c>
      <c r="P312" s="7"/>
      <c r="Q312" s="11"/>
      <c r="R312" s="11"/>
      <c r="S312" s="11"/>
      <c r="T312" s="11"/>
      <c r="U312" s="11"/>
      <c r="V312" s="25">
        <f>IF($G$8="",テーブル1[[#This Row],[幅]]*テーブル1[[#This Row],[長さ]],テーブル1[[#This Row],[幅]]*テーブル1[[#This Row],[長さ]]*$G$8)</f>
        <v>0</v>
      </c>
      <c r="W312" s="25" t="str">
        <f>IF(テーブル1[[#This Row],[幅]]=0,"",テーブル1[[#This Row],[KG合計]]/テーブル1[[#This Row],[SM]]*1000)</f>
        <v/>
      </c>
      <c r="X312" s="25">
        <f>IF(テーブル1[[#This Row],[g/SM]]="",テーブル1[[#This Row],[長さ]]*テーブル1[[#This Row],[g/M]]/1000,テーブル1[[#This Row],[SM]]*テーブル1[[#This Row],[g/SM]]/1000)</f>
        <v>0</v>
      </c>
      <c r="Y312" s="25"/>
      <c r="Z312" s="25">
        <f>SUM(テーブル1[[#This Row],[KG(目付)]:[KG]])</f>
        <v>0</v>
      </c>
      <c r="AA312" s="11"/>
      <c r="AB312" s="11"/>
      <c r="AC312" s="24">
        <f>$G$7*(テーブル1[[#This Row],[金額]]*$G$6)</f>
        <v>0</v>
      </c>
    </row>
    <row r="313" spans="11:29" ht="39.950000000000003" customHeight="1">
      <c r="K313" s="7"/>
      <c r="L313" s="7"/>
      <c r="M313" s="7"/>
      <c r="N313" s="7"/>
      <c r="O313" s="21">
        <f t="shared" si="7"/>
        <v>0</v>
      </c>
      <c r="P313" s="7"/>
      <c r="Q313" s="11"/>
      <c r="R313" s="11"/>
      <c r="S313" s="11"/>
      <c r="T313" s="11"/>
      <c r="U313" s="11"/>
      <c r="V313" s="25">
        <f>IF($G$8="",テーブル1[[#This Row],[幅]]*テーブル1[[#This Row],[長さ]],テーブル1[[#This Row],[幅]]*テーブル1[[#This Row],[長さ]]*$G$8)</f>
        <v>0</v>
      </c>
      <c r="W313" s="25" t="str">
        <f>IF(テーブル1[[#This Row],[幅]]=0,"",テーブル1[[#This Row],[KG合計]]/テーブル1[[#This Row],[SM]]*1000)</f>
        <v/>
      </c>
      <c r="X313" s="25">
        <f>IF(テーブル1[[#This Row],[g/SM]]="",テーブル1[[#This Row],[長さ]]*テーブル1[[#This Row],[g/M]]/1000,テーブル1[[#This Row],[SM]]*テーブル1[[#This Row],[g/SM]]/1000)</f>
        <v>0</v>
      </c>
      <c r="Y313" s="25"/>
      <c r="Z313" s="25">
        <f>SUM(テーブル1[[#This Row],[KG(目付)]:[KG]])</f>
        <v>0</v>
      </c>
      <c r="AA313" s="11"/>
      <c r="AB313" s="11"/>
      <c r="AC313" s="24">
        <f>$G$7*(テーブル1[[#This Row],[金額]]*$G$6)</f>
        <v>0</v>
      </c>
    </row>
    <row r="314" spans="11:29" ht="39.950000000000003" customHeight="1">
      <c r="K314" s="7"/>
      <c r="L314" s="7"/>
      <c r="M314" s="7"/>
      <c r="N314" s="7"/>
      <c r="O314" s="21">
        <f t="shared" si="7"/>
        <v>0</v>
      </c>
      <c r="P314" s="7"/>
      <c r="Q314" s="11"/>
      <c r="R314" s="11"/>
      <c r="S314" s="11"/>
      <c r="T314" s="11"/>
      <c r="U314" s="11"/>
      <c r="V314" s="25">
        <f>IF($G$8="",テーブル1[[#This Row],[幅]]*テーブル1[[#This Row],[長さ]],テーブル1[[#This Row],[幅]]*テーブル1[[#This Row],[長さ]]*$G$8)</f>
        <v>0</v>
      </c>
      <c r="W314" s="25" t="str">
        <f>IF(テーブル1[[#This Row],[幅]]=0,"",テーブル1[[#This Row],[KG合計]]/テーブル1[[#This Row],[SM]]*1000)</f>
        <v/>
      </c>
      <c r="X314" s="25">
        <f>IF(テーブル1[[#This Row],[g/SM]]="",テーブル1[[#This Row],[長さ]]*テーブル1[[#This Row],[g/M]]/1000,テーブル1[[#This Row],[SM]]*テーブル1[[#This Row],[g/SM]]/1000)</f>
        <v>0</v>
      </c>
      <c r="Y314" s="25"/>
      <c r="Z314" s="25">
        <f>SUM(テーブル1[[#This Row],[KG(目付)]:[KG]])</f>
        <v>0</v>
      </c>
      <c r="AA314" s="11"/>
      <c r="AB314" s="11"/>
      <c r="AC314" s="24">
        <f>$G$7*(テーブル1[[#This Row],[金額]]*$G$6)</f>
        <v>0</v>
      </c>
    </row>
    <row r="315" spans="11:29" ht="39.950000000000003" customHeight="1">
      <c r="K315" s="7"/>
      <c r="L315" s="7"/>
      <c r="M315" s="7"/>
      <c r="N315" s="7"/>
      <c r="O315" s="21">
        <f t="shared" si="7"/>
        <v>0</v>
      </c>
      <c r="P315" s="7"/>
      <c r="Q315" s="11"/>
      <c r="R315" s="11"/>
      <c r="S315" s="11"/>
      <c r="T315" s="11"/>
      <c r="U315" s="11"/>
      <c r="V315" s="25">
        <f>IF($G$8="",テーブル1[[#This Row],[幅]]*テーブル1[[#This Row],[長さ]],テーブル1[[#This Row],[幅]]*テーブル1[[#This Row],[長さ]]*$G$8)</f>
        <v>0</v>
      </c>
      <c r="W315" s="25" t="str">
        <f>IF(テーブル1[[#This Row],[幅]]=0,"",テーブル1[[#This Row],[KG合計]]/テーブル1[[#This Row],[SM]]*1000)</f>
        <v/>
      </c>
      <c r="X315" s="25">
        <f>IF(テーブル1[[#This Row],[g/SM]]="",テーブル1[[#This Row],[長さ]]*テーブル1[[#This Row],[g/M]]/1000,テーブル1[[#This Row],[SM]]*テーブル1[[#This Row],[g/SM]]/1000)</f>
        <v>0</v>
      </c>
      <c r="Y315" s="25"/>
      <c r="Z315" s="25">
        <f>SUM(テーブル1[[#This Row],[KG(目付)]:[KG]])</f>
        <v>0</v>
      </c>
      <c r="AA315" s="11"/>
      <c r="AB315" s="11"/>
      <c r="AC315" s="24">
        <f>$G$7*(テーブル1[[#This Row],[金額]]*$G$6)</f>
        <v>0</v>
      </c>
    </row>
    <row r="316" spans="11:29" ht="39.950000000000003" customHeight="1">
      <c r="K316" s="7"/>
      <c r="L316" s="7"/>
      <c r="M316" s="7"/>
      <c r="N316" s="7"/>
      <c r="O316" s="21">
        <f t="shared" si="7"/>
        <v>0</v>
      </c>
      <c r="P316" s="7"/>
      <c r="Q316" s="11"/>
      <c r="R316" s="11"/>
      <c r="S316" s="11"/>
      <c r="T316" s="11"/>
      <c r="U316" s="11"/>
      <c r="V316" s="25">
        <f>IF($G$8="",テーブル1[[#This Row],[幅]]*テーブル1[[#This Row],[長さ]],テーブル1[[#This Row],[幅]]*テーブル1[[#This Row],[長さ]]*$G$8)</f>
        <v>0</v>
      </c>
      <c r="W316" s="25" t="str">
        <f>IF(テーブル1[[#This Row],[幅]]=0,"",テーブル1[[#This Row],[KG合計]]/テーブル1[[#This Row],[SM]]*1000)</f>
        <v/>
      </c>
      <c r="X316" s="25">
        <f>IF(テーブル1[[#This Row],[g/SM]]="",テーブル1[[#This Row],[長さ]]*テーブル1[[#This Row],[g/M]]/1000,テーブル1[[#This Row],[SM]]*テーブル1[[#This Row],[g/SM]]/1000)</f>
        <v>0</v>
      </c>
      <c r="Y316" s="25"/>
      <c r="Z316" s="25">
        <f>SUM(テーブル1[[#This Row],[KG(目付)]:[KG]])</f>
        <v>0</v>
      </c>
      <c r="AA316" s="11"/>
      <c r="AB316" s="11"/>
      <c r="AC316" s="24">
        <f>$G$7*(テーブル1[[#This Row],[金額]]*$G$6)</f>
        <v>0</v>
      </c>
    </row>
    <row r="317" spans="11:29" ht="39.950000000000003" customHeight="1">
      <c r="K317" s="7"/>
      <c r="L317" s="7"/>
      <c r="M317" s="7"/>
      <c r="N317" s="7"/>
      <c r="O317" s="21">
        <f t="shared" si="7"/>
        <v>0</v>
      </c>
      <c r="P317" s="7"/>
      <c r="Q317" s="11"/>
      <c r="R317" s="11"/>
      <c r="S317" s="11"/>
      <c r="T317" s="11"/>
      <c r="U317" s="11"/>
      <c r="V317" s="25">
        <f>IF($G$8="",テーブル1[[#This Row],[幅]]*テーブル1[[#This Row],[長さ]],テーブル1[[#This Row],[幅]]*テーブル1[[#This Row],[長さ]]*$G$8)</f>
        <v>0</v>
      </c>
      <c r="W317" s="25" t="str">
        <f>IF(テーブル1[[#This Row],[幅]]=0,"",テーブル1[[#This Row],[KG合計]]/テーブル1[[#This Row],[SM]]*1000)</f>
        <v/>
      </c>
      <c r="X317" s="25">
        <f>IF(テーブル1[[#This Row],[g/SM]]="",テーブル1[[#This Row],[長さ]]*テーブル1[[#This Row],[g/M]]/1000,テーブル1[[#This Row],[SM]]*テーブル1[[#This Row],[g/SM]]/1000)</f>
        <v>0</v>
      </c>
      <c r="Y317" s="25"/>
      <c r="Z317" s="25">
        <f>SUM(テーブル1[[#This Row],[KG(目付)]:[KG]])</f>
        <v>0</v>
      </c>
      <c r="AA317" s="11"/>
      <c r="AB317" s="11"/>
      <c r="AC317" s="24">
        <f>$G$7*(テーブル1[[#This Row],[金額]]*$G$6)</f>
        <v>0</v>
      </c>
    </row>
    <row r="318" spans="11:29" ht="39.950000000000003" customHeight="1">
      <c r="K318" s="7"/>
      <c r="L318" s="7"/>
      <c r="M318" s="7"/>
      <c r="N318" s="7"/>
      <c r="O318" s="21">
        <f t="shared" si="7"/>
        <v>0</v>
      </c>
      <c r="P318" s="7"/>
      <c r="Q318" s="11"/>
      <c r="R318" s="11"/>
      <c r="S318" s="11"/>
      <c r="T318" s="11"/>
      <c r="U318" s="11"/>
      <c r="V318" s="25">
        <f>IF($G$8="",テーブル1[[#This Row],[幅]]*テーブル1[[#This Row],[長さ]],テーブル1[[#This Row],[幅]]*テーブル1[[#This Row],[長さ]]*$G$8)</f>
        <v>0</v>
      </c>
      <c r="W318" s="25" t="str">
        <f>IF(テーブル1[[#This Row],[幅]]=0,"",テーブル1[[#This Row],[KG合計]]/テーブル1[[#This Row],[SM]]*1000)</f>
        <v/>
      </c>
      <c r="X318" s="25">
        <f>IF(テーブル1[[#This Row],[g/SM]]="",テーブル1[[#This Row],[長さ]]*テーブル1[[#This Row],[g/M]]/1000,テーブル1[[#This Row],[SM]]*テーブル1[[#This Row],[g/SM]]/1000)</f>
        <v>0</v>
      </c>
      <c r="Y318" s="25"/>
      <c r="Z318" s="25">
        <f>SUM(テーブル1[[#This Row],[KG(目付)]:[KG]])</f>
        <v>0</v>
      </c>
      <c r="AA318" s="11"/>
      <c r="AB318" s="11"/>
      <c r="AC318" s="24">
        <f>$G$7*(テーブル1[[#This Row],[金額]]*$G$6)</f>
        <v>0</v>
      </c>
    </row>
    <row r="319" spans="11:29" ht="39.950000000000003" customHeight="1">
      <c r="K319" s="7"/>
      <c r="L319" s="7"/>
      <c r="M319" s="7"/>
      <c r="N319" s="7"/>
      <c r="O319" s="21">
        <f t="shared" si="7"/>
        <v>0</v>
      </c>
      <c r="P319" s="7"/>
      <c r="Q319" s="11"/>
      <c r="R319" s="11"/>
      <c r="S319" s="11"/>
      <c r="T319" s="11"/>
      <c r="U319" s="11"/>
      <c r="V319" s="25">
        <f>IF($G$8="",テーブル1[[#This Row],[幅]]*テーブル1[[#This Row],[長さ]],テーブル1[[#This Row],[幅]]*テーブル1[[#This Row],[長さ]]*$G$8)</f>
        <v>0</v>
      </c>
      <c r="W319" s="25" t="str">
        <f>IF(テーブル1[[#This Row],[幅]]=0,"",テーブル1[[#This Row],[KG合計]]/テーブル1[[#This Row],[SM]]*1000)</f>
        <v/>
      </c>
      <c r="X319" s="25">
        <f>IF(テーブル1[[#This Row],[g/SM]]="",テーブル1[[#This Row],[長さ]]*テーブル1[[#This Row],[g/M]]/1000,テーブル1[[#This Row],[SM]]*テーブル1[[#This Row],[g/SM]]/1000)</f>
        <v>0</v>
      </c>
      <c r="Y319" s="25"/>
      <c r="Z319" s="25">
        <f>SUM(テーブル1[[#This Row],[KG(目付)]:[KG]])</f>
        <v>0</v>
      </c>
      <c r="AA319" s="11"/>
      <c r="AB319" s="11"/>
      <c r="AC319" s="24">
        <f>$G$7*(テーブル1[[#This Row],[金額]]*$G$6)</f>
        <v>0</v>
      </c>
    </row>
    <row r="320" spans="11:29" ht="39.950000000000003" customHeight="1">
      <c r="K320" s="7"/>
      <c r="L320" s="7"/>
      <c r="M320" s="7"/>
      <c r="N320" s="7"/>
      <c r="O320" s="21">
        <f t="shared" si="7"/>
        <v>0</v>
      </c>
      <c r="P320" s="7"/>
      <c r="Q320" s="11"/>
      <c r="R320" s="11"/>
      <c r="S320" s="11"/>
      <c r="T320" s="11"/>
      <c r="U320" s="11"/>
      <c r="V320" s="25">
        <f>IF($G$8="",テーブル1[[#This Row],[幅]]*テーブル1[[#This Row],[長さ]],テーブル1[[#This Row],[幅]]*テーブル1[[#This Row],[長さ]]*$G$8)</f>
        <v>0</v>
      </c>
      <c r="W320" s="25" t="str">
        <f>IF(テーブル1[[#This Row],[幅]]=0,"",テーブル1[[#This Row],[KG合計]]/テーブル1[[#This Row],[SM]]*1000)</f>
        <v/>
      </c>
      <c r="X320" s="25">
        <f>IF(テーブル1[[#This Row],[g/SM]]="",テーブル1[[#This Row],[長さ]]*テーブル1[[#This Row],[g/M]]/1000,テーブル1[[#This Row],[SM]]*テーブル1[[#This Row],[g/SM]]/1000)</f>
        <v>0</v>
      </c>
      <c r="Y320" s="25"/>
      <c r="Z320" s="25">
        <f>SUM(テーブル1[[#This Row],[KG(目付)]:[KG]])</f>
        <v>0</v>
      </c>
      <c r="AA320" s="11"/>
      <c r="AB320" s="11"/>
      <c r="AC320" s="24">
        <f>$G$7*(テーブル1[[#This Row],[金額]]*$G$6)</f>
        <v>0</v>
      </c>
    </row>
    <row r="321" spans="11:29" ht="39.950000000000003" customHeight="1">
      <c r="K321" s="7"/>
      <c r="L321" s="7"/>
      <c r="M321" s="7"/>
      <c r="N321" s="7"/>
      <c r="O321" s="21">
        <f t="shared" si="7"/>
        <v>0</v>
      </c>
      <c r="P321" s="7"/>
      <c r="Q321" s="11"/>
      <c r="R321" s="11"/>
      <c r="S321" s="11"/>
      <c r="T321" s="11"/>
      <c r="U321" s="11"/>
      <c r="V321" s="25">
        <f>IF($G$8="",テーブル1[[#This Row],[幅]]*テーブル1[[#This Row],[長さ]],テーブル1[[#This Row],[幅]]*テーブル1[[#This Row],[長さ]]*$G$8)</f>
        <v>0</v>
      </c>
      <c r="W321" s="25" t="str">
        <f>IF(テーブル1[[#This Row],[幅]]=0,"",テーブル1[[#This Row],[KG合計]]/テーブル1[[#This Row],[SM]]*1000)</f>
        <v/>
      </c>
      <c r="X321" s="25">
        <f>IF(テーブル1[[#This Row],[g/SM]]="",テーブル1[[#This Row],[長さ]]*テーブル1[[#This Row],[g/M]]/1000,テーブル1[[#This Row],[SM]]*テーブル1[[#This Row],[g/SM]]/1000)</f>
        <v>0</v>
      </c>
      <c r="Y321" s="25"/>
      <c r="Z321" s="25">
        <f>SUM(テーブル1[[#This Row],[KG(目付)]:[KG]])</f>
        <v>0</v>
      </c>
      <c r="AA321" s="11"/>
      <c r="AB321" s="11"/>
      <c r="AC321" s="24">
        <f>$G$7*(テーブル1[[#This Row],[金額]]*$G$6)</f>
        <v>0</v>
      </c>
    </row>
    <row r="322" spans="11:29" ht="39.950000000000003" customHeight="1">
      <c r="K322" s="7"/>
      <c r="L322" s="7"/>
      <c r="M322" s="7"/>
      <c r="N322" s="7"/>
      <c r="O322" s="21">
        <f t="shared" si="7"/>
        <v>0</v>
      </c>
      <c r="P322" s="7"/>
      <c r="Q322" s="11"/>
      <c r="R322" s="11"/>
      <c r="S322" s="11"/>
      <c r="T322" s="11"/>
      <c r="U322" s="11"/>
      <c r="V322" s="25">
        <f>IF($G$8="",テーブル1[[#This Row],[幅]]*テーブル1[[#This Row],[長さ]],テーブル1[[#This Row],[幅]]*テーブル1[[#This Row],[長さ]]*$G$8)</f>
        <v>0</v>
      </c>
      <c r="W322" s="25" t="str">
        <f>IF(テーブル1[[#This Row],[幅]]=0,"",テーブル1[[#This Row],[KG合計]]/テーブル1[[#This Row],[SM]]*1000)</f>
        <v/>
      </c>
      <c r="X322" s="25">
        <f>IF(テーブル1[[#This Row],[g/SM]]="",テーブル1[[#This Row],[長さ]]*テーブル1[[#This Row],[g/M]]/1000,テーブル1[[#This Row],[SM]]*テーブル1[[#This Row],[g/SM]]/1000)</f>
        <v>0</v>
      </c>
      <c r="Y322" s="25"/>
      <c r="Z322" s="25">
        <f>SUM(テーブル1[[#This Row],[KG(目付)]:[KG]])</f>
        <v>0</v>
      </c>
      <c r="AA322" s="11"/>
      <c r="AB322" s="11"/>
      <c r="AC322" s="24">
        <f>$G$7*(テーブル1[[#This Row],[金額]]*$G$6)</f>
        <v>0</v>
      </c>
    </row>
    <row r="323" spans="11:29" ht="39.950000000000003" customHeight="1">
      <c r="K323" s="7"/>
      <c r="L323" s="7"/>
      <c r="M323" s="7"/>
      <c r="N323" s="7"/>
      <c r="O323" s="21">
        <f t="shared" si="7"/>
        <v>0</v>
      </c>
      <c r="P323" s="7"/>
      <c r="Q323" s="11"/>
      <c r="R323" s="11"/>
      <c r="S323" s="11"/>
      <c r="T323" s="11"/>
      <c r="U323" s="11"/>
      <c r="V323" s="25">
        <f>IF($G$8="",テーブル1[[#This Row],[幅]]*テーブル1[[#This Row],[長さ]],テーブル1[[#This Row],[幅]]*テーブル1[[#This Row],[長さ]]*$G$8)</f>
        <v>0</v>
      </c>
      <c r="W323" s="25" t="str">
        <f>IF(テーブル1[[#This Row],[幅]]=0,"",テーブル1[[#This Row],[KG合計]]/テーブル1[[#This Row],[SM]]*1000)</f>
        <v/>
      </c>
      <c r="X323" s="25">
        <f>IF(テーブル1[[#This Row],[g/SM]]="",テーブル1[[#This Row],[長さ]]*テーブル1[[#This Row],[g/M]]/1000,テーブル1[[#This Row],[SM]]*テーブル1[[#This Row],[g/SM]]/1000)</f>
        <v>0</v>
      </c>
      <c r="Y323" s="25"/>
      <c r="Z323" s="25">
        <f>SUM(テーブル1[[#This Row],[KG(目付)]:[KG]])</f>
        <v>0</v>
      </c>
      <c r="AA323" s="11"/>
      <c r="AB323" s="11"/>
      <c r="AC323" s="24">
        <f>$G$7*(テーブル1[[#This Row],[金額]]*$G$6)</f>
        <v>0</v>
      </c>
    </row>
    <row r="324" spans="11:29" ht="39.950000000000003" customHeight="1">
      <c r="K324" s="7"/>
      <c r="L324" s="7"/>
      <c r="M324" s="7"/>
      <c r="N324" s="7"/>
      <c r="O324" s="21">
        <f t="shared" si="7"/>
        <v>0</v>
      </c>
      <c r="P324" s="7"/>
      <c r="Q324" s="11"/>
      <c r="R324" s="11"/>
      <c r="S324" s="11"/>
      <c r="T324" s="11"/>
      <c r="U324" s="11"/>
      <c r="V324" s="25">
        <f>IF($G$8="",テーブル1[[#This Row],[幅]]*テーブル1[[#This Row],[長さ]],テーブル1[[#This Row],[幅]]*テーブル1[[#This Row],[長さ]]*$G$8)</f>
        <v>0</v>
      </c>
      <c r="W324" s="25" t="str">
        <f>IF(テーブル1[[#This Row],[幅]]=0,"",テーブル1[[#This Row],[KG合計]]/テーブル1[[#This Row],[SM]]*1000)</f>
        <v/>
      </c>
      <c r="X324" s="25">
        <f>IF(テーブル1[[#This Row],[g/SM]]="",テーブル1[[#This Row],[長さ]]*テーブル1[[#This Row],[g/M]]/1000,テーブル1[[#This Row],[SM]]*テーブル1[[#This Row],[g/SM]]/1000)</f>
        <v>0</v>
      </c>
      <c r="Y324" s="25"/>
      <c r="Z324" s="25">
        <f>SUM(テーブル1[[#This Row],[KG(目付)]:[KG]])</f>
        <v>0</v>
      </c>
      <c r="AA324" s="11"/>
      <c r="AB324" s="11"/>
      <c r="AC324" s="24">
        <f>$G$7*(テーブル1[[#This Row],[金額]]*$G$6)</f>
        <v>0</v>
      </c>
    </row>
    <row r="325" spans="11:29" ht="39.950000000000003" customHeight="1">
      <c r="K325" s="7"/>
      <c r="L325" s="7"/>
      <c r="M325" s="7"/>
      <c r="N325" s="7"/>
      <c r="O325" s="21">
        <f t="shared" si="7"/>
        <v>0</v>
      </c>
      <c r="P325" s="7"/>
      <c r="Q325" s="11"/>
      <c r="R325" s="11"/>
      <c r="S325" s="11"/>
      <c r="T325" s="11"/>
      <c r="U325" s="11"/>
      <c r="V325" s="25">
        <f>IF($G$8="",テーブル1[[#This Row],[幅]]*テーブル1[[#This Row],[長さ]],テーブル1[[#This Row],[幅]]*テーブル1[[#This Row],[長さ]]*$G$8)</f>
        <v>0</v>
      </c>
      <c r="W325" s="25" t="str">
        <f>IF(テーブル1[[#This Row],[幅]]=0,"",テーブル1[[#This Row],[KG合計]]/テーブル1[[#This Row],[SM]]*1000)</f>
        <v/>
      </c>
      <c r="X325" s="25">
        <f>IF(テーブル1[[#This Row],[g/SM]]="",テーブル1[[#This Row],[長さ]]*テーブル1[[#This Row],[g/M]]/1000,テーブル1[[#This Row],[SM]]*テーブル1[[#This Row],[g/SM]]/1000)</f>
        <v>0</v>
      </c>
      <c r="Y325" s="25"/>
      <c r="Z325" s="25">
        <f>SUM(テーブル1[[#This Row],[KG(目付)]:[KG]])</f>
        <v>0</v>
      </c>
      <c r="AA325" s="11"/>
      <c r="AB325" s="11"/>
      <c r="AC325" s="24">
        <f>$G$7*(テーブル1[[#This Row],[金額]]*$G$6)</f>
        <v>0</v>
      </c>
    </row>
    <row r="326" spans="11:29" ht="39.950000000000003" customHeight="1">
      <c r="K326" s="7"/>
      <c r="L326" s="7"/>
      <c r="M326" s="7"/>
      <c r="N326" s="7"/>
      <c r="O326" s="21">
        <f t="shared" si="7"/>
        <v>0</v>
      </c>
      <c r="P326" s="7"/>
      <c r="Q326" s="11"/>
      <c r="R326" s="11"/>
      <c r="S326" s="11"/>
      <c r="T326" s="11"/>
      <c r="U326" s="11"/>
      <c r="V326" s="25">
        <f>IF($G$8="",テーブル1[[#This Row],[幅]]*テーブル1[[#This Row],[長さ]],テーブル1[[#This Row],[幅]]*テーブル1[[#This Row],[長さ]]*$G$8)</f>
        <v>0</v>
      </c>
      <c r="W326" s="25" t="str">
        <f>IF(テーブル1[[#This Row],[幅]]=0,"",テーブル1[[#This Row],[KG合計]]/テーブル1[[#This Row],[SM]]*1000)</f>
        <v/>
      </c>
      <c r="X326" s="25">
        <f>IF(テーブル1[[#This Row],[g/SM]]="",テーブル1[[#This Row],[長さ]]*テーブル1[[#This Row],[g/M]]/1000,テーブル1[[#This Row],[SM]]*テーブル1[[#This Row],[g/SM]]/1000)</f>
        <v>0</v>
      </c>
      <c r="Y326" s="25"/>
      <c r="Z326" s="25">
        <f>SUM(テーブル1[[#This Row],[KG(目付)]:[KG]])</f>
        <v>0</v>
      </c>
      <c r="AA326" s="11"/>
      <c r="AB326" s="11"/>
      <c r="AC326" s="24">
        <f>$G$7*(テーブル1[[#This Row],[金額]]*$G$6)</f>
        <v>0</v>
      </c>
    </row>
    <row r="327" spans="11:29" ht="39.950000000000003" customHeight="1">
      <c r="K327" s="7"/>
      <c r="L327" s="7"/>
      <c r="M327" s="7"/>
      <c r="N327" s="7"/>
      <c r="O327" s="21">
        <f t="shared" si="7"/>
        <v>0</v>
      </c>
      <c r="P327" s="7"/>
      <c r="Q327" s="11"/>
      <c r="R327" s="11"/>
      <c r="S327" s="11"/>
      <c r="T327" s="11"/>
      <c r="U327" s="11"/>
      <c r="V327" s="25">
        <f>IF($G$8="",テーブル1[[#This Row],[幅]]*テーブル1[[#This Row],[長さ]],テーブル1[[#This Row],[幅]]*テーブル1[[#This Row],[長さ]]*$G$8)</f>
        <v>0</v>
      </c>
      <c r="W327" s="25" t="str">
        <f>IF(テーブル1[[#This Row],[幅]]=0,"",テーブル1[[#This Row],[KG合計]]/テーブル1[[#This Row],[SM]]*1000)</f>
        <v/>
      </c>
      <c r="X327" s="25">
        <f>IF(テーブル1[[#This Row],[g/SM]]="",テーブル1[[#This Row],[長さ]]*テーブル1[[#This Row],[g/M]]/1000,テーブル1[[#This Row],[SM]]*テーブル1[[#This Row],[g/SM]]/1000)</f>
        <v>0</v>
      </c>
      <c r="Y327" s="25"/>
      <c r="Z327" s="25">
        <f>SUM(テーブル1[[#This Row],[KG(目付)]:[KG]])</f>
        <v>0</v>
      </c>
      <c r="AA327" s="11"/>
      <c r="AB327" s="11"/>
      <c r="AC327" s="24">
        <f>$G$7*(テーブル1[[#This Row],[金額]]*$G$6)</f>
        <v>0</v>
      </c>
    </row>
    <row r="328" spans="11:29" ht="39.950000000000003" customHeight="1">
      <c r="K328" s="7"/>
      <c r="L328" s="7"/>
      <c r="M328" s="7"/>
      <c r="N328" s="7"/>
      <c r="O328" s="21">
        <f t="shared" si="7"/>
        <v>0</v>
      </c>
      <c r="P328" s="7"/>
      <c r="Q328" s="11"/>
      <c r="R328" s="11"/>
      <c r="S328" s="11"/>
      <c r="T328" s="11"/>
      <c r="U328" s="11"/>
      <c r="V328" s="25">
        <f>IF($G$8="",テーブル1[[#This Row],[幅]]*テーブル1[[#This Row],[長さ]],テーブル1[[#This Row],[幅]]*テーブル1[[#This Row],[長さ]]*$G$8)</f>
        <v>0</v>
      </c>
      <c r="W328" s="25" t="str">
        <f>IF(テーブル1[[#This Row],[幅]]=0,"",テーブル1[[#This Row],[KG合計]]/テーブル1[[#This Row],[SM]]*1000)</f>
        <v/>
      </c>
      <c r="X328" s="25">
        <f>IF(テーブル1[[#This Row],[g/SM]]="",テーブル1[[#This Row],[長さ]]*テーブル1[[#This Row],[g/M]]/1000,テーブル1[[#This Row],[SM]]*テーブル1[[#This Row],[g/SM]]/1000)</f>
        <v>0</v>
      </c>
      <c r="Y328" s="25"/>
      <c r="Z328" s="25">
        <f>SUM(テーブル1[[#This Row],[KG(目付)]:[KG]])</f>
        <v>0</v>
      </c>
      <c r="AA328" s="11"/>
      <c r="AB328" s="11"/>
      <c r="AC328" s="24">
        <f>$G$7*(テーブル1[[#This Row],[金額]]*$G$6)</f>
        <v>0</v>
      </c>
    </row>
    <row r="329" spans="11:29" ht="39.950000000000003" customHeight="1">
      <c r="K329" s="7"/>
      <c r="L329" s="7"/>
      <c r="M329" s="7"/>
      <c r="N329" s="7"/>
      <c r="O329" s="21">
        <f t="shared" si="7"/>
        <v>0</v>
      </c>
      <c r="P329" s="7"/>
      <c r="Q329" s="11"/>
      <c r="R329" s="11"/>
      <c r="S329" s="11"/>
      <c r="T329" s="11"/>
      <c r="U329" s="11"/>
      <c r="V329" s="25">
        <f>IF($G$8="",テーブル1[[#This Row],[幅]]*テーブル1[[#This Row],[長さ]],テーブル1[[#This Row],[幅]]*テーブル1[[#This Row],[長さ]]*$G$8)</f>
        <v>0</v>
      </c>
      <c r="W329" s="25" t="str">
        <f>IF(テーブル1[[#This Row],[幅]]=0,"",テーブル1[[#This Row],[KG合計]]/テーブル1[[#This Row],[SM]]*1000)</f>
        <v/>
      </c>
      <c r="X329" s="25">
        <f>IF(テーブル1[[#This Row],[g/SM]]="",テーブル1[[#This Row],[長さ]]*テーブル1[[#This Row],[g/M]]/1000,テーブル1[[#This Row],[SM]]*テーブル1[[#This Row],[g/SM]]/1000)</f>
        <v>0</v>
      </c>
      <c r="Y329" s="25"/>
      <c r="Z329" s="25">
        <f>SUM(テーブル1[[#This Row],[KG(目付)]:[KG]])</f>
        <v>0</v>
      </c>
      <c r="AA329" s="11"/>
      <c r="AB329" s="11"/>
      <c r="AC329" s="24">
        <f>$G$7*(テーブル1[[#This Row],[金額]]*$G$6)</f>
        <v>0</v>
      </c>
    </row>
    <row r="330" spans="11:29" ht="39.950000000000003" customHeight="1">
      <c r="K330" s="7"/>
      <c r="L330" s="7"/>
      <c r="M330" s="7"/>
      <c r="N330" s="7"/>
      <c r="O330" s="21">
        <f t="shared" si="7"/>
        <v>0</v>
      </c>
      <c r="P330" s="7"/>
      <c r="Q330" s="11"/>
      <c r="R330" s="11"/>
      <c r="S330" s="11"/>
      <c r="T330" s="11"/>
      <c r="U330" s="11"/>
      <c r="V330" s="25">
        <f>IF($G$8="",テーブル1[[#This Row],[幅]]*テーブル1[[#This Row],[長さ]],テーブル1[[#This Row],[幅]]*テーブル1[[#This Row],[長さ]]*$G$8)</f>
        <v>0</v>
      </c>
      <c r="W330" s="25" t="str">
        <f>IF(テーブル1[[#This Row],[幅]]=0,"",テーブル1[[#This Row],[KG合計]]/テーブル1[[#This Row],[SM]]*1000)</f>
        <v/>
      </c>
      <c r="X330" s="25">
        <f>IF(テーブル1[[#This Row],[g/SM]]="",テーブル1[[#This Row],[長さ]]*テーブル1[[#This Row],[g/M]]/1000,テーブル1[[#This Row],[SM]]*テーブル1[[#This Row],[g/SM]]/1000)</f>
        <v>0</v>
      </c>
      <c r="Y330" s="25"/>
      <c r="Z330" s="25">
        <f>SUM(テーブル1[[#This Row],[KG(目付)]:[KG]])</f>
        <v>0</v>
      </c>
      <c r="AA330" s="11"/>
      <c r="AB330" s="11"/>
      <c r="AC330" s="24">
        <f>$G$7*(テーブル1[[#This Row],[金額]]*$G$6)</f>
        <v>0</v>
      </c>
    </row>
    <row r="331" spans="11:29" ht="39.950000000000003" customHeight="1">
      <c r="K331" s="7"/>
      <c r="L331" s="7"/>
      <c r="M331" s="7"/>
      <c r="N331" s="7"/>
      <c r="O331" s="21">
        <f t="shared" si="7"/>
        <v>0</v>
      </c>
      <c r="P331" s="7"/>
      <c r="Q331" s="11"/>
      <c r="R331" s="11"/>
      <c r="S331" s="11"/>
      <c r="T331" s="11"/>
      <c r="U331" s="11"/>
      <c r="V331" s="25">
        <f>IF($G$8="",テーブル1[[#This Row],[幅]]*テーブル1[[#This Row],[長さ]],テーブル1[[#This Row],[幅]]*テーブル1[[#This Row],[長さ]]*$G$8)</f>
        <v>0</v>
      </c>
      <c r="W331" s="25" t="str">
        <f>IF(テーブル1[[#This Row],[幅]]=0,"",テーブル1[[#This Row],[KG合計]]/テーブル1[[#This Row],[SM]]*1000)</f>
        <v/>
      </c>
      <c r="X331" s="25">
        <f>IF(テーブル1[[#This Row],[g/SM]]="",テーブル1[[#This Row],[長さ]]*テーブル1[[#This Row],[g/M]]/1000,テーブル1[[#This Row],[SM]]*テーブル1[[#This Row],[g/SM]]/1000)</f>
        <v>0</v>
      </c>
      <c r="Y331" s="25"/>
      <c r="Z331" s="25">
        <f>SUM(テーブル1[[#This Row],[KG(目付)]:[KG]])</f>
        <v>0</v>
      </c>
      <c r="AA331" s="11"/>
      <c r="AB331" s="11"/>
      <c r="AC331" s="24">
        <f>$G$7*(テーブル1[[#This Row],[金額]]*$G$6)</f>
        <v>0</v>
      </c>
    </row>
    <row r="332" spans="11:29" ht="39.950000000000003" customHeight="1">
      <c r="K332" s="7"/>
      <c r="L332" s="7"/>
      <c r="M332" s="7"/>
      <c r="N332" s="7"/>
      <c r="O332" s="21">
        <f t="shared" si="7"/>
        <v>0</v>
      </c>
      <c r="P332" s="7"/>
      <c r="Q332" s="11"/>
      <c r="R332" s="11"/>
      <c r="S332" s="11"/>
      <c r="T332" s="11"/>
      <c r="U332" s="11"/>
      <c r="V332" s="25">
        <f>IF($G$8="",テーブル1[[#This Row],[幅]]*テーブル1[[#This Row],[長さ]],テーブル1[[#This Row],[幅]]*テーブル1[[#This Row],[長さ]]*$G$8)</f>
        <v>0</v>
      </c>
      <c r="W332" s="25" t="str">
        <f>IF(テーブル1[[#This Row],[幅]]=0,"",テーブル1[[#This Row],[KG合計]]/テーブル1[[#This Row],[SM]]*1000)</f>
        <v/>
      </c>
      <c r="X332" s="25">
        <f>IF(テーブル1[[#This Row],[g/SM]]="",テーブル1[[#This Row],[長さ]]*テーブル1[[#This Row],[g/M]]/1000,テーブル1[[#This Row],[SM]]*テーブル1[[#This Row],[g/SM]]/1000)</f>
        <v>0</v>
      </c>
      <c r="Y332" s="25"/>
      <c r="Z332" s="25">
        <f>SUM(テーブル1[[#This Row],[KG(目付)]:[KG]])</f>
        <v>0</v>
      </c>
      <c r="AA332" s="11"/>
      <c r="AB332" s="11"/>
      <c r="AC332" s="24">
        <f>$G$7*(テーブル1[[#This Row],[金額]]*$G$6)</f>
        <v>0</v>
      </c>
    </row>
    <row r="333" spans="11:29" ht="39.950000000000003" customHeight="1">
      <c r="K333" s="7"/>
      <c r="L333" s="7"/>
      <c r="M333" s="7"/>
      <c r="N333" s="7"/>
      <c r="O333" s="21">
        <f t="shared" si="7"/>
        <v>0</v>
      </c>
      <c r="P333" s="7"/>
      <c r="Q333" s="11"/>
      <c r="R333" s="11"/>
      <c r="S333" s="11"/>
      <c r="T333" s="11"/>
      <c r="U333" s="11"/>
      <c r="V333" s="25">
        <f>IF($G$8="",テーブル1[[#This Row],[幅]]*テーブル1[[#This Row],[長さ]],テーブル1[[#This Row],[幅]]*テーブル1[[#This Row],[長さ]]*$G$8)</f>
        <v>0</v>
      </c>
      <c r="W333" s="25" t="str">
        <f>IF(テーブル1[[#This Row],[幅]]=0,"",テーブル1[[#This Row],[KG合計]]/テーブル1[[#This Row],[SM]]*1000)</f>
        <v/>
      </c>
      <c r="X333" s="25">
        <f>IF(テーブル1[[#This Row],[g/SM]]="",テーブル1[[#This Row],[長さ]]*テーブル1[[#This Row],[g/M]]/1000,テーブル1[[#This Row],[SM]]*テーブル1[[#This Row],[g/SM]]/1000)</f>
        <v>0</v>
      </c>
      <c r="Y333" s="25"/>
      <c r="Z333" s="25">
        <f>SUM(テーブル1[[#This Row],[KG(目付)]:[KG]])</f>
        <v>0</v>
      </c>
      <c r="AA333" s="11"/>
      <c r="AB333" s="11"/>
      <c r="AC333" s="24">
        <f>$G$7*(テーブル1[[#This Row],[金額]]*$G$6)</f>
        <v>0</v>
      </c>
    </row>
    <row r="334" spans="11:29" ht="39.950000000000003" customHeight="1">
      <c r="K334" s="7"/>
      <c r="L334" s="7"/>
      <c r="M334" s="7"/>
      <c r="N334" s="7"/>
      <c r="O334" s="21">
        <f t="shared" si="7"/>
        <v>0</v>
      </c>
      <c r="P334" s="7"/>
      <c r="Q334" s="11"/>
      <c r="R334" s="11"/>
      <c r="S334" s="11"/>
      <c r="T334" s="11"/>
      <c r="U334" s="11"/>
      <c r="V334" s="25">
        <f>IF($G$8="",テーブル1[[#This Row],[幅]]*テーブル1[[#This Row],[長さ]],テーブル1[[#This Row],[幅]]*テーブル1[[#This Row],[長さ]]*$G$8)</f>
        <v>0</v>
      </c>
      <c r="W334" s="25" t="str">
        <f>IF(テーブル1[[#This Row],[幅]]=0,"",テーブル1[[#This Row],[KG合計]]/テーブル1[[#This Row],[SM]]*1000)</f>
        <v/>
      </c>
      <c r="X334" s="25">
        <f>IF(テーブル1[[#This Row],[g/SM]]="",テーブル1[[#This Row],[長さ]]*テーブル1[[#This Row],[g/M]]/1000,テーブル1[[#This Row],[SM]]*テーブル1[[#This Row],[g/SM]]/1000)</f>
        <v>0</v>
      </c>
      <c r="Y334" s="25"/>
      <c r="Z334" s="25">
        <f>SUM(テーブル1[[#This Row],[KG(目付)]:[KG]])</f>
        <v>0</v>
      </c>
      <c r="AA334" s="11"/>
      <c r="AB334" s="11"/>
      <c r="AC334" s="24">
        <f>$G$7*(テーブル1[[#This Row],[金額]]*$G$6)</f>
        <v>0</v>
      </c>
    </row>
    <row r="335" spans="11:29" ht="39.950000000000003" customHeight="1">
      <c r="K335" s="7"/>
      <c r="L335" s="7"/>
      <c r="M335" s="7"/>
      <c r="N335" s="7"/>
      <c r="O335" s="21">
        <f t="shared" si="7"/>
        <v>0</v>
      </c>
      <c r="P335" s="7"/>
      <c r="Q335" s="11"/>
      <c r="R335" s="11"/>
      <c r="S335" s="11"/>
      <c r="T335" s="11"/>
      <c r="U335" s="11"/>
      <c r="V335" s="25">
        <f>IF($G$8="",テーブル1[[#This Row],[幅]]*テーブル1[[#This Row],[長さ]],テーブル1[[#This Row],[幅]]*テーブル1[[#This Row],[長さ]]*$G$8)</f>
        <v>0</v>
      </c>
      <c r="W335" s="25" t="str">
        <f>IF(テーブル1[[#This Row],[幅]]=0,"",テーブル1[[#This Row],[KG合計]]/テーブル1[[#This Row],[SM]]*1000)</f>
        <v/>
      </c>
      <c r="X335" s="25">
        <f>IF(テーブル1[[#This Row],[g/SM]]="",テーブル1[[#This Row],[長さ]]*テーブル1[[#This Row],[g/M]]/1000,テーブル1[[#This Row],[SM]]*テーブル1[[#This Row],[g/SM]]/1000)</f>
        <v>0</v>
      </c>
      <c r="Y335" s="25"/>
      <c r="Z335" s="25">
        <f>SUM(テーブル1[[#This Row],[KG(目付)]:[KG]])</f>
        <v>0</v>
      </c>
      <c r="AA335" s="11"/>
      <c r="AB335" s="11"/>
      <c r="AC335" s="24">
        <f>$G$7*(テーブル1[[#This Row],[金額]]*$G$6)</f>
        <v>0</v>
      </c>
    </row>
    <row r="336" spans="11:29" ht="39.950000000000003" customHeight="1">
      <c r="K336" s="7"/>
      <c r="L336" s="7"/>
      <c r="M336" s="7"/>
      <c r="N336" s="7"/>
      <c r="O336" s="21">
        <f t="shared" si="7"/>
        <v>0</v>
      </c>
      <c r="P336" s="7"/>
      <c r="Q336" s="11"/>
      <c r="R336" s="11"/>
      <c r="S336" s="11"/>
      <c r="T336" s="11"/>
      <c r="U336" s="11"/>
      <c r="V336" s="25">
        <f>IF($G$8="",テーブル1[[#This Row],[幅]]*テーブル1[[#This Row],[長さ]],テーブル1[[#This Row],[幅]]*テーブル1[[#This Row],[長さ]]*$G$8)</f>
        <v>0</v>
      </c>
      <c r="W336" s="25" t="str">
        <f>IF(テーブル1[[#This Row],[幅]]=0,"",テーブル1[[#This Row],[KG合計]]/テーブル1[[#This Row],[SM]]*1000)</f>
        <v/>
      </c>
      <c r="X336" s="25">
        <f>IF(テーブル1[[#This Row],[g/SM]]="",テーブル1[[#This Row],[長さ]]*テーブル1[[#This Row],[g/M]]/1000,テーブル1[[#This Row],[SM]]*テーブル1[[#This Row],[g/SM]]/1000)</f>
        <v>0</v>
      </c>
      <c r="Y336" s="25"/>
      <c r="Z336" s="25">
        <f>SUM(テーブル1[[#This Row],[KG(目付)]:[KG]])</f>
        <v>0</v>
      </c>
      <c r="AA336" s="11"/>
      <c r="AB336" s="11"/>
      <c r="AC336" s="24">
        <f>$G$7*(テーブル1[[#This Row],[金額]]*$G$6)</f>
        <v>0</v>
      </c>
    </row>
    <row r="337" spans="11:29" ht="39.950000000000003" customHeight="1">
      <c r="K337" s="7"/>
      <c r="L337" s="7"/>
      <c r="M337" s="7"/>
      <c r="N337" s="7"/>
      <c r="O337" s="21">
        <f t="shared" si="7"/>
        <v>0</v>
      </c>
      <c r="P337" s="7"/>
      <c r="Q337" s="11"/>
      <c r="R337" s="11"/>
      <c r="S337" s="11"/>
      <c r="T337" s="11"/>
      <c r="U337" s="11"/>
      <c r="V337" s="25">
        <f>IF($G$8="",テーブル1[[#This Row],[幅]]*テーブル1[[#This Row],[長さ]],テーブル1[[#This Row],[幅]]*テーブル1[[#This Row],[長さ]]*$G$8)</f>
        <v>0</v>
      </c>
      <c r="W337" s="25" t="str">
        <f>IF(テーブル1[[#This Row],[幅]]=0,"",テーブル1[[#This Row],[KG合計]]/テーブル1[[#This Row],[SM]]*1000)</f>
        <v/>
      </c>
      <c r="X337" s="25">
        <f>IF(テーブル1[[#This Row],[g/SM]]="",テーブル1[[#This Row],[長さ]]*テーブル1[[#This Row],[g/M]]/1000,テーブル1[[#This Row],[SM]]*テーブル1[[#This Row],[g/SM]]/1000)</f>
        <v>0</v>
      </c>
      <c r="Y337" s="25"/>
      <c r="Z337" s="25">
        <f>SUM(テーブル1[[#This Row],[KG(目付)]:[KG]])</f>
        <v>0</v>
      </c>
      <c r="AA337" s="11"/>
      <c r="AB337" s="11"/>
      <c r="AC337" s="24">
        <f>$G$7*(テーブル1[[#This Row],[金額]]*$G$6)</f>
        <v>0</v>
      </c>
    </row>
    <row r="338" spans="11:29" ht="39.950000000000003" customHeight="1">
      <c r="K338" s="7"/>
      <c r="L338" s="7"/>
      <c r="M338" s="7"/>
      <c r="N338" s="7"/>
      <c r="O338" s="21">
        <f t="shared" si="7"/>
        <v>0</v>
      </c>
      <c r="P338" s="7"/>
      <c r="Q338" s="11"/>
      <c r="R338" s="11"/>
      <c r="S338" s="11"/>
      <c r="T338" s="11"/>
      <c r="U338" s="11"/>
      <c r="V338" s="25">
        <f>IF($G$8="",テーブル1[[#This Row],[幅]]*テーブル1[[#This Row],[長さ]],テーブル1[[#This Row],[幅]]*テーブル1[[#This Row],[長さ]]*$G$8)</f>
        <v>0</v>
      </c>
      <c r="W338" s="25" t="str">
        <f>IF(テーブル1[[#This Row],[幅]]=0,"",テーブル1[[#This Row],[KG合計]]/テーブル1[[#This Row],[SM]]*1000)</f>
        <v/>
      </c>
      <c r="X338" s="25">
        <f>IF(テーブル1[[#This Row],[g/SM]]="",テーブル1[[#This Row],[長さ]]*テーブル1[[#This Row],[g/M]]/1000,テーブル1[[#This Row],[SM]]*テーブル1[[#This Row],[g/SM]]/1000)</f>
        <v>0</v>
      </c>
      <c r="Y338" s="25"/>
      <c r="Z338" s="25">
        <f>SUM(テーブル1[[#This Row],[KG(目付)]:[KG]])</f>
        <v>0</v>
      </c>
      <c r="AA338" s="11"/>
      <c r="AB338" s="11"/>
      <c r="AC338" s="24">
        <f>$G$7*(テーブル1[[#This Row],[金額]]*$G$6)</f>
        <v>0</v>
      </c>
    </row>
    <row r="339" spans="11:29" ht="39.950000000000003" customHeight="1">
      <c r="K339" s="7"/>
      <c r="L339" s="7"/>
      <c r="M339" s="7"/>
      <c r="N339" s="7"/>
      <c r="O339" s="21">
        <f t="shared" ref="O339:O362" si="8">IF(LEN(N339)=10,RIGHT(N339,1),IFERROR(N339-(INT(N339/7)*7),RIGHT(N339,1)))</f>
        <v>0</v>
      </c>
      <c r="P339" s="7"/>
      <c r="Q339" s="11"/>
      <c r="R339" s="11"/>
      <c r="S339" s="11"/>
      <c r="T339" s="11"/>
      <c r="U339" s="11"/>
      <c r="V339" s="25">
        <f>IF($G$8="",テーブル1[[#This Row],[幅]]*テーブル1[[#This Row],[長さ]],テーブル1[[#This Row],[幅]]*テーブル1[[#This Row],[長さ]]*$G$8)</f>
        <v>0</v>
      </c>
      <c r="W339" s="25" t="str">
        <f>IF(テーブル1[[#This Row],[幅]]=0,"",テーブル1[[#This Row],[KG合計]]/テーブル1[[#This Row],[SM]]*1000)</f>
        <v/>
      </c>
      <c r="X339" s="25">
        <f>IF(テーブル1[[#This Row],[g/SM]]="",テーブル1[[#This Row],[長さ]]*テーブル1[[#This Row],[g/M]]/1000,テーブル1[[#This Row],[SM]]*テーブル1[[#This Row],[g/SM]]/1000)</f>
        <v>0</v>
      </c>
      <c r="Y339" s="25"/>
      <c r="Z339" s="25">
        <f>SUM(テーブル1[[#This Row],[KG(目付)]:[KG]])</f>
        <v>0</v>
      </c>
      <c r="AA339" s="11"/>
      <c r="AB339" s="11"/>
      <c r="AC339" s="24">
        <f>$G$7*(テーブル1[[#This Row],[金額]]*$G$6)</f>
        <v>0</v>
      </c>
    </row>
    <row r="340" spans="11:29" ht="39.950000000000003" customHeight="1">
      <c r="K340" s="7"/>
      <c r="L340" s="7"/>
      <c r="M340" s="7"/>
      <c r="N340" s="7"/>
      <c r="O340" s="21">
        <f t="shared" si="8"/>
        <v>0</v>
      </c>
      <c r="P340" s="7"/>
      <c r="Q340" s="11"/>
      <c r="R340" s="11"/>
      <c r="S340" s="11"/>
      <c r="T340" s="11"/>
      <c r="U340" s="11"/>
      <c r="V340" s="25">
        <f>IF($G$8="",テーブル1[[#This Row],[幅]]*テーブル1[[#This Row],[長さ]],テーブル1[[#This Row],[幅]]*テーブル1[[#This Row],[長さ]]*$G$8)</f>
        <v>0</v>
      </c>
      <c r="W340" s="25" t="str">
        <f>IF(テーブル1[[#This Row],[幅]]=0,"",テーブル1[[#This Row],[KG合計]]/テーブル1[[#This Row],[SM]]*1000)</f>
        <v/>
      </c>
      <c r="X340" s="25">
        <f>IF(テーブル1[[#This Row],[g/SM]]="",テーブル1[[#This Row],[長さ]]*テーブル1[[#This Row],[g/M]]/1000,テーブル1[[#This Row],[SM]]*テーブル1[[#This Row],[g/SM]]/1000)</f>
        <v>0</v>
      </c>
      <c r="Y340" s="25"/>
      <c r="Z340" s="25">
        <f>SUM(テーブル1[[#This Row],[KG(目付)]:[KG]])</f>
        <v>0</v>
      </c>
      <c r="AA340" s="11"/>
      <c r="AB340" s="11"/>
      <c r="AC340" s="24">
        <f>$G$7*(テーブル1[[#This Row],[金額]]*$G$6)</f>
        <v>0</v>
      </c>
    </row>
    <row r="341" spans="11:29" ht="39.950000000000003" customHeight="1">
      <c r="K341" s="7"/>
      <c r="L341" s="7"/>
      <c r="M341" s="7"/>
      <c r="N341" s="7"/>
      <c r="O341" s="21">
        <f t="shared" si="8"/>
        <v>0</v>
      </c>
      <c r="P341" s="7"/>
      <c r="Q341" s="11"/>
      <c r="R341" s="11"/>
      <c r="S341" s="11"/>
      <c r="T341" s="11"/>
      <c r="U341" s="11"/>
      <c r="V341" s="25">
        <f>IF($G$8="",テーブル1[[#This Row],[幅]]*テーブル1[[#This Row],[長さ]],テーブル1[[#This Row],[幅]]*テーブル1[[#This Row],[長さ]]*$G$8)</f>
        <v>0</v>
      </c>
      <c r="W341" s="25" t="str">
        <f>IF(テーブル1[[#This Row],[幅]]=0,"",テーブル1[[#This Row],[KG合計]]/テーブル1[[#This Row],[SM]]*1000)</f>
        <v/>
      </c>
      <c r="X341" s="25">
        <f>IF(テーブル1[[#This Row],[g/SM]]="",テーブル1[[#This Row],[長さ]]*テーブル1[[#This Row],[g/M]]/1000,テーブル1[[#This Row],[SM]]*テーブル1[[#This Row],[g/SM]]/1000)</f>
        <v>0</v>
      </c>
      <c r="Y341" s="25"/>
      <c r="Z341" s="25">
        <f>SUM(テーブル1[[#This Row],[KG(目付)]:[KG]])</f>
        <v>0</v>
      </c>
      <c r="AA341" s="11"/>
      <c r="AB341" s="11"/>
      <c r="AC341" s="24">
        <f>$G$7*(テーブル1[[#This Row],[金額]]*$G$6)</f>
        <v>0</v>
      </c>
    </row>
    <row r="342" spans="11:29" ht="39.950000000000003" customHeight="1">
      <c r="K342" s="7"/>
      <c r="L342" s="7"/>
      <c r="M342" s="7"/>
      <c r="N342" s="7"/>
      <c r="O342" s="21">
        <f t="shared" si="8"/>
        <v>0</v>
      </c>
      <c r="P342" s="7"/>
      <c r="Q342" s="11"/>
      <c r="R342" s="11"/>
      <c r="S342" s="11"/>
      <c r="T342" s="11"/>
      <c r="U342" s="11"/>
      <c r="V342" s="25">
        <f>IF($G$8="",テーブル1[[#This Row],[幅]]*テーブル1[[#This Row],[長さ]],テーブル1[[#This Row],[幅]]*テーブル1[[#This Row],[長さ]]*$G$8)</f>
        <v>0</v>
      </c>
      <c r="W342" s="25" t="str">
        <f>IF(テーブル1[[#This Row],[幅]]=0,"",テーブル1[[#This Row],[KG合計]]/テーブル1[[#This Row],[SM]]*1000)</f>
        <v/>
      </c>
      <c r="X342" s="25">
        <f>IF(テーブル1[[#This Row],[g/SM]]="",テーブル1[[#This Row],[長さ]]*テーブル1[[#This Row],[g/M]]/1000,テーブル1[[#This Row],[SM]]*テーブル1[[#This Row],[g/SM]]/1000)</f>
        <v>0</v>
      </c>
      <c r="Y342" s="25"/>
      <c r="Z342" s="25">
        <f>SUM(テーブル1[[#This Row],[KG(目付)]:[KG]])</f>
        <v>0</v>
      </c>
      <c r="AA342" s="11"/>
      <c r="AB342" s="11"/>
      <c r="AC342" s="24">
        <f>$G$7*(テーブル1[[#This Row],[金額]]*$G$6)</f>
        <v>0</v>
      </c>
    </row>
    <row r="343" spans="11:29" ht="39.950000000000003" customHeight="1">
      <c r="K343" s="7"/>
      <c r="L343" s="7"/>
      <c r="M343" s="7"/>
      <c r="N343" s="7"/>
      <c r="O343" s="21">
        <f t="shared" si="8"/>
        <v>0</v>
      </c>
      <c r="P343" s="7"/>
      <c r="Q343" s="11"/>
      <c r="R343" s="11"/>
      <c r="S343" s="11"/>
      <c r="T343" s="11"/>
      <c r="U343" s="11"/>
      <c r="V343" s="25">
        <f>IF($G$8="",テーブル1[[#This Row],[幅]]*テーブル1[[#This Row],[長さ]],テーブル1[[#This Row],[幅]]*テーブル1[[#This Row],[長さ]]*$G$8)</f>
        <v>0</v>
      </c>
      <c r="W343" s="25" t="str">
        <f>IF(テーブル1[[#This Row],[幅]]=0,"",テーブル1[[#This Row],[KG合計]]/テーブル1[[#This Row],[SM]]*1000)</f>
        <v/>
      </c>
      <c r="X343" s="25">
        <f>IF(テーブル1[[#This Row],[g/SM]]="",テーブル1[[#This Row],[長さ]]*テーブル1[[#This Row],[g/M]]/1000,テーブル1[[#This Row],[SM]]*テーブル1[[#This Row],[g/SM]]/1000)</f>
        <v>0</v>
      </c>
      <c r="Y343" s="25"/>
      <c r="Z343" s="25">
        <f>SUM(テーブル1[[#This Row],[KG(目付)]:[KG]])</f>
        <v>0</v>
      </c>
      <c r="AA343" s="11"/>
      <c r="AB343" s="11"/>
      <c r="AC343" s="24">
        <f>$G$7*(テーブル1[[#This Row],[金額]]*$G$6)</f>
        <v>0</v>
      </c>
    </row>
    <row r="344" spans="11:29" ht="39.950000000000003" customHeight="1">
      <c r="K344" s="7"/>
      <c r="L344" s="7"/>
      <c r="M344" s="7"/>
      <c r="N344" s="7"/>
      <c r="O344" s="21">
        <f t="shared" si="8"/>
        <v>0</v>
      </c>
      <c r="P344" s="7"/>
      <c r="Q344" s="11"/>
      <c r="R344" s="11"/>
      <c r="S344" s="11"/>
      <c r="T344" s="11"/>
      <c r="U344" s="11"/>
      <c r="V344" s="25">
        <f>IF($G$8="",テーブル1[[#This Row],[幅]]*テーブル1[[#This Row],[長さ]],テーブル1[[#This Row],[幅]]*テーブル1[[#This Row],[長さ]]*$G$8)</f>
        <v>0</v>
      </c>
      <c r="W344" s="25" t="str">
        <f>IF(テーブル1[[#This Row],[幅]]=0,"",テーブル1[[#This Row],[KG合計]]/テーブル1[[#This Row],[SM]]*1000)</f>
        <v/>
      </c>
      <c r="X344" s="25">
        <f>IF(テーブル1[[#This Row],[g/SM]]="",テーブル1[[#This Row],[長さ]]*テーブル1[[#This Row],[g/M]]/1000,テーブル1[[#This Row],[SM]]*テーブル1[[#This Row],[g/SM]]/1000)</f>
        <v>0</v>
      </c>
      <c r="Y344" s="25"/>
      <c r="Z344" s="25">
        <f>SUM(テーブル1[[#This Row],[KG(目付)]:[KG]])</f>
        <v>0</v>
      </c>
      <c r="AA344" s="11"/>
      <c r="AB344" s="11"/>
      <c r="AC344" s="24">
        <f>$G$7*(テーブル1[[#This Row],[金額]]*$G$6)</f>
        <v>0</v>
      </c>
    </row>
    <row r="345" spans="11:29" ht="39.950000000000003" customHeight="1">
      <c r="K345" s="7"/>
      <c r="L345" s="7"/>
      <c r="M345" s="7"/>
      <c r="N345" s="7"/>
      <c r="O345" s="21">
        <f t="shared" si="8"/>
        <v>0</v>
      </c>
      <c r="P345" s="7"/>
      <c r="Q345" s="11"/>
      <c r="R345" s="11"/>
      <c r="S345" s="11"/>
      <c r="T345" s="11"/>
      <c r="U345" s="11"/>
      <c r="V345" s="25">
        <f>IF($G$8="",テーブル1[[#This Row],[幅]]*テーブル1[[#This Row],[長さ]],テーブル1[[#This Row],[幅]]*テーブル1[[#This Row],[長さ]]*$G$8)</f>
        <v>0</v>
      </c>
      <c r="W345" s="25" t="str">
        <f>IF(テーブル1[[#This Row],[幅]]=0,"",テーブル1[[#This Row],[KG合計]]/テーブル1[[#This Row],[SM]]*1000)</f>
        <v/>
      </c>
      <c r="X345" s="25">
        <f>IF(テーブル1[[#This Row],[g/SM]]="",テーブル1[[#This Row],[長さ]]*テーブル1[[#This Row],[g/M]]/1000,テーブル1[[#This Row],[SM]]*テーブル1[[#This Row],[g/SM]]/1000)</f>
        <v>0</v>
      </c>
      <c r="Y345" s="25"/>
      <c r="Z345" s="25">
        <f>SUM(テーブル1[[#This Row],[KG(目付)]:[KG]])</f>
        <v>0</v>
      </c>
      <c r="AA345" s="11"/>
      <c r="AB345" s="11"/>
      <c r="AC345" s="24">
        <f>$G$7*(テーブル1[[#This Row],[金額]]*$G$6)</f>
        <v>0</v>
      </c>
    </row>
    <row r="346" spans="11:29" ht="39.950000000000003" customHeight="1">
      <c r="K346" s="7"/>
      <c r="L346" s="7"/>
      <c r="M346" s="7"/>
      <c r="N346" s="7"/>
      <c r="O346" s="21">
        <f t="shared" si="8"/>
        <v>0</v>
      </c>
      <c r="P346" s="7"/>
      <c r="Q346" s="11"/>
      <c r="R346" s="11"/>
      <c r="S346" s="11"/>
      <c r="T346" s="11"/>
      <c r="U346" s="11"/>
      <c r="V346" s="25">
        <f>IF($G$8="",テーブル1[[#This Row],[幅]]*テーブル1[[#This Row],[長さ]],テーブル1[[#This Row],[幅]]*テーブル1[[#This Row],[長さ]]*$G$8)</f>
        <v>0</v>
      </c>
      <c r="W346" s="25" t="str">
        <f>IF(テーブル1[[#This Row],[幅]]=0,"",テーブル1[[#This Row],[KG合計]]/テーブル1[[#This Row],[SM]]*1000)</f>
        <v/>
      </c>
      <c r="X346" s="25">
        <f>IF(テーブル1[[#This Row],[g/SM]]="",テーブル1[[#This Row],[長さ]]*テーブル1[[#This Row],[g/M]]/1000,テーブル1[[#This Row],[SM]]*テーブル1[[#This Row],[g/SM]]/1000)</f>
        <v>0</v>
      </c>
      <c r="Y346" s="25"/>
      <c r="Z346" s="25">
        <f>SUM(テーブル1[[#This Row],[KG(目付)]:[KG]])</f>
        <v>0</v>
      </c>
      <c r="AA346" s="11"/>
      <c r="AB346" s="11"/>
      <c r="AC346" s="24">
        <f>$G$7*(テーブル1[[#This Row],[金額]]*$G$6)</f>
        <v>0</v>
      </c>
    </row>
    <row r="347" spans="11:29" ht="39.950000000000003" customHeight="1">
      <c r="K347" s="7"/>
      <c r="L347" s="7"/>
      <c r="M347" s="7"/>
      <c r="N347" s="7"/>
      <c r="O347" s="21">
        <f t="shared" si="8"/>
        <v>0</v>
      </c>
      <c r="P347" s="7"/>
      <c r="Q347" s="11"/>
      <c r="R347" s="11"/>
      <c r="S347" s="11"/>
      <c r="T347" s="11"/>
      <c r="U347" s="11"/>
      <c r="V347" s="25">
        <f>IF($G$8="",テーブル1[[#This Row],[幅]]*テーブル1[[#This Row],[長さ]],テーブル1[[#This Row],[幅]]*テーブル1[[#This Row],[長さ]]*$G$8)</f>
        <v>0</v>
      </c>
      <c r="W347" s="25" t="str">
        <f>IF(テーブル1[[#This Row],[幅]]=0,"",テーブル1[[#This Row],[KG合計]]/テーブル1[[#This Row],[SM]]*1000)</f>
        <v/>
      </c>
      <c r="X347" s="25">
        <f>IF(テーブル1[[#This Row],[g/SM]]="",テーブル1[[#This Row],[長さ]]*テーブル1[[#This Row],[g/M]]/1000,テーブル1[[#This Row],[SM]]*テーブル1[[#This Row],[g/SM]]/1000)</f>
        <v>0</v>
      </c>
      <c r="Y347" s="25"/>
      <c r="Z347" s="25">
        <f>SUM(テーブル1[[#This Row],[KG(目付)]:[KG]])</f>
        <v>0</v>
      </c>
      <c r="AA347" s="11"/>
      <c r="AB347" s="11"/>
      <c r="AC347" s="24">
        <f>$G$7*(テーブル1[[#This Row],[金額]]*$G$6)</f>
        <v>0</v>
      </c>
    </row>
    <row r="348" spans="11:29" ht="39.950000000000003" customHeight="1">
      <c r="K348" s="7"/>
      <c r="L348" s="7"/>
      <c r="M348" s="7"/>
      <c r="N348" s="7"/>
      <c r="O348" s="21">
        <f t="shared" si="8"/>
        <v>0</v>
      </c>
      <c r="P348" s="7"/>
      <c r="Q348" s="11"/>
      <c r="R348" s="11"/>
      <c r="S348" s="11"/>
      <c r="T348" s="11"/>
      <c r="U348" s="11"/>
      <c r="V348" s="25">
        <f>IF($G$8="",テーブル1[[#This Row],[幅]]*テーブル1[[#This Row],[長さ]],テーブル1[[#This Row],[幅]]*テーブル1[[#This Row],[長さ]]*$G$8)</f>
        <v>0</v>
      </c>
      <c r="W348" s="25" t="str">
        <f>IF(テーブル1[[#This Row],[幅]]=0,"",テーブル1[[#This Row],[KG合計]]/テーブル1[[#This Row],[SM]]*1000)</f>
        <v/>
      </c>
      <c r="X348" s="25">
        <f>IF(テーブル1[[#This Row],[g/SM]]="",テーブル1[[#This Row],[長さ]]*テーブル1[[#This Row],[g/M]]/1000,テーブル1[[#This Row],[SM]]*テーブル1[[#This Row],[g/SM]]/1000)</f>
        <v>0</v>
      </c>
      <c r="Y348" s="25"/>
      <c r="Z348" s="25">
        <f>SUM(テーブル1[[#This Row],[KG(目付)]:[KG]])</f>
        <v>0</v>
      </c>
      <c r="AA348" s="11"/>
      <c r="AB348" s="11"/>
      <c r="AC348" s="24">
        <f>$G$7*(テーブル1[[#This Row],[金額]]*$G$6)</f>
        <v>0</v>
      </c>
    </row>
    <row r="349" spans="11:29" ht="39.950000000000003" customHeight="1">
      <c r="K349" s="7"/>
      <c r="L349" s="7"/>
      <c r="M349" s="7"/>
      <c r="N349" s="7"/>
      <c r="O349" s="21">
        <f t="shared" si="8"/>
        <v>0</v>
      </c>
      <c r="P349" s="7"/>
      <c r="Q349" s="11"/>
      <c r="R349" s="11"/>
      <c r="S349" s="11"/>
      <c r="T349" s="11"/>
      <c r="U349" s="11"/>
      <c r="V349" s="25">
        <f>IF($G$8="",テーブル1[[#This Row],[幅]]*テーブル1[[#This Row],[長さ]],テーブル1[[#This Row],[幅]]*テーブル1[[#This Row],[長さ]]*$G$8)</f>
        <v>0</v>
      </c>
      <c r="W349" s="25" t="str">
        <f>IF(テーブル1[[#This Row],[幅]]=0,"",テーブル1[[#This Row],[KG合計]]/テーブル1[[#This Row],[SM]]*1000)</f>
        <v/>
      </c>
      <c r="X349" s="25">
        <f>IF(テーブル1[[#This Row],[g/SM]]="",テーブル1[[#This Row],[長さ]]*テーブル1[[#This Row],[g/M]]/1000,テーブル1[[#This Row],[SM]]*テーブル1[[#This Row],[g/SM]]/1000)</f>
        <v>0</v>
      </c>
      <c r="Y349" s="25"/>
      <c r="Z349" s="25">
        <f>SUM(テーブル1[[#This Row],[KG(目付)]:[KG]])</f>
        <v>0</v>
      </c>
      <c r="AA349" s="11"/>
      <c r="AB349" s="11"/>
      <c r="AC349" s="24">
        <f>$G$7*(テーブル1[[#This Row],[金額]]*$G$6)</f>
        <v>0</v>
      </c>
    </row>
    <row r="350" spans="11:29" ht="39.950000000000003" customHeight="1">
      <c r="K350" s="7"/>
      <c r="L350" s="7"/>
      <c r="M350" s="7"/>
      <c r="N350" s="7"/>
      <c r="O350" s="21">
        <f t="shared" si="8"/>
        <v>0</v>
      </c>
      <c r="P350" s="7"/>
      <c r="Q350" s="11"/>
      <c r="R350" s="11"/>
      <c r="S350" s="11"/>
      <c r="T350" s="11"/>
      <c r="U350" s="11"/>
      <c r="V350" s="25">
        <f>IF($G$8="",テーブル1[[#This Row],[幅]]*テーブル1[[#This Row],[長さ]],テーブル1[[#This Row],[幅]]*テーブル1[[#This Row],[長さ]]*$G$8)</f>
        <v>0</v>
      </c>
      <c r="W350" s="25" t="str">
        <f>IF(テーブル1[[#This Row],[幅]]=0,"",テーブル1[[#This Row],[KG合計]]/テーブル1[[#This Row],[SM]]*1000)</f>
        <v/>
      </c>
      <c r="X350" s="25">
        <f>IF(テーブル1[[#This Row],[g/SM]]="",テーブル1[[#This Row],[長さ]]*テーブル1[[#This Row],[g/M]]/1000,テーブル1[[#This Row],[SM]]*テーブル1[[#This Row],[g/SM]]/1000)</f>
        <v>0</v>
      </c>
      <c r="Y350" s="25"/>
      <c r="Z350" s="25">
        <f>SUM(テーブル1[[#This Row],[KG(目付)]:[KG]])</f>
        <v>0</v>
      </c>
      <c r="AA350" s="11"/>
      <c r="AB350" s="11"/>
      <c r="AC350" s="24">
        <f>$G$7*(テーブル1[[#This Row],[金額]]*$G$6)</f>
        <v>0</v>
      </c>
    </row>
    <row r="351" spans="11:29" ht="39.950000000000003" customHeight="1">
      <c r="K351" s="7"/>
      <c r="L351" s="7"/>
      <c r="M351" s="7"/>
      <c r="N351" s="7"/>
      <c r="O351" s="21">
        <f t="shared" si="8"/>
        <v>0</v>
      </c>
      <c r="P351" s="7"/>
      <c r="Q351" s="11"/>
      <c r="R351" s="11"/>
      <c r="S351" s="11"/>
      <c r="T351" s="11"/>
      <c r="U351" s="11"/>
      <c r="V351" s="25">
        <f>IF($G$8="",テーブル1[[#This Row],[幅]]*テーブル1[[#This Row],[長さ]],テーブル1[[#This Row],[幅]]*テーブル1[[#This Row],[長さ]]*$G$8)</f>
        <v>0</v>
      </c>
      <c r="W351" s="25" t="str">
        <f>IF(テーブル1[[#This Row],[幅]]=0,"",テーブル1[[#This Row],[KG合計]]/テーブル1[[#This Row],[SM]]*1000)</f>
        <v/>
      </c>
      <c r="X351" s="25">
        <f>IF(テーブル1[[#This Row],[g/SM]]="",テーブル1[[#This Row],[長さ]]*テーブル1[[#This Row],[g/M]]/1000,テーブル1[[#This Row],[SM]]*テーブル1[[#This Row],[g/SM]]/1000)</f>
        <v>0</v>
      </c>
      <c r="Y351" s="25"/>
      <c r="Z351" s="25">
        <f>SUM(テーブル1[[#This Row],[KG(目付)]:[KG]])</f>
        <v>0</v>
      </c>
      <c r="AA351" s="11"/>
      <c r="AB351" s="11"/>
      <c r="AC351" s="24">
        <f>$G$7*(テーブル1[[#This Row],[金額]]*$G$6)</f>
        <v>0</v>
      </c>
    </row>
    <row r="352" spans="11:29" ht="39.950000000000003" customHeight="1">
      <c r="K352" s="7"/>
      <c r="L352" s="7"/>
      <c r="M352" s="7"/>
      <c r="N352" s="7"/>
      <c r="O352" s="21">
        <f t="shared" si="8"/>
        <v>0</v>
      </c>
      <c r="P352" s="7"/>
      <c r="Q352" s="11"/>
      <c r="R352" s="11"/>
      <c r="S352" s="11"/>
      <c r="T352" s="11"/>
      <c r="U352" s="11"/>
      <c r="V352" s="25">
        <f>IF($G$8="",テーブル1[[#This Row],[幅]]*テーブル1[[#This Row],[長さ]],テーブル1[[#This Row],[幅]]*テーブル1[[#This Row],[長さ]]*$G$8)</f>
        <v>0</v>
      </c>
      <c r="W352" s="25" t="str">
        <f>IF(テーブル1[[#This Row],[幅]]=0,"",テーブル1[[#This Row],[KG合計]]/テーブル1[[#This Row],[SM]]*1000)</f>
        <v/>
      </c>
      <c r="X352" s="25">
        <f>IF(テーブル1[[#This Row],[g/SM]]="",テーブル1[[#This Row],[長さ]]*テーブル1[[#This Row],[g/M]]/1000,テーブル1[[#This Row],[SM]]*テーブル1[[#This Row],[g/SM]]/1000)</f>
        <v>0</v>
      </c>
      <c r="Y352" s="25"/>
      <c r="Z352" s="25">
        <f>SUM(テーブル1[[#This Row],[KG(目付)]:[KG]])</f>
        <v>0</v>
      </c>
      <c r="AA352" s="11"/>
      <c r="AB352" s="11"/>
      <c r="AC352" s="24">
        <f>$G$7*(テーブル1[[#This Row],[金額]]*$G$6)</f>
        <v>0</v>
      </c>
    </row>
    <row r="353" spans="11:29" ht="39.950000000000003" customHeight="1">
      <c r="K353" s="7"/>
      <c r="L353" s="7"/>
      <c r="M353" s="7"/>
      <c r="N353" s="7"/>
      <c r="O353" s="21">
        <f t="shared" si="8"/>
        <v>0</v>
      </c>
      <c r="P353" s="7"/>
      <c r="Q353" s="11"/>
      <c r="R353" s="11"/>
      <c r="S353" s="11"/>
      <c r="T353" s="11"/>
      <c r="U353" s="11"/>
      <c r="V353" s="25">
        <f>IF($G$8="",テーブル1[[#This Row],[幅]]*テーブル1[[#This Row],[長さ]],テーブル1[[#This Row],[幅]]*テーブル1[[#This Row],[長さ]]*$G$8)</f>
        <v>0</v>
      </c>
      <c r="W353" s="25" t="str">
        <f>IF(テーブル1[[#This Row],[幅]]=0,"",テーブル1[[#This Row],[KG合計]]/テーブル1[[#This Row],[SM]]*1000)</f>
        <v/>
      </c>
      <c r="X353" s="25">
        <f>IF(テーブル1[[#This Row],[g/SM]]="",テーブル1[[#This Row],[長さ]]*テーブル1[[#This Row],[g/M]]/1000,テーブル1[[#This Row],[SM]]*テーブル1[[#This Row],[g/SM]]/1000)</f>
        <v>0</v>
      </c>
      <c r="Y353" s="25"/>
      <c r="Z353" s="25">
        <f>SUM(テーブル1[[#This Row],[KG(目付)]:[KG]])</f>
        <v>0</v>
      </c>
      <c r="AA353" s="11"/>
      <c r="AB353" s="11"/>
      <c r="AC353" s="24">
        <f>$G$7*(テーブル1[[#This Row],[金額]]*$G$6)</f>
        <v>0</v>
      </c>
    </row>
    <row r="354" spans="11:29" ht="39.950000000000003" customHeight="1">
      <c r="K354" s="7"/>
      <c r="L354" s="7"/>
      <c r="M354" s="7"/>
      <c r="N354" s="7"/>
      <c r="O354" s="21">
        <f t="shared" si="8"/>
        <v>0</v>
      </c>
      <c r="P354" s="7"/>
      <c r="Q354" s="11"/>
      <c r="R354" s="11"/>
      <c r="S354" s="11"/>
      <c r="T354" s="11"/>
      <c r="U354" s="11"/>
      <c r="V354" s="25">
        <f>IF($G$8="",テーブル1[[#This Row],[幅]]*テーブル1[[#This Row],[長さ]],テーブル1[[#This Row],[幅]]*テーブル1[[#This Row],[長さ]]*$G$8)</f>
        <v>0</v>
      </c>
      <c r="W354" s="25" t="str">
        <f>IF(テーブル1[[#This Row],[幅]]=0,"",テーブル1[[#This Row],[KG合計]]/テーブル1[[#This Row],[SM]]*1000)</f>
        <v/>
      </c>
      <c r="X354" s="25">
        <f>IF(テーブル1[[#This Row],[g/SM]]="",テーブル1[[#This Row],[長さ]]*テーブル1[[#This Row],[g/M]]/1000,テーブル1[[#This Row],[SM]]*テーブル1[[#This Row],[g/SM]]/1000)</f>
        <v>0</v>
      </c>
      <c r="Y354" s="25"/>
      <c r="Z354" s="25">
        <f>SUM(テーブル1[[#This Row],[KG(目付)]:[KG]])</f>
        <v>0</v>
      </c>
      <c r="AA354" s="11"/>
      <c r="AB354" s="11"/>
      <c r="AC354" s="24">
        <f>$G$7*(テーブル1[[#This Row],[金額]]*$G$6)</f>
        <v>0</v>
      </c>
    </row>
    <row r="355" spans="11:29" ht="39.950000000000003" customHeight="1">
      <c r="K355" s="7"/>
      <c r="L355" s="7"/>
      <c r="M355" s="7"/>
      <c r="N355" s="7"/>
      <c r="O355" s="21">
        <f t="shared" si="8"/>
        <v>0</v>
      </c>
      <c r="P355" s="7"/>
      <c r="Q355" s="11"/>
      <c r="R355" s="11"/>
      <c r="S355" s="11"/>
      <c r="T355" s="11"/>
      <c r="U355" s="11"/>
      <c r="V355" s="25">
        <f>IF($G$8="",テーブル1[[#This Row],[幅]]*テーブル1[[#This Row],[長さ]],テーブル1[[#This Row],[幅]]*テーブル1[[#This Row],[長さ]]*$G$8)</f>
        <v>0</v>
      </c>
      <c r="W355" s="25" t="str">
        <f>IF(テーブル1[[#This Row],[幅]]=0,"",テーブル1[[#This Row],[KG合計]]/テーブル1[[#This Row],[SM]]*1000)</f>
        <v/>
      </c>
      <c r="X355" s="25">
        <f>IF(テーブル1[[#This Row],[g/SM]]="",テーブル1[[#This Row],[長さ]]*テーブル1[[#This Row],[g/M]]/1000,テーブル1[[#This Row],[SM]]*テーブル1[[#This Row],[g/SM]]/1000)</f>
        <v>0</v>
      </c>
      <c r="Y355" s="25"/>
      <c r="Z355" s="25">
        <f>SUM(テーブル1[[#This Row],[KG(目付)]:[KG]])</f>
        <v>0</v>
      </c>
      <c r="AA355" s="11"/>
      <c r="AB355" s="11"/>
      <c r="AC355" s="24">
        <f>$G$7*(テーブル1[[#This Row],[金額]]*$G$6)</f>
        <v>0</v>
      </c>
    </row>
    <row r="356" spans="11:29" ht="39.950000000000003" customHeight="1">
      <c r="K356" s="7"/>
      <c r="L356" s="7"/>
      <c r="M356" s="7"/>
      <c r="N356" s="7"/>
      <c r="O356" s="21">
        <f t="shared" si="8"/>
        <v>0</v>
      </c>
      <c r="P356" s="7"/>
      <c r="Q356" s="11"/>
      <c r="R356" s="11"/>
      <c r="S356" s="11"/>
      <c r="T356" s="11"/>
      <c r="U356" s="11"/>
      <c r="V356" s="25">
        <f>IF($G$8="",テーブル1[[#This Row],[幅]]*テーブル1[[#This Row],[長さ]],テーブル1[[#This Row],[幅]]*テーブル1[[#This Row],[長さ]]*$G$8)</f>
        <v>0</v>
      </c>
      <c r="W356" s="25" t="str">
        <f>IF(テーブル1[[#This Row],[幅]]=0,"",テーブル1[[#This Row],[KG合計]]/テーブル1[[#This Row],[SM]]*1000)</f>
        <v/>
      </c>
      <c r="X356" s="25">
        <f>IF(テーブル1[[#This Row],[g/SM]]="",テーブル1[[#This Row],[長さ]]*テーブル1[[#This Row],[g/M]]/1000,テーブル1[[#This Row],[SM]]*テーブル1[[#This Row],[g/SM]]/1000)</f>
        <v>0</v>
      </c>
      <c r="Y356" s="25"/>
      <c r="Z356" s="25">
        <f>SUM(テーブル1[[#This Row],[KG(目付)]:[KG]])</f>
        <v>0</v>
      </c>
      <c r="AA356" s="11"/>
      <c r="AB356" s="11"/>
      <c r="AC356" s="24">
        <f>$G$7*(テーブル1[[#This Row],[金額]]*$G$6)</f>
        <v>0</v>
      </c>
    </row>
    <row r="357" spans="11:29" ht="39.950000000000003" customHeight="1">
      <c r="K357" s="7"/>
      <c r="L357" s="7"/>
      <c r="M357" s="7"/>
      <c r="N357" s="7"/>
      <c r="O357" s="21">
        <f t="shared" si="8"/>
        <v>0</v>
      </c>
      <c r="P357" s="7"/>
      <c r="Q357" s="11"/>
      <c r="R357" s="11"/>
      <c r="S357" s="11"/>
      <c r="T357" s="11"/>
      <c r="U357" s="11"/>
      <c r="V357" s="25">
        <f>IF($G$8="",テーブル1[[#This Row],[幅]]*テーブル1[[#This Row],[長さ]],テーブル1[[#This Row],[幅]]*テーブル1[[#This Row],[長さ]]*$G$8)</f>
        <v>0</v>
      </c>
      <c r="W357" s="25" t="str">
        <f>IF(テーブル1[[#This Row],[幅]]=0,"",テーブル1[[#This Row],[KG合計]]/テーブル1[[#This Row],[SM]]*1000)</f>
        <v/>
      </c>
      <c r="X357" s="25">
        <f>IF(テーブル1[[#This Row],[g/SM]]="",テーブル1[[#This Row],[長さ]]*テーブル1[[#This Row],[g/M]]/1000,テーブル1[[#This Row],[SM]]*テーブル1[[#This Row],[g/SM]]/1000)</f>
        <v>0</v>
      </c>
      <c r="Y357" s="25"/>
      <c r="Z357" s="25">
        <f>SUM(テーブル1[[#This Row],[KG(目付)]:[KG]])</f>
        <v>0</v>
      </c>
      <c r="AA357" s="11"/>
      <c r="AB357" s="11"/>
      <c r="AC357" s="24">
        <f>$G$7*(テーブル1[[#This Row],[金額]]*$G$6)</f>
        <v>0</v>
      </c>
    </row>
    <row r="358" spans="11:29" ht="39.950000000000003" customHeight="1">
      <c r="K358" s="7"/>
      <c r="L358" s="7"/>
      <c r="M358" s="7"/>
      <c r="N358" s="7"/>
      <c r="O358" s="21">
        <f t="shared" si="8"/>
        <v>0</v>
      </c>
      <c r="P358" s="7"/>
      <c r="Q358" s="11"/>
      <c r="R358" s="11"/>
      <c r="S358" s="11"/>
      <c r="T358" s="11"/>
      <c r="U358" s="11"/>
      <c r="V358" s="25">
        <f>IF($G$8="",テーブル1[[#This Row],[幅]]*テーブル1[[#This Row],[長さ]],テーブル1[[#This Row],[幅]]*テーブル1[[#This Row],[長さ]]*$G$8)</f>
        <v>0</v>
      </c>
      <c r="W358" s="25" t="str">
        <f>IF(テーブル1[[#This Row],[幅]]=0,"",テーブル1[[#This Row],[KG合計]]/テーブル1[[#This Row],[SM]]*1000)</f>
        <v/>
      </c>
      <c r="X358" s="25">
        <f>IF(テーブル1[[#This Row],[g/SM]]="",テーブル1[[#This Row],[長さ]]*テーブル1[[#This Row],[g/M]]/1000,テーブル1[[#This Row],[SM]]*テーブル1[[#This Row],[g/SM]]/1000)</f>
        <v>0</v>
      </c>
      <c r="Y358" s="25"/>
      <c r="Z358" s="25">
        <f>SUM(テーブル1[[#This Row],[KG(目付)]:[KG]])</f>
        <v>0</v>
      </c>
      <c r="AA358" s="11"/>
      <c r="AB358" s="11"/>
      <c r="AC358" s="24">
        <f>$G$7*(テーブル1[[#This Row],[金額]]*$G$6)</f>
        <v>0</v>
      </c>
    </row>
    <row r="359" spans="11:29" ht="39.950000000000003" customHeight="1">
      <c r="K359" s="7"/>
      <c r="L359" s="7"/>
      <c r="M359" s="7"/>
      <c r="N359" s="7"/>
      <c r="O359" s="21">
        <f t="shared" si="8"/>
        <v>0</v>
      </c>
      <c r="P359" s="7"/>
      <c r="Q359" s="11"/>
      <c r="R359" s="11"/>
      <c r="S359" s="11"/>
      <c r="T359" s="11"/>
      <c r="U359" s="11"/>
      <c r="V359" s="25">
        <f>IF($G$8="",テーブル1[[#This Row],[幅]]*テーブル1[[#This Row],[長さ]],テーブル1[[#This Row],[幅]]*テーブル1[[#This Row],[長さ]]*$G$8)</f>
        <v>0</v>
      </c>
      <c r="W359" s="25" t="str">
        <f>IF(テーブル1[[#This Row],[幅]]=0,"",テーブル1[[#This Row],[KG合計]]/テーブル1[[#This Row],[SM]]*1000)</f>
        <v/>
      </c>
      <c r="X359" s="25">
        <f>IF(テーブル1[[#This Row],[g/SM]]="",テーブル1[[#This Row],[長さ]]*テーブル1[[#This Row],[g/M]]/1000,テーブル1[[#This Row],[SM]]*テーブル1[[#This Row],[g/SM]]/1000)</f>
        <v>0</v>
      </c>
      <c r="Y359" s="25"/>
      <c r="Z359" s="25">
        <f>SUM(テーブル1[[#This Row],[KG(目付)]:[KG]])</f>
        <v>0</v>
      </c>
      <c r="AA359" s="11"/>
      <c r="AB359" s="11"/>
      <c r="AC359" s="24">
        <f>$G$7*(テーブル1[[#This Row],[金額]]*$G$6)</f>
        <v>0</v>
      </c>
    </row>
    <row r="360" spans="11:29" ht="39.950000000000003" customHeight="1">
      <c r="K360" s="7"/>
      <c r="L360" s="7"/>
      <c r="M360" s="7"/>
      <c r="N360" s="7"/>
      <c r="O360" s="21">
        <f t="shared" si="8"/>
        <v>0</v>
      </c>
      <c r="P360" s="7"/>
      <c r="Q360" s="11"/>
      <c r="R360" s="11"/>
      <c r="S360" s="11"/>
      <c r="T360" s="11"/>
      <c r="U360" s="11"/>
      <c r="V360" s="25">
        <f>IF($G$8="",テーブル1[[#This Row],[幅]]*テーブル1[[#This Row],[長さ]],テーブル1[[#This Row],[幅]]*テーブル1[[#This Row],[長さ]]*$G$8)</f>
        <v>0</v>
      </c>
      <c r="W360" s="25" t="str">
        <f>IF(テーブル1[[#This Row],[幅]]=0,"",テーブル1[[#This Row],[KG合計]]/テーブル1[[#This Row],[SM]]*1000)</f>
        <v/>
      </c>
      <c r="X360" s="25">
        <f>IF(テーブル1[[#This Row],[g/SM]]="",テーブル1[[#This Row],[長さ]]*テーブル1[[#This Row],[g/M]]/1000,テーブル1[[#This Row],[SM]]*テーブル1[[#This Row],[g/SM]]/1000)</f>
        <v>0</v>
      </c>
      <c r="Y360" s="25"/>
      <c r="Z360" s="25">
        <f>SUM(テーブル1[[#This Row],[KG(目付)]:[KG]])</f>
        <v>0</v>
      </c>
      <c r="AA360" s="11"/>
      <c r="AB360" s="11"/>
      <c r="AC360" s="24">
        <f>$G$7*(テーブル1[[#This Row],[金額]]*$G$6)</f>
        <v>0</v>
      </c>
    </row>
    <row r="361" spans="11:29" ht="39.950000000000003" customHeight="1">
      <c r="K361" s="7"/>
      <c r="L361" s="7"/>
      <c r="M361" s="7"/>
      <c r="N361" s="7"/>
      <c r="O361" s="21">
        <f t="shared" si="8"/>
        <v>0</v>
      </c>
      <c r="P361" s="7"/>
      <c r="Q361" s="11"/>
      <c r="R361" s="11"/>
      <c r="S361" s="11"/>
      <c r="T361" s="11"/>
      <c r="U361" s="11"/>
      <c r="V361" s="25">
        <f>IF($G$8="",テーブル1[[#This Row],[幅]]*テーブル1[[#This Row],[長さ]],テーブル1[[#This Row],[幅]]*テーブル1[[#This Row],[長さ]]*$G$8)</f>
        <v>0</v>
      </c>
      <c r="W361" s="25" t="str">
        <f>IF(テーブル1[[#This Row],[幅]]=0,"",テーブル1[[#This Row],[KG合計]]/テーブル1[[#This Row],[SM]]*1000)</f>
        <v/>
      </c>
      <c r="X361" s="25">
        <f>IF(テーブル1[[#This Row],[g/SM]]="",テーブル1[[#This Row],[長さ]]*テーブル1[[#This Row],[g/M]]/1000,テーブル1[[#This Row],[SM]]*テーブル1[[#This Row],[g/SM]]/1000)</f>
        <v>0</v>
      </c>
      <c r="Y361" s="25"/>
      <c r="Z361" s="25">
        <f>SUM(テーブル1[[#This Row],[KG(目付)]:[KG]])</f>
        <v>0</v>
      </c>
      <c r="AA361" s="11"/>
      <c r="AB361" s="11"/>
      <c r="AC361" s="24">
        <f>$G$7*(テーブル1[[#This Row],[金額]]*$G$6)</f>
        <v>0</v>
      </c>
    </row>
    <row r="362" spans="11:29" ht="39.950000000000003" customHeight="1">
      <c r="K362" s="7"/>
      <c r="L362" s="7"/>
      <c r="M362" s="7"/>
      <c r="N362" s="7"/>
      <c r="O362" s="21">
        <f t="shared" si="8"/>
        <v>0</v>
      </c>
      <c r="P362" s="7"/>
      <c r="Q362" s="11"/>
      <c r="R362" s="11"/>
      <c r="S362" s="11"/>
      <c r="T362" s="11"/>
      <c r="U362" s="11"/>
      <c r="V362" s="25">
        <f>IF($G$8="",テーブル1[[#This Row],[幅]]*テーブル1[[#This Row],[長さ]],テーブル1[[#This Row],[幅]]*テーブル1[[#This Row],[長さ]]*$G$8)</f>
        <v>0</v>
      </c>
      <c r="W362" s="25" t="str">
        <f>IF(テーブル1[[#This Row],[幅]]=0,"",テーブル1[[#This Row],[KG合計]]/テーブル1[[#This Row],[SM]]*1000)</f>
        <v/>
      </c>
      <c r="X362" s="25">
        <f>IF(テーブル1[[#This Row],[g/SM]]="",テーブル1[[#This Row],[長さ]]*テーブル1[[#This Row],[g/M]]/1000,テーブル1[[#This Row],[SM]]*テーブル1[[#This Row],[g/SM]]/1000)</f>
        <v>0</v>
      </c>
      <c r="Y362" s="25"/>
      <c r="Z362" s="25">
        <f>SUM(テーブル1[[#This Row],[KG(目付)]:[KG]])</f>
        <v>0</v>
      </c>
      <c r="AA362" s="11"/>
      <c r="AB362" s="11"/>
      <c r="AC362" s="24">
        <f>$G$7*(テーブル1[[#This Row],[金額]]*$G$6)</f>
        <v>0</v>
      </c>
    </row>
    <row r="363" spans="11:29" ht="39.950000000000003" customHeight="1">
      <c r="K363" s="7"/>
      <c r="L363" s="7"/>
      <c r="M363" s="7"/>
      <c r="N363" s="7"/>
      <c r="O363" s="21">
        <f t="shared" ref="O363:O394" si="9">IF(LEN(N363)=10,RIGHT(N363,1),IFERROR(N363-(INT(N363/7)*7),RIGHT(N363,1)))</f>
        <v>0</v>
      </c>
      <c r="P363" s="7"/>
      <c r="Q363" s="11"/>
      <c r="R363" s="11"/>
      <c r="S363" s="11"/>
      <c r="T363" s="11"/>
      <c r="U363" s="11"/>
      <c r="V363" s="25">
        <f>IF($G$8="",テーブル1[[#This Row],[幅]]*テーブル1[[#This Row],[長さ]],テーブル1[[#This Row],[幅]]*テーブル1[[#This Row],[長さ]]*$G$8)</f>
        <v>0</v>
      </c>
      <c r="W363" s="25" t="str">
        <f>IF(テーブル1[[#This Row],[幅]]=0,"",テーブル1[[#This Row],[KG合計]]/テーブル1[[#This Row],[SM]]*1000)</f>
        <v/>
      </c>
      <c r="X363" s="25">
        <f>IF(テーブル1[[#This Row],[g/SM]]="",テーブル1[[#This Row],[長さ]]*テーブル1[[#This Row],[g/M]]/1000,テーブル1[[#This Row],[SM]]*テーブル1[[#This Row],[g/SM]]/1000)</f>
        <v>0</v>
      </c>
      <c r="Y363" s="25"/>
      <c r="Z363" s="25">
        <f>SUM(テーブル1[[#This Row],[KG(目付)]:[KG]])</f>
        <v>0</v>
      </c>
      <c r="AA363" s="11"/>
      <c r="AB363" s="11"/>
      <c r="AC363" s="24">
        <f>$G$7*(テーブル1[[#This Row],[金額]]*$G$6)</f>
        <v>0</v>
      </c>
    </row>
    <row r="364" spans="11:29" ht="39.950000000000003" customHeight="1">
      <c r="K364" s="7"/>
      <c r="L364" s="7"/>
      <c r="M364" s="7"/>
      <c r="N364" s="7"/>
      <c r="O364" s="21">
        <f t="shared" si="9"/>
        <v>0</v>
      </c>
      <c r="P364" s="7"/>
      <c r="Q364" s="11"/>
      <c r="R364" s="11"/>
      <c r="S364" s="11"/>
      <c r="T364" s="11"/>
      <c r="U364" s="11"/>
      <c r="V364" s="25">
        <f>IF($G$8="",テーブル1[[#This Row],[幅]]*テーブル1[[#This Row],[長さ]],テーブル1[[#This Row],[幅]]*テーブル1[[#This Row],[長さ]]*$G$8)</f>
        <v>0</v>
      </c>
      <c r="W364" s="25" t="str">
        <f>IF(テーブル1[[#This Row],[幅]]=0,"",テーブル1[[#This Row],[KG合計]]/テーブル1[[#This Row],[SM]]*1000)</f>
        <v/>
      </c>
      <c r="X364" s="25">
        <f>IF(テーブル1[[#This Row],[g/SM]]="",テーブル1[[#This Row],[長さ]]*テーブル1[[#This Row],[g/M]]/1000,テーブル1[[#This Row],[SM]]*テーブル1[[#This Row],[g/SM]]/1000)</f>
        <v>0</v>
      </c>
      <c r="Y364" s="25"/>
      <c r="Z364" s="25">
        <f>SUM(テーブル1[[#This Row],[KG(目付)]:[KG]])</f>
        <v>0</v>
      </c>
      <c r="AA364" s="11"/>
      <c r="AB364" s="11"/>
      <c r="AC364" s="24">
        <f>$G$7*(テーブル1[[#This Row],[金額]]*$G$6)</f>
        <v>0</v>
      </c>
    </row>
    <row r="365" spans="11:29" ht="39.950000000000003" customHeight="1">
      <c r="K365" s="7"/>
      <c r="L365" s="7"/>
      <c r="M365" s="7"/>
      <c r="N365" s="7"/>
      <c r="O365" s="21">
        <f t="shared" si="9"/>
        <v>0</v>
      </c>
      <c r="P365" s="7"/>
      <c r="Q365" s="11"/>
      <c r="R365" s="11"/>
      <c r="S365" s="11"/>
      <c r="T365" s="11"/>
      <c r="U365" s="11"/>
      <c r="V365" s="25">
        <f>IF($G$8="",テーブル1[[#This Row],[幅]]*テーブル1[[#This Row],[長さ]],テーブル1[[#This Row],[幅]]*テーブル1[[#This Row],[長さ]]*$G$8)</f>
        <v>0</v>
      </c>
      <c r="W365" s="25" t="str">
        <f>IF(テーブル1[[#This Row],[幅]]=0,"",テーブル1[[#This Row],[KG合計]]/テーブル1[[#This Row],[SM]]*1000)</f>
        <v/>
      </c>
      <c r="X365" s="25">
        <f>IF(テーブル1[[#This Row],[g/SM]]="",テーブル1[[#This Row],[長さ]]*テーブル1[[#This Row],[g/M]]/1000,テーブル1[[#This Row],[SM]]*テーブル1[[#This Row],[g/SM]]/1000)</f>
        <v>0</v>
      </c>
      <c r="Y365" s="25"/>
      <c r="Z365" s="25">
        <f>SUM(テーブル1[[#This Row],[KG(目付)]:[KG]])</f>
        <v>0</v>
      </c>
      <c r="AA365" s="11"/>
      <c r="AB365" s="11"/>
      <c r="AC365" s="24">
        <f>$G$7*(テーブル1[[#This Row],[金額]]*$G$6)</f>
        <v>0</v>
      </c>
    </row>
    <row r="366" spans="11:29" ht="39.950000000000003" customHeight="1">
      <c r="K366" s="7"/>
      <c r="L366" s="7"/>
      <c r="M366" s="7"/>
      <c r="N366" s="7"/>
      <c r="O366" s="21">
        <f t="shared" si="9"/>
        <v>0</v>
      </c>
      <c r="P366" s="7"/>
      <c r="Q366" s="11"/>
      <c r="R366" s="11"/>
      <c r="S366" s="11"/>
      <c r="T366" s="11"/>
      <c r="U366" s="11"/>
      <c r="V366" s="25">
        <f>IF($G$8="",テーブル1[[#This Row],[幅]]*テーブル1[[#This Row],[長さ]],テーブル1[[#This Row],[幅]]*テーブル1[[#This Row],[長さ]]*$G$8)</f>
        <v>0</v>
      </c>
      <c r="W366" s="25" t="str">
        <f>IF(テーブル1[[#This Row],[幅]]=0,"",テーブル1[[#This Row],[KG合計]]/テーブル1[[#This Row],[SM]]*1000)</f>
        <v/>
      </c>
      <c r="X366" s="25">
        <f>IF(テーブル1[[#This Row],[g/SM]]="",テーブル1[[#This Row],[長さ]]*テーブル1[[#This Row],[g/M]]/1000,テーブル1[[#This Row],[SM]]*テーブル1[[#This Row],[g/SM]]/1000)</f>
        <v>0</v>
      </c>
      <c r="Y366" s="25"/>
      <c r="Z366" s="25">
        <f>SUM(テーブル1[[#This Row],[KG(目付)]:[KG]])</f>
        <v>0</v>
      </c>
      <c r="AA366" s="11"/>
      <c r="AB366" s="11"/>
      <c r="AC366" s="24">
        <f>$G$7*(テーブル1[[#This Row],[金額]]*$G$6)</f>
        <v>0</v>
      </c>
    </row>
    <row r="367" spans="11:29" ht="39.950000000000003" customHeight="1">
      <c r="K367" s="7"/>
      <c r="L367" s="7"/>
      <c r="M367" s="7"/>
      <c r="N367" s="7"/>
      <c r="O367" s="21">
        <f t="shared" si="9"/>
        <v>0</v>
      </c>
      <c r="P367" s="7"/>
      <c r="Q367" s="11"/>
      <c r="R367" s="11"/>
      <c r="S367" s="11"/>
      <c r="T367" s="11"/>
      <c r="U367" s="11"/>
      <c r="V367" s="25">
        <f>IF($G$8="",テーブル1[[#This Row],[幅]]*テーブル1[[#This Row],[長さ]],テーブル1[[#This Row],[幅]]*テーブル1[[#This Row],[長さ]]*$G$8)</f>
        <v>0</v>
      </c>
      <c r="W367" s="25" t="str">
        <f>IF(テーブル1[[#This Row],[幅]]=0,"",テーブル1[[#This Row],[KG合計]]/テーブル1[[#This Row],[SM]]*1000)</f>
        <v/>
      </c>
      <c r="X367" s="25">
        <f>IF(テーブル1[[#This Row],[g/SM]]="",テーブル1[[#This Row],[長さ]]*テーブル1[[#This Row],[g/M]]/1000,テーブル1[[#This Row],[SM]]*テーブル1[[#This Row],[g/SM]]/1000)</f>
        <v>0</v>
      </c>
      <c r="Y367" s="25"/>
      <c r="Z367" s="25">
        <f>SUM(テーブル1[[#This Row],[KG(目付)]:[KG]])</f>
        <v>0</v>
      </c>
      <c r="AA367" s="11"/>
      <c r="AB367" s="11"/>
      <c r="AC367" s="24">
        <f>$G$7*(テーブル1[[#This Row],[金額]]*$G$6)</f>
        <v>0</v>
      </c>
    </row>
    <row r="368" spans="11:29" ht="39.950000000000003" customHeight="1">
      <c r="K368" s="7"/>
      <c r="L368" s="7"/>
      <c r="M368" s="7"/>
      <c r="N368" s="7"/>
      <c r="O368" s="21">
        <f t="shared" si="9"/>
        <v>0</v>
      </c>
      <c r="P368" s="7"/>
      <c r="Q368" s="11"/>
      <c r="R368" s="11"/>
      <c r="S368" s="11"/>
      <c r="T368" s="11"/>
      <c r="U368" s="11"/>
      <c r="V368" s="25">
        <f>IF($G$8="",テーブル1[[#This Row],[幅]]*テーブル1[[#This Row],[長さ]],テーブル1[[#This Row],[幅]]*テーブル1[[#This Row],[長さ]]*$G$8)</f>
        <v>0</v>
      </c>
      <c r="W368" s="25" t="str">
        <f>IF(テーブル1[[#This Row],[幅]]=0,"",テーブル1[[#This Row],[KG合計]]/テーブル1[[#This Row],[SM]]*1000)</f>
        <v/>
      </c>
      <c r="X368" s="25">
        <f>IF(テーブル1[[#This Row],[g/SM]]="",テーブル1[[#This Row],[長さ]]*テーブル1[[#This Row],[g/M]]/1000,テーブル1[[#This Row],[SM]]*テーブル1[[#This Row],[g/SM]]/1000)</f>
        <v>0</v>
      </c>
      <c r="Y368" s="25"/>
      <c r="Z368" s="25">
        <f>SUM(テーブル1[[#This Row],[KG(目付)]:[KG]])</f>
        <v>0</v>
      </c>
      <c r="AA368" s="11"/>
      <c r="AB368" s="11"/>
      <c r="AC368" s="24">
        <f>$G$7*(テーブル1[[#This Row],[金額]]*$G$6)</f>
        <v>0</v>
      </c>
    </row>
    <row r="369" spans="11:29" ht="39.950000000000003" customHeight="1">
      <c r="K369" s="7"/>
      <c r="L369" s="7"/>
      <c r="M369" s="7"/>
      <c r="N369" s="7"/>
      <c r="O369" s="21">
        <f t="shared" si="9"/>
        <v>0</v>
      </c>
      <c r="P369" s="7"/>
      <c r="Q369" s="11"/>
      <c r="R369" s="11"/>
      <c r="S369" s="11"/>
      <c r="T369" s="11"/>
      <c r="U369" s="11"/>
      <c r="V369" s="25">
        <f>IF($G$8="",テーブル1[[#This Row],[幅]]*テーブル1[[#This Row],[長さ]],テーブル1[[#This Row],[幅]]*テーブル1[[#This Row],[長さ]]*$G$8)</f>
        <v>0</v>
      </c>
      <c r="W369" s="25" t="str">
        <f>IF(テーブル1[[#This Row],[幅]]=0,"",テーブル1[[#This Row],[KG合計]]/テーブル1[[#This Row],[SM]]*1000)</f>
        <v/>
      </c>
      <c r="X369" s="25">
        <f>IF(テーブル1[[#This Row],[g/SM]]="",テーブル1[[#This Row],[長さ]]*テーブル1[[#This Row],[g/M]]/1000,テーブル1[[#This Row],[SM]]*テーブル1[[#This Row],[g/SM]]/1000)</f>
        <v>0</v>
      </c>
      <c r="Y369" s="25"/>
      <c r="Z369" s="25">
        <f>SUM(テーブル1[[#This Row],[KG(目付)]:[KG]])</f>
        <v>0</v>
      </c>
      <c r="AA369" s="11"/>
      <c r="AB369" s="11"/>
      <c r="AC369" s="24">
        <f>$G$7*(テーブル1[[#This Row],[金額]]*$G$6)</f>
        <v>0</v>
      </c>
    </row>
    <row r="370" spans="11:29" ht="39.950000000000003" customHeight="1">
      <c r="K370" s="7"/>
      <c r="L370" s="7"/>
      <c r="M370" s="7"/>
      <c r="N370" s="7"/>
      <c r="O370" s="21">
        <f t="shared" si="9"/>
        <v>0</v>
      </c>
      <c r="P370" s="7"/>
      <c r="Q370" s="11"/>
      <c r="R370" s="11"/>
      <c r="S370" s="11"/>
      <c r="T370" s="11"/>
      <c r="U370" s="11"/>
      <c r="V370" s="25">
        <f>IF($G$8="",テーブル1[[#This Row],[幅]]*テーブル1[[#This Row],[長さ]],テーブル1[[#This Row],[幅]]*テーブル1[[#This Row],[長さ]]*$G$8)</f>
        <v>0</v>
      </c>
      <c r="W370" s="25" t="str">
        <f>IF(テーブル1[[#This Row],[幅]]=0,"",テーブル1[[#This Row],[KG合計]]/テーブル1[[#This Row],[SM]]*1000)</f>
        <v/>
      </c>
      <c r="X370" s="25">
        <f>IF(テーブル1[[#This Row],[g/SM]]="",テーブル1[[#This Row],[長さ]]*テーブル1[[#This Row],[g/M]]/1000,テーブル1[[#This Row],[SM]]*テーブル1[[#This Row],[g/SM]]/1000)</f>
        <v>0</v>
      </c>
      <c r="Y370" s="25"/>
      <c r="Z370" s="25">
        <f>SUM(テーブル1[[#This Row],[KG(目付)]:[KG]])</f>
        <v>0</v>
      </c>
      <c r="AA370" s="11"/>
      <c r="AB370" s="11"/>
      <c r="AC370" s="24">
        <f>$G$7*(テーブル1[[#This Row],[金額]]*$G$6)</f>
        <v>0</v>
      </c>
    </row>
    <row r="371" spans="11:29" ht="39.950000000000003" customHeight="1">
      <c r="K371" s="7"/>
      <c r="L371" s="7"/>
      <c r="M371" s="7"/>
      <c r="N371" s="7"/>
      <c r="O371" s="21">
        <f t="shared" si="9"/>
        <v>0</v>
      </c>
      <c r="P371" s="7"/>
      <c r="Q371" s="11"/>
      <c r="R371" s="11"/>
      <c r="S371" s="11"/>
      <c r="T371" s="11"/>
      <c r="U371" s="11"/>
      <c r="V371" s="25">
        <f>IF($G$8="",テーブル1[[#This Row],[幅]]*テーブル1[[#This Row],[長さ]],テーブル1[[#This Row],[幅]]*テーブル1[[#This Row],[長さ]]*$G$8)</f>
        <v>0</v>
      </c>
      <c r="W371" s="25" t="str">
        <f>IF(テーブル1[[#This Row],[幅]]=0,"",テーブル1[[#This Row],[KG合計]]/テーブル1[[#This Row],[SM]]*1000)</f>
        <v/>
      </c>
      <c r="X371" s="25">
        <f>IF(テーブル1[[#This Row],[g/SM]]="",テーブル1[[#This Row],[長さ]]*テーブル1[[#This Row],[g/M]]/1000,テーブル1[[#This Row],[SM]]*テーブル1[[#This Row],[g/SM]]/1000)</f>
        <v>0</v>
      </c>
      <c r="Y371" s="25"/>
      <c r="Z371" s="25">
        <f>SUM(テーブル1[[#This Row],[KG(目付)]:[KG]])</f>
        <v>0</v>
      </c>
      <c r="AA371" s="11"/>
      <c r="AB371" s="11"/>
      <c r="AC371" s="24">
        <f>$G$7*(テーブル1[[#This Row],[金額]]*$G$6)</f>
        <v>0</v>
      </c>
    </row>
    <row r="372" spans="11:29" ht="39.950000000000003" customHeight="1">
      <c r="K372" s="7"/>
      <c r="L372" s="7"/>
      <c r="M372" s="7"/>
      <c r="N372" s="7"/>
      <c r="O372" s="21">
        <f t="shared" si="9"/>
        <v>0</v>
      </c>
      <c r="P372" s="7"/>
      <c r="Q372" s="11"/>
      <c r="R372" s="11"/>
      <c r="S372" s="11"/>
      <c r="T372" s="11"/>
      <c r="U372" s="11"/>
      <c r="V372" s="25">
        <f>IF($G$8="",テーブル1[[#This Row],[幅]]*テーブル1[[#This Row],[長さ]],テーブル1[[#This Row],[幅]]*テーブル1[[#This Row],[長さ]]*$G$8)</f>
        <v>0</v>
      </c>
      <c r="W372" s="25" t="str">
        <f>IF(テーブル1[[#This Row],[幅]]=0,"",テーブル1[[#This Row],[KG合計]]/テーブル1[[#This Row],[SM]]*1000)</f>
        <v/>
      </c>
      <c r="X372" s="25">
        <f>IF(テーブル1[[#This Row],[g/SM]]="",テーブル1[[#This Row],[長さ]]*テーブル1[[#This Row],[g/M]]/1000,テーブル1[[#This Row],[SM]]*テーブル1[[#This Row],[g/SM]]/1000)</f>
        <v>0</v>
      </c>
      <c r="Y372" s="25"/>
      <c r="Z372" s="25">
        <f>SUM(テーブル1[[#This Row],[KG(目付)]:[KG]])</f>
        <v>0</v>
      </c>
      <c r="AA372" s="11"/>
      <c r="AB372" s="11"/>
      <c r="AC372" s="24">
        <f>$G$7*(テーブル1[[#This Row],[金額]]*$G$6)</f>
        <v>0</v>
      </c>
    </row>
    <row r="373" spans="11:29" ht="39.950000000000003" customHeight="1">
      <c r="K373" s="7"/>
      <c r="L373" s="7"/>
      <c r="M373" s="7"/>
      <c r="N373" s="7"/>
      <c r="O373" s="21">
        <f t="shared" si="9"/>
        <v>0</v>
      </c>
      <c r="P373" s="7"/>
      <c r="Q373" s="11"/>
      <c r="R373" s="11"/>
      <c r="S373" s="11"/>
      <c r="T373" s="11"/>
      <c r="U373" s="11"/>
      <c r="V373" s="25">
        <f>IF($G$8="",テーブル1[[#This Row],[幅]]*テーブル1[[#This Row],[長さ]],テーブル1[[#This Row],[幅]]*テーブル1[[#This Row],[長さ]]*$G$8)</f>
        <v>0</v>
      </c>
      <c r="W373" s="25" t="str">
        <f>IF(テーブル1[[#This Row],[幅]]=0,"",テーブル1[[#This Row],[KG合計]]/テーブル1[[#This Row],[SM]]*1000)</f>
        <v/>
      </c>
      <c r="X373" s="25">
        <f>IF(テーブル1[[#This Row],[g/SM]]="",テーブル1[[#This Row],[長さ]]*テーブル1[[#This Row],[g/M]]/1000,テーブル1[[#This Row],[SM]]*テーブル1[[#This Row],[g/SM]]/1000)</f>
        <v>0</v>
      </c>
      <c r="Y373" s="25"/>
      <c r="Z373" s="25">
        <f>SUM(テーブル1[[#This Row],[KG(目付)]:[KG]])</f>
        <v>0</v>
      </c>
      <c r="AA373" s="11"/>
      <c r="AB373" s="11"/>
      <c r="AC373" s="24">
        <f>$G$7*(テーブル1[[#This Row],[金額]]*$G$6)</f>
        <v>0</v>
      </c>
    </row>
    <row r="374" spans="11:29" ht="39.950000000000003" customHeight="1">
      <c r="K374" s="7"/>
      <c r="L374" s="7"/>
      <c r="M374" s="7"/>
      <c r="N374" s="7"/>
      <c r="O374" s="21">
        <f t="shared" si="9"/>
        <v>0</v>
      </c>
      <c r="P374" s="7"/>
      <c r="Q374" s="11"/>
      <c r="R374" s="11"/>
      <c r="S374" s="11"/>
      <c r="T374" s="11"/>
      <c r="U374" s="11"/>
      <c r="V374" s="25">
        <f>IF($G$8="",テーブル1[[#This Row],[幅]]*テーブル1[[#This Row],[長さ]],テーブル1[[#This Row],[幅]]*テーブル1[[#This Row],[長さ]]*$G$8)</f>
        <v>0</v>
      </c>
      <c r="W374" s="25" t="str">
        <f>IF(テーブル1[[#This Row],[幅]]=0,"",テーブル1[[#This Row],[KG合計]]/テーブル1[[#This Row],[SM]]*1000)</f>
        <v/>
      </c>
      <c r="X374" s="25">
        <f>IF(テーブル1[[#This Row],[g/SM]]="",テーブル1[[#This Row],[長さ]]*テーブル1[[#This Row],[g/M]]/1000,テーブル1[[#This Row],[SM]]*テーブル1[[#This Row],[g/SM]]/1000)</f>
        <v>0</v>
      </c>
      <c r="Y374" s="25"/>
      <c r="Z374" s="25">
        <f>SUM(テーブル1[[#This Row],[KG(目付)]:[KG]])</f>
        <v>0</v>
      </c>
      <c r="AA374" s="11"/>
      <c r="AB374" s="11"/>
      <c r="AC374" s="24">
        <f>$G$7*(テーブル1[[#This Row],[金額]]*$G$6)</f>
        <v>0</v>
      </c>
    </row>
    <row r="375" spans="11:29" ht="39.950000000000003" customHeight="1">
      <c r="K375" s="7"/>
      <c r="L375" s="7"/>
      <c r="M375" s="7"/>
      <c r="N375" s="7"/>
      <c r="O375" s="21">
        <f t="shared" si="9"/>
        <v>0</v>
      </c>
      <c r="P375" s="7"/>
      <c r="Q375" s="11"/>
      <c r="R375" s="11"/>
      <c r="S375" s="11"/>
      <c r="T375" s="11"/>
      <c r="U375" s="11"/>
      <c r="V375" s="25">
        <f>IF($G$8="",テーブル1[[#This Row],[幅]]*テーブル1[[#This Row],[長さ]],テーブル1[[#This Row],[幅]]*テーブル1[[#This Row],[長さ]]*$G$8)</f>
        <v>0</v>
      </c>
      <c r="W375" s="25" t="str">
        <f>IF(テーブル1[[#This Row],[幅]]=0,"",テーブル1[[#This Row],[KG合計]]/テーブル1[[#This Row],[SM]]*1000)</f>
        <v/>
      </c>
      <c r="X375" s="25">
        <f>IF(テーブル1[[#This Row],[g/SM]]="",テーブル1[[#This Row],[長さ]]*テーブル1[[#This Row],[g/M]]/1000,テーブル1[[#This Row],[SM]]*テーブル1[[#This Row],[g/SM]]/1000)</f>
        <v>0</v>
      </c>
      <c r="Y375" s="25"/>
      <c r="Z375" s="25">
        <f>SUM(テーブル1[[#This Row],[KG(目付)]:[KG]])</f>
        <v>0</v>
      </c>
      <c r="AA375" s="11"/>
      <c r="AB375" s="11"/>
      <c r="AC375" s="24">
        <f>$G$7*(テーブル1[[#This Row],[金額]]*$G$6)</f>
        <v>0</v>
      </c>
    </row>
    <row r="376" spans="11:29" ht="39.950000000000003" customHeight="1">
      <c r="K376" s="7"/>
      <c r="L376" s="7"/>
      <c r="M376" s="7"/>
      <c r="N376" s="7"/>
      <c r="O376" s="21">
        <f t="shared" si="9"/>
        <v>0</v>
      </c>
      <c r="P376" s="7"/>
      <c r="Q376" s="11"/>
      <c r="R376" s="11"/>
      <c r="S376" s="11"/>
      <c r="T376" s="11"/>
      <c r="U376" s="11"/>
      <c r="V376" s="25">
        <f>IF($G$8="",テーブル1[[#This Row],[幅]]*テーブル1[[#This Row],[長さ]],テーブル1[[#This Row],[幅]]*テーブル1[[#This Row],[長さ]]*$G$8)</f>
        <v>0</v>
      </c>
      <c r="W376" s="25" t="str">
        <f>IF(テーブル1[[#This Row],[幅]]=0,"",テーブル1[[#This Row],[KG合計]]/テーブル1[[#This Row],[SM]]*1000)</f>
        <v/>
      </c>
      <c r="X376" s="25">
        <f>IF(テーブル1[[#This Row],[g/SM]]="",テーブル1[[#This Row],[長さ]]*テーブル1[[#This Row],[g/M]]/1000,テーブル1[[#This Row],[SM]]*テーブル1[[#This Row],[g/SM]]/1000)</f>
        <v>0</v>
      </c>
      <c r="Y376" s="25"/>
      <c r="Z376" s="25">
        <f>SUM(テーブル1[[#This Row],[KG(目付)]:[KG]])</f>
        <v>0</v>
      </c>
      <c r="AA376" s="11"/>
      <c r="AB376" s="11"/>
      <c r="AC376" s="24">
        <f>$G$7*(テーブル1[[#This Row],[金額]]*$G$6)</f>
        <v>0</v>
      </c>
    </row>
    <row r="377" spans="11:29" ht="39.950000000000003" customHeight="1">
      <c r="K377" s="7"/>
      <c r="L377" s="7"/>
      <c r="M377" s="7"/>
      <c r="N377" s="7"/>
      <c r="O377" s="21">
        <f t="shared" si="9"/>
        <v>0</v>
      </c>
      <c r="P377" s="7"/>
      <c r="Q377" s="11"/>
      <c r="R377" s="11"/>
      <c r="S377" s="11"/>
      <c r="T377" s="11"/>
      <c r="U377" s="11"/>
      <c r="V377" s="25">
        <f>IF($G$8="",テーブル1[[#This Row],[幅]]*テーブル1[[#This Row],[長さ]],テーブル1[[#This Row],[幅]]*テーブル1[[#This Row],[長さ]]*$G$8)</f>
        <v>0</v>
      </c>
      <c r="W377" s="25" t="str">
        <f>IF(テーブル1[[#This Row],[幅]]=0,"",テーブル1[[#This Row],[KG合計]]/テーブル1[[#This Row],[SM]]*1000)</f>
        <v/>
      </c>
      <c r="X377" s="25">
        <f>IF(テーブル1[[#This Row],[g/SM]]="",テーブル1[[#This Row],[長さ]]*テーブル1[[#This Row],[g/M]]/1000,テーブル1[[#This Row],[SM]]*テーブル1[[#This Row],[g/SM]]/1000)</f>
        <v>0</v>
      </c>
      <c r="Y377" s="25"/>
      <c r="Z377" s="25">
        <f>SUM(テーブル1[[#This Row],[KG(目付)]:[KG]])</f>
        <v>0</v>
      </c>
      <c r="AA377" s="11"/>
      <c r="AB377" s="11"/>
      <c r="AC377" s="24">
        <f>$G$7*(テーブル1[[#This Row],[金額]]*$G$6)</f>
        <v>0</v>
      </c>
    </row>
    <row r="378" spans="11:29" ht="39.950000000000003" customHeight="1">
      <c r="K378" s="7"/>
      <c r="L378" s="7"/>
      <c r="M378" s="7"/>
      <c r="N378" s="7"/>
      <c r="O378" s="21">
        <f t="shared" si="9"/>
        <v>0</v>
      </c>
      <c r="P378" s="7"/>
      <c r="Q378" s="11"/>
      <c r="R378" s="11"/>
      <c r="S378" s="11"/>
      <c r="T378" s="11"/>
      <c r="U378" s="11"/>
      <c r="V378" s="25">
        <f>IF($G$8="",テーブル1[[#This Row],[幅]]*テーブル1[[#This Row],[長さ]],テーブル1[[#This Row],[幅]]*テーブル1[[#This Row],[長さ]]*$G$8)</f>
        <v>0</v>
      </c>
      <c r="W378" s="25" t="str">
        <f>IF(テーブル1[[#This Row],[幅]]=0,"",テーブル1[[#This Row],[KG合計]]/テーブル1[[#This Row],[SM]]*1000)</f>
        <v/>
      </c>
      <c r="X378" s="25">
        <f>IF(テーブル1[[#This Row],[g/SM]]="",テーブル1[[#This Row],[長さ]]*テーブル1[[#This Row],[g/M]]/1000,テーブル1[[#This Row],[SM]]*テーブル1[[#This Row],[g/SM]]/1000)</f>
        <v>0</v>
      </c>
      <c r="Y378" s="25"/>
      <c r="Z378" s="25">
        <f>SUM(テーブル1[[#This Row],[KG(目付)]:[KG]])</f>
        <v>0</v>
      </c>
      <c r="AA378" s="11"/>
      <c r="AB378" s="11"/>
      <c r="AC378" s="24">
        <f>$G$7*(テーブル1[[#This Row],[金額]]*$G$6)</f>
        <v>0</v>
      </c>
    </row>
    <row r="379" spans="11:29" ht="39.950000000000003" customHeight="1">
      <c r="K379" s="7"/>
      <c r="L379" s="7"/>
      <c r="M379" s="7"/>
      <c r="N379" s="7"/>
      <c r="O379" s="21">
        <f t="shared" si="9"/>
        <v>0</v>
      </c>
      <c r="P379" s="7"/>
      <c r="Q379" s="11"/>
      <c r="R379" s="11"/>
      <c r="S379" s="11"/>
      <c r="T379" s="11"/>
      <c r="U379" s="11"/>
      <c r="V379" s="25">
        <f>IF($G$8="",テーブル1[[#This Row],[幅]]*テーブル1[[#This Row],[長さ]],テーブル1[[#This Row],[幅]]*テーブル1[[#This Row],[長さ]]*$G$8)</f>
        <v>0</v>
      </c>
      <c r="W379" s="25" t="str">
        <f>IF(テーブル1[[#This Row],[幅]]=0,"",テーブル1[[#This Row],[KG合計]]/テーブル1[[#This Row],[SM]]*1000)</f>
        <v/>
      </c>
      <c r="X379" s="25">
        <f>IF(テーブル1[[#This Row],[g/SM]]="",テーブル1[[#This Row],[長さ]]*テーブル1[[#This Row],[g/M]]/1000,テーブル1[[#This Row],[SM]]*テーブル1[[#This Row],[g/SM]]/1000)</f>
        <v>0</v>
      </c>
      <c r="Y379" s="25"/>
      <c r="Z379" s="25">
        <f>SUM(テーブル1[[#This Row],[KG(目付)]:[KG]])</f>
        <v>0</v>
      </c>
      <c r="AA379" s="11"/>
      <c r="AB379" s="11"/>
      <c r="AC379" s="24">
        <f>$G$7*(テーブル1[[#This Row],[金額]]*$G$6)</f>
        <v>0</v>
      </c>
    </row>
    <row r="380" spans="11:29" ht="39.950000000000003" customHeight="1">
      <c r="K380" s="7"/>
      <c r="L380" s="7"/>
      <c r="M380" s="7"/>
      <c r="N380" s="7"/>
      <c r="O380" s="21">
        <f t="shared" si="9"/>
        <v>0</v>
      </c>
      <c r="P380" s="7"/>
      <c r="Q380" s="11"/>
      <c r="R380" s="11"/>
      <c r="S380" s="11"/>
      <c r="T380" s="11"/>
      <c r="U380" s="11"/>
      <c r="V380" s="25">
        <f>IF($G$8="",テーブル1[[#This Row],[幅]]*テーブル1[[#This Row],[長さ]],テーブル1[[#This Row],[幅]]*テーブル1[[#This Row],[長さ]]*$G$8)</f>
        <v>0</v>
      </c>
      <c r="W380" s="25" t="str">
        <f>IF(テーブル1[[#This Row],[幅]]=0,"",テーブル1[[#This Row],[KG合計]]/テーブル1[[#This Row],[SM]]*1000)</f>
        <v/>
      </c>
      <c r="X380" s="25">
        <f>IF(テーブル1[[#This Row],[g/SM]]="",テーブル1[[#This Row],[長さ]]*テーブル1[[#This Row],[g/M]]/1000,テーブル1[[#This Row],[SM]]*テーブル1[[#This Row],[g/SM]]/1000)</f>
        <v>0</v>
      </c>
      <c r="Y380" s="25"/>
      <c r="Z380" s="25">
        <f>SUM(テーブル1[[#This Row],[KG(目付)]:[KG]])</f>
        <v>0</v>
      </c>
      <c r="AA380" s="11"/>
      <c r="AB380" s="11"/>
      <c r="AC380" s="24">
        <f>$G$7*(テーブル1[[#This Row],[金額]]*$G$6)</f>
        <v>0</v>
      </c>
    </row>
    <row r="381" spans="11:29" ht="39.950000000000003" customHeight="1">
      <c r="K381" s="7"/>
      <c r="L381" s="7"/>
      <c r="M381" s="7"/>
      <c r="N381" s="7"/>
      <c r="O381" s="21">
        <f t="shared" si="9"/>
        <v>0</v>
      </c>
      <c r="P381" s="7"/>
      <c r="Q381" s="11"/>
      <c r="R381" s="11"/>
      <c r="S381" s="11"/>
      <c r="T381" s="11"/>
      <c r="U381" s="11"/>
      <c r="V381" s="25">
        <f>IF($G$8="",テーブル1[[#This Row],[幅]]*テーブル1[[#This Row],[長さ]],テーブル1[[#This Row],[幅]]*テーブル1[[#This Row],[長さ]]*$G$8)</f>
        <v>0</v>
      </c>
      <c r="W381" s="25" t="str">
        <f>IF(テーブル1[[#This Row],[幅]]=0,"",テーブル1[[#This Row],[KG合計]]/テーブル1[[#This Row],[SM]]*1000)</f>
        <v/>
      </c>
      <c r="X381" s="25">
        <f>IF(テーブル1[[#This Row],[g/SM]]="",テーブル1[[#This Row],[長さ]]*テーブル1[[#This Row],[g/M]]/1000,テーブル1[[#This Row],[SM]]*テーブル1[[#This Row],[g/SM]]/1000)</f>
        <v>0</v>
      </c>
      <c r="Y381" s="25"/>
      <c r="Z381" s="25">
        <f>SUM(テーブル1[[#This Row],[KG(目付)]:[KG]])</f>
        <v>0</v>
      </c>
      <c r="AA381" s="11"/>
      <c r="AB381" s="11"/>
      <c r="AC381" s="24">
        <f>$G$7*(テーブル1[[#This Row],[金額]]*$G$6)</f>
        <v>0</v>
      </c>
    </row>
    <row r="382" spans="11:29" ht="39.950000000000003" customHeight="1">
      <c r="K382" s="7"/>
      <c r="L382" s="7"/>
      <c r="M382" s="7"/>
      <c r="N382" s="7"/>
      <c r="O382" s="21">
        <f t="shared" si="9"/>
        <v>0</v>
      </c>
      <c r="P382" s="7"/>
      <c r="Q382" s="11"/>
      <c r="R382" s="11"/>
      <c r="S382" s="11"/>
      <c r="T382" s="11"/>
      <c r="U382" s="11"/>
      <c r="V382" s="25">
        <f>IF($G$8="",テーブル1[[#This Row],[幅]]*テーブル1[[#This Row],[長さ]],テーブル1[[#This Row],[幅]]*テーブル1[[#This Row],[長さ]]*$G$8)</f>
        <v>0</v>
      </c>
      <c r="W382" s="25" t="str">
        <f>IF(テーブル1[[#This Row],[幅]]=0,"",テーブル1[[#This Row],[KG合計]]/テーブル1[[#This Row],[SM]]*1000)</f>
        <v/>
      </c>
      <c r="X382" s="25">
        <f>IF(テーブル1[[#This Row],[g/SM]]="",テーブル1[[#This Row],[長さ]]*テーブル1[[#This Row],[g/M]]/1000,テーブル1[[#This Row],[SM]]*テーブル1[[#This Row],[g/SM]]/1000)</f>
        <v>0</v>
      </c>
      <c r="Y382" s="25"/>
      <c r="Z382" s="25">
        <f>SUM(テーブル1[[#This Row],[KG(目付)]:[KG]])</f>
        <v>0</v>
      </c>
      <c r="AA382" s="11"/>
      <c r="AB382" s="11"/>
      <c r="AC382" s="24">
        <f>$G$7*(テーブル1[[#This Row],[金額]]*$G$6)</f>
        <v>0</v>
      </c>
    </row>
    <row r="383" spans="11:29" ht="39.950000000000003" customHeight="1">
      <c r="K383" s="7"/>
      <c r="L383" s="7"/>
      <c r="M383" s="7"/>
      <c r="N383" s="7"/>
      <c r="O383" s="21">
        <f t="shared" si="9"/>
        <v>0</v>
      </c>
      <c r="P383" s="7"/>
      <c r="Q383" s="11"/>
      <c r="R383" s="11"/>
      <c r="S383" s="11"/>
      <c r="T383" s="11"/>
      <c r="U383" s="11"/>
      <c r="V383" s="25">
        <f>IF($G$8="",テーブル1[[#This Row],[幅]]*テーブル1[[#This Row],[長さ]],テーブル1[[#This Row],[幅]]*テーブル1[[#This Row],[長さ]]*$G$8)</f>
        <v>0</v>
      </c>
      <c r="W383" s="25" t="str">
        <f>IF(テーブル1[[#This Row],[幅]]=0,"",テーブル1[[#This Row],[KG合計]]/テーブル1[[#This Row],[SM]]*1000)</f>
        <v/>
      </c>
      <c r="X383" s="25">
        <f>IF(テーブル1[[#This Row],[g/SM]]="",テーブル1[[#This Row],[長さ]]*テーブル1[[#This Row],[g/M]]/1000,テーブル1[[#This Row],[SM]]*テーブル1[[#This Row],[g/SM]]/1000)</f>
        <v>0</v>
      </c>
      <c r="Y383" s="25"/>
      <c r="Z383" s="25">
        <f>SUM(テーブル1[[#This Row],[KG(目付)]:[KG]])</f>
        <v>0</v>
      </c>
      <c r="AA383" s="11"/>
      <c r="AB383" s="11"/>
      <c r="AC383" s="24">
        <f>$G$7*(テーブル1[[#This Row],[金額]]*$G$6)</f>
        <v>0</v>
      </c>
    </row>
    <row r="384" spans="11:29" ht="39.950000000000003" customHeight="1">
      <c r="K384" s="7"/>
      <c r="L384" s="7"/>
      <c r="M384" s="7"/>
      <c r="N384" s="7"/>
      <c r="O384" s="21">
        <f t="shared" si="9"/>
        <v>0</v>
      </c>
      <c r="P384" s="7"/>
      <c r="Q384" s="11"/>
      <c r="R384" s="11"/>
      <c r="S384" s="11"/>
      <c r="T384" s="11"/>
      <c r="U384" s="11"/>
      <c r="V384" s="25">
        <f>IF($G$8="",テーブル1[[#This Row],[幅]]*テーブル1[[#This Row],[長さ]],テーブル1[[#This Row],[幅]]*テーブル1[[#This Row],[長さ]]*$G$8)</f>
        <v>0</v>
      </c>
      <c r="W384" s="25" t="str">
        <f>IF(テーブル1[[#This Row],[幅]]=0,"",テーブル1[[#This Row],[KG合計]]/テーブル1[[#This Row],[SM]]*1000)</f>
        <v/>
      </c>
      <c r="X384" s="25">
        <f>IF(テーブル1[[#This Row],[g/SM]]="",テーブル1[[#This Row],[長さ]]*テーブル1[[#This Row],[g/M]]/1000,テーブル1[[#This Row],[SM]]*テーブル1[[#This Row],[g/SM]]/1000)</f>
        <v>0</v>
      </c>
      <c r="Y384" s="25"/>
      <c r="Z384" s="25">
        <f>SUM(テーブル1[[#This Row],[KG(目付)]:[KG]])</f>
        <v>0</v>
      </c>
      <c r="AA384" s="11"/>
      <c r="AB384" s="11"/>
      <c r="AC384" s="24">
        <f>$G$7*(テーブル1[[#This Row],[金額]]*$G$6)</f>
        <v>0</v>
      </c>
    </row>
    <row r="385" spans="11:29" ht="39.950000000000003" customHeight="1">
      <c r="K385" s="7"/>
      <c r="L385" s="7"/>
      <c r="M385" s="7"/>
      <c r="N385" s="7"/>
      <c r="O385" s="21">
        <f t="shared" si="9"/>
        <v>0</v>
      </c>
      <c r="P385" s="7"/>
      <c r="Q385" s="11"/>
      <c r="R385" s="11"/>
      <c r="S385" s="11"/>
      <c r="T385" s="11"/>
      <c r="U385" s="11"/>
      <c r="V385" s="25">
        <f>IF($G$8="",テーブル1[[#This Row],[幅]]*テーブル1[[#This Row],[長さ]],テーブル1[[#This Row],[幅]]*テーブル1[[#This Row],[長さ]]*$G$8)</f>
        <v>0</v>
      </c>
      <c r="W385" s="25" t="str">
        <f>IF(テーブル1[[#This Row],[幅]]=0,"",テーブル1[[#This Row],[KG合計]]/テーブル1[[#This Row],[SM]]*1000)</f>
        <v/>
      </c>
      <c r="X385" s="25">
        <f>IF(テーブル1[[#This Row],[g/SM]]="",テーブル1[[#This Row],[長さ]]*テーブル1[[#This Row],[g/M]]/1000,テーブル1[[#This Row],[SM]]*テーブル1[[#This Row],[g/SM]]/1000)</f>
        <v>0</v>
      </c>
      <c r="Y385" s="25"/>
      <c r="Z385" s="25">
        <f>SUM(テーブル1[[#This Row],[KG(目付)]:[KG]])</f>
        <v>0</v>
      </c>
      <c r="AA385" s="11"/>
      <c r="AB385" s="11"/>
      <c r="AC385" s="24">
        <f>$G$7*(テーブル1[[#This Row],[金額]]*$G$6)</f>
        <v>0</v>
      </c>
    </row>
    <row r="386" spans="11:29" ht="39.950000000000003" customHeight="1">
      <c r="K386" s="7"/>
      <c r="L386" s="7"/>
      <c r="M386" s="7"/>
      <c r="N386" s="7"/>
      <c r="O386" s="21">
        <f t="shared" si="9"/>
        <v>0</v>
      </c>
      <c r="P386" s="7"/>
      <c r="Q386" s="11"/>
      <c r="R386" s="11"/>
      <c r="S386" s="11"/>
      <c r="T386" s="11"/>
      <c r="U386" s="11"/>
      <c r="V386" s="25">
        <f>IF($G$8="",テーブル1[[#This Row],[幅]]*テーブル1[[#This Row],[長さ]],テーブル1[[#This Row],[幅]]*テーブル1[[#This Row],[長さ]]*$G$8)</f>
        <v>0</v>
      </c>
      <c r="W386" s="25" t="str">
        <f>IF(テーブル1[[#This Row],[幅]]=0,"",テーブル1[[#This Row],[KG合計]]/テーブル1[[#This Row],[SM]]*1000)</f>
        <v/>
      </c>
      <c r="X386" s="25">
        <f>IF(テーブル1[[#This Row],[g/SM]]="",テーブル1[[#This Row],[長さ]]*テーブル1[[#This Row],[g/M]]/1000,テーブル1[[#This Row],[SM]]*テーブル1[[#This Row],[g/SM]]/1000)</f>
        <v>0</v>
      </c>
      <c r="Y386" s="25"/>
      <c r="Z386" s="25">
        <f>SUM(テーブル1[[#This Row],[KG(目付)]:[KG]])</f>
        <v>0</v>
      </c>
      <c r="AA386" s="11"/>
      <c r="AB386" s="11"/>
      <c r="AC386" s="24">
        <f>$G$7*(テーブル1[[#This Row],[金額]]*$G$6)</f>
        <v>0</v>
      </c>
    </row>
    <row r="387" spans="11:29" ht="39.950000000000003" customHeight="1">
      <c r="K387" s="7"/>
      <c r="L387" s="7"/>
      <c r="M387" s="7"/>
      <c r="N387" s="7"/>
      <c r="O387" s="21">
        <f t="shared" si="9"/>
        <v>0</v>
      </c>
      <c r="P387" s="7"/>
      <c r="Q387" s="11"/>
      <c r="R387" s="11"/>
      <c r="S387" s="11"/>
      <c r="T387" s="11"/>
      <c r="U387" s="11"/>
      <c r="V387" s="25">
        <f>IF($G$8="",テーブル1[[#This Row],[幅]]*テーブル1[[#This Row],[長さ]],テーブル1[[#This Row],[幅]]*テーブル1[[#This Row],[長さ]]*$G$8)</f>
        <v>0</v>
      </c>
      <c r="W387" s="25" t="str">
        <f>IF(テーブル1[[#This Row],[幅]]=0,"",テーブル1[[#This Row],[KG合計]]/テーブル1[[#This Row],[SM]]*1000)</f>
        <v/>
      </c>
      <c r="X387" s="25">
        <f>IF(テーブル1[[#This Row],[g/SM]]="",テーブル1[[#This Row],[長さ]]*テーブル1[[#This Row],[g/M]]/1000,テーブル1[[#This Row],[SM]]*テーブル1[[#This Row],[g/SM]]/1000)</f>
        <v>0</v>
      </c>
      <c r="Y387" s="25"/>
      <c r="Z387" s="25">
        <f>SUM(テーブル1[[#This Row],[KG(目付)]:[KG]])</f>
        <v>0</v>
      </c>
      <c r="AA387" s="11"/>
      <c r="AB387" s="11"/>
      <c r="AC387" s="24">
        <f>$G$7*(テーブル1[[#This Row],[金額]]*$G$6)</f>
        <v>0</v>
      </c>
    </row>
    <row r="388" spans="11:29" ht="39.950000000000003" customHeight="1">
      <c r="K388" s="7"/>
      <c r="L388" s="7"/>
      <c r="M388" s="7"/>
      <c r="N388" s="7"/>
      <c r="O388" s="21">
        <f t="shared" si="9"/>
        <v>0</v>
      </c>
      <c r="P388" s="7"/>
      <c r="Q388" s="11"/>
      <c r="R388" s="11"/>
      <c r="S388" s="11"/>
      <c r="T388" s="11"/>
      <c r="U388" s="11"/>
      <c r="V388" s="25">
        <f>IF($G$8="",テーブル1[[#This Row],[幅]]*テーブル1[[#This Row],[長さ]],テーブル1[[#This Row],[幅]]*テーブル1[[#This Row],[長さ]]*$G$8)</f>
        <v>0</v>
      </c>
      <c r="W388" s="25" t="str">
        <f>IF(テーブル1[[#This Row],[幅]]=0,"",テーブル1[[#This Row],[KG合計]]/テーブル1[[#This Row],[SM]]*1000)</f>
        <v/>
      </c>
      <c r="X388" s="25">
        <f>IF(テーブル1[[#This Row],[g/SM]]="",テーブル1[[#This Row],[長さ]]*テーブル1[[#This Row],[g/M]]/1000,テーブル1[[#This Row],[SM]]*テーブル1[[#This Row],[g/SM]]/1000)</f>
        <v>0</v>
      </c>
      <c r="Y388" s="25"/>
      <c r="Z388" s="25">
        <f>SUM(テーブル1[[#This Row],[KG(目付)]:[KG]])</f>
        <v>0</v>
      </c>
      <c r="AA388" s="11"/>
      <c r="AB388" s="11"/>
      <c r="AC388" s="24">
        <f>$G$7*(テーブル1[[#This Row],[金額]]*$G$6)</f>
        <v>0</v>
      </c>
    </row>
    <row r="389" spans="11:29" ht="39.950000000000003" customHeight="1">
      <c r="K389" s="7"/>
      <c r="L389" s="7"/>
      <c r="M389" s="7"/>
      <c r="N389" s="7"/>
      <c r="O389" s="21">
        <f t="shared" si="9"/>
        <v>0</v>
      </c>
      <c r="P389" s="7"/>
      <c r="Q389" s="11"/>
      <c r="R389" s="11"/>
      <c r="S389" s="11"/>
      <c r="T389" s="11"/>
      <c r="U389" s="11"/>
      <c r="V389" s="25">
        <f>IF($G$8="",テーブル1[[#This Row],[幅]]*テーブル1[[#This Row],[長さ]],テーブル1[[#This Row],[幅]]*テーブル1[[#This Row],[長さ]]*$G$8)</f>
        <v>0</v>
      </c>
      <c r="W389" s="25" t="str">
        <f>IF(テーブル1[[#This Row],[幅]]=0,"",テーブル1[[#This Row],[KG合計]]/テーブル1[[#This Row],[SM]]*1000)</f>
        <v/>
      </c>
      <c r="X389" s="25">
        <f>IF(テーブル1[[#This Row],[g/SM]]="",テーブル1[[#This Row],[長さ]]*テーブル1[[#This Row],[g/M]]/1000,テーブル1[[#This Row],[SM]]*テーブル1[[#This Row],[g/SM]]/1000)</f>
        <v>0</v>
      </c>
      <c r="Y389" s="25"/>
      <c r="Z389" s="25">
        <f>SUM(テーブル1[[#This Row],[KG(目付)]:[KG]])</f>
        <v>0</v>
      </c>
      <c r="AA389" s="11"/>
      <c r="AB389" s="11"/>
      <c r="AC389" s="24">
        <f>$G$7*(テーブル1[[#This Row],[金額]]*$G$6)</f>
        <v>0</v>
      </c>
    </row>
    <row r="390" spans="11:29" ht="39.950000000000003" customHeight="1">
      <c r="K390" s="7"/>
      <c r="L390" s="7"/>
      <c r="M390" s="7"/>
      <c r="N390" s="7"/>
      <c r="O390" s="21">
        <f t="shared" si="9"/>
        <v>0</v>
      </c>
      <c r="P390" s="7"/>
      <c r="Q390" s="11"/>
      <c r="R390" s="11"/>
      <c r="S390" s="11"/>
      <c r="T390" s="11"/>
      <c r="U390" s="11"/>
      <c r="V390" s="25">
        <f>IF($G$8="",テーブル1[[#This Row],[幅]]*テーブル1[[#This Row],[長さ]],テーブル1[[#This Row],[幅]]*テーブル1[[#This Row],[長さ]]*$G$8)</f>
        <v>0</v>
      </c>
      <c r="W390" s="25" t="str">
        <f>IF(テーブル1[[#This Row],[幅]]=0,"",テーブル1[[#This Row],[KG合計]]/テーブル1[[#This Row],[SM]]*1000)</f>
        <v/>
      </c>
      <c r="X390" s="25">
        <f>IF(テーブル1[[#This Row],[g/SM]]="",テーブル1[[#This Row],[長さ]]*テーブル1[[#This Row],[g/M]]/1000,テーブル1[[#This Row],[SM]]*テーブル1[[#This Row],[g/SM]]/1000)</f>
        <v>0</v>
      </c>
      <c r="Y390" s="25"/>
      <c r="Z390" s="25">
        <f>SUM(テーブル1[[#This Row],[KG(目付)]:[KG]])</f>
        <v>0</v>
      </c>
      <c r="AA390" s="11"/>
      <c r="AB390" s="11"/>
      <c r="AC390" s="24">
        <f>$G$7*(テーブル1[[#This Row],[金額]]*$G$6)</f>
        <v>0</v>
      </c>
    </row>
    <row r="391" spans="11:29" ht="39.950000000000003" customHeight="1">
      <c r="K391" s="7"/>
      <c r="L391" s="7"/>
      <c r="M391" s="7"/>
      <c r="N391" s="7"/>
      <c r="O391" s="21">
        <f t="shared" si="9"/>
        <v>0</v>
      </c>
      <c r="P391" s="7"/>
      <c r="Q391" s="11"/>
      <c r="R391" s="11"/>
      <c r="S391" s="11"/>
      <c r="T391" s="11"/>
      <c r="U391" s="11"/>
      <c r="V391" s="25">
        <f>IF($G$8="",テーブル1[[#This Row],[幅]]*テーブル1[[#This Row],[長さ]],テーブル1[[#This Row],[幅]]*テーブル1[[#This Row],[長さ]]*$G$8)</f>
        <v>0</v>
      </c>
      <c r="W391" s="25" t="str">
        <f>IF(テーブル1[[#This Row],[幅]]=0,"",テーブル1[[#This Row],[KG合計]]/テーブル1[[#This Row],[SM]]*1000)</f>
        <v/>
      </c>
      <c r="X391" s="25">
        <f>IF(テーブル1[[#This Row],[g/SM]]="",テーブル1[[#This Row],[長さ]]*テーブル1[[#This Row],[g/M]]/1000,テーブル1[[#This Row],[SM]]*テーブル1[[#This Row],[g/SM]]/1000)</f>
        <v>0</v>
      </c>
      <c r="Y391" s="25"/>
      <c r="Z391" s="25">
        <f>SUM(テーブル1[[#This Row],[KG(目付)]:[KG]])</f>
        <v>0</v>
      </c>
      <c r="AA391" s="11"/>
      <c r="AB391" s="11"/>
      <c r="AC391" s="24">
        <f>$G$7*(テーブル1[[#This Row],[金額]]*$G$6)</f>
        <v>0</v>
      </c>
    </row>
    <row r="392" spans="11:29" ht="39.950000000000003" customHeight="1">
      <c r="K392" s="7"/>
      <c r="L392" s="7"/>
      <c r="M392" s="7"/>
      <c r="N392" s="7"/>
      <c r="O392" s="21">
        <f t="shared" si="9"/>
        <v>0</v>
      </c>
      <c r="P392" s="7"/>
      <c r="Q392" s="11"/>
      <c r="R392" s="11"/>
      <c r="S392" s="11"/>
      <c r="T392" s="11"/>
      <c r="U392" s="11"/>
      <c r="V392" s="25">
        <f>IF($G$8="",テーブル1[[#This Row],[幅]]*テーブル1[[#This Row],[長さ]],テーブル1[[#This Row],[幅]]*テーブル1[[#This Row],[長さ]]*$G$8)</f>
        <v>0</v>
      </c>
      <c r="W392" s="25" t="str">
        <f>IF(テーブル1[[#This Row],[幅]]=0,"",テーブル1[[#This Row],[KG合計]]/テーブル1[[#This Row],[SM]]*1000)</f>
        <v/>
      </c>
      <c r="X392" s="25">
        <f>IF(テーブル1[[#This Row],[g/SM]]="",テーブル1[[#This Row],[長さ]]*テーブル1[[#This Row],[g/M]]/1000,テーブル1[[#This Row],[SM]]*テーブル1[[#This Row],[g/SM]]/1000)</f>
        <v>0</v>
      </c>
      <c r="Y392" s="25"/>
      <c r="Z392" s="25">
        <f>SUM(テーブル1[[#This Row],[KG(目付)]:[KG]])</f>
        <v>0</v>
      </c>
      <c r="AA392" s="11"/>
      <c r="AB392" s="11"/>
      <c r="AC392" s="24">
        <f>$G$7*(テーブル1[[#This Row],[金額]]*$G$6)</f>
        <v>0</v>
      </c>
    </row>
    <row r="393" spans="11:29" ht="39.950000000000003" customHeight="1">
      <c r="K393" s="7"/>
      <c r="L393" s="7"/>
      <c r="M393" s="7"/>
      <c r="N393" s="7"/>
      <c r="O393" s="21">
        <f t="shared" si="9"/>
        <v>0</v>
      </c>
      <c r="P393" s="7"/>
      <c r="Q393" s="11"/>
      <c r="R393" s="11"/>
      <c r="S393" s="11"/>
      <c r="T393" s="11"/>
      <c r="U393" s="11"/>
      <c r="V393" s="25">
        <f>IF($G$8="",テーブル1[[#This Row],[幅]]*テーブル1[[#This Row],[長さ]],テーブル1[[#This Row],[幅]]*テーブル1[[#This Row],[長さ]]*$G$8)</f>
        <v>0</v>
      </c>
      <c r="W393" s="25" t="str">
        <f>IF(テーブル1[[#This Row],[幅]]=0,"",テーブル1[[#This Row],[KG合計]]/テーブル1[[#This Row],[SM]]*1000)</f>
        <v/>
      </c>
      <c r="X393" s="25">
        <f>IF(テーブル1[[#This Row],[g/SM]]="",テーブル1[[#This Row],[長さ]]*テーブル1[[#This Row],[g/M]]/1000,テーブル1[[#This Row],[SM]]*テーブル1[[#This Row],[g/SM]]/1000)</f>
        <v>0</v>
      </c>
      <c r="Y393" s="25"/>
      <c r="Z393" s="25">
        <f>SUM(テーブル1[[#This Row],[KG(目付)]:[KG]])</f>
        <v>0</v>
      </c>
      <c r="AA393" s="11"/>
      <c r="AB393" s="11"/>
      <c r="AC393" s="24">
        <f>$G$7*(テーブル1[[#This Row],[金額]]*$G$6)</f>
        <v>0</v>
      </c>
    </row>
    <row r="394" spans="11:29" ht="39.950000000000003" customHeight="1">
      <c r="K394" s="7"/>
      <c r="L394" s="7"/>
      <c r="M394" s="7"/>
      <c r="N394" s="7"/>
      <c r="O394" s="21">
        <f t="shared" si="9"/>
        <v>0</v>
      </c>
      <c r="P394" s="7"/>
      <c r="Q394" s="11"/>
      <c r="R394" s="11"/>
      <c r="S394" s="11"/>
      <c r="T394" s="11"/>
      <c r="U394" s="11"/>
      <c r="V394" s="25">
        <f>IF($G$8="",テーブル1[[#This Row],[幅]]*テーブル1[[#This Row],[長さ]],テーブル1[[#This Row],[幅]]*テーブル1[[#This Row],[長さ]]*$G$8)</f>
        <v>0</v>
      </c>
      <c r="W394" s="25" t="str">
        <f>IF(テーブル1[[#This Row],[幅]]=0,"",テーブル1[[#This Row],[KG合計]]/テーブル1[[#This Row],[SM]]*1000)</f>
        <v/>
      </c>
      <c r="X394" s="25">
        <f>IF(テーブル1[[#This Row],[g/SM]]="",テーブル1[[#This Row],[長さ]]*テーブル1[[#This Row],[g/M]]/1000,テーブル1[[#This Row],[SM]]*テーブル1[[#This Row],[g/SM]]/1000)</f>
        <v>0</v>
      </c>
      <c r="Y394" s="25"/>
      <c r="Z394" s="25">
        <f>SUM(テーブル1[[#This Row],[KG(目付)]:[KG]])</f>
        <v>0</v>
      </c>
      <c r="AA394" s="11"/>
      <c r="AB394" s="11"/>
      <c r="AC394" s="24">
        <f>$G$7*(テーブル1[[#This Row],[金額]]*$G$6)</f>
        <v>0</v>
      </c>
    </row>
    <row r="395" spans="11:29" ht="39.950000000000003" customHeight="1">
      <c r="K395" s="7"/>
      <c r="L395" s="7"/>
      <c r="M395" s="7"/>
      <c r="N395" s="7"/>
      <c r="O395" s="21">
        <f t="shared" ref="O395:O422" si="10">IF(LEN(N395)=10,RIGHT(N395,1),IFERROR(N395-(INT(N395/7)*7),RIGHT(N395,1)))</f>
        <v>0</v>
      </c>
      <c r="P395" s="7"/>
      <c r="Q395" s="11"/>
      <c r="R395" s="11"/>
      <c r="S395" s="11"/>
      <c r="T395" s="11"/>
      <c r="U395" s="11"/>
      <c r="V395" s="25">
        <f>IF($G$8="",テーブル1[[#This Row],[幅]]*テーブル1[[#This Row],[長さ]],テーブル1[[#This Row],[幅]]*テーブル1[[#This Row],[長さ]]*$G$8)</f>
        <v>0</v>
      </c>
      <c r="W395" s="25" t="str">
        <f>IF(テーブル1[[#This Row],[幅]]=0,"",テーブル1[[#This Row],[KG合計]]/テーブル1[[#This Row],[SM]]*1000)</f>
        <v/>
      </c>
      <c r="X395" s="25">
        <f>IF(テーブル1[[#This Row],[g/SM]]="",テーブル1[[#This Row],[長さ]]*テーブル1[[#This Row],[g/M]]/1000,テーブル1[[#This Row],[SM]]*テーブル1[[#This Row],[g/SM]]/1000)</f>
        <v>0</v>
      </c>
      <c r="Y395" s="25"/>
      <c r="Z395" s="25">
        <f>SUM(テーブル1[[#This Row],[KG(目付)]:[KG]])</f>
        <v>0</v>
      </c>
      <c r="AA395" s="11"/>
      <c r="AB395" s="11"/>
      <c r="AC395" s="24">
        <f>$G$7*(テーブル1[[#This Row],[金額]]*$G$6)</f>
        <v>0</v>
      </c>
    </row>
    <row r="396" spans="11:29" ht="39.950000000000003" customHeight="1">
      <c r="K396" s="7"/>
      <c r="L396" s="7"/>
      <c r="M396" s="7"/>
      <c r="N396" s="7"/>
      <c r="O396" s="21">
        <f t="shared" si="10"/>
        <v>0</v>
      </c>
      <c r="P396" s="7"/>
      <c r="Q396" s="11"/>
      <c r="R396" s="11"/>
      <c r="S396" s="11"/>
      <c r="T396" s="11"/>
      <c r="U396" s="11"/>
      <c r="V396" s="25">
        <f>IF($G$8="",テーブル1[[#This Row],[幅]]*テーブル1[[#This Row],[長さ]],テーブル1[[#This Row],[幅]]*テーブル1[[#This Row],[長さ]]*$G$8)</f>
        <v>0</v>
      </c>
      <c r="W396" s="25" t="str">
        <f>IF(テーブル1[[#This Row],[幅]]=0,"",テーブル1[[#This Row],[KG合計]]/テーブル1[[#This Row],[SM]]*1000)</f>
        <v/>
      </c>
      <c r="X396" s="25">
        <f>IF(テーブル1[[#This Row],[g/SM]]="",テーブル1[[#This Row],[長さ]]*テーブル1[[#This Row],[g/M]]/1000,テーブル1[[#This Row],[SM]]*テーブル1[[#This Row],[g/SM]]/1000)</f>
        <v>0</v>
      </c>
      <c r="Y396" s="25"/>
      <c r="Z396" s="25">
        <f>SUM(テーブル1[[#This Row],[KG(目付)]:[KG]])</f>
        <v>0</v>
      </c>
      <c r="AA396" s="11"/>
      <c r="AB396" s="11"/>
      <c r="AC396" s="24">
        <f>$G$7*(テーブル1[[#This Row],[金額]]*$G$6)</f>
        <v>0</v>
      </c>
    </row>
    <row r="397" spans="11:29" ht="39.950000000000003" customHeight="1">
      <c r="K397" s="7"/>
      <c r="L397" s="7"/>
      <c r="M397" s="7"/>
      <c r="N397" s="7"/>
      <c r="O397" s="21">
        <f t="shared" si="10"/>
        <v>0</v>
      </c>
      <c r="P397" s="7"/>
      <c r="Q397" s="11"/>
      <c r="R397" s="11"/>
      <c r="S397" s="11"/>
      <c r="T397" s="11"/>
      <c r="U397" s="11"/>
      <c r="V397" s="25">
        <f>IF($G$8="",テーブル1[[#This Row],[幅]]*テーブル1[[#This Row],[長さ]],テーブル1[[#This Row],[幅]]*テーブル1[[#This Row],[長さ]]*$G$8)</f>
        <v>0</v>
      </c>
      <c r="W397" s="25" t="str">
        <f>IF(テーブル1[[#This Row],[幅]]=0,"",テーブル1[[#This Row],[KG合計]]/テーブル1[[#This Row],[SM]]*1000)</f>
        <v/>
      </c>
      <c r="X397" s="25">
        <f>IF(テーブル1[[#This Row],[g/SM]]="",テーブル1[[#This Row],[長さ]]*テーブル1[[#This Row],[g/M]]/1000,テーブル1[[#This Row],[SM]]*テーブル1[[#This Row],[g/SM]]/1000)</f>
        <v>0</v>
      </c>
      <c r="Y397" s="25"/>
      <c r="Z397" s="25">
        <f>SUM(テーブル1[[#This Row],[KG(目付)]:[KG]])</f>
        <v>0</v>
      </c>
      <c r="AA397" s="11"/>
      <c r="AB397" s="11"/>
      <c r="AC397" s="24">
        <f>$G$7*(テーブル1[[#This Row],[金額]]*$G$6)</f>
        <v>0</v>
      </c>
    </row>
    <row r="398" spans="11:29" ht="39.950000000000003" customHeight="1">
      <c r="K398" s="7"/>
      <c r="L398" s="7"/>
      <c r="M398" s="7"/>
      <c r="N398" s="7"/>
      <c r="O398" s="21">
        <f t="shared" si="10"/>
        <v>0</v>
      </c>
      <c r="P398" s="7"/>
      <c r="Q398" s="11"/>
      <c r="R398" s="11"/>
      <c r="S398" s="11"/>
      <c r="T398" s="11"/>
      <c r="U398" s="11"/>
      <c r="V398" s="25">
        <f>IF($G$8="",テーブル1[[#This Row],[幅]]*テーブル1[[#This Row],[長さ]],テーブル1[[#This Row],[幅]]*テーブル1[[#This Row],[長さ]]*$G$8)</f>
        <v>0</v>
      </c>
      <c r="W398" s="25" t="str">
        <f>IF(テーブル1[[#This Row],[幅]]=0,"",テーブル1[[#This Row],[KG合計]]/テーブル1[[#This Row],[SM]]*1000)</f>
        <v/>
      </c>
      <c r="X398" s="25">
        <f>IF(テーブル1[[#This Row],[g/SM]]="",テーブル1[[#This Row],[長さ]]*テーブル1[[#This Row],[g/M]]/1000,テーブル1[[#This Row],[SM]]*テーブル1[[#This Row],[g/SM]]/1000)</f>
        <v>0</v>
      </c>
      <c r="Y398" s="25"/>
      <c r="Z398" s="25">
        <f>SUM(テーブル1[[#This Row],[KG(目付)]:[KG]])</f>
        <v>0</v>
      </c>
      <c r="AA398" s="11"/>
      <c r="AB398" s="11"/>
      <c r="AC398" s="24">
        <f>$G$7*(テーブル1[[#This Row],[金額]]*$G$6)</f>
        <v>0</v>
      </c>
    </row>
    <row r="399" spans="11:29" ht="39.950000000000003" customHeight="1">
      <c r="K399" s="7"/>
      <c r="L399" s="7"/>
      <c r="M399" s="7"/>
      <c r="N399" s="7"/>
      <c r="O399" s="21">
        <f t="shared" si="10"/>
        <v>0</v>
      </c>
      <c r="P399" s="7"/>
      <c r="Q399" s="11"/>
      <c r="R399" s="11"/>
      <c r="S399" s="11"/>
      <c r="T399" s="11"/>
      <c r="U399" s="11"/>
      <c r="V399" s="25">
        <f>IF($G$8="",テーブル1[[#This Row],[幅]]*テーブル1[[#This Row],[長さ]],テーブル1[[#This Row],[幅]]*テーブル1[[#This Row],[長さ]]*$G$8)</f>
        <v>0</v>
      </c>
      <c r="W399" s="25" t="str">
        <f>IF(テーブル1[[#This Row],[幅]]=0,"",テーブル1[[#This Row],[KG合計]]/テーブル1[[#This Row],[SM]]*1000)</f>
        <v/>
      </c>
      <c r="X399" s="25">
        <f>IF(テーブル1[[#This Row],[g/SM]]="",テーブル1[[#This Row],[長さ]]*テーブル1[[#This Row],[g/M]]/1000,テーブル1[[#This Row],[SM]]*テーブル1[[#This Row],[g/SM]]/1000)</f>
        <v>0</v>
      </c>
      <c r="Y399" s="25"/>
      <c r="Z399" s="25">
        <f>SUM(テーブル1[[#This Row],[KG(目付)]:[KG]])</f>
        <v>0</v>
      </c>
      <c r="AA399" s="11"/>
      <c r="AB399" s="11"/>
      <c r="AC399" s="24">
        <f>$G$7*(テーブル1[[#This Row],[金額]]*$G$6)</f>
        <v>0</v>
      </c>
    </row>
    <row r="400" spans="11:29" ht="39.950000000000003" customHeight="1">
      <c r="K400" s="7"/>
      <c r="L400" s="7"/>
      <c r="M400" s="7"/>
      <c r="N400" s="7"/>
      <c r="O400" s="21">
        <f t="shared" si="10"/>
        <v>0</v>
      </c>
      <c r="P400" s="7"/>
      <c r="Q400" s="11"/>
      <c r="R400" s="11"/>
      <c r="S400" s="11"/>
      <c r="T400" s="11"/>
      <c r="U400" s="11"/>
      <c r="V400" s="25">
        <f>IF($G$8="",テーブル1[[#This Row],[幅]]*テーブル1[[#This Row],[長さ]],テーブル1[[#This Row],[幅]]*テーブル1[[#This Row],[長さ]]*$G$8)</f>
        <v>0</v>
      </c>
      <c r="W400" s="25" t="str">
        <f>IF(テーブル1[[#This Row],[幅]]=0,"",テーブル1[[#This Row],[KG合計]]/テーブル1[[#This Row],[SM]]*1000)</f>
        <v/>
      </c>
      <c r="X400" s="25">
        <f>IF(テーブル1[[#This Row],[g/SM]]="",テーブル1[[#This Row],[長さ]]*テーブル1[[#This Row],[g/M]]/1000,テーブル1[[#This Row],[SM]]*テーブル1[[#This Row],[g/SM]]/1000)</f>
        <v>0</v>
      </c>
      <c r="Y400" s="25"/>
      <c r="Z400" s="25">
        <f>SUM(テーブル1[[#This Row],[KG(目付)]:[KG]])</f>
        <v>0</v>
      </c>
      <c r="AA400" s="11"/>
      <c r="AB400" s="11"/>
      <c r="AC400" s="24">
        <f>$G$7*(テーブル1[[#This Row],[金額]]*$G$6)</f>
        <v>0</v>
      </c>
    </row>
    <row r="401" spans="11:29" ht="39.950000000000003" customHeight="1">
      <c r="K401" s="7"/>
      <c r="L401" s="7"/>
      <c r="M401" s="7"/>
      <c r="N401" s="7"/>
      <c r="O401" s="21">
        <f t="shared" si="10"/>
        <v>0</v>
      </c>
      <c r="P401" s="7"/>
      <c r="Q401" s="11"/>
      <c r="R401" s="11"/>
      <c r="S401" s="11"/>
      <c r="T401" s="11"/>
      <c r="U401" s="11"/>
      <c r="V401" s="25">
        <f>IF($G$8="",テーブル1[[#This Row],[幅]]*テーブル1[[#This Row],[長さ]],テーブル1[[#This Row],[幅]]*テーブル1[[#This Row],[長さ]]*$G$8)</f>
        <v>0</v>
      </c>
      <c r="W401" s="25" t="str">
        <f>IF(テーブル1[[#This Row],[幅]]=0,"",テーブル1[[#This Row],[KG合計]]/テーブル1[[#This Row],[SM]]*1000)</f>
        <v/>
      </c>
      <c r="X401" s="25">
        <f>IF(テーブル1[[#This Row],[g/SM]]="",テーブル1[[#This Row],[長さ]]*テーブル1[[#This Row],[g/M]]/1000,テーブル1[[#This Row],[SM]]*テーブル1[[#This Row],[g/SM]]/1000)</f>
        <v>0</v>
      </c>
      <c r="Y401" s="25"/>
      <c r="Z401" s="25">
        <f>SUM(テーブル1[[#This Row],[KG(目付)]:[KG]])</f>
        <v>0</v>
      </c>
      <c r="AA401" s="11"/>
      <c r="AB401" s="11"/>
      <c r="AC401" s="24">
        <f>$G$7*(テーブル1[[#This Row],[金額]]*$G$6)</f>
        <v>0</v>
      </c>
    </row>
    <row r="402" spans="11:29" ht="39.950000000000003" customHeight="1">
      <c r="K402" s="7"/>
      <c r="L402" s="7"/>
      <c r="M402" s="7"/>
      <c r="N402" s="7"/>
      <c r="O402" s="21">
        <f t="shared" si="10"/>
        <v>0</v>
      </c>
      <c r="P402" s="7"/>
      <c r="Q402" s="11"/>
      <c r="R402" s="11"/>
      <c r="S402" s="11"/>
      <c r="T402" s="11"/>
      <c r="U402" s="11"/>
      <c r="V402" s="25">
        <f>IF($G$8="",テーブル1[[#This Row],[幅]]*テーブル1[[#This Row],[長さ]],テーブル1[[#This Row],[幅]]*テーブル1[[#This Row],[長さ]]*$G$8)</f>
        <v>0</v>
      </c>
      <c r="W402" s="25" t="str">
        <f>IF(テーブル1[[#This Row],[幅]]=0,"",テーブル1[[#This Row],[KG合計]]/テーブル1[[#This Row],[SM]]*1000)</f>
        <v/>
      </c>
      <c r="X402" s="25">
        <f>IF(テーブル1[[#This Row],[g/SM]]="",テーブル1[[#This Row],[長さ]]*テーブル1[[#This Row],[g/M]]/1000,テーブル1[[#This Row],[SM]]*テーブル1[[#This Row],[g/SM]]/1000)</f>
        <v>0</v>
      </c>
      <c r="Y402" s="25"/>
      <c r="Z402" s="25">
        <f>SUM(テーブル1[[#This Row],[KG(目付)]:[KG]])</f>
        <v>0</v>
      </c>
      <c r="AA402" s="11"/>
      <c r="AB402" s="11"/>
      <c r="AC402" s="24">
        <f>$G$7*(テーブル1[[#This Row],[金額]]*$G$6)</f>
        <v>0</v>
      </c>
    </row>
    <row r="403" spans="11:29" ht="39.950000000000003" customHeight="1">
      <c r="K403" s="7"/>
      <c r="L403" s="7"/>
      <c r="M403" s="7"/>
      <c r="N403" s="7"/>
      <c r="O403" s="21">
        <f t="shared" si="10"/>
        <v>0</v>
      </c>
      <c r="P403" s="7"/>
      <c r="Q403" s="11"/>
      <c r="R403" s="11"/>
      <c r="S403" s="11"/>
      <c r="T403" s="11"/>
      <c r="U403" s="11"/>
      <c r="V403" s="25">
        <f>IF($G$8="",テーブル1[[#This Row],[幅]]*テーブル1[[#This Row],[長さ]],テーブル1[[#This Row],[幅]]*テーブル1[[#This Row],[長さ]]*$G$8)</f>
        <v>0</v>
      </c>
      <c r="W403" s="25" t="str">
        <f>IF(テーブル1[[#This Row],[幅]]=0,"",テーブル1[[#This Row],[KG合計]]/テーブル1[[#This Row],[SM]]*1000)</f>
        <v/>
      </c>
      <c r="X403" s="25">
        <f>IF(テーブル1[[#This Row],[g/SM]]="",テーブル1[[#This Row],[長さ]]*テーブル1[[#This Row],[g/M]]/1000,テーブル1[[#This Row],[SM]]*テーブル1[[#This Row],[g/SM]]/1000)</f>
        <v>0</v>
      </c>
      <c r="Y403" s="25"/>
      <c r="Z403" s="25">
        <f>SUM(テーブル1[[#This Row],[KG(目付)]:[KG]])</f>
        <v>0</v>
      </c>
      <c r="AA403" s="11"/>
      <c r="AB403" s="11"/>
      <c r="AC403" s="24">
        <f>$G$7*(テーブル1[[#This Row],[金額]]*$G$6)</f>
        <v>0</v>
      </c>
    </row>
    <row r="404" spans="11:29" ht="39.950000000000003" customHeight="1">
      <c r="K404" s="7"/>
      <c r="L404" s="7"/>
      <c r="M404" s="7"/>
      <c r="N404" s="7"/>
      <c r="O404" s="21">
        <f t="shared" si="10"/>
        <v>0</v>
      </c>
      <c r="P404" s="7"/>
      <c r="Q404" s="11"/>
      <c r="R404" s="11"/>
      <c r="S404" s="11"/>
      <c r="T404" s="11"/>
      <c r="U404" s="11"/>
      <c r="V404" s="25">
        <f>IF($G$8="",テーブル1[[#This Row],[幅]]*テーブル1[[#This Row],[長さ]],テーブル1[[#This Row],[幅]]*テーブル1[[#This Row],[長さ]]*$G$8)</f>
        <v>0</v>
      </c>
      <c r="W404" s="25" t="str">
        <f>IF(テーブル1[[#This Row],[幅]]=0,"",テーブル1[[#This Row],[KG合計]]/テーブル1[[#This Row],[SM]]*1000)</f>
        <v/>
      </c>
      <c r="X404" s="25">
        <f>IF(テーブル1[[#This Row],[g/SM]]="",テーブル1[[#This Row],[長さ]]*テーブル1[[#This Row],[g/M]]/1000,テーブル1[[#This Row],[SM]]*テーブル1[[#This Row],[g/SM]]/1000)</f>
        <v>0</v>
      </c>
      <c r="Y404" s="25"/>
      <c r="Z404" s="25">
        <f>SUM(テーブル1[[#This Row],[KG(目付)]:[KG]])</f>
        <v>0</v>
      </c>
      <c r="AA404" s="11"/>
      <c r="AB404" s="11"/>
      <c r="AC404" s="24">
        <f>$G$7*(テーブル1[[#This Row],[金額]]*$G$6)</f>
        <v>0</v>
      </c>
    </row>
    <row r="405" spans="11:29" ht="39.950000000000003" customHeight="1">
      <c r="K405" s="7"/>
      <c r="L405" s="7"/>
      <c r="M405" s="7"/>
      <c r="N405" s="7"/>
      <c r="O405" s="21">
        <f t="shared" si="10"/>
        <v>0</v>
      </c>
      <c r="P405" s="7"/>
      <c r="Q405" s="11"/>
      <c r="R405" s="11"/>
      <c r="S405" s="11"/>
      <c r="T405" s="11"/>
      <c r="U405" s="11"/>
      <c r="V405" s="25">
        <f>IF($G$8="",テーブル1[[#This Row],[幅]]*テーブル1[[#This Row],[長さ]],テーブル1[[#This Row],[幅]]*テーブル1[[#This Row],[長さ]]*$G$8)</f>
        <v>0</v>
      </c>
      <c r="W405" s="25" t="str">
        <f>IF(テーブル1[[#This Row],[幅]]=0,"",テーブル1[[#This Row],[KG合計]]/テーブル1[[#This Row],[SM]]*1000)</f>
        <v/>
      </c>
      <c r="X405" s="25">
        <f>IF(テーブル1[[#This Row],[g/SM]]="",テーブル1[[#This Row],[長さ]]*テーブル1[[#This Row],[g/M]]/1000,テーブル1[[#This Row],[SM]]*テーブル1[[#This Row],[g/SM]]/1000)</f>
        <v>0</v>
      </c>
      <c r="Y405" s="25"/>
      <c r="Z405" s="25">
        <f>SUM(テーブル1[[#This Row],[KG(目付)]:[KG]])</f>
        <v>0</v>
      </c>
      <c r="AA405" s="11"/>
      <c r="AB405" s="11"/>
      <c r="AC405" s="24">
        <f>$G$7*(テーブル1[[#This Row],[金額]]*$G$6)</f>
        <v>0</v>
      </c>
    </row>
    <row r="406" spans="11:29" ht="39.950000000000003" customHeight="1">
      <c r="K406" s="7"/>
      <c r="L406" s="7"/>
      <c r="M406" s="7"/>
      <c r="N406" s="7"/>
      <c r="O406" s="21">
        <f t="shared" si="10"/>
        <v>0</v>
      </c>
      <c r="P406" s="7"/>
      <c r="Q406" s="11"/>
      <c r="R406" s="11"/>
      <c r="S406" s="11"/>
      <c r="T406" s="11"/>
      <c r="U406" s="11"/>
      <c r="V406" s="25">
        <f>IF($G$8="",テーブル1[[#This Row],[幅]]*テーブル1[[#This Row],[長さ]],テーブル1[[#This Row],[幅]]*テーブル1[[#This Row],[長さ]]*$G$8)</f>
        <v>0</v>
      </c>
      <c r="W406" s="25" t="str">
        <f>IF(テーブル1[[#This Row],[幅]]=0,"",テーブル1[[#This Row],[KG合計]]/テーブル1[[#This Row],[SM]]*1000)</f>
        <v/>
      </c>
      <c r="X406" s="25">
        <f>IF(テーブル1[[#This Row],[g/SM]]="",テーブル1[[#This Row],[長さ]]*テーブル1[[#This Row],[g/M]]/1000,テーブル1[[#This Row],[SM]]*テーブル1[[#This Row],[g/SM]]/1000)</f>
        <v>0</v>
      </c>
      <c r="Y406" s="25"/>
      <c r="Z406" s="25">
        <f>SUM(テーブル1[[#This Row],[KG(目付)]:[KG]])</f>
        <v>0</v>
      </c>
      <c r="AA406" s="11"/>
      <c r="AB406" s="11"/>
      <c r="AC406" s="24">
        <f>$G$7*(テーブル1[[#This Row],[金額]]*$G$6)</f>
        <v>0</v>
      </c>
    </row>
    <row r="407" spans="11:29" ht="39.950000000000003" customHeight="1">
      <c r="K407" s="7"/>
      <c r="L407" s="7"/>
      <c r="M407" s="7"/>
      <c r="N407" s="7"/>
      <c r="O407" s="21">
        <f t="shared" si="10"/>
        <v>0</v>
      </c>
      <c r="P407" s="7"/>
      <c r="Q407" s="11"/>
      <c r="R407" s="11"/>
      <c r="S407" s="11"/>
      <c r="T407" s="11"/>
      <c r="U407" s="11"/>
      <c r="V407" s="25">
        <f>IF($G$8="",テーブル1[[#This Row],[幅]]*テーブル1[[#This Row],[長さ]],テーブル1[[#This Row],[幅]]*テーブル1[[#This Row],[長さ]]*$G$8)</f>
        <v>0</v>
      </c>
      <c r="W407" s="25" t="str">
        <f>IF(テーブル1[[#This Row],[幅]]=0,"",テーブル1[[#This Row],[KG合計]]/テーブル1[[#This Row],[SM]]*1000)</f>
        <v/>
      </c>
      <c r="X407" s="25">
        <f>IF(テーブル1[[#This Row],[g/SM]]="",テーブル1[[#This Row],[長さ]]*テーブル1[[#This Row],[g/M]]/1000,テーブル1[[#This Row],[SM]]*テーブル1[[#This Row],[g/SM]]/1000)</f>
        <v>0</v>
      </c>
      <c r="Y407" s="25"/>
      <c r="Z407" s="25">
        <f>SUM(テーブル1[[#This Row],[KG(目付)]:[KG]])</f>
        <v>0</v>
      </c>
      <c r="AA407" s="11"/>
      <c r="AB407" s="11"/>
      <c r="AC407" s="24">
        <f>$G$7*(テーブル1[[#This Row],[金額]]*$G$6)</f>
        <v>0</v>
      </c>
    </row>
    <row r="408" spans="11:29" ht="39.950000000000003" customHeight="1">
      <c r="K408" s="7"/>
      <c r="L408" s="7"/>
      <c r="M408" s="7"/>
      <c r="N408" s="7"/>
      <c r="O408" s="21">
        <f t="shared" si="10"/>
        <v>0</v>
      </c>
      <c r="P408" s="7"/>
      <c r="Q408" s="11"/>
      <c r="R408" s="11"/>
      <c r="S408" s="11"/>
      <c r="T408" s="11"/>
      <c r="U408" s="11"/>
      <c r="V408" s="25">
        <f>IF($G$8="",テーブル1[[#This Row],[幅]]*テーブル1[[#This Row],[長さ]],テーブル1[[#This Row],[幅]]*テーブル1[[#This Row],[長さ]]*$G$8)</f>
        <v>0</v>
      </c>
      <c r="W408" s="25" t="str">
        <f>IF(テーブル1[[#This Row],[幅]]=0,"",テーブル1[[#This Row],[KG合計]]/テーブル1[[#This Row],[SM]]*1000)</f>
        <v/>
      </c>
      <c r="X408" s="25">
        <f>IF(テーブル1[[#This Row],[g/SM]]="",テーブル1[[#This Row],[長さ]]*テーブル1[[#This Row],[g/M]]/1000,テーブル1[[#This Row],[SM]]*テーブル1[[#This Row],[g/SM]]/1000)</f>
        <v>0</v>
      </c>
      <c r="Y408" s="25"/>
      <c r="Z408" s="25">
        <f>SUM(テーブル1[[#This Row],[KG(目付)]:[KG]])</f>
        <v>0</v>
      </c>
      <c r="AA408" s="11"/>
      <c r="AB408" s="11"/>
      <c r="AC408" s="24">
        <f>$G$7*(テーブル1[[#This Row],[金額]]*$G$6)</f>
        <v>0</v>
      </c>
    </row>
    <row r="409" spans="11:29" ht="39.950000000000003" customHeight="1">
      <c r="K409" s="7"/>
      <c r="L409" s="7"/>
      <c r="M409" s="7"/>
      <c r="N409" s="7"/>
      <c r="O409" s="21">
        <f t="shared" si="10"/>
        <v>0</v>
      </c>
      <c r="P409" s="7"/>
      <c r="Q409" s="11"/>
      <c r="R409" s="11"/>
      <c r="S409" s="11"/>
      <c r="T409" s="11"/>
      <c r="U409" s="11"/>
      <c r="V409" s="25">
        <f>IF($G$8="",テーブル1[[#This Row],[幅]]*テーブル1[[#This Row],[長さ]],テーブル1[[#This Row],[幅]]*テーブル1[[#This Row],[長さ]]*$G$8)</f>
        <v>0</v>
      </c>
      <c r="W409" s="25" t="str">
        <f>IF(テーブル1[[#This Row],[幅]]=0,"",テーブル1[[#This Row],[KG合計]]/テーブル1[[#This Row],[SM]]*1000)</f>
        <v/>
      </c>
      <c r="X409" s="25">
        <f>IF(テーブル1[[#This Row],[g/SM]]="",テーブル1[[#This Row],[長さ]]*テーブル1[[#This Row],[g/M]]/1000,テーブル1[[#This Row],[SM]]*テーブル1[[#This Row],[g/SM]]/1000)</f>
        <v>0</v>
      </c>
      <c r="Y409" s="25"/>
      <c r="Z409" s="25">
        <f>SUM(テーブル1[[#This Row],[KG(目付)]:[KG]])</f>
        <v>0</v>
      </c>
      <c r="AA409" s="11"/>
      <c r="AB409" s="11"/>
      <c r="AC409" s="24">
        <f>$G$7*(テーブル1[[#This Row],[金額]]*$G$6)</f>
        <v>0</v>
      </c>
    </row>
    <row r="410" spans="11:29" ht="39.950000000000003" customHeight="1">
      <c r="K410" s="7"/>
      <c r="L410" s="7"/>
      <c r="M410" s="7"/>
      <c r="N410" s="7"/>
      <c r="O410" s="21">
        <f t="shared" si="10"/>
        <v>0</v>
      </c>
      <c r="P410" s="7"/>
      <c r="Q410" s="11"/>
      <c r="R410" s="11"/>
      <c r="S410" s="11"/>
      <c r="T410" s="11"/>
      <c r="U410" s="11"/>
      <c r="V410" s="25">
        <f>IF($G$8="",テーブル1[[#This Row],[幅]]*テーブル1[[#This Row],[長さ]],テーブル1[[#This Row],[幅]]*テーブル1[[#This Row],[長さ]]*$G$8)</f>
        <v>0</v>
      </c>
      <c r="W410" s="25" t="str">
        <f>IF(テーブル1[[#This Row],[幅]]=0,"",テーブル1[[#This Row],[KG合計]]/テーブル1[[#This Row],[SM]]*1000)</f>
        <v/>
      </c>
      <c r="X410" s="25">
        <f>IF(テーブル1[[#This Row],[g/SM]]="",テーブル1[[#This Row],[長さ]]*テーブル1[[#This Row],[g/M]]/1000,テーブル1[[#This Row],[SM]]*テーブル1[[#This Row],[g/SM]]/1000)</f>
        <v>0</v>
      </c>
      <c r="Y410" s="25"/>
      <c r="Z410" s="25">
        <f>SUM(テーブル1[[#This Row],[KG(目付)]:[KG]])</f>
        <v>0</v>
      </c>
      <c r="AA410" s="11"/>
      <c r="AB410" s="11"/>
      <c r="AC410" s="24">
        <f>$G$7*(テーブル1[[#This Row],[金額]]*$G$6)</f>
        <v>0</v>
      </c>
    </row>
    <row r="411" spans="11:29" ht="39.950000000000003" customHeight="1">
      <c r="K411" s="7"/>
      <c r="L411" s="7"/>
      <c r="M411" s="7"/>
      <c r="N411" s="7"/>
      <c r="O411" s="21">
        <f t="shared" si="10"/>
        <v>0</v>
      </c>
      <c r="P411" s="7"/>
      <c r="Q411" s="11"/>
      <c r="R411" s="11"/>
      <c r="S411" s="11"/>
      <c r="T411" s="11"/>
      <c r="U411" s="11"/>
      <c r="V411" s="25">
        <f>IF($G$8="",テーブル1[[#This Row],[幅]]*テーブル1[[#This Row],[長さ]],テーブル1[[#This Row],[幅]]*テーブル1[[#This Row],[長さ]]*$G$8)</f>
        <v>0</v>
      </c>
      <c r="W411" s="25" t="str">
        <f>IF(テーブル1[[#This Row],[幅]]=0,"",テーブル1[[#This Row],[KG合計]]/テーブル1[[#This Row],[SM]]*1000)</f>
        <v/>
      </c>
      <c r="X411" s="25">
        <f>IF(テーブル1[[#This Row],[g/SM]]="",テーブル1[[#This Row],[長さ]]*テーブル1[[#This Row],[g/M]]/1000,テーブル1[[#This Row],[SM]]*テーブル1[[#This Row],[g/SM]]/1000)</f>
        <v>0</v>
      </c>
      <c r="Y411" s="25"/>
      <c r="Z411" s="25">
        <f>SUM(テーブル1[[#This Row],[KG(目付)]:[KG]])</f>
        <v>0</v>
      </c>
      <c r="AA411" s="11"/>
      <c r="AB411" s="11"/>
      <c r="AC411" s="24">
        <f>$G$7*(テーブル1[[#This Row],[金額]]*$G$6)</f>
        <v>0</v>
      </c>
    </row>
    <row r="412" spans="11:29" ht="39.950000000000003" customHeight="1">
      <c r="K412" s="7"/>
      <c r="L412" s="7"/>
      <c r="M412" s="7"/>
      <c r="N412" s="7"/>
      <c r="O412" s="21">
        <f t="shared" si="10"/>
        <v>0</v>
      </c>
      <c r="P412" s="7"/>
      <c r="Q412" s="11"/>
      <c r="R412" s="11"/>
      <c r="S412" s="11"/>
      <c r="T412" s="11"/>
      <c r="U412" s="11"/>
      <c r="V412" s="25">
        <f>IF($G$8="",テーブル1[[#This Row],[幅]]*テーブル1[[#This Row],[長さ]],テーブル1[[#This Row],[幅]]*テーブル1[[#This Row],[長さ]]*$G$8)</f>
        <v>0</v>
      </c>
      <c r="W412" s="25" t="str">
        <f>IF(テーブル1[[#This Row],[幅]]=0,"",テーブル1[[#This Row],[KG合計]]/テーブル1[[#This Row],[SM]]*1000)</f>
        <v/>
      </c>
      <c r="X412" s="25">
        <f>IF(テーブル1[[#This Row],[g/SM]]="",テーブル1[[#This Row],[長さ]]*テーブル1[[#This Row],[g/M]]/1000,テーブル1[[#This Row],[SM]]*テーブル1[[#This Row],[g/SM]]/1000)</f>
        <v>0</v>
      </c>
      <c r="Y412" s="25"/>
      <c r="Z412" s="25">
        <f>SUM(テーブル1[[#This Row],[KG(目付)]:[KG]])</f>
        <v>0</v>
      </c>
      <c r="AA412" s="11"/>
      <c r="AB412" s="11"/>
      <c r="AC412" s="24">
        <f>$G$7*(テーブル1[[#This Row],[金額]]*$G$6)</f>
        <v>0</v>
      </c>
    </row>
    <row r="413" spans="11:29" ht="39.950000000000003" customHeight="1">
      <c r="K413" s="7"/>
      <c r="L413" s="7"/>
      <c r="M413" s="7"/>
      <c r="N413" s="7"/>
      <c r="O413" s="21">
        <f t="shared" si="10"/>
        <v>0</v>
      </c>
      <c r="P413" s="7"/>
      <c r="Q413" s="11"/>
      <c r="R413" s="11"/>
      <c r="S413" s="11"/>
      <c r="T413" s="11"/>
      <c r="U413" s="11"/>
      <c r="V413" s="25">
        <f>IF($G$8="",テーブル1[[#This Row],[幅]]*テーブル1[[#This Row],[長さ]],テーブル1[[#This Row],[幅]]*テーブル1[[#This Row],[長さ]]*$G$8)</f>
        <v>0</v>
      </c>
      <c r="W413" s="25" t="str">
        <f>IF(テーブル1[[#This Row],[幅]]=0,"",テーブル1[[#This Row],[KG合計]]/テーブル1[[#This Row],[SM]]*1000)</f>
        <v/>
      </c>
      <c r="X413" s="25">
        <f>IF(テーブル1[[#This Row],[g/SM]]="",テーブル1[[#This Row],[長さ]]*テーブル1[[#This Row],[g/M]]/1000,テーブル1[[#This Row],[SM]]*テーブル1[[#This Row],[g/SM]]/1000)</f>
        <v>0</v>
      </c>
      <c r="Y413" s="25"/>
      <c r="Z413" s="25">
        <f>SUM(テーブル1[[#This Row],[KG(目付)]:[KG]])</f>
        <v>0</v>
      </c>
      <c r="AA413" s="11"/>
      <c r="AB413" s="11"/>
      <c r="AC413" s="24">
        <f>$G$7*(テーブル1[[#This Row],[金額]]*$G$6)</f>
        <v>0</v>
      </c>
    </row>
    <row r="414" spans="11:29" ht="39.950000000000003" customHeight="1">
      <c r="K414" s="7"/>
      <c r="L414" s="7"/>
      <c r="M414" s="7"/>
      <c r="N414" s="7"/>
      <c r="O414" s="21">
        <f t="shared" si="10"/>
        <v>0</v>
      </c>
      <c r="P414" s="7"/>
      <c r="Q414" s="11"/>
      <c r="R414" s="11"/>
      <c r="S414" s="11"/>
      <c r="T414" s="11"/>
      <c r="U414" s="11"/>
      <c r="V414" s="25">
        <f>IF($G$8="",テーブル1[[#This Row],[幅]]*テーブル1[[#This Row],[長さ]],テーブル1[[#This Row],[幅]]*テーブル1[[#This Row],[長さ]]*$G$8)</f>
        <v>0</v>
      </c>
      <c r="W414" s="25" t="str">
        <f>IF(テーブル1[[#This Row],[幅]]=0,"",テーブル1[[#This Row],[KG合計]]/テーブル1[[#This Row],[SM]]*1000)</f>
        <v/>
      </c>
      <c r="X414" s="25">
        <f>IF(テーブル1[[#This Row],[g/SM]]="",テーブル1[[#This Row],[長さ]]*テーブル1[[#This Row],[g/M]]/1000,テーブル1[[#This Row],[SM]]*テーブル1[[#This Row],[g/SM]]/1000)</f>
        <v>0</v>
      </c>
      <c r="Y414" s="25"/>
      <c r="Z414" s="25">
        <f>SUM(テーブル1[[#This Row],[KG(目付)]:[KG]])</f>
        <v>0</v>
      </c>
      <c r="AA414" s="11"/>
      <c r="AB414" s="11"/>
      <c r="AC414" s="24">
        <f>$G$7*(テーブル1[[#This Row],[金額]]*$G$6)</f>
        <v>0</v>
      </c>
    </row>
    <row r="415" spans="11:29" ht="39.950000000000003" customHeight="1">
      <c r="K415" s="7"/>
      <c r="L415" s="7"/>
      <c r="M415" s="7"/>
      <c r="N415" s="7"/>
      <c r="O415" s="21">
        <f t="shared" si="10"/>
        <v>0</v>
      </c>
      <c r="P415" s="7"/>
      <c r="Q415" s="11"/>
      <c r="R415" s="11"/>
      <c r="S415" s="11"/>
      <c r="T415" s="11"/>
      <c r="U415" s="11"/>
      <c r="V415" s="25">
        <f>IF($G$8="",テーブル1[[#This Row],[幅]]*テーブル1[[#This Row],[長さ]],テーブル1[[#This Row],[幅]]*テーブル1[[#This Row],[長さ]]*$G$8)</f>
        <v>0</v>
      </c>
      <c r="W415" s="25" t="str">
        <f>IF(テーブル1[[#This Row],[幅]]=0,"",テーブル1[[#This Row],[KG合計]]/テーブル1[[#This Row],[SM]]*1000)</f>
        <v/>
      </c>
      <c r="X415" s="25">
        <f>IF(テーブル1[[#This Row],[g/SM]]="",テーブル1[[#This Row],[長さ]]*テーブル1[[#This Row],[g/M]]/1000,テーブル1[[#This Row],[SM]]*テーブル1[[#This Row],[g/SM]]/1000)</f>
        <v>0</v>
      </c>
      <c r="Y415" s="25"/>
      <c r="Z415" s="25">
        <f>SUM(テーブル1[[#This Row],[KG(目付)]:[KG]])</f>
        <v>0</v>
      </c>
      <c r="AA415" s="11"/>
      <c r="AB415" s="11"/>
      <c r="AC415" s="24">
        <f>$G$7*(テーブル1[[#This Row],[金額]]*$G$6)</f>
        <v>0</v>
      </c>
    </row>
    <row r="416" spans="11:29" ht="39.950000000000003" customHeight="1">
      <c r="K416" s="7"/>
      <c r="L416" s="7"/>
      <c r="M416" s="7"/>
      <c r="N416" s="7"/>
      <c r="O416" s="21">
        <f t="shared" si="10"/>
        <v>0</v>
      </c>
      <c r="P416" s="7"/>
      <c r="Q416" s="11"/>
      <c r="R416" s="11"/>
      <c r="S416" s="11"/>
      <c r="T416" s="11"/>
      <c r="U416" s="11"/>
      <c r="V416" s="25">
        <f>IF($G$8="",テーブル1[[#This Row],[幅]]*テーブル1[[#This Row],[長さ]],テーブル1[[#This Row],[幅]]*テーブル1[[#This Row],[長さ]]*$G$8)</f>
        <v>0</v>
      </c>
      <c r="W416" s="25" t="str">
        <f>IF(テーブル1[[#This Row],[幅]]=0,"",テーブル1[[#This Row],[KG合計]]/テーブル1[[#This Row],[SM]]*1000)</f>
        <v/>
      </c>
      <c r="X416" s="25">
        <f>IF(テーブル1[[#This Row],[g/SM]]="",テーブル1[[#This Row],[長さ]]*テーブル1[[#This Row],[g/M]]/1000,テーブル1[[#This Row],[SM]]*テーブル1[[#This Row],[g/SM]]/1000)</f>
        <v>0</v>
      </c>
      <c r="Y416" s="25"/>
      <c r="Z416" s="25">
        <f>SUM(テーブル1[[#This Row],[KG(目付)]:[KG]])</f>
        <v>0</v>
      </c>
      <c r="AA416" s="11"/>
      <c r="AB416" s="11"/>
      <c r="AC416" s="24">
        <f>$G$7*(テーブル1[[#This Row],[金額]]*$G$6)</f>
        <v>0</v>
      </c>
    </row>
    <row r="417" spans="11:29" ht="39.950000000000003" customHeight="1">
      <c r="K417" s="7"/>
      <c r="L417" s="7"/>
      <c r="M417" s="7"/>
      <c r="N417" s="7"/>
      <c r="O417" s="21">
        <f t="shared" si="10"/>
        <v>0</v>
      </c>
      <c r="P417" s="7"/>
      <c r="Q417" s="11"/>
      <c r="R417" s="11"/>
      <c r="S417" s="11"/>
      <c r="T417" s="11"/>
      <c r="U417" s="11"/>
      <c r="V417" s="25">
        <f>IF($G$8="",テーブル1[[#This Row],[幅]]*テーブル1[[#This Row],[長さ]],テーブル1[[#This Row],[幅]]*テーブル1[[#This Row],[長さ]]*$G$8)</f>
        <v>0</v>
      </c>
      <c r="W417" s="25" t="str">
        <f>IF(テーブル1[[#This Row],[幅]]=0,"",テーブル1[[#This Row],[KG合計]]/テーブル1[[#This Row],[SM]]*1000)</f>
        <v/>
      </c>
      <c r="X417" s="25">
        <f>IF(テーブル1[[#This Row],[g/SM]]="",テーブル1[[#This Row],[長さ]]*テーブル1[[#This Row],[g/M]]/1000,テーブル1[[#This Row],[SM]]*テーブル1[[#This Row],[g/SM]]/1000)</f>
        <v>0</v>
      </c>
      <c r="Y417" s="25"/>
      <c r="Z417" s="25">
        <f>SUM(テーブル1[[#This Row],[KG(目付)]:[KG]])</f>
        <v>0</v>
      </c>
      <c r="AA417" s="11"/>
      <c r="AB417" s="11"/>
      <c r="AC417" s="24">
        <f>$G$7*(テーブル1[[#This Row],[金額]]*$G$6)</f>
        <v>0</v>
      </c>
    </row>
    <row r="418" spans="11:29" ht="39.950000000000003" customHeight="1">
      <c r="K418" s="7"/>
      <c r="L418" s="7"/>
      <c r="M418" s="7"/>
      <c r="N418" s="7"/>
      <c r="O418" s="21">
        <f t="shared" si="10"/>
        <v>0</v>
      </c>
      <c r="P418" s="7"/>
      <c r="Q418" s="11"/>
      <c r="R418" s="11"/>
      <c r="S418" s="11"/>
      <c r="T418" s="11"/>
      <c r="U418" s="11"/>
      <c r="V418" s="25">
        <f>IF($G$8="",テーブル1[[#This Row],[幅]]*テーブル1[[#This Row],[長さ]],テーブル1[[#This Row],[幅]]*テーブル1[[#This Row],[長さ]]*$G$8)</f>
        <v>0</v>
      </c>
      <c r="W418" s="25" t="str">
        <f>IF(テーブル1[[#This Row],[幅]]=0,"",テーブル1[[#This Row],[KG合計]]/テーブル1[[#This Row],[SM]]*1000)</f>
        <v/>
      </c>
      <c r="X418" s="25">
        <f>IF(テーブル1[[#This Row],[g/SM]]="",テーブル1[[#This Row],[長さ]]*テーブル1[[#This Row],[g/M]]/1000,テーブル1[[#This Row],[SM]]*テーブル1[[#This Row],[g/SM]]/1000)</f>
        <v>0</v>
      </c>
      <c r="Y418" s="25"/>
      <c r="Z418" s="25">
        <f>SUM(テーブル1[[#This Row],[KG(目付)]:[KG]])</f>
        <v>0</v>
      </c>
      <c r="AA418" s="11"/>
      <c r="AB418" s="11"/>
      <c r="AC418" s="24">
        <f>$G$7*(テーブル1[[#This Row],[金額]]*$G$6)</f>
        <v>0</v>
      </c>
    </row>
    <row r="419" spans="11:29" ht="39.950000000000003" customHeight="1">
      <c r="K419" s="7"/>
      <c r="L419" s="7"/>
      <c r="M419" s="7"/>
      <c r="N419" s="7"/>
      <c r="O419" s="21">
        <f t="shared" si="10"/>
        <v>0</v>
      </c>
      <c r="P419" s="7"/>
      <c r="Q419" s="11"/>
      <c r="R419" s="11"/>
      <c r="S419" s="11"/>
      <c r="T419" s="11"/>
      <c r="U419" s="11"/>
      <c r="V419" s="25">
        <f>IF($G$8="",テーブル1[[#This Row],[幅]]*テーブル1[[#This Row],[長さ]],テーブル1[[#This Row],[幅]]*テーブル1[[#This Row],[長さ]]*$G$8)</f>
        <v>0</v>
      </c>
      <c r="W419" s="25" t="str">
        <f>IF(テーブル1[[#This Row],[幅]]=0,"",テーブル1[[#This Row],[KG合計]]/テーブル1[[#This Row],[SM]]*1000)</f>
        <v/>
      </c>
      <c r="X419" s="25">
        <f>IF(テーブル1[[#This Row],[g/SM]]="",テーブル1[[#This Row],[長さ]]*テーブル1[[#This Row],[g/M]]/1000,テーブル1[[#This Row],[SM]]*テーブル1[[#This Row],[g/SM]]/1000)</f>
        <v>0</v>
      </c>
      <c r="Y419" s="25"/>
      <c r="Z419" s="25">
        <f>SUM(テーブル1[[#This Row],[KG(目付)]:[KG]])</f>
        <v>0</v>
      </c>
      <c r="AA419" s="11"/>
      <c r="AB419" s="11"/>
      <c r="AC419" s="24">
        <f>$G$7*(テーブル1[[#This Row],[金額]]*$G$6)</f>
        <v>0</v>
      </c>
    </row>
    <row r="420" spans="11:29" ht="39.950000000000003" customHeight="1">
      <c r="K420" s="7"/>
      <c r="L420" s="7"/>
      <c r="M420" s="7"/>
      <c r="N420" s="7"/>
      <c r="O420" s="21">
        <f t="shared" si="10"/>
        <v>0</v>
      </c>
      <c r="P420" s="7"/>
      <c r="Q420" s="11"/>
      <c r="R420" s="11"/>
      <c r="S420" s="11"/>
      <c r="T420" s="11"/>
      <c r="U420" s="11"/>
      <c r="V420" s="25">
        <f>IF($G$8="",テーブル1[[#This Row],[幅]]*テーブル1[[#This Row],[長さ]],テーブル1[[#This Row],[幅]]*テーブル1[[#This Row],[長さ]]*$G$8)</f>
        <v>0</v>
      </c>
      <c r="W420" s="25" t="str">
        <f>IF(テーブル1[[#This Row],[幅]]=0,"",テーブル1[[#This Row],[KG合計]]/テーブル1[[#This Row],[SM]]*1000)</f>
        <v/>
      </c>
      <c r="X420" s="25">
        <f>IF(テーブル1[[#This Row],[g/SM]]="",テーブル1[[#This Row],[長さ]]*テーブル1[[#This Row],[g/M]]/1000,テーブル1[[#This Row],[SM]]*テーブル1[[#This Row],[g/SM]]/1000)</f>
        <v>0</v>
      </c>
      <c r="Y420" s="25"/>
      <c r="Z420" s="25">
        <f>SUM(テーブル1[[#This Row],[KG(目付)]:[KG]])</f>
        <v>0</v>
      </c>
      <c r="AA420" s="11"/>
      <c r="AB420" s="11"/>
      <c r="AC420" s="24">
        <f>$G$7*(テーブル1[[#This Row],[金額]]*$G$6)</f>
        <v>0</v>
      </c>
    </row>
    <row r="421" spans="11:29" ht="39.950000000000003" customHeight="1">
      <c r="K421" s="7"/>
      <c r="L421" s="7"/>
      <c r="M421" s="7"/>
      <c r="N421" s="7"/>
      <c r="O421" s="21">
        <f t="shared" si="10"/>
        <v>0</v>
      </c>
      <c r="P421" s="7"/>
      <c r="Q421" s="11"/>
      <c r="R421" s="11"/>
      <c r="S421" s="11"/>
      <c r="T421" s="11"/>
      <c r="U421" s="11"/>
      <c r="V421" s="25">
        <f>IF($G$8="",テーブル1[[#This Row],[幅]]*テーブル1[[#This Row],[長さ]],テーブル1[[#This Row],[幅]]*テーブル1[[#This Row],[長さ]]*$G$8)</f>
        <v>0</v>
      </c>
      <c r="W421" s="25" t="str">
        <f>IF(テーブル1[[#This Row],[幅]]=0,"",テーブル1[[#This Row],[KG合計]]/テーブル1[[#This Row],[SM]]*1000)</f>
        <v/>
      </c>
      <c r="X421" s="25">
        <f>IF(テーブル1[[#This Row],[g/SM]]="",テーブル1[[#This Row],[長さ]]*テーブル1[[#This Row],[g/M]]/1000,テーブル1[[#This Row],[SM]]*テーブル1[[#This Row],[g/SM]]/1000)</f>
        <v>0</v>
      </c>
      <c r="Y421" s="25"/>
      <c r="Z421" s="25">
        <f>SUM(テーブル1[[#This Row],[KG(目付)]:[KG]])</f>
        <v>0</v>
      </c>
      <c r="AA421" s="11"/>
      <c r="AB421" s="11"/>
      <c r="AC421" s="24">
        <f>$G$7*(テーブル1[[#This Row],[金額]]*$G$6)</f>
        <v>0</v>
      </c>
    </row>
    <row r="422" spans="11:29" ht="39.950000000000003" customHeight="1">
      <c r="K422" s="7"/>
      <c r="L422" s="7"/>
      <c r="M422" s="7"/>
      <c r="N422" s="7"/>
      <c r="O422" s="21">
        <f t="shared" si="10"/>
        <v>0</v>
      </c>
      <c r="P422" s="7"/>
      <c r="Q422" s="11"/>
      <c r="R422" s="11"/>
      <c r="S422" s="11"/>
      <c r="T422" s="11"/>
      <c r="U422" s="11"/>
      <c r="V422" s="25">
        <f>IF($G$8="",テーブル1[[#This Row],[幅]]*テーブル1[[#This Row],[長さ]],テーブル1[[#This Row],[幅]]*テーブル1[[#This Row],[長さ]]*$G$8)</f>
        <v>0</v>
      </c>
      <c r="W422" s="25" t="str">
        <f>IF(テーブル1[[#This Row],[幅]]=0,"",テーブル1[[#This Row],[KG合計]]/テーブル1[[#This Row],[SM]]*1000)</f>
        <v/>
      </c>
      <c r="X422" s="25">
        <f>IF(テーブル1[[#This Row],[g/SM]]="",テーブル1[[#This Row],[長さ]]*テーブル1[[#This Row],[g/M]]/1000,テーブル1[[#This Row],[SM]]*テーブル1[[#This Row],[g/SM]]/1000)</f>
        <v>0</v>
      </c>
      <c r="Y422" s="25"/>
      <c r="Z422" s="25">
        <f>SUM(テーブル1[[#This Row],[KG(目付)]:[KG]])</f>
        <v>0</v>
      </c>
      <c r="AA422" s="11"/>
      <c r="AB422" s="11"/>
      <c r="AC422" s="24">
        <f>$G$7*(テーブル1[[#This Row],[金額]]*$G$6)</f>
        <v>0</v>
      </c>
    </row>
    <row r="423" spans="11:29" ht="39.950000000000003" customHeight="1">
      <c r="K423" s="7"/>
      <c r="L423" s="7"/>
      <c r="M423" s="7"/>
      <c r="N423" s="7"/>
      <c r="O423" s="21">
        <f t="shared" ref="O423:O452" si="11">IF(LEN(N423)=10,RIGHT(N423,1),IFERROR(N423-(INT(N423/7)*7),RIGHT(N423,1)))</f>
        <v>0</v>
      </c>
      <c r="P423" s="7"/>
      <c r="Q423" s="11"/>
      <c r="R423" s="11"/>
      <c r="S423" s="11"/>
      <c r="T423" s="11"/>
      <c r="U423" s="11"/>
      <c r="V423" s="25">
        <f>IF($G$8="",テーブル1[[#This Row],[幅]]*テーブル1[[#This Row],[長さ]],テーブル1[[#This Row],[幅]]*テーブル1[[#This Row],[長さ]]*$G$8)</f>
        <v>0</v>
      </c>
      <c r="W423" s="25" t="str">
        <f>IF(テーブル1[[#This Row],[幅]]=0,"",テーブル1[[#This Row],[KG合計]]/テーブル1[[#This Row],[SM]]*1000)</f>
        <v/>
      </c>
      <c r="X423" s="25">
        <f>IF(テーブル1[[#This Row],[g/SM]]="",テーブル1[[#This Row],[長さ]]*テーブル1[[#This Row],[g/M]]/1000,テーブル1[[#This Row],[SM]]*テーブル1[[#This Row],[g/SM]]/1000)</f>
        <v>0</v>
      </c>
      <c r="Y423" s="25"/>
      <c r="Z423" s="25">
        <f>SUM(テーブル1[[#This Row],[KG(目付)]:[KG]])</f>
        <v>0</v>
      </c>
      <c r="AA423" s="11"/>
      <c r="AB423" s="11"/>
      <c r="AC423" s="24">
        <f>$G$7*(テーブル1[[#This Row],[金額]]*$G$6)</f>
        <v>0</v>
      </c>
    </row>
    <row r="424" spans="11:29" ht="39.950000000000003" customHeight="1">
      <c r="K424" s="7"/>
      <c r="L424" s="7"/>
      <c r="M424" s="7"/>
      <c r="N424" s="7"/>
      <c r="O424" s="21">
        <f t="shared" si="11"/>
        <v>0</v>
      </c>
      <c r="P424" s="7"/>
      <c r="Q424" s="11"/>
      <c r="R424" s="11"/>
      <c r="S424" s="11"/>
      <c r="T424" s="11"/>
      <c r="U424" s="11"/>
      <c r="V424" s="25">
        <f>IF($G$8="",テーブル1[[#This Row],[幅]]*テーブル1[[#This Row],[長さ]],テーブル1[[#This Row],[幅]]*テーブル1[[#This Row],[長さ]]*$G$8)</f>
        <v>0</v>
      </c>
      <c r="W424" s="25" t="str">
        <f>IF(テーブル1[[#This Row],[幅]]=0,"",テーブル1[[#This Row],[KG合計]]/テーブル1[[#This Row],[SM]]*1000)</f>
        <v/>
      </c>
      <c r="X424" s="25">
        <f>IF(テーブル1[[#This Row],[g/SM]]="",テーブル1[[#This Row],[長さ]]*テーブル1[[#This Row],[g/M]]/1000,テーブル1[[#This Row],[SM]]*テーブル1[[#This Row],[g/SM]]/1000)</f>
        <v>0</v>
      </c>
      <c r="Y424" s="25"/>
      <c r="Z424" s="25">
        <f>SUM(テーブル1[[#This Row],[KG(目付)]:[KG]])</f>
        <v>0</v>
      </c>
      <c r="AA424" s="11"/>
      <c r="AB424" s="11"/>
      <c r="AC424" s="24">
        <f>$G$7*(テーブル1[[#This Row],[金額]]*$G$6)</f>
        <v>0</v>
      </c>
    </row>
    <row r="425" spans="11:29" ht="39.950000000000003" customHeight="1">
      <c r="K425" s="7"/>
      <c r="L425" s="7"/>
      <c r="M425" s="7"/>
      <c r="N425" s="7"/>
      <c r="O425" s="21">
        <f t="shared" si="11"/>
        <v>0</v>
      </c>
      <c r="P425" s="7"/>
      <c r="Q425" s="11"/>
      <c r="R425" s="11"/>
      <c r="S425" s="11"/>
      <c r="T425" s="11"/>
      <c r="U425" s="11"/>
      <c r="V425" s="25">
        <f>IF($G$8="",テーブル1[[#This Row],[幅]]*テーブル1[[#This Row],[長さ]],テーブル1[[#This Row],[幅]]*テーブル1[[#This Row],[長さ]]*$G$8)</f>
        <v>0</v>
      </c>
      <c r="W425" s="25" t="str">
        <f>IF(テーブル1[[#This Row],[幅]]=0,"",テーブル1[[#This Row],[KG合計]]/テーブル1[[#This Row],[SM]]*1000)</f>
        <v/>
      </c>
      <c r="X425" s="25">
        <f>IF(テーブル1[[#This Row],[g/SM]]="",テーブル1[[#This Row],[長さ]]*テーブル1[[#This Row],[g/M]]/1000,テーブル1[[#This Row],[SM]]*テーブル1[[#This Row],[g/SM]]/1000)</f>
        <v>0</v>
      </c>
      <c r="Y425" s="25"/>
      <c r="Z425" s="25">
        <f>SUM(テーブル1[[#This Row],[KG(目付)]:[KG]])</f>
        <v>0</v>
      </c>
      <c r="AA425" s="11"/>
      <c r="AB425" s="11"/>
      <c r="AC425" s="24">
        <f>$G$7*(テーブル1[[#This Row],[金額]]*$G$6)</f>
        <v>0</v>
      </c>
    </row>
    <row r="426" spans="11:29" ht="39.950000000000003" customHeight="1">
      <c r="K426" s="7"/>
      <c r="L426" s="7"/>
      <c r="M426" s="7"/>
      <c r="N426" s="7"/>
      <c r="O426" s="21">
        <f t="shared" si="11"/>
        <v>0</v>
      </c>
      <c r="P426" s="7"/>
      <c r="Q426" s="11"/>
      <c r="R426" s="11"/>
      <c r="S426" s="11"/>
      <c r="T426" s="11"/>
      <c r="U426" s="11"/>
      <c r="V426" s="25">
        <f>IF($G$8="",テーブル1[[#This Row],[幅]]*テーブル1[[#This Row],[長さ]],テーブル1[[#This Row],[幅]]*テーブル1[[#This Row],[長さ]]*$G$8)</f>
        <v>0</v>
      </c>
      <c r="W426" s="25" t="str">
        <f>IF(テーブル1[[#This Row],[幅]]=0,"",テーブル1[[#This Row],[KG合計]]/テーブル1[[#This Row],[SM]]*1000)</f>
        <v/>
      </c>
      <c r="X426" s="25">
        <f>IF(テーブル1[[#This Row],[g/SM]]="",テーブル1[[#This Row],[長さ]]*テーブル1[[#This Row],[g/M]]/1000,テーブル1[[#This Row],[SM]]*テーブル1[[#This Row],[g/SM]]/1000)</f>
        <v>0</v>
      </c>
      <c r="Y426" s="25"/>
      <c r="Z426" s="25">
        <f>SUM(テーブル1[[#This Row],[KG(目付)]:[KG]])</f>
        <v>0</v>
      </c>
      <c r="AA426" s="11"/>
      <c r="AB426" s="11"/>
      <c r="AC426" s="24">
        <f>$G$7*(テーブル1[[#This Row],[金額]]*$G$6)</f>
        <v>0</v>
      </c>
    </row>
    <row r="427" spans="11:29" ht="39.950000000000003" customHeight="1">
      <c r="K427" s="7"/>
      <c r="L427" s="7"/>
      <c r="M427" s="7"/>
      <c r="N427" s="7"/>
      <c r="O427" s="21">
        <f t="shared" si="11"/>
        <v>0</v>
      </c>
      <c r="P427" s="7"/>
      <c r="Q427" s="11"/>
      <c r="R427" s="11"/>
      <c r="S427" s="11"/>
      <c r="T427" s="11"/>
      <c r="U427" s="11"/>
      <c r="V427" s="25">
        <f>IF($G$8="",テーブル1[[#This Row],[幅]]*テーブル1[[#This Row],[長さ]],テーブル1[[#This Row],[幅]]*テーブル1[[#This Row],[長さ]]*$G$8)</f>
        <v>0</v>
      </c>
      <c r="W427" s="25" t="str">
        <f>IF(テーブル1[[#This Row],[幅]]=0,"",テーブル1[[#This Row],[KG合計]]/テーブル1[[#This Row],[SM]]*1000)</f>
        <v/>
      </c>
      <c r="X427" s="25">
        <f>IF(テーブル1[[#This Row],[g/SM]]="",テーブル1[[#This Row],[長さ]]*テーブル1[[#This Row],[g/M]]/1000,テーブル1[[#This Row],[SM]]*テーブル1[[#This Row],[g/SM]]/1000)</f>
        <v>0</v>
      </c>
      <c r="Y427" s="25"/>
      <c r="Z427" s="25">
        <f>SUM(テーブル1[[#This Row],[KG(目付)]:[KG]])</f>
        <v>0</v>
      </c>
      <c r="AA427" s="11"/>
      <c r="AB427" s="11"/>
      <c r="AC427" s="24">
        <f>$G$7*(テーブル1[[#This Row],[金額]]*$G$6)</f>
        <v>0</v>
      </c>
    </row>
    <row r="428" spans="11:29" ht="39.950000000000003" customHeight="1">
      <c r="K428" s="7"/>
      <c r="L428" s="7"/>
      <c r="M428" s="7"/>
      <c r="N428" s="7"/>
      <c r="O428" s="21">
        <f t="shared" si="11"/>
        <v>0</v>
      </c>
      <c r="P428" s="7"/>
      <c r="Q428" s="11"/>
      <c r="R428" s="11"/>
      <c r="S428" s="11"/>
      <c r="T428" s="11"/>
      <c r="U428" s="11"/>
      <c r="V428" s="25">
        <f>IF($G$8="",テーブル1[[#This Row],[幅]]*テーブル1[[#This Row],[長さ]],テーブル1[[#This Row],[幅]]*テーブル1[[#This Row],[長さ]]*$G$8)</f>
        <v>0</v>
      </c>
      <c r="W428" s="25" t="str">
        <f>IF(テーブル1[[#This Row],[幅]]=0,"",テーブル1[[#This Row],[KG合計]]/テーブル1[[#This Row],[SM]]*1000)</f>
        <v/>
      </c>
      <c r="X428" s="25">
        <f>IF(テーブル1[[#This Row],[g/SM]]="",テーブル1[[#This Row],[長さ]]*テーブル1[[#This Row],[g/M]]/1000,テーブル1[[#This Row],[SM]]*テーブル1[[#This Row],[g/SM]]/1000)</f>
        <v>0</v>
      </c>
      <c r="Y428" s="25"/>
      <c r="Z428" s="25">
        <f>SUM(テーブル1[[#This Row],[KG(目付)]:[KG]])</f>
        <v>0</v>
      </c>
      <c r="AA428" s="11"/>
      <c r="AB428" s="11"/>
      <c r="AC428" s="24">
        <f>$G$7*(テーブル1[[#This Row],[金額]]*$G$6)</f>
        <v>0</v>
      </c>
    </row>
    <row r="429" spans="11:29" ht="39.950000000000003" customHeight="1">
      <c r="K429" s="7"/>
      <c r="L429" s="7"/>
      <c r="M429" s="7"/>
      <c r="N429" s="7"/>
      <c r="O429" s="21">
        <f t="shared" si="11"/>
        <v>0</v>
      </c>
      <c r="P429" s="7"/>
      <c r="Q429" s="11"/>
      <c r="R429" s="11"/>
      <c r="S429" s="11"/>
      <c r="T429" s="11"/>
      <c r="U429" s="11"/>
      <c r="V429" s="25">
        <f>IF($G$8="",テーブル1[[#This Row],[幅]]*テーブル1[[#This Row],[長さ]],テーブル1[[#This Row],[幅]]*テーブル1[[#This Row],[長さ]]*$G$8)</f>
        <v>0</v>
      </c>
      <c r="W429" s="25" t="str">
        <f>IF(テーブル1[[#This Row],[幅]]=0,"",テーブル1[[#This Row],[KG合計]]/テーブル1[[#This Row],[SM]]*1000)</f>
        <v/>
      </c>
      <c r="X429" s="25">
        <f>IF(テーブル1[[#This Row],[g/SM]]="",テーブル1[[#This Row],[長さ]]*テーブル1[[#This Row],[g/M]]/1000,テーブル1[[#This Row],[SM]]*テーブル1[[#This Row],[g/SM]]/1000)</f>
        <v>0</v>
      </c>
      <c r="Y429" s="25"/>
      <c r="Z429" s="25">
        <f>SUM(テーブル1[[#This Row],[KG(目付)]:[KG]])</f>
        <v>0</v>
      </c>
      <c r="AA429" s="11"/>
      <c r="AB429" s="11"/>
      <c r="AC429" s="24">
        <f>$G$7*(テーブル1[[#This Row],[金額]]*$G$6)</f>
        <v>0</v>
      </c>
    </row>
    <row r="430" spans="11:29" ht="39.950000000000003" customHeight="1">
      <c r="K430" s="7"/>
      <c r="L430" s="7"/>
      <c r="M430" s="7"/>
      <c r="N430" s="7"/>
      <c r="O430" s="21">
        <f t="shared" si="11"/>
        <v>0</v>
      </c>
      <c r="P430" s="7"/>
      <c r="Q430" s="11"/>
      <c r="R430" s="11"/>
      <c r="S430" s="11"/>
      <c r="T430" s="11"/>
      <c r="U430" s="11"/>
      <c r="V430" s="25">
        <f>IF($G$8="",テーブル1[[#This Row],[幅]]*テーブル1[[#This Row],[長さ]],テーブル1[[#This Row],[幅]]*テーブル1[[#This Row],[長さ]]*$G$8)</f>
        <v>0</v>
      </c>
      <c r="W430" s="25" t="str">
        <f>IF(テーブル1[[#This Row],[幅]]=0,"",テーブル1[[#This Row],[KG合計]]/テーブル1[[#This Row],[SM]]*1000)</f>
        <v/>
      </c>
      <c r="X430" s="25">
        <f>IF(テーブル1[[#This Row],[g/SM]]="",テーブル1[[#This Row],[長さ]]*テーブル1[[#This Row],[g/M]]/1000,テーブル1[[#This Row],[SM]]*テーブル1[[#This Row],[g/SM]]/1000)</f>
        <v>0</v>
      </c>
      <c r="Y430" s="25"/>
      <c r="Z430" s="25">
        <f>SUM(テーブル1[[#This Row],[KG(目付)]:[KG]])</f>
        <v>0</v>
      </c>
      <c r="AA430" s="11"/>
      <c r="AB430" s="11"/>
      <c r="AC430" s="24">
        <f>$G$7*(テーブル1[[#This Row],[金額]]*$G$6)</f>
        <v>0</v>
      </c>
    </row>
    <row r="431" spans="11:29" ht="39.950000000000003" customHeight="1">
      <c r="K431" s="7"/>
      <c r="L431" s="7"/>
      <c r="M431" s="7"/>
      <c r="N431" s="7"/>
      <c r="O431" s="21">
        <f t="shared" si="11"/>
        <v>0</v>
      </c>
      <c r="P431" s="7"/>
      <c r="Q431" s="11"/>
      <c r="R431" s="11"/>
      <c r="S431" s="11"/>
      <c r="T431" s="11"/>
      <c r="U431" s="11"/>
      <c r="V431" s="25">
        <f>IF($G$8="",テーブル1[[#This Row],[幅]]*テーブル1[[#This Row],[長さ]],テーブル1[[#This Row],[幅]]*テーブル1[[#This Row],[長さ]]*$G$8)</f>
        <v>0</v>
      </c>
      <c r="W431" s="25" t="str">
        <f>IF(テーブル1[[#This Row],[幅]]=0,"",テーブル1[[#This Row],[KG合計]]/テーブル1[[#This Row],[SM]]*1000)</f>
        <v/>
      </c>
      <c r="X431" s="25">
        <f>IF(テーブル1[[#This Row],[g/SM]]="",テーブル1[[#This Row],[長さ]]*テーブル1[[#This Row],[g/M]]/1000,テーブル1[[#This Row],[SM]]*テーブル1[[#This Row],[g/SM]]/1000)</f>
        <v>0</v>
      </c>
      <c r="Y431" s="25"/>
      <c r="Z431" s="25">
        <f>SUM(テーブル1[[#This Row],[KG(目付)]:[KG]])</f>
        <v>0</v>
      </c>
      <c r="AA431" s="11"/>
      <c r="AB431" s="11"/>
      <c r="AC431" s="24">
        <f>$G$7*(テーブル1[[#This Row],[金額]]*$G$6)</f>
        <v>0</v>
      </c>
    </row>
    <row r="432" spans="11:29" ht="39.950000000000003" customHeight="1">
      <c r="K432" s="7"/>
      <c r="L432" s="7"/>
      <c r="M432" s="7"/>
      <c r="N432" s="7"/>
      <c r="O432" s="21">
        <f t="shared" si="11"/>
        <v>0</v>
      </c>
      <c r="P432" s="7"/>
      <c r="Q432" s="11"/>
      <c r="R432" s="11"/>
      <c r="S432" s="11"/>
      <c r="T432" s="11"/>
      <c r="U432" s="11"/>
      <c r="V432" s="25">
        <f>IF($G$8="",テーブル1[[#This Row],[幅]]*テーブル1[[#This Row],[長さ]],テーブル1[[#This Row],[幅]]*テーブル1[[#This Row],[長さ]]*$G$8)</f>
        <v>0</v>
      </c>
      <c r="W432" s="25" t="str">
        <f>IF(テーブル1[[#This Row],[幅]]=0,"",テーブル1[[#This Row],[KG合計]]/テーブル1[[#This Row],[SM]]*1000)</f>
        <v/>
      </c>
      <c r="X432" s="25">
        <f>IF(テーブル1[[#This Row],[g/SM]]="",テーブル1[[#This Row],[長さ]]*テーブル1[[#This Row],[g/M]]/1000,テーブル1[[#This Row],[SM]]*テーブル1[[#This Row],[g/SM]]/1000)</f>
        <v>0</v>
      </c>
      <c r="Y432" s="25"/>
      <c r="Z432" s="25">
        <f>SUM(テーブル1[[#This Row],[KG(目付)]:[KG]])</f>
        <v>0</v>
      </c>
      <c r="AA432" s="11"/>
      <c r="AB432" s="11"/>
      <c r="AC432" s="24">
        <f>$G$7*(テーブル1[[#This Row],[金額]]*$G$6)</f>
        <v>0</v>
      </c>
    </row>
    <row r="433" spans="11:29" ht="39.950000000000003" customHeight="1">
      <c r="K433" s="7"/>
      <c r="L433" s="7"/>
      <c r="M433" s="7"/>
      <c r="N433" s="7"/>
      <c r="O433" s="21">
        <f t="shared" si="11"/>
        <v>0</v>
      </c>
      <c r="P433" s="7"/>
      <c r="Q433" s="11"/>
      <c r="R433" s="11"/>
      <c r="S433" s="11"/>
      <c r="T433" s="11"/>
      <c r="U433" s="11"/>
      <c r="V433" s="25">
        <f>IF($G$8="",テーブル1[[#This Row],[幅]]*テーブル1[[#This Row],[長さ]],テーブル1[[#This Row],[幅]]*テーブル1[[#This Row],[長さ]]*$G$8)</f>
        <v>0</v>
      </c>
      <c r="W433" s="25" t="str">
        <f>IF(テーブル1[[#This Row],[幅]]=0,"",テーブル1[[#This Row],[KG合計]]/テーブル1[[#This Row],[SM]]*1000)</f>
        <v/>
      </c>
      <c r="X433" s="25">
        <f>IF(テーブル1[[#This Row],[g/SM]]="",テーブル1[[#This Row],[長さ]]*テーブル1[[#This Row],[g/M]]/1000,テーブル1[[#This Row],[SM]]*テーブル1[[#This Row],[g/SM]]/1000)</f>
        <v>0</v>
      </c>
      <c r="Y433" s="25"/>
      <c r="Z433" s="25">
        <f>SUM(テーブル1[[#This Row],[KG(目付)]:[KG]])</f>
        <v>0</v>
      </c>
      <c r="AA433" s="11"/>
      <c r="AB433" s="11"/>
      <c r="AC433" s="24">
        <f>$G$7*(テーブル1[[#This Row],[金額]]*$G$6)</f>
        <v>0</v>
      </c>
    </row>
    <row r="434" spans="11:29" ht="39.950000000000003" customHeight="1">
      <c r="K434" s="7"/>
      <c r="L434" s="7"/>
      <c r="M434" s="7"/>
      <c r="N434" s="7"/>
      <c r="O434" s="21">
        <f t="shared" si="11"/>
        <v>0</v>
      </c>
      <c r="P434" s="7"/>
      <c r="Q434" s="11"/>
      <c r="R434" s="11"/>
      <c r="S434" s="11"/>
      <c r="T434" s="11"/>
      <c r="U434" s="11"/>
      <c r="V434" s="25">
        <f>IF($G$8="",テーブル1[[#This Row],[幅]]*テーブル1[[#This Row],[長さ]],テーブル1[[#This Row],[幅]]*テーブル1[[#This Row],[長さ]]*$G$8)</f>
        <v>0</v>
      </c>
      <c r="W434" s="25" t="str">
        <f>IF(テーブル1[[#This Row],[幅]]=0,"",テーブル1[[#This Row],[KG合計]]/テーブル1[[#This Row],[SM]]*1000)</f>
        <v/>
      </c>
      <c r="X434" s="25">
        <f>IF(テーブル1[[#This Row],[g/SM]]="",テーブル1[[#This Row],[長さ]]*テーブル1[[#This Row],[g/M]]/1000,テーブル1[[#This Row],[SM]]*テーブル1[[#This Row],[g/SM]]/1000)</f>
        <v>0</v>
      </c>
      <c r="Y434" s="25"/>
      <c r="Z434" s="25">
        <f>SUM(テーブル1[[#This Row],[KG(目付)]:[KG]])</f>
        <v>0</v>
      </c>
      <c r="AA434" s="11"/>
      <c r="AB434" s="11"/>
      <c r="AC434" s="24">
        <f>$G$7*(テーブル1[[#This Row],[金額]]*$G$6)</f>
        <v>0</v>
      </c>
    </row>
    <row r="435" spans="11:29" ht="39.950000000000003" customHeight="1">
      <c r="K435" s="7"/>
      <c r="L435" s="7"/>
      <c r="M435" s="7"/>
      <c r="N435" s="7"/>
      <c r="O435" s="21">
        <f t="shared" si="11"/>
        <v>0</v>
      </c>
      <c r="P435" s="7"/>
      <c r="Q435" s="11"/>
      <c r="R435" s="11"/>
      <c r="S435" s="11"/>
      <c r="T435" s="11"/>
      <c r="U435" s="11"/>
      <c r="V435" s="25">
        <f>IF($G$8="",テーブル1[[#This Row],[幅]]*テーブル1[[#This Row],[長さ]],テーブル1[[#This Row],[幅]]*テーブル1[[#This Row],[長さ]]*$G$8)</f>
        <v>0</v>
      </c>
      <c r="W435" s="25" t="str">
        <f>IF(テーブル1[[#This Row],[幅]]=0,"",テーブル1[[#This Row],[KG合計]]/テーブル1[[#This Row],[SM]]*1000)</f>
        <v/>
      </c>
      <c r="X435" s="25">
        <f>IF(テーブル1[[#This Row],[g/SM]]="",テーブル1[[#This Row],[長さ]]*テーブル1[[#This Row],[g/M]]/1000,テーブル1[[#This Row],[SM]]*テーブル1[[#This Row],[g/SM]]/1000)</f>
        <v>0</v>
      </c>
      <c r="Y435" s="25"/>
      <c r="Z435" s="25">
        <f>SUM(テーブル1[[#This Row],[KG(目付)]:[KG]])</f>
        <v>0</v>
      </c>
      <c r="AA435" s="11"/>
      <c r="AB435" s="11"/>
      <c r="AC435" s="24">
        <f>$G$7*(テーブル1[[#This Row],[金額]]*$G$6)</f>
        <v>0</v>
      </c>
    </row>
    <row r="436" spans="11:29" ht="39.950000000000003" customHeight="1">
      <c r="K436" s="7"/>
      <c r="L436" s="7"/>
      <c r="M436" s="7"/>
      <c r="N436" s="7"/>
      <c r="O436" s="21">
        <f t="shared" si="11"/>
        <v>0</v>
      </c>
      <c r="P436" s="7"/>
      <c r="Q436" s="11"/>
      <c r="R436" s="11"/>
      <c r="S436" s="11"/>
      <c r="T436" s="11"/>
      <c r="U436" s="11"/>
      <c r="V436" s="25">
        <f>IF($G$8="",テーブル1[[#This Row],[幅]]*テーブル1[[#This Row],[長さ]],テーブル1[[#This Row],[幅]]*テーブル1[[#This Row],[長さ]]*$G$8)</f>
        <v>0</v>
      </c>
      <c r="W436" s="25" t="str">
        <f>IF(テーブル1[[#This Row],[幅]]=0,"",テーブル1[[#This Row],[KG合計]]/テーブル1[[#This Row],[SM]]*1000)</f>
        <v/>
      </c>
      <c r="X436" s="25">
        <f>IF(テーブル1[[#This Row],[g/SM]]="",テーブル1[[#This Row],[長さ]]*テーブル1[[#This Row],[g/M]]/1000,テーブル1[[#This Row],[SM]]*テーブル1[[#This Row],[g/SM]]/1000)</f>
        <v>0</v>
      </c>
      <c r="Y436" s="25"/>
      <c r="Z436" s="25">
        <f>SUM(テーブル1[[#This Row],[KG(目付)]:[KG]])</f>
        <v>0</v>
      </c>
      <c r="AA436" s="11"/>
      <c r="AB436" s="11"/>
      <c r="AC436" s="24">
        <f>$G$7*(テーブル1[[#This Row],[金額]]*$G$6)</f>
        <v>0</v>
      </c>
    </row>
    <row r="437" spans="11:29" ht="39.950000000000003" customHeight="1">
      <c r="K437" s="7"/>
      <c r="L437" s="7"/>
      <c r="M437" s="7"/>
      <c r="N437" s="7"/>
      <c r="O437" s="21">
        <f t="shared" si="11"/>
        <v>0</v>
      </c>
      <c r="P437" s="7"/>
      <c r="Q437" s="11"/>
      <c r="R437" s="11"/>
      <c r="S437" s="11"/>
      <c r="T437" s="11"/>
      <c r="U437" s="11"/>
      <c r="V437" s="25">
        <f>IF($G$8="",テーブル1[[#This Row],[幅]]*テーブル1[[#This Row],[長さ]],テーブル1[[#This Row],[幅]]*テーブル1[[#This Row],[長さ]]*$G$8)</f>
        <v>0</v>
      </c>
      <c r="W437" s="25" t="str">
        <f>IF(テーブル1[[#This Row],[幅]]=0,"",テーブル1[[#This Row],[KG合計]]/テーブル1[[#This Row],[SM]]*1000)</f>
        <v/>
      </c>
      <c r="X437" s="25">
        <f>IF(テーブル1[[#This Row],[g/SM]]="",テーブル1[[#This Row],[長さ]]*テーブル1[[#This Row],[g/M]]/1000,テーブル1[[#This Row],[SM]]*テーブル1[[#This Row],[g/SM]]/1000)</f>
        <v>0</v>
      </c>
      <c r="Y437" s="25"/>
      <c r="Z437" s="25">
        <f>SUM(テーブル1[[#This Row],[KG(目付)]:[KG]])</f>
        <v>0</v>
      </c>
      <c r="AA437" s="11"/>
      <c r="AB437" s="11"/>
      <c r="AC437" s="24">
        <f>$G$7*(テーブル1[[#This Row],[金額]]*$G$6)</f>
        <v>0</v>
      </c>
    </row>
    <row r="438" spans="11:29" ht="39.950000000000003" customHeight="1">
      <c r="K438" s="7"/>
      <c r="L438" s="7"/>
      <c r="M438" s="7"/>
      <c r="N438" s="7"/>
      <c r="O438" s="21">
        <f t="shared" si="11"/>
        <v>0</v>
      </c>
      <c r="P438" s="7"/>
      <c r="Q438" s="11"/>
      <c r="R438" s="11"/>
      <c r="S438" s="11"/>
      <c r="T438" s="11"/>
      <c r="U438" s="11"/>
      <c r="V438" s="25">
        <f>IF($G$8="",テーブル1[[#This Row],[幅]]*テーブル1[[#This Row],[長さ]],テーブル1[[#This Row],[幅]]*テーブル1[[#This Row],[長さ]]*$G$8)</f>
        <v>0</v>
      </c>
      <c r="W438" s="25" t="str">
        <f>IF(テーブル1[[#This Row],[幅]]=0,"",テーブル1[[#This Row],[KG合計]]/テーブル1[[#This Row],[SM]]*1000)</f>
        <v/>
      </c>
      <c r="X438" s="25">
        <f>IF(テーブル1[[#This Row],[g/SM]]="",テーブル1[[#This Row],[長さ]]*テーブル1[[#This Row],[g/M]]/1000,テーブル1[[#This Row],[SM]]*テーブル1[[#This Row],[g/SM]]/1000)</f>
        <v>0</v>
      </c>
      <c r="Y438" s="25"/>
      <c r="Z438" s="25">
        <f>SUM(テーブル1[[#This Row],[KG(目付)]:[KG]])</f>
        <v>0</v>
      </c>
      <c r="AA438" s="11"/>
      <c r="AB438" s="11"/>
      <c r="AC438" s="24">
        <f>$G$7*(テーブル1[[#This Row],[金額]]*$G$6)</f>
        <v>0</v>
      </c>
    </row>
    <row r="439" spans="11:29" ht="39.950000000000003" customHeight="1">
      <c r="K439" s="7"/>
      <c r="L439" s="7"/>
      <c r="M439" s="7"/>
      <c r="N439" s="7"/>
      <c r="O439" s="21">
        <f t="shared" si="11"/>
        <v>0</v>
      </c>
      <c r="P439" s="7"/>
      <c r="Q439" s="11"/>
      <c r="R439" s="11"/>
      <c r="S439" s="11"/>
      <c r="T439" s="11"/>
      <c r="U439" s="11"/>
      <c r="V439" s="25">
        <f>IF($G$8="",テーブル1[[#This Row],[幅]]*テーブル1[[#This Row],[長さ]],テーブル1[[#This Row],[幅]]*テーブル1[[#This Row],[長さ]]*$G$8)</f>
        <v>0</v>
      </c>
      <c r="W439" s="25" t="str">
        <f>IF(テーブル1[[#This Row],[幅]]=0,"",テーブル1[[#This Row],[KG合計]]/テーブル1[[#This Row],[SM]]*1000)</f>
        <v/>
      </c>
      <c r="X439" s="25">
        <f>IF(テーブル1[[#This Row],[g/SM]]="",テーブル1[[#This Row],[長さ]]*テーブル1[[#This Row],[g/M]]/1000,テーブル1[[#This Row],[SM]]*テーブル1[[#This Row],[g/SM]]/1000)</f>
        <v>0</v>
      </c>
      <c r="Y439" s="25"/>
      <c r="Z439" s="25">
        <f>SUM(テーブル1[[#This Row],[KG(目付)]:[KG]])</f>
        <v>0</v>
      </c>
      <c r="AA439" s="11"/>
      <c r="AB439" s="11"/>
      <c r="AC439" s="24">
        <f>$G$7*(テーブル1[[#This Row],[金額]]*$G$6)</f>
        <v>0</v>
      </c>
    </row>
    <row r="440" spans="11:29" ht="39.950000000000003" customHeight="1">
      <c r="K440" s="7"/>
      <c r="L440" s="7"/>
      <c r="M440" s="7"/>
      <c r="N440" s="7"/>
      <c r="O440" s="21">
        <f t="shared" si="11"/>
        <v>0</v>
      </c>
      <c r="P440" s="7"/>
      <c r="Q440" s="11"/>
      <c r="R440" s="11"/>
      <c r="S440" s="11"/>
      <c r="T440" s="11"/>
      <c r="U440" s="11"/>
      <c r="V440" s="25">
        <f>IF($G$8="",テーブル1[[#This Row],[幅]]*テーブル1[[#This Row],[長さ]],テーブル1[[#This Row],[幅]]*テーブル1[[#This Row],[長さ]]*$G$8)</f>
        <v>0</v>
      </c>
      <c r="W440" s="25" t="str">
        <f>IF(テーブル1[[#This Row],[幅]]=0,"",テーブル1[[#This Row],[KG合計]]/テーブル1[[#This Row],[SM]]*1000)</f>
        <v/>
      </c>
      <c r="X440" s="25">
        <f>IF(テーブル1[[#This Row],[g/SM]]="",テーブル1[[#This Row],[長さ]]*テーブル1[[#This Row],[g/M]]/1000,テーブル1[[#This Row],[SM]]*テーブル1[[#This Row],[g/SM]]/1000)</f>
        <v>0</v>
      </c>
      <c r="Y440" s="25"/>
      <c r="Z440" s="25">
        <f>SUM(テーブル1[[#This Row],[KG(目付)]:[KG]])</f>
        <v>0</v>
      </c>
      <c r="AA440" s="11"/>
      <c r="AB440" s="11"/>
      <c r="AC440" s="24">
        <f>$G$7*(テーブル1[[#This Row],[金額]]*$G$6)</f>
        <v>0</v>
      </c>
    </row>
    <row r="441" spans="11:29" ht="39.950000000000003" customHeight="1">
      <c r="K441" s="7"/>
      <c r="L441" s="7"/>
      <c r="M441" s="7"/>
      <c r="N441" s="7"/>
      <c r="O441" s="21">
        <f t="shared" si="11"/>
        <v>0</v>
      </c>
      <c r="P441" s="7"/>
      <c r="Q441" s="11"/>
      <c r="R441" s="11"/>
      <c r="S441" s="11"/>
      <c r="T441" s="11"/>
      <c r="U441" s="11"/>
      <c r="V441" s="25">
        <f>IF($G$8="",テーブル1[[#This Row],[幅]]*テーブル1[[#This Row],[長さ]],テーブル1[[#This Row],[幅]]*テーブル1[[#This Row],[長さ]]*$G$8)</f>
        <v>0</v>
      </c>
      <c r="W441" s="25" t="str">
        <f>IF(テーブル1[[#This Row],[幅]]=0,"",テーブル1[[#This Row],[KG合計]]/テーブル1[[#This Row],[SM]]*1000)</f>
        <v/>
      </c>
      <c r="X441" s="25">
        <f>IF(テーブル1[[#This Row],[g/SM]]="",テーブル1[[#This Row],[長さ]]*テーブル1[[#This Row],[g/M]]/1000,テーブル1[[#This Row],[SM]]*テーブル1[[#This Row],[g/SM]]/1000)</f>
        <v>0</v>
      </c>
      <c r="Y441" s="25"/>
      <c r="Z441" s="25">
        <f>SUM(テーブル1[[#This Row],[KG(目付)]:[KG]])</f>
        <v>0</v>
      </c>
      <c r="AA441" s="11"/>
      <c r="AB441" s="11"/>
      <c r="AC441" s="24">
        <f>$G$7*(テーブル1[[#This Row],[金額]]*$G$6)</f>
        <v>0</v>
      </c>
    </row>
    <row r="442" spans="11:29" ht="39.950000000000003" customHeight="1">
      <c r="K442" s="7"/>
      <c r="L442" s="7"/>
      <c r="M442" s="7"/>
      <c r="N442" s="7"/>
      <c r="O442" s="21">
        <f t="shared" si="11"/>
        <v>0</v>
      </c>
      <c r="P442" s="7"/>
      <c r="Q442" s="11"/>
      <c r="R442" s="11"/>
      <c r="S442" s="11"/>
      <c r="T442" s="11"/>
      <c r="U442" s="11"/>
      <c r="V442" s="25">
        <f>IF($G$8="",テーブル1[[#This Row],[幅]]*テーブル1[[#This Row],[長さ]],テーブル1[[#This Row],[幅]]*テーブル1[[#This Row],[長さ]]*$G$8)</f>
        <v>0</v>
      </c>
      <c r="W442" s="25" t="str">
        <f>IF(テーブル1[[#This Row],[幅]]=0,"",テーブル1[[#This Row],[KG合計]]/テーブル1[[#This Row],[SM]]*1000)</f>
        <v/>
      </c>
      <c r="X442" s="25">
        <f>IF(テーブル1[[#This Row],[g/SM]]="",テーブル1[[#This Row],[長さ]]*テーブル1[[#This Row],[g/M]]/1000,テーブル1[[#This Row],[SM]]*テーブル1[[#This Row],[g/SM]]/1000)</f>
        <v>0</v>
      </c>
      <c r="Y442" s="25"/>
      <c r="Z442" s="25">
        <f>SUM(テーブル1[[#This Row],[KG(目付)]:[KG]])</f>
        <v>0</v>
      </c>
      <c r="AA442" s="11"/>
      <c r="AB442" s="11"/>
      <c r="AC442" s="24">
        <f>$G$7*(テーブル1[[#This Row],[金額]]*$G$6)</f>
        <v>0</v>
      </c>
    </row>
    <row r="443" spans="11:29" ht="39.950000000000003" customHeight="1">
      <c r="K443" s="7"/>
      <c r="L443" s="7"/>
      <c r="M443" s="7"/>
      <c r="N443" s="7"/>
      <c r="O443" s="21">
        <f t="shared" si="11"/>
        <v>0</v>
      </c>
      <c r="P443" s="7"/>
      <c r="Q443" s="11"/>
      <c r="R443" s="11"/>
      <c r="S443" s="11"/>
      <c r="T443" s="11"/>
      <c r="U443" s="11"/>
      <c r="V443" s="25">
        <f>IF($G$8="",テーブル1[[#This Row],[幅]]*テーブル1[[#This Row],[長さ]],テーブル1[[#This Row],[幅]]*テーブル1[[#This Row],[長さ]]*$G$8)</f>
        <v>0</v>
      </c>
      <c r="W443" s="25" t="str">
        <f>IF(テーブル1[[#This Row],[幅]]=0,"",テーブル1[[#This Row],[KG合計]]/テーブル1[[#This Row],[SM]]*1000)</f>
        <v/>
      </c>
      <c r="X443" s="25">
        <f>IF(テーブル1[[#This Row],[g/SM]]="",テーブル1[[#This Row],[長さ]]*テーブル1[[#This Row],[g/M]]/1000,テーブル1[[#This Row],[SM]]*テーブル1[[#This Row],[g/SM]]/1000)</f>
        <v>0</v>
      </c>
      <c r="Y443" s="25"/>
      <c r="Z443" s="25">
        <f>SUM(テーブル1[[#This Row],[KG(目付)]:[KG]])</f>
        <v>0</v>
      </c>
      <c r="AA443" s="11"/>
      <c r="AB443" s="11"/>
      <c r="AC443" s="24">
        <f>$G$7*(テーブル1[[#This Row],[金額]]*$G$6)</f>
        <v>0</v>
      </c>
    </row>
    <row r="444" spans="11:29" ht="39.950000000000003" customHeight="1">
      <c r="K444" s="7"/>
      <c r="L444" s="7"/>
      <c r="M444" s="7"/>
      <c r="N444" s="7"/>
      <c r="O444" s="21">
        <f t="shared" si="11"/>
        <v>0</v>
      </c>
      <c r="P444" s="7"/>
      <c r="Q444" s="11"/>
      <c r="R444" s="11"/>
      <c r="S444" s="11"/>
      <c r="T444" s="11"/>
      <c r="U444" s="11"/>
      <c r="V444" s="25">
        <f>IF($G$8="",テーブル1[[#This Row],[幅]]*テーブル1[[#This Row],[長さ]],テーブル1[[#This Row],[幅]]*テーブル1[[#This Row],[長さ]]*$G$8)</f>
        <v>0</v>
      </c>
      <c r="W444" s="25" t="str">
        <f>IF(テーブル1[[#This Row],[幅]]=0,"",テーブル1[[#This Row],[KG合計]]/テーブル1[[#This Row],[SM]]*1000)</f>
        <v/>
      </c>
      <c r="X444" s="25">
        <f>IF(テーブル1[[#This Row],[g/SM]]="",テーブル1[[#This Row],[長さ]]*テーブル1[[#This Row],[g/M]]/1000,テーブル1[[#This Row],[SM]]*テーブル1[[#This Row],[g/SM]]/1000)</f>
        <v>0</v>
      </c>
      <c r="Y444" s="25"/>
      <c r="Z444" s="25">
        <f>SUM(テーブル1[[#This Row],[KG(目付)]:[KG]])</f>
        <v>0</v>
      </c>
      <c r="AA444" s="11"/>
      <c r="AB444" s="11"/>
      <c r="AC444" s="24">
        <f>$G$7*(テーブル1[[#This Row],[金額]]*$G$6)</f>
        <v>0</v>
      </c>
    </row>
    <row r="445" spans="11:29" ht="39.950000000000003" customHeight="1">
      <c r="K445" s="7"/>
      <c r="L445" s="7"/>
      <c r="M445" s="7"/>
      <c r="N445" s="7"/>
      <c r="O445" s="21">
        <f t="shared" si="11"/>
        <v>0</v>
      </c>
      <c r="P445" s="7"/>
      <c r="Q445" s="11"/>
      <c r="R445" s="11"/>
      <c r="S445" s="11"/>
      <c r="T445" s="11"/>
      <c r="U445" s="11"/>
      <c r="V445" s="25">
        <f>IF($G$8="",テーブル1[[#This Row],[幅]]*テーブル1[[#This Row],[長さ]],テーブル1[[#This Row],[幅]]*テーブル1[[#This Row],[長さ]]*$G$8)</f>
        <v>0</v>
      </c>
      <c r="W445" s="25" t="str">
        <f>IF(テーブル1[[#This Row],[幅]]=0,"",テーブル1[[#This Row],[KG合計]]/テーブル1[[#This Row],[SM]]*1000)</f>
        <v/>
      </c>
      <c r="X445" s="25">
        <f>IF(テーブル1[[#This Row],[g/SM]]="",テーブル1[[#This Row],[長さ]]*テーブル1[[#This Row],[g/M]]/1000,テーブル1[[#This Row],[SM]]*テーブル1[[#This Row],[g/SM]]/1000)</f>
        <v>0</v>
      </c>
      <c r="Y445" s="25"/>
      <c r="Z445" s="25">
        <f>SUM(テーブル1[[#This Row],[KG(目付)]:[KG]])</f>
        <v>0</v>
      </c>
      <c r="AA445" s="11"/>
      <c r="AB445" s="11"/>
      <c r="AC445" s="24">
        <f>$G$7*(テーブル1[[#This Row],[金額]]*$G$6)</f>
        <v>0</v>
      </c>
    </row>
    <row r="446" spans="11:29" ht="39.950000000000003" customHeight="1">
      <c r="K446" s="7"/>
      <c r="L446" s="7"/>
      <c r="M446" s="7"/>
      <c r="N446" s="7"/>
      <c r="O446" s="21">
        <f t="shared" si="11"/>
        <v>0</v>
      </c>
      <c r="P446" s="7"/>
      <c r="Q446" s="11"/>
      <c r="R446" s="11"/>
      <c r="S446" s="11"/>
      <c r="T446" s="11"/>
      <c r="U446" s="11"/>
      <c r="V446" s="25">
        <f>IF($G$8="",テーブル1[[#This Row],[幅]]*テーブル1[[#This Row],[長さ]],テーブル1[[#This Row],[幅]]*テーブル1[[#This Row],[長さ]]*$G$8)</f>
        <v>0</v>
      </c>
      <c r="W446" s="25" t="str">
        <f>IF(テーブル1[[#This Row],[幅]]=0,"",テーブル1[[#This Row],[KG合計]]/テーブル1[[#This Row],[SM]]*1000)</f>
        <v/>
      </c>
      <c r="X446" s="25">
        <f>IF(テーブル1[[#This Row],[g/SM]]="",テーブル1[[#This Row],[長さ]]*テーブル1[[#This Row],[g/M]]/1000,テーブル1[[#This Row],[SM]]*テーブル1[[#This Row],[g/SM]]/1000)</f>
        <v>0</v>
      </c>
      <c r="Y446" s="25"/>
      <c r="Z446" s="25">
        <f>SUM(テーブル1[[#This Row],[KG(目付)]:[KG]])</f>
        <v>0</v>
      </c>
      <c r="AA446" s="11"/>
      <c r="AB446" s="11"/>
      <c r="AC446" s="24">
        <f>$G$7*(テーブル1[[#This Row],[金額]]*$G$6)</f>
        <v>0</v>
      </c>
    </row>
    <row r="447" spans="11:29" ht="39.950000000000003" customHeight="1">
      <c r="K447" s="7"/>
      <c r="L447" s="7"/>
      <c r="M447" s="7"/>
      <c r="N447" s="7"/>
      <c r="O447" s="21">
        <f t="shared" si="11"/>
        <v>0</v>
      </c>
      <c r="P447" s="7"/>
      <c r="Q447" s="11"/>
      <c r="R447" s="11"/>
      <c r="S447" s="11"/>
      <c r="T447" s="11"/>
      <c r="U447" s="11"/>
      <c r="V447" s="25">
        <f>IF($G$8="",テーブル1[[#This Row],[幅]]*テーブル1[[#This Row],[長さ]],テーブル1[[#This Row],[幅]]*テーブル1[[#This Row],[長さ]]*$G$8)</f>
        <v>0</v>
      </c>
      <c r="W447" s="25" t="str">
        <f>IF(テーブル1[[#This Row],[幅]]=0,"",テーブル1[[#This Row],[KG合計]]/テーブル1[[#This Row],[SM]]*1000)</f>
        <v/>
      </c>
      <c r="X447" s="25">
        <f>IF(テーブル1[[#This Row],[g/SM]]="",テーブル1[[#This Row],[長さ]]*テーブル1[[#This Row],[g/M]]/1000,テーブル1[[#This Row],[SM]]*テーブル1[[#This Row],[g/SM]]/1000)</f>
        <v>0</v>
      </c>
      <c r="Y447" s="25"/>
      <c r="Z447" s="25">
        <f>SUM(テーブル1[[#This Row],[KG(目付)]:[KG]])</f>
        <v>0</v>
      </c>
      <c r="AA447" s="11"/>
      <c r="AB447" s="11"/>
      <c r="AC447" s="24">
        <f>$G$7*(テーブル1[[#This Row],[金額]]*$G$6)</f>
        <v>0</v>
      </c>
    </row>
    <row r="448" spans="11:29" ht="39.950000000000003" customHeight="1">
      <c r="K448" s="7"/>
      <c r="L448" s="7"/>
      <c r="M448" s="7"/>
      <c r="N448" s="7"/>
      <c r="O448" s="21">
        <f t="shared" si="11"/>
        <v>0</v>
      </c>
      <c r="P448" s="7"/>
      <c r="Q448" s="11"/>
      <c r="R448" s="11"/>
      <c r="S448" s="11"/>
      <c r="T448" s="11"/>
      <c r="U448" s="11"/>
      <c r="V448" s="25">
        <f>IF($G$8="",テーブル1[[#This Row],[幅]]*テーブル1[[#This Row],[長さ]],テーブル1[[#This Row],[幅]]*テーブル1[[#This Row],[長さ]]*$G$8)</f>
        <v>0</v>
      </c>
      <c r="W448" s="25" t="str">
        <f>IF(テーブル1[[#This Row],[幅]]=0,"",テーブル1[[#This Row],[KG合計]]/テーブル1[[#This Row],[SM]]*1000)</f>
        <v/>
      </c>
      <c r="X448" s="25">
        <f>IF(テーブル1[[#This Row],[g/SM]]="",テーブル1[[#This Row],[長さ]]*テーブル1[[#This Row],[g/M]]/1000,テーブル1[[#This Row],[SM]]*テーブル1[[#This Row],[g/SM]]/1000)</f>
        <v>0</v>
      </c>
      <c r="Y448" s="25"/>
      <c r="Z448" s="25">
        <f>SUM(テーブル1[[#This Row],[KG(目付)]:[KG]])</f>
        <v>0</v>
      </c>
      <c r="AA448" s="11"/>
      <c r="AB448" s="11"/>
      <c r="AC448" s="24">
        <f>$G$7*(テーブル1[[#This Row],[金額]]*$G$6)</f>
        <v>0</v>
      </c>
    </row>
    <row r="449" spans="11:29" ht="39.950000000000003" customHeight="1">
      <c r="K449" s="7"/>
      <c r="L449" s="7"/>
      <c r="M449" s="7"/>
      <c r="N449" s="7"/>
      <c r="O449" s="21">
        <f t="shared" si="11"/>
        <v>0</v>
      </c>
      <c r="P449" s="7"/>
      <c r="Q449" s="11"/>
      <c r="R449" s="11"/>
      <c r="S449" s="11"/>
      <c r="T449" s="11"/>
      <c r="U449" s="11"/>
      <c r="V449" s="25">
        <f>IF($G$8="",テーブル1[[#This Row],[幅]]*テーブル1[[#This Row],[長さ]],テーブル1[[#This Row],[幅]]*テーブル1[[#This Row],[長さ]]*$G$8)</f>
        <v>0</v>
      </c>
      <c r="W449" s="25" t="str">
        <f>IF(テーブル1[[#This Row],[幅]]=0,"",テーブル1[[#This Row],[KG合計]]/テーブル1[[#This Row],[SM]]*1000)</f>
        <v/>
      </c>
      <c r="X449" s="25">
        <f>IF(テーブル1[[#This Row],[g/SM]]="",テーブル1[[#This Row],[長さ]]*テーブル1[[#This Row],[g/M]]/1000,テーブル1[[#This Row],[SM]]*テーブル1[[#This Row],[g/SM]]/1000)</f>
        <v>0</v>
      </c>
      <c r="Y449" s="25"/>
      <c r="Z449" s="25">
        <f>SUM(テーブル1[[#This Row],[KG(目付)]:[KG]])</f>
        <v>0</v>
      </c>
      <c r="AA449" s="11"/>
      <c r="AB449" s="11"/>
      <c r="AC449" s="24">
        <f>$G$7*(テーブル1[[#This Row],[金額]]*$G$6)</f>
        <v>0</v>
      </c>
    </row>
    <row r="450" spans="11:29" ht="39.950000000000003" customHeight="1">
      <c r="K450" s="7"/>
      <c r="L450" s="7"/>
      <c r="M450" s="7"/>
      <c r="N450" s="7"/>
      <c r="O450" s="21">
        <f t="shared" si="11"/>
        <v>0</v>
      </c>
      <c r="P450" s="7"/>
      <c r="Q450" s="11"/>
      <c r="R450" s="11"/>
      <c r="S450" s="11"/>
      <c r="T450" s="11"/>
      <c r="U450" s="11"/>
      <c r="V450" s="25">
        <f>IF($G$8="",テーブル1[[#This Row],[幅]]*テーブル1[[#This Row],[長さ]],テーブル1[[#This Row],[幅]]*テーブル1[[#This Row],[長さ]]*$G$8)</f>
        <v>0</v>
      </c>
      <c r="W450" s="25" t="str">
        <f>IF(テーブル1[[#This Row],[幅]]=0,"",テーブル1[[#This Row],[KG合計]]/テーブル1[[#This Row],[SM]]*1000)</f>
        <v/>
      </c>
      <c r="X450" s="25">
        <f>IF(テーブル1[[#This Row],[g/SM]]="",テーブル1[[#This Row],[長さ]]*テーブル1[[#This Row],[g/M]]/1000,テーブル1[[#This Row],[SM]]*テーブル1[[#This Row],[g/SM]]/1000)</f>
        <v>0</v>
      </c>
      <c r="Y450" s="25"/>
      <c r="Z450" s="25">
        <f>SUM(テーブル1[[#This Row],[KG(目付)]:[KG]])</f>
        <v>0</v>
      </c>
      <c r="AA450" s="11"/>
      <c r="AB450" s="11"/>
      <c r="AC450" s="24">
        <f>$G$7*(テーブル1[[#This Row],[金額]]*$G$6)</f>
        <v>0</v>
      </c>
    </row>
    <row r="451" spans="11:29" ht="39.950000000000003" customHeight="1">
      <c r="K451" s="7"/>
      <c r="L451" s="7"/>
      <c r="M451" s="7"/>
      <c r="N451" s="7"/>
      <c r="O451" s="21">
        <f t="shared" si="11"/>
        <v>0</v>
      </c>
      <c r="P451" s="7"/>
      <c r="Q451" s="11"/>
      <c r="R451" s="11"/>
      <c r="S451" s="11"/>
      <c r="T451" s="11"/>
      <c r="U451" s="11"/>
      <c r="V451" s="25">
        <f>IF($G$8="",テーブル1[[#This Row],[幅]]*テーブル1[[#This Row],[長さ]],テーブル1[[#This Row],[幅]]*テーブル1[[#This Row],[長さ]]*$G$8)</f>
        <v>0</v>
      </c>
      <c r="W451" s="25" t="str">
        <f>IF(テーブル1[[#This Row],[幅]]=0,"",テーブル1[[#This Row],[KG合計]]/テーブル1[[#This Row],[SM]]*1000)</f>
        <v/>
      </c>
      <c r="X451" s="25">
        <f>IF(テーブル1[[#This Row],[g/SM]]="",テーブル1[[#This Row],[長さ]]*テーブル1[[#This Row],[g/M]]/1000,テーブル1[[#This Row],[SM]]*テーブル1[[#This Row],[g/SM]]/1000)</f>
        <v>0</v>
      </c>
      <c r="Y451" s="25"/>
      <c r="Z451" s="25">
        <f>SUM(テーブル1[[#This Row],[KG(目付)]:[KG]])</f>
        <v>0</v>
      </c>
      <c r="AA451" s="11"/>
      <c r="AB451" s="11"/>
      <c r="AC451" s="24">
        <f>$G$7*(テーブル1[[#This Row],[金額]]*$G$6)</f>
        <v>0</v>
      </c>
    </row>
    <row r="452" spans="11:29" ht="39.950000000000003" customHeight="1">
      <c r="K452" s="7"/>
      <c r="L452" s="7"/>
      <c r="M452" s="7"/>
      <c r="N452" s="7"/>
      <c r="O452" s="21">
        <f t="shared" si="11"/>
        <v>0</v>
      </c>
      <c r="P452" s="7"/>
      <c r="Q452" s="11"/>
      <c r="R452" s="11"/>
      <c r="S452" s="11"/>
      <c r="T452" s="11"/>
      <c r="U452" s="11"/>
      <c r="V452" s="25">
        <f>IF($G$8="",テーブル1[[#This Row],[幅]]*テーブル1[[#This Row],[長さ]],テーブル1[[#This Row],[幅]]*テーブル1[[#This Row],[長さ]]*$G$8)</f>
        <v>0</v>
      </c>
      <c r="W452" s="25" t="str">
        <f>IF(テーブル1[[#This Row],[幅]]=0,"",テーブル1[[#This Row],[KG合計]]/テーブル1[[#This Row],[SM]]*1000)</f>
        <v/>
      </c>
      <c r="X452" s="25">
        <f>IF(テーブル1[[#This Row],[g/SM]]="",テーブル1[[#This Row],[長さ]]*テーブル1[[#This Row],[g/M]]/1000,テーブル1[[#This Row],[SM]]*テーブル1[[#This Row],[g/SM]]/1000)</f>
        <v>0</v>
      </c>
      <c r="Y452" s="25"/>
      <c r="Z452" s="25">
        <f>SUM(テーブル1[[#This Row],[KG(目付)]:[KG]])</f>
        <v>0</v>
      </c>
      <c r="AA452" s="11"/>
      <c r="AB452" s="11"/>
      <c r="AC452" s="24">
        <f>$G$7*(テーブル1[[#This Row],[金額]]*$G$6)</f>
        <v>0</v>
      </c>
    </row>
    <row r="453" spans="11:29" ht="39.950000000000003" customHeight="1">
      <c r="K453" s="7"/>
      <c r="L453" s="7"/>
      <c r="M453" s="7"/>
      <c r="N453" s="7"/>
      <c r="O453" s="21">
        <f t="shared" ref="O453:O467" si="12">IF(LEN(N453)=10,RIGHT(N453,1),IFERROR(N453-(INT(N453/7)*7),RIGHT(N453,1)))</f>
        <v>0</v>
      </c>
      <c r="P453" s="7"/>
      <c r="Q453" s="11"/>
      <c r="R453" s="11"/>
      <c r="S453" s="11"/>
      <c r="T453" s="11"/>
      <c r="U453" s="11"/>
      <c r="V453" s="25">
        <f>IF($G$8="",テーブル1[[#This Row],[幅]]*テーブル1[[#This Row],[長さ]],テーブル1[[#This Row],[幅]]*テーブル1[[#This Row],[長さ]]*$G$8)</f>
        <v>0</v>
      </c>
      <c r="W453" s="25" t="str">
        <f>IF(テーブル1[[#This Row],[幅]]=0,"",テーブル1[[#This Row],[KG合計]]/テーブル1[[#This Row],[SM]]*1000)</f>
        <v/>
      </c>
      <c r="X453" s="25">
        <f>IF(テーブル1[[#This Row],[g/SM]]="",テーブル1[[#This Row],[長さ]]*テーブル1[[#This Row],[g/M]]/1000,テーブル1[[#This Row],[SM]]*テーブル1[[#This Row],[g/SM]]/1000)</f>
        <v>0</v>
      </c>
      <c r="Y453" s="25"/>
      <c r="Z453" s="25">
        <f>SUM(テーブル1[[#This Row],[KG(目付)]:[KG]])</f>
        <v>0</v>
      </c>
      <c r="AA453" s="11"/>
      <c r="AB453" s="11"/>
      <c r="AC453" s="24">
        <f>$G$7*(テーブル1[[#This Row],[金額]]*$G$6)</f>
        <v>0</v>
      </c>
    </row>
    <row r="454" spans="11:29" ht="39.950000000000003" customHeight="1">
      <c r="K454" s="7"/>
      <c r="L454" s="7"/>
      <c r="M454" s="7"/>
      <c r="N454" s="7"/>
      <c r="O454" s="21">
        <f t="shared" si="12"/>
        <v>0</v>
      </c>
      <c r="P454" s="7"/>
      <c r="Q454" s="11"/>
      <c r="R454" s="11"/>
      <c r="S454" s="11"/>
      <c r="T454" s="11"/>
      <c r="U454" s="11"/>
      <c r="V454" s="25">
        <f>IF($G$8="",テーブル1[[#This Row],[幅]]*テーブル1[[#This Row],[長さ]],テーブル1[[#This Row],[幅]]*テーブル1[[#This Row],[長さ]]*$G$8)</f>
        <v>0</v>
      </c>
      <c r="W454" s="25" t="str">
        <f>IF(テーブル1[[#This Row],[幅]]=0,"",テーブル1[[#This Row],[KG合計]]/テーブル1[[#This Row],[SM]]*1000)</f>
        <v/>
      </c>
      <c r="X454" s="25">
        <f>IF(テーブル1[[#This Row],[g/SM]]="",テーブル1[[#This Row],[長さ]]*テーブル1[[#This Row],[g/M]]/1000,テーブル1[[#This Row],[SM]]*テーブル1[[#This Row],[g/SM]]/1000)</f>
        <v>0</v>
      </c>
      <c r="Y454" s="25"/>
      <c r="Z454" s="25">
        <f>SUM(テーブル1[[#This Row],[KG(目付)]:[KG]])</f>
        <v>0</v>
      </c>
      <c r="AA454" s="11"/>
      <c r="AB454" s="11"/>
      <c r="AC454" s="24">
        <f>$G$7*(テーブル1[[#This Row],[金額]]*$G$6)</f>
        <v>0</v>
      </c>
    </row>
    <row r="455" spans="11:29" ht="39.950000000000003" customHeight="1">
      <c r="K455" s="7"/>
      <c r="L455" s="7"/>
      <c r="M455" s="7"/>
      <c r="N455" s="7"/>
      <c r="O455" s="21">
        <f t="shared" si="12"/>
        <v>0</v>
      </c>
      <c r="P455" s="7"/>
      <c r="Q455" s="11"/>
      <c r="R455" s="11"/>
      <c r="S455" s="11"/>
      <c r="T455" s="11"/>
      <c r="U455" s="11"/>
      <c r="V455" s="25">
        <f>IF($G$8="",テーブル1[[#This Row],[幅]]*テーブル1[[#This Row],[長さ]],テーブル1[[#This Row],[幅]]*テーブル1[[#This Row],[長さ]]*$G$8)</f>
        <v>0</v>
      </c>
      <c r="W455" s="25" t="str">
        <f>IF(テーブル1[[#This Row],[幅]]=0,"",テーブル1[[#This Row],[KG合計]]/テーブル1[[#This Row],[SM]]*1000)</f>
        <v/>
      </c>
      <c r="X455" s="25">
        <f>IF(テーブル1[[#This Row],[g/SM]]="",テーブル1[[#This Row],[長さ]]*テーブル1[[#This Row],[g/M]]/1000,テーブル1[[#This Row],[SM]]*テーブル1[[#This Row],[g/SM]]/1000)</f>
        <v>0</v>
      </c>
      <c r="Y455" s="25"/>
      <c r="Z455" s="25">
        <f>SUM(テーブル1[[#This Row],[KG(目付)]:[KG]])</f>
        <v>0</v>
      </c>
      <c r="AA455" s="11"/>
      <c r="AB455" s="11"/>
      <c r="AC455" s="24">
        <f>$G$7*(テーブル1[[#This Row],[金額]]*$G$6)</f>
        <v>0</v>
      </c>
    </row>
    <row r="456" spans="11:29" ht="39.950000000000003" customHeight="1">
      <c r="K456" s="7"/>
      <c r="L456" s="7"/>
      <c r="M456" s="7"/>
      <c r="N456" s="7"/>
      <c r="O456" s="21">
        <f t="shared" si="12"/>
        <v>0</v>
      </c>
      <c r="P456" s="7"/>
      <c r="Q456" s="11"/>
      <c r="R456" s="11"/>
      <c r="S456" s="11"/>
      <c r="T456" s="11"/>
      <c r="U456" s="11"/>
      <c r="V456" s="25">
        <f>IF($G$8="",テーブル1[[#This Row],[幅]]*テーブル1[[#This Row],[長さ]],テーブル1[[#This Row],[幅]]*テーブル1[[#This Row],[長さ]]*$G$8)</f>
        <v>0</v>
      </c>
      <c r="W456" s="25" t="str">
        <f>IF(テーブル1[[#This Row],[幅]]=0,"",テーブル1[[#This Row],[KG合計]]/テーブル1[[#This Row],[SM]]*1000)</f>
        <v/>
      </c>
      <c r="X456" s="25">
        <f>IF(テーブル1[[#This Row],[g/SM]]="",テーブル1[[#This Row],[長さ]]*テーブル1[[#This Row],[g/M]]/1000,テーブル1[[#This Row],[SM]]*テーブル1[[#This Row],[g/SM]]/1000)</f>
        <v>0</v>
      </c>
      <c r="Y456" s="25"/>
      <c r="Z456" s="25">
        <f>SUM(テーブル1[[#This Row],[KG(目付)]:[KG]])</f>
        <v>0</v>
      </c>
      <c r="AA456" s="11"/>
      <c r="AB456" s="11"/>
      <c r="AC456" s="24">
        <f>$G$7*(テーブル1[[#This Row],[金額]]*$G$6)</f>
        <v>0</v>
      </c>
    </row>
    <row r="457" spans="11:29" ht="39.950000000000003" customHeight="1">
      <c r="K457" s="7"/>
      <c r="L457" s="7"/>
      <c r="M457" s="7"/>
      <c r="N457" s="7"/>
      <c r="O457" s="21">
        <f t="shared" si="12"/>
        <v>0</v>
      </c>
      <c r="P457" s="7"/>
      <c r="Q457" s="11"/>
      <c r="R457" s="11"/>
      <c r="S457" s="11"/>
      <c r="T457" s="11"/>
      <c r="U457" s="11"/>
      <c r="V457" s="25">
        <f>IF($G$8="",テーブル1[[#This Row],[幅]]*テーブル1[[#This Row],[長さ]],テーブル1[[#This Row],[幅]]*テーブル1[[#This Row],[長さ]]*$G$8)</f>
        <v>0</v>
      </c>
      <c r="W457" s="25" t="str">
        <f>IF(テーブル1[[#This Row],[幅]]=0,"",テーブル1[[#This Row],[KG合計]]/テーブル1[[#This Row],[SM]]*1000)</f>
        <v/>
      </c>
      <c r="X457" s="25">
        <f>IF(テーブル1[[#This Row],[g/SM]]="",テーブル1[[#This Row],[長さ]]*テーブル1[[#This Row],[g/M]]/1000,テーブル1[[#This Row],[SM]]*テーブル1[[#This Row],[g/SM]]/1000)</f>
        <v>0</v>
      </c>
      <c r="Y457" s="25"/>
      <c r="Z457" s="25">
        <f>SUM(テーブル1[[#This Row],[KG(目付)]:[KG]])</f>
        <v>0</v>
      </c>
      <c r="AA457" s="11"/>
      <c r="AB457" s="11"/>
      <c r="AC457" s="24">
        <f>$G$7*(テーブル1[[#This Row],[金額]]*$G$6)</f>
        <v>0</v>
      </c>
    </row>
    <row r="458" spans="11:29" ht="39.950000000000003" customHeight="1">
      <c r="K458" s="7"/>
      <c r="L458" s="7"/>
      <c r="M458" s="7"/>
      <c r="N458" s="7"/>
      <c r="O458" s="21">
        <f t="shared" si="12"/>
        <v>0</v>
      </c>
      <c r="P458" s="7"/>
      <c r="Q458" s="11"/>
      <c r="R458" s="11"/>
      <c r="S458" s="11"/>
      <c r="T458" s="11"/>
      <c r="U458" s="11"/>
      <c r="V458" s="25">
        <f>IF($G$8="",テーブル1[[#This Row],[幅]]*テーブル1[[#This Row],[長さ]],テーブル1[[#This Row],[幅]]*テーブル1[[#This Row],[長さ]]*$G$8)</f>
        <v>0</v>
      </c>
      <c r="W458" s="25" t="str">
        <f>IF(テーブル1[[#This Row],[幅]]=0,"",テーブル1[[#This Row],[KG合計]]/テーブル1[[#This Row],[SM]]*1000)</f>
        <v/>
      </c>
      <c r="X458" s="25">
        <f>IF(テーブル1[[#This Row],[g/SM]]="",テーブル1[[#This Row],[長さ]]*テーブル1[[#This Row],[g/M]]/1000,テーブル1[[#This Row],[SM]]*テーブル1[[#This Row],[g/SM]]/1000)</f>
        <v>0</v>
      </c>
      <c r="Y458" s="25"/>
      <c r="Z458" s="25">
        <f>SUM(テーブル1[[#This Row],[KG(目付)]:[KG]])</f>
        <v>0</v>
      </c>
      <c r="AA458" s="11"/>
      <c r="AB458" s="11"/>
      <c r="AC458" s="24">
        <f>$G$7*(テーブル1[[#This Row],[金額]]*$G$6)</f>
        <v>0</v>
      </c>
    </row>
    <row r="459" spans="11:29" ht="39.950000000000003" customHeight="1">
      <c r="K459" s="7"/>
      <c r="L459" s="7"/>
      <c r="M459" s="7"/>
      <c r="N459" s="7"/>
      <c r="O459" s="21">
        <f t="shared" si="12"/>
        <v>0</v>
      </c>
      <c r="P459" s="7"/>
      <c r="Q459" s="11"/>
      <c r="R459" s="11"/>
      <c r="S459" s="11"/>
      <c r="T459" s="11"/>
      <c r="U459" s="11"/>
      <c r="V459" s="25">
        <f>IF($G$8="",テーブル1[[#This Row],[幅]]*テーブル1[[#This Row],[長さ]],テーブル1[[#This Row],[幅]]*テーブル1[[#This Row],[長さ]]*$G$8)</f>
        <v>0</v>
      </c>
      <c r="W459" s="25" t="str">
        <f>IF(テーブル1[[#This Row],[幅]]=0,"",テーブル1[[#This Row],[KG合計]]/テーブル1[[#This Row],[SM]]*1000)</f>
        <v/>
      </c>
      <c r="X459" s="25">
        <f>IF(テーブル1[[#This Row],[g/SM]]="",テーブル1[[#This Row],[長さ]]*テーブル1[[#This Row],[g/M]]/1000,テーブル1[[#This Row],[SM]]*テーブル1[[#This Row],[g/SM]]/1000)</f>
        <v>0</v>
      </c>
      <c r="Y459" s="25"/>
      <c r="Z459" s="25">
        <f>SUM(テーブル1[[#This Row],[KG(目付)]:[KG]])</f>
        <v>0</v>
      </c>
      <c r="AA459" s="11"/>
      <c r="AB459" s="11"/>
      <c r="AC459" s="24">
        <f>$G$7*(テーブル1[[#This Row],[金額]]*$G$6)</f>
        <v>0</v>
      </c>
    </row>
    <row r="460" spans="11:29" ht="39.950000000000003" customHeight="1">
      <c r="K460" s="7"/>
      <c r="L460" s="7"/>
      <c r="M460" s="7"/>
      <c r="N460" s="7"/>
      <c r="O460" s="21">
        <f t="shared" si="12"/>
        <v>0</v>
      </c>
      <c r="P460" s="7"/>
      <c r="Q460" s="11"/>
      <c r="R460" s="11"/>
      <c r="S460" s="11"/>
      <c r="T460" s="11"/>
      <c r="U460" s="11"/>
      <c r="V460" s="25">
        <f>IF($G$8="",テーブル1[[#This Row],[幅]]*テーブル1[[#This Row],[長さ]],テーブル1[[#This Row],[幅]]*テーブル1[[#This Row],[長さ]]*$G$8)</f>
        <v>0</v>
      </c>
      <c r="W460" s="25" t="str">
        <f>IF(テーブル1[[#This Row],[幅]]=0,"",テーブル1[[#This Row],[KG合計]]/テーブル1[[#This Row],[SM]]*1000)</f>
        <v/>
      </c>
      <c r="X460" s="25">
        <f>IF(テーブル1[[#This Row],[g/SM]]="",テーブル1[[#This Row],[長さ]]*テーブル1[[#This Row],[g/M]]/1000,テーブル1[[#This Row],[SM]]*テーブル1[[#This Row],[g/SM]]/1000)</f>
        <v>0</v>
      </c>
      <c r="Y460" s="25"/>
      <c r="Z460" s="25">
        <f>SUM(テーブル1[[#This Row],[KG(目付)]:[KG]])</f>
        <v>0</v>
      </c>
      <c r="AA460" s="11"/>
      <c r="AB460" s="11"/>
      <c r="AC460" s="24">
        <f>$G$7*(テーブル1[[#This Row],[金額]]*$G$6)</f>
        <v>0</v>
      </c>
    </row>
    <row r="461" spans="11:29" ht="39.950000000000003" customHeight="1">
      <c r="K461" s="7"/>
      <c r="L461" s="7"/>
      <c r="M461" s="7"/>
      <c r="N461" s="7"/>
      <c r="O461" s="21">
        <f t="shared" si="12"/>
        <v>0</v>
      </c>
      <c r="P461" s="7"/>
      <c r="Q461" s="11"/>
      <c r="R461" s="11"/>
      <c r="S461" s="11"/>
      <c r="T461" s="11"/>
      <c r="U461" s="11"/>
      <c r="V461" s="25">
        <f>IF($G$8="",テーブル1[[#This Row],[幅]]*テーブル1[[#This Row],[長さ]],テーブル1[[#This Row],[幅]]*テーブル1[[#This Row],[長さ]]*$G$8)</f>
        <v>0</v>
      </c>
      <c r="W461" s="25" t="str">
        <f>IF(テーブル1[[#This Row],[幅]]=0,"",テーブル1[[#This Row],[KG合計]]/テーブル1[[#This Row],[SM]]*1000)</f>
        <v/>
      </c>
      <c r="X461" s="25">
        <f>IF(テーブル1[[#This Row],[g/SM]]="",テーブル1[[#This Row],[長さ]]*テーブル1[[#This Row],[g/M]]/1000,テーブル1[[#This Row],[SM]]*テーブル1[[#This Row],[g/SM]]/1000)</f>
        <v>0</v>
      </c>
      <c r="Y461" s="25"/>
      <c r="Z461" s="25">
        <f>SUM(テーブル1[[#This Row],[KG(目付)]:[KG]])</f>
        <v>0</v>
      </c>
      <c r="AA461" s="11"/>
      <c r="AB461" s="11"/>
      <c r="AC461" s="24">
        <f>$G$7*(テーブル1[[#This Row],[金額]]*$G$6)</f>
        <v>0</v>
      </c>
    </row>
    <row r="462" spans="11:29" ht="39.950000000000003" customHeight="1">
      <c r="K462" s="7"/>
      <c r="L462" s="7"/>
      <c r="M462" s="7"/>
      <c r="N462" s="7"/>
      <c r="O462" s="21">
        <f t="shared" si="12"/>
        <v>0</v>
      </c>
      <c r="P462" s="7"/>
      <c r="Q462" s="11"/>
      <c r="R462" s="11"/>
      <c r="S462" s="11"/>
      <c r="T462" s="11"/>
      <c r="U462" s="11"/>
      <c r="V462" s="25">
        <f>IF($G$8="",テーブル1[[#This Row],[幅]]*テーブル1[[#This Row],[長さ]],テーブル1[[#This Row],[幅]]*テーブル1[[#This Row],[長さ]]*$G$8)</f>
        <v>0</v>
      </c>
      <c r="W462" s="25" t="str">
        <f>IF(テーブル1[[#This Row],[幅]]=0,"",テーブル1[[#This Row],[KG合計]]/テーブル1[[#This Row],[SM]]*1000)</f>
        <v/>
      </c>
      <c r="X462" s="25">
        <f>IF(テーブル1[[#This Row],[g/SM]]="",テーブル1[[#This Row],[長さ]]*テーブル1[[#This Row],[g/M]]/1000,テーブル1[[#This Row],[SM]]*テーブル1[[#This Row],[g/SM]]/1000)</f>
        <v>0</v>
      </c>
      <c r="Y462" s="25"/>
      <c r="Z462" s="25">
        <f>SUM(テーブル1[[#This Row],[KG(目付)]:[KG]])</f>
        <v>0</v>
      </c>
      <c r="AA462" s="11"/>
      <c r="AB462" s="11"/>
      <c r="AC462" s="24">
        <f>$G$7*(テーブル1[[#This Row],[金額]]*$G$6)</f>
        <v>0</v>
      </c>
    </row>
    <row r="463" spans="11:29" ht="39.950000000000003" customHeight="1">
      <c r="K463" s="7"/>
      <c r="L463" s="7"/>
      <c r="M463" s="7"/>
      <c r="N463" s="7"/>
      <c r="O463" s="21">
        <f t="shared" si="12"/>
        <v>0</v>
      </c>
      <c r="P463" s="7"/>
      <c r="Q463" s="11"/>
      <c r="R463" s="11"/>
      <c r="S463" s="11"/>
      <c r="T463" s="11"/>
      <c r="U463" s="11"/>
      <c r="V463" s="25">
        <f>IF($G$8="",テーブル1[[#This Row],[幅]]*テーブル1[[#This Row],[長さ]],テーブル1[[#This Row],[幅]]*テーブル1[[#This Row],[長さ]]*$G$8)</f>
        <v>0</v>
      </c>
      <c r="W463" s="25" t="str">
        <f>IF(テーブル1[[#This Row],[幅]]=0,"",テーブル1[[#This Row],[KG合計]]/テーブル1[[#This Row],[SM]]*1000)</f>
        <v/>
      </c>
      <c r="X463" s="25">
        <f>IF(テーブル1[[#This Row],[g/SM]]="",テーブル1[[#This Row],[長さ]]*テーブル1[[#This Row],[g/M]]/1000,テーブル1[[#This Row],[SM]]*テーブル1[[#This Row],[g/SM]]/1000)</f>
        <v>0</v>
      </c>
      <c r="Y463" s="25"/>
      <c r="Z463" s="25">
        <f>SUM(テーブル1[[#This Row],[KG(目付)]:[KG]])</f>
        <v>0</v>
      </c>
      <c r="AA463" s="11"/>
      <c r="AB463" s="11"/>
      <c r="AC463" s="24">
        <f>$G$7*(テーブル1[[#This Row],[金額]]*$G$6)</f>
        <v>0</v>
      </c>
    </row>
    <row r="464" spans="11:29" ht="39.950000000000003" customHeight="1">
      <c r="K464" s="7"/>
      <c r="L464" s="7"/>
      <c r="M464" s="7"/>
      <c r="N464" s="7"/>
      <c r="O464" s="21">
        <f t="shared" si="12"/>
        <v>0</v>
      </c>
      <c r="P464" s="7"/>
      <c r="Q464" s="11"/>
      <c r="R464" s="11"/>
      <c r="S464" s="11"/>
      <c r="T464" s="11"/>
      <c r="U464" s="11"/>
      <c r="V464" s="25">
        <f>IF($G$8="",テーブル1[[#This Row],[幅]]*テーブル1[[#This Row],[長さ]],テーブル1[[#This Row],[幅]]*テーブル1[[#This Row],[長さ]]*$G$8)</f>
        <v>0</v>
      </c>
      <c r="W464" s="25" t="str">
        <f>IF(テーブル1[[#This Row],[幅]]=0,"",テーブル1[[#This Row],[KG合計]]/テーブル1[[#This Row],[SM]]*1000)</f>
        <v/>
      </c>
      <c r="X464" s="25">
        <f>IF(テーブル1[[#This Row],[g/SM]]="",テーブル1[[#This Row],[長さ]]*テーブル1[[#This Row],[g/M]]/1000,テーブル1[[#This Row],[SM]]*テーブル1[[#This Row],[g/SM]]/1000)</f>
        <v>0</v>
      </c>
      <c r="Y464" s="25"/>
      <c r="Z464" s="25">
        <f>SUM(テーブル1[[#This Row],[KG(目付)]:[KG]])</f>
        <v>0</v>
      </c>
      <c r="AA464" s="11"/>
      <c r="AB464" s="11"/>
      <c r="AC464" s="24">
        <f>$G$7*(テーブル1[[#This Row],[金額]]*$G$6)</f>
        <v>0</v>
      </c>
    </row>
    <row r="465" spans="11:29" ht="39.950000000000003" customHeight="1">
      <c r="K465" s="7"/>
      <c r="L465" s="7"/>
      <c r="M465" s="7"/>
      <c r="N465" s="7"/>
      <c r="O465" s="21">
        <f t="shared" si="12"/>
        <v>0</v>
      </c>
      <c r="P465" s="7"/>
      <c r="Q465" s="11"/>
      <c r="R465" s="11"/>
      <c r="S465" s="11"/>
      <c r="T465" s="11"/>
      <c r="U465" s="11"/>
      <c r="V465" s="25">
        <f>IF($G$8="",テーブル1[[#This Row],[幅]]*テーブル1[[#This Row],[長さ]],テーブル1[[#This Row],[幅]]*テーブル1[[#This Row],[長さ]]*$G$8)</f>
        <v>0</v>
      </c>
      <c r="W465" s="25" t="str">
        <f>IF(テーブル1[[#This Row],[幅]]=0,"",テーブル1[[#This Row],[KG合計]]/テーブル1[[#This Row],[SM]]*1000)</f>
        <v/>
      </c>
      <c r="X465" s="25">
        <f>IF(テーブル1[[#This Row],[g/SM]]="",テーブル1[[#This Row],[長さ]]*テーブル1[[#This Row],[g/M]]/1000,テーブル1[[#This Row],[SM]]*テーブル1[[#This Row],[g/SM]]/1000)</f>
        <v>0</v>
      </c>
      <c r="Y465" s="25"/>
      <c r="Z465" s="25">
        <f>SUM(テーブル1[[#This Row],[KG(目付)]:[KG]])</f>
        <v>0</v>
      </c>
      <c r="AA465" s="11"/>
      <c r="AB465" s="11"/>
      <c r="AC465" s="24">
        <f>$G$7*(テーブル1[[#This Row],[金額]]*$G$6)</f>
        <v>0</v>
      </c>
    </row>
    <row r="466" spans="11:29" ht="39.950000000000003" customHeight="1">
      <c r="K466" s="7"/>
      <c r="L466" s="7"/>
      <c r="M466" s="7"/>
      <c r="N466" s="7"/>
      <c r="O466" s="21">
        <f t="shared" si="12"/>
        <v>0</v>
      </c>
      <c r="P466" s="7"/>
      <c r="Q466" s="11"/>
      <c r="R466" s="11"/>
      <c r="S466" s="11"/>
      <c r="T466" s="11"/>
      <c r="U466" s="11"/>
      <c r="V466" s="25">
        <f>IF($G$8="",テーブル1[[#This Row],[幅]]*テーブル1[[#This Row],[長さ]],テーブル1[[#This Row],[幅]]*テーブル1[[#This Row],[長さ]]*$G$8)</f>
        <v>0</v>
      </c>
      <c r="W466" s="25" t="str">
        <f>IF(テーブル1[[#This Row],[幅]]=0,"",テーブル1[[#This Row],[KG合計]]/テーブル1[[#This Row],[SM]]*1000)</f>
        <v/>
      </c>
      <c r="X466" s="25">
        <f>IF(テーブル1[[#This Row],[g/SM]]="",テーブル1[[#This Row],[長さ]]*テーブル1[[#This Row],[g/M]]/1000,テーブル1[[#This Row],[SM]]*テーブル1[[#This Row],[g/SM]]/1000)</f>
        <v>0</v>
      </c>
      <c r="Y466" s="25"/>
      <c r="Z466" s="25">
        <f>SUM(テーブル1[[#This Row],[KG(目付)]:[KG]])</f>
        <v>0</v>
      </c>
      <c r="AA466" s="11"/>
      <c r="AB466" s="11"/>
      <c r="AC466" s="24">
        <f>$G$7*(テーブル1[[#This Row],[金額]]*$G$6)</f>
        <v>0</v>
      </c>
    </row>
    <row r="467" spans="11:29" ht="39.950000000000003" customHeight="1">
      <c r="K467" s="7"/>
      <c r="L467" s="7"/>
      <c r="M467" s="7"/>
      <c r="N467" s="7"/>
      <c r="O467" s="21">
        <f t="shared" si="12"/>
        <v>0</v>
      </c>
      <c r="P467" s="7"/>
      <c r="Q467" s="11"/>
      <c r="R467" s="11"/>
      <c r="S467" s="11"/>
      <c r="T467" s="11"/>
      <c r="U467" s="11"/>
      <c r="V467" s="25">
        <f>IF($G$8="",テーブル1[[#This Row],[幅]]*テーブル1[[#This Row],[長さ]],テーブル1[[#This Row],[幅]]*テーブル1[[#This Row],[長さ]]*$G$8)</f>
        <v>0</v>
      </c>
      <c r="W467" s="25" t="str">
        <f>IF(テーブル1[[#This Row],[幅]]=0,"",テーブル1[[#This Row],[KG合計]]/テーブル1[[#This Row],[SM]]*1000)</f>
        <v/>
      </c>
      <c r="X467" s="25">
        <f>IF(テーブル1[[#This Row],[g/SM]]="",テーブル1[[#This Row],[長さ]]*テーブル1[[#This Row],[g/M]]/1000,テーブル1[[#This Row],[SM]]*テーブル1[[#This Row],[g/SM]]/1000)</f>
        <v>0</v>
      </c>
      <c r="Y467" s="25"/>
      <c r="Z467" s="25">
        <f>SUM(テーブル1[[#This Row],[KG(目付)]:[KG]])</f>
        <v>0</v>
      </c>
      <c r="AA467" s="11"/>
      <c r="AB467" s="11"/>
      <c r="AC467" s="24">
        <f>$G$7*(テーブル1[[#This Row],[金額]]*$G$6)</f>
        <v>0</v>
      </c>
    </row>
    <row r="468" spans="11:29" ht="39.950000000000003" customHeight="1">
      <c r="K468" s="7"/>
      <c r="L468" s="7"/>
      <c r="M468" s="7"/>
      <c r="N468" s="7"/>
      <c r="O468" s="21">
        <f t="shared" ref="O468:O474" si="13">IF(LEN(N468)=10,RIGHT(N468,1),IFERROR(N468-(INT(N468/7)*7),RIGHT(N468,1)))</f>
        <v>0</v>
      </c>
      <c r="P468" s="7"/>
      <c r="Q468" s="11"/>
      <c r="R468" s="11"/>
      <c r="S468" s="11"/>
      <c r="T468" s="11"/>
      <c r="U468" s="11"/>
      <c r="V468" s="25">
        <f>IF($G$8="",テーブル1[[#This Row],[幅]]*テーブル1[[#This Row],[長さ]],テーブル1[[#This Row],[幅]]*テーブル1[[#This Row],[長さ]]*$G$8)</f>
        <v>0</v>
      </c>
      <c r="W468" s="25" t="str">
        <f>IF(テーブル1[[#This Row],[幅]]=0,"",テーブル1[[#This Row],[KG合計]]/テーブル1[[#This Row],[SM]]*1000)</f>
        <v/>
      </c>
      <c r="X468" s="25">
        <f>IF(テーブル1[[#This Row],[g/SM]]="",テーブル1[[#This Row],[長さ]]*テーブル1[[#This Row],[g/M]]/1000,テーブル1[[#This Row],[SM]]*テーブル1[[#This Row],[g/SM]]/1000)</f>
        <v>0</v>
      </c>
      <c r="Y468" s="25"/>
      <c r="Z468" s="25">
        <f>SUM(テーブル1[[#This Row],[KG(目付)]:[KG]])</f>
        <v>0</v>
      </c>
      <c r="AA468" s="11"/>
      <c r="AB468" s="11"/>
      <c r="AC468" s="24">
        <f>$G$7*(テーブル1[[#This Row],[金額]]*$G$6)</f>
        <v>0</v>
      </c>
    </row>
    <row r="469" spans="11:29" ht="39.950000000000003" customHeight="1">
      <c r="K469" s="7"/>
      <c r="L469" s="7"/>
      <c r="M469" s="7"/>
      <c r="N469" s="7"/>
      <c r="O469" s="21">
        <f t="shared" si="13"/>
        <v>0</v>
      </c>
      <c r="P469" s="7"/>
      <c r="Q469" s="11"/>
      <c r="R469" s="11"/>
      <c r="S469" s="11"/>
      <c r="T469" s="11"/>
      <c r="U469" s="11"/>
      <c r="V469" s="25">
        <f>IF($G$8="",テーブル1[[#This Row],[幅]]*テーブル1[[#This Row],[長さ]],テーブル1[[#This Row],[幅]]*テーブル1[[#This Row],[長さ]]*$G$8)</f>
        <v>0</v>
      </c>
      <c r="W469" s="25" t="str">
        <f>IF(テーブル1[[#This Row],[幅]]=0,"",テーブル1[[#This Row],[KG合計]]/テーブル1[[#This Row],[SM]]*1000)</f>
        <v/>
      </c>
      <c r="X469" s="25">
        <f>IF(テーブル1[[#This Row],[g/SM]]="",テーブル1[[#This Row],[長さ]]*テーブル1[[#This Row],[g/M]]/1000,テーブル1[[#This Row],[SM]]*テーブル1[[#This Row],[g/SM]]/1000)</f>
        <v>0</v>
      </c>
      <c r="Y469" s="25"/>
      <c r="Z469" s="25">
        <f>SUM(テーブル1[[#This Row],[KG(目付)]:[KG]])</f>
        <v>0</v>
      </c>
      <c r="AA469" s="11"/>
      <c r="AB469" s="11"/>
      <c r="AC469" s="24">
        <f>$G$7*(テーブル1[[#This Row],[金額]]*$G$6)</f>
        <v>0</v>
      </c>
    </row>
    <row r="470" spans="11:29" ht="39.950000000000003" customHeight="1">
      <c r="K470" s="7"/>
      <c r="L470" s="7"/>
      <c r="M470" s="7"/>
      <c r="N470" s="7"/>
      <c r="O470" s="21">
        <f t="shared" si="13"/>
        <v>0</v>
      </c>
      <c r="P470" s="7"/>
      <c r="Q470" s="11"/>
      <c r="R470" s="11"/>
      <c r="S470" s="11"/>
      <c r="T470" s="11"/>
      <c r="U470" s="11"/>
      <c r="V470" s="25">
        <f>IF($G$8="",テーブル1[[#This Row],[幅]]*テーブル1[[#This Row],[長さ]],テーブル1[[#This Row],[幅]]*テーブル1[[#This Row],[長さ]]*$G$8)</f>
        <v>0</v>
      </c>
      <c r="W470" s="25" t="str">
        <f>IF(テーブル1[[#This Row],[幅]]=0,"",テーブル1[[#This Row],[KG合計]]/テーブル1[[#This Row],[SM]]*1000)</f>
        <v/>
      </c>
      <c r="X470" s="25">
        <f>IF(テーブル1[[#This Row],[g/SM]]="",テーブル1[[#This Row],[長さ]]*テーブル1[[#This Row],[g/M]]/1000,テーブル1[[#This Row],[SM]]*テーブル1[[#This Row],[g/SM]]/1000)</f>
        <v>0</v>
      </c>
      <c r="Y470" s="25"/>
      <c r="Z470" s="25">
        <f>SUM(テーブル1[[#This Row],[KG(目付)]:[KG]])</f>
        <v>0</v>
      </c>
      <c r="AA470" s="11"/>
      <c r="AB470" s="11"/>
      <c r="AC470" s="24">
        <f>$G$7*(テーブル1[[#This Row],[金額]]*$G$6)</f>
        <v>0</v>
      </c>
    </row>
    <row r="471" spans="11:29" ht="39.950000000000003" customHeight="1">
      <c r="K471" s="7"/>
      <c r="L471" s="7"/>
      <c r="M471" s="7"/>
      <c r="N471" s="7"/>
      <c r="O471" s="21">
        <f t="shared" si="13"/>
        <v>0</v>
      </c>
      <c r="P471" s="7"/>
      <c r="Q471" s="11"/>
      <c r="R471" s="11"/>
      <c r="S471" s="11"/>
      <c r="T471" s="11"/>
      <c r="U471" s="11"/>
      <c r="V471" s="25">
        <f>IF($G$8="",テーブル1[[#This Row],[幅]]*テーブル1[[#This Row],[長さ]],テーブル1[[#This Row],[幅]]*テーブル1[[#This Row],[長さ]]*$G$8)</f>
        <v>0</v>
      </c>
      <c r="W471" s="25" t="str">
        <f>IF(テーブル1[[#This Row],[幅]]=0,"",テーブル1[[#This Row],[KG合計]]/テーブル1[[#This Row],[SM]]*1000)</f>
        <v/>
      </c>
      <c r="X471" s="25">
        <f>IF(テーブル1[[#This Row],[g/SM]]="",テーブル1[[#This Row],[長さ]]*テーブル1[[#This Row],[g/M]]/1000,テーブル1[[#This Row],[SM]]*テーブル1[[#This Row],[g/SM]]/1000)</f>
        <v>0</v>
      </c>
      <c r="Y471" s="25"/>
      <c r="Z471" s="25">
        <f>SUM(テーブル1[[#This Row],[KG(目付)]:[KG]])</f>
        <v>0</v>
      </c>
      <c r="AA471" s="11"/>
      <c r="AB471" s="11"/>
      <c r="AC471" s="24">
        <f>$G$7*(テーブル1[[#This Row],[金額]]*$G$6)</f>
        <v>0</v>
      </c>
    </row>
    <row r="472" spans="11:29" ht="39.950000000000003" customHeight="1">
      <c r="K472" s="7"/>
      <c r="L472" s="7"/>
      <c r="M472" s="7"/>
      <c r="N472" s="7"/>
      <c r="O472" s="21">
        <f t="shared" si="13"/>
        <v>0</v>
      </c>
      <c r="P472" s="7"/>
      <c r="Q472" s="11"/>
      <c r="R472" s="11"/>
      <c r="S472" s="11"/>
      <c r="T472" s="11"/>
      <c r="U472" s="11"/>
      <c r="V472" s="25">
        <f>IF($G$8="",テーブル1[[#This Row],[幅]]*テーブル1[[#This Row],[長さ]],テーブル1[[#This Row],[幅]]*テーブル1[[#This Row],[長さ]]*$G$8)</f>
        <v>0</v>
      </c>
      <c r="W472" s="25" t="str">
        <f>IF(テーブル1[[#This Row],[幅]]=0,"",テーブル1[[#This Row],[KG合計]]/テーブル1[[#This Row],[SM]]*1000)</f>
        <v/>
      </c>
      <c r="X472" s="25">
        <f>IF(テーブル1[[#This Row],[g/SM]]="",テーブル1[[#This Row],[長さ]]*テーブル1[[#This Row],[g/M]]/1000,テーブル1[[#This Row],[SM]]*テーブル1[[#This Row],[g/SM]]/1000)</f>
        <v>0</v>
      </c>
      <c r="Y472" s="25"/>
      <c r="Z472" s="25">
        <f>SUM(テーブル1[[#This Row],[KG(目付)]:[KG]])</f>
        <v>0</v>
      </c>
      <c r="AA472" s="11"/>
      <c r="AB472" s="11"/>
      <c r="AC472" s="24">
        <f>$G$7*(テーブル1[[#This Row],[金額]]*$G$6)</f>
        <v>0</v>
      </c>
    </row>
    <row r="473" spans="11:29" ht="39.950000000000003" customHeight="1">
      <c r="K473" s="7"/>
      <c r="L473" s="7"/>
      <c r="M473" s="7"/>
      <c r="N473" s="7"/>
      <c r="O473" s="21">
        <f t="shared" si="13"/>
        <v>0</v>
      </c>
      <c r="P473" s="7"/>
      <c r="Q473" s="11"/>
      <c r="R473" s="11"/>
      <c r="S473" s="11"/>
      <c r="T473" s="11"/>
      <c r="U473" s="11"/>
      <c r="V473" s="25">
        <f>IF($G$8="",テーブル1[[#This Row],[幅]]*テーブル1[[#This Row],[長さ]],テーブル1[[#This Row],[幅]]*テーブル1[[#This Row],[長さ]]*$G$8)</f>
        <v>0</v>
      </c>
      <c r="W473" s="25" t="str">
        <f>IF(テーブル1[[#This Row],[幅]]=0,"",テーブル1[[#This Row],[KG合計]]/テーブル1[[#This Row],[SM]]*1000)</f>
        <v/>
      </c>
      <c r="X473" s="25">
        <f>IF(テーブル1[[#This Row],[g/SM]]="",テーブル1[[#This Row],[長さ]]*テーブル1[[#This Row],[g/M]]/1000,テーブル1[[#This Row],[SM]]*テーブル1[[#This Row],[g/SM]]/1000)</f>
        <v>0</v>
      </c>
      <c r="Y473" s="25"/>
      <c r="Z473" s="25">
        <f>SUM(テーブル1[[#This Row],[KG(目付)]:[KG]])</f>
        <v>0</v>
      </c>
      <c r="AA473" s="11"/>
      <c r="AB473" s="11"/>
      <c r="AC473" s="24">
        <f>$G$7*(テーブル1[[#This Row],[金額]]*$G$6)</f>
        <v>0</v>
      </c>
    </row>
    <row r="474" spans="11:29" ht="39.950000000000003" customHeight="1">
      <c r="K474" s="7"/>
      <c r="L474" s="7"/>
      <c r="M474" s="7"/>
      <c r="N474" s="7"/>
      <c r="O474" s="21">
        <f t="shared" si="13"/>
        <v>0</v>
      </c>
      <c r="P474" s="7"/>
      <c r="Q474" s="11"/>
      <c r="R474" s="11"/>
      <c r="S474" s="11"/>
      <c r="T474" s="11"/>
      <c r="U474" s="11"/>
      <c r="V474" s="25">
        <f>IF($G$8="",テーブル1[[#This Row],[幅]]*テーブル1[[#This Row],[長さ]],テーブル1[[#This Row],[幅]]*テーブル1[[#This Row],[長さ]]*$G$8)</f>
        <v>0</v>
      </c>
      <c r="W474" s="25" t="str">
        <f>IF(テーブル1[[#This Row],[幅]]=0,"",テーブル1[[#This Row],[KG合計]]/テーブル1[[#This Row],[SM]]*1000)</f>
        <v/>
      </c>
      <c r="X474" s="25">
        <f>IF(テーブル1[[#This Row],[g/SM]]="",テーブル1[[#This Row],[長さ]]*テーブル1[[#This Row],[g/M]]/1000,テーブル1[[#This Row],[SM]]*テーブル1[[#This Row],[g/SM]]/1000)</f>
        <v>0</v>
      </c>
      <c r="Y474" s="25"/>
      <c r="Z474" s="25">
        <f>SUM(テーブル1[[#This Row],[KG(目付)]:[KG]])</f>
        <v>0</v>
      </c>
      <c r="AA474" s="11"/>
      <c r="AB474" s="11"/>
      <c r="AC474" s="24">
        <f>$G$7*(テーブル1[[#This Row],[金額]]*$G$6)</f>
        <v>0</v>
      </c>
    </row>
    <row r="475" spans="11:29" ht="39.950000000000003" customHeight="1">
      <c r="K475" s="7"/>
      <c r="L475" s="7"/>
      <c r="M475" s="7"/>
      <c r="N475" s="7"/>
      <c r="O475" s="21">
        <f t="shared" ref="O475:O478" si="14">IF(LEN(N475)=10,RIGHT(N475,1),IFERROR(N475-(INT(N475/7)*7),RIGHT(N475,1)))</f>
        <v>0</v>
      </c>
      <c r="P475" s="7"/>
      <c r="Q475" s="11"/>
      <c r="R475" s="11"/>
      <c r="S475" s="11"/>
      <c r="T475" s="11"/>
      <c r="U475" s="11"/>
      <c r="V475" s="25">
        <f>IF($G$8="",テーブル1[[#This Row],[幅]]*テーブル1[[#This Row],[長さ]],テーブル1[[#This Row],[幅]]*テーブル1[[#This Row],[長さ]]*$G$8)</f>
        <v>0</v>
      </c>
      <c r="W475" s="25" t="str">
        <f>IF(テーブル1[[#This Row],[幅]]=0,"",テーブル1[[#This Row],[KG合計]]/テーブル1[[#This Row],[SM]]*1000)</f>
        <v/>
      </c>
      <c r="X475" s="25">
        <f>IF(テーブル1[[#This Row],[g/SM]]="",テーブル1[[#This Row],[長さ]]*テーブル1[[#This Row],[g/M]]/1000,テーブル1[[#This Row],[SM]]*テーブル1[[#This Row],[g/SM]]/1000)</f>
        <v>0</v>
      </c>
      <c r="Y475" s="25"/>
      <c r="Z475" s="25">
        <f>SUM(テーブル1[[#This Row],[KG(目付)]:[KG]])</f>
        <v>0</v>
      </c>
      <c r="AA475" s="11"/>
      <c r="AB475" s="11"/>
      <c r="AC475" s="24">
        <f>$G$7*(テーブル1[[#This Row],[金額]]*$G$6)</f>
        <v>0</v>
      </c>
    </row>
    <row r="476" spans="11:29" ht="39.950000000000003" customHeight="1">
      <c r="K476" s="7"/>
      <c r="L476" s="7"/>
      <c r="M476" s="7"/>
      <c r="N476" s="7"/>
      <c r="O476" s="21">
        <f t="shared" si="14"/>
        <v>0</v>
      </c>
      <c r="P476" s="7"/>
      <c r="Q476" s="11"/>
      <c r="R476" s="11"/>
      <c r="S476" s="11"/>
      <c r="T476" s="11"/>
      <c r="U476" s="11"/>
      <c r="V476" s="25">
        <f>IF($G$8="",テーブル1[[#This Row],[幅]]*テーブル1[[#This Row],[長さ]],テーブル1[[#This Row],[幅]]*テーブル1[[#This Row],[長さ]]*$G$8)</f>
        <v>0</v>
      </c>
      <c r="W476" s="25" t="str">
        <f>IF(テーブル1[[#This Row],[幅]]=0,"",テーブル1[[#This Row],[KG合計]]/テーブル1[[#This Row],[SM]]*1000)</f>
        <v/>
      </c>
      <c r="X476" s="25">
        <f>IF(テーブル1[[#This Row],[g/SM]]="",テーブル1[[#This Row],[長さ]]*テーブル1[[#This Row],[g/M]]/1000,テーブル1[[#This Row],[SM]]*テーブル1[[#This Row],[g/SM]]/1000)</f>
        <v>0</v>
      </c>
      <c r="Y476" s="25"/>
      <c r="Z476" s="25">
        <f>SUM(テーブル1[[#This Row],[KG(目付)]:[KG]])</f>
        <v>0</v>
      </c>
      <c r="AA476" s="11"/>
      <c r="AB476" s="11"/>
      <c r="AC476" s="24">
        <f>$G$7*(テーブル1[[#This Row],[金額]]*$G$6)</f>
        <v>0</v>
      </c>
    </row>
    <row r="477" spans="11:29" ht="39.950000000000003" customHeight="1">
      <c r="K477" s="7"/>
      <c r="L477" s="7"/>
      <c r="M477" s="7"/>
      <c r="N477" s="7"/>
      <c r="O477" s="21">
        <f t="shared" si="14"/>
        <v>0</v>
      </c>
      <c r="P477" s="7"/>
      <c r="Q477" s="11"/>
      <c r="R477" s="11"/>
      <c r="S477" s="11"/>
      <c r="T477" s="11"/>
      <c r="U477" s="11"/>
      <c r="V477" s="25">
        <f>IF($G$8="",テーブル1[[#This Row],[幅]]*テーブル1[[#This Row],[長さ]],テーブル1[[#This Row],[幅]]*テーブル1[[#This Row],[長さ]]*$G$8)</f>
        <v>0</v>
      </c>
      <c r="W477" s="25" t="str">
        <f>IF(テーブル1[[#This Row],[幅]]=0,"",テーブル1[[#This Row],[KG合計]]/テーブル1[[#This Row],[SM]]*1000)</f>
        <v/>
      </c>
      <c r="X477" s="25">
        <f>IF(テーブル1[[#This Row],[g/SM]]="",テーブル1[[#This Row],[長さ]]*テーブル1[[#This Row],[g/M]]/1000,テーブル1[[#This Row],[SM]]*テーブル1[[#This Row],[g/SM]]/1000)</f>
        <v>0</v>
      </c>
      <c r="Y477" s="25"/>
      <c r="Z477" s="25">
        <f>SUM(テーブル1[[#This Row],[KG(目付)]:[KG]])</f>
        <v>0</v>
      </c>
      <c r="AA477" s="11"/>
      <c r="AB477" s="11"/>
      <c r="AC477" s="24">
        <f>$G$7*(テーブル1[[#This Row],[金額]]*$G$6)</f>
        <v>0</v>
      </c>
    </row>
    <row r="478" spans="11:29" ht="39.950000000000003" customHeight="1">
      <c r="K478" s="7"/>
      <c r="L478" s="7"/>
      <c r="M478" s="7"/>
      <c r="N478" s="7"/>
      <c r="O478" s="21">
        <f t="shared" si="14"/>
        <v>0</v>
      </c>
      <c r="P478" s="7"/>
      <c r="Q478" s="11"/>
      <c r="R478" s="11"/>
      <c r="S478" s="11"/>
      <c r="T478" s="11"/>
      <c r="U478" s="11"/>
      <c r="V478" s="25">
        <f>IF($G$8="",テーブル1[[#This Row],[幅]]*テーブル1[[#This Row],[長さ]],テーブル1[[#This Row],[幅]]*テーブル1[[#This Row],[長さ]]*$G$8)</f>
        <v>0</v>
      </c>
      <c r="W478" s="25" t="str">
        <f>IF(テーブル1[[#This Row],[幅]]=0,"",テーブル1[[#This Row],[KG合計]]/テーブル1[[#This Row],[SM]]*1000)</f>
        <v/>
      </c>
      <c r="X478" s="25">
        <f>IF(テーブル1[[#This Row],[g/SM]]="",テーブル1[[#This Row],[長さ]]*テーブル1[[#This Row],[g/M]]/1000,テーブル1[[#This Row],[SM]]*テーブル1[[#This Row],[g/SM]]/1000)</f>
        <v>0</v>
      </c>
      <c r="Y478" s="25"/>
      <c r="Z478" s="25">
        <f>SUM(テーブル1[[#This Row],[KG(目付)]:[KG]])</f>
        <v>0</v>
      </c>
      <c r="AA478" s="11"/>
      <c r="AB478" s="11"/>
      <c r="AC478" s="24">
        <f>$G$7*(テーブル1[[#This Row],[金額]]*$G$6)</f>
        <v>0</v>
      </c>
    </row>
    <row r="479" spans="11:29" ht="39.950000000000003" customHeight="1">
      <c r="K479" s="7"/>
      <c r="L479" s="7"/>
      <c r="M479" s="7"/>
      <c r="N479" s="7"/>
      <c r="O479" s="21">
        <f t="shared" ref="O479:O482" si="15">IF(LEN(N479)=10,RIGHT(N479,1),IFERROR(N479-(INT(N479/7)*7),RIGHT(N479,1)))</f>
        <v>0</v>
      </c>
      <c r="P479" s="7"/>
      <c r="Q479" s="11"/>
      <c r="R479" s="11"/>
      <c r="S479" s="11"/>
      <c r="T479" s="11"/>
      <c r="U479" s="11"/>
      <c r="V479" s="25">
        <f>IF($G$8="",テーブル1[[#This Row],[幅]]*テーブル1[[#This Row],[長さ]],テーブル1[[#This Row],[幅]]*テーブル1[[#This Row],[長さ]]*$G$8)</f>
        <v>0</v>
      </c>
      <c r="W479" s="25" t="str">
        <f>IF(テーブル1[[#This Row],[幅]]=0,"",テーブル1[[#This Row],[KG合計]]/テーブル1[[#This Row],[SM]]*1000)</f>
        <v/>
      </c>
      <c r="X479" s="25">
        <f>IF(テーブル1[[#This Row],[g/SM]]="",テーブル1[[#This Row],[長さ]]*テーブル1[[#This Row],[g/M]]/1000,テーブル1[[#This Row],[SM]]*テーブル1[[#This Row],[g/SM]]/1000)</f>
        <v>0</v>
      </c>
      <c r="Y479" s="25"/>
      <c r="Z479" s="25">
        <f>SUM(テーブル1[[#This Row],[KG(目付)]:[KG]])</f>
        <v>0</v>
      </c>
      <c r="AA479" s="11"/>
      <c r="AB479" s="11"/>
      <c r="AC479" s="24">
        <f>$G$7*(テーブル1[[#This Row],[金額]]*$G$6)</f>
        <v>0</v>
      </c>
    </row>
    <row r="480" spans="11:29" ht="39.950000000000003" customHeight="1">
      <c r="K480" s="7"/>
      <c r="L480" s="7"/>
      <c r="M480" s="7"/>
      <c r="N480" s="7"/>
      <c r="O480" s="21">
        <f t="shared" si="15"/>
        <v>0</v>
      </c>
      <c r="P480" s="7"/>
      <c r="Q480" s="11"/>
      <c r="R480" s="11"/>
      <c r="S480" s="11"/>
      <c r="T480" s="11"/>
      <c r="U480" s="11"/>
      <c r="V480" s="25">
        <f>IF($G$8="",テーブル1[[#This Row],[幅]]*テーブル1[[#This Row],[長さ]],テーブル1[[#This Row],[幅]]*テーブル1[[#This Row],[長さ]]*$G$8)</f>
        <v>0</v>
      </c>
      <c r="W480" s="25" t="str">
        <f>IF(テーブル1[[#This Row],[幅]]=0,"",テーブル1[[#This Row],[KG合計]]/テーブル1[[#This Row],[SM]]*1000)</f>
        <v/>
      </c>
      <c r="X480" s="25">
        <f>IF(テーブル1[[#This Row],[g/SM]]="",テーブル1[[#This Row],[長さ]]*テーブル1[[#This Row],[g/M]]/1000,テーブル1[[#This Row],[SM]]*テーブル1[[#This Row],[g/SM]]/1000)</f>
        <v>0</v>
      </c>
      <c r="Y480" s="25"/>
      <c r="Z480" s="25">
        <f>SUM(テーブル1[[#This Row],[KG(目付)]:[KG]])</f>
        <v>0</v>
      </c>
      <c r="AA480" s="11"/>
      <c r="AB480" s="11"/>
      <c r="AC480" s="24">
        <f>$G$7*(テーブル1[[#This Row],[金額]]*$G$6)</f>
        <v>0</v>
      </c>
    </row>
    <row r="481" spans="11:29" ht="39.950000000000003" customHeight="1">
      <c r="K481" s="7"/>
      <c r="L481" s="7"/>
      <c r="M481" s="7"/>
      <c r="N481" s="7"/>
      <c r="O481" s="21">
        <f t="shared" si="15"/>
        <v>0</v>
      </c>
      <c r="P481" s="7"/>
      <c r="Q481" s="11"/>
      <c r="R481" s="11"/>
      <c r="S481" s="11"/>
      <c r="T481" s="11"/>
      <c r="U481" s="11"/>
      <c r="V481" s="25">
        <f>IF($G$8="",テーブル1[[#This Row],[幅]]*テーブル1[[#This Row],[長さ]],テーブル1[[#This Row],[幅]]*テーブル1[[#This Row],[長さ]]*$G$8)</f>
        <v>0</v>
      </c>
      <c r="W481" s="25" t="str">
        <f>IF(テーブル1[[#This Row],[幅]]=0,"",テーブル1[[#This Row],[KG合計]]/テーブル1[[#This Row],[SM]]*1000)</f>
        <v/>
      </c>
      <c r="X481" s="25">
        <f>IF(テーブル1[[#This Row],[g/SM]]="",テーブル1[[#This Row],[長さ]]*テーブル1[[#This Row],[g/M]]/1000,テーブル1[[#This Row],[SM]]*テーブル1[[#This Row],[g/SM]]/1000)</f>
        <v>0</v>
      </c>
      <c r="Y481" s="25"/>
      <c r="Z481" s="25">
        <f>SUM(テーブル1[[#This Row],[KG(目付)]:[KG]])</f>
        <v>0</v>
      </c>
      <c r="AA481" s="11"/>
      <c r="AB481" s="11"/>
      <c r="AC481" s="24">
        <f>$G$7*(テーブル1[[#This Row],[金額]]*$G$6)</f>
        <v>0</v>
      </c>
    </row>
    <row r="482" spans="11:29" ht="39.950000000000003" customHeight="1">
      <c r="K482" s="7"/>
      <c r="L482" s="7"/>
      <c r="M482" s="7"/>
      <c r="N482" s="7"/>
      <c r="O482" s="21">
        <f t="shared" si="15"/>
        <v>0</v>
      </c>
      <c r="P482" s="7"/>
      <c r="Q482" s="11"/>
      <c r="R482" s="11"/>
      <c r="S482" s="11"/>
      <c r="T482" s="11"/>
      <c r="U482" s="11"/>
      <c r="V482" s="25">
        <f>IF($G$8="",テーブル1[[#This Row],[幅]]*テーブル1[[#This Row],[長さ]],テーブル1[[#This Row],[幅]]*テーブル1[[#This Row],[長さ]]*$G$8)</f>
        <v>0</v>
      </c>
      <c r="W482" s="25" t="str">
        <f>IF(テーブル1[[#This Row],[幅]]=0,"",テーブル1[[#This Row],[KG合計]]/テーブル1[[#This Row],[SM]]*1000)</f>
        <v/>
      </c>
      <c r="X482" s="25">
        <f>IF(テーブル1[[#This Row],[g/SM]]="",テーブル1[[#This Row],[長さ]]*テーブル1[[#This Row],[g/M]]/1000,テーブル1[[#This Row],[SM]]*テーブル1[[#This Row],[g/SM]]/1000)</f>
        <v>0</v>
      </c>
      <c r="Y482" s="25"/>
      <c r="Z482" s="25">
        <f>SUM(テーブル1[[#This Row],[KG(目付)]:[KG]])</f>
        <v>0</v>
      </c>
      <c r="AA482" s="11"/>
      <c r="AB482" s="11"/>
      <c r="AC482" s="24">
        <f>$G$7*(テーブル1[[#This Row],[金額]]*$G$6)</f>
        <v>0</v>
      </c>
    </row>
    <row r="483" spans="11:29" ht="39.950000000000003" customHeight="1">
      <c r="K483" s="3" t="s">
        <v>34</v>
      </c>
      <c r="N483" s="3" t="s">
        <v>34</v>
      </c>
      <c r="Q483" s="5"/>
      <c r="R483" s="16">
        <f>SUBTOTAL(109,テーブル1[金額])</f>
        <v>0</v>
      </c>
      <c r="S483" s="12">
        <f>SUBTOTAL(109,テーブル1[NO])</f>
        <v>0</v>
      </c>
      <c r="V483" s="22">
        <f>SUBTOTAL(109,テーブル1[SM])</f>
        <v>0</v>
      </c>
      <c r="W483" s="26"/>
      <c r="X483" s="26"/>
      <c r="Y483" s="26"/>
      <c r="Z483" s="27">
        <f>SUBTOTAL(109,テーブル1[KG合計])</f>
        <v>0</v>
      </c>
      <c r="AB483" s="3">
        <f>SUBTOTAL(103,テーブル1[g/M])</f>
        <v>0</v>
      </c>
      <c r="AC483" s="16">
        <f>SUBTOTAL(109,テーブル1[FOB])</f>
        <v>0</v>
      </c>
    </row>
  </sheetData>
  <dataConsolidate link="1"/>
  <phoneticPr fontId="2"/>
  <pageMargins left="0.70866141732283472" right="0.70866141732283472" top="0.74803149606299213" bottom="0.74803149606299213" header="0.31496062992125984" footer="0.31496062992125984"/>
  <pageSetup paperSize="9" scale="50" fitToHeight="0" orientation="portrait" r:id="rId1"/>
  <headerFooter>
    <oddHeader>&amp;Lf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Activate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Active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2Active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Sheet1Data">
                <anchor moveWithCells="1" sizeWithCells="1">
                  <from>
                    <xdr:col>5</xdr:col>
                    <xdr:colOff>1114425</xdr:colOff>
                    <xdr:row>12</xdr:row>
                    <xdr:rowOff>9525</xdr:rowOff>
                  </from>
                  <to>
                    <xdr:col>6</xdr:col>
                    <xdr:colOff>1114425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alculatingAmount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6</xdr:col>
                    <xdr:colOff>1114425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_xludf.Rounddown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6</xdr:col>
                    <xdr:colOff>1114425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lear_Sheet2Data">
                <anchor moveWithCells="1" sizeWithCells="1">
                  <from>
                    <xdr:col>6</xdr:col>
                    <xdr:colOff>0</xdr:colOff>
                    <xdr:row>13</xdr:row>
                    <xdr:rowOff>9525</xdr:rowOff>
                  </from>
                  <to>
                    <xdr:col>6</xdr:col>
                    <xdr:colOff>1123950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CallCopyingTable3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eet1.FSO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1114425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hisWorkbook.Show_PrintArea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ThisWorkbook.Show_PrintArea2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ConvertingIntoPDF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InvokeAll">
                <anchor moveWithCells="1">
                  <from>
                    <xdr:col>6</xdr:col>
                    <xdr:colOff>19050</xdr:colOff>
                    <xdr:row>16</xdr:row>
                    <xdr:rowOff>219075</xdr:rowOff>
                  </from>
                  <to>
                    <xdr:col>6</xdr:col>
                    <xdr:colOff>1133475</xdr:colOff>
                    <xdr:row>17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9D90B-0A8E-4672-8B9F-11ED4C68A478}">
  <sheetPr codeName="Sheet2">
    <pageSetUpPr fitToPage="1"/>
  </sheetPr>
  <dimension ref="C3:Z291"/>
  <sheetViews>
    <sheetView zoomScale="70" zoomScaleNormal="70" workbookViewId="0">
      <selection activeCell="E4" sqref="E4"/>
    </sheetView>
  </sheetViews>
  <sheetFormatPr defaultRowHeight="39.950000000000003" customHeight="1"/>
  <cols>
    <col min="1" max="2" width="9" style="3"/>
    <col min="3" max="3" width="17" style="3" bestFit="1" customWidth="1"/>
    <col min="4" max="4" width="12.625" style="3" customWidth="1"/>
    <col min="5" max="5" width="14.875" style="3" bestFit="1" customWidth="1"/>
    <col min="6" max="6" width="10" style="3" bestFit="1" customWidth="1"/>
    <col min="7" max="7" width="17.125" style="3" bestFit="1" customWidth="1"/>
    <col min="8" max="8" width="18.25" style="3" bestFit="1" customWidth="1"/>
    <col min="9" max="9" width="13.25" style="3" bestFit="1" customWidth="1"/>
    <col min="10" max="10" width="13.125" style="3" customWidth="1"/>
    <col min="11" max="11" width="12.375" style="3" customWidth="1"/>
    <col min="12" max="12" width="15" style="3" bestFit="1" customWidth="1"/>
    <col min="13" max="14" width="9" style="3"/>
    <col min="15" max="15" width="21.375" style="3" bestFit="1" customWidth="1"/>
    <col min="16" max="16" width="7.5" style="3" bestFit="1" customWidth="1"/>
    <col min="17" max="17" width="14.75" style="3" bestFit="1" customWidth="1"/>
    <col min="18" max="18" width="9.875" style="3" bestFit="1" customWidth="1"/>
    <col min="19" max="19" width="17.125" style="3" bestFit="1" customWidth="1"/>
    <col min="20" max="20" width="18.125" style="3" bestFit="1" customWidth="1"/>
    <col min="21" max="21" width="14.625" style="3" bestFit="1" customWidth="1"/>
    <col min="22" max="22" width="13.125" style="3" bestFit="1" customWidth="1"/>
    <col min="23" max="23" width="11.375" style="3" bestFit="1" customWidth="1"/>
    <col min="24" max="24" width="16.5" style="3" bestFit="1" customWidth="1"/>
    <col min="25" max="25" width="11.75" style="3" bestFit="1" customWidth="1"/>
    <col min="26" max="26" width="14.375" style="3" bestFit="1" customWidth="1"/>
    <col min="27" max="16384" width="9" style="3"/>
  </cols>
  <sheetData>
    <row r="3" spans="3:26" ht="39.950000000000003" customHeight="1">
      <c r="C3" s="13" t="s">
        <v>44</v>
      </c>
      <c r="D3" s="13" t="s">
        <v>46</v>
      </c>
      <c r="E3" s="13" t="s">
        <v>20</v>
      </c>
      <c r="F3" s="14" t="s">
        <v>38</v>
      </c>
      <c r="G3" s="13" t="s">
        <v>39</v>
      </c>
      <c r="H3" s="13" t="s">
        <v>43</v>
      </c>
      <c r="I3" s="13" t="s">
        <v>24</v>
      </c>
      <c r="J3" s="13" t="s">
        <v>27</v>
      </c>
      <c r="K3" s="13" t="s">
        <v>30</v>
      </c>
      <c r="L3" s="13" t="s">
        <v>41</v>
      </c>
      <c r="O3" s="13" t="s">
        <v>44</v>
      </c>
      <c r="P3" s="13" t="s">
        <v>45</v>
      </c>
      <c r="Q3" s="13" t="s">
        <v>20</v>
      </c>
      <c r="R3" s="14" t="s">
        <v>38</v>
      </c>
      <c r="S3" s="13" t="s">
        <v>39</v>
      </c>
      <c r="T3" s="13" t="s">
        <v>43</v>
      </c>
      <c r="U3" s="13" t="s">
        <v>24</v>
      </c>
      <c r="V3" s="13" t="s">
        <v>27</v>
      </c>
      <c r="W3" s="13" t="s">
        <v>30</v>
      </c>
      <c r="X3" s="13" t="s">
        <v>41</v>
      </c>
    </row>
    <row r="4" spans="3:26" ht="39.950000000000003" customHeight="1">
      <c r="C4" s="7"/>
      <c r="D4" s="7"/>
      <c r="E4" s="7"/>
      <c r="F4" s="7"/>
      <c r="G4" s="7"/>
      <c r="H4" s="12"/>
      <c r="I4" s="15"/>
      <c r="J4" s="12"/>
      <c r="K4" s="12"/>
      <c r="L4" s="15"/>
      <c r="O4" s="21"/>
      <c r="P4" s="21"/>
      <c r="Q4" s="21"/>
      <c r="R4" s="21"/>
      <c r="S4" s="21"/>
      <c r="T4" s="22"/>
      <c r="U4" s="129"/>
      <c r="V4" s="22"/>
      <c r="W4" s="22"/>
      <c r="X4" s="129"/>
    </row>
    <row r="5" spans="3:26" ht="39.950000000000003" customHeight="1">
      <c r="C5"/>
      <c r="D5"/>
      <c r="E5"/>
      <c r="F5"/>
      <c r="G5"/>
      <c r="H5"/>
      <c r="I5"/>
      <c r="J5"/>
      <c r="K5"/>
      <c r="L5"/>
      <c r="O5" s="21" t="s">
        <v>34</v>
      </c>
      <c r="P5" s="21"/>
      <c r="Q5" s="21"/>
      <c r="R5" s="21"/>
      <c r="S5" s="21"/>
      <c r="T5" s="22">
        <f>SUBTOTAL(109,テーブル3[金額])</f>
        <v>0</v>
      </c>
      <c r="U5" s="129"/>
      <c r="V5" s="22"/>
      <c r="W5" s="22"/>
      <c r="X5" s="129">
        <f>SUBTOTAL(109,テーブル3[FOB])</f>
        <v>0</v>
      </c>
      <c r="Z5" s="12"/>
    </row>
    <row r="6" spans="3:26" ht="39.950000000000003" customHeight="1">
      <c r="C6"/>
      <c r="D6"/>
      <c r="E6"/>
      <c r="F6"/>
      <c r="G6"/>
      <c r="H6"/>
      <c r="I6"/>
      <c r="J6"/>
      <c r="K6"/>
      <c r="L6"/>
      <c r="S6" s="17"/>
      <c r="T6" s="18"/>
    </row>
    <row r="7" spans="3:26" ht="39.950000000000003" customHeight="1">
      <c r="C7"/>
      <c r="D7"/>
      <c r="E7"/>
      <c r="F7"/>
      <c r="G7"/>
      <c r="H7"/>
      <c r="I7"/>
      <c r="J7"/>
      <c r="K7"/>
      <c r="L7"/>
      <c r="S7" s="17"/>
      <c r="T7" s="18"/>
    </row>
    <row r="8" spans="3:26" ht="39.950000000000003" customHeight="1">
      <c r="C8"/>
      <c r="D8"/>
      <c r="E8"/>
      <c r="F8"/>
      <c r="G8"/>
      <c r="H8"/>
      <c r="I8"/>
      <c r="J8"/>
      <c r="K8"/>
      <c r="L8"/>
      <c r="S8"/>
      <c r="T8"/>
    </row>
    <row r="9" spans="3:26" ht="39.950000000000003" customHeight="1">
      <c r="C9"/>
      <c r="D9"/>
      <c r="E9"/>
      <c r="F9"/>
      <c r="G9"/>
      <c r="H9"/>
      <c r="I9"/>
      <c r="J9"/>
      <c r="K9"/>
      <c r="L9"/>
    </row>
    <row r="10" spans="3:26" ht="39.950000000000003" customHeight="1">
      <c r="C10"/>
      <c r="D10"/>
      <c r="E10"/>
      <c r="F10"/>
      <c r="G10"/>
      <c r="H10"/>
      <c r="I10"/>
      <c r="J10"/>
      <c r="K10"/>
      <c r="L10"/>
    </row>
    <row r="11" spans="3:26" ht="39.950000000000003" customHeight="1">
      <c r="C11"/>
      <c r="D11"/>
      <c r="E11"/>
      <c r="F11"/>
      <c r="G11"/>
      <c r="H11"/>
      <c r="I11"/>
      <c r="J11"/>
      <c r="K11"/>
      <c r="L11"/>
    </row>
    <row r="12" spans="3:26" ht="39.950000000000003" customHeight="1">
      <c r="C12"/>
      <c r="D12"/>
      <c r="E12"/>
      <c r="F12"/>
      <c r="G12"/>
      <c r="H12"/>
      <c r="I12"/>
      <c r="J12"/>
      <c r="K12"/>
      <c r="L12"/>
    </row>
    <row r="13" spans="3:26" ht="39.950000000000003" customHeight="1">
      <c r="C13"/>
      <c r="D13"/>
      <c r="E13"/>
      <c r="F13"/>
      <c r="G13"/>
      <c r="H13"/>
      <c r="I13"/>
      <c r="J13"/>
      <c r="K13"/>
      <c r="L13"/>
    </row>
    <row r="14" spans="3:26" ht="39.950000000000003" customHeight="1">
      <c r="C14"/>
      <c r="D14"/>
      <c r="E14"/>
      <c r="F14"/>
      <c r="G14"/>
      <c r="H14"/>
      <c r="I14"/>
      <c r="J14"/>
      <c r="K14"/>
      <c r="L14"/>
    </row>
    <row r="15" spans="3:26" ht="39.950000000000003" customHeight="1">
      <c r="C15"/>
      <c r="D15"/>
      <c r="E15"/>
      <c r="F15"/>
      <c r="G15"/>
      <c r="H15"/>
      <c r="I15"/>
      <c r="J15"/>
      <c r="K15"/>
      <c r="L15"/>
    </row>
    <row r="16" spans="3:26" ht="39.950000000000003" customHeight="1">
      <c r="C16"/>
      <c r="D16"/>
      <c r="E16"/>
      <c r="F16"/>
      <c r="G16"/>
      <c r="H16"/>
      <c r="I16"/>
      <c r="J16"/>
      <c r="K16"/>
      <c r="L16"/>
    </row>
    <row r="17" spans="3:12" ht="39.950000000000003" customHeight="1">
      <c r="C17"/>
      <c r="D17"/>
      <c r="E17"/>
      <c r="F17"/>
      <c r="G17"/>
      <c r="H17"/>
      <c r="I17"/>
      <c r="J17"/>
      <c r="K17"/>
      <c r="L17"/>
    </row>
    <row r="18" spans="3:12" ht="39.950000000000003" customHeight="1">
      <c r="C18"/>
      <c r="D18"/>
      <c r="E18"/>
      <c r="F18"/>
      <c r="G18"/>
      <c r="H18"/>
      <c r="I18"/>
      <c r="J18"/>
      <c r="K18"/>
      <c r="L18"/>
    </row>
    <row r="19" spans="3:12" ht="39.950000000000003" customHeight="1">
      <c r="C19"/>
      <c r="D19"/>
      <c r="E19"/>
      <c r="F19"/>
      <c r="G19"/>
      <c r="H19"/>
      <c r="I19"/>
      <c r="J19"/>
      <c r="K19"/>
      <c r="L19"/>
    </row>
    <row r="20" spans="3:12" ht="39.950000000000003" customHeight="1">
      <c r="C20"/>
      <c r="D20"/>
      <c r="E20"/>
      <c r="F20"/>
      <c r="G20"/>
      <c r="H20"/>
      <c r="I20"/>
      <c r="J20"/>
      <c r="K20"/>
      <c r="L20"/>
    </row>
    <row r="21" spans="3:12" ht="39.950000000000003" customHeight="1">
      <c r="C21"/>
      <c r="D21"/>
      <c r="E21"/>
      <c r="F21"/>
      <c r="G21"/>
      <c r="H21"/>
      <c r="I21"/>
      <c r="J21"/>
      <c r="K21"/>
      <c r="L21"/>
    </row>
    <row r="22" spans="3:12" ht="39.950000000000003" customHeight="1">
      <c r="C22"/>
      <c r="D22"/>
      <c r="E22"/>
      <c r="F22"/>
      <c r="G22"/>
      <c r="H22"/>
      <c r="I22"/>
      <c r="J22"/>
      <c r="K22"/>
      <c r="L22"/>
    </row>
    <row r="23" spans="3:12" ht="39.950000000000003" customHeight="1">
      <c r="C23"/>
      <c r="D23"/>
      <c r="E23"/>
      <c r="F23"/>
      <c r="G23"/>
      <c r="H23"/>
      <c r="I23"/>
      <c r="J23"/>
      <c r="K23"/>
      <c r="L23"/>
    </row>
    <row r="24" spans="3:12" ht="39.950000000000003" customHeight="1">
      <c r="C24"/>
      <c r="D24"/>
      <c r="E24"/>
      <c r="F24"/>
      <c r="G24"/>
      <c r="H24"/>
      <c r="I24"/>
      <c r="J24"/>
      <c r="K24"/>
      <c r="L24"/>
    </row>
    <row r="25" spans="3:12" ht="39.950000000000003" customHeight="1">
      <c r="C25"/>
      <c r="D25"/>
      <c r="E25"/>
      <c r="F25"/>
      <c r="G25"/>
      <c r="H25"/>
      <c r="I25"/>
      <c r="J25"/>
      <c r="K25"/>
      <c r="L25"/>
    </row>
    <row r="26" spans="3:12" ht="39.950000000000003" customHeight="1">
      <c r="C26"/>
      <c r="D26"/>
      <c r="E26"/>
      <c r="F26"/>
      <c r="G26"/>
      <c r="H26"/>
      <c r="I26"/>
      <c r="J26"/>
      <c r="K26"/>
      <c r="L26"/>
    </row>
    <row r="27" spans="3:12" ht="39.950000000000003" customHeight="1">
      <c r="C27"/>
      <c r="D27"/>
      <c r="E27"/>
      <c r="F27"/>
      <c r="G27"/>
      <c r="H27"/>
      <c r="I27"/>
      <c r="J27"/>
      <c r="K27"/>
      <c r="L27"/>
    </row>
    <row r="28" spans="3:12" ht="39.950000000000003" customHeight="1">
      <c r="C28"/>
      <c r="D28"/>
      <c r="E28"/>
      <c r="F28"/>
      <c r="G28"/>
      <c r="H28"/>
      <c r="I28"/>
      <c r="J28"/>
      <c r="K28"/>
      <c r="L28"/>
    </row>
    <row r="29" spans="3:12" ht="39.950000000000003" customHeight="1">
      <c r="C29"/>
      <c r="D29"/>
      <c r="E29"/>
      <c r="F29"/>
      <c r="G29"/>
      <c r="H29"/>
      <c r="I29"/>
      <c r="J29"/>
      <c r="K29"/>
      <c r="L29"/>
    </row>
    <row r="30" spans="3:12" ht="39.950000000000003" customHeight="1">
      <c r="C30"/>
      <c r="D30"/>
      <c r="E30"/>
      <c r="F30"/>
      <c r="G30"/>
      <c r="H30"/>
      <c r="I30"/>
      <c r="J30"/>
      <c r="K30"/>
      <c r="L30"/>
    </row>
    <row r="31" spans="3:12" ht="39.950000000000003" customHeight="1">
      <c r="C31"/>
      <c r="D31"/>
      <c r="E31"/>
      <c r="F31"/>
      <c r="G31"/>
      <c r="H31"/>
      <c r="I31"/>
      <c r="J31"/>
      <c r="K31"/>
      <c r="L31"/>
    </row>
    <row r="32" spans="3:12" ht="39.950000000000003" customHeight="1">
      <c r="C32"/>
      <c r="D32"/>
      <c r="E32"/>
      <c r="F32"/>
      <c r="G32"/>
      <c r="H32"/>
      <c r="I32"/>
      <c r="J32"/>
      <c r="K32"/>
      <c r="L32"/>
    </row>
    <row r="33" spans="3:12" ht="39.950000000000003" customHeight="1">
      <c r="C33"/>
      <c r="D33"/>
      <c r="E33"/>
      <c r="F33"/>
      <c r="G33"/>
      <c r="H33"/>
      <c r="I33"/>
      <c r="J33"/>
      <c r="K33"/>
      <c r="L33"/>
    </row>
    <row r="34" spans="3:12" ht="39.950000000000003" customHeight="1">
      <c r="C34"/>
      <c r="D34"/>
      <c r="E34"/>
      <c r="F34"/>
      <c r="G34"/>
      <c r="H34"/>
      <c r="I34"/>
      <c r="J34"/>
      <c r="K34"/>
      <c r="L34"/>
    </row>
    <row r="35" spans="3:12" ht="39.950000000000003" customHeight="1">
      <c r="C35"/>
      <c r="D35"/>
      <c r="E35"/>
      <c r="F35"/>
      <c r="G35"/>
      <c r="H35"/>
      <c r="I35"/>
      <c r="J35"/>
      <c r="K35"/>
      <c r="L35"/>
    </row>
    <row r="36" spans="3:12" ht="39.950000000000003" customHeight="1">
      <c r="C36"/>
      <c r="D36"/>
      <c r="E36"/>
      <c r="F36"/>
      <c r="G36"/>
      <c r="H36"/>
      <c r="I36"/>
      <c r="J36"/>
      <c r="K36"/>
      <c r="L36"/>
    </row>
    <row r="37" spans="3:12" ht="39.950000000000003" customHeight="1">
      <c r="C37"/>
      <c r="D37"/>
      <c r="E37"/>
      <c r="F37"/>
      <c r="G37"/>
      <c r="H37"/>
      <c r="I37"/>
      <c r="J37"/>
      <c r="K37"/>
      <c r="L37"/>
    </row>
    <row r="38" spans="3:12" ht="39.950000000000003" customHeight="1">
      <c r="C38"/>
      <c r="D38"/>
      <c r="E38"/>
      <c r="F38"/>
      <c r="G38"/>
      <c r="H38"/>
      <c r="I38"/>
      <c r="J38"/>
      <c r="K38"/>
      <c r="L38"/>
    </row>
    <row r="39" spans="3:12" ht="39.950000000000003" customHeight="1">
      <c r="C39"/>
      <c r="D39"/>
      <c r="E39"/>
      <c r="F39"/>
      <c r="G39"/>
      <c r="H39"/>
      <c r="I39"/>
      <c r="J39"/>
      <c r="K39"/>
      <c r="L39"/>
    </row>
    <row r="40" spans="3:12" ht="39.950000000000003" customHeight="1">
      <c r="C40"/>
      <c r="D40"/>
      <c r="E40"/>
      <c r="F40"/>
      <c r="G40"/>
      <c r="H40"/>
      <c r="I40"/>
      <c r="J40"/>
      <c r="K40"/>
      <c r="L40"/>
    </row>
    <row r="41" spans="3:12" ht="39.950000000000003" customHeight="1">
      <c r="C41"/>
      <c r="D41"/>
      <c r="E41"/>
      <c r="F41"/>
      <c r="G41"/>
      <c r="H41"/>
      <c r="I41"/>
      <c r="J41"/>
      <c r="K41"/>
      <c r="L41"/>
    </row>
    <row r="42" spans="3:12" ht="39.950000000000003" customHeight="1">
      <c r="C42"/>
      <c r="D42"/>
      <c r="E42"/>
      <c r="F42"/>
      <c r="G42"/>
      <c r="H42"/>
      <c r="I42"/>
      <c r="J42"/>
      <c r="K42"/>
      <c r="L42"/>
    </row>
    <row r="43" spans="3:12" ht="39.950000000000003" customHeight="1">
      <c r="C43"/>
      <c r="D43"/>
      <c r="E43"/>
      <c r="F43"/>
      <c r="G43"/>
      <c r="H43"/>
      <c r="I43"/>
      <c r="J43"/>
      <c r="K43"/>
      <c r="L43"/>
    </row>
    <row r="44" spans="3:12" ht="39.950000000000003" customHeight="1">
      <c r="C44"/>
      <c r="D44"/>
      <c r="E44"/>
      <c r="F44"/>
      <c r="G44"/>
      <c r="H44"/>
      <c r="I44"/>
      <c r="J44"/>
      <c r="K44"/>
      <c r="L44"/>
    </row>
    <row r="45" spans="3:12" ht="39.950000000000003" customHeight="1">
      <c r="C45"/>
      <c r="D45"/>
      <c r="E45"/>
      <c r="F45"/>
      <c r="G45"/>
      <c r="H45"/>
      <c r="I45"/>
      <c r="J45"/>
      <c r="K45"/>
      <c r="L45"/>
    </row>
    <row r="46" spans="3:12" ht="39.950000000000003" customHeight="1">
      <c r="C46"/>
      <c r="D46"/>
      <c r="E46"/>
      <c r="F46"/>
      <c r="G46"/>
      <c r="H46"/>
      <c r="I46"/>
      <c r="J46"/>
      <c r="K46"/>
      <c r="L46"/>
    </row>
    <row r="47" spans="3:12" ht="39.950000000000003" customHeight="1">
      <c r="C47"/>
      <c r="D47"/>
      <c r="E47"/>
      <c r="F47"/>
      <c r="G47"/>
      <c r="H47"/>
      <c r="I47"/>
      <c r="J47"/>
      <c r="K47"/>
      <c r="L47"/>
    </row>
    <row r="48" spans="3:12" ht="39.950000000000003" customHeight="1">
      <c r="C48"/>
      <c r="D48"/>
      <c r="E48"/>
      <c r="F48"/>
      <c r="G48"/>
      <c r="H48"/>
      <c r="I48"/>
      <c r="J48"/>
      <c r="K48"/>
      <c r="L48"/>
    </row>
    <row r="49" spans="3:12" ht="39.950000000000003" customHeight="1">
      <c r="C49"/>
      <c r="D49"/>
      <c r="E49"/>
      <c r="F49"/>
      <c r="G49"/>
      <c r="H49"/>
      <c r="I49"/>
      <c r="J49"/>
      <c r="K49"/>
      <c r="L49"/>
    </row>
    <row r="50" spans="3:12" ht="39.950000000000003" customHeight="1">
      <c r="C50"/>
      <c r="D50"/>
      <c r="E50"/>
      <c r="F50"/>
      <c r="G50"/>
      <c r="H50"/>
      <c r="I50"/>
      <c r="J50"/>
      <c r="K50"/>
      <c r="L50"/>
    </row>
    <row r="51" spans="3:12" ht="39.950000000000003" customHeight="1">
      <c r="C51"/>
      <c r="D51"/>
      <c r="E51"/>
      <c r="F51"/>
      <c r="G51"/>
      <c r="H51"/>
      <c r="I51"/>
      <c r="J51"/>
      <c r="K51"/>
      <c r="L51"/>
    </row>
    <row r="52" spans="3:12" ht="39.950000000000003" customHeight="1">
      <c r="C52"/>
      <c r="D52"/>
      <c r="E52"/>
      <c r="F52"/>
      <c r="G52"/>
      <c r="H52"/>
      <c r="I52"/>
      <c r="J52"/>
      <c r="K52"/>
      <c r="L52"/>
    </row>
    <row r="53" spans="3:12" ht="39.950000000000003" customHeight="1">
      <c r="C53"/>
      <c r="D53"/>
      <c r="E53"/>
      <c r="F53"/>
      <c r="G53"/>
      <c r="H53"/>
      <c r="I53"/>
      <c r="J53"/>
      <c r="K53"/>
      <c r="L53"/>
    </row>
    <row r="54" spans="3:12" ht="39.950000000000003" customHeight="1">
      <c r="C54"/>
      <c r="D54"/>
      <c r="E54"/>
      <c r="F54"/>
      <c r="G54"/>
      <c r="H54"/>
      <c r="I54"/>
      <c r="J54"/>
      <c r="K54"/>
      <c r="L54"/>
    </row>
    <row r="55" spans="3:12" ht="39.950000000000003" customHeight="1">
      <c r="C55"/>
      <c r="D55"/>
      <c r="E55"/>
      <c r="F55"/>
      <c r="G55"/>
      <c r="H55"/>
      <c r="I55"/>
      <c r="J55"/>
      <c r="K55"/>
      <c r="L55"/>
    </row>
    <row r="56" spans="3:12" ht="39.950000000000003" customHeight="1">
      <c r="C56"/>
      <c r="D56"/>
      <c r="E56"/>
      <c r="F56"/>
      <c r="G56"/>
      <c r="H56"/>
      <c r="I56"/>
      <c r="J56"/>
      <c r="K56"/>
      <c r="L56"/>
    </row>
    <row r="57" spans="3:12" ht="39.950000000000003" customHeight="1">
      <c r="C57"/>
      <c r="D57"/>
      <c r="E57"/>
      <c r="F57"/>
      <c r="G57"/>
      <c r="H57"/>
      <c r="I57"/>
      <c r="J57"/>
      <c r="K57"/>
      <c r="L57"/>
    </row>
    <row r="58" spans="3:12" ht="39.950000000000003" customHeight="1">
      <c r="C58"/>
      <c r="D58"/>
      <c r="E58"/>
      <c r="F58"/>
      <c r="G58"/>
      <c r="H58"/>
      <c r="I58"/>
      <c r="J58"/>
      <c r="K58"/>
      <c r="L58"/>
    </row>
    <row r="59" spans="3:12" ht="39.950000000000003" customHeight="1">
      <c r="C59"/>
      <c r="D59"/>
      <c r="E59"/>
      <c r="F59"/>
      <c r="G59"/>
      <c r="H59"/>
      <c r="I59"/>
      <c r="J59"/>
      <c r="K59"/>
      <c r="L59"/>
    </row>
    <row r="60" spans="3:12" ht="39.950000000000003" customHeight="1">
      <c r="C60"/>
      <c r="D60"/>
      <c r="E60"/>
      <c r="F60"/>
      <c r="G60"/>
      <c r="H60"/>
      <c r="I60"/>
      <c r="J60"/>
      <c r="K60"/>
      <c r="L60"/>
    </row>
    <row r="61" spans="3:12" ht="39.950000000000003" customHeight="1">
      <c r="C61"/>
      <c r="D61"/>
      <c r="E61"/>
      <c r="F61"/>
      <c r="G61"/>
      <c r="H61"/>
      <c r="I61"/>
      <c r="J61"/>
      <c r="K61"/>
      <c r="L61"/>
    </row>
    <row r="62" spans="3:12" ht="39.950000000000003" customHeight="1">
      <c r="C62"/>
      <c r="D62"/>
      <c r="E62"/>
      <c r="F62"/>
      <c r="G62"/>
      <c r="H62"/>
      <c r="I62"/>
      <c r="J62"/>
      <c r="K62"/>
      <c r="L62"/>
    </row>
    <row r="63" spans="3:12" ht="39.950000000000003" customHeight="1">
      <c r="C63"/>
      <c r="D63"/>
      <c r="E63"/>
      <c r="F63"/>
      <c r="G63"/>
      <c r="H63"/>
      <c r="I63"/>
      <c r="J63"/>
      <c r="K63"/>
      <c r="L63"/>
    </row>
    <row r="64" spans="3:12" ht="39.950000000000003" customHeight="1">
      <c r="C64"/>
      <c r="D64"/>
      <c r="E64"/>
      <c r="F64"/>
      <c r="G64"/>
      <c r="H64"/>
      <c r="I64"/>
      <c r="J64"/>
      <c r="K64"/>
      <c r="L64"/>
    </row>
    <row r="65" spans="3:12" ht="39.950000000000003" customHeight="1">
      <c r="C65"/>
      <c r="D65"/>
      <c r="E65"/>
      <c r="F65"/>
      <c r="G65"/>
      <c r="H65"/>
      <c r="I65"/>
      <c r="J65"/>
      <c r="K65"/>
      <c r="L65"/>
    </row>
    <row r="66" spans="3:12" ht="39.950000000000003" customHeight="1">
      <c r="C66"/>
      <c r="D66"/>
      <c r="E66"/>
      <c r="F66"/>
      <c r="G66"/>
      <c r="H66"/>
      <c r="I66"/>
      <c r="J66"/>
      <c r="K66"/>
      <c r="L66"/>
    </row>
    <row r="67" spans="3:12" ht="39.950000000000003" customHeight="1">
      <c r="C67"/>
      <c r="D67"/>
      <c r="E67"/>
      <c r="F67"/>
      <c r="G67"/>
      <c r="H67"/>
      <c r="I67"/>
      <c r="J67"/>
      <c r="K67"/>
      <c r="L67"/>
    </row>
    <row r="68" spans="3:12" ht="39.950000000000003" customHeight="1">
      <c r="C68"/>
      <c r="D68"/>
      <c r="E68"/>
      <c r="F68"/>
      <c r="G68"/>
      <c r="H68"/>
      <c r="I68"/>
      <c r="J68"/>
      <c r="K68"/>
      <c r="L68"/>
    </row>
    <row r="69" spans="3:12" ht="39.950000000000003" customHeight="1">
      <c r="C69"/>
      <c r="D69"/>
      <c r="E69"/>
      <c r="F69"/>
      <c r="G69"/>
      <c r="H69"/>
      <c r="I69"/>
      <c r="J69"/>
      <c r="K69"/>
      <c r="L69"/>
    </row>
    <row r="70" spans="3:12" ht="39.950000000000003" customHeight="1">
      <c r="C70"/>
      <c r="D70"/>
      <c r="E70"/>
      <c r="F70"/>
      <c r="G70"/>
      <c r="H70"/>
      <c r="I70"/>
      <c r="J70"/>
      <c r="K70"/>
      <c r="L70"/>
    </row>
    <row r="71" spans="3:12" ht="39.950000000000003" customHeight="1">
      <c r="C71"/>
      <c r="D71"/>
      <c r="E71"/>
      <c r="F71"/>
      <c r="G71"/>
      <c r="H71"/>
      <c r="I71"/>
      <c r="J71"/>
      <c r="K71"/>
      <c r="L71"/>
    </row>
    <row r="72" spans="3:12" ht="39.950000000000003" customHeight="1">
      <c r="C72"/>
      <c r="D72"/>
      <c r="E72"/>
      <c r="F72"/>
      <c r="G72"/>
      <c r="H72"/>
      <c r="I72"/>
      <c r="J72"/>
      <c r="K72"/>
      <c r="L72"/>
    </row>
    <row r="73" spans="3:12" ht="39.950000000000003" customHeight="1">
      <c r="C73"/>
      <c r="D73"/>
      <c r="E73"/>
      <c r="F73"/>
      <c r="G73"/>
      <c r="H73"/>
      <c r="I73"/>
      <c r="J73"/>
      <c r="K73"/>
      <c r="L73"/>
    </row>
    <row r="74" spans="3:12" ht="39.950000000000003" customHeight="1">
      <c r="C74"/>
      <c r="D74"/>
      <c r="E74"/>
      <c r="F74"/>
      <c r="G74"/>
      <c r="H74"/>
      <c r="I74"/>
      <c r="J74"/>
      <c r="K74"/>
      <c r="L74"/>
    </row>
    <row r="75" spans="3:12" ht="39.950000000000003" customHeight="1">
      <c r="C75"/>
      <c r="D75"/>
      <c r="E75"/>
      <c r="F75"/>
      <c r="G75"/>
      <c r="H75"/>
      <c r="I75"/>
      <c r="J75"/>
      <c r="K75"/>
      <c r="L75"/>
    </row>
    <row r="76" spans="3:12" ht="39.950000000000003" customHeight="1">
      <c r="C76"/>
      <c r="D76"/>
      <c r="E76"/>
      <c r="F76"/>
      <c r="G76"/>
      <c r="H76"/>
      <c r="I76"/>
      <c r="J76"/>
      <c r="K76"/>
      <c r="L76"/>
    </row>
    <row r="77" spans="3:12" ht="39.950000000000003" customHeight="1">
      <c r="C77"/>
      <c r="D77"/>
      <c r="E77"/>
      <c r="F77"/>
      <c r="G77"/>
      <c r="H77"/>
      <c r="I77"/>
      <c r="J77"/>
      <c r="K77"/>
      <c r="L77"/>
    </row>
    <row r="78" spans="3:12" ht="39.950000000000003" customHeight="1">
      <c r="C78"/>
      <c r="D78"/>
      <c r="E78"/>
      <c r="F78"/>
      <c r="G78"/>
      <c r="H78"/>
      <c r="I78"/>
      <c r="J78"/>
      <c r="K78"/>
      <c r="L78"/>
    </row>
    <row r="79" spans="3:12" ht="39.950000000000003" customHeight="1">
      <c r="C79"/>
      <c r="D79"/>
      <c r="E79"/>
      <c r="F79"/>
      <c r="G79"/>
      <c r="H79"/>
      <c r="I79"/>
      <c r="J79"/>
      <c r="K79"/>
      <c r="L79"/>
    </row>
    <row r="80" spans="3:12" ht="39.950000000000003" customHeight="1">
      <c r="C80"/>
      <c r="D80"/>
      <c r="E80"/>
      <c r="F80"/>
      <c r="G80"/>
      <c r="H80"/>
      <c r="I80"/>
      <c r="J80"/>
      <c r="K80"/>
      <c r="L80"/>
    </row>
    <row r="81" spans="3:12" ht="39.950000000000003" customHeight="1">
      <c r="C81"/>
      <c r="D81"/>
      <c r="E81"/>
      <c r="F81"/>
      <c r="G81"/>
      <c r="H81"/>
      <c r="I81"/>
      <c r="J81"/>
      <c r="K81"/>
      <c r="L81"/>
    </row>
    <row r="82" spans="3:12" ht="39.950000000000003" customHeight="1">
      <c r="C82"/>
      <c r="D82"/>
      <c r="E82"/>
      <c r="F82"/>
      <c r="G82"/>
      <c r="H82"/>
      <c r="I82"/>
      <c r="J82"/>
      <c r="K82"/>
      <c r="L82"/>
    </row>
    <row r="83" spans="3:12" ht="39.950000000000003" customHeight="1">
      <c r="C83"/>
      <c r="D83"/>
      <c r="E83"/>
      <c r="F83"/>
      <c r="G83"/>
      <c r="H83"/>
      <c r="I83"/>
      <c r="J83"/>
      <c r="K83"/>
      <c r="L83"/>
    </row>
    <row r="84" spans="3:12" ht="39.950000000000003" customHeight="1">
      <c r="C84"/>
      <c r="D84"/>
      <c r="E84"/>
      <c r="F84"/>
      <c r="G84"/>
      <c r="H84"/>
      <c r="I84"/>
      <c r="J84"/>
      <c r="K84"/>
      <c r="L84"/>
    </row>
    <row r="85" spans="3:12" ht="39.950000000000003" customHeight="1">
      <c r="C85"/>
      <c r="D85"/>
      <c r="E85"/>
      <c r="F85"/>
      <c r="G85"/>
      <c r="H85"/>
      <c r="I85"/>
      <c r="J85"/>
      <c r="K85"/>
      <c r="L85"/>
    </row>
    <row r="86" spans="3:12" ht="39.950000000000003" customHeight="1">
      <c r="C86"/>
      <c r="D86"/>
      <c r="E86"/>
      <c r="F86"/>
      <c r="G86"/>
      <c r="H86"/>
      <c r="I86"/>
      <c r="J86"/>
      <c r="K86"/>
      <c r="L86"/>
    </row>
    <row r="87" spans="3:12" ht="39.950000000000003" customHeight="1">
      <c r="C87"/>
      <c r="D87"/>
      <c r="E87"/>
      <c r="F87"/>
      <c r="G87"/>
      <c r="H87"/>
      <c r="I87"/>
      <c r="J87"/>
      <c r="K87"/>
      <c r="L87"/>
    </row>
    <row r="88" spans="3:12" ht="39.950000000000003" customHeight="1">
      <c r="C88"/>
      <c r="D88"/>
      <c r="E88"/>
      <c r="F88"/>
      <c r="G88"/>
      <c r="H88"/>
      <c r="I88"/>
      <c r="J88"/>
      <c r="K88"/>
      <c r="L88"/>
    </row>
    <row r="89" spans="3:12" ht="39.950000000000003" customHeight="1">
      <c r="C89"/>
      <c r="D89"/>
      <c r="E89"/>
      <c r="F89"/>
      <c r="G89"/>
      <c r="H89"/>
      <c r="I89"/>
      <c r="J89"/>
      <c r="K89"/>
      <c r="L89"/>
    </row>
    <row r="90" spans="3:12" ht="39.950000000000003" customHeight="1">
      <c r="C90"/>
      <c r="D90"/>
      <c r="E90"/>
      <c r="F90"/>
      <c r="G90"/>
      <c r="H90"/>
      <c r="I90"/>
      <c r="J90"/>
      <c r="K90"/>
      <c r="L90"/>
    </row>
    <row r="91" spans="3:12" ht="39.950000000000003" customHeight="1">
      <c r="C91"/>
      <c r="D91"/>
      <c r="E91"/>
      <c r="F91"/>
      <c r="G91"/>
      <c r="H91"/>
      <c r="I91"/>
      <c r="J91"/>
      <c r="K91"/>
      <c r="L91"/>
    </row>
    <row r="92" spans="3:12" ht="39.950000000000003" customHeight="1">
      <c r="C92"/>
      <c r="D92"/>
      <c r="E92"/>
      <c r="F92"/>
      <c r="G92"/>
      <c r="H92"/>
      <c r="I92"/>
      <c r="J92"/>
      <c r="K92"/>
      <c r="L92"/>
    </row>
    <row r="93" spans="3:12" ht="39.950000000000003" customHeight="1">
      <c r="C93"/>
      <c r="D93"/>
      <c r="E93"/>
      <c r="F93"/>
      <c r="G93"/>
      <c r="H93"/>
      <c r="I93"/>
      <c r="J93"/>
      <c r="K93"/>
      <c r="L93"/>
    </row>
    <row r="94" spans="3:12" ht="39.950000000000003" customHeight="1">
      <c r="C94"/>
      <c r="D94"/>
      <c r="E94"/>
      <c r="F94"/>
      <c r="G94"/>
      <c r="H94"/>
      <c r="I94"/>
      <c r="J94"/>
      <c r="K94"/>
      <c r="L94"/>
    </row>
    <row r="95" spans="3:12" ht="39.950000000000003" customHeight="1">
      <c r="C95"/>
      <c r="D95"/>
      <c r="E95"/>
      <c r="F95"/>
      <c r="G95"/>
      <c r="H95"/>
      <c r="I95"/>
      <c r="J95"/>
      <c r="K95"/>
      <c r="L95"/>
    </row>
    <row r="96" spans="3:12" ht="39.950000000000003" customHeight="1">
      <c r="C96"/>
      <c r="D96"/>
      <c r="E96"/>
      <c r="F96"/>
      <c r="G96"/>
      <c r="H96"/>
      <c r="I96"/>
      <c r="J96"/>
      <c r="K96"/>
      <c r="L96"/>
    </row>
    <row r="97" spans="3:12" ht="39.950000000000003" customHeight="1">
      <c r="C97"/>
      <c r="D97"/>
      <c r="E97"/>
      <c r="F97"/>
      <c r="G97"/>
      <c r="H97"/>
      <c r="I97"/>
      <c r="J97"/>
      <c r="K97"/>
      <c r="L97"/>
    </row>
    <row r="98" spans="3:12" ht="39.950000000000003" customHeight="1">
      <c r="C98"/>
      <c r="D98"/>
      <c r="E98"/>
      <c r="F98"/>
      <c r="G98"/>
      <c r="H98"/>
      <c r="I98"/>
      <c r="J98"/>
      <c r="K98"/>
      <c r="L98"/>
    </row>
    <row r="99" spans="3:12" ht="39.950000000000003" customHeight="1">
      <c r="C99"/>
      <c r="D99"/>
      <c r="E99"/>
      <c r="F99"/>
      <c r="G99"/>
      <c r="H99"/>
      <c r="I99"/>
      <c r="J99"/>
      <c r="K99"/>
      <c r="L99"/>
    </row>
    <row r="100" spans="3:12" ht="39.950000000000003" customHeight="1">
      <c r="C100"/>
      <c r="D100"/>
      <c r="E100"/>
      <c r="F100"/>
      <c r="G100"/>
      <c r="H100"/>
      <c r="I100"/>
      <c r="J100"/>
      <c r="K100"/>
      <c r="L100"/>
    </row>
    <row r="101" spans="3:12" ht="39.950000000000003" customHeight="1">
      <c r="C101"/>
      <c r="D101"/>
      <c r="E101"/>
      <c r="F101"/>
      <c r="G101"/>
      <c r="H101"/>
      <c r="I101"/>
      <c r="J101"/>
      <c r="K101"/>
      <c r="L101"/>
    </row>
    <row r="102" spans="3:12" ht="39.950000000000003" customHeight="1">
      <c r="C102"/>
      <c r="D102"/>
      <c r="E102"/>
      <c r="F102"/>
      <c r="G102"/>
      <c r="H102"/>
      <c r="I102"/>
      <c r="J102"/>
      <c r="K102"/>
      <c r="L102"/>
    </row>
    <row r="103" spans="3:12" ht="39.950000000000003" customHeight="1">
      <c r="C103"/>
      <c r="D103"/>
      <c r="E103"/>
      <c r="F103"/>
      <c r="G103"/>
      <c r="H103"/>
      <c r="I103"/>
      <c r="J103"/>
      <c r="K103"/>
      <c r="L103"/>
    </row>
    <row r="104" spans="3:12" ht="39.950000000000003" customHeight="1">
      <c r="C104"/>
      <c r="D104"/>
      <c r="E104"/>
      <c r="F104"/>
      <c r="G104"/>
      <c r="H104"/>
      <c r="I104"/>
      <c r="J104"/>
      <c r="K104"/>
      <c r="L104"/>
    </row>
    <row r="105" spans="3:12" ht="39.950000000000003" customHeight="1">
      <c r="C105"/>
      <c r="D105"/>
      <c r="E105"/>
      <c r="F105"/>
      <c r="G105"/>
      <c r="H105"/>
      <c r="I105"/>
      <c r="J105"/>
      <c r="K105"/>
      <c r="L105"/>
    </row>
    <row r="106" spans="3:12" ht="39.950000000000003" customHeight="1">
      <c r="C106"/>
      <c r="D106"/>
      <c r="E106"/>
      <c r="F106"/>
      <c r="G106"/>
      <c r="H106"/>
      <c r="I106"/>
      <c r="J106"/>
      <c r="K106"/>
      <c r="L106"/>
    </row>
    <row r="107" spans="3:12" ht="39.950000000000003" customHeight="1">
      <c r="C107"/>
      <c r="D107"/>
      <c r="E107"/>
      <c r="F107"/>
      <c r="G107"/>
      <c r="H107"/>
      <c r="I107"/>
      <c r="J107"/>
      <c r="K107"/>
      <c r="L107"/>
    </row>
    <row r="108" spans="3:12" ht="39.950000000000003" customHeight="1">
      <c r="C108"/>
      <c r="D108"/>
      <c r="E108"/>
      <c r="F108"/>
      <c r="G108"/>
      <c r="H108"/>
      <c r="I108"/>
      <c r="J108"/>
      <c r="K108"/>
      <c r="L108"/>
    </row>
    <row r="109" spans="3:12" ht="39.950000000000003" customHeight="1">
      <c r="C109"/>
      <c r="D109"/>
      <c r="E109"/>
      <c r="F109"/>
      <c r="G109"/>
      <c r="H109"/>
      <c r="I109"/>
      <c r="J109"/>
      <c r="K109"/>
      <c r="L109"/>
    </row>
    <row r="110" spans="3:12" ht="39.950000000000003" customHeight="1">
      <c r="C110"/>
      <c r="D110"/>
      <c r="E110"/>
      <c r="F110"/>
      <c r="G110"/>
      <c r="H110"/>
      <c r="I110"/>
      <c r="J110"/>
      <c r="K110"/>
      <c r="L110"/>
    </row>
    <row r="111" spans="3:12" ht="39.950000000000003" customHeight="1">
      <c r="C111"/>
      <c r="D111"/>
      <c r="E111"/>
      <c r="F111"/>
      <c r="G111"/>
      <c r="H111"/>
      <c r="I111"/>
      <c r="J111"/>
      <c r="K111"/>
      <c r="L111"/>
    </row>
    <row r="112" spans="3:12" ht="39.950000000000003" customHeight="1">
      <c r="C112"/>
      <c r="D112"/>
      <c r="E112"/>
      <c r="F112"/>
      <c r="G112"/>
      <c r="H112"/>
      <c r="I112"/>
      <c r="J112"/>
      <c r="K112"/>
      <c r="L112"/>
    </row>
    <row r="113" spans="3:12" ht="39.950000000000003" customHeight="1">
      <c r="C113"/>
      <c r="D113"/>
      <c r="E113"/>
      <c r="F113"/>
      <c r="G113"/>
      <c r="H113"/>
      <c r="I113"/>
      <c r="J113"/>
      <c r="K113"/>
      <c r="L113"/>
    </row>
    <row r="114" spans="3:12" ht="39.950000000000003" customHeight="1">
      <c r="C114"/>
      <c r="D114"/>
      <c r="E114"/>
      <c r="F114"/>
      <c r="G114"/>
      <c r="H114"/>
      <c r="I114"/>
      <c r="J114"/>
      <c r="K114"/>
      <c r="L114"/>
    </row>
    <row r="115" spans="3:12" ht="39.950000000000003" customHeight="1">
      <c r="C115"/>
      <c r="D115"/>
      <c r="E115"/>
      <c r="F115"/>
      <c r="G115"/>
      <c r="H115"/>
      <c r="I115"/>
      <c r="J115"/>
      <c r="K115"/>
      <c r="L115"/>
    </row>
    <row r="116" spans="3:12" ht="39.950000000000003" customHeight="1">
      <c r="C116"/>
      <c r="D116"/>
      <c r="E116"/>
      <c r="F116"/>
      <c r="G116"/>
      <c r="H116"/>
      <c r="I116"/>
      <c r="J116"/>
      <c r="K116"/>
      <c r="L116"/>
    </row>
    <row r="117" spans="3:12" ht="39.950000000000003" customHeight="1">
      <c r="C117"/>
      <c r="D117"/>
      <c r="E117"/>
      <c r="F117"/>
      <c r="G117"/>
      <c r="H117"/>
      <c r="I117"/>
      <c r="J117"/>
      <c r="K117"/>
      <c r="L117"/>
    </row>
    <row r="118" spans="3:12" ht="39.950000000000003" customHeight="1">
      <c r="C118"/>
      <c r="D118"/>
      <c r="E118"/>
      <c r="F118"/>
      <c r="G118"/>
      <c r="H118"/>
      <c r="I118"/>
      <c r="J118"/>
      <c r="K118"/>
      <c r="L118"/>
    </row>
    <row r="119" spans="3:12" ht="39.950000000000003" customHeight="1">
      <c r="C119"/>
      <c r="D119"/>
      <c r="E119"/>
      <c r="F119"/>
      <c r="G119"/>
      <c r="H119"/>
      <c r="I119"/>
      <c r="J119"/>
      <c r="K119"/>
      <c r="L119"/>
    </row>
    <row r="120" spans="3:12" ht="39.950000000000003" customHeight="1">
      <c r="C120"/>
      <c r="D120"/>
      <c r="E120"/>
      <c r="F120"/>
      <c r="G120"/>
      <c r="H120"/>
      <c r="I120"/>
      <c r="J120"/>
      <c r="K120"/>
      <c r="L120"/>
    </row>
    <row r="121" spans="3:12" ht="39.950000000000003" customHeight="1">
      <c r="C121"/>
      <c r="D121"/>
      <c r="E121"/>
      <c r="F121"/>
      <c r="G121"/>
      <c r="H121"/>
      <c r="I121"/>
      <c r="J121"/>
      <c r="K121"/>
      <c r="L121"/>
    </row>
    <row r="122" spans="3:12" ht="39.950000000000003" customHeight="1">
      <c r="C122"/>
      <c r="D122"/>
      <c r="E122"/>
      <c r="F122"/>
      <c r="G122"/>
      <c r="H122"/>
      <c r="I122"/>
      <c r="J122"/>
      <c r="K122"/>
      <c r="L122"/>
    </row>
    <row r="123" spans="3:12" ht="39.950000000000003" customHeight="1">
      <c r="C123"/>
      <c r="D123"/>
      <c r="E123"/>
      <c r="F123"/>
      <c r="G123"/>
      <c r="H123"/>
      <c r="I123"/>
      <c r="J123"/>
      <c r="K123"/>
      <c r="L123"/>
    </row>
    <row r="124" spans="3:12" ht="39.950000000000003" customHeight="1">
      <c r="C124"/>
      <c r="D124"/>
      <c r="E124"/>
      <c r="F124"/>
      <c r="G124"/>
      <c r="H124"/>
      <c r="I124"/>
      <c r="J124"/>
      <c r="K124"/>
      <c r="L124"/>
    </row>
    <row r="125" spans="3:12" ht="39.950000000000003" customHeight="1">
      <c r="C125"/>
      <c r="D125"/>
      <c r="E125"/>
      <c r="F125"/>
      <c r="G125"/>
      <c r="H125"/>
      <c r="I125"/>
      <c r="J125"/>
      <c r="K125"/>
      <c r="L125"/>
    </row>
    <row r="126" spans="3:12" ht="39.950000000000003" customHeight="1">
      <c r="C126"/>
      <c r="D126"/>
      <c r="E126"/>
      <c r="F126"/>
      <c r="G126"/>
      <c r="H126"/>
      <c r="I126"/>
      <c r="J126"/>
      <c r="K126"/>
      <c r="L126"/>
    </row>
    <row r="127" spans="3:12" ht="39.950000000000003" customHeight="1">
      <c r="C127"/>
      <c r="D127"/>
      <c r="E127"/>
      <c r="F127"/>
      <c r="G127"/>
      <c r="H127"/>
      <c r="I127"/>
      <c r="J127"/>
      <c r="K127"/>
      <c r="L127"/>
    </row>
    <row r="128" spans="3:12" ht="39.950000000000003" customHeight="1">
      <c r="C128"/>
      <c r="D128"/>
      <c r="E128"/>
      <c r="F128"/>
      <c r="G128"/>
      <c r="H128"/>
      <c r="I128"/>
      <c r="J128"/>
      <c r="K128"/>
      <c r="L128"/>
    </row>
    <row r="129" spans="3:12" ht="39.950000000000003" customHeight="1">
      <c r="C129"/>
      <c r="D129"/>
      <c r="E129"/>
      <c r="F129"/>
      <c r="G129"/>
      <c r="H129"/>
      <c r="I129"/>
      <c r="J129"/>
      <c r="K129"/>
      <c r="L129"/>
    </row>
    <row r="130" spans="3:12" ht="39.950000000000003" customHeight="1">
      <c r="C130"/>
      <c r="D130"/>
      <c r="E130"/>
      <c r="F130"/>
      <c r="G130"/>
      <c r="H130"/>
      <c r="I130"/>
      <c r="J130"/>
      <c r="K130"/>
      <c r="L130"/>
    </row>
    <row r="131" spans="3:12" ht="39.950000000000003" customHeight="1">
      <c r="C131"/>
      <c r="D131"/>
      <c r="E131"/>
      <c r="F131"/>
      <c r="G131"/>
      <c r="H131"/>
      <c r="I131"/>
      <c r="J131"/>
      <c r="K131"/>
      <c r="L131"/>
    </row>
    <row r="132" spans="3:12" ht="39.950000000000003" customHeight="1">
      <c r="C132"/>
      <c r="D132"/>
      <c r="E132"/>
      <c r="F132"/>
      <c r="G132"/>
      <c r="H132"/>
      <c r="I132"/>
      <c r="J132"/>
      <c r="K132"/>
      <c r="L132"/>
    </row>
    <row r="133" spans="3:12" ht="39.950000000000003" customHeight="1">
      <c r="C133"/>
      <c r="D133"/>
      <c r="E133"/>
      <c r="F133"/>
      <c r="G133"/>
      <c r="H133"/>
      <c r="I133"/>
      <c r="J133"/>
      <c r="K133"/>
      <c r="L133"/>
    </row>
    <row r="134" spans="3:12" ht="39.950000000000003" customHeight="1">
      <c r="C134"/>
      <c r="D134"/>
      <c r="E134"/>
      <c r="F134"/>
      <c r="G134"/>
      <c r="H134"/>
      <c r="I134"/>
      <c r="J134"/>
      <c r="K134"/>
      <c r="L134"/>
    </row>
    <row r="135" spans="3:12" ht="39.950000000000003" customHeight="1">
      <c r="C135"/>
      <c r="D135"/>
      <c r="E135"/>
      <c r="F135"/>
      <c r="G135"/>
      <c r="H135"/>
      <c r="I135"/>
      <c r="J135"/>
      <c r="K135"/>
      <c r="L135"/>
    </row>
    <row r="136" spans="3:12" ht="39.950000000000003" customHeight="1">
      <c r="C136"/>
      <c r="D136"/>
      <c r="E136"/>
      <c r="F136"/>
      <c r="G136"/>
      <c r="H136"/>
      <c r="I136"/>
      <c r="J136"/>
      <c r="K136"/>
      <c r="L136"/>
    </row>
    <row r="137" spans="3:12" ht="39.950000000000003" customHeight="1">
      <c r="C137"/>
      <c r="D137"/>
      <c r="E137"/>
      <c r="F137"/>
      <c r="G137"/>
      <c r="H137"/>
      <c r="I137"/>
      <c r="J137"/>
      <c r="K137"/>
      <c r="L137"/>
    </row>
    <row r="138" spans="3:12" ht="39.950000000000003" customHeight="1">
      <c r="C138"/>
      <c r="D138"/>
      <c r="E138"/>
      <c r="F138"/>
      <c r="G138"/>
      <c r="H138"/>
      <c r="I138"/>
      <c r="J138"/>
      <c r="K138"/>
      <c r="L138"/>
    </row>
    <row r="139" spans="3:12" ht="39.950000000000003" customHeight="1">
      <c r="C139"/>
      <c r="D139"/>
      <c r="E139"/>
      <c r="F139"/>
      <c r="G139"/>
      <c r="H139"/>
      <c r="I139"/>
      <c r="J139"/>
      <c r="K139"/>
      <c r="L139"/>
    </row>
    <row r="140" spans="3:12" ht="39.950000000000003" customHeight="1">
      <c r="C140"/>
      <c r="D140"/>
      <c r="E140"/>
      <c r="F140"/>
      <c r="G140"/>
      <c r="H140"/>
      <c r="I140"/>
      <c r="J140"/>
      <c r="K140"/>
      <c r="L140"/>
    </row>
    <row r="141" spans="3:12" ht="39.950000000000003" customHeight="1">
      <c r="C141"/>
      <c r="D141"/>
      <c r="E141"/>
      <c r="F141"/>
      <c r="G141"/>
      <c r="H141"/>
      <c r="I141"/>
      <c r="J141"/>
      <c r="K141"/>
      <c r="L141"/>
    </row>
    <row r="142" spans="3:12" ht="39.950000000000003" customHeight="1">
      <c r="C142"/>
      <c r="D142"/>
      <c r="E142"/>
      <c r="F142"/>
      <c r="G142"/>
      <c r="H142"/>
      <c r="I142"/>
      <c r="J142"/>
      <c r="K142"/>
      <c r="L142"/>
    </row>
    <row r="143" spans="3:12" ht="39.950000000000003" customHeight="1">
      <c r="C143"/>
      <c r="D143"/>
      <c r="E143"/>
      <c r="F143"/>
      <c r="G143"/>
      <c r="H143"/>
      <c r="I143"/>
      <c r="J143"/>
      <c r="K143"/>
      <c r="L143"/>
    </row>
    <row r="144" spans="3:12" ht="39.950000000000003" customHeight="1">
      <c r="C144"/>
      <c r="D144"/>
      <c r="E144"/>
      <c r="F144"/>
      <c r="G144"/>
      <c r="H144"/>
      <c r="I144"/>
      <c r="J144"/>
      <c r="K144"/>
      <c r="L144"/>
    </row>
    <row r="145" spans="3:12" ht="39.950000000000003" customHeight="1">
      <c r="C145"/>
      <c r="D145"/>
      <c r="E145"/>
      <c r="F145"/>
      <c r="G145"/>
      <c r="H145"/>
      <c r="I145"/>
      <c r="J145"/>
      <c r="K145"/>
      <c r="L145"/>
    </row>
    <row r="146" spans="3:12" ht="39.950000000000003" customHeight="1">
      <c r="C146"/>
      <c r="D146"/>
      <c r="E146"/>
      <c r="F146"/>
      <c r="G146"/>
      <c r="H146"/>
      <c r="I146"/>
      <c r="J146"/>
      <c r="K146"/>
      <c r="L146"/>
    </row>
    <row r="147" spans="3:12" ht="39.950000000000003" customHeight="1">
      <c r="C147"/>
      <c r="D147"/>
      <c r="E147"/>
      <c r="F147"/>
      <c r="G147"/>
      <c r="H147"/>
      <c r="I147"/>
      <c r="J147"/>
      <c r="K147"/>
      <c r="L147"/>
    </row>
    <row r="148" spans="3:12" ht="39.950000000000003" customHeight="1">
      <c r="C148"/>
      <c r="D148"/>
      <c r="E148"/>
      <c r="F148"/>
      <c r="G148"/>
      <c r="H148"/>
      <c r="I148"/>
      <c r="J148"/>
      <c r="K148"/>
      <c r="L148"/>
    </row>
    <row r="149" spans="3:12" ht="39.950000000000003" customHeight="1">
      <c r="C149"/>
      <c r="D149"/>
      <c r="E149"/>
      <c r="F149"/>
      <c r="G149"/>
      <c r="H149"/>
      <c r="I149"/>
      <c r="J149"/>
      <c r="K149"/>
      <c r="L149"/>
    </row>
    <row r="150" spans="3:12" ht="39.950000000000003" customHeight="1">
      <c r="C150"/>
      <c r="D150"/>
      <c r="E150"/>
      <c r="F150"/>
      <c r="G150"/>
      <c r="H150"/>
      <c r="I150"/>
      <c r="J150"/>
      <c r="K150"/>
      <c r="L150"/>
    </row>
    <row r="151" spans="3:12" ht="39.950000000000003" customHeight="1">
      <c r="C151"/>
      <c r="D151"/>
      <c r="E151"/>
      <c r="F151"/>
      <c r="G151"/>
      <c r="H151"/>
      <c r="I151"/>
      <c r="J151"/>
      <c r="K151"/>
      <c r="L151"/>
    </row>
    <row r="152" spans="3:12" ht="39.950000000000003" customHeight="1">
      <c r="C152"/>
      <c r="D152"/>
      <c r="E152"/>
      <c r="F152"/>
      <c r="G152"/>
      <c r="H152"/>
      <c r="I152"/>
      <c r="J152"/>
      <c r="K152"/>
      <c r="L152"/>
    </row>
    <row r="153" spans="3:12" ht="39.950000000000003" customHeight="1">
      <c r="C153"/>
      <c r="D153"/>
      <c r="E153"/>
      <c r="F153"/>
      <c r="G153"/>
      <c r="H153"/>
      <c r="I153"/>
      <c r="J153"/>
      <c r="K153"/>
      <c r="L153"/>
    </row>
    <row r="154" spans="3:12" ht="39.950000000000003" customHeight="1">
      <c r="C154"/>
      <c r="D154"/>
      <c r="E154"/>
      <c r="F154"/>
      <c r="G154"/>
      <c r="H154"/>
      <c r="I154"/>
      <c r="J154"/>
      <c r="K154"/>
      <c r="L154"/>
    </row>
    <row r="155" spans="3:12" ht="39.950000000000003" customHeight="1">
      <c r="C155"/>
      <c r="D155"/>
      <c r="E155"/>
      <c r="F155"/>
      <c r="G155"/>
      <c r="H155"/>
      <c r="I155"/>
      <c r="J155"/>
      <c r="K155"/>
      <c r="L155"/>
    </row>
    <row r="156" spans="3:12" ht="39.950000000000003" customHeight="1">
      <c r="C156"/>
      <c r="D156"/>
      <c r="E156"/>
      <c r="F156"/>
      <c r="G156"/>
      <c r="H156"/>
      <c r="I156"/>
      <c r="J156"/>
      <c r="K156"/>
      <c r="L156"/>
    </row>
    <row r="157" spans="3:12" ht="39.950000000000003" customHeight="1">
      <c r="C157"/>
      <c r="D157"/>
      <c r="E157"/>
      <c r="F157"/>
      <c r="G157"/>
      <c r="H157"/>
      <c r="I157"/>
      <c r="J157"/>
      <c r="K157"/>
      <c r="L157"/>
    </row>
    <row r="158" spans="3:12" ht="39.950000000000003" customHeight="1">
      <c r="C158"/>
      <c r="D158"/>
      <c r="E158"/>
      <c r="F158"/>
      <c r="G158"/>
      <c r="H158"/>
      <c r="I158"/>
      <c r="J158"/>
      <c r="K158"/>
      <c r="L158"/>
    </row>
    <row r="159" spans="3:12" ht="39.950000000000003" customHeight="1">
      <c r="C159"/>
      <c r="D159"/>
      <c r="E159"/>
      <c r="F159"/>
      <c r="G159"/>
      <c r="H159"/>
      <c r="I159"/>
      <c r="J159"/>
      <c r="K159"/>
      <c r="L159"/>
    </row>
    <row r="160" spans="3:12" ht="39.950000000000003" customHeight="1">
      <c r="C160"/>
      <c r="D160"/>
      <c r="E160"/>
      <c r="F160"/>
      <c r="G160"/>
      <c r="H160"/>
      <c r="I160"/>
      <c r="J160"/>
      <c r="K160"/>
      <c r="L160"/>
    </row>
    <row r="161" spans="3:12" ht="39.950000000000003" customHeight="1">
      <c r="C161"/>
      <c r="D161"/>
      <c r="E161"/>
      <c r="F161"/>
      <c r="G161"/>
      <c r="H161"/>
      <c r="I161"/>
      <c r="J161"/>
      <c r="K161"/>
      <c r="L161"/>
    </row>
    <row r="162" spans="3:12" ht="39.950000000000003" customHeight="1">
      <c r="C162"/>
      <c r="D162"/>
      <c r="E162"/>
      <c r="F162"/>
      <c r="G162"/>
      <c r="H162"/>
      <c r="I162"/>
      <c r="J162"/>
      <c r="K162"/>
      <c r="L162"/>
    </row>
    <row r="163" spans="3:12" ht="39.950000000000003" customHeight="1">
      <c r="C163"/>
      <c r="D163"/>
      <c r="E163"/>
      <c r="F163"/>
      <c r="G163"/>
      <c r="H163"/>
      <c r="I163"/>
      <c r="J163"/>
      <c r="K163"/>
      <c r="L163"/>
    </row>
    <row r="164" spans="3:12" ht="39.950000000000003" customHeight="1">
      <c r="C164"/>
      <c r="D164"/>
      <c r="E164"/>
      <c r="F164"/>
      <c r="G164"/>
      <c r="H164"/>
      <c r="I164"/>
      <c r="J164"/>
      <c r="K164"/>
      <c r="L164"/>
    </row>
    <row r="165" spans="3:12" ht="39.950000000000003" customHeight="1">
      <c r="C165"/>
      <c r="D165"/>
      <c r="E165"/>
      <c r="F165"/>
      <c r="G165"/>
      <c r="H165"/>
      <c r="I165"/>
      <c r="J165"/>
      <c r="K165"/>
      <c r="L165"/>
    </row>
    <row r="166" spans="3:12" ht="39.950000000000003" customHeight="1">
      <c r="C166"/>
      <c r="D166"/>
      <c r="E166"/>
      <c r="F166"/>
      <c r="G166"/>
      <c r="H166"/>
      <c r="I166"/>
      <c r="J166"/>
      <c r="K166"/>
      <c r="L166"/>
    </row>
    <row r="167" spans="3:12" ht="39.950000000000003" customHeight="1">
      <c r="C167"/>
      <c r="D167"/>
      <c r="E167"/>
      <c r="F167"/>
      <c r="G167"/>
      <c r="H167"/>
      <c r="I167"/>
      <c r="J167"/>
      <c r="K167"/>
      <c r="L167"/>
    </row>
    <row r="168" spans="3:12" ht="39.950000000000003" customHeight="1">
      <c r="C168"/>
      <c r="D168"/>
      <c r="E168"/>
      <c r="F168"/>
      <c r="G168"/>
      <c r="H168"/>
      <c r="I168"/>
      <c r="J168"/>
      <c r="K168"/>
      <c r="L168"/>
    </row>
    <row r="169" spans="3:12" ht="39.950000000000003" customHeight="1">
      <c r="C169"/>
      <c r="D169"/>
      <c r="E169"/>
      <c r="F169"/>
      <c r="G169"/>
      <c r="H169"/>
      <c r="I169"/>
      <c r="J169"/>
      <c r="K169"/>
      <c r="L169"/>
    </row>
    <row r="170" spans="3:12" ht="39.950000000000003" customHeight="1">
      <c r="C170"/>
      <c r="D170"/>
      <c r="E170"/>
      <c r="F170"/>
      <c r="G170"/>
      <c r="H170"/>
      <c r="I170"/>
      <c r="J170"/>
      <c r="K170"/>
      <c r="L170"/>
    </row>
    <row r="171" spans="3:12" ht="39.950000000000003" customHeight="1">
      <c r="C171"/>
      <c r="D171"/>
      <c r="E171"/>
      <c r="F171"/>
      <c r="G171"/>
      <c r="H171"/>
      <c r="I171"/>
      <c r="J171"/>
      <c r="K171"/>
      <c r="L171"/>
    </row>
    <row r="172" spans="3:12" ht="39.950000000000003" customHeight="1">
      <c r="C172"/>
      <c r="D172"/>
      <c r="E172"/>
      <c r="F172"/>
      <c r="G172"/>
      <c r="H172"/>
      <c r="I172"/>
      <c r="J172"/>
      <c r="K172"/>
      <c r="L172"/>
    </row>
    <row r="173" spans="3:12" ht="39.950000000000003" customHeight="1">
      <c r="C173"/>
      <c r="D173"/>
      <c r="E173"/>
      <c r="F173"/>
      <c r="G173"/>
      <c r="H173"/>
      <c r="I173"/>
      <c r="J173"/>
      <c r="K173"/>
      <c r="L173"/>
    </row>
    <row r="174" spans="3:12" ht="39.950000000000003" customHeight="1">
      <c r="C174"/>
      <c r="D174"/>
      <c r="E174"/>
      <c r="F174"/>
      <c r="G174"/>
      <c r="H174"/>
      <c r="I174"/>
      <c r="J174"/>
      <c r="K174"/>
      <c r="L174"/>
    </row>
    <row r="175" spans="3:12" ht="39.950000000000003" customHeight="1">
      <c r="C175"/>
      <c r="D175"/>
      <c r="E175"/>
      <c r="F175"/>
      <c r="G175"/>
      <c r="H175"/>
      <c r="I175"/>
      <c r="J175"/>
      <c r="K175"/>
      <c r="L175"/>
    </row>
    <row r="176" spans="3:12" ht="39.950000000000003" customHeight="1">
      <c r="C176"/>
      <c r="D176"/>
      <c r="E176"/>
      <c r="F176"/>
      <c r="G176"/>
      <c r="H176"/>
      <c r="I176"/>
      <c r="J176"/>
      <c r="K176"/>
      <c r="L176"/>
    </row>
    <row r="177" spans="3:12" ht="39.950000000000003" customHeight="1">
      <c r="C177"/>
      <c r="D177"/>
      <c r="E177"/>
      <c r="F177"/>
      <c r="G177"/>
      <c r="H177"/>
      <c r="I177"/>
      <c r="J177"/>
      <c r="K177"/>
      <c r="L177"/>
    </row>
    <row r="178" spans="3:12" ht="39.950000000000003" customHeight="1">
      <c r="C178"/>
      <c r="D178"/>
      <c r="E178"/>
      <c r="F178"/>
      <c r="G178"/>
      <c r="H178"/>
      <c r="I178"/>
      <c r="J178"/>
      <c r="K178"/>
      <c r="L178"/>
    </row>
    <row r="179" spans="3:12" ht="39.950000000000003" customHeight="1">
      <c r="C179"/>
      <c r="D179"/>
      <c r="E179"/>
      <c r="F179"/>
      <c r="G179"/>
      <c r="H179"/>
      <c r="I179"/>
      <c r="J179"/>
      <c r="K179"/>
      <c r="L179"/>
    </row>
    <row r="180" spans="3:12" ht="39.950000000000003" customHeight="1">
      <c r="C180"/>
      <c r="D180"/>
      <c r="E180"/>
      <c r="F180"/>
      <c r="G180"/>
      <c r="H180"/>
      <c r="I180"/>
      <c r="J180"/>
      <c r="K180"/>
      <c r="L180"/>
    </row>
    <row r="181" spans="3:12" ht="39.950000000000003" customHeight="1">
      <c r="C181"/>
      <c r="D181"/>
      <c r="E181"/>
      <c r="F181"/>
      <c r="G181"/>
      <c r="H181"/>
      <c r="I181"/>
      <c r="J181"/>
      <c r="K181"/>
      <c r="L181"/>
    </row>
    <row r="182" spans="3:12" ht="39.950000000000003" customHeight="1">
      <c r="C182"/>
      <c r="D182"/>
      <c r="E182"/>
      <c r="F182"/>
      <c r="G182"/>
      <c r="H182"/>
      <c r="I182"/>
      <c r="J182"/>
      <c r="K182"/>
      <c r="L182"/>
    </row>
    <row r="183" spans="3:12" ht="39.950000000000003" customHeight="1">
      <c r="C183"/>
      <c r="D183"/>
      <c r="E183"/>
      <c r="F183"/>
      <c r="G183"/>
      <c r="H183"/>
      <c r="I183"/>
      <c r="J183"/>
      <c r="K183"/>
      <c r="L183"/>
    </row>
    <row r="184" spans="3:12" ht="39.950000000000003" customHeight="1">
      <c r="C184"/>
      <c r="D184"/>
      <c r="E184"/>
      <c r="F184"/>
      <c r="G184"/>
      <c r="H184"/>
      <c r="I184"/>
      <c r="J184"/>
      <c r="K184"/>
      <c r="L184"/>
    </row>
    <row r="185" spans="3:12" ht="39.950000000000003" customHeight="1">
      <c r="C185"/>
      <c r="D185"/>
      <c r="E185"/>
      <c r="F185"/>
      <c r="G185"/>
      <c r="H185"/>
      <c r="I185"/>
      <c r="J185"/>
      <c r="K185"/>
      <c r="L185"/>
    </row>
    <row r="186" spans="3:12" ht="39.950000000000003" customHeight="1">
      <c r="C186"/>
      <c r="D186"/>
      <c r="E186"/>
      <c r="F186"/>
      <c r="G186"/>
      <c r="H186"/>
      <c r="I186"/>
      <c r="J186"/>
      <c r="K186"/>
      <c r="L186"/>
    </row>
    <row r="187" spans="3:12" ht="39.950000000000003" customHeight="1">
      <c r="C187"/>
      <c r="D187"/>
      <c r="E187"/>
      <c r="F187"/>
      <c r="G187"/>
      <c r="H187"/>
      <c r="I187"/>
      <c r="J187"/>
      <c r="K187"/>
      <c r="L187"/>
    </row>
    <row r="188" spans="3:12" ht="39.950000000000003" customHeight="1">
      <c r="C188"/>
      <c r="D188"/>
      <c r="E188"/>
      <c r="F188"/>
      <c r="G188"/>
      <c r="H188"/>
      <c r="I188"/>
      <c r="J188"/>
      <c r="K188"/>
      <c r="L188"/>
    </row>
    <row r="189" spans="3:12" ht="39.950000000000003" customHeight="1">
      <c r="C189"/>
      <c r="D189"/>
      <c r="E189"/>
      <c r="F189"/>
      <c r="G189"/>
      <c r="H189"/>
      <c r="I189"/>
      <c r="J189"/>
      <c r="K189"/>
      <c r="L189"/>
    </row>
    <row r="190" spans="3:12" ht="39.950000000000003" customHeight="1">
      <c r="C190"/>
      <c r="D190"/>
      <c r="E190"/>
      <c r="F190"/>
      <c r="G190"/>
      <c r="H190"/>
      <c r="I190"/>
      <c r="J190"/>
      <c r="K190"/>
      <c r="L190"/>
    </row>
    <row r="191" spans="3:12" ht="39.950000000000003" customHeight="1">
      <c r="C191"/>
      <c r="D191"/>
      <c r="E191"/>
      <c r="F191"/>
      <c r="G191"/>
      <c r="H191"/>
      <c r="I191"/>
      <c r="J191"/>
      <c r="K191"/>
      <c r="L191"/>
    </row>
    <row r="192" spans="3:12" ht="39.950000000000003" customHeight="1">
      <c r="C192"/>
      <c r="D192"/>
      <c r="E192"/>
      <c r="F192"/>
      <c r="G192"/>
      <c r="H192"/>
      <c r="I192"/>
      <c r="J192"/>
      <c r="K192"/>
      <c r="L192"/>
    </row>
    <row r="193" spans="3:12" ht="39.950000000000003" customHeight="1">
      <c r="C193"/>
      <c r="D193"/>
      <c r="E193"/>
      <c r="F193"/>
      <c r="G193"/>
      <c r="H193"/>
      <c r="I193"/>
      <c r="J193"/>
      <c r="K193"/>
      <c r="L193"/>
    </row>
    <row r="194" spans="3:12" ht="39.950000000000003" customHeight="1">
      <c r="C194"/>
      <c r="D194"/>
      <c r="E194"/>
      <c r="F194"/>
      <c r="G194"/>
      <c r="H194"/>
      <c r="I194"/>
      <c r="J194"/>
      <c r="K194"/>
      <c r="L194"/>
    </row>
    <row r="195" spans="3:12" ht="39.950000000000003" customHeight="1">
      <c r="C195"/>
      <c r="D195"/>
      <c r="E195"/>
      <c r="F195"/>
      <c r="G195"/>
      <c r="H195"/>
      <c r="I195"/>
      <c r="J195"/>
      <c r="K195"/>
      <c r="L195"/>
    </row>
    <row r="196" spans="3:12" ht="39.950000000000003" customHeight="1">
      <c r="C196"/>
      <c r="D196"/>
      <c r="E196"/>
      <c r="F196"/>
      <c r="G196"/>
      <c r="H196"/>
      <c r="I196"/>
      <c r="J196"/>
      <c r="K196"/>
      <c r="L196"/>
    </row>
    <row r="197" spans="3:12" ht="39.950000000000003" customHeight="1">
      <c r="C197"/>
      <c r="D197"/>
      <c r="E197"/>
      <c r="F197"/>
      <c r="G197"/>
      <c r="H197"/>
      <c r="I197"/>
      <c r="J197"/>
      <c r="K197"/>
      <c r="L197"/>
    </row>
    <row r="198" spans="3:12" ht="39.950000000000003" customHeight="1">
      <c r="C198"/>
      <c r="D198"/>
      <c r="E198"/>
      <c r="F198"/>
      <c r="G198"/>
      <c r="H198"/>
      <c r="I198"/>
      <c r="J198"/>
      <c r="K198"/>
      <c r="L198"/>
    </row>
    <row r="199" spans="3:12" ht="39.950000000000003" customHeight="1">
      <c r="C199"/>
      <c r="D199"/>
      <c r="E199"/>
      <c r="F199"/>
      <c r="G199"/>
      <c r="H199"/>
      <c r="I199"/>
      <c r="J199"/>
      <c r="K199"/>
      <c r="L199"/>
    </row>
    <row r="200" spans="3:12" ht="39.950000000000003" customHeight="1">
      <c r="C200"/>
      <c r="D200"/>
      <c r="E200"/>
      <c r="F200"/>
      <c r="G200"/>
      <c r="H200"/>
      <c r="I200"/>
      <c r="J200"/>
      <c r="K200"/>
      <c r="L200"/>
    </row>
    <row r="201" spans="3:12" ht="39.950000000000003" customHeight="1">
      <c r="C201"/>
      <c r="D201"/>
      <c r="E201"/>
      <c r="F201"/>
      <c r="G201"/>
      <c r="H201"/>
      <c r="I201"/>
      <c r="J201"/>
      <c r="K201"/>
      <c r="L201"/>
    </row>
    <row r="202" spans="3:12" ht="39.950000000000003" customHeight="1">
      <c r="C202"/>
      <c r="D202"/>
      <c r="E202"/>
      <c r="F202"/>
      <c r="G202"/>
      <c r="H202"/>
      <c r="I202"/>
      <c r="J202"/>
      <c r="K202"/>
      <c r="L202"/>
    </row>
    <row r="203" spans="3:12" ht="39.950000000000003" customHeight="1">
      <c r="C203"/>
      <c r="D203"/>
      <c r="E203"/>
      <c r="F203"/>
      <c r="G203"/>
      <c r="H203"/>
      <c r="I203"/>
      <c r="J203"/>
      <c r="K203"/>
      <c r="L203"/>
    </row>
    <row r="204" spans="3:12" ht="39.950000000000003" customHeight="1">
      <c r="C204"/>
      <c r="D204"/>
      <c r="E204"/>
      <c r="F204"/>
      <c r="G204"/>
      <c r="H204"/>
      <c r="I204"/>
      <c r="J204"/>
      <c r="K204"/>
      <c r="L204"/>
    </row>
    <row r="205" spans="3:12" ht="39.950000000000003" customHeight="1">
      <c r="C205"/>
      <c r="D205"/>
      <c r="E205"/>
      <c r="F205"/>
      <c r="G205"/>
      <c r="H205"/>
      <c r="I205"/>
      <c r="J205"/>
      <c r="K205"/>
      <c r="L205"/>
    </row>
    <row r="206" spans="3:12" ht="39.950000000000003" customHeight="1">
      <c r="C206"/>
      <c r="D206"/>
      <c r="E206"/>
      <c r="F206"/>
      <c r="G206"/>
      <c r="H206"/>
      <c r="I206"/>
      <c r="J206"/>
      <c r="K206"/>
      <c r="L206"/>
    </row>
    <row r="207" spans="3:12" ht="39.950000000000003" customHeight="1">
      <c r="C207"/>
      <c r="D207"/>
      <c r="E207"/>
      <c r="F207"/>
      <c r="G207"/>
      <c r="H207"/>
      <c r="I207"/>
      <c r="J207"/>
      <c r="K207"/>
      <c r="L207"/>
    </row>
    <row r="208" spans="3:12" ht="39.950000000000003" customHeight="1">
      <c r="C208"/>
      <c r="D208"/>
      <c r="E208"/>
      <c r="F208"/>
      <c r="G208"/>
      <c r="H208"/>
      <c r="I208"/>
      <c r="J208"/>
      <c r="K208"/>
      <c r="L208"/>
    </row>
    <row r="209" spans="3:12" ht="39.950000000000003" customHeight="1">
      <c r="C209"/>
      <c r="D209"/>
      <c r="E209"/>
      <c r="F209"/>
      <c r="G209"/>
      <c r="H209"/>
      <c r="I209"/>
      <c r="J209"/>
      <c r="K209"/>
      <c r="L209"/>
    </row>
    <row r="210" spans="3:12" ht="39.950000000000003" customHeight="1">
      <c r="C210"/>
      <c r="D210"/>
      <c r="E210"/>
      <c r="F210"/>
      <c r="G210"/>
      <c r="H210"/>
      <c r="I210"/>
      <c r="J210"/>
      <c r="K210"/>
      <c r="L210"/>
    </row>
    <row r="211" spans="3:12" ht="39.950000000000003" customHeight="1">
      <c r="C211"/>
      <c r="D211"/>
      <c r="E211"/>
      <c r="F211"/>
      <c r="G211"/>
      <c r="H211"/>
      <c r="I211"/>
      <c r="J211"/>
      <c r="K211"/>
      <c r="L211"/>
    </row>
    <row r="212" spans="3:12" ht="39.950000000000003" customHeight="1">
      <c r="C212"/>
      <c r="D212"/>
      <c r="E212"/>
      <c r="F212"/>
      <c r="G212"/>
      <c r="H212"/>
      <c r="I212"/>
      <c r="J212"/>
      <c r="K212"/>
      <c r="L212"/>
    </row>
    <row r="213" spans="3:12" ht="39.950000000000003" customHeight="1">
      <c r="C213"/>
      <c r="D213"/>
      <c r="E213"/>
      <c r="F213"/>
      <c r="G213"/>
      <c r="H213"/>
      <c r="I213"/>
      <c r="J213"/>
      <c r="K213"/>
      <c r="L213"/>
    </row>
    <row r="214" spans="3:12" ht="39.950000000000003" customHeight="1">
      <c r="C214"/>
      <c r="D214"/>
      <c r="E214"/>
      <c r="F214"/>
      <c r="G214"/>
      <c r="H214"/>
      <c r="I214"/>
      <c r="J214"/>
      <c r="K214"/>
      <c r="L214"/>
    </row>
    <row r="215" spans="3:12" ht="39.950000000000003" customHeight="1">
      <c r="C215"/>
      <c r="D215"/>
      <c r="E215"/>
      <c r="F215"/>
      <c r="G215"/>
      <c r="H215"/>
      <c r="I215"/>
      <c r="J215"/>
      <c r="K215"/>
      <c r="L215"/>
    </row>
    <row r="216" spans="3:12" ht="39.950000000000003" customHeight="1">
      <c r="C216"/>
      <c r="D216"/>
      <c r="E216"/>
      <c r="F216"/>
      <c r="G216"/>
      <c r="H216"/>
      <c r="I216"/>
      <c r="J216"/>
      <c r="K216"/>
      <c r="L216"/>
    </row>
    <row r="217" spans="3:12" ht="39.950000000000003" customHeight="1">
      <c r="C217"/>
      <c r="D217"/>
      <c r="E217"/>
      <c r="F217"/>
      <c r="G217"/>
      <c r="H217"/>
      <c r="I217"/>
      <c r="J217"/>
      <c r="K217"/>
      <c r="L217"/>
    </row>
    <row r="218" spans="3:12" ht="39.950000000000003" customHeight="1">
      <c r="C218"/>
      <c r="D218"/>
      <c r="E218"/>
      <c r="F218"/>
      <c r="G218"/>
      <c r="H218"/>
      <c r="I218"/>
      <c r="J218"/>
      <c r="K218"/>
      <c r="L218"/>
    </row>
    <row r="219" spans="3:12" ht="39.950000000000003" customHeight="1">
      <c r="C219"/>
      <c r="D219"/>
      <c r="E219"/>
      <c r="F219"/>
      <c r="G219"/>
      <c r="H219"/>
      <c r="I219"/>
      <c r="J219"/>
      <c r="K219"/>
      <c r="L219"/>
    </row>
    <row r="220" spans="3:12" ht="39.950000000000003" customHeight="1">
      <c r="C220"/>
      <c r="D220"/>
      <c r="E220"/>
      <c r="F220"/>
      <c r="G220"/>
      <c r="H220"/>
      <c r="I220"/>
      <c r="J220"/>
      <c r="K220"/>
      <c r="L220"/>
    </row>
    <row r="221" spans="3:12" ht="39.950000000000003" customHeight="1">
      <c r="C221"/>
      <c r="D221"/>
      <c r="E221"/>
      <c r="F221"/>
      <c r="G221"/>
      <c r="H221"/>
      <c r="I221"/>
      <c r="J221"/>
      <c r="K221"/>
      <c r="L221"/>
    </row>
    <row r="222" spans="3:12" ht="39.950000000000003" customHeight="1">
      <c r="C222"/>
      <c r="D222"/>
      <c r="E222"/>
      <c r="F222"/>
      <c r="G222"/>
      <c r="H222"/>
      <c r="I222"/>
      <c r="J222"/>
      <c r="K222"/>
      <c r="L222"/>
    </row>
    <row r="223" spans="3:12" ht="39.950000000000003" customHeight="1">
      <c r="C223"/>
      <c r="D223"/>
      <c r="E223"/>
      <c r="F223"/>
      <c r="G223"/>
      <c r="H223"/>
      <c r="I223"/>
      <c r="J223"/>
      <c r="K223"/>
      <c r="L223"/>
    </row>
    <row r="224" spans="3:12" ht="39.950000000000003" customHeight="1">
      <c r="C224"/>
      <c r="D224"/>
      <c r="E224"/>
      <c r="F224"/>
      <c r="G224"/>
      <c r="H224"/>
      <c r="I224"/>
      <c r="J224"/>
      <c r="K224"/>
      <c r="L224"/>
    </row>
    <row r="225" spans="3:12" ht="39.950000000000003" customHeight="1">
      <c r="C225"/>
      <c r="D225"/>
      <c r="E225"/>
      <c r="F225"/>
      <c r="G225"/>
      <c r="H225"/>
      <c r="I225"/>
      <c r="J225"/>
      <c r="K225"/>
      <c r="L225"/>
    </row>
    <row r="226" spans="3:12" ht="39.950000000000003" customHeight="1">
      <c r="C226"/>
      <c r="D226"/>
      <c r="E226"/>
      <c r="F226"/>
      <c r="G226"/>
      <c r="H226"/>
      <c r="I226"/>
      <c r="J226"/>
      <c r="K226"/>
      <c r="L226"/>
    </row>
    <row r="227" spans="3:12" ht="39.950000000000003" customHeight="1">
      <c r="C227"/>
      <c r="D227"/>
      <c r="E227"/>
      <c r="F227"/>
      <c r="G227"/>
      <c r="H227"/>
      <c r="I227"/>
      <c r="J227"/>
      <c r="K227"/>
      <c r="L227"/>
    </row>
    <row r="228" spans="3:12" ht="39.950000000000003" customHeight="1">
      <c r="C228"/>
      <c r="D228"/>
      <c r="E228"/>
      <c r="F228"/>
      <c r="G228"/>
      <c r="H228"/>
      <c r="I228"/>
      <c r="J228"/>
      <c r="K228"/>
      <c r="L228"/>
    </row>
    <row r="229" spans="3:12" ht="39.950000000000003" customHeight="1">
      <c r="C229"/>
      <c r="D229"/>
      <c r="E229"/>
      <c r="F229"/>
      <c r="G229"/>
      <c r="H229"/>
      <c r="I229"/>
      <c r="J229"/>
      <c r="K229"/>
      <c r="L229"/>
    </row>
    <row r="230" spans="3:12" ht="39.950000000000003" customHeight="1">
      <c r="C230"/>
      <c r="D230"/>
      <c r="E230"/>
      <c r="F230"/>
      <c r="G230"/>
      <c r="H230"/>
      <c r="I230"/>
      <c r="J230"/>
      <c r="K230"/>
      <c r="L230"/>
    </row>
    <row r="231" spans="3:12" ht="39.950000000000003" customHeight="1">
      <c r="C231"/>
      <c r="D231"/>
      <c r="E231"/>
      <c r="F231"/>
      <c r="G231"/>
      <c r="H231"/>
      <c r="I231"/>
      <c r="J231"/>
      <c r="K231"/>
      <c r="L231"/>
    </row>
    <row r="232" spans="3:12" ht="39.950000000000003" customHeight="1">
      <c r="C232"/>
      <c r="D232"/>
      <c r="E232"/>
      <c r="F232"/>
      <c r="G232"/>
      <c r="H232"/>
      <c r="I232"/>
      <c r="J232"/>
      <c r="K232"/>
      <c r="L232"/>
    </row>
    <row r="233" spans="3:12" ht="39.950000000000003" customHeight="1">
      <c r="C233"/>
      <c r="D233"/>
      <c r="E233"/>
      <c r="F233"/>
      <c r="G233"/>
      <c r="H233"/>
      <c r="I233"/>
      <c r="J233"/>
      <c r="K233"/>
      <c r="L233"/>
    </row>
    <row r="234" spans="3:12" ht="39.950000000000003" customHeight="1">
      <c r="C234"/>
      <c r="D234"/>
      <c r="E234"/>
      <c r="F234"/>
      <c r="G234"/>
      <c r="H234"/>
      <c r="I234"/>
      <c r="J234"/>
      <c r="K234"/>
      <c r="L234"/>
    </row>
    <row r="235" spans="3:12" ht="39.950000000000003" customHeight="1">
      <c r="C235"/>
      <c r="D235"/>
      <c r="E235"/>
      <c r="F235"/>
      <c r="G235"/>
      <c r="H235"/>
      <c r="I235"/>
      <c r="J235"/>
      <c r="K235"/>
      <c r="L235"/>
    </row>
    <row r="236" spans="3:12" ht="39.950000000000003" customHeight="1">
      <c r="C236"/>
      <c r="D236"/>
      <c r="E236"/>
      <c r="F236"/>
      <c r="G236"/>
      <c r="H236"/>
      <c r="I236"/>
      <c r="J236"/>
      <c r="K236"/>
      <c r="L236"/>
    </row>
    <row r="237" spans="3:12" ht="39.950000000000003" customHeight="1">
      <c r="C237"/>
      <c r="D237"/>
      <c r="E237"/>
      <c r="F237"/>
      <c r="G237"/>
      <c r="H237"/>
      <c r="I237"/>
      <c r="J237"/>
      <c r="K237"/>
      <c r="L237"/>
    </row>
    <row r="238" spans="3:12" ht="39.950000000000003" customHeight="1">
      <c r="C238"/>
      <c r="D238"/>
      <c r="E238"/>
      <c r="F238"/>
      <c r="G238"/>
      <c r="H238"/>
      <c r="I238"/>
      <c r="J238"/>
      <c r="K238"/>
      <c r="L238"/>
    </row>
    <row r="239" spans="3:12" ht="39.950000000000003" customHeight="1">
      <c r="C239"/>
      <c r="D239"/>
      <c r="E239"/>
      <c r="F239"/>
      <c r="G239"/>
      <c r="H239"/>
      <c r="I239"/>
      <c r="J239"/>
      <c r="K239"/>
      <c r="L239"/>
    </row>
    <row r="240" spans="3:12" ht="39.950000000000003" customHeight="1">
      <c r="C240"/>
      <c r="D240"/>
      <c r="E240"/>
      <c r="F240"/>
      <c r="G240"/>
      <c r="H240"/>
      <c r="I240"/>
      <c r="J240"/>
      <c r="K240"/>
      <c r="L240"/>
    </row>
    <row r="241" spans="3:12" ht="39.950000000000003" customHeight="1">
      <c r="C241"/>
      <c r="D241"/>
      <c r="E241"/>
      <c r="F241"/>
      <c r="G241"/>
      <c r="H241"/>
      <c r="I241"/>
      <c r="J241"/>
      <c r="K241"/>
      <c r="L241"/>
    </row>
    <row r="242" spans="3:12" ht="39.950000000000003" customHeight="1">
      <c r="C242"/>
      <c r="D242"/>
      <c r="E242"/>
      <c r="F242"/>
      <c r="G242"/>
      <c r="H242"/>
      <c r="I242"/>
      <c r="J242"/>
      <c r="K242"/>
      <c r="L242"/>
    </row>
    <row r="243" spans="3:12" ht="39.950000000000003" customHeight="1">
      <c r="C243"/>
      <c r="D243"/>
      <c r="E243"/>
      <c r="F243"/>
      <c r="G243"/>
      <c r="H243"/>
      <c r="I243"/>
      <c r="J243"/>
      <c r="K243"/>
      <c r="L243"/>
    </row>
    <row r="244" spans="3:12" ht="39.950000000000003" customHeight="1">
      <c r="C244"/>
      <c r="D244"/>
      <c r="E244"/>
      <c r="F244"/>
      <c r="G244"/>
      <c r="H244"/>
      <c r="I244"/>
      <c r="J244"/>
      <c r="K244"/>
      <c r="L244"/>
    </row>
    <row r="245" spans="3:12" ht="39.950000000000003" customHeight="1">
      <c r="C245"/>
      <c r="D245"/>
      <c r="E245"/>
      <c r="F245"/>
      <c r="G245"/>
      <c r="H245"/>
      <c r="I245"/>
      <c r="J245"/>
      <c r="K245"/>
      <c r="L245"/>
    </row>
    <row r="246" spans="3:12" ht="39.950000000000003" customHeight="1">
      <c r="C246"/>
      <c r="D246"/>
      <c r="E246"/>
      <c r="F246"/>
      <c r="G246"/>
      <c r="H246"/>
      <c r="I246"/>
      <c r="J246"/>
      <c r="K246"/>
      <c r="L246"/>
    </row>
    <row r="247" spans="3:12" ht="39.950000000000003" customHeight="1">
      <c r="C247"/>
      <c r="D247"/>
      <c r="E247"/>
      <c r="F247"/>
      <c r="G247"/>
      <c r="H247"/>
      <c r="I247"/>
      <c r="J247"/>
      <c r="K247"/>
      <c r="L247"/>
    </row>
    <row r="248" spans="3:12" ht="39.950000000000003" customHeight="1">
      <c r="C248"/>
      <c r="D248"/>
      <c r="E248"/>
      <c r="F248"/>
      <c r="G248"/>
      <c r="H248"/>
      <c r="I248"/>
      <c r="J248"/>
      <c r="K248"/>
      <c r="L248"/>
    </row>
    <row r="249" spans="3:12" ht="39.950000000000003" customHeight="1">
      <c r="C249"/>
      <c r="D249"/>
      <c r="E249"/>
      <c r="F249"/>
      <c r="G249"/>
      <c r="H249"/>
      <c r="I249"/>
      <c r="J249"/>
      <c r="K249"/>
      <c r="L249"/>
    </row>
    <row r="250" spans="3:12" ht="39.950000000000003" customHeight="1">
      <c r="C250"/>
      <c r="D250"/>
      <c r="E250"/>
      <c r="F250"/>
      <c r="G250"/>
      <c r="H250"/>
      <c r="I250"/>
      <c r="J250"/>
      <c r="K250"/>
      <c r="L250"/>
    </row>
    <row r="251" spans="3:12" ht="39.950000000000003" customHeight="1">
      <c r="C251"/>
      <c r="D251"/>
      <c r="E251"/>
      <c r="F251"/>
      <c r="G251"/>
      <c r="H251"/>
      <c r="I251"/>
      <c r="J251"/>
      <c r="K251"/>
      <c r="L251"/>
    </row>
    <row r="252" spans="3:12" ht="39.950000000000003" customHeight="1">
      <c r="C252"/>
      <c r="D252"/>
      <c r="E252"/>
      <c r="F252"/>
      <c r="G252"/>
      <c r="H252"/>
      <c r="I252"/>
      <c r="J252"/>
      <c r="K252"/>
      <c r="L252"/>
    </row>
    <row r="253" spans="3:12" ht="39.950000000000003" customHeight="1">
      <c r="C253"/>
      <c r="D253"/>
      <c r="E253"/>
      <c r="F253"/>
      <c r="G253"/>
      <c r="H253"/>
      <c r="I253"/>
      <c r="J253"/>
      <c r="K253"/>
      <c r="L253"/>
    </row>
    <row r="254" spans="3:12" ht="39.950000000000003" customHeight="1">
      <c r="C254"/>
      <c r="D254"/>
      <c r="E254"/>
      <c r="F254"/>
      <c r="G254"/>
      <c r="H254"/>
      <c r="I254"/>
      <c r="J254"/>
      <c r="K254"/>
      <c r="L254"/>
    </row>
    <row r="255" spans="3:12" ht="39.950000000000003" customHeight="1">
      <c r="C255"/>
      <c r="D255"/>
      <c r="E255"/>
      <c r="F255"/>
      <c r="G255"/>
      <c r="H255"/>
      <c r="I255"/>
      <c r="J255"/>
      <c r="K255"/>
      <c r="L255"/>
    </row>
    <row r="256" spans="3:12" ht="39.950000000000003" customHeight="1">
      <c r="C256"/>
      <c r="D256"/>
      <c r="E256"/>
      <c r="F256"/>
      <c r="G256"/>
      <c r="H256"/>
      <c r="I256"/>
      <c r="J256"/>
      <c r="K256"/>
      <c r="L256"/>
    </row>
    <row r="257" spans="3:12" ht="39.950000000000003" customHeight="1">
      <c r="C257"/>
      <c r="D257"/>
      <c r="E257"/>
      <c r="F257"/>
      <c r="G257"/>
      <c r="H257"/>
      <c r="I257"/>
      <c r="J257"/>
      <c r="K257"/>
      <c r="L257"/>
    </row>
    <row r="258" spans="3:12" ht="39.950000000000003" customHeight="1">
      <c r="C258"/>
      <c r="D258"/>
      <c r="E258"/>
      <c r="F258"/>
      <c r="G258"/>
      <c r="H258"/>
      <c r="I258"/>
      <c r="J258"/>
      <c r="K258"/>
      <c r="L258"/>
    </row>
    <row r="259" spans="3:12" ht="39.950000000000003" customHeight="1">
      <c r="C259"/>
      <c r="D259"/>
      <c r="E259"/>
      <c r="F259"/>
      <c r="G259"/>
      <c r="H259"/>
      <c r="I259"/>
      <c r="J259"/>
      <c r="K259"/>
      <c r="L259"/>
    </row>
    <row r="260" spans="3:12" ht="39.950000000000003" customHeight="1">
      <c r="C260"/>
      <c r="D260"/>
      <c r="E260"/>
      <c r="F260"/>
      <c r="G260"/>
      <c r="H260"/>
      <c r="I260"/>
      <c r="J260"/>
      <c r="K260"/>
      <c r="L260"/>
    </row>
    <row r="261" spans="3:12" ht="39.950000000000003" customHeight="1">
      <c r="C261"/>
      <c r="D261"/>
      <c r="E261"/>
      <c r="F261"/>
      <c r="G261"/>
      <c r="H261"/>
      <c r="I261"/>
      <c r="J261"/>
      <c r="K261"/>
      <c r="L261"/>
    </row>
    <row r="262" spans="3:12" ht="39.950000000000003" customHeight="1">
      <c r="C262"/>
      <c r="D262"/>
      <c r="E262"/>
      <c r="F262"/>
      <c r="G262"/>
      <c r="H262"/>
      <c r="I262"/>
      <c r="J262"/>
      <c r="K262"/>
      <c r="L262"/>
    </row>
    <row r="263" spans="3:12" ht="39.950000000000003" customHeight="1">
      <c r="C263"/>
      <c r="D263"/>
      <c r="E263"/>
      <c r="F263"/>
      <c r="G263"/>
      <c r="H263"/>
      <c r="I263"/>
      <c r="J263"/>
      <c r="K263"/>
      <c r="L263"/>
    </row>
    <row r="264" spans="3:12" ht="39.950000000000003" customHeight="1">
      <c r="C264"/>
      <c r="D264"/>
      <c r="E264"/>
      <c r="F264"/>
      <c r="G264"/>
      <c r="H264"/>
      <c r="I264"/>
      <c r="J264"/>
      <c r="K264"/>
      <c r="L264"/>
    </row>
    <row r="265" spans="3:12" ht="39.950000000000003" customHeight="1">
      <c r="C265"/>
      <c r="D265"/>
      <c r="E265"/>
      <c r="F265"/>
      <c r="G265"/>
      <c r="H265"/>
      <c r="I265"/>
      <c r="J265"/>
      <c r="K265"/>
      <c r="L265"/>
    </row>
    <row r="266" spans="3:12" ht="39.950000000000003" customHeight="1">
      <c r="C266"/>
      <c r="D266"/>
      <c r="E266"/>
      <c r="F266"/>
      <c r="G266"/>
      <c r="H266"/>
      <c r="I266"/>
      <c r="J266"/>
      <c r="K266"/>
      <c r="L266"/>
    </row>
    <row r="267" spans="3:12" ht="39.950000000000003" customHeight="1">
      <c r="C267"/>
      <c r="D267"/>
      <c r="E267"/>
      <c r="F267"/>
      <c r="G267"/>
      <c r="H267"/>
      <c r="I267"/>
      <c r="J267"/>
      <c r="K267"/>
      <c r="L267"/>
    </row>
    <row r="268" spans="3:12" ht="39.950000000000003" customHeight="1">
      <c r="C268"/>
      <c r="D268"/>
      <c r="E268"/>
      <c r="F268"/>
      <c r="G268"/>
      <c r="H268"/>
      <c r="I268"/>
      <c r="J268"/>
      <c r="K268"/>
      <c r="L268"/>
    </row>
    <row r="269" spans="3:12" ht="39.950000000000003" customHeight="1">
      <c r="C269"/>
      <c r="D269"/>
      <c r="E269"/>
      <c r="F269"/>
      <c r="G269"/>
      <c r="H269"/>
      <c r="I269"/>
      <c r="J269"/>
      <c r="K269"/>
      <c r="L269"/>
    </row>
    <row r="270" spans="3:12" ht="39.950000000000003" customHeight="1">
      <c r="C270"/>
      <c r="D270"/>
      <c r="E270"/>
      <c r="F270"/>
      <c r="G270"/>
      <c r="H270"/>
      <c r="I270"/>
      <c r="J270"/>
      <c r="K270"/>
      <c r="L270"/>
    </row>
    <row r="271" spans="3:12" ht="39.950000000000003" customHeight="1">
      <c r="C271"/>
      <c r="D271"/>
      <c r="E271"/>
      <c r="F271"/>
      <c r="G271"/>
      <c r="H271"/>
      <c r="I271"/>
      <c r="J271"/>
      <c r="K271"/>
      <c r="L271"/>
    </row>
    <row r="272" spans="3:12" ht="39.950000000000003" customHeight="1">
      <c r="C272"/>
      <c r="D272"/>
      <c r="E272"/>
      <c r="F272"/>
      <c r="G272"/>
      <c r="H272"/>
      <c r="I272"/>
      <c r="J272"/>
      <c r="K272"/>
      <c r="L272"/>
    </row>
    <row r="273" spans="3:12" ht="39.950000000000003" customHeight="1">
      <c r="C273"/>
      <c r="D273"/>
      <c r="E273"/>
      <c r="F273"/>
      <c r="G273"/>
      <c r="H273"/>
      <c r="I273"/>
      <c r="J273"/>
      <c r="K273"/>
      <c r="L273"/>
    </row>
    <row r="274" spans="3:12" ht="39.950000000000003" customHeight="1">
      <c r="C274"/>
      <c r="D274"/>
      <c r="E274"/>
      <c r="F274"/>
      <c r="G274"/>
      <c r="H274"/>
      <c r="I274"/>
      <c r="J274"/>
      <c r="K274"/>
      <c r="L274"/>
    </row>
    <row r="275" spans="3:12" ht="39.950000000000003" customHeight="1">
      <c r="C275"/>
      <c r="D275"/>
      <c r="E275"/>
      <c r="F275"/>
      <c r="G275"/>
      <c r="H275"/>
      <c r="I275"/>
      <c r="J275"/>
      <c r="K275"/>
      <c r="L275"/>
    </row>
    <row r="276" spans="3:12" ht="39.950000000000003" customHeight="1">
      <c r="C276"/>
      <c r="D276"/>
      <c r="E276"/>
      <c r="F276"/>
      <c r="G276"/>
      <c r="H276"/>
      <c r="I276"/>
      <c r="J276"/>
      <c r="K276"/>
      <c r="L276"/>
    </row>
    <row r="277" spans="3:12" ht="39.950000000000003" customHeight="1">
      <c r="C277"/>
      <c r="D277"/>
      <c r="E277"/>
      <c r="F277"/>
      <c r="G277"/>
      <c r="H277"/>
      <c r="I277"/>
      <c r="J277"/>
      <c r="K277"/>
      <c r="L277"/>
    </row>
    <row r="278" spans="3:12" ht="39.950000000000003" customHeight="1">
      <c r="C278"/>
      <c r="D278"/>
      <c r="E278"/>
      <c r="F278"/>
      <c r="G278"/>
      <c r="H278"/>
      <c r="I278"/>
      <c r="J278"/>
      <c r="K278"/>
      <c r="L278"/>
    </row>
    <row r="279" spans="3:12" ht="39.950000000000003" customHeight="1">
      <c r="C279"/>
      <c r="D279"/>
      <c r="E279"/>
      <c r="F279"/>
      <c r="G279"/>
      <c r="H279"/>
      <c r="I279"/>
      <c r="J279"/>
      <c r="K279"/>
      <c r="L279"/>
    </row>
    <row r="280" spans="3:12" ht="39.950000000000003" customHeight="1">
      <c r="C280"/>
      <c r="D280"/>
      <c r="E280"/>
      <c r="F280"/>
      <c r="G280"/>
      <c r="H280"/>
      <c r="I280"/>
      <c r="J280"/>
      <c r="K280"/>
      <c r="L280"/>
    </row>
    <row r="281" spans="3:12" ht="39.950000000000003" customHeight="1">
      <c r="C281"/>
      <c r="D281"/>
      <c r="E281"/>
      <c r="F281"/>
      <c r="G281"/>
      <c r="H281"/>
      <c r="I281"/>
      <c r="J281"/>
      <c r="K281"/>
      <c r="L281"/>
    </row>
    <row r="282" spans="3:12" ht="39.950000000000003" customHeight="1">
      <c r="C282"/>
      <c r="D282"/>
      <c r="E282"/>
      <c r="F282"/>
      <c r="G282"/>
      <c r="H282"/>
      <c r="I282"/>
      <c r="J282"/>
      <c r="K282"/>
      <c r="L282"/>
    </row>
    <row r="283" spans="3:12" ht="39.950000000000003" customHeight="1">
      <c r="C283"/>
      <c r="D283"/>
      <c r="E283"/>
      <c r="F283"/>
      <c r="G283"/>
      <c r="H283"/>
      <c r="I283"/>
      <c r="J283"/>
      <c r="K283"/>
      <c r="L283"/>
    </row>
    <row r="284" spans="3:12" ht="39.950000000000003" customHeight="1">
      <c r="C284"/>
      <c r="D284"/>
      <c r="E284"/>
      <c r="F284"/>
      <c r="G284"/>
      <c r="H284"/>
      <c r="I284"/>
      <c r="J284"/>
      <c r="K284"/>
      <c r="L284"/>
    </row>
    <row r="285" spans="3:12" ht="39.950000000000003" customHeight="1">
      <c r="C285"/>
      <c r="D285"/>
      <c r="E285"/>
      <c r="F285"/>
      <c r="G285"/>
      <c r="H285"/>
      <c r="I285"/>
      <c r="J285"/>
      <c r="K285"/>
      <c r="L285"/>
    </row>
    <row r="286" spans="3:12" ht="39.950000000000003" customHeight="1">
      <c r="C286"/>
      <c r="D286"/>
      <c r="E286"/>
      <c r="F286"/>
      <c r="G286"/>
      <c r="H286"/>
      <c r="I286"/>
      <c r="J286"/>
      <c r="K286"/>
      <c r="L286"/>
    </row>
    <row r="287" spans="3:12" ht="39.950000000000003" customHeight="1">
      <c r="C287"/>
      <c r="D287"/>
      <c r="E287"/>
      <c r="F287"/>
      <c r="G287"/>
      <c r="H287"/>
      <c r="I287"/>
      <c r="J287"/>
      <c r="K287"/>
      <c r="L287"/>
    </row>
    <row r="288" spans="3:12" ht="39.950000000000003" customHeight="1">
      <c r="C288"/>
      <c r="D288"/>
      <c r="E288"/>
      <c r="F288"/>
      <c r="G288"/>
      <c r="H288"/>
      <c r="I288"/>
      <c r="J288"/>
      <c r="K288"/>
      <c r="L288"/>
    </row>
    <row r="289" spans="3:12" ht="39.950000000000003" customHeight="1">
      <c r="C289"/>
      <c r="D289"/>
      <c r="E289"/>
      <c r="F289"/>
      <c r="G289"/>
      <c r="H289"/>
      <c r="I289"/>
      <c r="J289"/>
      <c r="K289"/>
      <c r="L289"/>
    </row>
    <row r="290" spans="3:12" ht="39.950000000000003" customHeight="1">
      <c r="C290"/>
      <c r="D290"/>
      <c r="E290"/>
      <c r="F290"/>
      <c r="G290"/>
      <c r="H290"/>
      <c r="I290"/>
      <c r="J290"/>
      <c r="K290"/>
      <c r="L290"/>
    </row>
    <row r="291" spans="3:12" ht="39.950000000000003" customHeight="1">
      <c r="C291"/>
      <c r="D291"/>
      <c r="E291"/>
      <c r="F291"/>
      <c r="G291"/>
      <c r="H291"/>
      <c r="I291"/>
      <c r="J291"/>
      <c r="K291"/>
      <c r="L291"/>
    </row>
  </sheetData>
  <sortState xmlns:xlrd2="http://schemas.microsoft.com/office/spreadsheetml/2017/richdata2" ref="C4:L4">
    <sortCondition ref="D3"/>
  </sortState>
  <phoneticPr fontId="2"/>
  <pageMargins left="0.70866141732283472" right="0.70866141732283472" top="0.74803149606299213" bottom="0.74803149606299213" header="0.31496062992125984" footer="0.31496062992125984"/>
  <pageSetup paperSize="9" scale="63" fitToHeight="0" orientation="portrait" r:id="rId1"/>
  <headerFooter>
    <oddHeader>&amp;Lf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_Sheet2Data">
                <anchor moveWithCells="1" sizeWithCells="1">
                  <from>
                    <xdr:col>12</xdr:col>
                    <xdr:colOff>219075</xdr:colOff>
                    <xdr:row>0</xdr:row>
                    <xdr:rowOff>0</xdr:rowOff>
                  </from>
                  <to>
                    <xdr:col>14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2Active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allCopyingTable3">
                <anchor moveWithCells="1">
                  <from>
                    <xdr:col>14</xdr:col>
                    <xdr:colOff>152400</xdr:colOff>
                    <xdr:row>0</xdr:row>
                    <xdr:rowOff>0</xdr:rowOff>
                  </from>
                  <to>
                    <xdr:col>14</xdr:col>
                    <xdr:colOff>1266825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Sheet1.FSO">
                <anchor moveWithCells="1">
                  <from>
                    <xdr:col>14</xdr:col>
                    <xdr:colOff>1276350</xdr:colOff>
                    <xdr:row>0</xdr:row>
                    <xdr:rowOff>0</xdr:rowOff>
                  </from>
                  <to>
                    <xdr:col>16</xdr:col>
                    <xdr:colOff>200025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ThisWorkbook.Show_PrintArea">
                <anchor moveWithCells="1">
                  <from>
                    <xdr:col>16</xdr:col>
                    <xdr:colOff>209550</xdr:colOff>
                    <xdr:row>0</xdr:row>
                    <xdr:rowOff>0</xdr:rowOff>
                  </from>
                  <to>
                    <xdr:col>17</xdr:col>
                    <xdr:colOff>200025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ThisWorkbook.Show_PrintArea2">
                <anchor moveWithCells="1">
                  <from>
                    <xdr:col>17</xdr:col>
                    <xdr:colOff>219075</xdr:colOff>
                    <xdr:row>0</xdr:row>
                    <xdr:rowOff>0</xdr:rowOff>
                  </from>
                  <to>
                    <xdr:col>18</xdr:col>
                    <xdr:colOff>638175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Button 15">
              <controlPr defaultSize="0" print="0" autoFill="0" autoPict="0" macro="[0]!ThisWorkbook.ConvertingIntoPDF">
                <anchor moveWithCells="1">
                  <from>
                    <xdr:col>18</xdr:col>
                    <xdr:colOff>647700</xdr:colOff>
                    <xdr:row>0</xdr:row>
                    <xdr:rowOff>0</xdr:rowOff>
                  </from>
                  <to>
                    <xdr:col>19</xdr:col>
                    <xdr:colOff>447675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C9A0B-46A0-403D-A107-F25C7C5C2314}">
  <sheetPr codeName="Sheet3"/>
  <dimension ref="A1:E124"/>
  <sheetViews>
    <sheetView zoomScaleNormal="100" workbookViewId="0">
      <selection activeCell="E13" sqref="E13"/>
    </sheetView>
  </sheetViews>
  <sheetFormatPr defaultRowHeight="18.75"/>
  <cols>
    <col min="1" max="1" width="21.375" bestFit="1" customWidth="1"/>
    <col min="2" max="2" width="9.375" hidden="1" customWidth="1"/>
    <col min="3" max="3" width="21" customWidth="1"/>
    <col min="5" max="5" width="17.375" customWidth="1"/>
  </cols>
  <sheetData>
    <row r="1" spans="1:5">
      <c r="B1" t="s">
        <v>264</v>
      </c>
      <c r="C1" t="s">
        <v>268</v>
      </c>
    </row>
    <row r="2" spans="1:5">
      <c r="B2" t="s">
        <v>265</v>
      </c>
    </row>
    <row r="3" spans="1:5">
      <c r="A3" t="s">
        <v>110</v>
      </c>
      <c r="B3" t="s">
        <v>151</v>
      </c>
      <c r="C3" t="s">
        <v>107</v>
      </c>
    </row>
    <row r="4" spans="1:5">
      <c r="A4" t="s">
        <v>111</v>
      </c>
      <c r="B4" t="s">
        <v>152</v>
      </c>
      <c r="C4" t="s">
        <v>108</v>
      </c>
    </row>
    <row r="5" spans="1:5" hidden="1">
      <c r="B5" t="s">
        <v>153</v>
      </c>
      <c r="C5" t="s">
        <v>109</v>
      </c>
    </row>
    <row r="6" spans="1:5" hidden="1">
      <c r="B6" t="s">
        <v>154</v>
      </c>
      <c r="C6" t="s">
        <v>109</v>
      </c>
    </row>
    <row r="7" spans="1:5" hidden="1">
      <c r="B7" t="s">
        <v>155</v>
      </c>
    </row>
    <row r="8" spans="1:5" hidden="1">
      <c r="B8" t="s">
        <v>156</v>
      </c>
    </row>
    <row r="9" spans="1:5" hidden="1">
      <c r="B9" t="s">
        <v>157</v>
      </c>
    </row>
    <row r="10" spans="1:5" hidden="1">
      <c r="B10" t="s">
        <v>158</v>
      </c>
    </row>
    <row r="11" spans="1:5">
      <c r="A11" t="s">
        <v>112</v>
      </c>
      <c r="B11" t="s">
        <v>159</v>
      </c>
      <c r="C11" s="19"/>
    </row>
    <row r="12" spans="1:5">
      <c r="A12" t="s">
        <v>113</v>
      </c>
      <c r="B12" t="s">
        <v>160</v>
      </c>
      <c r="E12" s="30" t="s">
        <v>37816</v>
      </c>
    </row>
    <row r="13" spans="1:5">
      <c r="A13" t="s">
        <v>114</v>
      </c>
      <c r="B13" t="s">
        <v>161</v>
      </c>
      <c r="E13" s="30"/>
    </row>
    <row r="14" spans="1:5">
      <c r="A14" t="s">
        <v>115</v>
      </c>
      <c r="B14" t="s">
        <v>162</v>
      </c>
    </row>
    <row r="15" spans="1:5">
      <c r="A15" t="s">
        <v>116</v>
      </c>
      <c r="B15" t="s">
        <v>163</v>
      </c>
    </row>
    <row r="16" spans="1:5">
      <c r="A16" t="s">
        <v>117</v>
      </c>
      <c r="B16" t="s">
        <v>164</v>
      </c>
    </row>
    <row r="17" spans="1:2">
      <c r="A17" t="s">
        <v>267</v>
      </c>
      <c r="B17" t="s">
        <v>165</v>
      </c>
    </row>
    <row r="18" spans="1:2">
      <c r="A18" t="s">
        <v>118</v>
      </c>
      <c r="B18" t="s">
        <v>166</v>
      </c>
    </row>
    <row r="19" spans="1:2" hidden="1">
      <c r="B19" t="s">
        <v>167</v>
      </c>
    </row>
    <row r="20" spans="1:2" hidden="1">
      <c r="B20" t="s">
        <v>168</v>
      </c>
    </row>
    <row r="21" spans="1:2" hidden="1">
      <c r="B21" t="s">
        <v>169</v>
      </c>
    </row>
    <row r="22" spans="1:2" hidden="1">
      <c r="B22" t="s">
        <v>170</v>
      </c>
    </row>
    <row r="23" spans="1:2" hidden="1">
      <c r="B23" t="s">
        <v>171</v>
      </c>
    </row>
    <row r="24" spans="1:2" hidden="1">
      <c r="B24" t="s">
        <v>172</v>
      </c>
    </row>
    <row r="25" spans="1:2">
      <c r="A25" t="s">
        <v>119</v>
      </c>
      <c r="B25" t="s">
        <v>173</v>
      </c>
    </row>
    <row r="26" spans="1:2">
      <c r="A26" t="s">
        <v>120</v>
      </c>
      <c r="B26" t="s">
        <v>174</v>
      </c>
    </row>
    <row r="27" spans="1:2">
      <c r="A27" t="s">
        <v>121</v>
      </c>
      <c r="B27" t="s">
        <v>175</v>
      </c>
    </row>
    <row r="28" spans="1:2">
      <c r="A28" t="s">
        <v>122</v>
      </c>
      <c r="B28" t="s">
        <v>176</v>
      </c>
    </row>
    <row r="29" spans="1:2">
      <c r="A29" t="s">
        <v>123</v>
      </c>
      <c r="B29" t="s">
        <v>177</v>
      </c>
    </row>
    <row r="30" spans="1:2" hidden="1">
      <c r="B30" t="s">
        <v>266</v>
      </c>
    </row>
    <row r="31" spans="1:2">
      <c r="A31" t="s">
        <v>124</v>
      </c>
      <c r="B31" t="s">
        <v>144</v>
      </c>
    </row>
    <row r="32" spans="1:2" hidden="1">
      <c r="B32" t="s">
        <v>145</v>
      </c>
    </row>
    <row r="33" spans="1:2" hidden="1">
      <c r="A33" t="s">
        <v>125</v>
      </c>
      <c r="B33" t="s">
        <v>146</v>
      </c>
    </row>
    <row r="34" spans="1:2" hidden="1">
      <c r="B34" t="s">
        <v>147</v>
      </c>
    </row>
    <row r="35" spans="1:2" hidden="1">
      <c r="B35" t="s">
        <v>148</v>
      </c>
    </row>
    <row r="36" spans="1:2" hidden="1">
      <c r="B36" t="s">
        <v>149</v>
      </c>
    </row>
    <row r="37" spans="1:2" hidden="1">
      <c r="B37" t="s">
        <v>178</v>
      </c>
    </row>
    <row r="38" spans="1:2" hidden="1">
      <c r="B38" t="s">
        <v>179</v>
      </c>
    </row>
    <row r="39" spans="1:2" hidden="1">
      <c r="B39" t="s">
        <v>180</v>
      </c>
    </row>
    <row r="40" spans="1:2">
      <c r="A40" t="s">
        <v>126</v>
      </c>
      <c r="B40" t="s">
        <v>181</v>
      </c>
    </row>
    <row r="41" spans="1:2" hidden="1">
      <c r="B41" t="s">
        <v>150</v>
      </c>
    </row>
    <row r="42" spans="1:2" hidden="1">
      <c r="B42" t="s">
        <v>182</v>
      </c>
    </row>
    <row r="43" spans="1:2">
      <c r="A43" t="s">
        <v>127</v>
      </c>
      <c r="B43" t="s">
        <v>183</v>
      </c>
    </row>
    <row r="44" spans="1:2" hidden="1">
      <c r="B44" t="s">
        <v>184</v>
      </c>
    </row>
    <row r="45" spans="1:2" hidden="1">
      <c r="B45" t="s">
        <v>185</v>
      </c>
    </row>
    <row r="46" spans="1:2" hidden="1">
      <c r="B46" t="s">
        <v>186</v>
      </c>
    </row>
    <row r="47" spans="1:2" hidden="1">
      <c r="B47" t="s">
        <v>187</v>
      </c>
    </row>
    <row r="48" spans="1:2" hidden="1">
      <c r="B48" t="s">
        <v>188</v>
      </c>
    </row>
    <row r="49" spans="1:3">
      <c r="A49" t="s">
        <v>128</v>
      </c>
      <c r="B49" t="s">
        <v>189</v>
      </c>
      <c r="C49" t="s">
        <v>24</v>
      </c>
    </row>
    <row r="50" spans="1:3" hidden="1">
      <c r="B50" t="s">
        <v>190</v>
      </c>
    </row>
    <row r="51" spans="1:3">
      <c r="A51" t="s">
        <v>600</v>
      </c>
      <c r="B51" t="s">
        <v>191</v>
      </c>
    </row>
    <row r="52" spans="1:3">
      <c r="A52" t="s">
        <v>601</v>
      </c>
      <c r="B52" t="s">
        <v>192</v>
      </c>
    </row>
    <row r="53" spans="1:3" hidden="1">
      <c r="A53" t="s">
        <v>600</v>
      </c>
      <c r="B53" t="s">
        <v>193</v>
      </c>
    </row>
    <row r="54" spans="1:3" hidden="1">
      <c r="A54" t="s">
        <v>601</v>
      </c>
      <c r="B54" t="s">
        <v>194</v>
      </c>
    </row>
    <row r="55" spans="1:3" hidden="1">
      <c r="B55" t="s">
        <v>195</v>
      </c>
    </row>
    <row r="56" spans="1:3" hidden="1">
      <c r="B56" t="s">
        <v>196</v>
      </c>
    </row>
    <row r="57" spans="1:3" hidden="1">
      <c r="B57" t="s">
        <v>197</v>
      </c>
    </row>
    <row r="58" spans="1:3" hidden="1">
      <c r="B58" t="s">
        <v>198</v>
      </c>
    </row>
    <row r="59" spans="1:3" hidden="1">
      <c r="B59" t="s">
        <v>199</v>
      </c>
    </row>
    <row r="60" spans="1:3" hidden="1">
      <c r="B60" t="s">
        <v>200</v>
      </c>
    </row>
    <row r="61" spans="1:3" hidden="1">
      <c r="B61" t="s">
        <v>201</v>
      </c>
    </row>
    <row r="62" spans="1:3" hidden="1">
      <c r="B62" t="s">
        <v>202</v>
      </c>
    </row>
    <row r="63" spans="1:3" hidden="1">
      <c r="B63" t="s">
        <v>203</v>
      </c>
    </row>
    <row r="64" spans="1:3" hidden="1">
      <c r="B64" t="s">
        <v>204</v>
      </c>
    </row>
    <row r="65" spans="2:2" hidden="1">
      <c r="B65" t="s">
        <v>205</v>
      </c>
    </row>
    <row r="66" spans="2:2" hidden="1">
      <c r="B66" t="s">
        <v>206</v>
      </c>
    </row>
    <row r="67" spans="2:2" hidden="1">
      <c r="B67" t="s">
        <v>207</v>
      </c>
    </row>
    <row r="68" spans="2:2" hidden="1">
      <c r="B68" t="s">
        <v>208</v>
      </c>
    </row>
    <row r="69" spans="2:2" hidden="1">
      <c r="B69" t="s">
        <v>209</v>
      </c>
    </row>
    <row r="70" spans="2:2" hidden="1">
      <c r="B70" t="s">
        <v>210</v>
      </c>
    </row>
    <row r="71" spans="2:2" hidden="1">
      <c r="B71" t="s">
        <v>211</v>
      </c>
    </row>
    <row r="72" spans="2:2" hidden="1">
      <c r="B72" t="s">
        <v>212</v>
      </c>
    </row>
    <row r="73" spans="2:2" hidden="1">
      <c r="B73" t="s">
        <v>213</v>
      </c>
    </row>
    <row r="74" spans="2:2" hidden="1">
      <c r="B74" t="s">
        <v>214</v>
      </c>
    </row>
    <row r="75" spans="2:2" hidden="1">
      <c r="B75" t="s">
        <v>215</v>
      </c>
    </row>
    <row r="76" spans="2:2" hidden="1">
      <c r="B76" t="s">
        <v>216</v>
      </c>
    </row>
    <row r="77" spans="2:2" hidden="1">
      <c r="B77" t="s">
        <v>217</v>
      </c>
    </row>
    <row r="78" spans="2:2" hidden="1">
      <c r="B78" t="s">
        <v>218</v>
      </c>
    </row>
    <row r="79" spans="2:2" hidden="1">
      <c r="B79" t="s">
        <v>219</v>
      </c>
    </row>
    <row r="80" spans="2:2" hidden="1">
      <c r="B80" t="s">
        <v>220</v>
      </c>
    </row>
    <row r="81" spans="1:3">
      <c r="A81" t="s">
        <v>129</v>
      </c>
      <c r="B81" t="s">
        <v>221</v>
      </c>
      <c r="C81" t="s">
        <v>521</v>
      </c>
    </row>
    <row r="82" spans="1:3" hidden="1">
      <c r="B82" t="s">
        <v>222</v>
      </c>
    </row>
    <row r="83" spans="1:3">
      <c r="A83" t="s">
        <v>130</v>
      </c>
      <c r="B83" t="s">
        <v>223</v>
      </c>
      <c r="C83" s="23"/>
    </row>
    <row r="84" spans="1:3">
      <c r="A84" t="s">
        <v>131</v>
      </c>
      <c r="B84" t="s">
        <v>224</v>
      </c>
    </row>
    <row r="85" spans="1:3">
      <c r="A85" t="s">
        <v>132</v>
      </c>
      <c r="B85" t="s">
        <v>225</v>
      </c>
    </row>
    <row r="86" spans="1:3">
      <c r="A86" t="s">
        <v>133</v>
      </c>
      <c r="B86" t="s">
        <v>226</v>
      </c>
    </row>
    <row r="87" spans="1:3">
      <c r="A87" t="s">
        <v>134</v>
      </c>
      <c r="B87" t="s">
        <v>227</v>
      </c>
    </row>
    <row r="88" spans="1:3">
      <c r="A88" t="s">
        <v>132</v>
      </c>
      <c r="B88" t="s">
        <v>228</v>
      </c>
    </row>
    <row r="89" spans="1:3">
      <c r="A89" t="s">
        <v>135</v>
      </c>
      <c r="B89" t="s">
        <v>229</v>
      </c>
    </row>
    <row r="90" spans="1:3" hidden="1">
      <c r="B90" t="s">
        <v>230</v>
      </c>
    </row>
    <row r="91" spans="1:3" hidden="1">
      <c r="B91" t="s">
        <v>231</v>
      </c>
    </row>
    <row r="92" spans="1:3" hidden="1">
      <c r="B92" t="s">
        <v>232</v>
      </c>
    </row>
    <row r="93" spans="1:3" hidden="1">
      <c r="B93" t="s">
        <v>233</v>
      </c>
    </row>
    <row r="94" spans="1:3" hidden="1">
      <c r="B94" t="s">
        <v>234</v>
      </c>
    </row>
    <row r="95" spans="1:3" hidden="1">
      <c r="B95" t="s">
        <v>235</v>
      </c>
    </row>
    <row r="96" spans="1:3" hidden="1">
      <c r="B96" t="s">
        <v>236</v>
      </c>
    </row>
    <row r="97" spans="1:3" hidden="1">
      <c r="B97" t="s">
        <v>237</v>
      </c>
    </row>
    <row r="98" spans="1:3" hidden="1">
      <c r="B98" t="s">
        <v>238</v>
      </c>
    </row>
    <row r="99" spans="1:3" hidden="1">
      <c r="B99" t="s">
        <v>239</v>
      </c>
    </row>
    <row r="100" spans="1:3" hidden="1">
      <c r="B100" t="s">
        <v>240</v>
      </c>
    </row>
    <row r="101" spans="1:3" hidden="1">
      <c r="B101" t="s">
        <v>241</v>
      </c>
    </row>
    <row r="102" spans="1:3">
      <c r="A102" t="s">
        <v>136</v>
      </c>
      <c r="B102" t="s">
        <v>242</v>
      </c>
    </row>
    <row r="103" spans="1:3">
      <c r="A103" t="s">
        <v>137</v>
      </c>
      <c r="B103" t="s">
        <v>243</v>
      </c>
      <c r="C103" t="s">
        <v>39048</v>
      </c>
    </row>
    <row r="104" spans="1:3">
      <c r="A104" t="s">
        <v>138</v>
      </c>
      <c r="B104" t="s">
        <v>244</v>
      </c>
    </row>
    <row r="105" spans="1:3">
      <c r="A105" t="s">
        <v>139</v>
      </c>
      <c r="B105" t="s">
        <v>245</v>
      </c>
      <c r="C105" s="23"/>
    </row>
    <row r="106" spans="1:3">
      <c r="A106" t="s">
        <v>140</v>
      </c>
      <c r="B106" t="s">
        <v>246</v>
      </c>
    </row>
    <row r="107" spans="1:3">
      <c r="A107" t="s">
        <v>141</v>
      </c>
      <c r="B107" t="s">
        <v>247</v>
      </c>
    </row>
    <row r="108" spans="1:3">
      <c r="A108" t="s">
        <v>269</v>
      </c>
      <c r="B108" t="s">
        <v>248</v>
      </c>
    </row>
    <row r="109" spans="1:3">
      <c r="A109" t="s">
        <v>38</v>
      </c>
      <c r="B109" t="s">
        <v>249</v>
      </c>
    </row>
    <row r="110" spans="1:3" hidden="1">
      <c r="B110" t="s">
        <v>250</v>
      </c>
    </row>
    <row r="111" spans="1:3">
      <c r="A111" t="s">
        <v>142</v>
      </c>
      <c r="B111" t="s">
        <v>251</v>
      </c>
    </row>
    <row r="112" spans="1:3">
      <c r="A112" t="s">
        <v>270</v>
      </c>
      <c r="B112" t="s">
        <v>252</v>
      </c>
    </row>
    <row r="113" spans="1:2">
      <c r="A113" t="s">
        <v>143</v>
      </c>
      <c r="B113" t="s">
        <v>253</v>
      </c>
    </row>
    <row r="114" spans="1:2">
      <c r="A114" t="s">
        <v>271</v>
      </c>
      <c r="B114" t="s">
        <v>254</v>
      </c>
    </row>
    <row r="115" spans="1:2">
      <c r="A115" t="s">
        <v>272</v>
      </c>
      <c r="B115" t="s">
        <v>255</v>
      </c>
    </row>
    <row r="116" spans="1:2" hidden="1">
      <c r="B116" t="s">
        <v>256</v>
      </c>
    </row>
    <row r="117" spans="1:2" hidden="1">
      <c r="B117" t="s">
        <v>257</v>
      </c>
    </row>
    <row r="118" spans="1:2" hidden="1">
      <c r="B118" t="s">
        <v>258</v>
      </c>
    </row>
    <row r="119" spans="1:2" hidden="1">
      <c r="B119" t="s">
        <v>259</v>
      </c>
    </row>
    <row r="120" spans="1:2" hidden="1">
      <c r="B120" t="s">
        <v>260</v>
      </c>
    </row>
    <row r="121" spans="1:2" hidden="1">
      <c r="B121" t="s">
        <v>261</v>
      </c>
    </row>
    <row r="122" spans="1:2" hidden="1">
      <c r="B122" t="s">
        <v>262</v>
      </c>
    </row>
    <row r="123" spans="1:2">
      <c r="A123" t="s">
        <v>273</v>
      </c>
      <c r="B123" t="s">
        <v>263</v>
      </c>
    </row>
    <row r="124" spans="1:2">
      <c r="A124" t="s">
        <v>274</v>
      </c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TransferringFromSheet2_to_Sheet3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4</xdr:col>
                    <xdr:colOff>1019175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3.DeleteItemForTextData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1000125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3.makeText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333375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051D-189D-4777-9D81-A5519D26825A}">
  <sheetPr codeName="Sheet5"/>
  <dimension ref="A1:D125"/>
  <sheetViews>
    <sheetView workbookViewId="0">
      <selection activeCell="D13" sqref="D13"/>
    </sheetView>
  </sheetViews>
  <sheetFormatPr defaultRowHeight="18.75"/>
  <cols>
    <col min="1" max="1" width="21.375" bestFit="1" customWidth="1"/>
    <col min="2" max="2" width="21.875" customWidth="1"/>
    <col min="4" max="4" width="18.125" customWidth="1"/>
  </cols>
  <sheetData>
    <row r="1" spans="1:4">
      <c r="B1" t="s">
        <v>522</v>
      </c>
    </row>
    <row r="3" spans="1:4">
      <c r="A3" t="s">
        <v>110</v>
      </c>
      <c r="B3" t="s">
        <v>518</v>
      </c>
    </row>
    <row r="4" spans="1:4">
      <c r="A4" t="s">
        <v>111</v>
      </c>
      <c r="B4" t="s">
        <v>108</v>
      </c>
    </row>
    <row r="5" spans="1:4" hidden="1">
      <c r="B5" t="s">
        <v>109</v>
      </c>
    </row>
    <row r="6" spans="1:4" hidden="1">
      <c r="B6" t="s">
        <v>109</v>
      </c>
    </row>
    <row r="7" spans="1:4" hidden="1"/>
    <row r="8" spans="1:4" hidden="1">
      <c r="B8" t="s">
        <v>519</v>
      </c>
    </row>
    <row r="9" spans="1:4" hidden="1">
      <c r="B9" t="s">
        <v>519</v>
      </c>
    </row>
    <row r="10" spans="1:4">
      <c r="A10" t="s">
        <v>561</v>
      </c>
    </row>
    <row r="11" spans="1:4">
      <c r="A11" t="s">
        <v>112</v>
      </c>
      <c r="B11" s="19"/>
    </row>
    <row r="12" spans="1:4">
      <c r="A12" t="s">
        <v>113</v>
      </c>
      <c r="D12" s="30" t="s">
        <v>37816</v>
      </c>
    </row>
    <row r="13" spans="1:4">
      <c r="A13" t="s">
        <v>523</v>
      </c>
      <c r="D13" s="30"/>
    </row>
    <row r="14" spans="1:4">
      <c r="A14" t="s">
        <v>115</v>
      </c>
    </row>
    <row r="15" spans="1:4">
      <c r="A15" t="s">
        <v>116</v>
      </c>
    </row>
    <row r="16" spans="1:4">
      <c r="A16" t="s">
        <v>117</v>
      </c>
    </row>
    <row r="17" spans="1:1">
      <c r="A17" t="s">
        <v>267</v>
      </c>
    </row>
    <row r="18" spans="1:1">
      <c r="A18" t="s">
        <v>524</v>
      </c>
    </row>
    <row r="19" spans="1:1" hidden="1"/>
    <row r="20" spans="1:1" hidden="1"/>
    <row r="21" spans="1:1" hidden="1"/>
    <row r="22" spans="1:1" hidden="1"/>
    <row r="23" spans="1:1">
      <c r="A23" t="s">
        <v>537</v>
      </c>
    </row>
    <row r="24" spans="1:1" hidden="1"/>
    <row r="25" spans="1:1">
      <c r="A25" t="s">
        <v>119</v>
      </c>
    </row>
    <row r="26" spans="1:1">
      <c r="A26" t="s">
        <v>120</v>
      </c>
    </row>
    <row r="27" spans="1:1">
      <c r="A27" t="s">
        <v>121</v>
      </c>
    </row>
    <row r="28" spans="1:1">
      <c r="A28" t="s">
        <v>122</v>
      </c>
    </row>
    <row r="29" spans="1:1">
      <c r="A29" t="s">
        <v>123</v>
      </c>
    </row>
    <row r="30" spans="1:1" hidden="1"/>
    <row r="31" spans="1:1">
      <c r="A31" t="s">
        <v>124</v>
      </c>
    </row>
    <row r="32" spans="1:1" hidden="1"/>
    <row r="33" spans="1:1" hidden="1">
      <c r="A33" t="s">
        <v>125</v>
      </c>
    </row>
    <row r="34" spans="1:1" hidden="1"/>
    <row r="35" spans="1:1" hidden="1"/>
    <row r="36" spans="1:1" hidden="1"/>
    <row r="37" spans="1:1" hidden="1"/>
    <row r="38" spans="1:1" hidden="1"/>
    <row r="39" spans="1:1" hidden="1"/>
    <row r="40" spans="1:1">
      <c r="A40" t="s">
        <v>126</v>
      </c>
    </row>
    <row r="41" spans="1:1" hidden="1"/>
    <row r="42" spans="1:1" hidden="1"/>
    <row r="43" spans="1:1" hidden="1">
      <c r="A43" t="s">
        <v>127</v>
      </c>
    </row>
    <row r="44" spans="1:1" hidden="1"/>
    <row r="45" spans="1:1" hidden="1"/>
    <row r="46" spans="1:1" hidden="1"/>
    <row r="47" spans="1:1" hidden="1"/>
    <row r="48" spans="1:1" hidden="1"/>
    <row r="49" spans="1:2">
      <c r="A49" t="s">
        <v>128</v>
      </c>
      <c r="B49" t="s">
        <v>24</v>
      </c>
    </row>
    <row r="50" spans="1:2" hidden="1"/>
    <row r="51" spans="1:2" hidden="1"/>
    <row r="52" spans="1:2" hidden="1"/>
    <row r="53" spans="1:2" hidden="1"/>
    <row r="54" spans="1:2" hidden="1"/>
    <row r="55" spans="1:2" hidden="1"/>
    <row r="56" spans="1:2" hidden="1"/>
    <row r="57" spans="1:2" hidden="1"/>
    <row r="58" spans="1:2" hidden="1"/>
    <row r="59" spans="1:2" hidden="1"/>
    <row r="60" spans="1:2" hidden="1"/>
    <row r="61" spans="1:2" hidden="1"/>
    <row r="62" spans="1:2" hidden="1"/>
    <row r="63" spans="1:2" hidden="1"/>
    <row r="64" spans="1:2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1:2">
      <c r="A81" t="s">
        <v>129</v>
      </c>
      <c r="B81" t="s">
        <v>521</v>
      </c>
    </row>
    <row r="82" spans="1:2" hidden="1"/>
    <row r="83" spans="1:2">
      <c r="A83" t="s">
        <v>130</v>
      </c>
    </row>
    <row r="84" spans="1:2">
      <c r="A84" t="s">
        <v>131</v>
      </c>
    </row>
    <row r="85" spans="1:2">
      <c r="A85" t="s">
        <v>132</v>
      </c>
    </row>
    <row r="86" spans="1:2">
      <c r="A86" t="s">
        <v>133</v>
      </c>
    </row>
    <row r="87" spans="1:2">
      <c r="A87" t="s">
        <v>134</v>
      </c>
    </row>
    <row r="88" spans="1:2">
      <c r="A88" t="s">
        <v>132</v>
      </c>
    </row>
    <row r="89" spans="1:2">
      <c r="A89" t="s">
        <v>135</v>
      </c>
    </row>
    <row r="90" spans="1:2" hidden="1"/>
    <row r="91" spans="1:2" hidden="1"/>
    <row r="92" spans="1:2">
      <c r="A92" t="s">
        <v>538</v>
      </c>
    </row>
    <row r="93" spans="1:2" hidden="1"/>
    <row r="94" spans="1:2" hidden="1"/>
    <row r="95" spans="1:2" hidden="1"/>
    <row r="96" spans="1:2" hidden="1"/>
    <row r="97" spans="1:2">
      <c r="A97" t="s">
        <v>539</v>
      </c>
    </row>
    <row r="98" spans="1:2" hidden="1"/>
    <row r="99" spans="1:2" hidden="1"/>
    <row r="100" spans="1:2" hidden="1"/>
    <row r="101" spans="1:2" hidden="1"/>
    <row r="102" spans="1:2">
      <c r="A102" t="s">
        <v>136</v>
      </c>
    </row>
    <row r="103" spans="1:2">
      <c r="A103" t="s">
        <v>137</v>
      </c>
      <c r="B103" t="s">
        <v>39048</v>
      </c>
    </row>
    <row r="104" spans="1:2">
      <c r="A104" t="s">
        <v>138</v>
      </c>
    </row>
    <row r="105" spans="1:2">
      <c r="A105" t="s">
        <v>139</v>
      </c>
    </row>
    <row r="106" spans="1:2">
      <c r="A106" t="s">
        <v>140</v>
      </c>
    </row>
    <row r="107" spans="1:2">
      <c r="A107" t="s">
        <v>141</v>
      </c>
    </row>
    <row r="108" spans="1:2">
      <c r="A108" t="s">
        <v>20</v>
      </c>
    </row>
    <row r="109" spans="1:2">
      <c r="A109" t="s">
        <v>38</v>
      </c>
    </row>
    <row r="110" spans="1:2">
      <c r="A110" t="s">
        <v>540</v>
      </c>
    </row>
    <row r="111" spans="1:2" hidden="1">
      <c r="A111" t="s">
        <v>142</v>
      </c>
    </row>
    <row r="112" spans="1:2" hidden="1">
      <c r="A112" t="s">
        <v>270</v>
      </c>
    </row>
    <row r="113" spans="1:1" hidden="1">
      <c r="A113" t="s">
        <v>143</v>
      </c>
    </row>
    <row r="114" spans="1:1" hidden="1">
      <c r="A114" t="s">
        <v>271</v>
      </c>
    </row>
    <row r="115" spans="1:1" hidden="1">
      <c r="A115" t="s">
        <v>525</v>
      </c>
    </row>
    <row r="116" spans="1:1" hidden="1"/>
    <row r="117" spans="1:1" hidden="1"/>
    <row r="118" spans="1:1">
      <c r="A118" t="s">
        <v>541</v>
      </c>
    </row>
    <row r="119" spans="1:1">
      <c r="A119" t="s">
        <v>541</v>
      </c>
    </row>
    <row r="120" spans="1:1" hidden="1">
      <c r="A120" t="s">
        <v>541</v>
      </c>
    </row>
    <row r="121" spans="1:1" hidden="1">
      <c r="A121" t="s">
        <v>541</v>
      </c>
    </row>
    <row r="122" spans="1:1" hidden="1">
      <c r="A122" t="s">
        <v>541</v>
      </c>
    </row>
    <row r="123" spans="1:1">
      <c r="A123" t="s">
        <v>273</v>
      </c>
    </row>
    <row r="124" spans="1:1">
      <c r="A124" t="s">
        <v>274</v>
      </c>
    </row>
    <row r="125" spans="1:1">
      <c r="A125" t="s">
        <v>275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3.TransferringFromSheet2_to_Sheet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3</xdr:col>
                    <xdr:colOff>1019175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5.DeleteItemForTextdata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1000125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299A6-5AC4-445B-86C3-FDD05DD9DDE1}">
  <sheetPr codeName="Sheet4"/>
  <dimension ref="B1:J802"/>
  <sheetViews>
    <sheetView topLeftCell="B1" zoomScale="70" zoomScaleNormal="70" workbookViewId="0">
      <selection activeCell="J3" sqref="J3"/>
    </sheetView>
  </sheetViews>
  <sheetFormatPr defaultRowHeight="24"/>
  <cols>
    <col min="2" max="2" width="6.625" style="20" customWidth="1"/>
    <col min="3" max="3" width="26.75" style="32" bestFit="1" customWidth="1"/>
    <col min="4" max="7" width="43.625" customWidth="1"/>
    <col min="8" max="8" width="30.875" bestFit="1" customWidth="1"/>
    <col min="9" max="9" width="11.375" customWidth="1"/>
    <col min="10" max="10" width="29.375" customWidth="1"/>
  </cols>
  <sheetData>
    <row r="1" spans="2:10" ht="24.95" customHeight="1">
      <c r="B1" s="20">
        <v>1</v>
      </c>
      <c r="C1" s="32" t="s">
        <v>38182</v>
      </c>
      <c r="D1" t="s">
        <v>413</v>
      </c>
      <c r="E1" t="s">
        <v>414</v>
      </c>
      <c r="F1" t="s">
        <v>415</v>
      </c>
    </row>
    <row r="2" spans="2:10" ht="24.95" customHeight="1">
      <c r="B2" s="20">
        <v>2</v>
      </c>
      <c r="C2" s="32" t="s">
        <v>38182</v>
      </c>
      <c r="D2" t="s">
        <v>38055</v>
      </c>
      <c r="E2" t="s">
        <v>38056</v>
      </c>
      <c r="F2" t="s">
        <v>38057</v>
      </c>
      <c r="G2" t="s">
        <v>38058</v>
      </c>
    </row>
    <row r="3" spans="2:10" ht="24.95" customHeight="1">
      <c r="B3" s="20">
        <v>3</v>
      </c>
      <c r="C3" s="32" t="s">
        <v>38182</v>
      </c>
      <c r="D3" t="s">
        <v>37846</v>
      </c>
      <c r="E3" t="s">
        <v>37847</v>
      </c>
      <c r="F3" t="s">
        <v>37848</v>
      </c>
      <c r="I3" s="127" t="s">
        <v>38633</v>
      </c>
      <c r="J3" s="127"/>
    </row>
    <row r="4" spans="2:10" ht="24.95" customHeight="1">
      <c r="B4" s="20">
        <v>4</v>
      </c>
      <c r="C4" s="32" t="s">
        <v>38182</v>
      </c>
      <c r="D4" t="s">
        <v>402</v>
      </c>
      <c r="E4" t="s">
        <v>403</v>
      </c>
      <c r="F4" t="s">
        <v>404</v>
      </c>
      <c r="G4" t="s">
        <v>405</v>
      </c>
    </row>
    <row r="5" spans="2:10" ht="24.95" customHeight="1">
      <c r="B5" s="20">
        <v>5</v>
      </c>
      <c r="C5" s="32" t="s">
        <v>38182</v>
      </c>
      <c r="D5" t="s">
        <v>330</v>
      </c>
      <c r="E5" t="s">
        <v>331</v>
      </c>
      <c r="F5" t="s">
        <v>332</v>
      </c>
    </row>
    <row r="6" spans="2:10" ht="24.95" customHeight="1">
      <c r="B6" s="20">
        <v>6</v>
      </c>
      <c r="C6" s="32" t="s">
        <v>38182</v>
      </c>
      <c r="D6" t="s">
        <v>287</v>
      </c>
      <c r="E6" t="s">
        <v>288</v>
      </c>
      <c r="F6" t="s">
        <v>289</v>
      </c>
    </row>
    <row r="7" spans="2:10" ht="24.95" customHeight="1">
      <c r="B7" s="20">
        <v>7</v>
      </c>
      <c r="C7" s="32" t="s">
        <v>38182</v>
      </c>
      <c r="D7" t="s">
        <v>406</v>
      </c>
      <c r="E7" t="s">
        <v>407</v>
      </c>
      <c r="F7" t="s">
        <v>408</v>
      </c>
    </row>
    <row r="8" spans="2:10" ht="24.95" customHeight="1">
      <c r="B8" s="20">
        <v>8</v>
      </c>
      <c r="C8" s="32" t="s">
        <v>38182</v>
      </c>
      <c r="D8" t="s">
        <v>280</v>
      </c>
      <c r="E8" t="s">
        <v>38558</v>
      </c>
      <c r="F8" t="s">
        <v>38559</v>
      </c>
      <c r="G8" t="s">
        <v>38560</v>
      </c>
    </row>
    <row r="9" spans="2:10" ht="24.95" customHeight="1">
      <c r="B9" s="20">
        <v>9</v>
      </c>
      <c r="C9" s="32" t="s">
        <v>38182</v>
      </c>
      <c r="D9" t="s">
        <v>280</v>
      </c>
      <c r="E9" t="s">
        <v>281</v>
      </c>
      <c r="F9" t="s">
        <v>282</v>
      </c>
    </row>
    <row r="10" spans="2:10" ht="24.95" customHeight="1">
      <c r="B10" s="20">
        <v>10</v>
      </c>
      <c r="C10" s="32" t="s">
        <v>38182</v>
      </c>
      <c r="D10" t="s">
        <v>276</v>
      </c>
      <c r="E10" t="s">
        <v>277</v>
      </c>
      <c r="F10" t="s">
        <v>278</v>
      </c>
      <c r="G10" t="s">
        <v>279</v>
      </c>
    </row>
    <row r="11" spans="2:10" ht="24.95" customHeight="1">
      <c r="B11" s="20">
        <v>11</v>
      </c>
      <c r="C11" s="32" t="s">
        <v>38182</v>
      </c>
      <c r="D11" t="s">
        <v>283</v>
      </c>
      <c r="E11" t="s">
        <v>284</v>
      </c>
      <c r="F11" t="s">
        <v>285</v>
      </c>
      <c r="G11" t="s">
        <v>286</v>
      </c>
    </row>
    <row r="12" spans="2:10" ht="24.95" customHeight="1">
      <c r="B12" s="20">
        <v>12</v>
      </c>
      <c r="C12" s="32" t="s">
        <v>38182</v>
      </c>
      <c r="D12" t="s">
        <v>341</v>
      </c>
      <c r="E12" t="s">
        <v>342</v>
      </c>
      <c r="F12" t="s">
        <v>343</v>
      </c>
    </row>
    <row r="13" spans="2:10" ht="24.95" customHeight="1">
      <c r="B13" s="20">
        <v>13</v>
      </c>
      <c r="C13" s="32" t="s">
        <v>38182</v>
      </c>
      <c r="D13" t="s">
        <v>37921</v>
      </c>
      <c r="E13" t="s">
        <v>37922</v>
      </c>
      <c r="F13" t="s">
        <v>37923</v>
      </c>
    </row>
    <row r="14" spans="2:10" ht="24.95" customHeight="1">
      <c r="B14" s="20">
        <v>14</v>
      </c>
      <c r="C14" s="32" t="s">
        <v>38182</v>
      </c>
      <c r="D14" t="s">
        <v>409</v>
      </c>
      <c r="E14" t="s">
        <v>410</v>
      </c>
      <c r="F14" t="s">
        <v>411</v>
      </c>
      <c r="G14" t="s">
        <v>412</v>
      </c>
    </row>
    <row r="15" spans="2:10" ht="24.95" customHeight="1">
      <c r="B15" s="20">
        <v>15</v>
      </c>
      <c r="C15" s="32" t="s">
        <v>38182</v>
      </c>
      <c r="D15" t="s">
        <v>38263</v>
      </c>
      <c r="E15" t="s">
        <v>38264</v>
      </c>
      <c r="F15" t="s">
        <v>38265</v>
      </c>
    </row>
    <row r="16" spans="2:10" ht="24.95" customHeight="1">
      <c r="B16" s="20">
        <v>16</v>
      </c>
      <c r="C16" s="32" t="s">
        <v>38182</v>
      </c>
      <c r="D16" t="s">
        <v>38377</v>
      </c>
      <c r="E16" t="s">
        <v>38378</v>
      </c>
      <c r="F16" t="s">
        <v>38379</v>
      </c>
      <c r="G16" t="s">
        <v>38380</v>
      </c>
    </row>
    <row r="17" spans="2:8" ht="24.95" customHeight="1">
      <c r="B17" s="20">
        <v>17</v>
      </c>
      <c r="C17" s="32" t="s">
        <v>38182</v>
      </c>
      <c r="D17" t="s">
        <v>38456</v>
      </c>
      <c r="E17" t="s">
        <v>38457</v>
      </c>
      <c r="F17" t="s">
        <v>38458</v>
      </c>
      <c r="G17" t="s">
        <v>38459</v>
      </c>
    </row>
    <row r="18" spans="2:8" ht="24.95" customHeight="1">
      <c r="B18" s="20">
        <v>18</v>
      </c>
      <c r="C18" s="32" t="s">
        <v>38182</v>
      </c>
      <c r="D18" t="s">
        <v>38483</v>
      </c>
      <c r="E18" t="s">
        <v>38484</v>
      </c>
      <c r="F18" t="s">
        <v>38485</v>
      </c>
    </row>
    <row r="19" spans="2:8" ht="24.95" customHeight="1">
      <c r="B19" s="20">
        <v>19</v>
      </c>
      <c r="C19" s="32" t="s">
        <v>38182</v>
      </c>
      <c r="D19" t="s">
        <v>38792</v>
      </c>
      <c r="E19" t="s">
        <v>38793</v>
      </c>
      <c r="F19" t="s">
        <v>38794</v>
      </c>
    </row>
    <row r="20" spans="2:8" ht="24.95" customHeight="1">
      <c r="B20" s="20">
        <v>20</v>
      </c>
      <c r="C20" s="32" t="s">
        <v>38182</v>
      </c>
      <c r="D20" t="s">
        <v>38814</v>
      </c>
      <c r="E20" t="s">
        <v>38815</v>
      </c>
      <c r="F20" t="s">
        <v>38816</v>
      </c>
      <c r="G20" t="s">
        <v>500</v>
      </c>
    </row>
    <row r="21" spans="2:8" ht="24.95" customHeight="1">
      <c r="B21" s="20">
        <v>21</v>
      </c>
      <c r="C21" s="32" t="s">
        <v>38182</v>
      </c>
      <c r="D21" t="s">
        <v>38820</v>
      </c>
      <c r="E21" t="s">
        <v>38821</v>
      </c>
      <c r="F21" t="s">
        <v>38822</v>
      </c>
      <c r="G21" t="s">
        <v>38823</v>
      </c>
    </row>
    <row r="22" spans="2:8" ht="24.95" customHeight="1">
      <c r="B22" s="20">
        <v>22</v>
      </c>
      <c r="C22" s="32" t="s">
        <v>38182</v>
      </c>
      <c r="D22" t="s">
        <v>38829</v>
      </c>
      <c r="E22" t="s">
        <v>38830</v>
      </c>
      <c r="F22" t="s">
        <v>38831</v>
      </c>
      <c r="G22" t="s">
        <v>38832</v>
      </c>
      <c r="H22" t="s">
        <v>38833</v>
      </c>
    </row>
    <row r="23" spans="2:8" ht="24.95" customHeight="1">
      <c r="B23" s="20">
        <v>23</v>
      </c>
      <c r="C23" s="32" t="s">
        <v>38182</v>
      </c>
      <c r="D23" t="s">
        <v>38890</v>
      </c>
      <c r="E23" t="s">
        <v>38891</v>
      </c>
      <c r="F23" t="s">
        <v>38892</v>
      </c>
    </row>
    <row r="24" spans="2:8" ht="24.95" customHeight="1">
      <c r="B24" s="20">
        <v>24</v>
      </c>
      <c r="C24" s="32" t="s">
        <v>38182</v>
      </c>
      <c r="D24" t="s">
        <v>38936</v>
      </c>
      <c r="E24" t="s">
        <v>38933</v>
      </c>
      <c r="F24" t="s">
        <v>38934</v>
      </c>
      <c r="G24" t="s">
        <v>38935</v>
      </c>
    </row>
    <row r="25" spans="2:8" ht="24.95" customHeight="1">
      <c r="B25" s="20">
        <v>25</v>
      </c>
      <c r="C25" s="32" t="s">
        <v>38182</v>
      </c>
      <c r="D25" t="s">
        <v>38957</v>
      </c>
      <c r="E25" t="s">
        <v>38958</v>
      </c>
      <c r="F25" t="s">
        <v>38959</v>
      </c>
      <c r="G25" t="s">
        <v>38960</v>
      </c>
    </row>
    <row r="26" spans="2:8" ht="24.95" customHeight="1">
      <c r="B26" s="20">
        <v>26</v>
      </c>
      <c r="C26" s="32" t="s">
        <v>38189</v>
      </c>
      <c r="D26" t="s">
        <v>38711</v>
      </c>
      <c r="E26" t="s">
        <v>38712</v>
      </c>
      <c r="F26" t="s">
        <v>38713</v>
      </c>
      <c r="G26" t="s">
        <v>38714</v>
      </c>
    </row>
    <row r="27" spans="2:8" ht="24.95" customHeight="1">
      <c r="B27" s="20">
        <v>27</v>
      </c>
      <c r="C27" s="32" t="s">
        <v>38189</v>
      </c>
      <c r="D27" t="s">
        <v>381</v>
      </c>
      <c r="E27" t="s">
        <v>382</v>
      </c>
      <c r="F27" t="s">
        <v>383</v>
      </c>
      <c r="G27" t="s">
        <v>384</v>
      </c>
    </row>
    <row r="28" spans="2:8" ht="24.95" customHeight="1">
      <c r="B28" s="20">
        <v>28</v>
      </c>
      <c r="C28" s="32" t="s">
        <v>38189</v>
      </c>
      <c r="D28" t="s">
        <v>377</v>
      </c>
      <c r="E28" t="s">
        <v>378</v>
      </c>
      <c r="F28" t="s">
        <v>379</v>
      </c>
      <c r="G28" t="s">
        <v>380</v>
      </c>
    </row>
    <row r="29" spans="2:8" ht="24.95" customHeight="1">
      <c r="B29" s="20">
        <v>29</v>
      </c>
      <c r="C29" s="32" t="s">
        <v>38189</v>
      </c>
      <c r="D29" t="s">
        <v>363</v>
      </c>
      <c r="E29" t="s">
        <v>364</v>
      </c>
      <c r="F29" t="s">
        <v>365</v>
      </c>
      <c r="G29" t="s">
        <v>366</v>
      </c>
    </row>
    <row r="30" spans="2:8" ht="24.95" customHeight="1">
      <c r="B30" s="20">
        <v>30</v>
      </c>
      <c r="C30" s="32" t="s">
        <v>38189</v>
      </c>
      <c r="D30" t="s">
        <v>363</v>
      </c>
      <c r="E30" t="s">
        <v>38512</v>
      </c>
      <c r="F30" t="s">
        <v>38513</v>
      </c>
      <c r="G30" t="s">
        <v>38514</v>
      </c>
      <c r="H30" t="s">
        <v>38515</v>
      </c>
    </row>
    <row r="31" spans="2:8" ht="24.95" customHeight="1">
      <c r="B31" s="20">
        <v>31</v>
      </c>
      <c r="C31" s="32" t="s">
        <v>38189</v>
      </c>
      <c r="D31" t="s">
        <v>363</v>
      </c>
      <c r="E31" t="s">
        <v>38592</v>
      </c>
      <c r="F31" t="s">
        <v>38593</v>
      </c>
      <c r="G31" t="s">
        <v>38594</v>
      </c>
      <c r="H31" t="s">
        <v>38595</v>
      </c>
    </row>
    <row r="32" spans="2:8" ht="24.95" customHeight="1">
      <c r="B32" s="20">
        <v>32</v>
      </c>
      <c r="C32" s="32" t="s">
        <v>38189</v>
      </c>
      <c r="D32" t="s">
        <v>359</v>
      </c>
      <c r="E32" t="s">
        <v>360</v>
      </c>
      <c r="F32" t="s">
        <v>361</v>
      </c>
      <c r="G32" t="s">
        <v>362</v>
      </c>
    </row>
    <row r="33" spans="2:8" ht="24.95" customHeight="1">
      <c r="B33" s="20">
        <v>33</v>
      </c>
      <c r="C33" s="32" t="s">
        <v>38189</v>
      </c>
      <c r="D33" t="s">
        <v>359</v>
      </c>
      <c r="E33" t="s">
        <v>360</v>
      </c>
      <c r="F33" t="s">
        <v>38590</v>
      </c>
      <c r="G33" t="s">
        <v>38591</v>
      </c>
    </row>
    <row r="34" spans="2:8" ht="24.95" customHeight="1">
      <c r="B34" s="20">
        <v>34</v>
      </c>
      <c r="C34" s="32" t="s">
        <v>38189</v>
      </c>
      <c r="D34" t="s">
        <v>367</v>
      </c>
      <c r="E34" t="s">
        <v>38511</v>
      </c>
      <c r="F34" t="s">
        <v>368</v>
      </c>
      <c r="G34" t="s">
        <v>369</v>
      </c>
    </row>
    <row r="35" spans="2:8" ht="24.95" customHeight="1">
      <c r="B35" s="20">
        <v>35</v>
      </c>
      <c r="C35" s="32" t="s">
        <v>38189</v>
      </c>
      <c r="D35" t="s">
        <v>38059</v>
      </c>
      <c r="E35" t="s">
        <v>38060</v>
      </c>
      <c r="F35" t="s">
        <v>38061</v>
      </c>
      <c r="G35" t="s">
        <v>628</v>
      </c>
    </row>
    <row r="36" spans="2:8" ht="24.95" customHeight="1">
      <c r="B36" s="20">
        <v>36</v>
      </c>
      <c r="C36" s="32" t="s">
        <v>38189</v>
      </c>
      <c r="D36" t="s">
        <v>370</v>
      </c>
      <c r="E36" t="s">
        <v>371</v>
      </c>
      <c r="F36" t="s">
        <v>372</v>
      </c>
    </row>
    <row r="37" spans="2:8" ht="24.95" customHeight="1">
      <c r="B37" s="20">
        <v>37</v>
      </c>
      <c r="C37" s="32" t="s">
        <v>38189</v>
      </c>
      <c r="D37" t="s">
        <v>370</v>
      </c>
      <c r="E37" t="s">
        <v>38865</v>
      </c>
      <c r="F37" t="s">
        <v>38866</v>
      </c>
    </row>
    <row r="38" spans="2:8" ht="24.95" customHeight="1">
      <c r="B38" s="20">
        <v>38</v>
      </c>
      <c r="C38" s="32" t="s">
        <v>38189</v>
      </c>
      <c r="D38" t="s">
        <v>373</v>
      </c>
      <c r="E38" t="s">
        <v>374</v>
      </c>
      <c r="F38" t="s">
        <v>375</v>
      </c>
      <c r="G38" t="s">
        <v>376</v>
      </c>
    </row>
    <row r="39" spans="2:8" ht="24.95" customHeight="1">
      <c r="B39" s="20">
        <v>39</v>
      </c>
      <c r="C39" s="32" t="s">
        <v>38189</v>
      </c>
      <c r="D39" t="s">
        <v>373</v>
      </c>
      <c r="E39" t="s">
        <v>38775</v>
      </c>
      <c r="F39" t="s">
        <v>38776</v>
      </c>
      <c r="G39" t="s">
        <v>38244</v>
      </c>
    </row>
    <row r="40" spans="2:8" ht="24.95" customHeight="1">
      <c r="B40" s="20">
        <v>40</v>
      </c>
      <c r="C40" s="32" t="s">
        <v>38189</v>
      </c>
      <c r="D40" t="s">
        <v>38241</v>
      </c>
      <c r="E40" t="s">
        <v>38242</v>
      </c>
      <c r="F40" t="s">
        <v>38243</v>
      </c>
      <c r="G40" t="s">
        <v>38244</v>
      </c>
    </row>
    <row r="41" spans="2:8" ht="24.95" customHeight="1">
      <c r="B41" s="20">
        <v>41</v>
      </c>
      <c r="C41" s="32" t="s">
        <v>38189</v>
      </c>
      <c r="D41" t="s">
        <v>38248</v>
      </c>
      <c r="E41" t="s">
        <v>38245</v>
      </c>
      <c r="F41" t="s">
        <v>38246</v>
      </c>
      <c r="G41" t="s">
        <v>38247</v>
      </c>
    </row>
    <row r="42" spans="2:8" ht="24.95" customHeight="1">
      <c r="B42" s="20">
        <v>42</v>
      </c>
      <c r="C42" s="32" t="s">
        <v>38189</v>
      </c>
      <c r="D42" t="s">
        <v>38251</v>
      </c>
      <c r="E42" t="s">
        <v>38252</v>
      </c>
      <c r="F42" t="s">
        <v>38253</v>
      </c>
    </row>
    <row r="43" spans="2:8" ht="24.95" customHeight="1">
      <c r="B43" s="20">
        <v>43</v>
      </c>
      <c r="C43" s="32" t="s">
        <v>38189</v>
      </c>
      <c r="D43" t="s">
        <v>38281</v>
      </c>
      <c r="E43" t="s">
        <v>38282</v>
      </c>
      <c r="F43" t="s">
        <v>38283</v>
      </c>
      <c r="G43" t="s">
        <v>17600</v>
      </c>
    </row>
    <row r="44" spans="2:8" ht="24.95" customHeight="1">
      <c r="B44" s="20">
        <v>44</v>
      </c>
      <c r="C44" s="32" t="s">
        <v>38189</v>
      </c>
      <c r="D44" t="s">
        <v>38318</v>
      </c>
      <c r="E44" t="s">
        <v>38319</v>
      </c>
      <c r="F44" t="s">
        <v>38320</v>
      </c>
    </row>
    <row r="45" spans="2:8" ht="24.95" customHeight="1">
      <c r="B45" s="20">
        <v>45</v>
      </c>
      <c r="C45" s="32" t="s">
        <v>38189</v>
      </c>
      <c r="D45" t="s">
        <v>38443</v>
      </c>
      <c r="E45" t="s">
        <v>38444</v>
      </c>
      <c r="F45" t="s">
        <v>38445</v>
      </c>
    </row>
    <row r="46" spans="2:8" ht="24.95" customHeight="1">
      <c r="B46" s="20">
        <v>46</v>
      </c>
      <c r="C46" s="32" t="s">
        <v>38189</v>
      </c>
      <c r="D46" t="s">
        <v>38544</v>
      </c>
      <c r="E46" t="s">
        <v>38545</v>
      </c>
      <c r="F46" t="s">
        <v>38546</v>
      </c>
    </row>
    <row r="47" spans="2:8" ht="24.95" customHeight="1">
      <c r="B47" s="20">
        <v>47</v>
      </c>
      <c r="C47" s="32" t="s">
        <v>38189</v>
      </c>
      <c r="D47" t="s">
        <v>38561</v>
      </c>
      <c r="E47" t="s">
        <v>38562</v>
      </c>
      <c r="F47" t="s">
        <v>38563</v>
      </c>
      <c r="G47" t="s">
        <v>38564</v>
      </c>
      <c r="H47" t="s">
        <v>38565</v>
      </c>
    </row>
    <row r="48" spans="2:8" ht="24.95" customHeight="1">
      <c r="B48" s="20">
        <v>48</v>
      </c>
      <c r="C48" s="32" t="s">
        <v>38189</v>
      </c>
      <c r="D48" t="s">
        <v>38754</v>
      </c>
      <c r="E48" t="s">
        <v>38755</v>
      </c>
      <c r="F48" t="s">
        <v>38756</v>
      </c>
      <c r="G48" t="s">
        <v>38757</v>
      </c>
    </row>
    <row r="49" spans="2:8" ht="24.95" customHeight="1">
      <c r="B49" s="20">
        <v>49</v>
      </c>
      <c r="C49" s="32" t="s">
        <v>38133</v>
      </c>
      <c r="D49" t="s">
        <v>38937</v>
      </c>
      <c r="E49" t="s">
        <v>38938</v>
      </c>
      <c r="F49" t="s">
        <v>38939</v>
      </c>
      <c r="G49" t="s">
        <v>38940</v>
      </c>
      <c r="H49" t="s">
        <v>38941</v>
      </c>
    </row>
    <row r="50" spans="2:8" ht="24.95" customHeight="1">
      <c r="B50" s="20">
        <v>50</v>
      </c>
      <c r="C50" s="32" t="s">
        <v>38133</v>
      </c>
      <c r="D50" t="s">
        <v>38715</v>
      </c>
      <c r="E50" t="s">
        <v>38716</v>
      </c>
      <c r="F50" t="s">
        <v>38717</v>
      </c>
      <c r="G50" t="s">
        <v>38718</v>
      </c>
    </row>
    <row r="51" spans="2:8" ht="24.95" customHeight="1">
      <c r="B51" s="20">
        <v>51</v>
      </c>
      <c r="C51" s="32" t="s">
        <v>38133</v>
      </c>
      <c r="D51" t="s">
        <v>38719</v>
      </c>
      <c r="E51" t="s">
        <v>38720</v>
      </c>
      <c r="F51" t="s">
        <v>38721</v>
      </c>
    </row>
    <row r="52" spans="2:8" ht="24.95" customHeight="1">
      <c r="B52" s="20">
        <v>52</v>
      </c>
      <c r="C52" s="32" t="s">
        <v>38133</v>
      </c>
      <c r="D52" t="s">
        <v>38566</v>
      </c>
      <c r="E52" t="s">
        <v>38567</v>
      </c>
      <c r="F52" t="s">
        <v>38568</v>
      </c>
    </row>
    <row r="53" spans="2:8" ht="24.95" customHeight="1">
      <c r="B53" s="20">
        <v>53</v>
      </c>
      <c r="C53" s="32" t="s">
        <v>38133</v>
      </c>
      <c r="D53" t="s">
        <v>38421</v>
      </c>
      <c r="E53" t="s">
        <v>38422</v>
      </c>
      <c r="F53" t="s">
        <v>38423</v>
      </c>
      <c r="G53" t="s">
        <v>38424</v>
      </c>
      <c r="H53" t="s">
        <v>38425</v>
      </c>
    </row>
    <row r="54" spans="2:8" ht="24.95" customHeight="1">
      <c r="B54" s="20">
        <v>54</v>
      </c>
      <c r="C54" s="32" t="s">
        <v>38133</v>
      </c>
      <c r="D54" t="s">
        <v>38314</v>
      </c>
      <c r="E54" t="s">
        <v>38315</v>
      </c>
      <c r="F54" t="s">
        <v>38316</v>
      </c>
      <c r="G54" t="s">
        <v>38317</v>
      </c>
    </row>
    <row r="55" spans="2:8" ht="24.95" customHeight="1">
      <c r="B55" s="20">
        <v>55</v>
      </c>
      <c r="C55" s="32" t="s">
        <v>38133</v>
      </c>
      <c r="D55" t="s">
        <v>556</v>
      </c>
      <c r="E55" t="s">
        <v>557</v>
      </c>
      <c r="F55" t="s">
        <v>558</v>
      </c>
    </row>
    <row r="56" spans="2:8" ht="24.95" customHeight="1">
      <c r="B56" s="20">
        <v>56</v>
      </c>
      <c r="C56" s="32" t="s">
        <v>38133</v>
      </c>
      <c r="D56" t="s">
        <v>37963</v>
      </c>
      <c r="E56" t="s">
        <v>37964</v>
      </c>
      <c r="F56" t="s">
        <v>37965</v>
      </c>
    </row>
    <row r="57" spans="2:8" ht="24.95" customHeight="1">
      <c r="B57" s="20">
        <v>57</v>
      </c>
      <c r="C57" s="32" t="s">
        <v>38133</v>
      </c>
      <c r="D57" t="s">
        <v>566</v>
      </c>
      <c r="E57" t="s">
        <v>567</v>
      </c>
      <c r="F57" t="s">
        <v>568</v>
      </c>
    </row>
    <row r="58" spans="2:8" ht="24.95" customHeight="1">
      <c r="B58" s="20">
        <v>58</v>
      </c>
      <c r="C58" s="32" t="s">
        <v>38133</v>
      </c>
      <c r="D58" t="s">
        <v>432</v>
      </c>
      <c r="E58" t="s">
        <v>433</v>
      </c>
      <c r="F58">
        <v>116600</v>
      </c>
    </row>
    <row r="59" spans="2:8" ht="24.95" customHeight="1">
      <c r="B59" s="20">
        <v>59</v>
      </c>
      <c r="C59" s="32" t="s">
        <v>38133</v>
      </c>
      <c r="D59" t="s">
        <v>37794</v>
      </c>
      <c r="E59" t="s">
        <v>37784</v>
      </c>
      <c r="F59" t="s">
        <v>37785</v>
      </c>
      <c r="G59" t="s">
        <v>37786</v>
      </c>
    </row>
    <row r="60" spans="2:8" ht="24.95" customHeight="1">
      <c r="B60" s="20">
        <v>60</v>
      </c>
      <c r="C60" s="32" t="s">
        <v>38133</v>
      </c>
      <c r="D60" t="s">
        <v>402</v>
      </c>
      <c r="E60" t="s">
        <v>403</v>
      </c>
      <c r="F60" t="s">
        <v>404</v>
      </c>
      <c r="G60" t="s">
        <v>405</v>
      </c>
    </row>
    <row r="61" spans="2:8" ht="24.95" customHeight="1">
      <c r="B61" s="20">
        <v>61</v>
      </c>
      <c r="C61" s="32" t="s">
        <v>38133</v>
      </c>
      <c r="D61" t="s">
        <v>37879</v>
      </c>
      <c r="E61" t="s">
        <v>37880</v>
      </c>
      <c r="F61" t="s">
        <v>37881</v>
      </c>
    </row>
    <row r="62" spans="2:8" ht="24.95" customHeight="1">
      <c r="B62" s="20">
        <v>62</v>
      </c>
      <c r="C62" s="32" t="s">
        <v>38133</v>
      </c>
      <c r="D62" t="s">
        <v>509</v>
      </c>
      <c r="E62" t="s">
        <v>510</v>
      </c>
      <c r="F62" t="s">
        <v>511</v>
      </c>
      <c r="G62" t="s">
        <v>512</v>
      </c>
    </row>
    <row r="63" spans="2:8" ht="24.95" customHeight="1">
      <c r="B63" s="20">
        <v>63</v>
      </c>
      <c r="C63" s="32" t="s">
        <v>38133</v>
      </c>
      <c r="D63" t="s">
        <v>37939</v>
      </c>
      <c r="E63" t="s">
        <v>37940</v>
      </c>
      <c r="F63" t="s">
        <v>37941</v>
      </c>
    </row>
    <row r="64" spans="2:8" ht="24.95" customHeight="1">
      <c r="B64" s="20">
        <v>64</v>
      </c>
      <c r="C64" s="32" t="s">
        <v>38133</v>
      </c>
      <c r="D64" t="s">
        <v>38802</v>
      </c>
      <c r="E64" t="s">
        <v>38803</v>
      </c>
      <c r="F64" t="s">
        <v>38804</v>
      </c>
      <c r="G64" t="s">
        <v>628</v>
      </c>
    </row>
    <row r="65" spans="2:8" ht="24.95" customHeight="1">
      <c r="B65" s="20">
        <v>65</v>
      </c>
      <c r="C65" s="32" t="s">
        <v>38133</v>
      </c>
      <c r="D65" t="s">
        <v>498</v>
      </c>
      <c r="E65" t="s">
        <v>499</v>
      </c>
      <c r="F65" t="s">
        <v>500</v>
      </c>
    </row>
    <row r="66" spans="2:8" ht="24.95" customHeight="1">
      <c r="B66" s="20">
        <v>66</v>
      </c>
      <c r="C66" s="32" t="s">
        <v>38133</v>
      </c>
      <c r="D66" t="s">
        <v>513</v>
      </c>
      <c r="E66" t="s">
        <v>514</v>
      </c>
      <c r="F66" t="s">
        <v>515</v>
      </c>
      <c r="G66" t="s">
        <v>516</v>
      </c>
      <c r="H66" t="s">
        <v>517</v>
      </c>
    </row>
    <row r="67" spans="2:8" ht="24.95" customHeight="1">
      <c r="B67" s="20">
        <v>67</v>
      </c>
      <c r="C67" s="32" t="s">
        <v>38133</v>
      </c>
      <c r="D67" t="s">
        <v>315</v>
      </c>
      <c r="E67" t="s">
        <v>316</v>
      </c>
      <c r="F67" t="s">
        <v>317</v>
      </c>
      <c r="G67" t="s">
        <v>318</v>
      </c>
    </row>
    <row r="68" spans="2:8" ht="24.95" customHeight="1">
      <c r="B68" s="20">
        <v>68</v>
      </c>
      <c r="C68" s="32" t="s">
        <v>38133</v>
      </c>
      <c r="D68" t="s">
        <v>441</v>
      </c>
      <c r="E68" t="s">
        <v>442</v>
      </c>
      <c r="F68" t="s">
        <v>443</v>
      </c>
      <c r="G68" t="s">
        <v>444</v>
      </c>
      <c r="H68" t="s">
        <v>445</v>
      </c>
    </row>
    <row r="69" spans="2:8" ht="24.95" customHeight="1">
      <c r="B69" s="20">
        <v>69</v>
      </c>
      <c r="C69" s="32" t="s">
        <v>38133</v>
      </c>
      <c r="D69" t="s">
        <v>328</v>
      </c>
      <c r="E69" t="s">
        <v>38313</v>
      </c>
      <c r="F69" t="s">
        <v>329</v>
      </c>
    </row>
    <row r="70" spans="2:8" ht="24.95" customHeight="1">
      <c r="B70" s="20">
        <v>70</v>
      </c>
      <c r="C70" s="32" t="s">
        <v>38133</v>
      </c>
      <c r="D70" t="s">
        <v>629</v>
      </c>
      <c r="E70" t="s">
        <v>630</v>
      </c>
      <c r="F70" t="s">
        <v>631</v>
      </c>
      <c r="G70" t="s">
        <v>632</v>
      </c>
      <c r="H70" t="s">
        <v>633</v>
      </c>
    </row>
    <row r="71" spans="2:8" ht="24.95" customHeight="1">
      <c r="B71" s="20">
        <v>71</v>
      </c>
      <c r="C71" s="32" t="s">
        <v>38133</v>
      </c>
      <c r="D71" t="s">
        <v>37983</v>
      </c>
      <c r="E71" t="s">
        <v>37984</v>
      </c>
      <c r="F71" t="s">
        <v>37985</v>
      </c>
    </row>
    <row r="72" spans="2:8" ht="24.95" customHeight="1">
      <c r="B72" s="20">
        <v>72</v>
      </c>
      <c r="C72" s="32" t="s">
        <v>38133</v>
      </c>
      <c r="D72" t="s">
        <v>39001</v>
      </c>
      <c r="E72" t="s">
        <v>38998</v>
      </c>
      <c r="F72" t="s">
        <v>38999</v>
      </c>
      <c r="G72" t="s">
        <v>39002</v>
      </c>
    </row>
    <row r="73" spans="2:8" ht="24.95" customHeight="1">
      <c r="B73" s="20">
        <v>73</v>
      </c>
      <c r="C73" s="32" t="s">
        <v>38133</v>
      </c>
      <c r="D73" t="s">
        <v>39000</v>
      </c>
      <c r="E73" t="s">
        <v>326</v>
      </c>
      <c r="F73" t="s">
        <v>327</v>
      </c>
    </row>
    <row r="74" spans="2:8" ht="24.95" customHeight="1">
      <c r="B74" s="20">
        <v>74</v>
      </c>
      <c r="C74" s="32" t="s">
        <v>38133</v>
      </c>
      <c r="D74" t="s">
        <v>325</v>
      </c>
      <c r="E74" t="s">
        <v>38249</v>
      </c>
      <c r="F74" t="s">
        <v>38250</v>
      </c>
    </row>
    <row r="75" spans="2:8" ht="24.95" customHeight="1">
      <c r="B75" s="20">
        <v>75</v>
      </c>
      <c r="C75" s="32" t="s">
        <v>38133</v>
      </c>
      <c r="D75" t="s">
        <v>468</v>
      </c>
      <c r="E75" t="s">
        <v>469</v>
      </c>
      <c r="F75" t="s">
        <v>470</v>
      </c>
    </row>
    <row r="76" spans="2:8" ht="24.95" customHeight="1">
      <c r="B76" s="20">
        <v>76</v>
      </c>
      <c r="C76" s="32" t="s">
        <v>38133</v>
      </c>
      <c r="D76" t="s">
        <v>38964</v>
      </c>
      <c r="E76" t="s">
        <v>38965</v>
      </c>
      <c r="F76" t="s">
        <v>38966</v>
      </c>
      <c r="G76" t="s">
        <v>38967</v>
      </c>
    </row>
    <row r="77" spans="2:8" ht="24.95" customHeight="1">
      <c r="B77" s="20">
        <v>77</v>
      </c>
      <c r="C77" s="32" t="s">
        <v>38133</v>
      </c>
      <c r="D77" t="s">
        <v>38614</v>
      </c>
      <c r="E77" t="s">
        <v>38615</v>
      </c>
      <c r="F77" t="s">
        <v>38616</v>
      </c>
      <c r="G77" t="s">
        <v>38617</v>
      </c>
      <c r="H77" t="s">
        <v>38618</v>
      </c>
    </row>
    <row r="78" spans="2:8" ht="24.95" customHeight="1">
      <c r="B78" s="20">
        <v>78</v>
      </c>
      <c r="C78" s="32" t="s">
        <v>38133</v>
      </c>
      <c r="D78" t="s">
        <v>553</v>
      </c>
      <c r="E78" t="s">
        <v>554</v>
      </c>
      <c r="F78" t="s">
        <v>555</v>
      </c>
    </row>
    <row r="79" spans="2:8" ht="24.95" customHeight="1">
      <c r="B79" s="20">
        <v>79</v>
      </c>
      <c r="C79" s="32" t="s">
        <v>38133</v>
      </c>
      <c r="D79" t="s">
        <v>38148</v>
      </c>
      <c r="E79" t="s">
        <v>38149</v>
      </c>
      <c r="F79" t="s">
        <v>38150</v>
      </c>
      <c r="G79" t="s">
        <v>38151</v>
      </c>
      <c r="H79" t="s">
        <v>8141</v>
      </c>
    </row>
    <row r="80" spans="2:8" ht="24.95" customHeight="1">
      <c r="B80" s="20">
        <v>80</v>
      </c>
      <c r="C80" s="32" t="s">
        <v>38133</v>
      </c>
      <c r="D80" t="s">
        <v>501</v>
      </c>
      <c r="E80" t="s">
        <v>502</v>
      </c>
      <c r="F80" t="s">
        <v>503</v>
      </c>
      <c r="G80" t="s">
        <v>504</v>
      </c>
      <c r="H80" t="s">
        <v>505</v>
      </c>
    </row>
    <row r="81" spans="2:7" ht="24.95" customHeight="1">
      <c r="B81" s="20">
        <v>81</v>
      </c>
      <c r="C81" s="32" t="s">
        <v>38133</v>
      </c>
      <c r="D81" t="s">
        <v>37820</v>
      </c>
      <c r="E81" t="s">
        <v>37904</v>
      </c>
      <c r="F81" t="s">
        <v>37905</v>
      </c>
    </row>
    <row r="82" spans="2:7" ht="24.95" customHeight="1">
      <c r="B82" s="20">
        <v>82</v>
      </c>
      <c r="C82" s="32" t="s">
        <v>38133</v>
      </c>
      <c r="D82" t="s">
        <v>455</v>
      </c>
      <c r="E82" t="s">
        <v>456</v>
      </c>
      <c r="F82" t="s">
        <v>457</v>
      </c>
      <c r="G82" t="s">
        <v>458</v>
      </c>
    </row>
    <row r="83" spans="2:7" ht="24.95" customHeight="1">
      <c r="B83" s="20">
        <v>83</v>
      </c>
      <c r="C83" s="32" t="s">
        <v>38133</v>
      </c>
      <c r="D83" t="s">
        <v>464</v>
      </c>
      <c r="E83" t="s">
        <v>465</v>
      </c>
      <c r="F83" t="s">
        <v>466</v>
      </c>
    </row>
    <row r="84" spans="2:7" ht="24.95" customHeight="1">
      <c r="B84" s="20">
        <v>84</v>
      </c>
      <c r="C84" s="32" t="s">
        <v>38133</v>
      </c>
      <c r="D84" t="s">
        <v>586</v>
      </c>
      <c r="E84" t="s">
        <v>587</v>
      </c>
      <c r="F84" t="s">
        <v>588</v>
      </c>
    </row>
    <row r="85" spans="2:7" ht="24.95" customHeight="1">
      <c r="B85" s="20">
        <v>85</v>
      </c>
      <c r="C85" s="32" t="s">
        <v>38133</v>
      </c>
      <c r="D85" t="s">
        <v>38039</v>
      </c>
      <c r="E85" t="s">
        <v>38040</v>
      </c>
      <c r="F85" t="s">
        <v>628</v>
      </c>
    </row>
    <row r="86" spans="2:7" ht="24.95" customHeight="1">
      <c r="B86" s="20">
        <v>86</v>
      </c>
      <c r="C86" s="32" t="s">
        <v>38133</v>
      </c>
      <c r="D86" t="s">
        <v>545</v>
      </c>
      <c r="E86" t="s">
        <v>546</v>
      </c>
      <c r="F86" t="s">
        <v>547</v>
      </c>
    </row>
    <row r="87" spans="2:7" ht="24.95" customHeight="1">
      <c r="B87" s="20">
        <v>87</v>
      </c>
      <c r="C87" s="32" t="s">
        <v>38133</v>
      </c>
      <c r="D87" t="s">
        <v>589</v>
      </c>
      <c r="E87" t="s">
        <v>590</v>
      </c>
      <c r="F87" t="s">
        <v>591</v>
      </c>
    </row>
    <row r="88" spans="2:7" ht="24.95" customHeight="1">
      <c r="B88" s="20">
        <v>88</v>
      </c>
      <c r="C88" s="32" t="s">
        <v>38133</v>
      </c>
      <c r="D88" t="s">
        <v>37890</v>
      </c>
      <c r="E88" t="s">
        <v>37891</v>
      </c>
      <c r="F88" t="s">
        <v>37892</v>
      </c>
      <c r="G88" t="s">
        <v>37893</v>
      </c>
    </row>
    <row r="89" spans="2:7" ht="24.95" customHeight="1">
      <c r="B89" s="20">
        <v>89</v>
      </c>
      <c r="C89" s="32" t="s">
        <v>38133</v>
      </c>
      <c r="D89" t="s">
        <v>437</v>
      </c>
      <c r="E89" t="s">
        <v>438</v>
      </c>
      <c r="F89" t="s">
        <v>439</v>
      </c>
      <c r="G89" t="s">
        <v>440</v>
      </c>
    </row>
    <row r="90" spans="2:7" ht="24.95" customHeight="1">
      <c r="B90" s="20">
        <v>90</v>
      </c>
      <c r="C90" s="32" t="s">
        <v>38133</v>
      </c>
      <c r="D90" t="s">
        <v>38049</v>
      </c>
      <c r="E90" t="s">
        <v>38050</v>
      </c>
    </row>
    <row r="91" spans="2:7" ht="24.95" customHeight="1">
      <c r="B91" s="20">
        <v>91</v>
      </c>
      <c r="C91" s="32" t="s">
        <v>38133</v>
      </c>
      <c r="D91" t="s">
        <v>37813</v>
      </c>
      <c r="E91" t="s">
        <v>37814</v>
      </c>
      <c r="F91" t="s">
        <v>37815</v>
      </c>
    </row>
    <row r="92" spans="2:7" ht="24.95" customHeight="1">
      <c r="B92" s="20">
        <v>92</v>
      </c>
      <c r="C92" s="32" t="s">
        <v>38133</v>
      </c>
      <c r="D92" t="s">
        <v>37986</v>
      </c>
      <c r="E92" t="s">
        <v>37987</v>
      </c>
      <c r="F92" t="s">
        <v>37988</v>
      </c>
    </row>
    <row r="93" spans="2:7" ht="24.95" customHeight="1">
      <c r="B93" s="20">
        <v>93</v>
      </c>
      <c r="C93" s="32" t="s">
        <v>38133</v>
      </c>
      <c r="D93" t="s">
        <v>38020</v>
      </c>
      <c r="E93" t="s">
        <v>38021</v>
      </c>
      <c r="F93" t="s">
        <v>38022</v>
      </c>
    </row>
    <row r="94" spans="2:7" ht="24.95" customHeight="1">
      <c r="B94" s="20">
        <v>94</v>
      </c>
      <c r="C94" s="32" t="s">
        <v>38133</v>
      </c>
      <c r="D94" t="s">
        <v>37835</v>
      </c>
      <c r="E94" t="s">
        <v>37836</v>
      </c>
      <c r="F94" t="s">
        <v>37837</v>
      </c>
      <c r="G94" t="s">
        <v>37838</v>
      </c>
    </row>
    <row r="95" spans="2:7" ht="24.95" customHeight="1">
      <c r="B95" s="20">
        <v>95</v>
      </c>
      <c r="C95" s="32" t="s">
        <v>38133</v>
      </c>
      <c r="D95" t="s">
        <v>303</v>
      </c>
      <c r="E95" t="s">
        <v>304</v>
      </c>
      <c r="F95" t="s">
        <v>305</v>
      </c>
    </row>
    <row r="96" spans="2:7" ht="24.95" customHeight="1">
      <c r="B96" s="20">
        <v>96</v>
      </c>
      <c r="C96" s="32" t="s">
        <v>38133</v>
      </c>
      <c r="D96" t="s">
        <v>303</v>
      </c>
      <c r="E96" t="s">
        <v>304</v>
      </c>
      <c r="F96" t="s">
        <v>38460</v>
      </c>
      <c r="G96" s="23" t="s">
        <v>38461</v>
      </c>
    </row>
    <row r="97" spans="2:7" ht="24.95" customHeight="1">
      <c r="B97" s="20">
        <v>97</v>
      </c>
      <c r="C97" s="32" t="s">
        <v>38133</v>
      </c>
      <c r="D97" t="s">
        <v>37981</v>
      </c>
      <c r="E97" t="s">
        <v>37982</v>
      </c>
    </row>
    <row r="98" spans="2:7" ht="24.95" customHeight="1">
      <c r="B98" s="20">
        <v>98</v>
      </c>
      <c r="C98" s="32" t="s">
        <v>38133</v>
      </c>
      <c r="D98" t="s">
        <v>37981</v>
      </c>
      <c r="E98" t="s">
        <v>38622</v>
      </c>
      <c r="F98" t="s">
        <v>38623</v>
      </c>
    </row>
    <row r="99" spans="2:7" ht="24.95" customHeight="1">
      <c r="B99" s="20">
        <v>99</v>
      </c>
      <c r="C99" s="32" t="s">
        <v>38133</v>
      </c>
      <c r="D99" t="s">
        <v>542</v>
      </c>
      <c r="E99" t="s">
        <v>543</v>
      </c>
      <c r="F99" t="s">
        <v>544</v>
      </c>
    </row>
    <row r="100" spans="2:7" ht="24.95" customHeight="1">
      <c r="B100" s="20">
        <v>100</v>
      </c>
      <c r="C100" s="32" t="s">
        <v>38133</v>
      </c>
      <c r="D100" t="s">
        <v>38023</v>
      </c>
      <c r="E100" t="s">
        <v>38024</v>
      </c>
      <c r="F100" t="s">
        <v>38025</v>
      </c>
    </row>
    <row r="101" spans="2:7" ht="24.95" customHeight="1">
      <c r="B101" s="20">
        <v>101</v>
      </c>
      <c r="C101" s="32" t="s">
        <v>38133</v>
      </c>
      <c r="D101" t="s">
        <v>592</v>
      </c>
      <c r="E101" t="s">
        <v>593</v>
      </c>
      <c r="F101" t="s">
        <v>594</v>
      </c>
      <c r="G101" t="s">
        <v>595</v>
      </c>
    </row>
    <row r="102" spans="2:7" ht="24.95" customHeight="1">
      <c r="B102" s="20">
        <v>102</v>
      </c>
      <c r="C102" s="32" t="s">
        <v>38133</v>
      </c>
      <c r="D102" t="s">
        <v>471</v>
      </c>
      <c r="E102" t="s">
        <v>472</v>
      </c>
      <c r="F102" t="s">
        <v>473</v>
      </c>
    </row>
    <row r="103" spans="2:7" ht="24.95" customHeight="1">
      <c r="B103" s="20">
        <v>103</v>
      </c>
      <c r="C103" s="32" t="s">
        <v>38133</v>
      </c>
      <c r="D103" t="s">
        <v>634</v>
      </c>
      <c r="E103" t="s">
        <v>635</v>
      </c>
      <c r="F103" t="s">
        <v>636</v>
      </c>
    </row>
    <row r="104" spans="2:7" ht="24.95" customHeight="1">
      <c r="B104" s="20">
        <v>104</v>
      </c>
      <c r="C104" s="32" t="s">
        <v>38133</v>
      </c>
      <c r="D104" t="s">
        <v>37898</v>
      </c>
      <c r="E104" t="s">
        <v>37899</v>
      </c>
      <c r="F104" t="s">
        <v>37900</v>
      </c>
    </row>
    <row r="105" spans="2:7" ht="24.95" customHeight="1">
      <c r="B105" s="20">
        <v>105</v>
      </c>
      <c r="C105" s="32" t="s">
        <v>38133</v>
      </c>
      <c r="D105" t="s">
        <v>38201</v>
      </c>
      <c r="E105" t="s">
        <v>38202</v>
      </c>
      <c r="F105" t="s">
        <v>38203</v>
      </c>
    </row>
    <row r="106" spans="2:7" ht="24.95" customHeight="1">
      <c r="B106" s="20">
        <v>106</v>
      </c>
      <c r="C106" s="32" t="s">
        <v>38133</v>
      </c>
      <c r="D106" t="s">
        <v>38220</v>
      </c>
      <c r="E106" t="s">
        <v>38221</v>
      </c>
      <c r="F106" t="s">
        <v>38222</v>
      </c>
    </row>
    <row r="107" spans="2:7" ht="24.95" customHeight="1">
      <c r="B107" s="20">
        <v>107</v>
      </c>
      <c r="C107" s="32" t="s">
        <v>38133</v>
      </c>
      <c r="D107" t="s">
        <v>38223</v>
      </c>
      <c r="E107" t="s">
        <v>38224</v>
      </c>
      <c r="F107" t="s">
        <v>38225</v>
      </c>
      <c r="G107" t="s">
        <v>24601</v>
      </c>
    </row>
    <row r="108" spans="2:7" ht="24.95" customHeight="1">
      <c r="B108" s="20">
        <v>108</v>
      </c>
      <c r="C108" s="32" t="s">
        <v>38133</v>
      </c>
      <c r="D108" t="s">
        <v>38227</v>
      </c>
      <c r="E108" t="s">
        <v>38228</v>
      </c>
      <c r="F108" t="s">
        <v>38229</v>
      </c>
      <c r="G108" t="s">
        <v>38230</v>
      </c>
    </row>
    <row r="109" spans="2:7" ht="24.95" customHeight="1">
      <c r="B109" s="20">
        <v>109</v>
      </c>
      <c r="C109" s="32" t="s">
        <v>38133</v>
      </c>
      <c r="D109" t="s">
        <v>38278</v>
      </c>
      <c r="E109" t="s">
        <v>38279</v>
      </c>
      <c r="F109" t="s">
        <v>38280</v>
      </c>
    </row>
    <row r="110" spans="2:7" ht="24.95" customHeight="1">
      <c r="B110" s="20">
        <v>110</v>
      </c>
      <c r="C110" s="32" t="s">
        <v>38133</v>
      </c>
      <c r="D110" t="s">
        <v>38413</v>
      </c>
      <c r="E110" t="s">
        <v>38710</v>
      </c>
      <c r="F110" t="s">
        <v>38414</v>
      </c>
      <c r="G110" t="s">
        <v>38415</v>
      </c>
    </row>
    <row r="111" spans="2:7" ht="24.95" customHeight="1">
      <c r="B111" s="20">
        <v>111</v>
      </c>
      <c r="C111" s="32" t="s">
        <v>38133</v>
      </c>
      <c r="D111" t="s">
        <v>38662</v>
      </c>
      <c r="E111" t="s">
        <v>38663</v>
      </c>
      <c r="F111" t="s">
        <v>38664</v>
      </c>
      <c r="G111" t="s">
        <v>38665</v>
      </c>
    </row>
    <row r="112" spans="2:7" ht="24.95" customHeight="1">
      <c r="B112" s="20">
        <v>112</v>
      </c>
      <c r="C112" s="32" t="s">
        <v>38669</v>
      </c>
      <c r="D112" t="s">
        <v>38670</v>
      </c>
      <c r="E112" t="s">
        <v>38671</v>
      </c>
      <c r="F112" t="s">
        <v>38672</v>
      </c>
      <c r="G112" t="s">
        <v>628</v>
      </c>
    </row>
    <row r="113" spans="2:8" ht="24.95" customHeight="1">
      <c r="B113" s="20">
        <v>113</v>
      </c>
      <c r="C113" s="32" t="s">
        <v>38669</v>
      </c>
      <c r="D113" t="s">
        <v>38070</v>
      </c>
      <c r="E113" t="s">
        <v>38071</v>
      </c>
      <c r="F113" t="s">
        <v>38072</v>
      </c>
      <c r="G113" t="s">
        <v>38745</v>
      </c>
    </row>
    <row r="114" spans="2:8" ht="24.95" customHeight="1">
      <c r="B114" s="20">
        <v>114</v>
      </c>
      <c r="C114" s="32" t="s">
        <v>38669</v>
      </c>
      <c r="D114" t="s">
        <v>38746</v>
      </c>
      <c r="E114" t="s">
        <v>38747</v>
      </c>
      <c r="F114" t="s">
        <v>38748</v>
      </c>
      <c r="G114" t="s">
        <v>38749</v>
      </c>
      <c r="H114" t="s">
        <v>38750</v>
      </c>
    </row>
    <row r="115" spans="2:8" ht="24.95" customHeight="1">
      <c r="B115" s="20">
        <v>115</v>
      </c>
      <c r="C115" s="32" t="s">
        <v>38669</v>
      </c>
      <c r="D115" t="s">
        <v>38753</v>
      </c>
      <c r="E115" t="s">
        <v>38751</v>
      </c>
      <c r="F115" t="s">
        <v>38752</v>
      </c>
    </row>
    <row r="116" spans="2:8" ht="24.95" customHeight="1">
      <c r="B116" s="20">
        <v>116</v>
      </c>
      <c r="C116" s="32" t="s">
        <v>38669</v>
      </c>
      <c r="D116" t="s">
        <v>38769</v>
      </c>
      <c r="E116" t="s">
        <v>38770</v>
      </c>
      <c r="F116" t="s">
        <v>38771</v>
      </c>
    </row>
    <row r="117" spans="2:8" ht="24.95" customHeight="1">
      <c r="B117" s="20">
        <v>117</v>
      </c>
      <c r="C117" s="32" t="s">
        <v>38669</v>
      </c>
      <c r="D117" t="s">
        <v>38772</v>
      </c>
      <c r="E117" t="s">
        <v>38773</v>
      </c>
      <c r="F117" t="s">
        <v>38774</v>
      </c>
    </row>
    <row r="118" spans="2:8" ht="24.95" customHeight="1">
      <c r="B118" s="20">
        <v>118</v>
      </c>
      <c r="C118" s="32" t="s">
        <v>38669</v>
      </c>
      <c r="D118" t="s">
        <v>548</v>
      </c>
      <c r="E118" t="s">
        <v>549</v>
      </c>
      <c r="F118" t="s">
        <v>550</v>
      </c>
    </row>
    <row r="119" spans="2:8" ht="24.95" customHeight="1">
      <c r="B119" s="20">
        <v>119</v>
      </c>
      <c r="C119" s="32" t="s">
        <v>38669</v>
      </c>
      <c r="D119" t="s">
        <v>38778</v>
      </c>
      <c r="E119" t="s">
        <v>38779</v>
      </c>
      <c r="F119" t="s">
        <v>38780</v>
      </c>
      <c r="G119" t="s">
        <v>38781</v>
      </c>
    </row>
    <row r="120" spans="2:8" ht="24.95" customHeight="1">
      <c r="B120" s="20">
        <v>120</v>
      </c>
      <c r="C120" s="32" t="s">
        <v>38669</v>
      </c>
      <c r="D120" t="s">
        <v>38788</v>
      </c>
      <c r="E120" t="s">
        <v>38789</v>
      </c>
      <c r="F120" t="s">
        <v>38790</v>
      </c>
      <c r="G120" t="s">
        <v>38791</v>
      </c>
    </row>
    <row r="121" spans="2:8" ht="24.95" customHeight="1">
      <c r="B121" s="20">
        <v>121</v>
      </c>
      <c r="C121" s="32" t="s">
        <v>38669</v>
      </c>
      <c r="D121" t="s">
        <v>38795</v>
      </c>
      <c r="E121" t="s">
        <v>38796</v>
      </c>
      <c r="F121" t="s">
        <v>38797</v>
      </c>
      <c r="G121" t="s">
        <v>38798</v>
      </c>
    </row>
    <row r="122" spans="2:8" ht="24.95" customHeight="1">
      <c r="B122" s="20">
        <v>122</v>
      </c>
      <c r="C122" s="32" t="s">
        <v>38669</v>
      </c>
      <c r="D122" t="s">
        <v>38811</v>
      </c>
      <c r="E122" t="s">
        <v>38812</v>
      </c>
      <c r="F122" t="s">
        <v>38813</v>
      </c>
    </row>
    <row r="123" spans="2:8" ht="24.95" customHeight="1">
      <c r="B123" s="20">
        <v>123</v>
      </c>
      <c r="C123" s="32" t="s">
        <v>38669</v>
      </c>
      <c r="D123" t="s">
        <v>38861</v>
      </c>
      <c r="E123" t="s">
        <v>38862</v>
      </c>
      <c r="F123" t="s">
        <v>38863</v>
      </c>
      <c r="G123" t="s">
        <v>38864</v>
      </c>
    </row>
    <row r="124" spans="2:8" ht="24.95" customHeight="1">
      <c r="B124" s="20">
        <v>124</v>
      </c>
      <c r="C124" s="32" t="s">
        <v>38669</v>
      </c>
      <c r="D124" t="s">
        <v>38926</v>
      </c>
      <c r="E124" t="s">
        <v>38927</v>
      </c>
      <c r="F124" t="s">
        <v>38928</v>
      </c>
      <c r="G124" t="s">
        <v>38929</v>
      </c>
    </row>
    <row r="125" spans="2:8" ht="24.95" customHeight="1">
      <c r="B125" s="20">
        <v>125</v>
      </c>
      <c r="C125" s="32" t="s">
        <v>38669</v>
      </c>
      <c r="D125" t="s">
        <v>38947</v>
      </c>
      <c r="E125" t="s">
        <v>38948</v>
      </c>
      <c r="F125" t="s">
        <v>38949</v>
      </c>
      <c r="G125" t="s">
        <v>38833</v>
      </c>
    </row>
    <row r="126" spans="2:8" ht="24.95" customHeight="1">
      <c r="B126" s="20">
        <v>126</v>
      </c>
      <c r="C126" s="32" t="s">
        <v>38669</v>
      </c>
      <c r="D126" t="s">
        <v>38950</v>
      </c>
      <c r="E126" t="s">
        <v>38951</v>
      </c>
      <c r="F126" t="s">
        <v>37825</v>
      </c>
    </row>
    <row r="127" spans="2:8" ht="24.95" customHeight="1">
      <c r="B127" s="20">
        <v>127</v>
      </c>
      <c r="C127" s="32" t="s">
        <v>38669</v>
      </c>
      <c r="D127" t="s">
        <v>38010</v>
      </c>
      <c r="E127" t="s">
        <v>38952</v>
      </c>
      <c r="F127" t="s">
        <v>38953</v>
      </c>
    </row>
    <row r="128" spans="2:8" ht="24.95" customHeight="1">
      <c r="B128" s="20">
        <v>128</v>
      </c>
      <c r="C128" s="32" t="s">
        <v>38669</v>
      </c>
      <c r="D128" t="s">
        <v>38988</v>
      </c>
      <c r="E128" t="s">
        <v>38989</v>
      </c>
      <c r="F128" t="s">
        <v>38990</v>
      </c>
      <c r="G128" t="s">
        <v>38991</v>
      </c>
    </row>
    <row r="129" spans="2:7" ht="24.95" customHeight="1">
      <c r="B129" s="20">
        <v>129</v>
      </c>
      <c r="C129" s="32" t="s">
        <v>38146</v>
      </c>
      <c r="D129" t="s">
        <v>38782</v>
      </c>
      <c r="E129" t="s">
        <v>490</v>
      </c>
      <c r="F129" t="s">
        <v>38783</v>
      </c>
      <c r="G129" t="s">
        <v>38784</v>
      </c>
    </row>
    <row r="130" spans="2:7" ht="24.95" customHeight="1">
      <c r="B130" s="20">
        <v>130</v>
      </c>
      <c r="C130" s="32" t="s">
        <v>38146</v>
      </c>
      <c r="D130" t="s">
        <v>38139</v>
      </c>
      <c r="E130" t="s">
        <v>38140</v>
      </c>
      <c r="F130" t="s">
        <v>38141</v>
      </c>
      <c r="G130" t="s">
        <v>38142</v>
      </c>
    </row>
    <row r="131" spans="2:7" ht="24.95" customHeight="1">
      <c r="B131" s="20">
        <v>131</v>
      </c>
      <c r="C131" s="32" t="s">
        <v>38146</v>
      </c>
      <c r="D131" t="s">
        <v>37947</v>
      </c>
      <c r="E131" t="s">
        <v>37948</v>
      </c>
      <c r="F131" t="s">
        <v>37949</v>
      </c>
    </row>
    <row r="132" spans="2:7" ht="24.95" customHeight="1">
      <c r="B132" s="20">
        <v>132</v>
      </c>
      <c r="C132" s="32" t="s">
        <v>38146</v>
      </c>
      <c r="D132" t="s">
        <v>37901</v>
      </c>
      <c r="E132" t="s">
        <v>37902</v>
      </c>
      <c r="F132" t="s">
        <v>37903</v>
      </c>
    </row>
    <row r="133" spans="2:7" ht="24.95" customHeight="1">
      <c r="B133" s="20">
        <v>133</v>
      </c>
      <c r="C133" s="32" t="s">
        <v>38146</v>
      </c>
      <c r="D133" t="s">
        <v>355</v>
      </c>
      <c r="E133" t="s">
        <v>356</v>
      </c>
      <c r="F133" t="s">
        <v>357</v>
      </c>
      <c r="G133" t="s">
        <v>358</v>
      </c>
    </row>
    <row r="134" spans="2:7" ht="24.95" customHeight="1">
      <c r="B134" s="20">
        <v>134</v>
      </c>
      <c r="C134" s="32" t="s">
        <v>38146</v>
      </c>
      <c r="D134" t="s">
        <v>569</v>
      </c>
      <c r="E134" t="s">
        <v>570</v>
      </c>
      <c r="F134" t="s">
        <v>571</v>
      </c>
    </row>
    <row r="135" spans="2:7" ht="24.95" customHeight="1">
      <c r="B135" s="20">
        <v>135</v>
      </c>
      <c r="C135" s="32" t="s">
        <v>38146</v>
      </c>
      <c r="D135" t="s">
        <v>347</v>
      </c>
      <c r="E135" t="s">
        <v>348</v>
      </c>
      <c r="F135" t="s">
        <v>349</v>
      </c>
      <c r="G135" t="s">
        <v>350</v>
      </c>
    </row>
    <row r="136" spans="2:7" ht="24.95" customHeight="1">
      <c r="B136" s="20">
        <v>136</v>
      </c>
      <c r="C136" s="32" t="s">
        <v>38146</v>
      </c>
      <c r="D136" t="s">
        <v>344</v>
      </c>
      <c r="E136" t="s">
        <v>345</v>
      </c>
      <c r="F136" t="s">
        <v>346</v>
      </c>
    </row>
    <row r="137" spans="2:7" ht="24.95" customHeight="1">
      <c r="B137" s="20">
        <v>137</v>
      </c>
      <c r="C137" s="32" t="s">
        <v>38146</v>
      </c>
      <c r="D137" t="s">
        <v>386</v>
      </c>
      <c r="E137" t="s">
        <v>387</v>
      </c>
      <c r="F137" t="s">
        <v>388</v>
      </c>
    </row>
    <row r="138" spans="2:7" ht="24.95" customHeight="1">
      <c r="B138" s="20">
        <v>138</v>
      </c>
      <c r="C138" s="32" t="s">
        <v>38146</v>
      </c>
      <c r="D138" t="s">
        <v>333</v>
      </c>
      <c r="E138" t="s">
        <v>334</v>
      </c>
      <c r="F138" t="s">
        <v>335</v>
      </c>
    </row>
    <row r="139" spans="2:7" ht="24.95" customHeight="1">
      <c r="B139" s="20">
        <v>139</v>
      </c>
      <c r="C139" s="32" t="s">
        <v>38146</v>
      </c>
      <c r="D139" t="s">
        <v>389</v>
      </c>
      <c r="E139" t="s">
        <v>390</v>
      </c>
      <c r="F139" t="s">
        <v>391</v>
      </c>
      <c r="G139" t="s">
        <v>392</v>
      </c>
    </row>
    <row r="140" spans="2:7" ht="24.95" customHeight="1">
      <c r="B140" s="20">
        <v>140</v>
      </c>
      <c r="C140" s="32" t="s">
        <v>38146</v>
      </c>
      <c r="D140" t="s">
        <v>548</v>
      </c>
      <c r="E140" t="s">
        <v>549</v>
      </c>
      <c r="F140" t="s">
        <v>550</v>
      </c>
    </row>
    <row r="141" spans="2:7" ht="24.95" customHeight="1">
      <c r="B141" s="20">
        <v>141</v>
      </c>
      <c r="C141" s="32" t="s">
        <v>38146</v>
      </c>
      <c r="D141" t="s">
        <v>37826</v>
      </c>
      <c r="E141" t="s">
        <v>37827</v>
      </c>
      <c r="F141" t="s">
        <v>37828</v>
      </c>
      <c r="G141" t="s">
        <v>37829</v>
      </c>
    </row>
    <row r="142" spans="2:7" ht="24.95" customHeight="1">
      <c r="B142" s="20">
        <v>142</v>
      </c>
      <c r="C142" s="32" t="s">
        <v>38146</v>
      </c>
      <c r="D142" t="s">
        <v>37849</v>
      </c>
      <c r="E142" t="s">
        <v>37850</v>
      </c>
      <c r="F142" t="s">
        <v>37851</v>
      </c>
      <c r="G142" t="s">
        <v>37852</v>
      </c>
    </row>
    <row r="143" spans="2:7" ht="24.95" customHeight="1">
      <c r="B143" s="20">
        <v>143</v>
      </c>
      <c r="C143" s="32" t="s">
        <v>38146</v>
      </c>
      <c r="D143" t="s">
        <v>37853</v>
      </c>
      <c r="E143" t="s">
        <v>37854</v>
      </c>
      <c r="F143" t="s">
        <v>37855</v>
      </c>
    </row>
    <row r="144" spans="2:7" ht="24.95" customHeight="1">
      <c r="B144" s="20">
        <v>144</v>
      </c>
      <c r="C144" s="32" t="s">
        <v>38146</v>
      </c>
      <c r="D144" t="s">
        <v>38010</v>
      </c>
      <c r="E144" t="s">
        <v>38011</v>
      </c>
      <c r="F144" t="s">
        <v>38012</v>
      </c>
    </row>
    <row r="145" spans="2:7" ht="24.95" customHeight="1">
      <c r="B145" s="20">
        <v>145</v>
      </c>
      <c r="C145" s="32" t="s">
        <v>38146</v>
      </c>
      <c r="D145" t="s">
        <v>38030</v>
      </c>
      <c r="E145" t="s">
        <v>38031</v>
      </c>
      <c r="F145" t="s">
        <v>38032</v>
      </c>
      <c r="G145" t="s">
        <v>38033</v>
      </c>
    </row>
    <row r="146" spans="2:7" ht="24.95" customHeight="1">
      <c r="B146" s="20">
        <v>146</v>
      </c>
      <c r="C146" s="32" t="s">
        <v>38146</v>
      </c>
      <c r="D146" t="s">
        <v>38144</v>
      </c>
      <c r="E146" t="s">
        <v>38147</v>
      </c>
      <c r="F146" t="s">
        <v>38145</v>
      </c>
    </row>
    <row r="147" spans="2:7" ht="24.95" customHeight="1">
      <c r="B147" s="20">
        <v>147</v>
      </c>
      <c r="C147" s="32" t="s">
        <v>38146</v>
      </c>
      <c r="D147" t="s">
        <v>38231</v>
      </c>
      <c r="E147" t="s">
        <v>38232</v>
      </c>
      <c r="F147" t="s">
        <v>38233</v>
      </c>
      <c r="G147" t="s">
        <v>38234</v>
      </c>
    </row>
    <row r="148" spans="2:7" ht="24.95" customHeight="1">
      <c r="B148" s="20">
        <v>148</v>
      </c>
      <c r="C148" s="32" t="s">
        <v>38146</v>
      </c>
      <c r="D148" t="s">
        <v>38139</v>
      </c>
      <c r="E148" t="s">
        <v>38266</v>
      </c>
      <c r="F148" t="s">
        <v>38141</v>
      </c>
      <c r="G148" t="s">
        <v>38142</v>
      </c>
    </row>
    <row r="149" spans="2:7" ht="24.95" customHeight="1">
      <c r="B149" s="20">
        <v>149</v>
      </c>
      <c r="C149" s="32" t="s">
        <v>38146</v>
      </c>
      <c r="D149" t="s">
        <v>38321</v>
      </c>
      <c r="E149" t="s">
        <v>38322</v>
      </c>
      <c r="F149" t="s">
        <v>38323</v>
      </c>
    </row>
    <row r="150" spans="2:7" ht="24.95" customHeight="1">
      <c r="B150" s="20">
        <v>150</v>
      </c>
      <c r="C150" s="32" t="s">
        <v>38146</v>
      </c>
      <c r="D150" t="s">
        <v>38321</v>
      </c>
      <c r="E150" t="s">
        <v>39004</v>
      </c>
      <c r="F150" t="s">
        <v>39005</v>
      </c>
      <c r="G150">
        <v>226001</v>
      </c>
    </row>
    <row r="151" spans="2:7" ht="24.95" customHeight="1">
      <c r="B151" s="20">
        <v>151</v>
      </c>
      <c r="C151" s="32" t="s">
        <v>38146</v>
      </c>
      <c r="D151" t="s">
        <v>38324</v>
      </c>
      <c r="E151" t="s">
        <v>38325</v>
      </c>
      <c r="F151" t="s">
        <v>38326</v>
      </c>
      <c r="G151" t="s">
        <v>38327</v>
      </c>
    </row>
    <row r="152" spans="2:7" ht="24.95" customHeight="1">
      <c r="B152" s="20">
        <v>152</v>
      </c>
      <c r="C152" s="32" t="s">
        <v>38146</v>
      </c>
      <c r="D152" t="s">
        <v>38334</v>
      </c>
      <c r="E152" t="s">
        <v>38335</v>
      </c>
      <c r="F152" t="s">
        <v>38032</v>
      </c>
      <c r="G152" t="s">
        <v>38336</v>
      </c>
    </row>
    <row r="153" spans="2:7" ht="24.95" customHeight="1">
      <c r="B153" s="20">
        <v>153</v>
      </c>
      <c r="C153" s="32" t="s">
        <v>38146</v>
      </c>
      <c r="D153" t="s">
        <v>38383</v>
      </c>
      <c r="E153" t="s">
        <v>38384</v>
      </c>
      <c r="F153" t="s">
        <v>38385</v>
      </c>
      <c r="G153" t="s">
        <v>38386</v>
      </c>
    </row>
    <row r="154" spans="2:7" ht="24.95" customHeight="1">
      <c r="B154" s="20">
        <v>154</v>
      </c>
      <c r="C154" s="32" t="s">
        <v>38146</v>
      </c>
      <c r="D154" t="s">
        <v>38666</v>
      </c>
      <c r="E154" t="s">
        <v>38541</v>
      </c>
      <c r="F154" t="s">
        <v>38542</v>
      </c>
      <c r="G154" t="s">
        <v>38543</v>
      </c>
    </row>
    <row r="155" spans="2:7" ht="24.95" customHeight="1">
      <c r="B155" s="20">
        <v>155</v>
      </c>
      <c r="C155" s="32" t="s">
        <v>38146</v>
      </c>
      <c r="D155" t="s">
        <v>38582</v>
      </c>
      <c r="E155" t="s">
        <v>38583</v>
      </c>
      <c r="F155" t="s">
        <v>38584</v>
      </c>
      <c r="G155" t="s">
        <v>38585</v>
      </c>
    </row>
    <row r="156" spans="2:7" ht="24.95" customHeight="1">
      <c r="B156" s="20">
        <v>156</v>
      </c>
      <c r="C156" s="32" t="s">
        <v>38146</v>
      </c>
      <c r="D156" t="s">
        <v>38586</v>
      </c>
      <c r="E156" t="s">
        <v>38587</v>
      </c>
      <c r="F156" t="s">
        <v>38588</v>
      </c>
      <c r="G156" t="s">
        <v>38589</v>
      </c>
    </row>
    <row r="157" spans="2:7" ht="24.95" customHeight="1">
      <c r="B157" s="20">
        <v>157</v>
      </c>
      <c r="C157" s="32" t="s">
        <v>38146</v>
      </c>
      <c r="D157" t="s">
        <v>38625</v>
      </c>
      <c r="E157" t="s">
        <v>38626</v>
      </c>
      <c r="F157" t="s">
        <v>38627</v>
      </c>
    </row>
    <row r="158" spans="2:7" ht="24.95" customHeight="1">
      <c r="B158" s="20">
        <v>158</v>
      </c>
      <c r="C158" s="32" t="s">
        <v>38146</v>
      </c>
      <c r="D158" t="s">
        <v>38634</v>
      </c>
      <c r="E158" t="s">
        <v>38635</v>
      </c>
      <c r="F158" t="s">
        <v>38636</v>
      </c>
    </row>
    <row r="159" spans="2:7" ht="24.95" customHeight="1">
      <c r="B159" s="20">
        <v>159</v>
      </c>
      <c r="C159" s="32" t="s">
        <v>38146</v>
      </c>
      <c r="D159" t="s">
        <v>38655</v>
      </c>
      <c r="E159" t="s">
        <v>38656</v>
      </c>
      <c r="F159" t="s">
        <v>38657</v>
      </c>
      <c r="G159" t="s">
        <v>38658</v>
      </c>
    </row>
    <row r="160" spans="2:7" ht="24.95" customHeight="1">
      <c r="B160" s="20">
        <v>160</v>
      </c>
      <c r="C160" s="32" t="s">
        <v>38146</v>
      </c>
      <c r="D160" t="s">
        <v>38659</v>
      </c>
      <c r="E160" t="s">
        <v>38660</v>
      </c>
      <c r="F160" t="s">
        <v>38661</v>
      </c>
    </row>
    <row r="161" spans="2:7" ht="24.95" customHeight="1">
      <c r="B161" s="20">
        <v>161</v>
      </c>
      <c r="C161" s="32" t="s">
        <v>38146</v>
      </c>
      <c r="D161" t="s">
        <v>38696</v>
      </c>
      <c r="E161" t="s">
        <v>38697</v>
      </c>
      <c r="F161" t="s">
        <v>38698</v>
      </c>
    </row>
    <row r="162" spans="2:7" ht="24.95" customHeight="1">
      <c r="B162" s="20">
        <v>162</v>
      </c>
      <c r="C162" s="32" t="s">
        <v>38146</v>
      </c>
      <c r="D162" t="s">
        <v>38703</v>
      </c>
      <c r="E162" t="s">
        <v>38704</v>
      </c>
      <c r="F162" t="s">
        <v>38705</v>
      </c>
      <c r="G162" t="s">
        <v>38706</v>
      </c>
    </row>
    <row r="163" spans="2:7" ht="24.95" customHeight="1">
      <c r="B163" s="20">
        <v>163</v>
      </c>
      <c r="C163" s="32" t="s">
        <v>38146</v>
      </c>
      <c r="D163" t="s">
        <v>38725</v>
      </c>
      <c r="E163" t="s">
        <v>38726</v>
      </c>
      <c r="F163" t="s">
        <v>38727</v>
      </c>
      <c r="G163" t="s">
        <v>38728</v>
      </c>
    </row>
    <row r="164" spans="2:7" ht="24.95" customHeight="1">
      <c r="B164" s="20">
        <v>164</v>
      </c>
      <c r="C164" s="32" t="s">
        <v>38146</v>
      </c>
      <c r="D164" t="s">
        <v>38807</v>
      </c>
      <c r="E164" t="s">
        <v>38808</v>
      </c>
      <c r="F164" t="s">
        <v>38809</v>
      </c>
    </row>
    <row r="165" spans="2:7" ht="24.95" customHeight="1">
      <c r="B165" s="20">
        <v>165</v>
      </c>
      <c r="C165" s="32" t="s">
        <v>38146</v>
      </c>
      <c r="D165" t="s">
        <v>38858</v>
      </c>
      <c r="E165" t="s">
        <v>38859</v>
      </c>
      <c r="F165" t="s">
        <v>38860</v>
      </c>
    </row>
    <row r="166" spans="2:7" ht="24.95" customHeight="1">
      <c r="B166" s="20">
        <v>166</v>
      </c>
      <c r="C166" s="32" t="s">
        <v>38146</v>
      </c>
      <c r="D166" t="s">
        <v>38921</v>
      </c>
      <c r="E166" t="s">
        <v>38922</v>
      </c>
      <c r="F166" t="s">
        <v>38923</v>
      </c>
      <c r="G166" t="s">
        <v>38924</v>
      </c>
    </row>
    <row r="167" spans="2:7" ht="24.95" customHeight="1">
      <c r="B167" s="20">
        <v>167</v>
      </c>
      <c r="C167" s="32" t="s">
        <v>38146</v>
      </c>
      <c r="D167" t="s">
        <v>38625</v>
      </c>
      <c r="E167" t="s">
        <v>38626</v>
      </c>
      <c r="F167" t="s">
        <v>38925</v>
      </c>
    </row>
    <row r="168" spans="2:7" ht="24.95" customHeight="1">
      <c r="B168" s="20">
        <v>168</v>
      </c>
      <c r="C168" s="32" t="s">
        <v>38146</v>
      </c>
      <c r="D168" t="s">
        <v>38944</v>
      </c>
      <c r="E168" t="s">
        <v>38945</v>
      </c>
      <c r="F168" t="s">
        <v>38946</v>
      </c>
    </row>
    <row r="169" spans="2:7" ht="24.95" customHeight="1">
      <c r="B169" s="20">
        <v>169</v>
      </c>
      <c r="C169" s="32" t="s">
        <v>38146</v>
      </c>
      <c r="D169" t="s">
        <v>38961</v>
      </c>
      <c r="E169" t="s">
        <v>38962</v>
      </c>
      <c r="F169" t="s">
        <v>38963</v>
      </c>
    </row>
    <row r="170" spans="2:7" ht="24.95" customHeight="1">
      <c r="B170" s="20">
        <v>170</v>
      </c>
      <c r="C170" s="32" t="s">
        <v>38146</v>
      </c>
      <c r="D170" t="s">
        <v>39016</v>
      </c>
      <c r="E170" t="s">
        <v>563</v>
      </c>
      <c r="F170" t="s">
        <v>564</v>
      </c>
      <c r="G170" t="s">
        <v>565</v>
      </c>
    </row>
    <row r="171" spans="2:7" ht="24.95" customHeight="1">
      <c r="B171" s="20">
        <v>171</v>
      </c>
      <c r="C171" s="32" t="s">
        <v>38146</v>
      </c>
      <c r="D171" t="s">
        <v>39017</v>
      </c>
      <c r="E171" t="s">
        <v>39018</v>
      </c>
      <c r="F171" t="s">
        <v>39019</v>
      </c>
    </row>
    <row r="172" spans="2:7" ht="24.95" customHeight="1">
      <c r="B172" s="20">
        <v>172</v>
      </c>
      <c r="C172" s="32" t="s">
        <v>38146</v>
      </c>
      <c r="D172" t="s">
        <v>39020</v>
      </c>
      <c r="E172" t="s">
        <v>39021</v>
      </c>
      <c r="F172" t="s">
        <v>39022</v>
      </c>
      <c r="G172" t="s">
        <v>39023</v>
      </c>
    </row>
    <row r="173" spans="2:7" ht="24.95" customHeight="1">
      <c r="B173" s="20">
        <v>173</v>
      </c>
      <c r="C173" s="32" t="s">
        <v>38146</v>
      </c>
      <c r="D173" t="s">
        <v>39044</v>
      </c>
      <c r="E173" t="s">
        <v>39045</v>
      </c>
      <c r="F173" t="s">
        <v>39046</v>
      </c>
      <c r="G173" t="s">
        <v>39047</v>
      </c>
    </row>
    <row r="174" spans="2:7" ht="24.95" customHeight="1">
      <c r="B174" s="20">
        <v>174</v>
      </c>
      <c r="C174" s="32" t="s">
        <v>38405</v>
      </c>
      <c r="D174" t="s">
        <v>38406</v>
      </c>
      <c r="E174" t="s">
        <v>38407</v>
      </c>
      <c r="F174" t="s">
        <v>38408</v>
      </c>
    </row>
    <row r="175" spans="2:7" ht="24.95" customHeight="1">
      <c r="B175" s="20">
        <v>175</v>
      </c>
      <c r="C175" s="32" t="s">
        <v>38143</v>
      </c>
      <c r="D175" t="s">
        <v>38977</v>
      </c>
      <c r="E175" t="s">
        <v>38975</v>
      </c>
      <c r="F175" t="s">
        <v>38976</v>
      </c>
    </row>
    <row r="176" spans="2:7" ht="24.95" customHeight="1">
      <c r="B176" s="20">
        <v>176</v>
      </c>
      <c r="C176" s="32" t="s">
        <v>38143</v>
      </c>
      <c r="D176" t="s">
        <v>38395</v>
      </c>
      <c r="E176" t="s">
        <v>38396</v>
      </c>
      <c r="F176" t="s">
        <v>38397</v>
      </c>
    </row>
    <row r="177" spans="2:7" ht="24.95" customHeight="1">
      <c r="B177" s="20">
        <v>177</v>
      </c>
      <c r="C177" s="32" t="s">
        <v>38143</v>
      </c>
      <c r="D177" t="s">
        <v>462</v>
      </c>
      <c r="E177" t="s">
        <v>467</v>
      </c>
      <c r="F177" t="s">
        <v>463</v>
      </c>
    </row>
    <row r="178" spans="2:7" ht="24.95" customHeight="1">
      <c r="B178" s="20">
        <v>178</v>
      </c>
      <c r="C178" s="32" t="s">
        <v>38143</v>
      </c>
      <c r="D178" t="s">
        <v>38722</v>
      </c>
      <c r="E178" t="s">
        <v>38723</v>
      </c>
      <c r="F178" t="s">
        <v>38724</v>
      </c>
    </row>
    <row r="179" spans="2:7" ht="24.95" customHeight="1">
      <c r="B179" s="20">
        <v>179</v>
      </c>
      <c r="C179" s="32" t="s">
        <v>38143</v>
      </c>
      <c r="D179" t="s">
        <v>422</v>
      </c>
      <c r="E179" t="s">
        <v>423</v>
      </c>
      <c r="F179" t="s">
        <v>424</v>
      </c>
      <c r="G179" t="s">
        <v>425</v>
      </c>
    </row>
    <row r="180" spans="2:7" ht="24.95" customHeight="1">
      <c r="B180" s="20">
        <v>180</v>
      </c>
      <c r="C180" s="32" t="s">
        <v>38143</v>
      </c>
      <c r="D180" t="s">
        <v>37952</v>
      </c>
      <c r="E180" t="s">
        <v>37953</v>
      </c>
      <c r="F180" t="s">
        <v>37954</v>
      </c>
    </row>
    <row r="181" spans="2:7" ht="24.95" customHeight="1">
      <c r="B181" s="20">
        <v>181</v>
      </c>
      <c r="C181" s="32" t="s">
        <v>38143</v>
      </c>
      <c r="D181" t="s">
        <v>551</v>
      </c>
      <c r="E181" t="s">
        <v>552</v>
      </c>
    </row>
    <row r="182" spans="2:7" ht="24.95" customHeight="1">
      <c r="B182" s="20">
        <v>182</v>
      </c>
      <c r="C182" s="32" t="s">
        <v>38143</v>
      </c>
      <c r="D182" t="s">
        <v>37936</v>
      </c>
      <c r="E182" t="s">
        <v>37937</v>
      </c>
      <c r="F182" t="s">
        <v>37938</v>
      </c>
    </row>
    <row r="183" spans="2:7" ht="24.95" customHeight="1">
      <c r="B183" s="20">
        <v>183</v>
      </c>
      <c r="C183" s="32" t="s">
        <v>38143</v>
      </c>
      <c r="D183" t="s">
        <v>37790</v>
      </c>
      <c r="E183" t="s">
        <v>37791</v>
      </c>
      <c r="F183" t="s">
        <v>37792</v>
      </c>
      <c r="G183" t="s">
        <v>37793</v>
      </c>
    </row>
    <row r="184" spans="2:7" ht="24.95" customHeight="1">
      <c r="B184" s="20">
        <v>184</v>
      </c>
      <c r="C184" s="32" t="s">
        <v>38143</v>
      </c>
      <c r="D184" t="s">
        <v>37787</v>
      </c>
      <c r="E184" t="s">
        <v>37788</v>
      </c>
      <c r="F184" t="s">
        <v>37789</v>
      </c>
      <c r="G184">
        <v>63154</v>
      </c>
    </row>
    <row r="185" spans="2:7" ht="24.95" customHeight="1">
      <c r="B185" s="20">
        <v>185</v>
      </c>
      <c r="C185" s="32" t="s">
        <v>38143</v>
      </c>
      <c r="D185" t="s">
        <v>38070</v>
      </c>
      <c r="E185" t="s">
        <v>38071</v>
      </c>
      <c r="F185" t="s">
        <v>38072</v>
      </c>
      <c r="G185" t="s">
        <v>38073</v>
      </c>
    </row>
    <row r="186" spans="2:7" ht="24.95" customHeight="1">
      <c r="B186" s="20">
        <v>186</v>
      </c>
      <c r="C186" s="32" t="s">
        <v>38143</v>
      </c>
      <c r="D186" t="s">
        <v>37864</v>
      </c>
      <c r="E186" t="s">
        <v>37865</v>
      </c>
      <c r="F186" t="s">
        <v>37866</v>
      </c>
      <c r="G186" t="s">
        <v>611</v>
      </c>
    </row>
    <row r="187" spans="2:7" ht="24.95" customHeight="1">
      <c r="B187" s="20">
        <v>187</v>
      </c>
      <c r="C187" s="32" t="s">
        <v>38143</v>
      </c>
      <c r="D187" t="s">
        <v>37989</v>
      </c>
      <c r="E187" t="s">
        <v>37990</v>
      </c>
      <c r="F187" t="s">
        <v>37991</v>
      </c>
      <c r="G187" t="s">
        <v>37992</v>
      </c>
    </row>
    <row r="188" spans="2:7" ht="24.95" customHeight="1">
      <c r="B188" s="20">
        <v>188</v>
      </c>
      <c r="C188" s="32" t="s">
        <v>38143</v>
      </c>
      <c r="D188" t="s">
        <v>459</v>
      </c>
      <c r="E188" t="s">
        <v>460</v>
      </c>
      <c r="F188" t="s">
        <v>461</v>
      </c>
    </row>
    <row r="189" spans="2:7" ht="24.95" customHeight="1">
      <c r="B189" s="20">
        <v>189</v>
      </c>
      <c r="C189" s="32" t="s">
        <v>38143</v>
      </c>
      <c r="D189" t="s">
        <v>420</v>
      </c>
      <c r="E189" t="s">
        <v>37917</v>
      </c>
      <c r="F189" t="s">
        <v>37918</v>
      </c>
    </row>
    <row r="190" spans="2:7" ht="24.95" customHeight="1">
      <c r="B190" s="20">
        <v>190</v>
      </c>
      <c r="C190" s="32" t="s">
        <v>38143</v>
      </c>
      <c r="D190" t="s">
        <v>420</v>
      </c>
      <c r="E190" t="s">
        <v>38805</v>
      </c>
      <c r="F190" t="s">
        <v>421</v>
      </c>
    </row>
    <row r="191" spans="2:7" ht="24.95" customHeight="1">
      <c r="B191" s="20">
        <v>191</v>
      </c>
      <c r="C191" s="32" t="s">
        <v>38143</v>
      </c>
      <c r="D191" t="s">
        <v>420</v>
      </c>
      <c r="E191" t="s">
        <v>38806</v>
      </c>
      <c r="F191" t="s">
        <v>421</v>
      </c>
    </row>
    <row r="192" spans="2:7" ht="24.95" customHeight="1">
      <c r="B192" s="20">
        <v>192</v>
      </c>
      <c r="C192" s="32" t="s">
        <v>38143</v>
      </c>
      <c r="D192" t="s">
        <v>37924</v>
      </c>
      <c r="E192" t="s">
        <v>37927</v>
      </c>
      <c r="F192" t="s">
        <v>37925</v>
      </c>
      <c r="G192" t="s">
        <v>37926</v>
      </c>
    </row>
    <row r="193" spans="2:8" ht="24.95" customHeight="1">
      <c r="B193" s="20">
        <v>193</v>
      </c>
      <c r="C193" s="32" t="s">
        <v>38143</v>
      </c>
      <c r="D193" t="s">
        <v>37809</v>
      </c>
      <c r="E193" t="s">
        <v>37812</v>
      </c>
      <c r="F193" t="s">
        <v>37810</v>
      </c>
      <c r="G193" t="s">
        <v>37811</v>
      </c>
    </row>
    <row r="194" spans="2:8" ht="24.95" customHeight="1">
      <c r="B194" s="20">
        <v>194</v>
      </c>
      <c r="C194" s="32" t="s">
        <v>38143</v>
      </c>
      <c r="D194" t="s">
        <v>38178</v>
      </c>
      <c r="E194" t="s">
        <v>38179</v>
      </c>
      <c r="F194" t="s">
        <v>38180</v>
      </c>
      <c r="G194" t="s">
        <v>38181</v>
      </c>
    </row>
    <row r="195" spans="2:8" ht="24.95" customHeight="1">
      <c r="B195" s="20">
        <v>195</v>
      </c>
      <c r="C195" s="32" t="s">
        <v>38143</v>
      </c>
      <c r="D195" t="s">
        <v>37868</v>
      </c>
      <c r="E195" t="s">
        <v>37869</v>
      </c>
      <c r="F195" t="s">
        <v>38293</v>
      </c>
      <c r="G195" t="s">
        <v>38291</v>
      </c>
      <c r="H195" t="s">
        <v>38292</v>
      </c>
    </row>
    <row r="196" spans="2:8" ht="24.95" customHeight="1">
      <c r="B196" s="20">
        <v>196</v>
      </c>
      <c r="C196" s="32" t="s">
        <v>38143</v>
      </c>
      <c r="D196" t="s">
        <v>38070</v>
      </c>
      <c r="E196" t="s">
        <v>38294</v>
      </c>
      <c r="F196" t="s">
        <v>38295</v>
      </c>
      <c r="G196" t="s">
        <v>38296</v>
      </c>
    </row>
    <row r="197" spans="2:8" ht="24.95" customHeight="1">
      <c r="B197" s="20">
        <v>197</v>
      </c>
      <c r="C197" s="32" t="s">
        <v>38143</v>
      </c>
      <c r="D197" t="s">
        <v>38328</v>
      </c>
      <c r="E197" t="s">
        <v>38331</v>
      </c>
      <c r="F197" t="s">
        <v>38329</v>
      </c>
      <c r="G197" t="s">
        <v>38330</v>
      </c>
    </row>
    <row r="198" spans="2:8" ht="24.95" customHeight="1">
      <c r="B198" s="20">
        <v>198</v>
      </c>
      <c r="C198" s="32" t="s">
        <v>38143</v>
      </c>
      <c r="D198" t="s">
        <v>38426</v>
      </c>
      <c r="E198" t="s">
        <v>38427</v>
      </c>
      <c r="F198" t="s">
        <v>38428</v>
      </c>
    </row>
    <row r="199" spans="2:8" ht="24.95" customHeight="1">
      <c r="B199" s="20">
        <v>199</v>
      </c>
      <c r="C199" s="32" t="s">
        <v>38143</v>
      </c>
      <c r="D199" t="s">
        <v>38491</v>
      </c>
      <c r="E199" t="s">
        <v>38492</v>
      </c>
      <c r="F199" t="s">
        <v>38493</v>
      </c>
      <c r="G199" t="s">
        <v>38494</v>
      </c>
    </row>
    <row r="200" spans="2:8" ht="24.95" customHeight="1">
      <c r="B200" s="20">
        <v>200</v>
      </c>
      <c r="C200" s="32" t="s">
        <v>38143</v>
      </c>
      <c r="D200" t="s">
        <v>38497</v>
      </c>
      <c r="E200" t="s">
        <v>38495</v>
      </c>
      <c r="F200" t="s">
        <v>38496</v>
      </c>
    </row>
    <row r="201" spans="2:8" ht="24.95" customHeight="1">
      <c r="B201" s="20">
        <v>201</v>
      </c>
      <c r="C201" s="32" t="s">
        <v>38143</v>
      </c>
      <c r="D201" t="s">
        <v>38498</v>
      </c>
      <c r="E201" t="s">
        <v>38499</v>
      </c>
      <c r="F201" t="s">
        <v>38500</v>
      </c>
    </row>
    <row r="202" spans="2:8" ht="24.95" customHeight="1">
      <c r="B202" s="20">
        <v>202</v>
      </c>
      <c r="C202" s="32" t="s">
        <v>38143</v>
      </c>
      <c r="D202" t="s">
        <v>38501</v>
      </c>
      <c r="E202" t="s">
        <v>38502</v>
      </c>
      <c r="F202" t="s">
        <v>38503</v>
      </c>
    </row>
    <row r="203" spans="2:8" ht="24.95" customHeight="1">
      <c r="B203" s="20">
        <v>203</v>
      </c>
      <c r="C203" s="32" t="s">
        <v>38143</v>
      </c>
      <c r="D203" t="s">
        <v>38504</v>
      </c>
      <c r="E203" t="s">
        <v>38505</v>
      </c>
      <c r="F203" t="s">
        <v>38506</v>
      </c>
    </row>
    <row r="204" spans="2:8" ht="24.95" customHeight="1">
      <c r="B204" s="20">
        <v>204</v>
      </c>
      <c r="C204" s="32" t="s">
        <v>38143</v>
      </c>
      <c r="D204" t="s">
        <v>38538</v>
      </c>
      <c r="E204" t="s">
        <v>38539</v>
      </c>
      <c r="F204" t="s">
        <v>38540</v>
      </c>
    </row>
    <row r="205" spans="2:8" ht="24.95" customHeight="1">
      <c r="B205" s="20">
        <v>205</v>
      </c>
      <c r="C205" s="32" t="s">
        <v>38143</v>
      </c>
      <c r="D205" t="s">
        <v>38547</v>
      </c>
      <c r="E205" t="s">
        <v>38548</v>
      </c>
      <c r="F205" t="s">
        <v>38549</v>
      </c>
      <c r="G205" t="s">
        <v>38550</v>
      </c>
    </row>
    <row r="206" spans="2:8" ht="24.95" customHeight="1">
      <c r="B206" s="20">
        <v>206</v>
      </c>
      <c r="C206" s="32" t="s">
        <v>38143</v>
      </c>
      <c r="D206" t="s">
        <v>38555</v>
      </c>
      <c r="E206" t="s">
        <v>38556</v>
      </c>
      <c r="F206" t="s">
        <v>38557</v>
      </c>
    </row>
    <row r="207" spans="2:8" ht="24.95" customHeight="1">
      <c r="B207" s="20">
        <v>207</v>
      </c>
      <c r="C207" s="32" t="s">
        <v>38372</v>
      </c>
      <c r="D207" t="s">
        <v>426</v>
      </c>
      <c r="E207" t="s">
        <v>427</v>
      </c>
      <c r="F207" t="s">
        <v>428</v>
      </c>
      <c r="G207" t="s">
        <v>429</v>
      </c>
    </row>
    <row r="208" spans="2:8" ht="24.95" customHeight="1">
      <c r="B208" s="20">
        <v>208</v>
      </c>
      <c r="C208" s="32" t="s">
        <v>38372</v>
      </c>
      <c r="D208" t="s">
        <v>37942</v>
      </c>
      <c r="E208" t="s">
        <v>37943</v>
      </c>
      <c r="F208" t="s">
        <v>37944</v>
      </c>
      <c r="G208" t="s">
        <v>37945</v>
      </c>
      <c r="H208" t="s">
        <v>37946</v>
      </c>
    </row>
    <row r="209" spans="2:8" ht="24.95" customHeight="1">
      <c r="B209" s="20">
        <v>209</v>
      </c>
      <c r="C209" s="32" t="s">
        <v>38372</v>
      </c>
      <c r="D209" t="s">
        <v>38369</v>
      </c>
      <c r="E209" t="s">
        <v>38370</v>
      </c>
      <c r="F209" t="s">
        <v>38371</v>
      </c>
    </row>
    <row r="210" spans="2:8" ht="24.95" customHeight="1">
      <c r="B210" s="20">
        <v>210</v>
      </c>
      <c r="C210" s="32" t="s">
        <v>38372</v>
      </c>
      <c r="D210" t="s">
        <v>38972</v>
      </c>
      <c r="E210" t="s">
        <v>38973</v>
      </c>
      <c r="F210" t="s">
        <v>38974</v>
      </c>
    </row>
    <row r="211" spans="2:8" ht="24.95" customHeight="1">
      <c r="B211" s="20">
        <v>211</v>
      </c>
      <c r="C211" s="32" t="s">
        <v>38235</v>
      </c>
      <c r="D211" t="s">
        <v>38144</v>
      </c>
      <c r="E211" t="s">
        <v>38759</v>
      </c>
      <c r="F211" t="s">
        <v>38760</v>
      </c>
    </row>
    <row r="212" spans="2:8" ht="24.95" customHeight="1">
      <c r="B212" s="20">
        <v>212</v>
      </c>
      <c r="C212" s="32" t="s">
        <v>38235</v>
      </c>
      <c r="D212" t="s">
        <v>478</v>
      </c>
      <c r="E212" t="s">
        <v>479</v>
      </c>
      <c r="F212" t="s">
        <v>480</v>
      </c>
    </row>
    <row r="213" spans="2:8" ht="24.95" customHeight="1">
      <c r="B213" s="20">
        <v>213</v>
      </c>
      <c r="C213" s="32" t="s">
        <v>38235</v>
      </c>
      <c r="D213" t="s">
        <v>37950</v>
      </c>
      <c r="E213" t="s">
        <v>37951</v>
      </c>
      <c r="F213" t="s">
        <v>38667</v>
      </c>
      <c r="G213" s="23" t="s">
        <v>38668</v>
      </c>
    </row>
    <row r="214" spans="2:8" ht="24.95" customHeight="1">
      <c r="B214" s="20">
        <v>214</v>
      </c>
      <c r="C214" s="32" t="s">
        <v>38235</v>
      </c>
      <c r="D214" t="s">
        <v>37820</v>
      </c>
      <c r="E214" t="s">
        <v>37821</v>
      </c>
      <c r="F214" t="s">
        <v>37822</v>
      </c>
    </row>
    <row r="215" spans="2:8" ht="24.95" customHeight="1">
      <c r="B215" s="20">
        <v>215</v>
      </c>
      <c r="C215" s="32" t="s">
        <v>38235</v>
      </c>
      <c r="D215" t="s">
        <v>474</v>
      </c>
      <c r="E215" t="s">
        <v>475</v>
      </c>
      <c r="F215" t="s">
        <v>476</v>
      </c>
      <c r="G215" t="s">
        <v>477</v>
      </c>
    </row>
    <row r="216" spans="2:8" ht="24.95" customHeight="1">
      <c r="B216" s="20">
        <v>216</v>
      </c>
      <c r="C216" s="32" t="s">
        <v>38235</v>
      </c>
      <c r="D216" t="s">
        <v>37823</v>
      </c>
      <c r="E216" t="s">
        <v>37824</v>
      </c>
      <c r="F216" t="s">
        <v>37825</v>
      </c>
    </row>
    <row r="217" spans="2:8" ht="24.95" customHeight="1">
      <c r="B217" s="20">
        <v>217</v>
      </c>
      <c r="C217" s="32" t="s">
        <v>38235</v>
      </c>
      <c r="D217" t="s">
        <v>37906</v>
      </c>
      <c r="E217" t="s">
        <v>37907</v>
      </c>
      <c r="F217" t="s">
        <v>37908</v>
      </c>
    </row>
    <row r="218" spans="2:8" ht="24.95" customHeight="1">
      <c r="B218" s="20">
        <v>218</v>
      </c>
      <c r="C218" s="32" t="s">
        <v>38235</v>
      </c>
      <c r="D218" t="s">
        <v>38440</v>
      </c>
      <c r="E218" t="s">
        <v>38441</v>
      </c>
      <c r="F218" t="s">
        <v>38442</v>
      </c>
    </row>
    <row r="219" spans="2:8" ht="24.95" customHeight="1">
      <c r="B219" s="20">
        <v>219</v>
      </c>
      <c r="C219" s="32" t="s">
        <v>38235</v>
      </c>
      <c r="D219" t="s">
        <v>38641</v>
      </c>
      <c r="E219" t="s">
        <v>38642</v>
      </c>
      <c r="F219" t="s">
        <v>38643</v>
      </c>
      <c r="G219" t="s">
        <v>38644</v>
      </c>
    </row>
    <row r="220" spans="2:8" ht="24.95" customHeight="1">
      <c r="B220" s="20">
        <v>220</v>
      </c>
      <c r="C220" s="32" t="s">
        <v>38235</v>
      </c>
      <c r="D220" t="s">
        <v>38761</v>
      </c>
      <c r="E220" t="s">
        <v>38762</v>
      </c>
      <c r="F220" t="s">
        <v>38763</v>
      </c>
    </row>
    <row r="221" spans="2:8" ht="24.95" customHeight="1">
      <c r="B221" s="20">
        <v>221</v>
      </c>
      <c r="C221" s="32" t="s">
        <v>38235</v>
      </c>
      <c r="D221" t="s">
        <v>38817</v>
      </c>
      <c r="E221" t="s">
        <v>38818</v>
      </c>
      <c r="F221" t="s">
        <v>38819</v>
      </c>
    </row>
    <row r="222" spans="2:8" ht="24.95" customHeight="1">
      <c r="B222" s="20">
        <v>222</v>
      </c>
      <c r="C222" s="32" t="s">
        <v>38235</v>
      </c>
      <c r="D222" t="s">
        <v>38907</v>
      </c>
      <c r="E222" t="s">
        <v>38908</v>
      </c>
      <c r="F222" t="s">
        <v>38909</v>
      </c>
    </row>
    <row r="223" spans="2:8" ht="24.95" customHeight="1">
      <c r="B223" s="20">
        <v>223</v>
      </c>
      <c r="C223" s="32" t="s">
        <v>38235</v>
      </c>
      <c r="D223" t="s">
        <v>38910</v>
      </c>
      <c r="E223" t="s">
        <v>38911</v>
      </c>
      <c r="F223" t="s">
        <v>38912</v>
      </c>
      <c r="G223" t="s">
        <v>38913</v>
      </c>
      <c r="H223" t="s">
        <v>24721</v>
      </c>
    </row>
    <row r="224" spans="2:8" ht="24.95" customHeight="1">
      <c r="B224" s="20">
        <v>224</v>
      </c>
      <c r="C224" s="32" t="s">
        <v>38235</v>
      </c>
      <c r="D224" t="s">
        <v>39024</v>
      </c>
      <c r="E224" t="s">
        <v>39025</v>
      </c>
      <c r="F224" t="s">
        <v>39026</v>
      </c>
      <c r="G224" t="s">
        <v>39027</v>
      </c>
    </row>
    <row r="225" spans="2:7" ht="24.95" customHeight="1">
      <c r="B225" s="20">
        <v>225</v>
      </c>
      <c r="C225" s="32" t="s">
        <v>38273</v>
      </c>
      <c r="D225" t="s">
        <v>38274</v>
      </c>
      <c r="E225" t="s">
        <v>38275</v>
      </c>
      <c r="F225" t="s">
        <v>38276</v>
      </c>
      <c r="G225" t="s">
        <v>38277</v>
      </c>
    </row>
    <row r="226" spans="2:7" ht="24.95" customHeight="1">
      <c r="B226" s="20">
        <v>226</v>
      </c>
      <c r="C226" s="32" t="s">
        <v>607</v>
      </c>
      <c r="D226" t="s">
        <v>608</v>
      </c>
      <c r="E226" t="s">
        <v>609</v>
      </c>
      <c r="F226" t="s">
        <v>610</v>
      </c>
      <c r="G226" t="s">
        <v>611</v>
      </c>
    </row>
    <row r="227" spans="2:7" ht="24.95" customHeight="1">
      <c r="B227" s="20">
        <v>227</v>
      </c>
      <c r="C227" s="32" t="s">
        <v>607</v>
      </c>
      <c r="D227" t="s">
        <v>38462</v>
      </c>
      <c r="E227" t="s">
        <v>38463</v>
      </c>
      <c r="F227" t="s">
        <v>38464</v>
      </c>
    </row>
    <row r="228" spans="2:7" ht="24.95" customHeight="1">
      <c r="B228" s="20">
        <v>228</v>
      </c>
      <c r="C228" s="32" t="s">
        <v>607</v>
      </c>
      <c r="D228" t="s">
        <v>38469</v>
      </c>
      <c r="E228" t="s">
        <v>38470</v>
      </c>
      <c r="F228" t="s">
        <v>38471</v>
      </c>
      <c r="G228" t="s">
        <v>38472</v>
      </c>
    </row>
    <row r="229" spans="2:7" ht="24.95" customHeight="1">
      <c r="B229" s="20">
        <v>229</v>
      </c>
      <c r="C229" s="32" t="s">
        <v>607</v>
      </c>
      <c r="D229" t="s">
        <v>38603</v>
      </c>
      <c r="E229" t="s">
        <v>38604</v>
      </c>
      <c r="F229" t="s">
        <v>38605</v>
      </c>
    </row>
    <row r="230" spans="2:7" ht="24.95" customHeight="1">
      <c r="B230" s="20">
        <v>230</v>
      </c>
      <c r="C230" s="32" t="s">
        <v>607</v>
      </c>
      <c r="D230" t="s">
        <v>38637</v>
      </c>
      <c r="E230" t="s">
        <v>38638</v>
      </c>
      <c r="F230" t="s">
        <v>38639</v>
      </c>
      <c r="G230" t="s">
        <v>38640</v>
      </c>
    </row>
    <row r="231" spans="2:7" ht="24.95" customHeight="1">
      <c r="B231" s="20">
        <v>231</v>
      </c>
      <c r="C231" s="32" t="s">
        <v>451</v>
      </c>
      <c r="D231" t="s">
        <v>452</v>
      </c>
      <c r="E231" t="s">
        <v>453</v>
      </c>
      <c r="F231" t="s">
        <v>454</v>
      </c>
    </row>
    <row r="232" spans="2:7" ht="24.95" customHeight="1">
      <c r="B232" s="20">
        <v>232</v>
      </c>
      <c r="C232" s="32" t="s">
        <v>290</v>
      </c>
      <c r="D232" t="s">
        <v>291</v>
      </c>
      <c r="E232" t="s">
        <v>292</v>
      </c>
      <c r="F232" t="s">
        <v>293</v>
      </c>
      <c r="G232" t="s">
        <v>294</v>
      </c>
    </row>
    <row r="233" spans="2:7" ht="24.95" customHeight="1">
      <c r="B233" s="20">
        <v>233</v>
      </c>
      <c r="C233" s="32" t="s">
        <v>290</v>
      </c>
      <c r="D233" t="s">
        <v>295</v>
      </c>
      <c r="E233" t="s">
        <v>296</v>
      </c>
      <c r="F233" t="s">
        <v>297</v>
      </c>
      <c r="G233" t="s">
        <v>298</v>
      </c>
    </row>
    <row r="234" spans="2:7" ht="24.95" customHeight="1">
      <c r="B234" s="20">
        <v>234</v>
      </c>
      <c r="C234" s="32" t="s">
        <v>290</v>
      </c>
      <c r="D234" t="s">
        <v>299</v>
      </c>
      <c r="E234" t="s">
        <v>300</v>
      </c>
      <c r="F234" t="s">
        <v>301</v>
      </c>
      <c r="G234" t="s">
        <v>302</v>
      </c>
    </row>
    <row r="235" spans="2:7" ht="24.95" customHeight="1">
      <c r="B235" s="20">
        <v>235</v>
      </c>
      <c r="C235" s="32" t="s">
        <v>290</v>
      </c>
      <c r="D235" t="s">
        <v>485</v>
      </c>
      <c r="E235" t="s">
        <v>486</v>
      </c>
      <c r="F235" t="s">
        <v>487</v>
      </c>
      <c r="G235" t="s">
        <v>488</v>
      </c>
    </row>
    <row r="236" spans="2:7" ht="24.95" customHeight="1">
      <c r="B236" s="20">
        <v>236</v>
      </c>
      <c r="C236" s="32" t="s">
        <v>290</v>
      </c>
      <c r="D236" t="s">
        <v>596</v>
      </c>
      <c r="E236" t="s">
        <v>597</v>
      </c>
      <c r="F236" t="s">
        <v>598</v>
      </c>
      <c r="G236" t="s">
        <v>599</v>
      </c>
    </row>
    <row r="237" spans="2:7" ht="24.95" customHeight="1">
      <c r="B237" s="20">
        <v>237</v>
      </c>
      <c r="C237" s="32" t="s">
        <v>290</v>
      </c>
      <c r="D237" t="s">
        <v>38896</v>
      </c>
      <c r="E237" t="s">
        <v>38897</v>
      </c>
      <c r="F237" t="s">
        <v>38898</v>
      </c>
      <c r="G237" t="s">
        <v>38899</v>
      </c>
    </row>
    <row r="238" spans="2:7" ht="24.95" customHeight="1">
      <c r="B238" s="20">
        <v>238</v>
      </c>
      <c r="C238" s="32" t="s">
        <v>290</v>
      </c>
      <c r="D238" t="s">
        <v>38930</v>
      </c>
      <c r="E238" t="s">
        <v>38931</v>
      </c>
      <c r="F238" t="s">
        <v>38932</v>
      </c>
    </row>
    <row r="239" spans="2:7" ht="24.95" customHeight="1">
      <c r="B239" s="20">
        <v>239</v>
      </c>
      <c r="C239" s="32" t="s">
        <v>38729</v>
      </c>
      <c r="D239" t="s">
        <v>38730</v>
      </c>
      <c r="E239" t="s">
        <v>38731</v>
      </c>
      <c r="F239" t="s">
        <v>38732</v>
      </c>
    </row>
    <row r="240" spans="2:7" ht="24.95" customHeight="1">
      <c r="B240" s="20">
        <v>240</v>
      </c>
      <c r="C240" s="32" t="s">
        <v>38183</v>
      </c>
      <c r="D240" t="s">
        <v>319</v>
      </c>
      <c r="E240" t="s">
        <v>320</v>
      </c>
      <c r="F240" t="s">
        <v>321</v>
      </c>
    </row>
    <row r="241" spans="2:7" ht="24.95" customHeight="1">
      <c r="B241" s="20">
        <v>241</v>
      </c>
      <c r="C241" s="32" t="s">
        <v>38183</v>
      </c>
      <c r="D241" t="s">
        <v>322</v>
      </c>
      <c r="E241" t="s">
        <v>323</v>
      </c>
      <c r="F241" t="s">
        <v>324</v>
      </c>
    </row>
    <row r="242" spans="2:7" ht="24.95" customHeight="1">
      <c r="B242" s="20">
        <v>242</v>
      </c>
      <c r="C242" s="32" t="s">
        <v>38183</v>
      </c>
      <c r="D242" t="s">
        <v>351</v>
      </c>
      <c r="E242" t="s">
        <v>352</v>
      </c>
      <c r="F242" t="s">
        <v>353</v>
      </c>
      <c r="G242" t="s">
        <v>354</v>
      </c>
    </row>
    <row r="243" spans="2:7" ht="24.95" customHeight="1">
      <c r="B243" s="20">
        <v>243</v>
      </c>
      <c r="C243" s="32" t="s">
        <v>38183</v>
      </c>
      <c r="D243" t="s">
        <v>531</v>
      </c>
      <c r="E243" t="s">
        <v>532</v>
      </c>
      <c r="F243" t="s">
        <v>533</v>
      </c>
    </row>
    <row r="244" spans="2:7" ht="24.95" customHeight="1">
      <c r="B244" s="20">
        <v>244</v>
      </c>
      <c r="C244" s="32" t="s">
        <v>38183</v>
      </c>
      <c r="D244" t="s">
        <v>576</v>
      </c>
      <c r="E244" t="s">
        <v>577</v>
      </c>
      <c r="F244" t="s">
        <v>578</v>
      </c>
      <c r="G244" t="s">
        <v>579</v>
      </c>
    </row>
    <row r="245" spans="2:7" ht="24.95" customHeight="1">
      <c r="B245" s="20">
        <v>245</v>
      </c>
      <c r="C245" s="32" t="s">
        <v>38183</v>
      </c>
      <c r="D245" t="s">
        <v>616</v>
      </c>
      <c r="E245" t="s">
        <v>617</v>
      </c>
      <c r="F245" t="s">
        <v>618</v>
      </c>
    </row>
    <row r="246" spans="2:7" ht="24.95" customHeight="1">
      <c r="B246" s="20">
        <v>246</v>
      </c>
      <c r="C246" s="32" t="s">
        <v>38183</v>
      </c>
      <c r="D246" t="s">
        <v>38066</v>
      </c>
      <c r="E246" t="s">
        <v>38067</v>
      </c>
      <c r="F246" t="s">
        <v>38068</v>
      </c>
      <c r="G246" t="s">
        <v>38069</v>
      </c>
    </row>
    <row r="247" spans="2:7" ht="24.95" customHeight="1">
      <c r="B247" s="20">
        <v>247</v>
      </c>
      <c r="C247" s="32" t="s">
        <v>38183</v>
      </c>
      <c r="D247" t="s">
        <v>38212</v>
      </c>
      <c r="E247" t="s">
        <v>38213</v>
      </c>
      <c r="F247" t="s">
        <v>38214</v>
      </c>
      <c r="G247" t="s">
        <v>38215</v>
      </c>
    </row>
    <row r="248" spans="2:7" ht="24.95" customHeight="1">
      <c r="B248" s="20">
        <v>248</v>
      </c>
      <c r="C248" s="32" t="s">
        <v>38183</v>
      </c>
      <c r="D248" t="s">
        <v>38785</v>
      </c>
      <c r="E248" t="s">
        <v>38786</v>
      </c>
      <c r="F248" t="s">
        <v>38787</v>
      </c>
    </row>
    <row r="249" spans="2:7" ht="24.95" customHeight="1">
      <c r="B249" s="20">
        <v>249</v>
      </c>
      <c r="C249" s="32" t="s">
        <v>38312</v>
      </c>
      <c r="D249" t="s">
        <v>38309</v>
      </c>
      <c r="E249" t="s">
        <v>38310</v>
      </c>
      <c r="F249" t="s">
        <v>38311</v>
      </c>
    </row>
    <row r="250" spans="2:7" ht="24.95" customHeight="1">
      <c r="B250" s="20">
        <v>250</v>
      </c>
      <c r="C250" s="32" t="s">
        <v>38312</v>
      </c>
      <c r="D250" t="s">
        <v>38449</v>
      </c>
      <c r="E250" t="s">
        <v>38758</v>
      </c>
      <c r="F250" t="s">
        <v>38450</v>
      </c>
      <c r="G250" t="s">
        <v>38451</v>
      </c>
    </row>
    <row r="251" spans="2:7" ht="24.95" customHeight="1">
      <c r="B251" s="20">
        <v>251</v>
      </c>
    </row>
    <row r="252" spans="2:7" ht="24.95" customHeight="1">
      <c r="B252" s="20">
        <v>252</v>
      </c>
      <c r="C252" s="32" t="s">
        <v>38690</v>
      </c>
      <c r="D252" t="s">
        <v>38686</v>
      </c>
      <c r="E252" t="s">
        <v>38687</v>
      </c>
      <c r="F252" t="s">
        <v>38688</v>
      </c>
      <c r="G252" t="s">
        <v>38689</v>
      </c>
    </row>
    <row r="253" spans="2:7" ht="24.95" customHeight="1">
      <c r="B253" s="20">
        <v>253</v>
      </c>
    </row>
    <row r="254" spans="2:7" ht="24.95" customHeight="1">
      <c r="B254" s="20">
        <v>254</v>
      </c>
      <c r="C254" s="32" t="s">
        <v>38337</v>
      </c>
      <c r="D254" t="s">
        <v>38338</v>
      </c>
      <c r="E254" t="s">
        <v>38339</v>
      </c>
      <c r="F254" t="s">
        <v>38340</v>
      </c>
    </row>
    <row r="255" spans="2:7" ht="24.95" customHeight="1">
      <c r="B255" s="20">
        <v>255</v>
      </c>
      <c r="C255" s="32" t="s">
        <v>38392</v>
      </c>
      <c r="D255" t="s">
        <v>38212</v>
      </c>
      <c r="E255" t="s">
        <v>38213</v>
      </c>
      <c r="F255" t="s">
        <v>38393</v>
      </c>
      <c r="G255" t="s">
        <v>38394</v>
      </c>
    </row>
    <row r="256" spans="2:7" ht="24.95" customHeight="1">
      <c r="B256" s="20">
        <v>256</v>
      </c>
      <c r="C256" s="32" t="s">
        <v>38392</v>
      </c>
      <c r="D256" t="s">
        <v>38434</v>
      </c>
      <c r="E256" t="s">
        <v>38435</v>
      </c>
      <c r="F256" t="s">
        <v>38436</v>
      </c>
    </row>
    <row r="257" spans="2:7" ht="24.95" customHeight="1">
      <c r="B257" s="20">
        <v>257</v>
      </c>
      <c r="C257" s="32" t="s">
        <v>38392</v>
      </c>
      <c r="D257" t="s">
        <v>38476</v>
      </c>
      <c r="E257" t="s">
        <v>38477</v>
      </c>
      <c r="F257" t="s">
        <v>38478</v>
      </c>
      <c r="G257" t="s">
        <v>38479</v>
      </c>
    </row>
    <row r="258" spans="2:7" ht="24.95" customHeight="1">
      <c r="B258" s="20">
        <v>258</v>
      </c>
      <c r="C258" s="32" t="s">
        <v>38645</v>
      </c>
      <c r="D258" t="s">
        <v>38646</v>
      </c>
      <c r="E258" t="s">
        <v>38647</v>
      </c>
      <c r="F258" t="s">
        <v>38648</v>
      </c>
    </row>
    <row r="259" spans="2:7" ht="24.95" customHeight="1">
      <c r="B259" s="20">
        <v>259</v>
      </c>
    </row>
    <row r="260" spans="2:7" ht="24.95" customHeight="1">
      <c r="B260" s="20">
        <v>260</v>
      </c>
      <c r="C260" s="32" t="s">
        <v>38341</v>
      </c>
      <c r="D260" t="s">
        <v>38342</v>
      </c>
      <c r="E260" t="s">
        <v>38343</v>
      </c>
      <c r="F260" t="s">
        <v>38344</v>
      </c>
    </row>
    <row r="261" spans="2:7" ht="24.95" customHeight="1">
      <c r="B261" s="20">
        <v>261</v>
      </c>
      <c r="C261" s="32" t="s">
        <v>38739</v>
      </c>
      <c r="D261" t="s">
        <v>38449</v>
      </c>
      <c r="E261" t="s">
        <v>38740</v>
      </c>
      <c r="F261" t="s">
        <v>38741</v>
      </c>
    </row>
    <row r="262" spans="2:7" ht="24.95" customHeight="1">
      <c r="B262" s="20">
        <v>262</v>
      </c>
    </row>
    <row r="263" spans="2:7" ht="24.95" customHeight="1">
      <c r="B263" s="20">
        <v>263</v>
      </c>
      <c r="C263" s="32" t="s">
        <v>38387</v>
      </c>
      <c r="D263" t="s">
        <v>38388</v>
      </c>
      <c r="E263" t="s">
        <v>38389</v>
      </c>
      <c r="F263" t="s">
        <v>38390</v>
      </c>
      <c r="G263" t="s">
        <v>38391</v>
      </c>
    </row>
    <row r="264" spans="2:7" ht="24.95" customHeight="1">
      <c r="B264" s="20">
        <v>264</v>
      </c>
    </row>
    <row r="265" spans="2:7" ht="24.95" customHeight="1">
      <c r="B265" s="20">
        <v>265</v>
      </c>
    </row>
    <row r="266" spans="2:7" ht="24.95" customHeight="1">
      <c r="B266" s="20">
        <v>266</v>
      </c>
      <c r="C266" s="32" t="s">
        <v>38207</v>
      </c>
      <c r="D266" t="s">
        <v>38270</v>
      </c>
      <c r="E266" t="s">
        <v>38271</v>
      </c>
      <c r="F266" t="s">
        <v>38272</v>
      </c>
    </row>
    <row r="267" spans="2:7" ht="24.95" customHeight="1">
      <c r="B267" s="20">
        <v>267</v>
      </c>
      <c r="C267" s="32" t="s">
        <v>38207</v>
      </c>
      <c r="D267" t="s">
        <v>38204</v>
      </c>
      <c r="E267" t="s">
        <v>38205</v>
      </c>
      <c r="F267" t="s">
        <v>38206</v>
      </c>
    </row>
    <row r="268" spans="2:7" ht="24.95" customHeight="1">
      <c r="B268" s="20">
        <v>268</v>
      </c>
      <c r="C268" s="32" t="s">
        <v>38207</v>
      </c>
      <c r="D268" t="s">
        <v>38267</v>
      </c>
      <c r="E268" t="s">
        <v>38268</v>
      </c>
      <c r="F268" t="s">
        <v>38269</v>
      </c>
    </row>
    <row r="269" spans="2:7" ht="24.95" customHeight="1">
      <c r="B269" s="20">
        <v>269</v>
      </c>
      <c r="C269" s="32" t="s">
        <v>38208</v>
      </c>
      <c r="D269" t="s">
        <v>38209</v>
      </c>
      <c r="E269" t="s">
        <v>38210</v>
      </c>
      <c r="F269" t="s">
        <v>38211</v>
      </c>
    </row>
    <row r="270" spans="2:7" ht="24.95" customHeight="1">
      <c r="B270" s="20">
        <v>270</v>
      </c>
      <c r="C270" s="32" t="s">
        <v>38906</v>
      </c>
      <c r="D270" t="s">
        <v>38903</v>
      </c>
      <c r="E270" t="s">
        <v>38904</v>
      </c>
      <c r="F270" t="s">
        <v>38905</v>
      </c>
    </row>
    <row r="271" spans="2:7" ht="24.95" customHeight="1">
      <c r="B271" s="20">
        <v>271</v>
      </c>
      <c r="C271" s="32" t="s">
        <v>38226</v>
      </c>
      <c r="D271" t="s">
        <v>38288</v>
      </c>
      <c r="E271" t="s">
        <v>38289</v>
      </c>
      <c r="F271" t="s">
        <v>38290</v>
      </c>
    </row>
    <row r="272" spans="2:7" ht="24.95" customHeight="1">
      <c r="B272" s="20">
        <v>272</v>
      </c>
      <c r="C272" s="32" t="s">
        <v>38226</v>
      </c>
      <c r="D272" t="s">
        <v>38004</v>
      </c>
      <c r="E272" t="s">
        <v>38005</v>
      </c>
      <c r="F272" t="s">
        <v>38006</v>
      </c>
    </row>
    <row r="273" spans="2:8" ht="24.95" customHeight="1">
      <c r="B273" s="20">
        <v>273</v>
      </c>
      <c r="C273" s="32" t="s">
        <v>38226</v>
      </c>
      <c r="D273" t="s">
        <v>562</v>
      </c>
      <c r="E273" t="s">
        <v>563</v>
      </c>
      <c r="F273" t="s">
        <v>564</v>
      </c>
      <c r="G273" t="s">
        <v>565</v>
      </c>
    </row>
    <row r="274" spans="2:8" ht="24.95" customHeight="1">
      <c r="B274" s="20">
        <v>274</v>
      </c>
      <c r="C274" s="32" t="s">
        <v>38226</v>
      </c>
      <c r="D274" t="s">
        <v>37876</v>
      </c>
      <c r="E274" t="s">
        <v>37877</v>
      </c>
      <c r="F274" t="s">
        <v>37878</v>
      </c>
    </row>
    <row r="275" spans="2:8" ht="24.95" customHeight="1">
      <c r="B275" s="20">
        <v>275</v>
      </c>
      <c r="C275" s="32" t="s">
        <v>38226</v>
      </c>
      <c r="D275" t="s">
        <v>38437</v>
      </c>
      <c r="E275" t="s">
        <v>38438</v>
      </c>
      <c r="F275" t="s">
        <v>38439</v>
      </c>
    </row>
    <row r="276" spans="2:8" ht="24.95" customHeight="1">
      <c r="B276" s="20">
        <v>276</v>
      </c>
    </row>
    <row r="277" spans="2:8" ht="24.95" customHeight="1">
      <c r="B277" s="20">
        <v>277</v>
      </c>
      <c r="C277" s="32" t="s">
        <v>38507</v>
      </c>
      <c r="D277" t="s">
        <v>38508</v>
      </c>
      <c r="E277" t="s">
        <v>38509</v>
      </c>
      <c r="F277" t="s">
        <v>38510</v>
      </c>
    </row>
    <row r="278" spans="2:8" ht="24.95" customHeight="1">
      <c r="B278" s="20">
        <v>278</v>
      </c>
    </row>
    <row r="279" spans="2:8" ht="24.95" customHeight="1">
      <c r="B279" s="20">
        <v>279</v>
      </c>
      <c r="C279" s="32" t="s">
        <v>559</v>
      </c>
      <c r="D279" t="s">
        <v>38037</v>
      </c>
      <c r="E279" t="s">
        <v>560</v>
      </c>
    </row>
    <row r="280" spans="2:8" ht="24.95" customHeight="1">
      <c r="B280" s="20">
        <v>280</v>
      </c>
      <c r="C280" s="32" t="s">
        <v>37979</v>
      </c>
      <c r="D280" t="s">
        <v>495</v>
      </c>
      <c r="E280" t="s">
        <v>492</v>
      </c>
      <c r="F280" t="s">
        <v>493</v>
      </c>
      <c r="G280" t="s">
        <v>494</v>
      </c>
    </row>
    <row r="281" spans="2:8" ht="24.95" customHeight="1">
      <c r="B281" s="20">
        <v>281</v>
      </c>
      <c r="C281" s="32" t="s">
        <v>619</v>
      </c>
      <c r="D281" t="s">
        <v>620</v>
      </c>
      <c r="E281" t="s">
        <v>621</v>
      </c>
      <c r="F281" t="s">
        <v>622</v>
      </c>
      <c r="G281" t="s">
        <v>623</v>
      </c>
    </row>
    <row r="282" spans="2:8" ht="24.95" customHeight="1">
      <c r="B282" s="20">
        <v>282</v>
      </c>
      <c r="C282" s="32" t="s">
        <v>37916</v>
      </c>
      <c r="D282" t="s">
        <v>37912</v>
      </c>
      <c r="E282" t="s">
        <v>37913</v>
      </c>
      <c r="F282" t="s">
        <v>37914</v>
      </c>
      <c r="G282" t="s">
        <v>37915</v>
      </c>
    </row>
    <row r="283" spans="2:8" ht="24.95" customHeight="1">
      <c r="B283" s="20">
        <v>283</v>
      </c>
      <c r="C283" s="32" t="s">
        <v>580</v>
      </c>
      <c r="D283" t="s">
        <v>581</v>
      </c>
      <c r="E283" t="s">
        <v>585</v>
      </c>
      <c r="F283" t="s">
        <v>582</v>
      </c>
      <c r="G283" t="s">
        <v>583</v>
      </c>
      <c r="H283" t="s">
        <v>584</v>
      </c>
    </row>
    <row r="284" spans="2:8" ht="24.95" customHeight="1">
      <c r="B284" s="20">
        <v>284</v>
      </c>
      <c r="C284" s="32" t="s">
        <v>580</v>
      </c>
      <c r="D284" t="s">
        <v>38777</v>
      </c>
      <c r="E284" t="s">
        <v>38611</v>
      </c>
      <c r="F284" t="s">
        <v>38612</v>
      </c>
      <c r="G284" t="s">
        <v>38613</v>
      </c>
    </row>
    <row r="285" spans="2:8" ht="24.95" customHeight="1">
      <c r="B285" s="20">
        <v>285</v>
      </c>
      <c r="C285" s="32" t="s">
        <v>37909</v>
      </c>
      <c r="D285" t="s">
        <v>37910</v>
      </c>
      <c r="E285" t="s">
        <v>37911</v>
      </c>
      <c r="F285" t="s">
        <v>37919</v>
      </c>
    </row>
    <row r="286" spans="2:8" ht="24.95" customHeight="1">
      <c r="B286" s="20">
        <v>286</v>
      </c>
      <c r="C286" s="32" t="s">
        <v>624</v>
      </c>
      <c r="D286" t="s">
        <v>625</v>
      </c>
      <c r="E286" t="s">
        <v>626</v>
      </c>
      <c r="F286" t="s">
        <v>627</v>
      </c>
      <c r="G286" t="s">
        <v>628</v>
      </c>
    </row>
    <row r="287" spans="2:8" ht="24.95" customHeight="1">
      <c r="B287" s="20">
        <v>287</v>
      </c>
      <c r="C287" s="32" t="s">
        <v>37955</v>
      </c>
      <c r="D287" t="s">
        <v>37956</v>
      </c>
      <c r="E287" t="s">
        <v>37957</v>
      </c>
      <c r="F287" t="s">
        <v>37958</v>
      </c>
      <c r="G287" t="s">
        <v>37959</v>
      </c>
    </row>
    <row r="288" spans="2:8" ht="24.95" customHeight="1">
      <c r="B288" s="20">
        <v>288</v>
      </c>
      <c r="C288" s="32" t="s">
        <v>37955</v>
      </c>
      <c r="D288" t="s">
        <v>37960</v>
      </c>
      <c r="E288" t="s">
        <v>37961</v>
      </c>
      <c r="F288" t="s">
        <v>37962</v>
      </c>
      <c r="G288">
        <v>57416</v>
      </c>
    </row>
    <row r="289" spans="2:8" ht="24.95" customHeight="1">
      <c r="B289" s="20">
        <v>289</v>
      </c>
      <c r="C289" s="32" t="s">
        <v>37977</v>
      </c>
      <c r="D289" t="s">
        <v>434</v>
      </c>
      <c r="E289" t="s">
        <v>435</v>
      </c>
      <c r="F289" t="s">
        <v>436</v>
      </c>
    </row>
    <row r="290" spans="2:8" ht="24.95" customHeight="1">
      <c r="B290" s="20">
        <v>290</v>
      </c>
      <c r="C290" s="32" t="s">
        <v>37977</v>
      </c>
      <c r="D290" t="s">
        <v>528</v>
      </c>
      <c r="E290" t="s">
        <v>529</v>
      </c>
      <c r="F290" t="s">
        <v>530</v>
      </c>
    </row>
    <row r="291" spans="2:8" ht="24.95" customHeight="1">
      <c r="B291" s="20">
        <v>291</v>
      </c>
      <c r="C291" s="32" t="s">
        <v>37977</v>
      </c>
      <c r="D291" t="s">
        <v>38735</v>
      </c>
      <c r="E291" t="s">
        <v>38194</v>
      </c>
      <c r="F291" t="s">
        <v>38733</v>
      </c>
    </row>
    <row r="292" spans="2:8" ht="24.95" customHeight="1">
      <c r="B292" s="20">
        <v>292</v>
      </c>
      <c r="C292" s="32" t="s">
        <v>37977</v>
      </c>
      <c r="D292" t="s">
        <v>38429</v>
      </c>
      <c r="E292" t="s">
        <v>38430</v>
      </c>
      <c r="F292" t="s">
        <v>38431</v>
      </c>
      <c r="G292" t="s">
        <v>38432</v>
      </c>
      <c r="H292" t="s">
        <v>38433</v>
      </c>
    </row>
    <row r="293" spans="2:8" ht="24.95" customHeight="1">
      <c r="B293" s="20">
        <v>293</v>
      </c>
      <c r="C293" s="32" t="s">
        <v>37977</v>
      </c>
      <c r="D293" t="s">
        <v>38699</v>
      </c>
      <c r="E293" t="s">
        <v>38700</v>
      </c>
      <c r="F293" t="s">
        <v>38701</v>
      </c>
      <c r="G293" t="s">
        <v>38702</v>
      </c>
    </row>
    <row r="294" spans="2:8" ht="24.95" customHeight="1">
      <c r="B294" s="20">
        <v>294</v>
      </c>
      <c r="C294" s="32" t="s">
        <v>37977</v>
      </c>
      <c r="D294" t="s">
        <v>38734</v>
      </c>
      <c r="E294" t="s">
        <v>39014</v>
      </c>
      <c r="F294" t="s">
        <v>39015</v>
      </c>
    </row>
    <row r="295" spans="2:8" ht="24.95" customHeight="1">
      <c r="B295" s="20">
        <v>295</v>
      </c>
      <c r="C295" s="32" t="s">
        <v>37977</v>
      </c>
      <c r="D295" t="s">
        <v>38854</v>
      </c>
      <c r="E295" t="s">
        <v>38855</v>
      </c>
      <c r="F295" t="s">
        <v>38856</v>
      </c>
      <c r="G295" t="s">
        <v>38857</v>
      </c>
    </row>
    <row r="296" spans="2:8" ht="24.95" customHeight="1">
      <c r="B296" s="20">
        <v>296</v>
      </c>
      <c r="C296" s="32" t="s">
        <v>612</v>
      </c>
      <c r="D296" t="s">
        <v>37932</v>
      </c>
      <c r="E296" t="s">
        <v>37933</v>
      </c>
      <c r="F296" t="s">
        <v>37934</v>
      </c>
      <c r="G296" t="s">
        <v>37935</v>
      </c>
    </row>
    <row r="297" spans="2:8" ht="24.95" customHeight="1">
      <c r="B297" s="20">
        <v>297</v>
      </c>
      <c r="C297" s="32" t="s">
        <v>612</v>
      </c>
      <c r="D297" t="s">
        <v>613</v>
      </c>
      <c r="E297" t="s">
        <v>614</v>
      </c>
      <c r="F297" t="s">
        <v>615</v>
      </c>
    </row>
    <row r="298" spans="2:8" ht="24.95" customHeight="1">
      <c r="B298" s="20">
        <v>298</v>
      </c>
      <c r="C298" s="32" t="s">
        <v>612</v>
      </c>
      <c r="D298" t="s">
        <v>613</v>
      </c>
      <c r="E298" t="s">
        <v>38736</v>
      </c>
      <c r="F298" t="s">
        <v>38737</v>
      </c>
      <c r="G298" t="s">
        <v>38738</v>
      </c>
    </row>
    <row r="299" spans="2:8" ht="24.95" customHeight="1">
      <c r="B299" s="20">
        <v>299</v>
      </c>
      <c r="C299" s="32" t="s">
        <v>612</v>
      </c>
      <c r="D299" t="s">
        <v>38007</v>
      </c>
      <c r="E299" t="s">
        <v>38008</v>
      </c>
      <c r="F299" t="s">
        <v>38009</v>
      </c>
    </row>
    <row r="300" spans="2:8" ht="24.95" customHeight="1">
      <c r="B300" s="20">
        <v>300</v>
      </c>
      <c r="C300" s="32" t="s">
        <v>612</v>
      </c>
      <c r="D300" t="s">
        <v>38609</v>
      </c>
      <c r="E300" t="s">
        <v>38610</v>
      </c>
      <c r="F300" t="s">
        <v>39003</v>
      </c>
    </row>
    <row r="301" spans="2:8" ht="24.95" customHeight="1">
      <c r="B301" s="20">
        <v>301</v>
      </c>
      <c r="C301" s="32" t="s">
        <v>612</v>
      </c>
      <c r="D301" t="s">
        <v>38619</v>
      </c>
      <c r="E301" t="s">
        <v>38620</v>
      </c>
      <c r="F301" t="s">
        <v>38621</v>
      </c>
    </row>
    <row r="302" spans="2:8" ht="24.95" customHeight="1">
      <c r="B302" s="20">
        <v>302</v>
      </c>
      <c r="C302" s="32" t="s">
        <v>612</v>
      </c>
      <c r="D302" t="s">
        <v>38900</v>
      </c>
      <c r="E302" t="s">
        <v>38901</v>
      </c>
      <c r="F302" t="s">
        <v>38902</v>
      </c>
    </row>
    <row r="303" spans="2:8" ht="24.95" customHeight="1">
      <c r="B303" s="20">
        <v>303</v>
      </c>
      <c r="C303" s="32" t="s">
        <v>612</v>
      </c>
      <c r="D303" t="s">
        <v>39028</v>
      </c>
      <c r="E303" t="s">
        <v>39029</v>
      </c>
      <c r="F303" t="s">
        <v>39030</v>
      </c>
    </row>
    <row r="304" spans="2:8" ht="24.95" customHeight="1">
      <c r="B304" s="20">
        <v>304</v>
      </c>
      <c r="C304" s="32" t="s">
        <v>612</v>
      </c>
      <c r="D304" t="s">
        <v>39028</v>
      </c>
      <c r="E304" t="s">
        <v>39031</v>
      </c>
      <c r="F304" t="s">
        <v>39032</v>
      </c>
    </row>
    <row r="305" spans="2:7" ht="24.95" customHeight="1">
      <c r="B305" s="20">
        <v>305</v>
      </c>
      <c r="C305" s="32" t="s">
        <v>37978</v>
      </c>
      <c r="D305" t="s">
        <v>506</v>
      </c>
      <c r="E305" t="s">
        <v>507</v>
      </c>
      <c r="F305" t="s">
        <v>508</v>
      </c>
    </row>
    <row r="306" spans="2:7" ht="24.95" customHeight="1">
      <c r="B306" s="20">
        <v>306</v>
      </c>
      <c r="C306" s="32" t="s">
        <v>37805</v>
      </c>
      <c r="D306" t="s">
        <v>37806</v>
      </c>
      <c r="E306" t="s">
        <v>37807</v>
      </c>
      <c r="F306" t="s">
        <v>37808</v>
      </c>
    </row>
    <row r="307" spans="2:7" ht="24.95" customHeight="1">
      <c r="B307" s="20">
        <v>307</v>
      </c>
      <c r="C307" s="32" t="s">
        <v>306</v>
      </c>
      <c r="D307" t="s">
        <v>307</v>
      </c>
      <c r="E307" t="s">
        <v>308</v>
      </c>
      <c r="F307" t="s">
        <v>309</v>
      </c>
      <c r="G307" t="s">
        <v>310</v>
      </c>
    </row>
    <row r="308" spans="2:7" ht="24.95" customHeight="1">
      <c r="B308" s="20">
        <v>308</v>
      </c>
      <c r="C308" s="32" t="s">
        <v>306</v>
      </c>
      <c r="D308" t="s">
        <v>311</v>
      </c>
      <c r="E308" t="s">
        <v>312</v>
      </c>
      <c r="F308" t="s">
        <v>313</v>
      </c>
      <c r="G308" t="s">
        <v>314</v>
      </c>
    </row>
    <row r="309" spans="2:7" ht="24.95" customHeight="1">
      <c r="B309" s="20">
        <v>309</v>
      </c>
      <c r="C309" s="32" t="s">
        <v>306</v>
      </c>
      <c r="D309" t="s">
        <v>38304</v>
      </c>
      <c r="E309" t="s">
        <v>38303</v>
      </c>
      <c r="F309" t="s">
        <v>38302</v>
      </c>
    </row>
    <row r="310" spans="2:7" ht="24.95" customHeight="1">
      <c r="B310" s="20">
        <v>310</v>
      </c>
      <c r="C310" s="32" t="s">
        <v>37859</v>
      </c>
      <c r="D310" t="s">
        <v>37856</v>
      </c>
      <c r="E310" t="s">
        <v>37857</v>
      </c>
      <c r="F310" t="s">
        <v>37858</v>
      </c>
    </row>
    <row r="311" spans="2:7" ht="24.95" customHeight="1">
      <c r="B311" s="20">
        <v>311</v>
      </c>
      <c r="C311" s="32" t="s">
        <v>37830</v>
      </c>
      <c r="D311" t="s">
        <v>37831</v>
      </c>
      <c r="E311" t="s">
        <v>37832</v>
      </c>
      <c r="F311" t="s">
        <v>37833</v>
      </c>
      <c r="G311" t="s">
        <v>37834</v>
      </c>
    </row>
    <row r="312" spans="2:7" ht="24.95" customHeight="1">
      <c r="B312" s="20">
        <v>312</v>
      </c>
      <c r="C312" s="32" t="s">
        <v>37830</v>
      </c>
      <c r="D312" t="s">
        <v>38284</v>
      </c>
      <c r="E312" t="s">
        <v>38285</v>
      </c>
      <c r="F312" t="s">
        <v>38286</v>
      </c>
      <c r="G312" t="s">
        <v>38287</v>
      </c>
    </row>
    <row r="313" spans="2:7" ht="24.95" customHeight="1">
      <c r="B313" s="20">
        <v>313</v>
      </c>
      <c r="C313" s="32" t="s">
        <v>37971</v>
      </c>
      <c r="D313" t="s">
        <v>37972</v>
      </c>
      <c r="E313" t="s">
        <v>37973</v>
      </c>
      <c r="F313" t="s">
        <v>37974</v>
      </c>
    </row>
    <row r="314" spans="2:7" ht="24.95" customHeight="1">
      <c r="B314" s="20">
        <v>314</v>
      </c>
      <c r="C314" s="32" t="s">
        <v>37971</v>
      </c>
      <c r="D314" t="s">
        <v>426</v>
      </c>
      <c r="E314" t="s">
        <v>427</v>
      </c>
      <c r="F314" t="s">
        <v>428</v>
      </c>
      <c r="G314" t="s">
        <v>429</v>
      </c>
    </row>
    <row r="315" spans="2:7" ht="24.95" customHeight="1">
      <c r="B315" s="20">
        <v>315</v>
      </c>
      <c r="C315" s="32" t="s">
        <v>397</v>
      </c>
      <c r="D315" t="s">
        <v>398</v>
      </c>
      <c r="E315" t="s">
        <v>481</v>
      </c>
    </row>
    <row r="316" spans="2:7" ht="24.95" customHeight="1">
      <c r="B316" s="20">
        <v>316</v>
      </c>
      <c r="C316" s="32" t="s">
        <v>397</v>
      </c>
      <c r="D316" t="s">
        <v>399</v>
      </c>
      <c r="E316" t="s">
        <v>400</v>
      </c>
      <c r="F316" t="s">
        <v>401</v>
      </c>
    </row>
    <row r="317" spans="2:7" ht="24.95" customHeight="1">
      <c r="B317" s="20">
        <v>317</v>
      </c>
      <c r="C317" s="32" t="s">
        <v>397</v>
      </c>
      <c r="D317" t="s">
        <v>399</v>
      </c>
      <c r="E317" t="s">
        <v>526</v>
      </c>
      <c r="F317" t="s">
        <v>527</v>
      </c>
    </row>
    <row r="318" spans="2:7" ht="24.95" customHeight="1">
      <c r="B318" s="20">
        <v>318</v>
      </c>
      <c r="C318" s="32" t="s">
        <v>397</v>
      </c>
      <c r="D318" t="s">
        <v>37843</v>
      </c>
      <c r="E318" t="s">
        <v>37844</v>
      </c>
      <c r="F318" t="s">
        <v>37845</v>
      </c>
      <c r="G318" t="s">
        <v>8442</v>
      </c>
    </row>
    <row r="319" spans="2:7" ht="24.95" customHeight="1">
      <c r="B319" s="20">
        <v>319</v>
      </c>
      <c r="C319" s="32" t="s">
        <v>397</v>
      </c>
      <c r="D319" t="s">
        <v>38013</v>
      </c>
      <c r="E319" t="s">
        <v>38014</v>
      </c>
      <c r="F319" t="s">
        <v>38015</v>
      </c>
    </row>
    <row r="320" spans="2:7" ht="24.95" customHeight="1">
      <c r="B320" s="20">
        <v>320</v>
      </c>
      <c r="C320" s="32" t="s">
        <v>397</v>
      </c>
      <c r="D320" t="s">
        <v>38016</v>
      </c>
      <c r="E320" t="s">
        <v>38017</v>
      </c>
      <c r="F320" t="s">
        <v>38018</v>
      </c>
      <c r="G320" t="s">
        <v>38019</v>
      </c>
    </row>
    <row r="321" spans="2:8" ht="24.95" customHeight="1">
      <c r="B321" s="20">
        <v>321</v>
      </c>
      <c r="C321" s="32" t="s">
        <v>397</v>
      </c>
      <c r="D321" t="s">
        <v>38834</v>
      </c>
      <c r="E321" t="s">
        <v>38835</v>
      </c>
      <c r="F321" t="s">
        <v>38836</v>
      </c>
      <c r="G321" t="s">
        <v>38837</v>
      </c>
    </row>
    <row r="322" spans="2:8" ht="24.95" customHeight="1">
      <c r="B322" s="20">
        <v>322</v>
      </c>
      <c r="C322" s="32" t="s">
        <v>397</v>
      </c>
      <c r="D322" t="s">
        <v>38893</v>
      </c>
      <c r="E322" t="s">
        <v>38894</v>
      </c>
      <c r="F322" t="s">
        <v>38895</v>
      </c>
    </row>
    <row r="323" spans="2:8" ht="24.95" customHeight="1">
      <c r="B323" s="20">
        <v>323</v>
      </c>
      <c r="C323" s="32" t="s">
        <v>397</v>
      </c>
      <c r="D323" t="s">
        <v>38079</v>
      </c>
      <c r="E323" t="s">
        <v>38080</v>
      </c>
      <c r="F323" t="s">
        <v>38081</v>
      </c>
      <c r="G323" t="s">
        <v>38082</v>
      </c>
    </row>
    <row r="324" spans="2:8" ht="24.95" customHeight="1">
      <c r="B324" s="20">
        <v>324</v>
      </c>
      <c r="C324" s="32" t="s">
        <v>397</v>
      </c>
      <c r="D324" t="s">
        <v>38190</v>
      </c>
      <c r="E324" t="s">
        <v>38191</v>
      </c>
      <c r="F324" t="s">
        <v>38192</v>
      </c>
      <c r="G324" t="s">
        <v>38193</v>
      </c>
    </row>
    <row r="325" spans="2:8" ht="24.95" customHeight="1">
      <c r="B325" s="20">
        <v>325</v>
      </c>
      <c r="C325" s="32" t="s">
        <v>397</v>
      </c>
      <c r="D325" t="s">
        <v>38535</v>
      </c>
      <c r="E325" t="s">
        <v>38536</v>
      </c>
      <c r="F325" t="s">
        <v>38537</v>
      </c>
    </row>
    <row r="326" spans="2:8" ht="24.95" customHeight="1">
      <c r="B326" s="20">
        <v>326</v>
      </c>
      <c r="C326" s="32" t="s">
        <v>397</v>
      </c>
      <c r="D326" t="s">
        <v>38673</v>
      </c>
      <c r="E326" t="s">
        <v>38674</v>
      </c>
      <c r="F326" t="s">
        <v>38675</v>
      </c>
    </row>
    <row r="327" spans="2:8" ht="24.95" customHeight="1">
      <c r="B327" s="20">
        <v>327</v>
      </c>
      <c r="C327" s="32" t="s">
        <v>397</v>
      </c>
      <c r="D327" t="s">
        <v>38801</v>
      </c>
      <c r="E327" t="s">
        <v>38799</v>
      </c>
      <c r="F327" t="s">
        <v>38800</v>
      </c>
    </row>
    <row r="328" spans="2:8" ht="24.95" customHeight="1">
      <c r="B328" s="20">
        <v>328</v>
      </c>
      <c r="C328" s="32" t="s">
        <v>38828</v>
      </c>
      <c r="D328" t="s">
        <v>38824</v>
      </c>
      <c r="E328" t="s">
        <v>38825</v>
      </c>
      <c r="F328" t="s">
        <v>38826</v>
      </c>
      <c r="G328" t="s">
        <v>38827</v>
      </c>
    </row>
    <row r="329" spans="2:8" ht="24.95" customHeight="1">
      <c r="B329" s="20">
        <v>329</v>
      </c>
      <c r="C329" s="32" t="s">
        <v>38828</v>
      </c>
      <c r="D329" t="s">
        <v>38844</v>
      </c>
      <c r="E329" t="s">
        <v>38845</v>
      </c>
      <c r="F329" t="s">
        <v>38846</v>
      </c>
    </row>
    <row r="330" spans="2:8" ht="24.95" customHeight="1">
      <c r="B330" s="20">
        <v>330</v>
      </c>
      <c r="C330" s="32" t="s">
        <v>38828</v>
      </c>
      <c r="D330" t="s">
        <v>38847</v>
      </c>
      <c r="E330" t="s">
        <v>38848</v>
      </c>
      <c r="F330" t="s">
        <v>38920</v>
      </c>
    </row>
    <row r="331" spans="2:8" ht="24.95" customHeight="1">
      <c r="B331" s="20">
        <v>331</v>
      </c>
      <c r="C331" s="32" t="s">
        <v>38828</v>
      </c>
      <c r="D331" t="s">
        <v>38849</v>
      </c>
      <c r="E331" t="s">
        <v>38850</v>
      </c>
      <c r="F331" t="s">
        <v>38851</v>
      </c>
      <c r="G331" t="s">
        <v>38852</v>
      </c>
      <c r="H331" t="s">
        <v>38853</v>
      </c>
    </row>
    <row r="332" spans="2:8" ht="24.95" customHeight="1">
      <c r="B332" s="20">
        <v>332</v>
      </c>
      <c r="C332" s="32" t="s">
        <v>38828</v>
      </c>
      <c r="D332" t="s">
        <v>38877</v>
      </c>
      <c r="E332" t="s">
        <v>38878</v>
      </c>
      <c r="F332" t="s">
        <v>38879</v>
      </c>
      <c r="G332" t="s">
        <v>38880</v>
      </c>
      <c r="H332" t="s">
        <v>7692</v>
      </c>
    </row>
    <row r="333" spans="2:8" ht="24.95" customHeight="1">
      <c r="B333" s="20">
        <v>333</v>
      </c>
      <c r="C333" s="32" t="s">
        <v>38828</v>
      </c>
      <c r="D333" t="s">
        <v>38881</v>
      </c>
      <c r="E333" t="s">
        <v>38882</v>
      </c>
      <c r="F333" t="s">
        <v>38883</v>
      </c>
    </row>
    <row r="334" spans="2:8" ht="24.95" customHeight="1">
      <c r="B334" s="20">
        <v>334</v>
      </c>
      <c r="C334" s="32" t="s">
        <v>38828</v>
      </c>
      <c r="D334" t="s">
        <v>38978</v>
      </c>
      <c r="E334" t="s">
        <v>38979</v>
      </c>
      <c r="F334" t="s">
        <v>38980</v>
      </c>
    </row>
    <row r="335" spans="2:8" ht="24.95" customHeight="1">
      <c r="B335" s="20">
        <v>335</v>
      </c>
      <c r="C335" s="32" t="s">
        <v>38828</v>
      </c>
      <c r="D335" t="s">
        <v>38984</v>
      </c>
      <c r="E335" t="s">
        <v>38985</v>
      </c>
      <c r="F335" t="s">
        <v>38986</v>
      </c>
      <c r="G335" t="s">
        <v>38987</v>
      </c>
    </row>
    <row r="336" spans="2:8" ht="24.95" customHeight="1">
      <c r="B336" s="20">
        <v>336</v>
      </c>
      <c r="C336" s="32" t="s">
        <v>38828</v>
      </c>
      <c r="D336" t="s">
        <v>38992</v>
      </c>
      <c r="E336" t="s">
        <v>38993</v>
      </c>
      <c r="F336" t="s">
        <v>38994</v>
      </c>
      <c r="G336" t="s">
        <v>38995</v>
      </c>
    </row>
    <row r="337" spans="2:8" ht="24.95" customHeight="1">
      <c r="B337" s="20">
        <v>337</v>
      </c>
      <c r="C337" s="32" t="s">
        <v>38828</v>
      </c>
      <c r="D337" t="s">
        <v>39006</v>
      </c>
      <c r="E337" t="s">
        <v>39007</v>
      </c>
      <c r="F337" t="s">
        <v>39008</v>
      </c>
    </row>
    <row r="338" spans="2:8" ht="24.95" customHeight="1">
      <c r="B338" s="20">
        <v>338</v>
      </c>
      <c r="C338" s="32" t="s">
        <v>37867</v>
      </c>
      <c r="D338" t="s">
        <v>37868</v>
      </c>
      <c r="E338" t="s">
        <v>37869</v>
      </c>
      <c r="F338" t="s">
        <v>37870</v>
      </c>
      <c r="G338" t="s">
        <v>37871</v>
      </c>
    </row>
    <row r="339" spans="2:8" ht="24.95" customHeight="1">
      <c r="B339" s="20">
        <v>339</v>
      </c>
      <c r="C339" s="32" t="s">
        <v>37795</v>
      </c>
      <c r="D339" t="s">
        <v>37882</v>
      </c>
      <c r="E339" t="s">
        <v>37883</v>
      </c>
    </row>
    <row r="340" spans="2:8" ht="24.95" customHeight="1">
      <c r="B340" s="20">
        <v>340</v>
      </c>
      <c r="C340" s="32" t="s">
        <v>37795</v>
      </c>
      <c r="D340" t="s">
        <v>37796</v>
      </c>
      <c r="E340" t="s">
        <v>37797</v>
      </c>
      <c r="F340" t="s">
        <v>37798</v>
      </c>
    </row>
    <row r="341" spans="2:8" ht="24.95" customHeight="1">
      <c r="B341" s="20">
        <v>341</v>
      </c>
      <c r="C341" s="32" t="s">
        <v>37795</v>
      </c>
      <c r="D341" t="s">
        <v>37799</v>
      </c>
      <c r="E341" t="s">
        <v>37800</v>
      </c>
    </row>
    <row r="342" spans="2:8" ht="24.95" customHeight="1">
      <c r="B342" s="20">
        <v>342</v>
      </c>
      <c r="C342" s="32" t="s">
        <v>37795</v>
      </c>
      <c r="D342" t="s">
        <v>37801</v>
      </c>
      <c r="E342" t="s">
        <v>38003</v>
      </c>
      <c r="F342" t="s">
        <v>38002</v>
      </c>
      <c r="G342" t="s">
        <v>38001</v>
      </c>
    </row>
    <row r="343" spans="2:8" ht="24.95" customHeight="1">
      <c r="B343" s="20">
        <v>343</v>
      </c>
      <c r="C343" s="32" t="s">
        <v>37795</v>
      </c>
      <c r="D343" t="s">
        <v>37802</v>
      </c>
      <c r="E343" t="s">
        <v>37803</v>
      </c>
      <c r="F343" t="s">
        <v>37804</v>
      </c>
    </row>
    <row r="344" spans="2:8" ht="24.95" customHeight="1">
      <c r="B344" s="20">
        <v>344</v>
      </c>
      <c r="C344" s="32" t="s">
        <v>37795</v>
      </c>
      <c r="D344" t="s">
        <v>37884</v>
      </c>
      <c r="E344" t="s">
        <v>37885</v>
      </c>
      <c r="F344" t="s">
        <v>37886</v>
      </c>
    </row>
    <row r="345" spans="2:8" ht="24.95" customHeight="1">
      <c r="B345" s="20">
        <v>345</v>
      </c>
      <c r="C345" s="32" t="s">
        <v>37795</v>
      </c>
      <c r="D345" t="s">
        <v>37887</v>
      </c>
      <c r="E345" t="s">
        <v>37888</v>
      </c>
      <c r="F345" t="s">
        <v>37889</v>
      </c>
    </row>
    <row r="346" spans="2:8" ht="24.95" customHeight="1">
      <c r="B346" s="20">
        <v>346</v>
      </c>
      <c r="C346" s="32" t="s">
        <v>37795</v>
      </c>
      <c r="D346" t="s">
        <v>37966</v>
      </c>
      <c r="E346" t="s">
        <v>37967</v>
      </c>
      <c r="F346" t="s">
        <v>37968</v>
      </c>
    </row>
    <row r="347" spans="2:8" ht="24.95" customHeight="1">
      <c r="B347" s="20">
        <v>347</v>
      </c>
      <c r="C347" s="32" t="s">
        <v>37795</v>
      </c>
      <c r="D347" t="s">
        <v>37997</v>
      </c>
      <c r="E347" t="s">
        <v>37998</v>
      </c>
      <c r="F347" t="s">
        <v>37999</v>
      </c>
      <c r="G347" t="s">
        <v>38000</v>
      </c>
    </row>
    <row r="348" spans="2:8" ht="24.95" customHeight="1">
      <c r="B348" s="20">
        <v>348</v>
      </c>
      <c r="C348" s="32" t="s">
        <v>37795</v>
      </c>
      <c r="D348" t="s">
        <v>38074</v>
      </c>
      <c r="E348" t="s">
        <v>38075</v>
      </c>
      <c r="F348" t="s">
        <v>38076</v>
      </c>
      <c r="G348" t="s">
        <v>38077</v>
      </c>
      <c r="H348" t="s">
        <v>38078</v>
      </c>
    </row>
    <row r="349" spans="2:8" ht="24.95" customHeight="1">
      <c r="B349" s="20">
        <v>349</v>
      </c>
      <c r="C349" s="32" t="s">
        <v>37795</v>
      </c>
      <c r="D349" t="s">
        <v>38254</v>
      </c>
      <c r="E349" t="s">
        <v>38255</v>
      </c>
      <c r="F349" t="s">
        <v>38256</v>
      </c>
      <c r="G349" t="s">
        <v>38257</v>
      </c>
    </row>
    <row r="350" spans="2:8" ht="24.95" customHeight="1">
      <c r="B350" s="20">
        <v>350</v>
      </c>
      <c r="C350" s="32" t="s">
        <v>37795</v>
      </c>
      <c r="D350" t="s">
        <v>38398</v>
      </c>
      <c r="E350" t="s">
        <v>38399</v>
      </c>
      <c r="F350" t="s">
        <v>38400</v>
      </c>
      <c r="G350" t="s">
        <v>38401</v>
      </c>
      <c r="H350" t="s">
        <v>38402</v>
      </c>
    </row>
    <row r="351" spans="2:8" ht="24.95" customHeight="1">
      <c r="B351" s="20">
        <v>351</v>
      </c>
      <c r="C351" s="32" t="s">
        <v>37795</v>
      </c>
      <c r="D351" t="s">
        <v>38403</v>
      </c>
      <c r="E351" t="s">
        <v>38404</v>
      </c>
    </row>
    <row r="352" spans="2:8" ht="24.95" customHeight="1">
      <c r="B352" s="20">
        <v>352</v>
      </c>
      <c r="C352" s="32" t="s">
        <v>37795</v>
      </c>
      <c r="D352" t="s">
        <v>38446</v>
      </c>
      <c r="E352" t="s">
        <v>38447</v>
      </c>
      <c r="F352" t="s">
        <v>38448</v>
      </c>
    </row>
    <row r="353" spans="2:8" ht="24.95" customHeight="1">
      <c r="B353" s="20">
        <v>353</v>
      </c>
      <c r="C353" s="32" t="s">
        <v>37795</v>
      </c>
      <c r="D353" t="s">
        <v>38569</v>
      </c>
      <c r="E353" t="s">
        <v>38570</v>
      </c>
      <c r="F353" t="s">
        <v>38571</v>
      </c>
      <c r="G353" t="s">
        <v>38572</v>
      </c>
    </row>
    <row r="354" spans="2:8" ht="24.95" customHeight="1">
      <c r="B354" s="20">
        <v>354</v>
      </c>
      <c r="C354" s="32" t="s">
        <v>37795</v>
      </c>
      <c r="D354" t="s">
        <v>38573</v>
      </c>
      <c r="E354" t="s">
        <v>38574</v>
      </c>
    </row>
    <row r="355" spans="2:8" ht="24.95" customHeight="1">
      <c r="B355" s="20">
        <v>355</v>
      </c>
      <c r="C355" s="32" t="s">
        <v>37795</v>
      </c>
      <c r="D355" t="s">
        <v>38575</v>
      </c>
      <c r="E355" t="s">
        <v>38576</v>
      </c>
      <c r="F355" t="s">
        <v>38577</v>
      </c>
      <c r="G355" t="s">
        <v>38257</v>
      </c>
    </row>
    <row r="356" spans="2:8" ht="24.95" customHeight="1">
      <c r="B356" s="20">
        <v>356</v>
      </c>
      <c r="C356" s="32" t="s">
        <v>37795</v>
      </c>
      <c r="D356" t="s">
        <v>38569</v>
      </c>
      <c r="E356" t="s">
        <v>38570</v>
      </c>
      <c r="F356" t="s">
        <v>38571</v>
      </c>
      <c r="G356" t="s">
        <v>38578</v>
      </c>
    </row>
    <row r="357" spans="2:8" ht="24.95" customHeight="1">
      <c r="B357" s="20">
        <v>357</v>
      </c>
    </row>
    <row r="358" spans="2:8" ht="24.95" customHeight="1">
      <c r="B358" s="20">
        <v>358</v>
      </c>
      <c r="C358" s="32" t="s">
        <v>38838</v>
      </c>
      <c r="D358" t="s">
        <v>38839</v>
      </c>
      <c r="E358" t="s">
        <v>38840</v>
      </c>
      <c r="F358" t="s">
        <v>38841</v>
      </c>
      <c r="G358" t="s">
        <v>38842</v>
      </c>
      <c r="H358" t="s">
        <v>38843</v>
      </c>
    </row>
    <row r="359" spans="2:8" ht="24.95" customHeight="1">
      <c r="B359" s="20">
        <v>359</v>
      </c>
      <c r="C359" s="32" t="s">
        <v>38465</v>
      </c>
      <c r="D359" t="s">
        <v>38579</v>
      </c>
      <c r="E359" t="s">
        <v>38580</v>
      </c>
      <c r="F359" t="s">
        <v>38581</v>
      </c>
    </row>
    <row r="360" spans="2:8" ht="24.95" customHeight="1">
      <c r="B360" s="20">
        <v>360</v>
      </c>
      <c r="C360" s="32" t="s">
        <v>38465</v>
      </c>
      <c r="D360" t="s">
        <v>38466</v>
      </c>
      <c r="E360" t="s">
        <v>38467</v>
      </c>
      <c r="F360" t="s">
        <v>38468</v>
      </c>
    </row>
    <row r="361" spans="2:8" ht="24.95" customHeight="1">
      <c r="B361" s="20">
        <v>361</v>
      </c>
      <c r="C361" s="32" t="s">
        <v>430</v>
      </c>
      <c r="D361" t="s">
        <v>37975</v>
      </c>
      <c r="E361" t="s">
        <v>37976</v>
      </c>
    </row>
    <row r="362" spans="2:8" ht="24.95" customHeight="1">
      <c r="B362" s="20">
        <v>362</v>
      </c>
      <c r="C362" s="32" t="s">
        <v>430</v>
      </c>
      <c r="D362" t="s">
        <v>431</v>
      </c>
      <c r="E362" t="s">
        <v>448</v>
      </c>
      <c r="F362" t="s">
        <v>449</v>
      </c>
      <c r="G362" t="s">
        <v>450</v>
      </c>
    </row>
    <row r="363" spans="2:8" ht="24.95" customHeight="1">
      <c r="B363" s="20">
        <v>363</v>
      </c>
      <c r="C363" s="32" t="s">
        <v>430</v>
      </c>
      <c r="D363" t="s">
        <v>534</v>
      </c>
      <c r="E363" t="s">
        <v>535</v>
      </c>
      <c r="F363" t="s">
        <v>536</v>
      </c>
    </row>
    <row r="364" spans="2:8" ht="24.95" customHeight="1">
      <c r="B364" s="20">
        <v>364</v>
      </c>
      <c r="C364" s="32" t="s">
        <v>430</v>
      </c>
      <c r="D364" t="s">
        <v>37817</v>
      </c>
      <c r="E364" t="s">
        <v>37818</v>
      </c>
      <c r="F364" t="s">
        <v>37819</v>
      </c>
      <c r="G364" t="s">
        <v>446</v>
      </c>
    </row>
    <row r="365" spans="2:8" ht="24.95" customHeight="1">
      <c r="B365" s="20">
        <v>365</v>
      </c>
      <c r="C365" s="32" t="s">
        <v>430</v>
      </c>
      <c r="D365" t="s">
        <v>37894</v>
      </c>
      <c r="E365" t="s">
        <v>37895</v>
      </c>
      <c r="F365" t="s">
        <v>37896</v>
      </c>
    </row>
    <row r="366" spans="2:8" ht="24.95" customHeight="1">
      <c r="B366" s="20">
        <v>366</v>
      </c>
      <c r="C366" s="32" t="s">
        <v>430</v>
      </c>
      <c r="D366" t="s">
        <v>37897</v>
      </c>
      <c r="E366" t="s">
        <v>37969</v>
      </c>
      <c r="F366" t="s">
        <v>37970</v>
      </c>
    </row>
    <row r="367" spans="2:8" ht="24.95" customHeight="1">
      <c r="B367" s="20">
        <v>367</v>
      </c>
      <c r="C367" s="32" t="s">
        <v>430</v>
      </c>
      <c r="D367" t="s">
        <v>38129</v>
      </c>
      <c r="E367" t="s">
        <v>38130</v>
      </c>
      <c r="F367" t="s">
        <v>38131</v>
      </c>
    </row>
    <row r="368" spans="2:8" ht="24.95" customHeight="1">
      <c r="B368" s="20">
        <v>368</v>
      </c>
      <c r="C368" s="32" t="s">
        <v>430</v>
      </c>
      <c r="D368" t="s">
        <v>38187</v>
      </c>
      <c r="E368" t="s">
        <v>38188</v>
      </c>
    </row>
    <row r="369" spans="2:8" ht="24.95" customHeight="1">
      <c r="B369" s="20">
        <v>369</v>
      </c>
      <c r="C369" s="32" t="s">
        <v>430</v>
      </c>
      <c r="D369" t="s">
        <v>38361</v>
      </c>
      <c r="E369" t="s">
        <v>38362</v>
      </c>
      <c r="F369" t="s">
        <v>38363</v>
      </c>
    </row>
    <row r="370" spans="2:8" ht="24.95" customHeight="1">
      <c r="B370" s="20">
        <v>370</v>
      </c>
      <c r="C370" s="32" t="s">
        <v>430</v>
      </c>
      <c r="D370" t="s">
        <v>38707</v>
      </c>
      <c r="E370" t="s">
        <v>38708</v>
      </c>
      <c r="F370" t="s">
        <v>38709</v>
      </c>
    </row>
    <row r="371" spans="2:8" ht="24.95" customHeight="1">
      <c r="B371" s="20">
        <v>371</v>
      </c>
      <c r="C371" s="32" t="s">
        <v>430</v>
      </c>
      <c r="D371" t="s">
        <v>38914</v>
      </c>
      <c r="E371" t="s">
        <v>38996</v>
      </c>
      <c r="F371" t="s">
        <v>38997</v>
      </c>
    </row>
    <row r="372" spans="2:8" ht="24.95" customHeight="1">
      <c r="B372" s="20">
        <v>372</v>
      </c>
      <c r="C372" s="32" t="s">
        <v>430</v>
      </c>
      <c r="D372" t="s">
        <v>38914</v>
      </c>
      <c r="E372" t="s">
        <v>38915</v>
      </c>
    </row>
    <row r="373" spans="2:8" ht="24.95" customHeight="1">
      <c r="B373" s="20">
        <v>373</v>
      </c>
      <c r="C373" s="32" t="s">
        <v>430</v>
      </c>
      <c r="D373" t="s">
        <v>38954</v>
      </c>
      <c r="E373" t="s">
        <v>38955</v>
      </c>
      <c r="F373" t="s">
        <v>38956</v>
      </c>
    </row>
    <row r="374" spans="2:8" ht="24.95" customHeight="1">
      <c r="B374" s="20">
        <v>374</v>
      </c>
      <c r="C374" s="32" t="s">
        <v>430</v>
      </c>
      <c r="D374" t="s">
        <v>38981</v>
      </c>
      <c r="E374" t="s">
        <v>38982</v>
      </c>
      <c r="F374" t="s">
        <v>38983</v>
      </c>
      <c r="G374" t="s">
        <v>38941</v>
      </c>
    </row>
    <row r="375" spans="2:8" ht="24.95" customHeight="1">
      <c r="B375" s="20">
        <v>375</v>
      </c>
      <c r="C375" s="32" t="s">
        <v>430</v>
      </c>
      <c r="D375" t="s">
        <v>39009</v>
      </c>
      <c r="E375" t="s">
        <v>39010</v>
      </c>
      <c r="F375" t="s">
        <v>39011</v>
      </c>
      <c r="G375" t="s">
        <v>39012</v>
      </c>
      <c r="H375" t="s">
        <v>39013</v>
      </c>
    </row>
    <row r="376" spans="2:8" ht="24.95" customHeight="1">
      <c r="B376" s="20">
        <v>376</v>
      </c>
      <c r="C376" s="32" t="s">
        <v>38872</v>
      </c>
      <c r="D376" t="s">
        <v>38873</v>
      </c>
      <c r="E376" t="s">
        <v>38874</v>
      </c>
      <c r="F376" t="s">
        <v>38875</v>
      </c>
      <c r="G376" t="s">
        <v>38876</v>
      </c>
    </row>
    <row r="377" spans="2:8" ht="24.95" customHeight="1">
      <c r="B377" s="20">
        <v>377</v>
      </c>
      <c r="C377" s="33" t="s">
        <v>496</v>
      </c>
      <c r="D377" t="s">
        <v>38153</v>
      </c>
      <c r="E377" t="s">
        <v>497</v>
      </c>
      <c r="F377" t="s">
        <v>38152</v>
      </c>
    </row>
    <row r="378" spans="2:8" ht="24.95" customHeight="1">
      <c r="B378" s="20">
        <v>378</v>
      </c>
      <c r="C378" s="33" t="s">
        <v>496</v>
      </c>
      <c r="D378" t="s">
        <v>38305</v>
      </c>
      <c r="E378" t="s">
        <v>38306</v>
      </c>
      <c r="F378" t="s">
        <v>38307</v>
      </c>
      <c r="G378" t="s">
        <v>38308</v>
      </c>
    </row>
    <row r="379" spans="2:8" ht="24.95" customHeight="1">
      <c r="B379" s="20">
        <v>379</v>
      </c>
      <c r="C379" s="32" t="s">
        <v>37928</v>
      </c>
      <c r="D379" t="s">
        <v>37929</v>
      </c>
      <c r="E379" t="s">
        <v>37930</v>
      </c>
      <c r="F379" t="s">
        <v>37931</v>
      </c>
      <c r="G379" t="s">
        <v>294</v>
      </c>
    </row>
    <row r="380" spans="2:8" ht="24.95" customHeight="1">
      <c r="B380" s="20">
        <v>380</v>
      </c>
      <c r="C380" s="32" t="s">
        <v>416</v>
      </c>
      <c r="D380" t="s">
        <v>417</v>
      </c>
      <c r="E380" t="s">
        <v>418</v>
      </c>
      <c r="F380" t="s">
        <v>419</v>
      </c>
    </row>
    <row r="381" spans="2:8" ht="24.95" customHeight="1">
      <c r="B381" s="20">
        <v>381</v>
      </c>
      <c r="C381" s="32" t="s">
        <v>416</v>
      </c>
      <c r="D381" t="s">
        <v>489</v>
      </c>
      <c r="E381" t="s">
        <v>490</v>
      </c>
      <c r="F381" t="s">
        <v>491</v>
      </c>
    </row>
    <row r="382" spans="2:8" ht="24.95" customHeight="1">
      <c r="B382" s="20">
        <v>382</v>
      </c>
      <c r="C382" s="32" t="s">
        <v>416</v>
      </c>
      <c r="D382" t="s">
        <v>37839</v>
      </c>
      <c r="E382" t="s">
        <v>37840</v>
      </c>
      <c r="F382" t="s">
        <v>37841</v>
      </c>
      <c r="G382" t="s">
        <v>37842</v>
      </c>
    </row>
    <row r="383" spans="2:8" ht="24.95" customHeight="1">
      <c r="B383" s="20">
        <v>383</v>
      </c>
      <c r="C383" s="32" t="s">
        <v>37875</v>
      </c>
      <c r="D383" t="s">
        <v>37872</v>
      </c>
      <c r="E383" t="s">
        <v>37873</v>
      </c>
      <c r="F383" t="s">
        <v>37874</v>
      </c>
    </row>
    <row r="384" spans="2:8" ht="24.95" customHeight="1">
      <c r="B384" s="20">
        <v>384</v>
      </c>
      <c r="C384" s="32" t="s">
        <v>37875</v>
      </c>
      <c r="D384" t="s">
        <v>38606</v>
      </c>
      <c r="E384" t="s">
        <v>38607</v>
      </c>
      <c r="F384" t="s">
        <v>38608</v>
      </c>
    </row>
    <row r="385" spans="2:7" ht="24.95" customHeight="1">
      <c r="B385" s="20">
        <v>385</v>
      </c>
      <c r="C385" s="32" t="s">
        <v>38132</v>
      </c>
      <c r="D385" t="s">
        <v>385</v>
      </c>
      <c r="E385" t="s">
        <v>447</v>
      </c>
      <c r="F385" t="s">
        <v>38624</v>
      </c>
      <c r="G385" t="s">
        <v>446</v>
      </c>
    </row>
    <row r="386" spans="2:7" ht="24.95" customHeight="1">
      <c r="B386" s="20">
        <v>386</v>
      </c>
      <c r="C386" s="32" t="s">
        <v>336</v>
      </c>
      <c r="D386" t="s">
        <v>337</v>
      </c>
      <c r="E386" t="s">
        <v>338</v>
      </c>
      <c r="F386" t="s">
        <v>339</v>
      </c>
      <c r="G386" t="s">
        <v>340</v>
      </c>
    </row>
    <row r="387" spans="2:7" ht="24.95" customHeight="1">
      <c r="B387" s="20">
        <v>387</v>
      </c>
      <c r="C387" s="32" t="s">
        <v>38551</v>
      </c>
      <c r="D387" t="s">
        <v>38552</v>
      </c>
      <c r="E387" t="s">
        <v>38553</v>
      </c>
      <c r="F387" t="s">
        <v>38554</v>
      </c>
      <c r="G387" t="s">
        <v>9576</v>
      </c>
    </row>
    <row r="388" spans="2:7" ht="24.95" customHeight="1">
      <c r="B388" s="20">
        <v>388</v>
      </c>
      <c r="C388" s="32" t="s">
        <v>572</v>
      </c>
      <c r="D388" t="s">
        <v>573</v>
      </c>
      <c r="E388" t="s">
        <v>574</v>
      </c>
      <c r="F388" t="s">
        <v>575</v>
      </c>
    </row>
    <row r="389" spans="2:7" ht="24.95" customHeight="1">
      <c r="B389" s="20">
        <v>389</v>
      </c>
      <c r="C389" s="32" t="s">
        <v>37980</v>
      </c>
      <c r="D389" t="s">
        <v>482</v>
      </c>
      <c r="E389" t="s">
        <v>483</v>
      </c>
      <c r="F389" t="s">
        <v>484</v>
      </c>
    </row>
    <row r="390" spans="2:7" ht="24.95" customHeight="1">
      <c r="B390" s="20">
        <v>390</v>
      </c>
      <c r="C390" s="32" t="s">
        <v>37980</v>
      </c>
      <c r="D390" t="s">
        <v>38409</v>
      </c>
      <c r="E390" t="s">
        <v>38410</v>
      </c>
      <c r="F390" t="s">
        <v>38411</v>
      </c>
      <c r="G390" t="s">
        <v>38412</v>
      </c>
    </row>
    <row r="391" spans="2:7" ht="24.95" customHeight="1">
      <c r="B391" s="20">
        <v>391</v>
      </c>
      <c r="C391" s="32" t="s">
        <v>37980</v>
      </c>
      <c r="D391" t="s">
        <v>38596</v>
      </c>
      <c r="E391" t="s">
        <v>38597</v>
      </c>
      <c r="F391" t="s">
        <v>38598</v>
      </c>
    </row>
    <row r="392" spans="2:7" ht="24.95" customHeight="1">
      <c r="B392" s="20">
        <v>392</v>
      </c>
      <c r="C392" s="32" t="s">
        <v>38051</v>
      </c>
      <c r="D392" t="s">
        <v>38052</v>
      </c>
      <c r="E392" t="s">
        <v>38053</v>
      </c>
      <c r="F392" t="s">
        <v>38054</v>
      </c>
    </row>
    <row r="393" spans="2:7" ht="24.95" customHeight="1">
      <c r="B393" s="20">
        <v>393</v>
      </c>
      <c r="C393" s="32" t="s">
        <v>602</v>
      </c>
      <c r="D393" t="s">
        <v>603</v>
      </c>
      <c r="E393" t="s">
        <v>604</v>
      </c>
      <c r="F393" t="s">
        <v>605</v>
      </c>
      <c r="G393" t="s">
        <v>606</v>
      </c>
    </row>
    <row r="394" spans="2:7" ht="24.95" customHeight="1">
      <c r="B394" s="20">
        <v>394</v>
      </c>
      <c r="C394" s="32" t="s">
        <v>602</v>
      </c>
      <c r="D394" t="s">
        <v>37860</v>
      </c>
      <c r="E394" t="s">
        <v>37861</v>
      </c>
      <c r="F394" t="s">
        <v>37862</v>
      </c>
      <c r="G394" t="s">
        <v>37863</v>
      </c>
    </row>
    <row r="395" spans="2:7" ht="24.95" customHeight="1">
      <c r="B395" s="20">
        <v>395</v>
      </c>
      <c r="C395" s="32" t="s">
        <v>602</v>
      </c>
      <c r="D395" t="s">
        <v>38349</v>
      </c>
      <c r="E395" t="s">
        <v>38350</v>
      </c>
      <c r="F395" t="s">
        <v>38351</v>
      </c>
    </row>
    <row r="396" spans="2:7" ht="24.95" customHeight="1">
      <c r="B396" s="20">
        <v>396</v>
      </c>
      <c r="C396" s="32" t="s">
        <v>602</v>
      </c>
      <c r="D396" t="s">
        <v>38742</v>
      </c>
      <c r="E396" t="s">
        <v>38743</v>
      </c>
      <c r="F396" t="s">
        <v>38744</v>
      </c>
    </row>
    <row r="397" spans="2:7" ht="24.95" customHeight="1">
      <c r="B397" s="20">
        <v>397</v>
      </c>
      <c r="C397" s="32" t="s">
        <v>393</v>
      </c>
      <c r="D397" t="s">
        <v>394</v>
      </c>
      <c r="E397" t="s">
        <v>395</v>
      </c>
      <c r="F397" t="s">
        <v>396</v>
      </c>
    </row>
    <row r="398" spans="2:7" ht="24.95" customHeight="1">
      <c r="B398" s="20">
        <v>398</v>
      </c>
      <c r="C398" s="32" t="s">
        <v>393</v>
      </c>
      <c r="D398" t="s">
        <v>38195</v>
      </c>
      <c r="E398" t="s">
        <v>38196</v>
      </c>
      <c r="F398" t="s">
        <v>38197</v>
      </c>
    </row>
    <row r="399" spans="2:7" ht="24.95" customHeight="1">
      <c r="B399" s="20">
        <v>399</v>
      </c>
      <c r="C399" s="32" t="s">
        <v>393</v>
      </c>
      <c r="D399" t="s">
        <v>38198</v>
      </c>
      <c r="E399" t="s">
        <v>38199</v>
      </c>
      <c r="F399" t="s">
        <v>38200</v>
      </c>
    </row>
    <row r="400" spans="2:7" ht="24.95" customHeight="1">
      <c r="B400" s="20">
        <v>400</v>
      </c>
      <c r="C400" s="32" t="s">
        <v>393</v>
      </c>
      <c r="D400" t="s">
        <v>38297</v>
      </c>
      <c r="E400" t="s">
        <v>38298</v>
      </c>
      <c r="F400" t="s">
        <v>38299</v>
      </c>
    </row>
    <row r="401" spans="2:8" ht="24.95" customHeight="1">
      <c r="B401" s="20">
        <v>401</v>
      </c>
      <c r="C401" s="32" t="s">
        <v>37993</v>
      </c>
      <c r="D401" t="s">
        <v>37994</v>
      </c>
      <c r="E401" t="s">
        <v>37995</v>
      </c>
      <c r="F401" t="s">
        <v>37996</v>
      </c>
    </row>
    <row r="402" spans="2:8" ht="24.95" customHeight="1">
      <c r="B402" s="20">
        <v>402</v>
      </c>
      <c r="C402" s="32" t="s">
        <v>37993</v>
      </c>
      <c r="D402" t="s">
        <v>38352</v>
      </c>
      <c r="E402" t="s">
        <v>38353</v>
      </c>
      <c r="F402" t="s">
        <v>38354</v>
      </c>
      <c r="G402" t="s">
        <v>38355</v>
      </c>
      <c r="H402" t="s">
        <v>38356</v>
      </c>
    </row>
    <row r="403" spans="2:8" ht="24.95" customHeight="1">
      <c r="B403" s="20">
        <v>403</v>
      </c>
      <c r="C403" s="32" t="s">
        <v>38041</v>
      </c>
      <c r="D403" t="s">
        <v>38042</v>
      </c>
      <c r="E403" t="s">
        <v>38043</v>
      </c>
      <c r="F403" t="s">
        <v>38044</v>
      </c>
      <c r="G403" t="s">
        <v>38045</v>
      </c>
    </row>
    <row r="404" spans="2:8" ht="24.95" customHeight="1">
      <c r="B404" s="20">
        <v>404</v>
      </c>
      <c r="C404" s="32" t="s">
        <v>38041</v>
      </c>
      <c r="D404" t="s">
        <v>38237</v>
      </c>
      <c r="E404" t="s">
        <v>38238</v>
      </c>
      <c r="F404" t="s">
        <v>38239</v>
      </c>
      <c r="G404" t="s">
        <v>38240</v>
      </c>
      <c r="H404" t="s">
        <v>38236</v>
      </c>
    </row>
    <row r="405" spans="2:8" ht="24.95" customHeight="1">
      <c r="B405" s="20">
        <v>405</v>
      </c>
      <c r="C405" s="32" t="s">
        <v>38041</v>
      </c>
      <c r="D405" t="s">
        <v>38516</v>
      </c>
      <c r="E405" t="s">
        <v>38517</v>
      </c>
      <c r="F405" t="s">
        <v>38518</v>
      </c>
      <c r="G405" t="s">
        <v>38519</v>
      </c>
    </row>
    <row r="406" spans="2:8" ht="24.95" customHeight="1">
      <c r="B406" s="20">
        <v>406</v>
      </c>
      <c r="C406" s="32" t="s">
        <v>38486</v>
      </c>
      <c r="D406" t="s">
        <v>38046</v>
      </c>
      <c r="E406" t="s">
        <v>38047</v>
      </c>
      <c r="F406" t="s">
        <v>38048</v>
      </c>
    </row>
    <row r="407" spans="2:8" ht="24.95" customHeight="1">
      <c r="B407" s="20">
        <v>407</v>
      </c>
      <c r="C407" s="32" t="s">
        <v>38486</v>
      </c>
      <c r="D407" t="s">
        <v>38452</v>
      </c>
      <c r="E407" t="s">
        <v>38453</v>
      </c>
      <c r="F407" t="s">
        <v>38454</v>
      </c>
      <c r="G407" t="s">
        <v>38455</v>
      </c>
    </row>
    <row r="408" spans="2:8" ht="24.95" customHeight="1">
      <c r="B408" s="20">
        <v>408</v>
      </c>
      <c r="C408" s="32" t="s">
        <v>38065</v>
      </c>
      <c r="D408" t="s">
        <v>38062</v>
      </c>
      <c r="E408" t="s">
        <v>38063</v>
      </c>
      <c r="F408" t="s">
        <v>38064</v>
      </c>
    </row>
    <row r="409" spans="2:8" ht="24.95" customHeight="1">
      <c r="B409" s="20">
        <v>409</v>
      </c>
      <c r="C409" s="32" t="s">
        <v>38065</v>
      </c>
      <c r="D409" t="s">
        <v>38184</v>
      </c>
      <c r="E409" t="s">
        <v>38185</v>
      </c>
      <c r="F409" t="s">
        <v>38186</v>
      </c>
    </row>
    <row r="410" spans="2:8" ht="24.95" customHeight="1">
      <c r="B410" s="20">
        <v>410</v>
      </c>
      <c r="C410" s="32" t="s">
        <v>38134</v>
      </c>
      <c r="D410" t="s">
        <v>38135</v>
      </c>
      <c r="E410" t="s">
        <v>38136</v>
      </c>
      <c r="F410" t="s">
        <v>38137</v>
      </c>
      <c r="G410" t="s">
        <v>38138</v>
      </c>
    </row>
    <row r="411" spans="2:8" ht="24.95" customHeight="1">
      <c r="B411" s="20">
        <v>411</v>
      </c>
      <c r="C411" s="32" t="s">
        <v>38177</v>
      </c>
      <c r="D411" t="s">
        <v>38173</v>
      </c>
      <c r="E411" t="s">
        <v>38174</v>
      </c>
      <c r="F411" t="s">
        <v>38175</v>
      </c>
      <c r="G411" t="s">
        <v>38176</v>
      </c>
    </row>
    <row r="412" spans="2:8" ht="24.95" customHeight="1">
      <c r="B412" s="20">
        <v>412</v>
      </c>
      <c r="C412" s="32" t="s">
        <v>38177</v>
      </c>
      <c r="D412" t="s">
        <v>38628</v>
      </c>
      <c r="E412" t="s">
        <v>38629</v>
      </c>
      <c r="F412" t="s">
        <v>38630</v>
      </c>
      <c r="G412" t="s">
        <v>38631</v>
      </c>
      <c r="H412" t="s">
        <v>38632</v>
      </c>
    </row>
    <row r="413" spans="2:8" ht="24.95" customHeight="1">
      <c r="B413" s="20">
        <v>413</v>
      </c>
      <c r="C413" s="32" t="s">
        <v>38258</v>
      </c>
      <c r="D413" t="s">
        <v>38259</v>
      </c>
      <c r="E413" t="s">
        <v>38260</v>
      </c>
      <c r="F413" t="s">
        <v>38261</v>
      </c>
      <c r="G413" t="s">
        <v>38262</v>
      </c>
    </row>
    <row r="414" spans="2:8" ht="24.95" customHeight="1">
      <c r="B414" s="20">
        <v>414</v>
      </c>
      <c r="C414" s="32" t="s">
        <v>38602</v>
      </c>
      <c r="D414" t="s">
        <v>38599</v>
      </c>
      <c r="E414" t="s">
        <v>38600</v>
      </c>
      <c r="F414" t="s">
        <v>38601</v>
      </c>
    </row>
    <row r="415" spans="2:8" ht="24.95" customHeight="1">
      <c r="B415" s="20">
        <v>415</v>
      </c>
      <c r="C415" s="32" t="s">
        <v>38333</v>
      </c>
      <c r="D415" t="s">
        <v>38135</v>
      </c>
      <c r="E415" t="s">
        <v>38136</v>
      </c>
      <c r="F415" t="s">
        <v>38137</v>
      </c>
      <c r="G415" t="s">
        <v>38332</v>
      </c>
    </row>
    <row r="416" spans="2:8" ht="24.95" customHeight="1">
      <c r="B416" s="20">
        <v>416</v>
      </c>
      <c r="C416" s="32" t="s">
        <v>38357</v>
      </c>
      <c r="D416" t="s">
        <v>38358</v>
      </c>
      <c r="E416" t="s">
        <v>38359</v>
      </c>
      <c r="F416" t="s">
        <v>38360</v>
      </c>
    </row>
    <row r="417" spans="2:8" ht="24.95" customHeight="1">
      <c r="B417" s="20">
        <v>417</v>
      </c>
      <c r="C417" s="32" t="s">
        <v>38364</v>
      </c>
      <c r="D417" t="s">
        <v>38365</v>
      </c>
      <c r="E417" t="s">
        <v>38366</v>
      </c>
      <c r="F417" t="s">
        <v>38367</v>
      </c>
      <c r="G417" t="s">
        <v>38368</v>
      </c>
    </row>
    <row r="418" spans="2:8" ht="24.95" customHeight="1">
      <c r="B418" s="20">
        <v>418</v>
      </c>
      <c r="C418" s="32" t="s">
        <v>38416</v>
      </c>
      <c r="D418" t="s">
        <v>38417</v>
      </c>
      <c r="E418" t="s">
        <v>38418</v>
      </c>
      <c r="F418" t="s">
        <v>38419</v>
      </c>
      <c r="G418" t="s">
        <v>38420</v>
      </c>
    </row>
    <row r="419" spans="2:8" ht="24.95" customHeight="1">
      <c r="B419" s="20">
        <v>419</v>
      </c>
      <c r="C419" s="32" t="s">
        <v>38691</v>
      </c>
      <c r="D419" t="s">
        <v>38692</v>
      </c>
      <c r="E419" t="s">
        <v>38693</v>
      </c>
      <c r="F419" t="s">
        <v>38694</v>
      </c>
      <c r="G419" t="s">
        <v>38695</v>
      </c>
    </row>
    <row r="420" spans="2:8" ht="24.95" customHeight="1">
      <c r="B420" s="20">
        <v>420</v>
      </c>
      <c r="C420" s="32" t="s">
        <v>38867</v>
      </c>
      <c r="D420" t="s">
        <v>38868</v>
      </c>
      <c r="E420" t="s">
        <v>38869</v>
      </c>
      <c r="F420" t="s">
        <v>38870</v>
      </c>
      <c r="G420" t="s">
        <v>38871</v>
      </c>
    </row>
    <row r="421" spans="2:8" ht="24.95" customHeight="1">
      <c r="B421" s="20">
        <v>421</v>
      </c>
    </row>
    <row r="422" spans="2:8" ht="24.95" customHeight="1">
      <c r="B422" s="20">
        <v>422</v>
      </c>
      <c r="C422" s="32" t="s">
        <v>38373</v>
      </c>
      <c r="D422" t="s">
        <v>38374</v>
      </c>
      <c r="E422" t="s">
        <v>38375</v>
      </c>
      <c r="F422" t="s">
        <v>38376</v>
      </c>
    </row>
    <row r="423" spans="2:8" ht="24.95" customHeight="1">
      <c r="B423" s="20">
        <v>423</v>
      </c>
      <c r="C423" s="32" t="s">
        <v>38487</v>
      </c>
      <c r="D423" t="s">
        <v>38968</v>
      </c>
      <c r="E423" t="s">
        <v>38969</v>
      </c>
      <c r="F423" t="s">
        <v>38970</v>
      </c>
      <c r="G423" t="s">
        <v>38971</v>
      </c>
      <c r="H423" t="s">
        <v>1061</v>
      </c>
    </row>
    <row r="424" spans="2:8" ht="24.95" customHeight="1">
      <c r="B424" s="20">
        <v>424</v>
      </c>
      <c r="C424" s="32" t="s">
        <v>38487</v>
      </c>
      <c r="D424" t="s">
        <v>38488</v>
      </c>
      <c r="E424" t="s">
        <v>38489</v>
      </c>
      <c r="F424" t="s">
        <v>38490</v>
      </c>
    </row>
    <row r="425" spans="2:8" ht="24.95" customHeight="1">
      <c r="B425" s="20">
        <v>425</v>
      </c>
      <c r="C425" s="32" t="s">
        <v>38487</v>
      </c>
      <c r="D425" t="s">
        <v>38530</v>
      </c>
      <c r="E425" t="s">
        <v>38531</v>
      </c>
      <c r="F425" t="s">
        <v>38532</v>
      </c>
      <c r="G425" t="s">
        <v>38533</v>
      </c>
      <c r="H425" t="s">
        <v>38534</v>
      </c>
    </row>
    <row r="426" spans="2:8" ht="24.95" customHeight="1">
      <c r="B426" s="20">
        <v>426</v>
      </c>
      <c r="C426" s="32" t="s">
        <v>38154</v>
      </c>
      <c r="D426" t="s">
        <v>38026</v>
      </c>
      <c r="E426" t="s">
        <v>38027</v>
      </c>
      <c r="F426" t="s">
        <v>38028</v>
      </c>
      <c r="G426" t="s">
        <v>38029</v>
      </c>
    </row>
    <row r="427" spans="2:8" ht="24.95" customHeight="1">
      <c r="B427" s="20">
        <v>427</v>
      </c>
      <c r="C427" s="32" t="s">
        <v>38154</v>
      </c>
      <c r="D427" t="s">
        <v>38034</v>
      </c>
      <c r="E427" t="s">
        <v>38035</v>
      </c>
      <c r="F427" t="s">
        <v>38036</v>
      </c>
    </row>
    <row r="428" spans="2:8" ht="24.95" customHeight="1">
      <c r="B428" s="20">
        <v>428</v>
      </c>
      <c r="C428" s="32" t="s">
        <v>38154</v>
      </c>
      <c r="D428" t="s">
        <v>38038</v>
      </c>
      <c r="E428" t="s">
        <v>38163</v>
      </c>
      <c r="F428" t="s">
        <v>38164</v>
      </c>
      <c r="G428" t="s">
        <v>38165</v>
      </c>
    </row>
    <row r="429" spans="2:8" ht="24.95" customHeight="1">
      <c r="B429" s="20">
        <v>429</v>
      </c>
      <c r="C429" s="32" t="s">
        <v>38154</v>
      </c>
      <c r="D429" t="s">
        <v>38155</v>
      </c>
      <c r="E429" t="s">
        <v>38156</v>
      </c>
      <c r="F429" t="s">
        <v>38157</v>
      </c>
    </row>
    <row r="430" spans="2:8" ht="24.95" customHeight="1">
      <c r="B430" s="20">
        <v>430</v>
      </c>
      <c r="C430" s="32" t="s">
        <v>38154</v>
      </c>
      <c r="D430" t="s">
        <v>38046</v>
      </c>
      <c r="E430" t="s">
        <v>38158</v>
      </c>
      <c r="F430" t="s">
        <v>38159</v>
      </c>
    </row>
    <row r="431" spans="2:8" ht="24.95" customHeight="1">
      <c r="B431" s="20">
        <v>431</v>
      </c>
      <c r="C431" s="32" t="s">
        <v>38154</v>
      </c>
      <c r="D431" t="s">
        <v>38160</v>
      </c>
      <c r="E431" t="s">
        <v>38161</v>
      </c>
      <c r="F431" t="s">
        <v>38162</v>
      </c>
    </row>
    <row r="432" spans="2:8" ht="24.95" customHeight="1">
      <c r="B432" s="20">
        <v>432</v>
      </c>
      <c r="C432" s="32" t="s">
        <v>38154</v>
      </c>
      <c r="D432" t="s">
        <v>38166</v>
      </c>
      <c r="E432" t="s">
        <v>38167</v>
      </c>
      <c r="F432" t="s">
        <v>38168</v>
      </c>
      <c r="G432" t="s">
        <v>38169</v>
      </c>
    </row>
    <row r="433" spans="2:8" ht="24.95" customHeight="1">
      <c r="B433" s="20">
        <v>433</v>
      </c>
      <c r="C433" s="32" t="s">
        <v>38154</v>
      </c>
      <c r="D433" t="s">
        <v>38170</v>
      </c>
      <c r="E433" t="s">
        <v>38171</v>
      </c>
      <c r="F433" t="s">
        <v>38172</v>
      </c>
    </row>
    <row r="434" spans="2:8" ht="24.95" customHeight="1">
      <c r="B434" s="20">
        <v>434</v>
      </c>
      <c r="C434" s="32" t="s">
        <v>38154</v>
      </c>
      <c r="D434" t="s">
        <v>38216</v>
      </c>
      <c r="E434" t="s">
        <v>38217</v>
      </c>
      <c r="F434" t="s">
        <v>38218</v>
      </c>
      <c r="G434" t="s">
        <v>38219</v>
      </c>
    </row>
    <row r="435" spans="2:8" ht="24.95" customHeight="1">
      <c r="B435" s="20">
        <v>435</v>
      </c>
      <c r="C435" s="32" t="s">
        <v>38154</v>
      </c>
      <c r="D435" t="s">
        <v>38300</v>
      </c>
      <c r="E435" t="s">
        <v>38301</v>
      </c>
    </row>
    <row r="436" spans="2:8" ht="24.95" customHeight="1">
      <c r="B436" s="20">
        <v>436</v>
      </c>
      <c r="C436" s="32" t="s">
        <v>38154</v>
      </c>
      <c r="D436" t="s">
        <v>38345</v>
      </c>
      <c r="E436" t="s">
        <v>38346</v>
      </c>
      <c r="F436" t="s">
        <v>38347</v>
      </c>
      <c r="G436" t="s">
        <v>38348</v>
      </c>
    </row>
    <row r="437" spans="2:8" ht="24.95" customHeight="1">
      <c r="B437" s="20">
        <v>437</v>
      </c>
      <c r="C437" s="32" t="s">
        <v>38154</v>
      </c>
      <c r="D437" t="s">
        <v>38381</v>
      </c>
      <c r="E437" t="s">
        <v>38382</v>
      </c>
    </row>
    <row r="438" spans="2:8" ht="24.95" customHeight="1">
      <c r="B438" s="20">
        <v>438</v>
      </c>
      <c r="C438" s="32" t="s">
        <v>38154</v>
      </c>
      <c r="D438" t="s">
        <v>38473</v>
      </c>
      <c r="E438" t="s">
        <v>38475</v>
      </c>
      <c r="F438" t="s">
        <v>38474</v>
      </c>
      <c r="G438" t="s">
        <v>38340</v>
      </c>
    </row>
    <row r="439" spans="2:8" ht="24.95" customHeight="1">
      <c r="B439" s="20">
        <v>439</v>
      </c>
      <c r="C439" s="32" t="s">
        <v>38154</v>
      </c>
      <c r="D439" t="s">
        <v>38480</v>
      </c>
      <c r="E439" t="s">
        <v>38481</v>
      </c>
      <c r="F439" t="s">
        <v>38482</v>
      </c>
    </row>
    <row r="440" spans="2:8" ht="24.95" customHeight="1">
      <c r="B440" s="20">
        <v>440</v>
      </c>
      <c r="C440" s="32" t="s">
        <v>38154</v>
      </c>
      <c r="D440" t="s">
        <v>38520</v>
      </c>
      <c r="E440" t="s">
        <v>38521</v>
      </c>
      <c r="F440" t="s">
        <v>38522</v>
      </c>
    </row>
    <row r="441" spans="2:8" ht="24.95" customHeight="1">
      <c r="B441" s="20">
        <v>441</v>
      </c>
      <c r="C441" s="32" t="s">
        <v>38154</v>
      </c>
      <c r="D441" t="s">
        <v>38523</v>
      </c>
      <c r="E441" t="s">
        <v>38524</v>
      </c>
      <c r="F441" t="s">
        <v>38525</v>
      </c>
    </row>
    <row r="442" spans="2:8" ht="24.95" customHeight="1">
      <c r="B442" s="20">
        <v>442</v>
      </c>
      <c r="C442" s="32" t="s">
        <v>38154</v>
      </c>
      <c r="D442" t="s">
        <v>38526</v>
      </c>
      <c r="E442" t="s">
        <v>38527</v>
      </c>
      <c r="F442" t="s">
        <v>38528</v>
      </c>
      <c r="G442" t="s">
        <v>38529</v>
      </c>
    </row>
    <row r="443" spans="2:8" ht="24.95" customHeight="1">
      <c r="B443" s="20">
        <v>443</v>
      </c>
      <c r="C443" s="32" t="s">
        <v>38154</v>
      </c>
      <c r="D443" t="s">
        <v>38676</v>
      </c>
      <c r="E443" t="s">
        <v>38677</v>
      </c>
    </row>
    <row r="444" spans="2:8" ht="24.95" customHeight="1">
      <c r="B444" s="20">
        <v>444</v>
      </c>
      <c r="C444" s="32" t="s">
        <v>38154</v>
      </c>
      <c r="D444" t="s">
        <v>38678</v>
      </c>
      <c r="E444" t="s">
        <v>38679</v>
      </c>
      <c r="F444" t="s">
        <v>38680</v>
      </c>
      <c r="G444" t="s">
        <v>38681</v>
      </c>
      <c r="H444" t="s">
        <v>38682</v>
      </c>
    </row>
    <row r="445" spans="2:8" ht="24.95" customHeight="1">
      <c r="B445" s="20">
        <v>445</v>
      </c>
      <c r="C445" s="32" t="s">
        <v>38154</v>
      </c>
      <c r="D445" t="s">
        <v>38683</v>
      </c>
      <c r="E445" t="s">
        <v>38684</v>
      </c>
      <c r="F445" t="s">
        <v>38685</v>
      </c>
    </row>
    <row r="446" spans="2:8" ht="24.95" customHeight="1">
      <c r="B446" s="20">
        <v>446</v>
      </c>
      <c r="C446" s="32" t="s">
        <v>38154</v>
      </c>
      <c r="D446" t="s">
        <v>38764</v>
      </c>
      <c r="E446" t="s">
        <v>38765</v>
      </c>
    </row>
    <row r="447" spans="2:8" ht="24.95" customHeight="1">
      <c r="B447" s="20">
        <v>447</v>
      </c>
      <c r="C447" s="32" t="s">
        <v>38154</v>
      </c>
      <c r="D447" t="s">
        <v>38766</v>
      </c>
      <c r="E447" t="s">
        <v>38767</v>
      </c>
      <c r="F447" t="s">
        <v>38768</v>
      </c>
    </row>
    <row r="448" spans="2:8" ht="24.95" customHeight="1">
      <c r="B448" s="20">
        <v>448</v>
      </c>
      <c r="C448" s="32" t="s">
        <v>38154</v>
      </c>
      <c r="D448" t="s">
        <v>38148</v>
      </c>
      <c r="E448" t="s">
        <v>38884</v>
      </c>
      <c r="F448" t="s">
        <v>38885</v>
      </c>
      <c r="G448" t="s">
        <v>38886</v>
      </c>
      <c r="H448" t="s">
        <v>445</v>
      </c>
    </row>
    <row r="449" spans="2:7">
      <c r="B449" s="20">
        <v>449</v>
      </c>
      <c r="C449" s="32" t="s">
        <v>38154</v>
      </c>
      <c r="D449" t="s">
        <v>38887</v>
      </c>
      <c r="E449" t="s">
        <v>38888</v>
      </c>
      <c r="F449" t="s">
        <v>38889</v>
      </c>
    </row>
    <row r="450" spans="2:7">
      <c r="B450" s="20">
        <v>450</v>
      </c>
      <c r="C450" s="32" t="s">
        <v>38154</v>
      </c>
      <c r="D450" t="s">
        <v>39033</v>
      </c>
      <c r="E450" t="s">
        <v>39034</v>
      </c>
      <c r="F450" t="s">
        <v>39035</v>
      </c>
      <c r="G450" t="s">
        <v>39036</v>
      </c>
    </row>
    <row r="451" spans="2:7">
      <c r="B451" s="20">
        <v>451</v>
      </c>
      <c r="C451" s="32" t="s">
        <v>38154</v>
      </c>
      <c r="D451" t="s">
        <v>39037</v>
      </c>
      <c r="E451" t="s">
        <v>39038</v>
      </c>
      <c r="F451" t="s">
        <v>39039</v>
      </c>
    </row>
    <row r="452" spans="2:7">
      <c r="B452" s="20">
        <v>452</v>
      </c>
      <c r="C452" s="32" t="s">
        <v>38154</v>
      </c>
      <c r="D452" t="s">
        <v>39040</v>
      </c>
      <c r="E452" t="s">
        <v>39041</v>
      </c>
      <c r="F452" t="s">
        <v>39042</v>
      </c>
      <c r="G452" t="s">
        <v>39043</v>
      </c>
    </row>
    <row r="453" spans="2:7">
      <c r="B453" s="20">
        <v>453</v>
      </c>
    </row>
    <row r="454" spans="2:7">
      <c r="B454" s="20">
        <v>454</v>
      </c>
    </row>
    <row r="455" spans="2:7">
      <c r="B455" s="20">
        <v>455</v>
      </c>
    </row>
    <row r="456" spans="2:7">
      <c r="B456" s="20">
        <v>456</v>
      </c>
    </row>
    <row r="457" spans="2:7">
      <c r="B457" s="20">
        <v>457</v>
      </c>
    </row>
    <row r="458" spans="2:7">
      <c r="B458" s="20">
        <v>458</v>
      </c>
      <c r="C458" s="32" t="s">
        <v>38649</v>
      </c>
      <c r="D458" t="s">
        <v>38650</v>
      </c>
      <c r="E458" t="s">
        <v>38651</v>
      </c>
      <c r="F458" t="s">
        <v>38652</v>
      </c>
    </row>
    <row r="459" spans="2:7">
      <c r="B459" s="20">
        <v>459</v>
      </c>
      <c r="C459" s="32" t="s">
        <v>38649</v>
      </c>
      <c r="D459" t="s">
        <v>38653</v>
      </c>
      <c r="E459" t="s">
        <v>38654</v>
      </c>
      <c r="F459">
        <v>75234</v>
      </c>
    </row>
    <row r="460" spans="2:7">
      <c r="B460" s="20">
        <v>460</v>
      </c>
      <c r="C460" s="32" t="s">
        <v>38154</v>
      </c>
      <c r="D460" t="s">
        <v>37924</v>
      </c>
      <c r="E460" t="s">
        <v>37927</v>
      </c>
      <c r="F460" t="s">
        <v>38942</v>
      </c>
      <c r="G460" t="s">
        <v>38943</v>
      </c>
    </row>
    <row r="461" spans="2:7">
      <c r="B461" s="20">
        <v>461</v>
      </c>
    </row>
    <row r="462" spans="2:7">
      <c r="B462" s="20">
        <v>462</v>
      </c>
      <c r="C462" s="32" t="s">
        <v>38916</v>
      </c>
      <c r="D462" t="s">
        <v>38917</v>
      </c>
      <c r="E462" t="s">
        <v>38918</v>
      </c>
      <c r="F462" t="s">
        <v>38919</v>
      </c>
    </row>
    <row r="463" spans="2:7">
      <c r="B463" s="20">
        <v>463</v>
      </c>
    </row>
    <row r="464" spans="2:7">
      <c r="B464" s="20">
        <v>464</v>
      </c>
    </row>
    <row r="465" spans="2:2">
      <c r="B465" s="20">
        <v>465</v>
      </c>
    </row>
    <row r="466" spans="2:2">
      <c r="B466" s="20">
        <v>466</v>
      </c>
    </row>
    <row r="467" spans="2:2">
      <c r="B467" s="20">
        <v>467</v>
      </c>
    </row>
    <row r="468" spans="2:2">
      <c r="B468" s="20">
        <v>468</v>
      </c>
    </row>
    <row r="469" spans="2:2">
      <c r="B469" s="20">
        <v>469</v>
      </c>
    </row>
    <row r="470" spans="2:2">
      <c r="B470" s="20">
        <v>470</v>
      </c>
    </row>
    <row r="471" spans="2:2">
      <c r="B471" s="20">
        <v>471</v>
      </c>
    </row>
    <row r="472" spans="2:2">
      <c r="B472" s="20">
        <v>472</v>
      </c>
    </row>
    <row r="473" spans="2:2">
      <c r="B473" s="20">
        <v>473</v>
      </c>
    </row>
    <row r="474" spans="2:2">
      <c r="B474" s="20">
        <v>474</v>
      </c>
    </row>
    <row r="475" spans="2:2">
      <c r="B475" s="20">
        <v>475</v>
      </c>
    </row>
    <row r="476" spans="2:2">
      <c r="B476" s="20">
        <v>476</v>
      </c>
    </row>
    <row r="477" spans="2:2">
      <c r="B477" s="20">
        <v>477</v>
      </c>
    </row>
    <row r="478" spans="2:2">
      <c r="B478" s="20">
        <v>478</v>
      </c>
    </row>
    <row r="479" spans="2:2">
      <c r="B479" s="20">
        <v>479</v>
      </c>
    </row>
    <row r="480" spans="2:2">
      <c r="B480" s="20">
        <v>480</v>
      </c>
    </row>
    <row r="481" spans="2:2">
      <c r="B481" s="20">
        <v>481</v>
      </c>
    </row>
    <row r="482" spans="2:2">
      <c r="B482" s="20">
        <v>482</v>
      </c>
    </row>
    <row r="483" spans="2:2">
      <c r="B483" s="20">
        <v>483</v>
      </c>
    </row>
    <row r="484" spans="2:2">
      <c r="B484" s="20">
        <v>484</v>
      </c>
    </row>
    <row r="485" spans="2:2">
      <c r="B485" s="20">
        <v>485</v>
      </c>
    </row>
    <row r="486" spans="2:2">
      <c r="B486" s="20">
        <v>486</v>
      </c>
    </row>
    <row r="487" spans="2:2">
      <c r="B487" s="20">
        <v>487</v>
      </c>
    </row>
    <row r="488" spans="2:2">
      <c r="B488" s="20">
        <v>488</v>
      </c>
    </row>
    <row r="489" spans="2:2">
      <c r="B489" s="20">
        <v>489</v>
      </c>
    </row>
    <row r="490" spans="2:2">
      <c r="B490" s="20">
        <v>490</v>
      </c>
    </row>
    <row r="491" spans="2:2">
      <c r="B491" s="20">
        <v>491</v>
      </c>
    </row>
    <row r="492" spans="2:2">
      <c r="B492" s="20">
        <v>492</v>
      </c>
    </row>
    <row r="493" spans="2:2">
      <c r="B493" s="20">
        <v>493</v>
      </c>
    </row>
    <row r="494" spans="2:2">
      <c r="B494" s="20">
        <v>494</v>
      </c>
    </row>
    <row r="495" spans="2:2">
      <c r="B495" s="20">
        <v>495</v>
      </c>
    </row>
    <row r="496" spans="2:2">
      <c r="B496" s="20">
        <v>496</v>
      </c>
    </row>
    <row r="497" spans="2:2">
      <c r="B497" s="20">
        <v>497</v>
      </c>
    </row>
    <row r="498" spans="2:2">
      <c r="B498" s="20">
        <v>498</v>
      </c>
    </row>
    <row r="499" spans="2:2">
      <c r="B499" s="20">
        <v>499</v>
      </c>
    </row>
    <row r="500" spans="2:2">
      <c r="B500" s="20">
        <v>500</v>
      </c>
    </row>
    <row r="501" spans="2:2">
      <c r="B501" s="20">
        <v>501</v>
      </c>
    </row>
    <row r="502" spans="2:2">
      <c r="B502" s="20">
        <v>502</v>
      </c>
    </row>
    <row r="503" spans="2:2">
      <c r="B503" s="20">
        <v>503</v>
      </c>
    </row>
    <row r="504" spans="2:2">
      <c r="B504" s="20">
        <v>504</v>
      </c>
    </row>
    <row r="505" spans="2:2">
      <c r="B505" s="20">
        <v>505</v>
      </c>
    </row>
    <row r="506" spans="2:2">
      <c r="B506" s="20">
        <v>506</v>
      </c>
    </row>
    <row r="507" spans="2:2">
      <c r="B507" s="20">
        <v>507</v>
      </c>
    </row>
    <row r="508" spans="2:2">
      <c r="B508" s="20">
        <v>508</v>
      </c>
    </row>
    <row r="509" spans="2:2">
      <c r="B509" s="20">
        <v>509</v>
      </c>
    </row>
    <row r="510" spans="2:2">
      <c r="B510" s="20">
        <v>510</v>
      </c>
    </row>
    <row r="511" spans="2:2">
      <c r="B511" s="20">
        <v>511</v>
      </c>
    </row>
    <row r="512" spans="2:2">
      <c r="B512" s="20">
        <v>512</v>
      </c>
    </row>
    <row r="513" spans="2:2">
      <c r="B513" s="20">
        <v>513</v>
      </c>
    </row>
    <row r="514" spans="2:2">
      <c r="B514" s="20">
        <v>514</v>
      </c>
    </row>
    <row r="515" spans="2:2">
      <c r="B515" s="20">
        <v>515</v>
      </c>
    </row>
    <row r="516" spans="2:2">
      <c r="B516" s="20">
        <v>516</v>
      </c>
    </row>
    <row r="517" spans="2:2">
      <c r="B517" s="20">
        <v>517</v>
      </c>
    </row>
    <row r="518" spans="2:2">
      <c r="B518" s="20">
        <v>518</v>
      </c>
    </row>
    <row r="519" spans="2:2">
      <c r="B519" s="20">
        <v>519</v>
      </c>
    </row>
    <row r="520" spans="2:2">
      <c r="B520" s="20">
        <v>520</v>
      </c>
    </row>
    <row r="521" spans="2:2">
      <c r="B521" s="20">
        <v>521</v>
      </c>
    </row>
    <row r="522" spans="2:2">
      <c r="B522" s="20">
        <v>522</v>
      </c>
    </row>
    <row r="523" spans="2:2">
      <c r="B523" s="20">
        <v>523</v>
      </c>
    </row>
    <row r="524" spans="2:2">
      <c r="B524" s="20">
        <v>524</v>
      </c>
    </row>
    <row r="525" spans="2:2">
      <c r="B525" s="20">
        <v>525</v>
      </c>
    </row>
    <row r="526" spans="2:2">
      <c r="B526" s="20">
        <v>526</v>
      </c>
    </row>
    <row r="527" spans="2:2">
      <c r="B527" s="20">
        <v>527</v>
      </c>
    </row>
    <row r="528" spans="2:2">
      <c r="B528" s="20">
        <v>528</v>
      </c>
    </row>
    <row r="529" spans="2:2">
      <c r="B529" s="20">
        <v>529</v>
      </c>
    </row>
    <row r="530" spans="2:2">
      <c r="B530" s="20">
        <v>530</v>
      </c>
    </row>
    <row r="531" spans="2:2">
      <c r="B531" s="20">
        <v>531</v>
      </c>
    </row>
    <row r="532" spans="2:2">
      <c r="B532" s="20">
        <v>532</v>
      </c>
    </row>
    <row r="533" spans="2:2">
      <c r="B533" s="20">
        <v>533</v>
      </c>
    </row>
    <row r="534" spans="2:2">
      <c r="B534" s="20">
        <v>534</v>
      </c>
    </row>
    <row r="535" spans="2:2">
      <c r="B535" s="20">
        <v>535</v>
      </c>
    </row>
    <row r="536" spans="2:2">
      <c r="B536" s="20">
        <v>536</v>
      </c>
    </row>
    <row r="537" spans="2:2">
      <c r="B537" s="20">
        <v>537</v>
      </c>
    </row>
    <row r="538" spans="2:2">
      <c r="B538" s="20">
        <v>538</v>
      </c>
    </row>
    <row r="539" spans="2:2">
      <c r="B539" s="20">
        <v>539</v>
      </c>
    </row>
    <row r="540" spans="2:2">
      <c r="B540" s="20">
        <v>540</v>
      </c>
    </row>
    <row r="541" spans="2:2">
      <c r="B541" s="20">
        <v>541</v>
      </c>
    </row>
    <row r="542" spans="2:2">
      <c r="B542" s="20">
        <v>542</v>
      </c>
    </row>
    <row r="543" spans="2:2">
      <c r="B543" s="20">
        <v>543</v>
      </c>
    </row>
    <row r="544" spans="2:2">
      <c r="B544" s="20">
        <v>544</v>
      </c>
    </row>
    <row r="545" spans="2:2">
      <c r="B545" s="20">
        <v>545</v>
      </c>
    </row>
    <row r="546" spans="2:2">
      <c r="B546" s="20">
        <v>546</v>
      </c>
    </row>
    <row r="547" spans="2:2">
      <c r="B547" s="20">
        <v>547</v>
      </c>
    </row>
    <row r="548" spans="2:2">
      <c r="B548" s="20">
        <v>548</v>
      </c>
    </row>
    <row r="549" spans="2:2">
      <c r="B549" s="20">
        <v>549</v>
      </c>
    </row>
    <row r="550" spans="2:2">
      <c r="B550" s="20">
        <v>550</v>
      </c>
    </row>
    <row r="551" spans="2:2">
      <c r="B551" s="20">
        <v>551</v>
      </c>
    </row>
    <row r="552" spans="2:2">
      <c r="B552" s="20">
        <v>552</v>
      </c>
    </row>
    <row r="553" spans="2:2">
      <c r="B553" s="20">
        <v>553</v>
      </c>
    </row>
    <row r="554" spans="2:2">
      <c r="B554" s="20">
        <v>554</v>
      </c>
    </row>
    <row r="555" spans="2:2">
      <c r="B555" s="20">
        <v>555</v>
      </c>
    </row>
    <row r="556" spans="2:2">
      <c r="B556" s="20">
        <v>556</v>
      </c>
    </row>
    <row r="557" spans="2:2">
      <c r="B557" s="20">
        <v>557</v>
      </c>
    </row>
    <row r="558" spans="2:2">
      <c r="B558" s="20">
        <v>558</v>
      </c>
    </row>
    <row r="559" spans="2:2">
      <c r="B559" s="20">
        <v>559</v>
      </c>
    </row>
    <row r="560" spans="2:2">
      <c r="B560" s="20">
        <v>560</v>
      </c>
    </row>
    <row r="561" spans="2:2">
      <c r="B561" s="20">
        <v>561</v>
      </c>
    </row>
    <row r="562" spans="2:2">
      <c r="B562" s="20">
        <v>562</v>
      </c>
    </row>
    <row r="563" spans="2:2">
      <c r="B563" s="20">
        <v>563</v>
      </c>
    </row>
    <row r="564" spans="2:2">
      <c r="B564" s="20">
        <v>564</v>
      </c>
    </row>
    <row r="565" spans="2:2">
      <c r="B565" s="20">
        <v>565</v>
      </c>
    </row>
    <row r="566" spans="2:2">
      <c r="B566" s="20">
        <v>566</v>
      </c>
    </row>
    <row r="567" spans="2:2">
      <c r="B567" s="20">
        <v>567</v>
      </c>
    </row>
    <row r="568" spans="2:2">
      <c r="B568" s="20">
        <v>568</v>
      </c>
    </row>
    <row r="569" spans="2:2">
      <c r="B569" s="20">
        <v>569</v>
      </c>
    </row>
    <row r="570" spans="2:2">
      <c r="B570" s="20">
        <v>570</v>
      </c>
    </row>
    <row r="571" spans="2:2">
      <c r="B571" s="20">
        <v>571</v>
      </c>
    </row>
    <row r="572" spans="2:2">
      <c r="B572" s="20">
        <v>572</v>
      </c>
    </row>
    <row r="573" spans="2:2">
      <c r="B573" s="20">
        <v>573</v>
      </c>
    </row>
    <row r="574" spans="2:2">
      <c r="B574" s="20">
        <v>574</v>
      </c>
    </row>
    <row r="575" spans="2:2">
      <c r="B575" s="20">
        <v>575</v>
      </c>
    </row>
    <row r="576" spans="2:2">
      <c r="B576" s="20">
        <v>576</v>
      </c>
    </row>
    <row r="577" spans="2:2">
      <c r="B577" s="20">
        <v>577</v>
      </c>
    </row>
    <row r="578" spans="2:2">
      <c r="B578" s="20">
        <v>578</v>
      </c>
    </row>
    <row r="579" spans="2:2">
      <c r="B579" s="20">
        <v>579</v>
      </c>
    </row>
    <row r="580" spans="2:2">
      <c r="B580" s="20">
        <v>580</v>
      </c>
    </row>
    <row r="581" spans="2:2">
      <c r="B581" s="20">
        <v>581</v>
      </c>
    </row>
    <row r="582" spans="2:2">
      <c r="B582" s="20">
        <v>582</v>
      </c>
    </row>
    <row r="583" spans="2:2">
      <c r="B583" s="20">
        <v>583</v>
      </c>
    </row>
    <row r="584" spans="2:2">
      <c r="B584" s="20">
        <v>584</v>
      </c>
    </row>
    <row r="585" spans="2:2">
      <c r="B585" s="20">
        <v>585</v>
      </c>
    </row>
    <row r="586" spans="2:2">
      <c r="B586" s="20">
        <v>586</v>
      </c>
    </row>
    <row r="587" spans="2:2">
      <c r="B587" s="20">
        <v>587</v>
      </c>
    </row>
    <row r="588" spans="2:2">
      <c r="B588" s="20">
        <v>588</v>
      </c>
    </row>
    <row r="589" spans="2:2">
      <c r="B589" s="20">
        <v>589</v>
      </c>
    </row>
    <row r="590" spans="2:2">
      <c r="B590" s="20">
        <v>590</v>
      </c>
    </row>
    <row r="591" spans="2:2">
      <c r="B591" s="20">
        <v>591</v>
      </c>
    </row>
    <row r="592" spans="2:2">
      <c r="B592" s="20">
        <v>592</v>
      </c>
    </row>
    <row r="593" spans="2:2">
      <c r="B593" s="20">
        <v>593</v>
      </c>
    </row>
    <row r="594" spans="2:2">
      <c r="B594" s="20">
        <v>594</v>
      </c>
    </row>
    <row r="595" spans="2:2">
      <c r="B595" s="20">
        <v>595</v>
      </c>
    </row>
    <row r="596" spans="2:2">
      <c r="B596" s="20">
        <v>596</v>
      </c>
    </row>
    <row r="597" spans="2:2">
      <c r="B597" s="20">
        <v>597</v>
      </c>
    </row>
    <row r="598" spans="2:2">
      <c r="B598" s="20">
        <v>598</v>
      </c>
    </row>
    <row r="599" spans="2:2">
      <c r="B599" s="20">
        <v>599</v>
      </c>
    </row>
    <row r="600" spans="2:2">
      <c r="B600" s="20">
        <v>600</v>
      </c>
    </row>
    <row r="601" spans="2:2">
      <c r="B601" s="20">
        <v>601</v>
      </c>
    </row>
    <row r="602" spans="2:2">
      <c r="B602" s="20">
        <v>602</v>
      </c>
    </row>
    <row r="603" spans="2:2">
      <c r="B603" s="20">
        <v>603</v>
      </c>
    </row>
    <row r="604" spans="2:2">
      <c r="B604" s="20">
        <v>604</v>
      </c>
    </row>
    <row r="605" spans="2:2">
      <c r="B605" s="20">
        <v>605</v>
      </c>
    </row>
    <row r="606" spans="2:2">
      <c r="B606" s="20">
        <v>606</v>
      </c>
    </row>
    <row r="607" spans="2:2">
      <c r="B607" s="20">
        <v>607</v>
      </c>
    </row>
    <row r="608" spans="2:2">
      <c r="B608" s="20">
        <v>608</v>
      </c>
    </row>
    <row r="609" spans="2:2">
      <c r="B609" s="20">
        <v>609</v>
      </c>
    </row>
    <row r="610" spans="2:2">
      <c r="B610" s="20">
        <v>610</v>
      </c>
    </row>
    <row r="611" spans="2:2">
      <c r="B611" s="20">
        <v>611</v>
      </c>
    </row>
    <row r="612" spans="2:2">
      <c r="B612" s="20">
        <v>612</v>
      </c>
    </row>
    <row r="613" spans="2:2">
      <c r="B613" s="20">
        <v>613</v>
      </c>
    </row>
    <row r="614" spans="2:2">
      <c r="B614" s="20">
        <v>614</v>
      </c>
    </row>
    <row r="615" spans="2:2">
      <c r="B615" s="20">
        <v>615</v>
      </c>
    </row>
    <row r="616" spans="2:2">
      <c r="B616" s="20">
        <v>616</v>
      </c>
    </row>
    <row r="617" spans="2:2">
      <c r="B617" s="20">
        <v>617</v>
      </c>
    </row>
    <row r="618" spans="2:2">
      <c r="B618" s="20">
        <v>618</v>
      </c>
    </row>
    <row r="619" spans="2:2">
      <c r="B619" s="20">
        <v>619</v>
      </c>
    </row>
    <row r="620" spans="2:2">
      <c r="B620" s="20">
        <v>620</v>
      </c>
    </row>
    <row r="621" spans="2:2">
      <c r="B621" s="20">
        <v>621</v>
      </c>
    </row>
    <row r="622" spans="2:2">
      <c r="B622" s="20">
        <v>622</v>
      </c>
    </row>
    <row r="623" spans="2:2">
      <c r="B623" s="20">
        <v>623</v>
      </c>
    </row>
    <row r="624" spans="2:2">
      <c r="B624" s="20">
        <v>624</v>
      </c>
    </row>
    <row r="625" spans="2:2">
      <c r="B625" s="20">
        <v>625</v>
      </c>
    </row>
    <row r="626" spans="2:2">
      <c r="B626" s="20">
        <v>626</v>
      </c>
    </row>
    <row r="627" spans="2:2">
      <c r="B627" s="20">
        <v>627</v>
      </c>
    </row>
    <row r="628" spans="2:2">
      <c r="B628" s="20">
        <v>628</v>
      </c>
    </row>
    <row r="629" spans="2:2">
      <c r="B629" s="20">
        <v>629</v>
      </c>
    </row>
    <row r="630" spans="2:2">
      <c r="B630" s="20">
        <v>630</v>
      </c>
    </row>
    <row r="631" spans="2:2">
      <c r="B631" s="20">
        <v>631</v>
      </c>
    </row>
    <row r="632" spans="2:2">
      <c r="B632" s="20">
        <v>632</v>
      </c>
    </row>
    <row r="633" spans="2:2">
      <c r="B633" s="20">
        <v>633</v>
      </c>
    </row>
    <row r="634" spans="2:2">
      <c r="B634" s="20">
        <v>634</v>
      </c>
    </row>
    <row r="635" spans="2:2">
      <c r="B635" s="20">
        <v>635</v>
      </c>
    </row>
    <row r="636" spans="2:2">
      <c r="B636" s="20">
        <v>636</v>
      </c>
    </row>
    <row r="637" spans="2:2">
      <c r="B637" s="20">
        <v>637</v>
      </c>
    </row>
    <row r="638" spans="2:2">
      <c r="B638" s="20">
        <v>638</v>
      </c>
    </row>
    <row r="639" spans="2:2">
      <c r="B639" s="20">
        <v>639</v>
      </c>
    </row>
    <row r="640" spans="2:2">
      <c r="B640" s="20">
        <v>640</v>
      </c>
    </row>
    <row r="641" spans="2:2">
      <c r="B641" s="20">
        <v>641</v>
      </c>
    </row>
    <row r="642" spans="2:2">
      <c r="B642" s="20">
        <v>642</v>
      </c>
    </row>
    <row r="643" spans="2:2">
      <c r="B643" s="20">
        <v>643</v>
      </c>
    </row>
    <row r="644" spans="2:2">
      <c r="B644" s="20">
        <v>644</v>
      </c>
    </row>
    <row r="645" spans="2:2">
      <c r="B645" s="20">
        <v>645</v>
      </c>
    </row>
    <row r="646" spans="2:2">
      <c r="B646" s="20">
        <v>646</v>
      </c>
    </row>
    <row r="647" spans="2:2">
      <c r="B647" s="20">
        <v>647</v>
      </c>
    </row>
    <row r="648" spans="2:2">
      <c r="B648" s="20">
        <v>648</v>
      </c>
    </row>
    <row r="649" spans="2:2">
      <c r="B649" s="20">
        <v>649</v>
      </c>
    </row>
    <row r="650" spans="2:2">
      <c r="B650" s="20">
        <v>650</v>
      </c>
    </row>
    <row r="651" spans="2:2">
      <c r="B651" s="20">
        <v>651</v>
      </c>
    </row>
    <row r="652" spans="2:2">
      <c r="B652" s="20">
        <v>652</v>
      </c>
    </row>
    <row r="653" spans="2:2">
      <c r="B653" s="20">
        <v>653</v>
      </c>
    </row>
    <row r="654" spans="2:2">
      <c r="B654" s="20">
        <v>654</v>
      </c>
    </row>
    <row r="655" spans="2:2">
      <c r="B655" s="20">
        <v>655</v>
      </c>
    </row>
    <row r="656" spans="2:2">
      <c r="B656" s="20">
        <v>656</v>
      </c>
    </row>
    <row r="657" spans="2:2">
      <c r="B657" s="20">
        <v>657</v>
      </c>
    </row>
    <row r="658" spans="2:2">
      <c r="B658" s="20">
        <v>658</v>
      </c>
    </row>
    <row r="659" spans="2:2">
      <c r="B659" s="20">
        <v>659</v>
      </c>
    </row>
    <row r="660" spans="2:2">
      <c r="B660" s="20">
        <v>660</v>
      </c>
    </row>
    <row r="661" spans="2:2">
      <c r="B661" s="20">
        <v>661</v>
      </c>
    </row>
    <row r="662" spans="2:2">
      <c r="B662" s="20">
        <v>662</v>
      </c>
    </row>
    <row r="663" spans="2:2">
      <c r="B663" s="20">
        <v>663</v>
      </c>
    </row>
    <row r="664" spans="2:2">
      <c r="B664" s="20">
        <v>664</v>
      </c>
    </row>
    <row r="665" spans="2:2">
      <c r="B665" s="20">
        <v>665</v>
      </c>
    </row>
    <row r="666" spans="2:2">
      <c r="B666" s="20">
        <v>666</v>
      </c>
    </row>
    <row r="667" spans="2:2">
      <c r="B667" s="20">
        <v>667</v>
      </c>
    </row>
    <row r="668" spans="2:2">
      <c r="B668" s="20">
        <v>668</v>
      </c>
    </row>
    <row r="669" spans="2:2">
      <c r="B669" s="20">
        <v>669</v>
      </c>
    </row>
    <row r="670" spans="2:2">
      <c r="B670" s="20">
        <v>670</v>
      </c>
    </row>
    <row r="671" spans="2:2">
      <c r="B671" s="20">
        <v>671</v>
      </c>
    </row>
    <row r="672" spans="2:2">
      <c r="B672" s="20">
        <v>672</v>
      </c>
    </row>
    <row r="673" spans="2:2">
      <c r="B673" s="20">
        <v>673</v>
      </c>
    </row>
    <row r="674" spans="2:2">
      <c r="B674" s="20">
        <v>674</v>
      </c>
    </row>
    <row r="675" spans="2:2">
      <c r="B675" s="20">
        <v>675</v>
      </c>
    </row>
    <row r="676" spans="2:2">
      <c r="B676" s="20">
        <v>676</v>
      </c>
    </row>
    <row r="677" spans="2:2">
      <c r="B677" s="20">
        <v>677</v>
      </c>
    </row>
    <row r="678" spans="2:2">
      <c r="B678" s="20">
        <v>678</v>
      </c>
    </row>
    <row r="679" spans="2:2">
      <c r="B679" s="20">
        <v>679</v>
      </c>
    </row>
    <row r="680" spans="2:2">
      <c r="B680" s="20">
        <v>680</v>
      </c>
    </row>
    <row r="681" spans="2:2">
      <c r="B681" s="20">
        <v>681</v>
      </c>
    </row>
    <row r="682" spans="2:2">
      <c r="B682" s="20">
        <v>682</v>
      </c>
    </row>
    <row r="683" spans="2:2">
      <c r="B683" s="20">
        <v>683</v>
      </c>
    </row>
    <row r="684" spans="2:2">
      <c r="B684" s="20">
        <v>684</v>
      </c>
    </row>
    <row r="685" spans="2:2">
      <c r="B685" s="20">
        <v>685</v>
      </c>
    </row>
    <row r="686" spans="2:2">
      <c r="B686" s="20">
        <v>686</v>
      </c>
    </row>
    <row r="687" spans="2:2">
      <c r="B687" s="20">
        <v>687</v>
      </c>
    </row>
    <row r="688" spans="2:2">
      <c r="B688" s="20">
        <v>688</v>
      </c>
    </row>
    <row r="689" spans="2:2">
      <c r="B689" s="20">
        <v>689</v>
      </c>
    </row>
    <row r="690" spans="2:2">
      <c r="B690" s="20">
        <v>690</v>
      </c>
    </row>
    <row r="691" spans="2:2">
      <c r="B691" s="20">
        <v>691</v>
      </c>
    </row>
    <row r="692" spans="2:2">
      <c r="B692" s="20">
        <v>692</v>
      </c>
    </row>
    <row r="693" spans="2:2">
      <c r="B693" s="20">
        <v>693</v>
      </c>
    </row>
    <row r="694" spans="2:2">
      <c r="B694" s="20">
        <v>694</v>
      </c>
    </row>
    <row r="695" spans="2:2">
      <c r="B695" s="20">
        <v>695</v>
      </c>
    </row>
    <row r="696" spans="2:2">
      <c r="B696" s="20">
        <v>696</v>
      </c>
    </row>
    <row r="697" spans="2:2">
      <c r="B697" s="20">
        <v>697</v>
      </c>
    </row>
    <row r="698" spans="2:2">
      <c r="B698" s="20">
        <v>698</v>
      </c>
    </row>
    <row r="699" spans="2:2">
      <c r="B699" s="20">
        <v>699</v>
      </c>
    </row>
    <row r="700" spans="2:2">
      <c r="B700" s="20">
        <v>700</v>
      </c>
    </row>
    <row r="701" spans="2:2">
      <c r="B701" s="20">
        <v>700</v>
      </c>
    </row>
    <row r="702" spans="2:2">
      <c r="B702" s="20">
        <v>693</v>
      </c>
    </row>
    <row r="703" spans="2:2">
      <c r="B703" s="20">
        <v>694</v>
      </c>
    </row>
    <row r="704" spans="2:2">
      <c r="B704" s="20">
        <v>695</v>
      </c>
    </row>
    <row r="705" spans="2:2">
      <c r="B705" s="20">
        <v>696</v>
      </c>
    </row>
    <row r="706" spans="2:2">
      <c r="B706" s="20">
        <v>697</v>
      </c>
    </row>
    <row r="707" spans="2:2">
      <c r="B707" s="20">
        <v>698</v>
      </c>
    </row>
    <row r="708" spans="2:2">
      <c r="B708" s="20">
        <v>699</v>
      </c>
    </row>
    <row r="709" spans="2:2">
      <c r="B709" s="20">
        <v>700</v>
      </c>
    </row>
    <row r="710" spans="2:2">
      <c r="B710" s="20">
        <v>700</v>
      </c>
    </row>
    <row r="711" spans="2:2">
      <c r="B711" s="20">
        <v>700</v>
      </c>
    </row>
    <row r="712" spans="2:2">
      <c r="B712" s="20">
        <v>700</v>
      </c>
    </row>
    <row r="713" spans="2:2">
      <c r="B713" s="20">
        <v>700</v>
      </c>
    </row>
    <row r="714" spans="2:2">
      <c r="B714" s="20">
        <v>700</v>
      </c>
    </row>
    <row r="715" spans="2:2">
      <c r="B715" s="20">
        <v>700</v>
      </c>
    </row>
    <row r="716" spans="2:2">
      <c r="B716" s="20">
        <v>700</v>
      </c>
    </row>
    <row r="717" spans="2:2">
      <c r="B717" s="20">
        <v>700</v>
      </c>
    </row>
    <row r="718" spans="2:2">
      <c r="B718" s="20">
        <v>700</v>
      </c>
    </row>
    <row r="719" spans="2:2">
      <c r="B719" s="20">
        <v>700</v>
      </c>
    </row>
    <row r="720" spans="2:2">
      <c r="B720" s="20">
        <v>700</v>
      </c>
    </row>
    <row r="721" spans="2:2">
      <c r="B721" s="20">
        <v>700</v>
      </c>
    </row>
    <row r="722" spans="2:2">
      <c r="B722" s="20">
        <v>700</v>
      </c>
    </row>
    <row r="723" spans="2:2">
      <c r="B723" s="20">
        <v>700</v>
      </c>
    </row>
    <row r="724" spans="2:2">
      <c r="B724" s="20">
        <v>700</v>
      </c>
    </row>
    <row r="725" spans="2:2">
      <c r="B725" s="20">
        <v>700</v>
      </c>
    </row>
    <row r="726" spans="2:2">
      <c r="B726" s="20">
        <v>700</v>
      </c>
    </row>
    <row r="727" spans="2:2">
      <c r="B727" s="20">
        <v>700</v>
      </c>
    </row>
    <row r="728" spans="2:2">
      <c r="B728" s="20">
        <v>700</v>
      </c>
    </row>
    <row r="729" spans="2:2">
      <c r="B729" s="20">
        <v>700</v>
      </c>
    </row>
    <row r="730" spans="2:2">
      <c r="B730" s="20">
        <v>700</v>
      </c>
    </row>
    <row r="731" spans="2:2">
      <c r="B731" s="20">
        <v>700</v>
      </c>
    </row>
    <row r="732" spans="2:2">
      <c r="B732" s="20">
        <v>700</v>
      </c>
    </row>
    <row r="733" spans="2:2">
      <c r="B733" s="20">
        <v>700</v>
      </c>
    </row>
    <row r="734" spans="2:2">
      <c r="B734" s="20">
        <v>700</v>
      </c>
    </row>
    <row r="735" spans="2:2">
      <c r="B735" s="20">
        <v>700</v>
      </c>
    </row>
    <row r="736" spans="2:2">
      <c r="B736" s="20">
        <v>700</v>
      </c>
    </row>
    <row r="737" spans="2:2">
      <c r="B737" s="20">
        <v>700</v>
      </c>
    </row>
    <row r="738" spans="2:2">
      <c r="B738" s="20">
        <v>699</v>
      </c>
    </row>
    <row r="739" spans="2:2">
      <c r="B739" s="20">
        <v>700</v>
      </c>
    </row>
    <row r="740" spans="2:2">
      <c r="B740" s="20">
        <v>700</v>
      </c>
    </row>
    <row r="741" spans="2:2">
      <c r="B741" s="20">
        <v>700</v>
      </c>
    </row>
    <row r="742" spans="2:2">
      <c r="B742" s="20">
        <v>700</v>
      </c>
    </row>
    <row r="743" spans="2:2">
      <c r="B743" s="20">
        <v>700</v>
      </c>
    </row>
    <row r="744" spans="2:2">
      <c r="B744" s="20">
        <v>699</v>
      </c>
    </row>
    <row r="745" spans="2:2">
      <c r="B745" s="20">
        <v>700</v>
      </c>
    </row>
    <row r="746" spans="2:2">
      <c r="B746" s="20">
        <v>698</v>
      </c>
    </row>
    <row r="747" spans="2:2">
      <c r="B747" s="20">
        <v>699</v>
      </c>
    </row>
    <row r="748" spans="2:2">
      <c r="B748" s="20">
        <v>700</v>
      </c>
    </row>
    <row r="749" spans="2:2">
      <c r="B749" s="20">
        <v>700</v>
      </c>
    </row>
    <row r="750" spans="2:2">
      <c r="B750" s="20">
        <v>700</v>
      </c>
    </row>
    <row r="751" spans="2:2">
      <c r="B751" s="20">
        <v>701</v>
      </c>
    </row>
    <row r="752" spans="2:2">
      <c r="B752" s="20">
        <v>702</v>
      </c>
    </row>
    <row r="753" spans="2:2">
      <c r="B753" s="20">
        <v>703</v>
      </c>
    </row>
    <row r="754" spans="2:2">
      <c r="B754" s="20">
        <v>704</v>
      </c>
    </row>
    <row r="755" spans="2:2">
      <c r="B755" s="20">
        <v>705</v>
      </c>
    </row>
    <row r="756" spans="2:2">
      <c r="B756" s="20">
        <v>706</v>
      </c>
    </row>
    <row r="757" spans="2:2">
      <c r="B757" s="20">
        <v>707</v>
      </c>
    </row>
    <row r="758" spans="2:2">
      <c r="B758" s="20">
        <v>708</v>
      </c>
    </row>
    <row r="759" spans="2:2">
      <c r="B759" s="20">
        <v>709</v>
      </c>
    </row>
    <row r="760" spans="2:2">
      <c r="B760" s="20">
        <v>710</v>
      </c>
    </row>
    <row r="761" spans="2:2">
      <c r="B761" s="20">
        <v>711</v>
      </c>
    </row>
    <row r="762" spans="2:2">
      <c r="B762" s="20">
        <v>712</v>
      </c>
    </row>
    <row r="763" spans="2:2">
      <c r="B763" s="20">
        <v>713</v>
      </c>
    </row>
    <row r="764" spans="2:2">
      <c r="B764" s="20">
        <v>714</v>
      </c>
    </row>
    <row r="765" spans="2:2">
      <c r="B765" s="20">
        <v>715</v>
      </c>
    </row>
    <row r="766" spans="2:2">
      <c r="B766" s="20">
        <v>716</v>
      </c>
    </row>
    <row r="767" spans="2:2">
      <c r="B767" s="20">
        <v>717</v>
      </c>
    </row>
    <row r="768" spans="2:2">
      <c r="B768" s="20">
        <v>718</v>
      </c>
    </row>
    <row r="769" spans="2:2">
      <c r="B769" s="20">
        <v>719</v>
      </c>
    </row>
    <row r="770" spans="2:2">
      <c r="B770" s="20">
        <v>720</v>
      </c>
    </row>
    <row r="771" spans="2:2">
      <c r="B771" s="20">
        <v>721</v>
      </c>
    </row>
    <row r="772" spans="2:2">
      <c r="B772" s="20">
        <v>722</v>
      </c>
    </row>
    <row r="773" spans="2:2">
      <c r="B773" s="20">
        <v>723</v>
      </c>
    </row>
    <row r="774" spans="2:2">
      <c r="B774" s="20">
        <v>724</v>
      </c>
    </row>
    <row r="775" spans="2:2">
      <c r="B775" s="20">
        <v>725</v>
      </c>
    </row>
    <row r="776" spans="2:2">
      <c r="B776" s="20">
        <v>726</v>
      </c>
    </row>
    <row r="777" spans="2:2">
      <c r="B777" s="20">
        <v>727</v>
      </c>
    </row>
    <row r="778" spans="2:2">
      <c r="B778" s="20">
        <v>728</v>
      </c>
    </row>
    <row r="779" spans="2:2">
      <c r="B779" s="20">
        <v>729</v>
      </c>
    </row>
    <row r="780" spans="2:2">
      <c r="B780" s="20">
        <v>730</v>
      </c>
    </row>
    <row r="781" spans="2:2">
      <c r="B781" s="20">
        <v>731</v>
      </c>
    </row>
    <row r="782" spans="2:2">
      <c r="B782" s="20">
        <v>732</v>
      </c>
    </row>
    <row r="783" spans="2:2">
      <c r="B783" s="20">
        <v>733</v>
      </c>
    </row>
    <row r="784" spans="2:2">
      <c r="B784" s="20">
        <v>734</v>
      </c>
    </row>
    <row r="785" spans="2:2">
      <c r="B785" s="20">
        <v>735</v>
      </c>
    </row>
    <row r="786" spans="2:2">
      <c r="B786" s="20">
        <v>736</v>
      </c>
    </row>
    <row r="787" spans="2:2">
      <c r="B787" s="20">
        <v>737</v>
      </c>
    </row>
    <row r="788" spans="2:2">
      <c r="B788" s="20">
        <v>738</v>
      </c>
    </row>
    <row r="789" spans="2:2">
      <c r="B789" s="20">
        <v>739</v>
      </c>
    </row>
    <row r="790" spans="2:2">
      <c r="B790" s="20">
        <v>740</v>
      </c>
    </row>
    <row r="791" spans="2:2">
      <c r="B791" s="20">
        <v>741</v>
      </c>
    </row>
    <row r="792" spans="2:2">
      <c r="B792" s="20">
        <v>742</v>
      </c>
    </row>
    <row r="793" spans="2:2">
      <c r="B793" s="20">
        <v>743</v>
      </c>
    </row>
    <row r="794" spans="2:2">
      <c r="B794" s="20">
        <v>744</v>
      </c>
    </row>
    <row r="795" spans="2:2">
      <c r="B795" s="20">
        <v>745</v>
      </c>
    </row>
    <row r="796" spans="2:2">
      <c r="B796" s="20">
        <v>746</v>
      </c>
    </row>
    <row r="797" spans="2:2">
      <c r="B797" s="20">
        <v>747</v>
      </c>
    </row>
    <row r="798" spans="2:2">
      <c r="B798" s="20">
        <v>748</v>
      </c>
    </row>
    <row r="799" spans="2:2">
      <c r="B799" s="20">
        <v>749</v>
      </c>
    </row>
    <row r="800" spans="2:2">
      <c r="B800" s="20">
        <v>750</v>
      </c>
    </row>
    <row r="801" spans="2:2">
      <c r="B801" s="20">
        <v>749</v>
      </c>
    </row>
    <row r="802" spans="2:2">
      <c r="B802" s="20">
        <v>750</v>
      </c>
    </row>
  </sheetData>
  <sortState xmlns:xlrd2="http://schemas.microsoft.com/office/spreadsheetml/2017/richdata2" ref="D212:G217">
    <sortCondition ref="D212:D217"/>
  </sortState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1">
          <controlPr defaultSize="0" autoLine="0" autoPict="0" r:id="rId4">
            <anchor moveWithCells="1">
              <from>
                <xdr:col>11</xdr:col>
                <xdr:colOff>0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195" r:id="rId3" name="CommandButton1"/>
      </mc:Fallback>
    </mc:AlternateContent>
    <mc:AlternateContent xmlns:mc="http://schemas.openxmlformats.org/markup-compatibility/2006">
      <mc:Choice Requires="x14">
        <control shapeId="8196" r:id="rId5" name="ComboBox1">
          <controlPr defaultSize="0" autoFill="0" autoLine="0" autoPict="0" r:id="rId6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14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8196" r:id="rId5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557A7-E3EA-42E7-B35B-CDE26AF298C7}">
  <sheetPr codeName="Sheet7"/>
  <dimension ref="A1:H51"/>
  <sheetViews>
    <sheetView topLeftCell="A2" zoomScale="85" zoomScaleNormal="85" zoomScaleSheetLayoutView="85" workbookViewId="0">
      <selection activeCell="I10" sqref="I10"/>
    </sheetView>
  </sheetViews>
  <sheetFormatPr defaultRowHeight="18.75"/>
  <cols>
    <col min="1" max="1" width="3.125" customWidth="1"/>
    <col min="2" max="2" width="16.375" customWidth="1"/>
    <col min="3" max="3" width="10.625" customWidth="1"/>
    <col min="4" max="4" width="14.875" customWidth="1"/>
    <col min="5" max="5" width="12.25" customWidth="1"/>
    <col min="6" max="6" width="9.875" customWidth="1"/>
    <col min="7" max="7" width="25.5" customWidth="1"/>
  </cols>
  <sheetData>
    <row r="1" spans="1:7" hidden="1">
      <c r="A1" s="34"/>
      <c r="B1" s="34"/>
      <c r="C1" s="34"/>
      <c r="D1" s="34"/>
      <c r="E1" s="34"/>
      <c r="F1" s="35"/>
      <c r="G1" s="36"/>
    </row>
    <row r="2" spans="1:7">
      <c r="A2" s="37" t="s">
        <v>38083</v>
      </c>
      <c r="B2" s="34"/>
      <c r="C2" s="34"/>
      <c r="D2" s="34"/>
      <c r="E2" s="34"/>
      <c r="F2" s="34"/>
      <c r="G2" s="35" t="s">
        <v>38084</v>
      </c>
    </row>
    <row r="3" spans="1:7" ht="0.75" customHeight="1">
      <c r="A3" s="37"/>
      <c r="B3" s="34"/>
      <c r="C3" s="34"/>
      <c r="D3" s="34"/>
      <c r="E3" s="34"/>
      <c r="F3" s="34"/>
      <c r="G3" s="36"/>
    </row>
    <row r="4" spans="1:7">
      <c r="A4" s="34"/>
      <c r="B4" s="71"/>
      <c r="C4" s="34"/>
      <c r="D4" s="34"/>
      <c r="E4" s="34"/>
      <c r="F4" s="34"/>
      <c r="G4" s="36"/>
    </row>
    <row r="5" spans="1:7">
      <c r="A5" s="137" t="s">
        <v>38085</v>
      </c>
      <c r="B5" s="137"/>
      <c r="C5" s="137"/>
      <c r="D5" s="137"/>
      <c r="E5" s="137"/>
      <c r="F5" s="137"/>
      <c r="G5" s="137"/>
    </row>
    <row r="6" spans="1:7">
      <c r="A6" s="34"/>
      <c r="B6" s="34"/>
      <c r="C6" s="34"/>
      <c r="D6" s="34"/>
      <c r="E6" s="34"/>
      <c r="F6" s="34"/>
      <c r="G6" s="38"/>
    </row>
    <row r="7" spans="1:7" ht="12" customHeight="1">
      <c r="A7" s="34"/>
      <c r="B7" s="34"/>
      <c r="C7" s="34"/>
      <c r="D7" s="34"/>
      <c r="E7" s="34"/>
      <c r="F7" s="38"/>
      <c r="G7" s="38"/>
    </row>
    <row r="8" spans="1:7" ht="12" customHeight="1">
      <c r="A8" s="39"/>
      <c r="B8" s="39"/>
      <c r="C8" s="34"/>
      <c r="D8" s="34"/>
      <c r="E8" s="34"/>
      <c r="F8" s="34"/>
      <c r="G8" s="40"/>
    </row>
    <row r="9" spans="1:7">
      <c r="A9" s="41"/>
      <c r="B9" s="41"/>
      <c r="C9" s="41"/>
      <c r="D9" s="34"/>
      <c r="E9" s="34" t="s">
        <v>38086</v>
      </c>
      <c r="F9" s="34"/>
      <c r="G9" s="40"/>
    </row>
    <row r="10" spans="1:7">
      <c r="A10" s="34"/>
      <c r="B10" s="34"/>
      <c r="C10" s="34"/>
      <c r="D10" s="34"/>
      <c r="E10" s="34" t="s">
        <v>38087</v>
      </c>
      <c r="F10" s="34" t="s">
        <v>38088</v>
      </c>
      <c r="G10" s="34"/>
    </row>
    <row r="11" spans="1:7">
      <c r="A11" s="34"/>
      <c r="B11" s="34"/>
      <c r="C11" s="34"/>
      <c r="D11" s="34"/>
      <c r="E11" s="34" t="s">
        <v>38089</v>
      </c>
      <c r="F11" s="34" t="s">
        <v>38090</v>
      </c>
      <c r="G11" s="34"/>
    </row>
    <row r="12" spans="1:7">
      <c r="A12" s="34"/>
      <c r="B12" s="34"/>
      <c r="C12" s="34"/>
      <c r="D12" s="34"/>
      <c r="E12" s="34" t="s">
        <v>38091</v>
      </c>
      <c r="F12" s="34" t="s">
        <v>38092</v>
      </c>
      <c r="G12" s="34"/>
    </row>
    <row r="13" spans="1:7">
      <c r="A13" s="34"/>
      <c r="B13" s="34"/>
      <c r="C13" s="34"/>
      <c r="D13" s="34"/>
      <c r="E13" s="42" t="s">
        <v>38093</v>
      </c>
      <c r="F13" s="34" t="s">
        <v>38094</v>
      </c>
      <c r="G13" s="34"/>
    </row>
    <row r="14" spans="1:7">
      <c r="A14" s="34"/>
      <c r="B14" s="34"/>
      <c r="C14" s="34"/>
      <c r="D14" s="34"/>
      <c r="E14" s="34"/>
      <c r="F14" s="34"/>
      <c r="G14" s="36"/>
    </row>
    <row r="15" spans="1:7">
      <c r="A15" s="34"/>
      <c r="B15" s="36" t="s">
        <v>38095</v>
      </c>
      <c r="C15" s="34"/>
      <c r="D15" s="34"/>
      <c r="E15" s="34"/>
      <c r="F15" s="34"/>
      <c r="G15" s="36"/>
    </row>
    <row r="16" spans="1:7">
      <c r="A16" s="43"/>
      <c r="B16" s="44" t="s">
        <v>38096</v>
      </c>
      <c r="C16" s="45"/>
      <c r="D16" s="45"/>
      <c r="E16" s="45"/>
      <c r="F16" s="45"/>
      <c r="G16" s="36"/>
    </row>
    <row r="17" spans="1:8" ht="12" customHeight="1">
      <c r="A17" s="34"/>
      <c r="B17" s="34"/>
      <c r="C17" s="34"/>
      <c r="D17" s="34"/>
      <c r="E17" s="34"/>
      <c r="F17" s="34"/>
      <c r="G17" s="36"/>
    </row>
    <row r="18" spans="1:8">
      <c r="A18" s="137" t="s">
        <v>38097</v>
      </c>
      <c r="B18" s="137"/>
      <c r="C18" s="137"/>
      <c r="D18" s="137"/>
      <c r="E18" s="137"/>
      <c r="F18" s="137"/>
      <c r="G18" s="137"/>
    </row>
    <row r="19" spans="1:8" ht="13.5" customHeight="1">
      <c r="A19" s="34"/>
      <c r="B19" s="34"/>
      <c r="C19" s="34"/>
      <c r="D19" s="34"/>
      <c r="E19" s="34"/>
      <c r="F19" s="34"/>
      <c r="G19" s="36"/>
    </row>
    <row r="20" spans="1:8">
      <c r="A20" s="46"/>
      <c r="B20" s="47" t="s">
        <v>38098</v>
      </c>
      <c r="C20" s="47" t="s">
        <v>38099</v>
      </c>
      <c r="D20" s="47"/>
      <c r="E20" s="47" t="s">
        <v>38100</v>
      </c>
      <c r="F20" s="138" t="s">
        <v>38101</v>
      </c>
      <c r="G20" s="139"/>
    </row>
    <row r="21" spans="1:8">
      <c r="A21" s="48"/>
      <c r="B21" s="49"/>
      <c r="C21" s="49" t="s">
        <v>38102</v>
      </c>
      <c r="D21" s="49"/>
      <c r="E21" s="49"/>
      <c r="F21" s="140" t="s">
        <v>38103</v>
      </c>
      <c r="G21" s="141"/>
    </row>
    <row r="22" spans="1:8">
      <c r="A22" s="50" t="s">
        <v>38104</v>
      </c>
      <c r="B22" s="118"/>
      <c r="C22" s="58"/>
      <c r="D22" s="34"/>
      <c r="E22" s="78"/>
      <c r="F22" s="79"/>
      <c r="G22" s="80"/>
    </row>
    <row r="23" spans="1:8">
      <c r="A23" s="50" t="s">
        <v>38105</v>
      </c>
      <c r="B23" s="119"/>
      <c r="C23" s="82" t="s">
        <v>38106</v>
      </c>
      <c r="D23" s="83"/>
      <c r="E23" s="84"/>
      <c r="F23" s="123"/>
      <c r="G23" s="122"/>
      <c r="H23" s="111"/>
    </row>
    <row r="24" spans="1:8" ht="19.5">
      <c r="A24" s="50" t="s">
        <v>38107</v>
      </c>
      <c r="B24" s="86"/>
      <c r="C24" s="81"/>
      <c r="D24" s="87"/>
      <c r="E24" s="88"/>
      <c r="F24" s="120"/>
      <c r="G24" s="121"/>
      <c r="H24" s="111"/>
    </row>
    <row r="25" spans="1:8" ht="19.5">
      <c r="A25" s="50" t="s">
        <v>38109</v>
      </c>
      <c r="B25" s="86" t="s">
        <v>38108</v>
      </c>
      <c r="C25" s="90"/>
      <c r="D25" s="91"/>
      <c r="E25" s="92"/>
      <c r="F25" s="92"/>
      <c r="G25" s="93"/>
      <c r="H25" s="111"/>
    </row>
    <row r="26" spans="1:8">
      <c r="A26" s="50" t="s">
        <v>38111</v>
      </c>
      <c r="B26" s="89" t="s">
        <v>38110</v>
      </c>
      <c r="C26" s="94"/>
      <c r="D26" s="34"/>
      <c r="E26" s="95"/>
      <c r="F26" s="84"/>
      <c r="G26" s="96"/>
      <c r="H26" s="111"/>
    </row>
    <row r="27" spans="1:8">
      <c r="A27" s="50" t="s">
        <v>38113</v>
      </c>
      <c r="B27" s="86" t="s">
        <v>38112</v>
      </c>
      <c r="C27" s="98"/>
      <c r="D27" s="34"/>
      <c r="E27" s="97"/>
      <c r="F27" s="110"/>
      <c r="G27" s="126"/>
      <c r="H27" s="111"/>
    </row>
    <row r="28" spans="1:8">
      <c r="A28" s="50" t="s">
        <v>38114</v>
      </c>
      <c r="B28" s="58"/>
      <c r="C28" s="98"/>
      <c r="D28" s="62"/>
      <c r="E28" s="99"/>
      <c r="F28" s="124"/>
      <c r="G28" s="122"/>
      <c r="H28" s="111"/>
    </row>
    <row r="29" spans="1:8">
      <c r="A29" s="50" t="s">
        <v>38115</v>
      </c>
      <c r="B29" s="58"/>
      <c r="C29" s="98"/>
      <c r="D29" s="142" t="s">
        <v>38116</v>
      </c>
      <c r="E29" s="143"/>
      <c r="F29" s="125"/>
      <c r="G29" s="122"/>
      <c r="H29" s="111"/>
    </row>
    <row r="30" spans="1:8" ht="19.5">
      <c r="A30" s="48"/>
      <c r="B30" s="58"/>
      <c r="C30" s="98"/>
      <c r="D30" s="62"/>
      <c r="E30" s="99"/>
      <c r="F30" s="100"/>
      <c r="G30" s="85"/>
      <c r="H30" s="111"/>
    </row>
    <row r="31" spans="1:8" ht="19.5">
      <c r="A31" s="48"/>
      <c r="B31" s="58"/>
      <c r="C31" s="98"/>
      <c r="D31" s="62"/>
      <c r="E31" s="99"/>
      <c r="F31" s="101"/>
      <c r="G31" s="85"/>
      <c r="H31" s="111"/>
    </row>
    <row r="32" spans="1:8" ht="19.5" hidden="1">
      <c r="A32" s="48"/>
      <c r="B32" s="58"/>
      <c r="C32" s="98"/>
      <c r="D32" s="62"/>
      <c r="E32" s="99"/>
      <c r="F32" s="102"/>
      <c r="G32" s="93"/>
      <c r="H32" s="111"/>
    </row>
    <row r="33" spans="1:8" hidden="1">
      <c r="A33" s="48"/>
      <c r="B33" s="58"/>
      <c r="C33" s="98"/>
      <c r="D33" s="62"/>
      <c r="E33" s="99"/>
      <c r="F33" s="102"/>
      <c r="G33" s="103"/>
      <c r="H33" s="111"/>
    </row>
    <row r="34" spans="1:8" hidden="1">
      <c r="A34" s="48"/>
      <c r="B34" s="58"/>
      <c r="C34" s="98"/>
      <c r="D34" s="62"/>
      <c r="E34" s="99"/>
      <c r="F34" s="104"/>
      <c r="G34" s="105"/>
      <c r="H34" s="111"/>
    </row>
    <row r="35" spans="1:8">
      <c r="A35" s="48" t="s">
        <v>38117</v>
      </c>
      <c r="B35" s="98"/>
      <c r="C35" s="98"/>
      <c r="D35" s="62"/>
      <c r="E35" s="106"/>
      <c r="F35" s="104"/>
      <c r="G35" s="107"/>
      <c r="H35" s="111"/>
    </row>
    <row r="36" spans="1:8">
      <c r="A36" s="53"/>
      <c r="B36" s="54"/>
      <c r="C36" s="109"/>
      <c r="D36" s="72"/>
      <c r="E36" s="72"/>
      <c r="F36" s="72"/>
      <c r="G36" s="73"/>
    </row>
    <row r="37" spans="1:8">
      <c r="A37" s="55" t="s">
        <v>38118</v>
      </c>
      <c r="B37" s="52"/>
      <c r="C37" s="77"/>
      <c r="D37" s="74"/>
      <c r="E37" s="74"/>
      <c r="F37" s="74"/>
      <c r="G37" s="75"/>
    </row>
    <row r="38" spans="1:8">
      <c r="A38" s="55" t="s">
        <v>38119</v>
      </c>
      <c r="B38" s="52"/>
      <c r="C38" s="131"/>
      <c r="D38" s="132"/>
      <c r="E38" s="132"/>
      <c r="F38" s="132"/>
      <c r="G38" s="133"/>
    </row>
    <row r="39" spans="1:8">
      <c r="A39" s="56"/>
      <c r="B39" s="57"/>
      <c r="C39" s="134"/>
      <c r="D39" s="135"/>
      <c r="E39" s="135"/>
      <c r="F39" s="135"/>
      <c r="G39" s="136"/>
    </row>
    <row r="40" spans="1:8">
      <c r="A40" s="55" t="s">
        <v>38120</v>
      </c>
      <c r="B40" s="52"/>
      <c r="C40" s="58" t="s">
        <v>38121</v>
      </c>
      <c r="D40" s="59"/>
      <c r="E40" s="59"/>
      <c r="F40" s="59"/>
      <c r="G40" s="60"/>
    </row>
    <row r="41" spans="1:8">
      <c r="A41" s="55" t="s">
        <v>38122</v>
      </c>
      <c r="B41" s="52"/>
      <c r="C41" s="61" t="s">
        <v>38123</v>
      </c>
      <c r="D41" s="34"/>
      <c r="E41" s="34"/>
      <c r="F41" s="34"/>
      <c r="G41" s="62"/>
    </row>
    <row r="42" spans="1:8">
      <c r="A42" s="56"/>
      <c r="B42" s="57"/>
      <c r="C42" s="49"/>
      <c r="D42" s="63"/>
      <c r="E42" s="63"/>
      <c r="F42" s="63"/>
      <c r="G42" s="64"/>
    </row>
    <row r="43" spans="1:8">
      <c r="A43" s="55" t="s">
        <v>38124</v>
      </c>
      <c r="B43" s="52"/>
      <c r="C43" s="112"/>
      <c r="D43" s="113"/>
      <c r="E43" s="144"/>
      <c r="F43" s="145"/>
      <c r="G43" s="146"/>
    </row>
    <row r="44" spans="1:8" ht="19.5">
      <c r="A44" s="55" t="s">
        <v>38125</v>
      </c>
      <c r="B44" s="52"/>
      <c r="C44" s="108"/>
      <c r="D44" s="115"/>
      <c r="E44" s="147"/>
      <c r="F44" s="147"/>
      <c r="G44" s="148"/>
    </row>
    <row r="45" spans="1:8" ht="18" customHeight="1">
      <c r="A45" s="55"/>
      <c r="B45" s="52"/>
      <c r="C45" s="108"/>
      <c r="D45" s="114"/>
      <c r="E45" s="147"/>
      <c r="F45" s="147"/>
      <c r="G45" s="148"/>
    </row>
    <row r="46" spans="1:8">
      <c r="A46" s="56"/>
      <c r="B46" s="57"/>
      <c r="C46" s="116"/>
      <c r="D46" s="117"/>
      <c r="E46" s="149"/>
      <c r="F46" s="149"/>
      <c r="G46" s="150"/>
    </row>
    <row r="47" spans="1:8" ht="13.5" customHeight="1">
      <c r="A47" s="66"/>
      <c r="B47" s="67"/>
      <c r="C47" s="67"/>
      <c r="D47" s="67"/>
      <c r="E47" s="67"/>
      <c r="F47" s="67"/>
      <c r="G47" s="68"/>
    </row>
    <row r="48" spans="1:8">
      <c r="A48" s="51"/>
      <c r="B48" s="36" t="s">
        <v>38126</v>
      </c>
      <c r="C48" s="36"/>
      <c r="D48" s="76"/>
      <c r="E48" s="36" t="s">
        <v>109</v>
      </c>
      <c r="F48" s="44" t="s">
        <v>109</v>
      </c>
      <c r="G48" s="52"/>
    </row>
    <row r="49" spans="1:7" ht="14.25" customHeight="1">
      <c r="A49" s="69"/>
      <c r="B49" s="65"/>
      <c r="C49" s="65"/>
      <c r="D49" s="65"/>
      <c r="E49" s="65"/>
      <c r="F49" s="65"/>
      <c r="G49" s="57"/>
    </row>
    <row r="50" spans="1:7">
      <c r="A50" s="70"/>
      <c r="B50" s="130" t="s">
        <v>38127</v>
      </c>
      <c r="C50" s="130"/>
      <c r="D50" s="128"/>
      <c r="E50" s="70"/>
      <c r="F50" s="70"/>
      <c r="G50" s="36"/>
    </row>
    <row r="51" spans="1:7">
      <c r="A51" s="40" t="s">
        <v>38128</v>
      </c>
      <c r="B51" s="36"/>
      <c r="C51" s="36"/>
      <c r="D51" s="36"/>
      <c r="E51" s="34"/>
      <c r="F51" s="34"/>
      <c r="G51" s="36"/>
    </row>
  </sheetData>
  <mergeCells count="8">
    <mergeCell ref="B50:C50"/>
    <mergeCell ref="C38:G39"/>
    <mergeCell ref="A5:G5"/>
    <mergeCell ref="A18:G18"/>
    <mergeCell ref="F20:G20"/>
    <mergeCell ref="F21:G21"/>
    <mergeCell ref="D29:E29"/>
    <mergeCell ref="E43:G46"/>
  </mergeCells>
  <phoneticPr fontId="2"/>
  <printOptions horizontalCentered="1" verticalCentered="1"/>
  <pageMargins left="0.31496062992125984" right="0.31496062992125984" top="0.35433070866141736" bottom="0.35433070866141736" header="0.31496062992125984" footer="0.31496062992125984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UserForm1_Show">
                <anchor moveWithCells="1">
                  <from>
                    <xdr:col>8</xdr:col>
                    <xdr:colOff>0</xdr:colOff>
                    <xdr:row>10</xdr:row>
                    <xdr:rowOff>238125</xdr:rowOff>
                  </from>
                  <to>
                    <xdr:col>10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7.DeleteData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511C-0F3A-407D-BA17-06BC8937E5A9}">
  <sheetPr codeName="Sheet6"/>
  <dimension ref="A1:N13506"/>
  <sheetViews>
    <sheetView zoomScale="85" zoomScaleNormal="85" workbookViewId="0">
      <selection activeCell="B2" sqref="B2"/>
    </sheetView>
  </sheetViews>
  <sheetFormatPr defaultRowHeight="18.75"/>
  <cols>
    <col min="1" max="14" width="35.625" customWidth="1"/>
  </cols>
  <sheetData>
    <row r="1" spans="1:14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>
      <c r="A2" s="31" t="s">
        <v>37781</v>
      </c>
      <c r="B2" s="31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4">
      <c r="A3" s="29" t="s">
        <v>37782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</row>
    <row r="4" spans="1:14" ht="19.5" thickBot="1">
      <c r="A4" s="29" t="s">
        <v>37783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</row>
    <row r="5" spans="1:14">
      <c r="A5" s="28" t="s">
        <v>639</v>
      </c>
      <c r="B5" s="28" t="s">
        <v>640</v>
      </c>
      <c r="C5" s="28" t="s">
        <v>641</v>
      </c>
      <c r="D5" s="28" t="s">
        <v>642</v>
      </c>
      <c r="E5" s="28" t="s">
        <v>643</v>
      </c>
      <c r="F5" s="28" t="s">
        <v>644</v>
      </c>
      <c r="G5" s="28" t="s">
        <v>645</v>
      </c>
      <c r="H5" s="28" t="s">
        <v>638</v>
      </c>
      <c r="I5" s="28" t="s">
        <v>637</v>
      </c>
      <c r="J5" s="28" t="s">
        <v>646</v>
      </c>
      <c r="K5" s="28" t="s">
        <v>647</v>
      </c>
      <c r="L5" s="28" t="s">
        <v>648</v>
      </c>
      <c r="M5" s="28" t="s">
        <v>649</v>
      </c>
      <c r="N5" s="28" t="s">
        <v>650</v>
      </c>
    </row>
    <row r="6" spans="1:14">
      <c r="A6" t="s">
        <v>651</v>
      </c>
      <c r="B6" t="s">
        <v>652</v>
      </c>
      <c r="C6" t="s">
        <v>653</v>
      </c>
      <c r="D6" t="s">
        <v>654</v>
      </c>
      <c r="E6" t="s">
        <v>655</v>
      </c>
      <c r="F6" t="s">
        <v>656</v>
      </c>
    </row>
    <row r="7" spans="1:14">
      <c r="A7" t="s">
        <v>657</v>
      </c>
      <c r="B7" t="s">
        <v>658</v>
      </c>
      <c r="C7" t="s">
        <v>659</v>
      </c>
      <c r="D7" t="s">
        <v>660</v>
      </c>
      <c r="E7" t="s">
        <v>661</v>
      </c>
      <c r="F7" t="s">
        <v>662</v>
      </c>
      <c r="J7" t="s">
        <v>661</v>
      </c>
      <c r="K7" t="s">
        <v>663</v>
      </c>
      <c r="L7" t="s">
        <v>664</v>
      </c>
    </row>
    <row r="8" spans="1:14">
      <c r="A8" t="s">
        <v>657</v>
      </c>
      <c r="B8" t="s">
        <v>658</v>
      </c>
      <c r="C8" t="s">
        <v>665</v>
      </c>
      <c r="D8" t="s">
        <v>660</v>
      </c>
      <c r="E8" t="s">
        <v>666</v>
      </c>
      <c r="F8" t="s">
        <v>667</v>
      </c>
    </row>
    <row r="9" spans="1:14">
      <c r="A9" t="s">
        <v>657</v>
      </c>
      <c r="B9" t="s">
        <v>658</v>
      </c>
      <c r="C9" t="s">
        <v>668</v>
      </c>
      <c r="D9" t="s">
        <v>660</v>
      </c>
      <c r="E9" t="s">
        <v>669</v>
      </c>
      <c r="F9" t="s">
        <v>670</v>
      </c>
    </row>
    <row r="10" spans="1:14">
      <c r="A10" t="s">
        <v>657</v>
      </c>
      <c r="B10" t="s">
        <v>658</v>
      </c>
      <c r="C10" t="s">
        <v>671</v>
      </c>
      <c r="D10" t="s">
        <v>660</v>
      </c>
      <c r="E10" t="s">
        <v>672</v>
      </c>
      <c r="F10" t="s">
        <v>673</v>
      </c>
      <c r="J10" t="s">
        <v>672</v>
      </c>
      <c r="K10" t="s">
        <v>663</v>
      </c>
      <c r="L10" t="s">
        <v>664</v>
      </c>
    </row>
    <row r="11" spans="1:14">
      <c r="A11" t="s">
        <v>657</v>
      </c>
      <c r="B11" t="s">
        <v>658</v>
      </c>
      <c r="C11" t="s">
        <v>674</v>
      </c>
      <c r="D11" t="s">
        <v>660</v>
      </c>
      <c r="E11" t="s">
        <v>675</v>
      </c>
      <c r="F11" t="s">
        <v>676</v>
      </c>
    </row>
    <row r="12" spans="1:14">
      <c r="A12" t="s">
        <v>657</v>
      </c>
      <c r="B12" t="s">
        <v>658</v>
      </c>
      <c r="C12" t="s">
        <v>677</v>
      </c>
      <c r="D12" t="s">
        <v>660</v>
      </c>
      <c r="E12" t="s">
        <v>678</v>
      </c>
      <c r="F12" t="s">
        <v>679</v>
      </c>
      <c r="J12" t="s">
        <v>678</v>
      </c>
      <c r="K12" t="s">
        <v>680</v>
      </c>
      <c r="L12" t="s">
        <v>664</v>
      </c>
    </row>
    <row r="13" spans="1:14">
      <c r="A13" t="s">
        <v>657</v>
      </c>
      <c r="B13" t="s">
        <v>658</v>
      </c>
      <c r="C13" t="s">
        <v>681</v>
      </c>
      <c r="D13" t="s">
        <v>660</v>
      </c>
      <c r="E13" t="s">
        <v>682</v>
      </c>
      <c r="F13" t="s">
        <v>683</v>
      </c>
      <c r="J13" t="s">
        <v>682</v>
      </c>
      <c r="K13" t="s">
        <v>663</v>
      </c>
      <c r="L13" t="s">
        <v>664</v>
      </c>
    </row>
    <row r="14" spans="1:14">
      <c r="A14" t="s">
        <v>657</v>
      </c>
      <c r="B14" t="s">
        <v>658</v>
      </c>
      <c r="C14" t="s">
        <v>684</v>
      </c>
      <c r="D14" t="s">
        <v>660</v>
      </c>
      <c r="E14" t="s">
        <v>685</v>
      </c>
      <c r="F14" t="s">
        <v>686</v>
      </c>
    </row>
    <row r="15" spans="1:14">
      <c r="A15" t="s">
        <v>657</v>
      </c>
      <c r="B15" t="s">
        <v>658</v>
      </c>
      <c r="C15" t="s">
        <v>687</v>
      </c>
      <c r="D15" t="s">
        <v>660</v>
      </c>
      <c r="E15" t="s">
        <v>688</v>
      </c>
      <c r="F15" t="s">
        <v>689</v>
      </c>
    </row>
    <row r="16" spans="1:14">
      <c r="A16" t="s">
        <v>657</v>
      </c>
      <c r="B16" t="s">
        <v>658</v>
      </c>
      <c r="C16" t="s">
        <v>690</v>
      </c>
      <c r="D16" t="s">
        <v>660</v>
      </c>
      <c r="E16" t="s">
        <v>691</v>
      </c>
      <c r="F16" t="s">
        <v>692</v>
      </c>
    </row>
    <row r="17" spans="1:12">
      <c r="A17" t="s">
        <v>657</v>
      </c>
      <c r="B17" t="s">
        <v>658</v>
      </c>
      <c r="C17" t="s">
        <v>693</v>
      </c>
      <c r="D17" t="s">
        <v>660</v>
      </c>
      <c r="E17" t="s">
        <v>694</v>
      </c>
      <c r="F17" t="s">
        <v>695</v>
      </c>
    </row>
    <row r="18" spans="1:12">
      <c r="A18" t="s">
        <v>657</v>
      </c>
      <c r="B18" t="s">
        <v>658</v>
      </c>
      <c r="C18" t="s">
        <v>696</v>
      </c>
      <c r="D18" t="s">
        <v>660</v>
      </c>
      <c r="E18" t="s">
        <v>697</v>
      </c>
      <c r="F18" t="s">
        <v>698</v>
      </c>
    </row>
    <row r="19" spans="1:12">
      <c r="A19" t="s">
        <v>657</v>
      </c>
      <c r="B19" t="s">
        <v>658</v>
      </c>
      <c r="C19" t="s">
        <v>699</v>
      </c>
      <c r="D19" t="s">
        <v>660</v>
      </c>
      <c r="E19" t="s">
        <v>700</v>
      </c>
      <c r="F19" t="s">
        <v>701</v>
      </c>
    </row>
    <row r="20" spans="1:12">
      <c r="A20" t="s">
        <v>657</v>
      </c>
      <c r="B20" t="s">
        <v>658</v>
      </c>
      <c r="C20" t="s">
        <v>702</v>
      </c>
      <c r="D20" t="s">
        <v>660</v>
      </c>
      <c r="E20" t="s">
        <v>703</v>
      </c>
      <c r="F20" t="s">
        <v>704</v>
      </c>
    </row>
    <row r="21" spans="1:12">
      <c r="A21" t="s">
        <v>657</v>
      </c>
      <c r="B21" t="s">
        <v>658</v>
      </c>
      <c r="C21" t="s">
        <v>705</v>
      </c>
      <c r="D21" t="s">
        <v>660</v>
      </c>
      <c r="E21" t="s">
        <v>706</v>
      </c>
      <c r="F21" t="s">
        <v>707</v>
      </c>
    </row>
    <row r="22" spans="1:12">
      <c r="A22" t="s">
        <v>657</v>
      </c>
      <c r="B22" t="s">
        <v>658</v>
      </c>
      <c r="C22" t="s">
        <v>708</v>
      </c>
      <c r="D22" t="s">
        <v>660</v>
      </c>
      <c r="E22" t="s">
        <v>709</v>
      </c>
      <c r="F22" t="s">
        <v>710</v>
      </c>
      <c r="J22" t="s">
        <v>709</v>
      </c>
      <c r="K22" t="s">
        <v>663</v>
      </c>
      <c r="L22" t="s">
        <v>664</v>
      </c>
    </row>
    <row r="23" spans="1:12">
      <c r="A23" t="s">
        <v>657</v>
      </c>
      <c r="B23" t="s">
        <v>658</v>
      </c>
      <c r="C23" t="s">
        <v>711</v>
      </c>
      <c r="D23" t="s">
        <v>660</v>
      </c>
      <c r="E23" t="s">
        <v>712</v>
      </c>
      <c r="F23" t="s">
        <v>713</v>
      </c>
    </row>
    <row r="24" spans="1:12">
      <c r="A24" t="s">
        <v>657</v>
      </c>
      <c r="B24" t="s">
        <v>658</v>
      </c>
      <c r="C24" t="s">
        <v>714</v>
      </c>
      <c r="D24" t="s">
        <v>660</v>
      </c>
      <c r="E24" t="s">
        <v>715</v>
      </c>
      <c r="F24" t="s">
        <v>716</v>
      </c>
      <c r="J24" t="s">
        <v>715</v>
      </c>
      <c r="K24" t="s">
        <v>663</v>
      </c>
      <c r="L24" t="s">
        <v>664</v>
      </c>
    </row>
    <row r="25" spans="1:12">
      <c r="A25" t="s">
        <v>657</v>
      </c>
      <c r="B25" t="s">
        <v>658</v>
      </c>
      <c r="C25" t="s">
        <v>717</v>
      </c>
      <c r="D25" t="s">
        <v>660</v>
      </c>
      <c r="E25" t="s">
        <v>655</v>
      </c>
      <c r="F25" t="s">
        <v>656</v>
      </c>
    </row>
    <row r="26" spans="1:12">
      <c r="A26" t="s">
        <v>718</v>
      </c>
      <c r="B26" t="s">
        <v>719</v>
      </c>
      <c r="C26" t="s">
        <v>720</v>
      </c>
      <c r="D26" t="s">
        <v>721</v>
      </c>
      <c r="E26" t="s">
        <v>722</v>
      </c>
      <c r="F26" t="s">
        <v>723</v>
      </c>
      <c r="J26" t="s">
        <v>722</v>
      </c>
      <c r="K26" t="s">
        <v>724</v>
      </c>
      <c r="L26" t="s">
        <v>725</v>
      </c>
    </row>
    <row r="27" spans="1:12">
      <c r="A27" t="s">
        <v>718</v>
      </c>
      <c r="B27" t="s">
        <v>719</v>
      </c>
      <c r="C27" t="s">
        <v>726</v>
      </c>
      <c r="D27" t="s">
        <v>721</v>
      </c>
      <c r="E27" t="s">
        <v>727</v>
      </c>
      <c r="F27" t="s">
        <v>728</v>
      </c>
      <c r="J27" t="s">
        <v>727</v>
      </c>
      <c r="K27" t="s">
        <v>724</v>
      </c>
      <c r="L27" t="s">
        <v>725</v>
      </c>
    </row>
    <row r="28" spans="1:12">
      <c r="A28" t="s">
        <v>718</v>
      </c>
      <c r="B28" t="s">
        <v>719</v>
      </c>
      <c r="C28" t="s">
        <v>729</v>
      </c>
      <c r="D28" t="s">
        <v>721</v>
      </c>
      <c r="E28" t="s">
        <v>730</v>
      </c>
      <c r="F28" t="s">
        <v>731</v>
      </c>
      <c r="J28" t="s">
        <v>730</v>
      </c>
      <c r="K28" t="s">
        <v>724</v>
      </c>
      <c r="L28" t="s">
        <v>725</v>
      </c>
    </row>
    <row r="29" spans="1:12">
      <c r="A29" t="s">
        <v>718</v>
      </c>
      <c r="B29" t="s">
        <v>719</v>
      </c>
      <c r="C29" t="s">
        <v>732</v>
      </c>
      <c r="D29" t="s">
        <v>721</v>
      </c>
      <c r="E29" t="s">
        <v>733</v>
      </c>
      <c r="F29" t="s">
        <v>734</v>
      </c>
      <c r="J29" t="s">
        <v>733</v>
      </c>
      <c r="K29" t="s">
        <v>724</v>
      </c>
      <c r="L29" t="s">
        <v>725</v>
      </c>
    </row>
    <row r="30" spans="1:12">
      <c r="A30" t="s">
        <v>718</v>
      </c>
      <c r="B30" t="s">
        <v>719</v>
      </c>
      <c r="C30" t="s">
        <v>735</v>
      </c>
      <c r="D30" t="s">
        <v>721</v>
      </c>
      <c r="E30" t="s">
        <v>736</v>
      </c>
      <c r="F30" t="s">
        <v>737</v>
      </c>
      <c r="J30" t="s">
        <v>736</v>
      </c>
      <c r="K30" t="s">
        <v>724</v>
      </c>
      <c r="L30" t="s">
        <v>725</v>
      </c>
    </row>
    <row r="31" spans="1:12">
      <c r="A31" t="s">
        <v>718</v>
      </c>
      <c r="B31" t="s">
        <v>719</v>
      </c>
      <c r="C31" t="s">
        <v>738</v>
      </c>
      <c r="D31" t="s">
        <v>721</v>
      </c>
      <c r="E31" t="s">
        <v>739</v>
      </c>
      <c r="F31" t="s">
        <v>740</v>
      </c>
      <c r="J31" t="s">
        <v>739</v>
      </c>
      <c r="K31" t="s">
        <v>724</v>
      </c>
      <c r="L31" t="s">
        <v>725</v>
      </c>
    </row>
    <row r="32" spans="1:12">
      <c r="A32" t="s">
        <v>718</v>
      </c>
      <c r="B32" t="s">
        <v>719</v>
      </c>
      <c r="C32" t="s">
        <v>741</v>
      </c>
      <c r="D32" t="s">
        <v>721</v>
      </c>
      <c r="E32" t="s">
        <v>742</v>
      </c>
      <c r="F32" t="s">
        <v>743</v>
      </c>
      <c r="J32" t="s">
        <v>742</v>
      </c>
      <c r="K32" t="s">
        <v>724</v>
      </c>
      <c r="L32" t="s">
        <v>725</v>
      </c>
    </row>
    <row r="33" spans="1:12">
      <c r="A33" t="s">
        <v>718</v>
      </c>
      <c r="B33" t="s">
        <v>719</v>
      </c>
      <c r="C33" t="s">
        <v>744</v>
      </c>
      <c r="D33" t="s">
        <v>721</v>
      </c>
      <c r="E33" t="s">
        <v>745</v>
      </c>
      <c r="F33" t="s">
        <v>746</v>
      </c>
      <c r="J33" t="s">
        <v>745</v>
      </c>
      <c r="K33" t="s">
        <v>724</v>
      </c>
      <c r="L33" t="s">
        <v>725</v>
      </c>
    </row>
    <row r="34" spans="1:12">
      <c r="A34" t="s">
        <v>718</v>
      </c>
      <c r="B34" t="s">
        <v>719</v>
      </c>
      <c r="C34" t="s">
        <v>747</v>
      </c>
      <c r="D34" t="s">
        <v>721</v>
      </c>
      <c r="E34" t="s">
        <v>748</v>
      </c>
      <c r="F34" t="s">
        <v>749</v>
      </c>
      <c r="J34" t="s">
        <v>748</v>
      </c>
      <c r="K34" t="s">
        <v>724</v>
      </c>
      <c r="L34" t="s">
        <v>725</v>
      </c>
    </row>
    <row r="35" spans="1:12">
      <c r="A35" t="s">
        <v>718</v>
      </c>
      <c r="B35" t="s">
        <v>719</v>
      </c>
      <c r="C35" t="s">
        <v>750</v>
      </c>
      <c r="D35" t="s">
        <v>721</v>
      </c>
      <c r="E35" t="s">
        <v>751</v>
      </c>
      <c r="F35" t="s">
        <v>752</v>
      </c>
      <c r="J35" t="s">
        <v>751</v>
      </c>
      <c r="K35" t="s">
        <v>724</v>
      </c>
      <c r="L35" t="s">
        <v>725</v>
      </c>
    </row>
    <row r="36" spans="1:12">
      <c r="A36" t="s">
        <v>718</v>
      </c>
      <c r="B36" t="s">
        <v>719</v>
      </c>
      <c r="C36" t="s">
        <v>753</v>
      </c>
      <c r="D36" t="s">
        <v>721</v>
      </c>
      <c r="E36" t="s">
        <v>754</v>
      </c>
      <c r="F36" t="s">
        <v>755</v>
      </c>
      <c r="J36" t="s">
        <v>754</v>
      </c>
      <c r="K36" t="s">
        <v>724</v>
      </c>
      <c r="L36" t="s">
        <v>725</v>
      </c>
    </row>
    <row r="37" spans="1:12">
      <c r="A37" t="s">
        <v>718</v>
      </c>
      <c r="B37" t="s">
        <v>719</v>
      </c>
      <c r="C37" t="s">
        <v>756</v>
      </c>
      <c r="D37" t="s">
        <v>721</v>
      </c>
      <c r="E37" t="s">
        <v>757</v>
      </c>
      <c r="F37" t="s">
        <v>758</v>
      </c>
      <c r="J37" t="s">
        <v>757</v>
      </c>
      <c r="K37" t="s">
        <v>724</v>
      </c>
      <c r="L37" t="s">
        <v>725</v>
      </c>
    </row>
    <row r="38" spans="1:12">
      <c r="A38" t="s">
        <v>718</v>
      </c>
      <c r="B38" t="s">
        <v>719</v>
      </c>
      <c r="C38" t="s">
        <v>759</v>
      </c>
      <c r="D38" t="s">
        <v>721</v>
      </c>
      <c r="E38" t="s">
        <v>760</v>
      </c>
      <c r="F38" t="s">
        <v>761</v>
      </c>
      <c r="J38" t="s">
        <v>760</v>
      </c>
      <c r="K38" t="s">
        <v>724</v>
      </c>
      <c r="L38" t="s">
        <v>725</v>
      </c>
    </row>
    <row r="39" spans="1:12">
      <c r="A39" t="s">
        <v>718</v>
      </c>
      <c r="B39" t="s">
        <v>719</v>
      </c>
      <c r="C39" t="s">
        <v>762</v>
      </c>
      <c r="D39" t="s">
        <v>721</v>
      </c>
      <c r="E39" t="s">
        <v>763</v>
      </c>
      <c r="F39" t="s">
        <v>764</v>
      </c>
      <c r="J39" t="s">
        <v>763</v>
      </c>
      <c r="K39" t="s">
        <v>724</v>
      </c>
      <c r="L39" t="s">
        <v>725</v>
      </c>
    </row>
    <row r="40" spans="1:12">
      <c r="A40" t="s">
        <v>718</v>
      </c>
      <c r="B40" t="s">
        <v>719</v>
      </c>
      <c r="C40" t="s">
        <v>765</v>
      </c>
      <c r="D40" t="s">
        <v>721</v>
      </c>
      <c r="E40" t="s">
        <v>766</v>
      </c>
      <c r="F40" t="s">
        <v>767</v>
      </c>
      <c r="J40" t="s">
        <v>766</v>
      </c>
      <c r="K40" t="s">
        <v>724</v>
      </c>
      <c r="L40" t="s">
        <v>725</v>
      </c>
    </row>
    <row r="41" spans="1:12">
      <c r="A41" t="s">
        <v>718</v>
      </c>
      <c r="B41" t="s">
        <v>719</v>
      </c>
      <c r="C41" t="s">
        <v>768</v>
      </c>
      <c r="D41" t="s">
        <v>721</v>
      </c>
      <c r="E41" t="s">
        <v>769</v>
      </c>
      <c r="F41" t="s">
        <v>770</v>
      </c>
      <c r="J41" t="s">
        <v>769</v>
      </c>
      <c r="K41" t="s">
        <v>724</v>
      </c>
      <c r="L41" t="s">
        <v>725</v>
      </c>
    </row>
    <row r="42" spans="1:12">
      <c r="A42" t="s">
        <v>718</v>
      </c>
      <c r="B42" t="s">
        <v>719</v>
      </c>
      <c r="C42" t="s">
        <v>771</v>
      </c>
      <c r="D42" t="s">
        <v>721</v>
      </c>
      <c r="E42" t="s">
        <v>772</v>
      </c>
      <c r="F42" t="s">
        <v>773</v>
      </c>
      <c r="J42" t="s">
        <v>772</v>
      </c>
      <c r="K42" t="s">
        <v>724</v>
      </c>
      <c r="L42" t="s">
        <v>725</v>
      </c>
    </row>
    <row r="43" spans="1:12">
      <c r="A43" t="s">
        <v>718</v>
      </c>
      <c r="B43" t="s">
        <v>719</v>
      </c>
      <c r="C43" t="s">
        <v>774</v>
      </c>
      <c r="D43" t="s">
        <v>721</v>
      </c>
      <c r="E43" t="s">
        <v>775</v>
      </c>
      <c r="F43" t="s">
        <v>776</v>
      </c>
      <c r="J43" t="s">
        <v>775</v>
      </c>
      <c r="K43" t="s">
        <v>724</v>
      </c>
      <c r="L43" t="s">
        <v>725</v>
      </c>
    </row>
    <row r="44" spans="1:12">
      <c r="A44" t="s">
        <v>718</v>
      </c>
      <c r="B44" t="s">
        <v>719</v>
      </c>
      <c r="C44" t="s">
        <v>777</v>
      </c>
      <c r="D44" t="s">
        <v>721</v>
      </c>
      <c r="E44" t="s">
        <v>778</v>
      </c>
      <c r="F44" t="s">
        <v>779</v>
      </c>
      <c r="J44" t="s">
        <v>778</v>
      </c>
      <c r="K44" t="s">
        <v>724</v>
      </c>
      <c r="L44" t="s">
        <v>725</v>
      </c>
    </row>
    <row r="45" spans="1:12">
      <c r="A45" t="s">
        <v>718</v>
      </c>
      <c r="B45" t="s">
        <v>719</v>
      </c>
      <c r="C45" t="s">
        <v>780</v>
      </c>
      <c r="D45" t="s">
        <v>721</v>
      </c>
      <c r="E45" t="s">
        <v>781</v>
      </c>
      <c r="F45" t="s">
        <v>782</v>
      </c>
      <c r="J45" t="s">
        <v>781</v>
      </c>
      <c r="K45" t="s">
        <v>724</v>
      </c>
      <c r="L45" t="s">
        <v>725</v>
      </c>
    </row>
    <row r="46" spans="1:12">
      <c r="A46" t="s">
        <v>718</v>
      </c>
      <c r="B46" t="s">
        <v>719</v>
      </c>
      <c r="C46" t="s">
        <v>783</v>
      </c>
      <c r="D46" t="s">
        <v>721</v>
      </c>
      <c r="E46" t="s">
        <v>784</v>
      </c>
      <c r="F46" t="s">
        <v>785</v>
      </c>
      <c r="J46" t="s">
        <v>784</v>
      </c>
      <c r="K46" t="s">
        <v>724</v>
      </c>
      <c r="L46" t="s">
        <v>725</v>
      </c>
    </row>
    <row r="47" spans="1:12">
      <c r="A47" t="s">
        <v>718</v>
      </c>
      <c r="B47" t="s">
        <v>719</v>
      </c>
      <c r="C47" t="s">
        <v>786</v>
      </c>
      <c r="D47" t="s">
        <v>721</v>
      </c>
      <c r="E47" t="s">
        <v>787</v>
      </c>
      <c r="F47" t="s">
        <v>788</v>
      </c>
      <c r="J47" t="s">
        <v>787</v>
      </c>
      <c r="K47" t="s">
        <v>724</v>
      </c>
      <c r="L47" t="s">
        <v>725</v>
      </c>
    </row>
    <row r="48" spans="1:12">
      <c r="A48" t="s">
        <v>718</v>
      </c>
      <c r="B48" t="s">
        <v>719</v>
      </c>
      <c r="C48" t="s">
        <v>789</v>
      </c>
      <c r="D48" t="s">
        <v>721</v>
      </c>
      <c r="E48" t="s">
        <v>790</v>
      </c>
      <c r="F48" t="s">
        <v>791</v>
      </c>
      <c r="J48" t="s">
        <v>790</v>
      </c>
      <c r="K48" t="s">
        <v>724</v>
      </c>
      <c r="L48" t="s">
        <v>725</v>
      </c>
    </row>
    <row r="49" spans="1:12">
      <c r="A49" t="s">
        <v>718</v>
      </c>
      <c r="B49" t="s">
        <v>719</v>
      </c>
      <c r="C49" t="s">
        <v>792</v>
      </c>
      <c r="D49" t="s">
        <v>721</v>
      </c>
      <c r="E49" t="s">
        <v>793</v>
      </c>
      <c r="F49" t="s">
        <v>794</v>
      </c>
      <c r="J49" t="s">
        <v>793</v>
      </c>
      <c r="K49" t="s">
        <v>724</v>
      </c>
      <c r="L49" t="s">
        <v>725</v>
      </c>
    </row>
    <row r="50" spans="1:12">
      <c r="A50" t="s">
        <v>718</v>
      </c>
      <c r="B50" t="s">
        <v>719</v>
      </c>
      <c r="C50" t="s">
        <v>795</v>
      </c>
      <c r="D50" t="s">
        <v>721</v>
      </c>
      <c r="E50" t="s">
        <v>796</v>
      </c>
      <c r="F50" t="s">
        <v>797</v>
      </c>
      <c r="J50" t="s">
        <v>796</v>
      </c>
      <c r="K50" t="s">
        <v>724</v>
      </c>
      <c r="L50" t="s">
        <v>725</v>
      </c>
    </row>
    <row r="51" spans="1:12">
      <c r="A51" t="s">
        <v>718</v>
      </c>
      <c r="B51" t="s">
        <v>719</v>
      </c>
      <c r="C51" t="s">
        <v>798</v>
      </c>
      <c r="D51" t="s">
        <v>721</v>
      </c>
      <c r="E51" t="s">
        <v>799</v>
      </c>
      <c r="F51" t="s">
        <v>800</v>
      </c>
      <c r="J51" t="s">
        <v>799</v>
      </c>
      <c r="K51" t="s">
        <v>724</v>
      </c>
      <c r="L51" t="s">
        <v>725</v>
      </c>
    </row>
    <row r="52" spans="1:12">
      <c r="A52" t="s">
        <v>718</v>
      </c>
      <c r="B52" t="s">
        <v>719</v>
      </c>
      <c r="C52" t="s">
        <v>801</v>
      </c>
      <c r="D52" t="s">
        <v>721</v>
      </c>
      <c r="E52" t="s">
        <v>802</v>
      </c>
      <c r="F52" t="s">
        <v>803</v>
      </c>
      <c r="J52" t="s">
        <v>802</v>
      </c>
      <c r="K52" t="s">
        <v>724</v>
      </c>
      <c r="L52" t="s">
        <v>725</v>
      </c>
    </row>
    <row r="53" spans="1:12">
      <c r="A53" t="s">
        <v>718</v>
      </c>
      <c r="B53" t="s">
        <v>719</v>
      </c>
      <c r="C53" t="s">
        <v>804</v>
      </c>
      <c r="D53" t="s">
        <v>721</v>
      </c>
      <c r="E53" t="s">
        <v>655</v>
      </c>
      <c r="F53" t="s">
        <v>656</v>
      </c>
    </row>
    <row r="54" spans="1:12">
      <c r="A54" t="s">
        <v>718</v>
      </c>
      <c r="B54" t="s">
        <v>719</v>
      </c>
      <c r="D54" t="s">
        <v>721</v>
      </c>
      <c r="F54" t="s">
        <v>805</v>
      </c>
      <c r="J54" t="s">
        <v>806</v>
      </c>
      <c r="K54" t="s">
        <v>724</v>
      </c>
      <c r="L54" t="s">
        <v>725</v>
      </c>
    </row>
    <row r="55" spans="1:12">
      <c r="A55" t="s">
        <v>807</v>
      </c>
      <c r="B55" t="s">
        <v>808</v>
      </c>
      <c r="C55" t="s">
        <v>809</v>
      </c>
      <c r="D55" t="s">
        <v>810</v>
      </c>
      <c r="E55" t="s">
        <v>811</v>
      </c>
      <c r="F55" t="s">
        <v>812</v>
      </c>
      <c r="J55" t="s">
        <v>811</v>
      </c>
      <c r="K55" t="s">
        <v>813</v>
      </c>
      <c r="L55" t="s">
        <v>814</v>
      </c>
    </row>
    <row r="56" spans="1:12">
      <c r="A56" t="s">
        <v>807</v>
      </c>
      <c r="B56" t="s">
        <v>808</v>
      </c>
      <c r="C56" t="s">
        <v>815</v>
      </c>
      <c r="D56" t="s">
        <v>810</v>
      </c>
      <c r="E56" t="s">
        <v>816</v>
      </c>
      <c r="F56" t="s">
        <v>817</v>
      </c>
      <c r="J56" t="s">
        <v>816</v>
      </c>
      <c r="K56" t="s">
        <v>813</v>
      </c>
      <c r="L56" t="s">
        <v>814</v>
      </c>
    </row>
    <row r="57" spans="1:12">
      <c r="A57" t="s">
        <v>807</v>
      </c>
      <c r="B57" t="s">
        <v>808</v>
      </c>
      <c r="C57" t="s">
        <v>818</v>
      </c>
      <c r="D57" t="s">
        <v>810</v>
      </c>
      <c r="E57" t="s">
        <v>655</v>
      </c>
      <c r="F57" t="s">
        <v>656</v>
      </c>
    </row>
    <row r="58" spans="1:12">
      <c r="A58" t="s">
        <v>819</v>
      </c>
      <c r="B58" t="s">
        <v>820</v>
      </c>
      <c r="C58" t="s">
        <v>821</v>
      </c>
      <c r="D58" t="s">
        <v>822</v>
      </c>
      <c r="E58" t="s">
        <v>823</v>
      </c>
      <c r="F58" t="s">
        <v>819</v>
      </c>
      <c r="J58" t="s">
        <v>823</v>
      </c>
      <c r="K58" t="s">
        <v>824</v>
      </c>
      <c r="L58" t="s">
        <v>814</v>
      </c>
    </row>
    <row r="59" spans="1:12">
      <c r="A59" t="s">
        <v>819</v>
      </c>
      <c r="B59" t="s">
        <v>820</v>
      </c>
      <c r="C59" t="s">
        <v>825</v>
      </c>
      <c r="D59" t="s">
        <v>822</v>
      </c>
      <c r="E59" t="s">
        <v>826</v>
      </c>
      <c r="F59" t="s">
        <v>827</v>
      </c>
    </row>
    <row r="60" spans="1:12">
      <c r="A60" t="s">
        <v>819</v>
      </c>
      <c r="B60" t="s">
        <v>820</v>
      </c>
      <c r="C60" t="s">
        <v>828</v>
      </c>
      <c r="D60" t="s">
        <v>822</v>
      </c>
      <c r="E60" t="s">
        <v>829</v>
      </c>
      <c r="F60" t="s">
        <v>830</v>
      </c>
    </row>
    <row r="61" spans="1:12">
      <c r="A61" t="s">
        <v>819</v>
      </c>
      <c r="B61" t="s">
        <v>820</v>
      </c>
      <c r="C61" t="s">
        <v>831</v>
      </c>
      <c r="D61" t="s">
        <v>822</v>
      </c>
      <c r="E61" t="s">
        <v>832</v>
      </c>
      <c r="F61" t="s">
        <v>833</v>
      </c>
    </row>
    <row r="62" spans="1:12">
      <c r="A62" t="s">
        <v>819</v>
      </c>
      <c r="B62" t="s">
        <v>820</v>
      </c>
      <c r="C62" t="s">
        <v>834</v>
      </c>
      <c r="D62" t="s">
        <v>822</v>
      </c>
      <c r="E62" t="s">
        <v>655</v>
      </c>
      <c r="F62" t="s">
        <v>656</v>
      </c>
    </row>
    <row r="63" spans="1:12">
      <c r="A63" t="s">
        <v>835</v>
      </c>
      <c r="B63" t="s">
        <v>836</v>
      </c>
      <c r="C63" t="s">
        <v>837</v>
      </c>
      <c r="D63" t="s">
        <v>838</v>
      </c>
      <c r="E63" t="s">
        <v>839</v>
      </c>
      <c r="F63" t="s">
        <v>840</v>
      </c>
    </row>
    <row r="64" spans="1:12">
      <c r="A64" t="s">
        <v>835</v>
      </c>
      <c r="B64" t="s">
        <v>836</v>
      </c>
      <c r="C64" t="s">
        <v>841</v>
      </c>
      <c r="D64" t="s">
        <v>838</v>
      </c>
      <c r="E64" t="s">
        <v>842</v>
      </c>
      <c r="F64" t="s">
        <v>843</v>
      </c>
    </row>
    <row r="65" spans="1:12">
      <c r="A65" t="s">
        <v>835</v>
      </c>
      <c r="B65" t="s">
        <v>836</v>
      </c>
      <c r="C65" t="s">
        <v>844</v>
      </c>
      <c r="D65" t="s">
        <v>838</v>
      </c>
      <c r="E65" t="s">
        <v>845</v>
      </c>
      <c r="F65" t="s">
        <v>846</v>
      </c>
    </row>
    <row r="66" spans="1:12">
      <c r="A66" t="s">
        <v>835</v>
      </c>
      <c r="B66" t="s">
        <v>836</v>
      </c>
      <c r="C66" t="s">
        <v>847</v>
      </c>
      <c r="D66" t="s">
        <v>838</v>
      </c>
      <c r="E66" t="s">
        <v>848</v>
      </c>
      <c r="F66" t="s">
        <v>849</v>
      </c>
      <c r="J66" t="s">
        <v>848</v>
      </c>
      <c r="K66" t="s">
        <v>850</v>
      </c>
      <c r="L66" t="s">
        <v>851</v>
      </c>
    </row>
    <row r="67" spans="1:12">
      <c r="A67" t="s">
        <v>835</v>
      </c>
      <c r="B67" t="s">
        <v>836</v>
      </c>
      <c r="C67" t="s">
        <v>852</v>
      </c>
      <c r="D67" t="s">
        <v>838</v>
      </c>
      <c r="E67" t="s">
        <v>655</v>
      </c>
      <c r="F67" t="s">
        <v>656</v>
      </c>
    </row>
    <row r="68" spans="1:12">
      <c r="A68" t="s">
        <v>853</v>
      </c>
      <c r="B68" t="s">
        <v>854</v>
      </c>
      <c r="C68" t="s">
        <v>855</v>
      </c>
      <c r="D68" t="s">
        <v>856</v>
      </c>
      <c r="E68" t="s">
        <v>857</v>
      </c>
      <c r="F68" t="s">
        <v>858</v>
      </c>
    </row>
    <row r="69" spans="1:12">
      <c r="A69" t="s">
        <v>853</v>
      </c>
      <c r="B69" t="s">
        <v>854</v>
      </c>
      <c r="C69" t="s">
        <v>859</v>
      </c>
      <c r="D69" t="s">
        <v>856</v>
      </c>
      <c r="E69" t="s">
        <v>860</v>
      </c>
      <c r="F69" t="s">
        <v>861</v>
      </c>
      <c r="J69" t="s">
        <v>860</v>
      </c>
      <c r="K69" t="s">
        <v>862</v>
      </c>
      <c r="L69" t="s">
        <v>863</v>
      </c>
    </row>
    <row r="70" spans="1:12">
      <c r="A70" t="s">
        <v>853</v>
      </c>
      <c r="B70" t="s">
        <v>854</v>
      </c>
      <c r="C70" t="s">
        <v>864</v>
      </c>
      <c r="D70" t="s">
        <v>856</v>
      </c>
      <c r="E70" t="s">
        <v>655</v>
      </c>
      <c r="F70" t="s">
        <v>656</v>
      </c>
    </row>
    <row r="71" spans="1:12">
      <c r="A71" t="s">
        <v>865</v>
      </c>
      <c r="B71" t="s">
        <v>866</v>
      </c>
      <c r="C71" t="s">
        <v>867</v>
      </c>
      <c r="D71" t="s">
        <v>868</v>
      </c>
      <c r="E71" t="s">
        <v>869</v>
      </c>
      <c r="F71" t="s">
        <v>870</v>
      </c>
      <c r="J71" t="s">
        <v>869</v>
      </c>
      <c r="K71" t="s">
        <v>871</v>
      </c>
      <c r="L71" t="s">
        <v>814</v>
      </c>
    </row>
    <row r="72" spans="1:12">
      <c r="A72" t="s">
        <v>865</v>
      </c>
      <c r="B72" t="s">
        <v>866</v>
      </c>
      <c r="C72" t="s">
        <v>872</v>
      </c>
      <c r="D72" t="s">
        <v>868</v>
      </c>
      <c r="E72" t="s">
        <v>873</v>
      </c>
      <c r="F72" t="s">
        <v>874</v>
      </c>
    </row>
    <row r="73" spans="1:12">
      <c r="A73" t="s">
        <v>865</v>
      </c>
      <c r="B73" t="s">
        <v>866</v>
      </c>
      <c r="C73" t="s">
        <v>875</v>
      </c>
      <c r="D73" t="s">
        <v>868</v>
      </c>
      <c r="E73" t="s">
        <v>876</v>
      </c>
      <c r="F73" t="s">
        <v>877</v>
      </c>
    </row>
    <row r="74" spans="1:12">
      <c r="A74" t="s">
        <v>865</v>
      </c>
      <c r="B74" t="s">
        <v>866</v>
      </c>
      <c r="C74" t="s">
        <v>878</v>
      </c>
      <c r="D74" t="s">
        <v>868</v>
      </c>
      <c r="E74" t="s">
        <v>879</v>
      </c>
      <c r="F74" t="s">
        <v>880</v>
      </c>
      <c r="J74" t="s">
        <v>879</v>
      </c>
      <c r="K74" t="s">
        <v>871</v>
      </c>
      <c r="L74" t="s">
        <v>814</v>
      </c>
    </row>
    <row r="75" spans="1:12">
      <c r="A75" t="s">
        <v>865</v>
      </c>
      <c r="B75" t="s">
        <v>866</v>
      </c>
      <c r="C75" t="s">
        <v>881</v>
      </c>
      <c r="D75" t="s">
        <v>868</v>
      </c>
      <c r="E75" t="s">
        <v>882</v>
      </c>
      <c r="F75" t="s">
        <v>883</v>
      </c>
    </row>
    <row r="76" spans="1:12">
      <c r="A76" t="s">
        <v>865</v>
      </c>
      <c r="B76" t="s">
        <v>866</v>
      </c>
      <c r="C76" t="s">
        <v>884</v>
      </c>
      <c r="D76" t="s">
        <v>868</v>
      </c>
      <c r="E76" t="s">
        <v>885</v>
      </c>
      <c r="F76" t="s">
        <v>886</v>
      </c>
      <c r="J76" t="s">
        <v>885</v>
      </c>
      <c r="K76" t="s">
        <v>871</v>
      </c>
      <c r="L76" t="s">
        <v>814</v>
      </c>
    </row>
    <row r="77" spans="1:12">
      <c r="A77" t="s">
        <v>865</v>
      </c>
      <c r="B77" t="s">
        <v>866</v>
      </c>
      <c r="C77" t="s">
        <v>887</v>
      </c>
      <c r="D77" t="s">
        <v>868</v>
      </c>
      <c r="E77" t="s">
        <v>888</v>
      </c>
      <c r="F77" t="s">
        <v>889</v>
      </c>
    </row>
    <row r="78" spans="1:12">
      <c r="A78" t="s">
        <v>865</v>
      </c>
      <c r="B78" t="s">
        <v>866</v>
      </c>
      <c r="C78" t="s">
        <v>890</v>
      </c>
      <c r="D78" t="s">
        <v>868</v>
      </c>
      <c r="E78" t="s">
        <v>891</v>
      </c>
      <c r="F78" t="s">
        <v>892</v>
      </c>
    </row>
    <row r="79" spans="1:12">
      <c r="A79" t="s">
        <v>865</v>
      </c>
      <c r="B79" t="s">
        <v>866</v>
      </c>
      <c r="C79" t="s">
        <v>893</v>
      </c>
      <c r="D79" t="s">
        <v>868</v>
      </c>
      <c r="E79" t="s">
        <v>894</v>
      </c>
      <c r="F79" t="s">
        <v>895</v>
      </c>
    </row>
    <row r="80" spans="1:12">
      <c r="A80" t="s">
        <v>865</v>
      </c>
      <c r="B80" t="s">
        <v>866</v>
      </c>
      <c r="C80" t="s">
        <v>896</v>
      </c>
      <c r="D80" t="s">
        <v>868</v>
      </c>
      <c r="E80" t="s">
        <v>897</v>
      </c>
      <c r="F80" t="s">
        <v>898</v>
      </c>
      <c r="J80" t="s">
        <v>897</v>
      </c>
      <c r="K80" t="s">
        <v>871</v>
      </c>
      <c r="L80" t="s">
        <v>814</v>
      </c>
    </row>
    <row r="81" spans="1:12">
      <c r="A81" t="s">
        <v>865</v>
      </c>
      <c r="B81" t="s">
        <v>866</v>
      </c>
      <c r="C81" t="s">
        <v>899</v>
      </c>
      <c r="D81" t="s">
        <v>868</v>
      </c>
      <c r="E81" t="s">
        <v>900</v>
      </c>
      <c r="F81" t="s">
        <v>901</v>
      </c>
    </row>
    <row r="82" spans="1:12">
      <c r="A82" t="s">
        <v>865</v>
      </c>
      <c r="B82" t="s">
        <v>866</v>
      </c>
      <c r="C82" t="s">
        <v>902</v>
      </c>
      <c r="D82" t="s">
        <v>868</v>
      </c>
      <c r="E82" t="s">
        <v>903</v>
      </c>
      <c r="F82" t="s">
        <v>904</v>
      </c>
      <c r="J82" t="s">
        <v>903</v>
      </c>
      <c r="K82" t="s">
        <v>871</v>
      </c>
      <c r="L82" t="s">
        <v>814</v>
      </c>
    </row>
    <row r="83" spans="1:12">
      <c r="A83" t="s">
        <v>865</v>
      </c>
      <c r="B83" t="s">
        <v>866</v>
      </c>
      <c r="C83" t="s">
        <v>905</v>
      </c>
      <c r="D83" t="s">
        <v>868</v>
      </c>
      <c r="E83" t="s">
        <v>906</v>
      </c>
      <c r="F83" t="s">
        <v>907</v>
      </c>
    </row>
    <row r="84" spans="1:12">
      <c r="A84" t="s">
        <v>865</v>
      </c>
      <c r="B84" t="s">
        <v>866</v>
      </c>
      <c r="C84" t="s">
        <v>908</v>
      </c>
      <c r="D84" t="s">
        <v>868</v>
      </c>
      <c r="E84" t="s">
        <v>655</v>
      </c>
      <c r="F84" t="s">
        <v>656</v>
      </c>
    </row>
    <row r="85" spans="1:12">
      <c r="A85" t="s">
        <v>909</v>
      </c>
      <c r="B85" t="s">
        <v>910</v>
      </c>
      <c r="C85" t="s">
        <v>911</v>
      </c>
      <c r="D85" t="s">
        <v>912</v>
      </c>
      <c r="E85" t="s">
        <v>913</v>
      </c>
      <c r="F85" t="s">
        <v>914</v>
      </c>
      <c r="J85" t="s">
        <v>913</v>
      </c>
      <c r="K85" t="s">
        <v>915</v>
      </c>
      <c r="L85" t="s">
        <v>916</v>
      </c>
    </row>
    <row r="86" spans="1:12">
      <c r="A86" t="s">
        <v>909</v>
      </c>
      <c r="B86" t="s">
        <v>910</v>
      </c>
      <c r="C86" t="s">
        <v>917</v>
      </c>
      <c r="D86" t="s">
        <v>912</v>
      </c>
      <c r="E86" t="s">
        <v>918</v>
      </c>
      <c r="F86" t="s">
        <v>919</v>
      </c>
      <c r="J86" t="s">
        <v>918</v>
      </c>
      <c r="K86" t="s">
        <v>915</v>
      </c>
      <c r="L86" t="s">
        <v>916</v>
      </c>
    </row>
    <row r="87" spans="1:12">
      <c r="A87" t="s">
        <v>909</v>
      </c>
      <c r="B87" t="s">
        <v>910</v>
      </c>
      <c r="C87" t="s">
        <v>920</v>
      </c>
      <c r="D87" t="s">
        <v>912</v>
      </c>
      <c r="E87" t="s">
        <v>921</v>
      </c>
      <c r="F87" t="s">
        <v>922</v>
      </c>
    </row>
    <row r="88" spans="1:12">
      <c r="A88" t="s">
        <v>909</v>
      </c>
      <c r="B88" t="s">
        <v>910</v>
      </c>
      <c r="C88" t="s">
        <v>923</v>
      </c>
      <c r="D88" t="s">
        <v>912</v>
      </c>
      <c r="E88" t="s">
        <v>924</v>
      </c>
      <c r="F88" t="s">
        <v>925</v>
      </c>
    </row>
    <row r="89" spans="1:12">
      <c r="A89" t="s">
        <v>909</v>
      </c>
      <c r="B89" t="s">
        <v>910</v>
      </c>
      <c r="C89" t="s">
        <v>926</v>
      </c>
      <c r="D89" t="s">
        <v>912</v>
      </c>
      <c r="E89" t="s">
        <v>927</v>
      </c>
      <c r="F89" t="s">
        <v>928</v>
      </c>
    </row>
    <row r="90" spans="1:12">
      <c r="A90" t="s">
        <v>909</v>
      </c>
      <c r="B90" t="s">
        <v>910</v>
      </c>
      <c r="C90" t="s">
        <v>929</v>
      </c>
      <c r="D90" t="s">
        <v>912</v>
      </c>
      <c r="E90" t="s">
        <v>930</v>
      </c>
      <c r="F90" t="s">
        <v>931</v>
      </c>
      <c r="J90" t="s">
        <v>930</v>
      </c>
      <c r="K90" t="s">
        <v>915</v>
      </c>
      <c r="L90" t="s">
        <v>916</v>
      </c>
    </row>
    <row r="91" spans="1:12">
      <c r="A91" t="s">
        <v>909</v>
      </c>
      <c r="B91" t="s">
        <v>910</v>
      </c>
      <c r="C91" t="s">
        <v>932</v>
      </c>
      <c r="D91" t="s">
        <v>912</v>
      </c>
      <c r="E91" t="s">
        <v>933</v>
      </c>
      <c r="F91" t="s">
        <v>934</v>
      </c>
      <c r="J91" t="s">
        <v>933</v>
      </c>
      <c r="K91" t="s">
        <v>915</v>
      </c>
      <c r="L91" t="s">
        <v>916</v>
      </c>
    </row>
    <row r="92" spans="1:12">
      <c r="A92" t="s">
        <v>909</v>
      </c>
      <c r="B92" t="s">
        <v>910</v>
      </c>
      <c r="C92" t="s">
        <v>935</v>
      </c>
      <c r="D92" t="s">
        <v>912</v>
      </c>
      <c r="E92" t="s">
        <v>936</v>
      </c>
      <c r="F92" t="s">
        <v>937</v>
      </c>
      <c r="J92" t="s">
        <v>936</v>
      </c>
      <c r="K92" t="s">
        <v>915</v>
      </c>
      <c r="L92" t="s">
        <v>916</v>
      </c>
    </row>
    <row r="93" spans="1:12">
      <c r="A93" t="s">
        <v>909</v>
      </c>
      <c r="B93" t="s">
        <v>910</v>
      </c>
      <c r="C93" t="s">
        <v>938</v>
      </c>
      <c r="D93" t="s">
        <v>912</v>
      </c>
      <c r="E93" t="s">
        <v>939</v>
      </c>
      <c r="F93" t="s">
        <v>940</v>
      </c>
      <c r="J93" t="s">
        <v>939</v>
      </c>
      <c r="K93" t="s">
        <v>915</v>
      </c>
      <c r="L93" t="s">
        <v>916</v>
      </c>
    </row>
    <row r="94" spans="1:12">
      <c r="A94" t="s">
        <v>909</v>
      </c>
      <c r="B94" t="s">
        <v>910</v>
      </c>
      <c r="C94" t="s">
        <v>941</v>
      </c>
      <c r="D94" t="s">
        <v>912</v>
      </c>
      <c r="E94" t="s">
        <v>942</v>
      </c>
      <c r="F94" t="s">
        <v>943</v>
      </c>
      <c r="J94" t="s">
        <v>942</v>
      </c>
      <c r="K94" t="s">
        <v>915</v>
      </c>
      <c r="L94" t="s">
        <v>916</v>
      </c>
    </row>
    <row r="95" spans="1:12">
      <c r="A95" t="s">
        <v>909</v>
      </c>
      <c r="B95" t="s">
        <v>910</v>
      </c>
      <c r="C95" t="s">
        <v>944</v>
      </c>
      <c r="D95" t="s">
        <v>912</v>
      </c>
      <c r="E95" t="s">
        <v>945</v>
      </c>
      <c r="F95" t="s">
        <v>946</v>
      </c>
      <c r="J95" t="s">
        <v>945</v>
      </c>
      <c r="K95" t="s">
        <v>915</v>
      </c>
      <c r="L95" t="s">
        <v>916</v>
      </c>
    </row>
    <row r="96" spans="1:12">
      <c r="A96" t="s">
        <v>909</v>
      </c>
      <c r="B96" t="s">
        <v>910</v>
      </c>
      <c r="C96" t="s">
        <v>947</v>
      </c>
      <c r="D96" t="s">
        <v>912</v>
      </c>
      <c r="E96" t="s">
        <v>948</v>
      </c>
      <c r="F96" t="s">
        <v>949</v>
      </c>
    </row>
    <row r="97" spans="1:12">
      <c r="A97" t="s">
        <v>909</v>
      </c>
      <c r="B97" t="s">
        <v>910</v>
      </c>
      <c r="C97" t="s">
        <v>950</v>
      </c>
      <c r="D97" t="s">
        <v>912</v>
      </c>
      <c r="E97" t="s">
        <v>951</v>
      </c>
      <c r="F97" t="s">
        <v>952</v>
      </c>
      <c r="J97" t="s">
        <v>951</v>
      </c>
      <c r="K97" t="s">
        <v>915</v>
      </c>
      <c r="L97" t="s">
        <v>916</v>
      </c>
    </row>
    <row r="98" spans="1:12">
      <c r="A98" t="s">
        <v>909</v>
      </c>
      <c r="B98" t="s">
        <v>910</v>
      </c>
      <c r="C98" t="s">
        <v>953</v>
      </c>
      <c r="D98" t="s">
        <v>912</v>
      </c>
      <c r="E98" t="s">
        <v>954</v>
      </c>
      <c r="F98" t="s">
        <v>955</v>
      </c>
      <c r="J98" t="s">
        <v>954</v>
      </c>
      <c r="K98" t="s">
        <v>915</v>
      </c>
      <c r="L98" t="s">
        <v>916</v>
      </c>
    </row>
    <row r="99" spans="1:12">
      <c r="A99" t="s">
        <v>909</v>
      </c>
      <c r="B99" t="s">
        <v>910</v>
      </c>
      <c r="C99" t="s">
        <v>956</v>
      </c>
      <c r="D99" t="s">
        <v>912</v>
      </c>
      <c r="E99" t="s">
        <v>957</v>
      </c>
      <c r="F99" t="s">
        <v>958</v>
      </c>
      <c r="J99" t="s">
        <v>957</v>
      </c>
      <c r="K99" t="s">
        <v>915</v>
      </c>
      <c r="L99" t="s">
        <v>916</v>
      </c>
    </row>
    <row r="100" spans="1:12">
      <c r="A100" t="s">
        <v>909</v>
      </c>
      <c r="B100" t="s">
        <v>910</v>
      </c>
      <c r="C100" t="s">
        <v>959</v>
      </c>
      <c r="D100" t="s">
        <v>912</v>
      </c>
      <c r="E100" t="s">
        <v>960</v>
      </c>
      <c r="F100" t="s">
        <v>961</v>
      </c>
      <c r="J100" t="s">
        <v>960</v>
      </c>
      <c r="K100" t="s">
        <v>915</v>
      </c>
      <c r="L100" t="s">
        <v>916</v>
      </c>
    </row>
    <row r="101" spans="1:12">
      <c r="A101" t="s">
        <v>909</v>
      </c>
      <c r="B101" t="s">
        <v>910</v>
      </c>
      <c r="C101" t="s">
        <v>962</v>
      </c>
      <c r="D101" t="s">
        <v>912</v>
      </c>
      <c r="E101" t="s">
        <v>963</v>
      </c>
      <c r="F101" t="s">
        <v>964</v>
      </c>
      <c r="J101" t="s">
        <v>963</v>
      </c>
      <c r="K101" t="s">
        <v>915</v>
      </c>
      <c r="L101" t="s">
        <v>916</v>
      </c>
    </row>
    <row r="102" spans="1:12">
      <c r="A102" t="s">
        <v>909</v>
      </c>
      <c r="B102" t="s">
        <v>910</v>
      </c>
      <c r="C102" t="s">
        <v>965</v>
      </c>
      <c r="D102" t="s">
        <v>912</v>
      </c>
      <c r="E102" t="s">
        <v>966</v>
      </c>
      <c r="F102" t="s">
        <v>967</v>
      </c>
    </row>
    <row r="103" spans="1:12">
      <c r="A103" t="s">
        <v>909</v>
      </c>
      <c r="B103" t="s">
        <v>910</v>
      </c>
      <c r="C103" t="s">
        <v>968</v>
      </c>
      <c r="D103" t="s">
        <v>912</v>
      </c>
      <c r="E103" t="s">
        <v>969</v>
      </c>
      <c r="F103" t="s">
        <v>970</v>
      </c>
      <c r="J103" t="s">
        <v>969</v>
      </c>
      <c r="K103" t="s">
        <v>915</v>
      </c>
      <c r="L103" t="s">
        <v>916</v>
      </c>
    </row>
    <row r="104" spans="1:12">
      <c r="A104" t="s">
        <v>909</v>
      </c>
      <c r="B104" t="s">
        <v>910</v>
      </c>
      <c r="C104" t="s">
        <v>971</v>
      </c>
      <c r="D104" t="s">
        <v>912</v>
      </c>
      <c r="E104" t="s">
        <v>972</v>
      </c>
      <c r="F104" t="s">
        <v>973</v>
      </c>
    </row>
    <row r="105" spans="1:12">
      <c r="A105" t="s">
        <v>909</v>
      </c>
      <c r="B105" t="s">
        <v>910</v>
      </c>
      <c r="C105" t="s">
        <v>974</v>
      </c>
      <c r="D105" t="s">
        <v>912</v>
      </c>
      <c r="E105" t="s">
        <v>975</v>
      </c>
      <c r="F105" t="s">
        <v>976</v>
      </c>
    </row>
    <row r="106" spans="1:12">
      <c r="A106" t="s">
        <v>909</v>
      </c>
      <c r="B106" t="s">
        <v>910</v>
      </c>
      <c r="C106" t="s">
        <v>977</v>
      </c>
      <c r="D106" t="s">
        <v>912</v>
      </c>
      <c r="E106" t="s">
        <v>978</v>
      </c>
      <c r="F106" t="s">
        <v>979</v>
      </c>
    </row>
    <row r="107" spans="1:12">
      <c r="A107" t="s">
        <v>909</v>
      </c>
      <c r="B107" t="s">
        <v>910</v>
      </c>
      <c r="C107" t="s">
        <v>980</v>
      </c>
      <c r="D107" t="s">
        <v>912</v>
      </c>
      <c r="E107" t="s">
        <v>981</v>
      </c>
      <c r="F107" t="s">
        <v>982</v>
      </c>
      <c r="J107" t="s">
        <v>981</v>
      </c>
      <c r="K107" t="s">
        <v>915</v>
      </c>
      <c r="L107" t="s">
        <v>916</v>
      </c>
    </row>
    <row r="108" spans="1:12">
      <c r="A108" t="s">
        <v>909</v>
      </c>
      <c r="B108" t="s">
        <v>910</v>
      </c>
      <c r="C108" t="s">
        <v>983</v>
      </c>
      <c r="D108" t="s">
        <v>912</v>
      </c>
      <c r="E108" t="s">
        <v>984</v>
      </c>
      <c r="F108" t="s">
        <v>985</v>
      </c>
      <c r="J108" t="s">
        <v>984</v>
      </c>
      <c r="K108" t="s">
        <v>915</v>
      </c>
      <c r="L108" t="s">
        <v>916</v>
      </c>
    </row>
    <row r="109" spans="1:12">
      <c r="A109" t="s">
        <v>909</v>
      </c>
      <c r="B109" t="s">
        <v>910</v>
      </c>
      <c r="C109" t="s">
        <v>986</v>
      </c>
      <c r="D109" t="s">
        <v>912</v>
      </c>
      <c r="E109" t="s">
        <v>987</v>
      </c>
      <c r="F109" t="s">
        <v>988</v>
      </c>
      <c r="J109" t="s">
        <v>987</v>
      </c>
      <c r="K109" t="s">
        <v>915</v>
      </c>
      <c r="L109" t="s">
        <v>916</v>
      </c>
    </row>
    <row r="110" spans="1:12">
      <c r="A110" t="s">
        <v>909</v>
      </c>
      <c r="B110" t="s">
        <v>910</v>
      </c>
      <c r="C110" t="s">
        <v>989</v>
      </c>
      <c r="D110" t="s">
        <v>912</v>
      </c>
      <c r="E110" t="s">
        <v>990</v>
      </c>
      <c r="F110" t="s">
        <v>991</v>
      </c>
      <c r="J110" t="s">
        <v>990</v>
      </c>
      <c r="K110" t="s">
        <v>915</v>
      </c>
      <c r="L110" t="s">
        <v>916</v>
      </c>
    </row>
    <row r="111" spans="1:12">
      <c r="A111" t="s">
        <v>909</v>
      </c>
      <c r="B111" t="s">
        <v>910</v>
      </c>
      <c r="C111" t="s">
        <v>992</v>
      </c>
      <c r="D111" t="s">
        <v>912</v>
      </c>
      <c r="E111" t="s">
        <v>993</v>
      </c>
      <c r="F111" t="s">
        <v>994</v>
      </c>
    </row>
    <row r="112" spans="1:12">
      <c r="A112" t="s">
        <v>909</v>
      </c>
      <c r="B112" t="s">
        <v>910</v>
      </c>
      <c r="C112" t="s">
        <v>995</v>
      </c>
      <c r="D112" t="s">
        <v>912</v>
      </c>
      <c r="E112" t="s">
        <v>996</v>
      </c>
      <c r="F112" t="s">
        <v>997</v>
      </c>
      <c r="J112" t="s">
        <v>996</v>
      </c>
      <c r="K112" t="s">
        <v>915</v>
      </c>
      <c r="L112" t="s">
        <v>916</v>
      </c>
    </row>
    <row r="113" spans="1:12">
      <c r="A113" t="s">
        <v>909</v>
      </c>
      <c r="B113" t="s">
        <v>910</v>
      </c>
      <c r="C113" t="s">
        <v>998</v>
      </c>
      <c r="D113" t="s">
        <v>912</v>
      </c>
      <c r="E113" t="s">
        <v>999</v>
      </c>
      <c r="F113" t="s">
        <v>1000</v>
      </c>
      <c r="J113" t="s">
        <v>999</v>
      </c>
      <c r="K113" t="s">
        <v>915</v>
      </c>
      <c r="L113" t="s">
        <v>916</v>
      </c>
    </row>
    <row r="114" spans="1:12">
      <c r="A114" t="s">
        <v>909</v>
      </c>
      <c r="B114" t="s">
        <v>910</v>
      </c>
      <c r="C114" t="s">
        <v>1001</v>
      </c>
      <c r="D114" t="s">
        <v>912</v>
      </c>
      <c r="E114" t="s">
        <v>1002</v>
      </c>
      <c r="F114" t="s">
        <v>1003</v>
      </c>
      <c r="J114" t="s">
        <v>1002</v>
      </c>
      <c r="K114" t="s">
        <v>915</v>
      </c>
      <c r="L114" t="s">
        <v>916</v>
      </c>
    </row>
    <row r="115" spans="1:12">
      <c r="A115" t="s">
        <v>909</v>
      </c>
      <c r="B115" t="s">
        <v>910</v>
      </c>
      <c r="C115" t="s">
        <v>1004</v>
      </c>
      <c r="D115" t="s">
        <v>912</v>
      </c>
      <c r="E115" t="s">
        <v>1005</v>
      </c>
      <c r="F115" t="s">
        <v>1006</v>
      </c>
      <c r="J115" t="s">
        <v>1005</v>
      </c>
      <c r="K115" t="s">
        <v>915</v>
      </c>
      <c r="L115" t="s">
        <v>916</v>
      </c>
    </row>
    <row r="116" spans="1:12">
      <c r="A116" t="s">
        <v>909</v>
      </c>
      <c r="B116" t="s">
        <v>910</v>
      </c>
      <c r="C116" t="s">
        <v>1007</v>
      </c>
      <c r="D116" t="s">
        <v>912</v>
      </c>
      <c r="E116" t="s">
        <v>1008</v>
      </c>
      <c r="F116" t="s">
        <v>1009</v>
      </c>
    </row>
    <row r="117" spans="1:12">
      <c r="A117" t="s">
        <v>909</v>
      </c>
      <c r="B117" t="s">
        <v>910</v>
      </c>
      <c r="C117" t="s">
        <v>1010</v>
      </c>
      <c r="D117" t="s">
        <v>912</v>
      </c>
      <c r="E117" t="s">
        <v>1011</v>
      </c>
      <c r="F117" t="s">
        <v>1012</v>
      </c>
      <c r="J117" t="s">
        <v>1011</v>
      </c>
      <c r="K117" t="s">
        <v>915</v>
      </c>
      <c r="L117" t="s">
        <v>916</v>
      </c>
    </row>
    <row r="118" spans="1:12">
      <c r="A118" t="s">
        <v>909</v>
      </c>
      <c r="B118" t="s">
        <v>910</v>
      </c>
      <c r="C118" t="s">
        <v>1013</v>
      </c>
      <c r="D118" t="s">
        <v>912</v>
      </c>
      <c r="E118" t="s">
        <v>1014</v>
      </c>
      <c r="F118" t="s">
        <v>1015</v>
      </c>
      <c r="J118" t="s">
        <v>1014</v>
      </c>
      <c r="K118" t="s">
        <v>915</v>
      </c>
      <c r="L118" t="s">
        <v>916</v>
      </c>
    </row>
    <row r="119" spans="1:12">
      <c r="A119" t="s">
        <v>909</v>
      </c>
      <c r="B119" t="s">
        <v>910</v>
      </c>
      <c r="C119" t="s">
        <v>1016</v>
      </c>
      <c r="D119" t="s">
        <v>912</v>
      </c>
      <c r="E119" t="s">
        <v>1017</v>
      </c>
      <c r="F119" t="s">
        <v>1018</v>
      </c>
      <c r="J119" t="s">
        <v>1017</v>
      </c>
      <c r="K119" t="s">
        <v>915</v>
      </c>
      <c r="L119" t="s">
        <v>916</v>
      </c>
    </row>
    <row r="120" spans="1:12">
      <c r="A120" t="s">
        <v>909</v>
      </c>
      <c r="B120" t="s">
        <v>910</v>
      </c>
      <c r="C120" t="s">
        <v>1019</v>
      </c>
      <c r="D120" t="s">
        <v>912</v>
      </c>
      <c r="E120" t="s">
        <v>1020</v>
      </c>
      <c r="F120" t="s">
        <v>1021</v>
      </c>
      <c r="J120" t="s">
        <v>1020</v>
      </c>
      <c r="K120" t="s">
        <v>915</v>
      </c>
      <c r="L120" t="s">
        <v>916</v>
      </c>
    </row>
    <row r="121" spans="1:12">
      <c r="A121" t="s">
        <v>909</v>
      </c>
      <c r="B121" t="s">
        <v>910</v>
      </c>
      <c r="C121" t="s">
        <v>1022</v>
      </c>
      <c r="D121" t="s">
        <v>912</v>
      </c>
      <c r="E121" t="s">
        <v>1023</v>
      </c>
      <c r="F121" t="s">
        <v>1024</v>
      </c>
      <c r="J121" t="s">
        <v>1023</v>
      </c>
      <c r="K121" t="s">
        <v>915</v>
      </c>
      <c r="L121" t="s">
        <v>916</v>
      </c>
    </row>
    <row r="122" spans="1:12">
      <c r="A122" t="s">
        <v>909</v>
      </c>
      <c r="B122" t="s">
        <v>910</v>
      </c>
      <c r="C122" t="s">
        <v>1025</v>
      </c>
      <c r="D122" t="s">
        <v>912</v>
      </c>
      <c r="E122" t="s">
        <v>1026</v>
      </c>
      <c r="F122" t="s">
        <v>1027</v>
      </c>
      <c r="J122" t="s">
        <v>1026</v>
      </c>
      <c r="K122" t="s">
        <v>915</v>
      </c>
      <c r="L122" t="s">
        <v>916</v>
      </c>
    </row>
    <row r="123" spans="1:12">
      <c r="A123" t="s">
        <v>909</v>
      </c>
      <c r="B123" t="s">
        <v>910</v>
      </c>
      <c r="C123" t="s">
        <v>1028</v>
      </c>
      <c r="D123" t="s">
        <v>912</v>
      </c>
      <c r="E123" t="s">
        <v>1029</v>
      </c>
      <c r="F123" t="s">
        <v>1030</v>
      </c>
      <c r="J123" t="s">
        <v>1029</v>
      </c>
      <c r="K123" t="s">
        <v>915</v>
      </c>
      <c r="L123" t="s">
        <v>916</v>
      </c>
    </row>
    <row r="124" spans="1:12">
      <c r="A124" t="s">
        <v>909</v>
      </c>
      <c r="B124" t="s">
        <v>910</v>
      </c>
      <c r="C124" t="s">
        <v>1031</v>
      </c>
      <c r="D124" t="s">
        <v>912</v>
      </c>
      <c r="E124" t="s">
        <v>1032</v>
      </c>
      <c r="F124" t="s">
        <v>1033</v>
      </c>
      <c r="J124" t="s">
        <v>1032</v>
      </c>
      <c r="K124" t="s">
        <v>915</v>
      </c>
      <c r="L124" t="s">
        <v>916</v>
      </c>
    </row>
    <row r="125" spans="1:12">
      <c r="A125" t="s">
        <v>909</v>
      </c>
      <c r="B125" t="s">
        <v>910</v>
      </c>
      <c r="C125" t="s">
        <v>1034</v>
      </c>
      <c r="D125" t="s">
        <v>912</v>
      </c>
      <c r="E125" t="s">
        <v>655</v>
      </c>
      <c r="F125" t="s">
        <v>656</v>
      </c>
    </row>
    <row r="126" spans="1:12">
      <c r="A126" t="s">
        <v>1035</v>
      </c>
      <c r="B126" t="s">
        <v>1036</v>
      </c>
      <c r="C126" t="s">
        <v>1037</v>
      </c>
      <c r="D126" t="s">
        <v>1038</v>
      </c>
      <c r="E126" t="s">
        <v>1039</v>
      </c>
      <c r="F126" t="s">
        <v>1040</v>
      </c>
    </row>
    <row r="127" spans="1:12">
      <c r="A127" t="s">
        <v>1035</v>
      </c>
      <c r="B127" t="s">
        <v>1036</v>
      </c>
      <c r="C127" t="s">
        <v>1041</v>
      </c>
      <c r="D127" t="s">
        <v>1038</v>
      </c>
      <c r="E127" t="s">
        <v>1042</v>
      </c>
      <c r="F127" t="s">
        <v>1043</v>
      </c>
      <c r="J127" t="s">
        <v>1042</v>
      </c>
      <c r="K127" t="s">
        <v>1044</v>
      </c>
      <c r="L127" t="s">
        <v>851</v>
      </c>
    </row>
    <row r="128" spans="1:12">
      <c r="A128" t="s">
        <v>1035</v>
      </c>
      <c r="B128" t="s">
        <v>1036</v>
      </c>
      <c r="C128" t="s">
        <v>1045</v>
      </c>
      <c r="D128" t="s">
        <v>1038</v>
      </c>
      <c r="E128" t="s">
        <v>1046</v>
      </c>
      <c r="F128" t="s">
        <v>1047</v>
      </c>
      <c r="J128" t="s">
        <v>1046</v>
      </c>
      <c r="K128" t="s">
        <v>1044</v>
      </c>
      <c r="L128" t="s">
        <v>851</v>
      </c>
    </row>
    <row r="129" spans="1:12">
      <c r="A129" t="s">
        <v>1035</v>
      </c>
      <c r="B129" t="s">
        <v>1036</v>
      </c>
      <c r="C129" t="s">
        <v>1048</v>
      </c>
      <c r="D129" t="s">
        <v>1038</v>
      </c>
      <c r="E129" t="s">
        <v>1049</v>
      </c>
      <c r="F129" t="s">
        <v>1050</v>
      </c>
      <c r="J129" t="s">
        <v>1049</v>
      </c>
      <c r="K129" t="s">
        <v>1044</v>
      </c>
      <c r="L129" t="s">
        <v>851</v>
      </c>
    </row>
    <row r="130" spans="1:12">
      <c r="A130" t="s">
        <v>1035</v>
      </c>
      <c r="B130" t="s">
        <v>1036</v>
      </c>
      <c r="C130" t="s">
        <v>1051</v>
      </c>
      <c r="D130" t="s">
        <v>1038</v>
      </c>
      <c r="E130" t="s">
        <v>1052</v>
      </c>
      <c r="F130" t="s">
        <v>1053</v>
      </c>
    </row>
    <row r="131" spans="1:12">
      <c r="A131" t="s">
        <v>1035</v>
      </c>
      <c r="B131" t="s">
        <v>1036</v>
      </c>
      <c r="C131" t="s">
        <v>1054</v>
      </c>
      <c r="D131" t="s">
        <v>1038</v>
      </c>
      <c r="E131" t="s">
        <v>1055</v>
      </c>
      <c r="F131" t="s">
        <v>1056</v>
      </c>
    </row>
    <row r="132" spans="1:12">
      <c r="A132" t="s">
        <v>1035</v>
      </c>
      <c r="B132" t="s">
        <v>1036</v>
      </c>
      <c r="C132" t="s">
        <v>1057</v>
      </c>
      <c r="D132" t="s">
        <v>1038</v>
      </c>
      <c r="E132" t="s">
        <v>655</v>
      </c>
      <c r="F132" t="s">
        <v>656</v>
      </c>
    </row>
    <row r="133" spans="1:12">
      <c r="A133" t="s">
        <v>1058</v>
      </c>
      <c r="B133" t="s">
        <v>1059</v>
      </c>
      <c r="C133" t="s">
        <v>1060</v>
      </c>
      <c r="D133" t="s">
        <v>1061</v>
      </c>
      <c r="E133" t="s">
        <v>1062</v>
      </c>
      <c r="F133" t="s">
        <v>1063</v>
      </c>
      <c r="J133" t="s">
        <v>1062</v>
      </c>
      <c r="K133" t="s">
        <v>1064</v>
      </c>
      <c r="L133" t="s">
        <v>814</v>
      </c>
    </row>
    <row r="134" spans="1:12">
      <c r="A134" t="s">
        <v>1058</v>
      </c>
      <c r="B134" t="s">
        <v>1059</v>
      </c>
      <c r="C134" t="s">
        <v>1065</v>
      </c>
      <c r="D134" t="s">
        <v>1061</v>
      </c>
      <c r="E134" t="s">
        <v>1066</v>
      </c>
      <c r="F134" t="s">
        <v>1067</v>
      </c>
      <c r="J134" t="s">
        <v>1066</v>
      </c>
      <c r="K134" t="s">
        <v>1064</v>
      </c>
      <c r="L134" t="s">
        <v>814</v>
      </c>
    </row>
    <row r="135" spans="1:12">
      <c r="A135" t="s">
        <v>1058</v>
      </c>
      <c r="B135" t="s">
        <v>1059</v>
      </c>
      <c r="C135" t="s">
        <v>1068</v>
      </c>
      <c r="D135" t="s">
        <v>1061</v>
      </c>
      <c r="E135" t="s">
        <v>1069</v>
      </c>
      <c r="F135" t="s">
        <v>1070</v>
      </c>
      <c r="J135" t="s">
        <v>1069</v>
      </c>
      <c r="K135" t="s">
        <v>1064</v>
      </c>
      <c r="L135" t="s">
        <v>814</v>
      </c>
    </row>
    <row r="136" spans="1:12">
      <c r="A136" t="s">
        <v>1058</v>
      </c>
      <c r="B136" t="s">
        <v>1059</v>
      </c>
      <c r="C136" t="s">
        <v>1071</v>
      </c>
      <c r="D136" t="s">
        <v>1061</v>
      </c>
      <c r="E136" t="s">
        <v>1072</v>
      </c>
      <c r="F136" t="s">
        <v>1073</v>
      </c>
      <c r="J136" t="s">
        <v>1072</v>
      </c>
      <c r="K136" t="s">
        <v>1064</v>
      </c>
      <c r="L136" t="s">
        <v>814</v>
      </c>
    </row>
    <row r="137" spans="1:12">
      <c r="A137" t="s">
        <v>1058</v>
      </c>
      <c r="B137" t="s">
        <v>1059</v>
      </c>
      <c r="C137" t="s">
        <v>1074</v>
      </c>
      <c r="D137" t="s">
        <v>1061</v>
      </c>
      <c r="E137" t="s">
        <v>1075</v>
      </c>
      <c r="F137" t="s">
        <v>1076</v>
      </c>
      <c r="J137" t="s">
        <v>1075</v>
      </c>
      <c r="K137" t="s">
        <v>1064</v>
      </c>
      <c r="L137" t="s">
        <v>814</v>
      </c>
    </row>
    <row r="138" spans="1:12">
      <c r="A138" t="s">
        <v>1058</v>
      </c>
      <c r="B138" t="s">
        <v>1059</v>
      </c>
      <c r="C138" t="s">
        <v>1077</v>
      </c>
      <c r="D138" t="s">
        <v>1061</v>
      </c>
      <c r="E138" t="s">
        <v>1078</v>
      </c>
      <c r="F138" t="s">
        <v>1079</v>
      </c>
      <c r="J138" t="s">
        <v>1078</v>
      </c>
      <c r="K138" t="s">
        <v>1064</v>
      </c>
      <c r="L138" t="s">
        <v>814</v>
      </c>
    </row>
    <row r="139" spans="1:12">
      <c r="A139" t="s">
        <v>1058</v>
      </c>
      <c r="B139" t="s">
        <v>1059</v>
      </c>
      <c r="C139" t="s">
        <v>1080</v>
      </c>
      <c r="D139" t="s">
        <v>1061</v>
      </c>
      <c r="E139" t="s">
        <v>1081</v>
      </c>
      <c r="F139" t="s">
        <v>1082</v>
      </c>
    </row>
    <row r="140" spans="1:12">
      <c r="A140" t="s">
        <v>1058</v>
      </c>
      <c r="B140" t="s">
        <v>1059</v>
      </c>
      <c r="C140" t="s">
        <v>1083</v>
      </c>
      <c r="D140" t="s">
        <v>1061</v>
      </c>
      <c r="E140" t="s">
        <v>1084</v>
      </c>
      <c r="F140" t="s">
        <v>1085</v>
      </c>
      <c r="J140" t="s">
        <v>1084</v>
      </c>
      <c r="K140" t="s">
        <v>1064</v>
      </c>
      <c r="L140" t="s">
        <v>814</v>
      </c>
    </row>
    <row r="141" spans="1:12">
      <c r="A141" t="s">
        <v>1058</v>
      </c>
      <c r="B141" t="s">
        <v>1059</v>
      </c>
      <c r="C141" t="s">
        <v>1086</v>
      </c>
      <c r="D141" t="s">
        <v>1061</v>
      </c>
      <c r="E141" t="s">
        <v>1087</v>
      </c>
      <c r="F141" t="s">
        <v>1088</v>
      </c>
      <c r="J141" t="s">
        <v>1087</v>
      </c>
      <c r="K141" t="s">
        <v>1064</v>
      </c>
      <c r="L141" t="s">
        <v>814</v>
      </c>
    </row>
    <row r="142" spans="1:12">
      <c r="A142" t="s">
        <v>1058</v>
      </c>
      <c r="B142" t="s">
        <v>1059</v>
      </c>
      <c r="C142" t="s">
        <v>1089</v>
      </c>
      <c r="D142" t="s">
        <v>1061</v>
      </c>
      <c r="E142" t="s">
        <v>1090</v>
      </c>
      <c r="F142" t="s">
        <v>1091</v>
      </c>
    </row>
    <row r="143" spans="1:12">
      <c r="A143" t="s">
        <v>1058</v>
      </c>
      <c r="B143" t="s">
        <v>1059</v>
      </c>
      <c r="C143" t="s">
        <v>1092</v>
      </c>
      <c r="D143" t="s">
        <v>1061</v>
      </c>
      <c r="E143" t="s">
        <v>1093</v>
      </c>
      <c r="F143" t="s">
        <v>1094</v>
      </c>
      <c r="J143" t="s">
        <v>1093</v>
      </c>
      <c r="K143" t="s">
        <v>1064</v>
      </c>
      <c r="L143" t="s">
        <v>814</v>
      </c>
    </row>
    <row r="144" spans="1:12">
      <c r="A144" t="s">
        <v>1058</v>
      </c>
      <c r="B144" t="s">
        <v>1059</v>
      </c>
      <c r="C144" t="s">
        <v>1095</v>
      </c>
      <c r="D144" t="s">
        <v>1061</v>
      </c>
      <c r="E144" t="s">
        <v>1096</v>
      </c>
      <c r="F144" t="s">
        <v>1097</v>
      </c>
    </row>
    <row r="145" spans="1:12">
      <c r="A145" t="s">
        <v>1058</v>
      </c>
      <c r="B145" t="s">
        <v>1059</v>
      </c>
      <c r="C145" t="s">
        <v>1098</v>
      </c>
      <c r="D145" t="s">
        <v>1061</v>
      </c>
      <c r="E145" t="s">
        <v>1099</v>
      </c>
      <c r="F145" t="s">
        <v>1100</v>
      </c>
      <c r="J145" t="s">
        <v>1099</v>
      </c>
      <c r="K145" t="s">
        <v>1064</v>
      </c>
      <c r="L145" t="s">
        <v>814</v>
      </c>
    </row>
    <row r="146" spans="1:12">
      <c r="A146" t="s">
        <v>1058</v>
      </c>
      <c r="B146" t="s">
        <v>1059</v>
      </c>
      <c r="C146" t="s">
        <v>1101</v>
      </c>
      <c r="D146" t="s">
        <v>1061</v>
      </c>
      <c r="E146" t="s">
        <v>1102</v>
      </c>
      <c r="F146" t="s">
        <v>1103</v>
      </c>
      <c r="J146" t="s">
        <v>1102</v>
      </c>
      <c r="K146" t="s">
        <v>1064</v>
      </c>
      <c r="L146" t="s">
        <v>814</v>
      </c>
    </row>
    <row r="147" spans="1:12">
      <c r="A147" t="s">
        <v>1058</v>
      </c>
      <c r="B147" t="s">
        <v>1059</v>
      </c>
      <c r="C147" t="s">
        <v>1104</v>
      </c>
      <c r="D147" t="s">
        <v>1061</v>
      </c>
      <c r="E147" t="s">
        <v>1105</v>
      </c>
      <c r="F147" t="s">
        <v>1106</v>
      </c>
      <c r="J147" t="s">
        <v>1105</v>
      </c>
      <c r="K147" t="s">
        <v>1064</v>
      </c>
      <c r="L147" t="s">
        <v>814</v>
      </c>
    </row>
    <row r="148" spans="1:12">
      <c r="A148" t="s">
        <v>1058</v>
      </c>
      <c r="B148" t="s">
        <v>1059</v>
      </c>
      <c r="C148" t="s">
        <v>1107</v>
      </c>
      <c r="D148" t="s">
        <v>1061</v>
      </c>
      <c r="E148" t="s">
        <v>1108</v>
      </c>
      <c r="F148" t="s">
        <v>1109</v>
      </c>
    </row>
    <row r="149" spans="1:12">
      <c r="A149" t="s">
        <v>1058</v>
      </c>
      <c r="B149" t="s">
        <v>1059</v>
      </c>
      <c r="C149" t="s">
        <v>1110</v>
      </c>
      <c r="D149" t="s">
        <v>1061</v>
      </c>
      <c r="E149" t="s">
        <v>1111</v>
      </c>
      <c r="F149" t="s">
        <v>1112</v>
      </c>
      <c r="J149" t="s">
        <v>1111</v>
      </c>
      <c r="K149" t="s">
        <v>1064</v>
      </c>
      <c r="L149" t="s">
        <v>814</v>
      </c>
    </row>
    <row r="150" spans="1:12">
      <c r="A150" t="s">
        <v>1058</v>
      </c>
      <c r="B150" t="s">
        <v>1059</v>
      </c>
      <c r="C150" t="s">
        <v>1113</v>
      </c>
      <c r="D150" t="s">
        <v>1061</v>
      </c>
      <c r="E150" t="s">
        <v>1114</v>
      </c>
      <c r="F150" t="s">
        <v>1115</v>
      </c>
    </row>
    <row r="151" spans="1:12">
      <c r="A151" t="s">
        <v>1058</v>
      </c>
      <c r="B151" t="s">
        <v>1059</v>
      </c>
      <c r="C151" t="s">
        <v>1116</v>
      </c>
      <c r="D151" t="s">
        <v>1061</v>
      </c>
      <c r="E151" t="s">
        <v>1117</v>
      </c>
      <c r="F151" t="s">
        <v>1118</v>
      </c>
      <c r="J151" t="s">
        <v>1117</v>
      </c>
      <c r="K151" t="s">
        <v>1064</v>
      </c>
      <c r="L151" t="s">
        <v>814</v>
      </c>
    </row>
    <row r="152" spans="1:12">
      <c r="A152" t="s">
        <v>1058</v>
      </c>
      <c r="B152" t="s">
        <v>1059</v>
      </c>
      <c r="C152" t="s">
        <v>1119</v>
      </c>
      <c r="D152" t="s">
        <v>1061</v>
      </c>
      <c r="E152" t="s">
        <v>1120</v>
      </c>
      <c r="F152" t="s">
        <v>1121</v>
      </c>
      <c r="J152" t="s">
        <v>1120</v>
      </c>
      <c r="K152" t="s">
        <v>1064</v>
      </c>
      <c r="L152" t="s">
        <v>814</v>
      </c>
    </row>
    <row r="153" spans="1:12">
      <c r="A153" t="s">
        <v>1058</v>
      </c>
      <c r="B153" t="s">
        <v>1059</v>
      </c>
      <c r="C153" t="s">
        <v>1122</v>
      </c>
      <c r="D153" t="s">
        <v>1061</v>
      </c>
      <c r="E153" t="s">
        <v>1123</v>
      </c>
      <c r="F153" t="s">
        <v>1124</v>
      </c>
      <c r="J153" t="s">
        <v>1123</v>
      </c>
      <c r="K153" t="s">
        <v>1064</v>
      </c>
      <c r="L153" t="s">
        <v>814</v>
      </c>
    </row>
    <row r="154" spans="1:12">
      <c r="A154" t="s">
        <v>1058</v>
      </c>
      <c r="B154" t="s">
        <v>1059</v>
      </c>
      <c r="C154" t="s">
        <v>1125</v>
      </c>
      <c r="D154" t="s">
        <v>1061</v>
      </c>
      <c r="E154" t="s">
        <v>1126</v>
      </c>
      <c r="F154" t="s">
        <v>1127</v>
      </c>
      <c r="J154" t="s">
        <v>1126</v>
      </c>
      <c r="K154" t="s">
        <v>1064</v>
      </c>
      <c r="L154" t="s">
        <v>814</v>
      </c>
    </row>
    <row r="155" spans="1:12">
      <c r="A155" t="s">
        <v>1058</v>
      </c>
      <c r="B155" t="s">
        <v>1059</v>
      </c>
      <c r="C155" t="s">
        <v>1128</v>
      </c>
      <c r="D155" t="s">
        <v>1061</v>
      </c>
      <c r="E155" t="s">
        <v>1129</v>
      </c>
      <c r="F155" t="s">
        <v>1130</v>
      </c>
      <c r="J155" t="s">
        <v>1129</v>
      </c>
      <c r="K155" t="s">
        <v>1064</v>
      </c>
      <c r="L155" t="s">
        <v>814</v>
      </c>
    </row>
    <row r="156" spans="1:12">
      <c r="A156" t="s">
        <v>1058</v>
      </c>
      <c r="B156" t="s">
        <v>1059</v>
      </c>
      <c r="C156" t="s">
        <v>1131</v>
      </c>
      <c r="D156" t="s">
        <v>1061</v>
      </c>
      <c r="E156" t="s">
        <v>1132</v>
      </c>
      <c r="F156" t="s">
        <v>1133</v>
      </c>
      <c r="J156" t="s">
        <v>1132</v>
      </c>
      <c r="K156" t="s">
        <v>1064</v>
      </c>
      <c r="L156" t="s">
        <v>814</v>
      </c>
    </row>
    <row r="157" spans="1:12">
      <c r="A157" t="s">
        <v>1058</v>
      </c>
      <c r="B157" t="s">
        <v>1059</v>
      </c>
      <c r="C157" t="s">
        <v>1134</v>
      </c>
      <c r="D157" t="s">
        <v>1061</v>
      </c>
      <c r="E157" t="s">
        <v>1135</v>
      </c>
      <c r="F157" t="s">
        <v>1136</v>
      </c>
    </row>
    <row r="158" spans="1:12">
      <c r="A158" t="s">
        <v>1058</v>
      </c>
      <c r="B158" t="s">
        <v>1059</v>
      </c>
      <c r="C158" t="s">
        <v>1137</v>
      </c>
      <c r="D158" t="s">
        <v>1061</v>
      </c>
      <c r="E158" t="s">
        <v>1138</v>
      </c>
      <c r="F158" t="s">
        <v>1139</v>
      </c>
    </row>
    <row r="159" spans="1:12">
      <c r="A159" t="s">
        <v>1058</v>
      </c>
      <c r="B159" t="s">
        <v>1059</v>
      </c>
      <c r="C159" t="s">
        <v>1140</v>
      </c>
      <c r="D159" t="s">
        <v>1061</v>
      </c>
      <c r="E159" t="s">
        <v>1141</v>
      </c>
      <c r="F159" t="s">
        <v>1142</v>
      </c>
      <c r="J159" t="s">
        <v>1141</v>
      </c>
      <c r="K159" t="s">
        <v>1064</v>
      </c>
      <c r="L159" t="s">
        <v>814</v>
      </c>
    </row>
    <row r="160" spans="1:12">
      <c r="A160" t="s">
        <v>1058</v>
      </c>
      <c r="B160" t="s">
        <v>1059</v>
      </c>
      <c r="C160" t="s">
        <v>1143</v>
      </c>
      <c r="D160" t="s">
        <v>1061</v>
      </c>
      <c r="E160" t="s">
        <v>1144</v>
      </c>
      <c r="F160" t="s">
        <v>1145</v>
      </c>
      <c r="J160" t="s">
        <v>1144</v>
      </c>
      <c r="K160" t="s">
        <v>1064</v>
      </c>
      <c r="L160" t="s">
        <v>814</v>
      </c>
    </row>
    <row r="161" spans="1:12">
      <c r="A161" t="s">
        <v>1058</v>
      </c>
      <c r="B161" t="s">
        <v>1059</v>
      </c>
      <c r="C161" t="s">
        <v>1146</v>
      </c>
      <c r="D161" t="s">
        <v>1061</v>
      </c>
      <c r="E161" t="s">
        <v>1147</v>
      </c>
      <c r="F161" t="s">
        <v>1148</v>
      </c>
      <c r="J161" t="s">
        <v>1147</v>
      </c>
      <c r="K161" t="s">
        <v>1064</v>
      </c>
      <c r="L161" t="s">
        <v>814</v>
      </c>
    </row>
    <row r="162" spans="1:12">
      <c r="A162" t="s">
        <v>1058</v>
      </c>
      <c r="B162" t="s">
        <v>1059</v>
      </c>
      <c r="C162" t="s">
        <v>1149</v>
      </c>
      <c r="D162" t="s">
        <v>1061</v>
      </c>
      <c r="E162" t="s">
        <v>1150</v>
      </c>
      <c r="F162" t="s">
        <v>1151</v>
      </c>
      <c r="J162" t="s">
        <v>1150</v>
      </c>
      <c r="K162" t="s">
        <v>1064</v>
      </c>
      <c r="L162" t="s">
        <v>814</v>
      </c>
    </row>
    <row r="163" spans="1:12">
      <c r="A163" t="s">
        <v>1058</v>
      </c>
      <c r="B163" t="s">
        <v>1059</v>
      </c>
      <c r="C163" t="s">
        <v>1152</v>
      </c>
      <c r="D163" t="s">
        <v>1061</v>
      </c>
      <c r="E163" t="s">
        <v>1153</v>
      </c>
      <c r="F163" t="s">
        <v>1154</v>
      </c>
      <c r="J163" t="s">
        <v>1153</v>
      </c>
      <c r="K163" t="s">
        <v>1064</v>
      </c>
      <c r="L163" t="s">
        <v>814</v>
      </c>
    </row>
    <row r="164" spans="1:12">
      <c r="A164" t="s">
        <v>1058</v>
      </c>
      <c r="B164" t="s">
        <v>1059</v>
      </c>
      <c r="C164" t="s">
        <v>1155</v>
      </c>
      <c r="D164" t="s">
        <v>1061</v>
      </c>
      <c r="E164" t="s">
        <v>1156</v>
      </c>
      <c r="F164" t="s">
        <v>1157</v>
      </c>
      <c r="J164" t="s">
        <v>1156</v>
      </c>
      <c r="K164" t="s">
        <v>1064</v>
      </c>
      <c r="L164" t="s">
        <v>814</v>
      </c>
    </row>
    <row r="165" spans="1:12">
      <c r="A165" t="s">
        <v>1058</v>
      </c>
      <c r="B165" t="s">
        <v>1059</v>
      </c>
      <c r="C165" t="s">
        <v>1158</v>
      </c>
      <c r="D165" t="s">
        <v>1061</v>
      </c>
      <c r="E165" t="s">
        <v>1159</v>
      </c>
      <c r="F165" t="s">
        <v>1160</v>
      </c>
      <c r="J165" t="s">
        <v>1159</v>
      </c>
      <c r="K165" t="s">
        <v>1064</v>
      </c>
      <c r="L165" t="s">
        <v>814</v>
      </c>
    </row>
    <row r="166" spans="1:12">
      <c r="A166" t="s">
        <v>1058</v>
      </c>
      <c r="B166" t="s">
        <v>1059</v>
      </c>
      <c r="C166" t="s">
        <v>1161</v>
      </c>
      <c r="D166" t="s">
        <v>1061</v>
      </c>
      <c r="E166" t="s">
        <v>1162</v>
      </c>
      <c r="F166" t="s">
        <v>1163</v>
      </c>
      <c r="J166" t="s">
        <v>1162</v>
      </c>
      <c r="K166" t="s">
        <v>1064</v>
      </c>
      <c r="L166" t="s">
        <v>814</v>
      </c>
    </row>
    <row r="167" spans="1:12">
      <c r="A167" t="s">
        <v>1058</v>
      </c>
      <c r="B167" t="s">
        <v>1059</v>
      </c>
      <c r="C167" t="s">
        <v>1164</v>
      </c>
      <c r="D167" t="s">
        <v>1061</v>
      </c>
      <c r="E167" t="s">
        <v>1165</v>
      </c>
      <c r="F167" t="s">
        <v>1166</v>
      </c>
      <c r="J167" t="s">
        <v>1165</v>
      </c>
      <c r="K167" t="s">
        <v>1064</v>
      </c>
      <c r="L167" t="s">
        <v>814</v>
      </c>
    </row>
    <row r="168" spans="1:12">
      <c r="A168" t="s">
        <v>1058</v>
      </c>
      <c r="B168" t="s">
        <v>1059</v>
      </c>
      <c r="C168" t="s">
        <v>1167</v>
      </c>
      <c r="D168" t="s">
        <v>1061</v>
      </c>
      <c r="E168" t="s">
        <v>1168</v>
      </c>
      <c r="F168" t="s">
        <v>1169</v>
      </c>
      <c r="J168" t="s">
        <v>1168</v>
      </c>
      <c r="K168" t="s">
        <v>1064</v>
      </c>
      <c r="L168" t="s">
        <v>814</v>
      </c>
    </row>
    <row r="169" spans="1:12">
      <c r="A169" t="s">
        <v>1058</v>
      </c>
      <c r="B169" t="s">
        <v>1059</v>
      </c>
      <c r="C169" t="s">
        <v>1170</v>
      </c>
      <c r="D169" t="s">
        <v>1061</v>
      </c>
      <c r="E169" t="s">
        <v>1171</v>
      </c>
      <c r="F169" t="s">
        <v>1172</v>
      </c>
    </row>
    <row r="170" spans="1:12">
      <c r="A170" t="s">
        <v>1058</v>
      </c>
      <c r="B170" t="s">
        <v>1059</v>
      </c>
      <c r="C170" t="s">
        <v>1173</v>
      </c>
      <c r="D170" t="s">
        <v>1061</v>
      </c>
      <c r="E170" t="s">
        <v>1174</v>
      </c>
      <c r="F170" t="s">
        <v>1175</v>
      </c>
      <c r="J170" t="s">
        <v>1174</v>
      </c>
      <c r="K170" t="s">
        <v>1064</v>
      </c>
      <c r="L170" t="s">
        <v>814</v>
      </c>
    </row>
    <row r="171" spans="1:12">
      <c r="A171" t="s">
        <v>1058</v>
      </c>
      <c r="B171" t="s">
        <v>1059</v>
      </c>
      <c r="C171" t="s">
        <v>1176</v>
      </c>
      <c r="D171" t="s">
        <v>1061</v>
      </c>
      <c r="E171" t="s">
        <v>1177</v>
      </c>
      <c r="F171" t="s">
        <v>1178</v>
      </c>
      <c r="J171" t="s">
        <v>1177</v>
      </c>
      <c r="K171" t="s">
        <v>1064</v>
      </c>
      <c r="L171" t="s">
        <v>814</v>
      </c>
    </row>
    <row r="172" spans="1:12">
      <c r="A172" t="s">
        <v>1058</v>
      </c>
      <c r="B172" t="s">
        <v>1059</v>
      </c>
      <c r="C172" t="s">
        <v>1179</v>
      </c>
      <c r="D172" t="s">
        <v>1061</v>
      </c>
      <c r="E172" t="s">
        <v>1180</v>
      </c>
      <c r="F172" t="s">
        <v>1181</v>
      </c>
      <c r="J172" t="s">
        <v>1180</v>
      </c>
      <c r="K172" t="s">
        <v>1064</v>
      </c>
      <c r="L172" t="s">
        <v>814</v>
      </c>
    </row>
    <row r="173" spans="1:12">
      <c r="A173" t="s">
        <v>1058</v>
      </c>
      <c r="B173" t="s">
        <v>1059</v>
      </c>
      <c r="C173" t="s">
        <v>1182</v>
      </c>
      <c r="D173" t="s">
        <v>1061</v>
      </c>
      <c r="E173" t="s">
        <v>1183</v>
      </c>
      <c r="F173" t="s">
        <v>1184</v>
      </c>
      <c r="J173" t="s">
        <v>1183</v>
      </c>
      <c r="K173" t="s">
        <v>1064</v>
      </c>
      <c r="L173" t="s">
        <v>814</v>
      </c>
    </row>
    <row r="174" spans="1:12">
      <c r="A174" t="s">
        <v>1058</v>
      </c>
      <c r="B174" t="s">
        <v>1059</v>
      </c>
      <c r="C174" t="s">
        <v>1185</v>
      </c>
      <c r="D174" t="s">
        <v>1061</v>
      </c>
      <c r="E174" t="s">
        <v>1186</v>
      </c>
      <c r="F174" t="s">
        <v>1187</v>
      </c>
      <c r="J174" t="s">
        <v>1186</v>
      </c>
      <c r="K174" t="s">
        <v>1064</v>
      </c>
      <c r="L174" t="s">
        <v>814</v>
      </c>
    </row>
    <row r="175" spans="1:12">
      <c r="A175" t="s">
        <v>1058</v>
      </c>
      <c r="B175" t="s">
        <v>1059</v>
      </c>
      <c r="C175" t="s">
        <v>1188</v>
      </c>
      <c r="D175" t="s">
        <v>1061</v>
      </c>
      <c r="E175" t="s">
        <v>1189</v>
      </c>
      <c r="F175" t="s">
        <v>1190</v>
      </c>
      <c r="J175" t="s">
        <v>1189</v>
      </c>
      <c r="K175" t="s">
        <v>1064</v>
      </c>
      <c r="L175" t="s">
        <v>814</v>
      </c>
    </row>
    <row r="176" spans="1:12">
      <c r="A176" t="s">
        <v>1058</v>
      </c>
      <c r="B176" t="s">
        <v>1059</v>
      </c>
      <c r="C176" t="s">
        <v>1191</v>
      </c>
      <c r="D176" t="s">
        <v>1061</v>
      </c>
      <c r="E176" t="s">
        <v>1192</v>
      </c>
      <c r="F176" t="s">
        <v>1193</v>
      </c>
      <c r="J176" t="s">
        <v>1192</v>
      </c>
      <c r="K176" t="s">
        <v>1064</v>
      </c>
      <c r="L176" t="s">
        <v>814</v>
      </c>
    </row>
    <row r="177" spans="1:12">
      <c r="A177" t="s">
        <v>1058</v>
      </c>
      <c r="B177" t="s">
        <v>1059</v>
      </c>
      <c r="C177" t="s">
        <v>1194</v>
      </c>
      <c r="D177" t="s">
        <v>1061</v>
      </c>
      <c r="E177" t="s">
        <v>1195</v>
      </c>
      <c r="F177" t="s">
        <v>1196</v>
      </c>
      <c r="J177" t="s">
        <v>1195</v>
      </c>
      <c r="K177" t="s">
        <v>1064</v>
      </c>
      <c r="L177" t="s">
        <v>814</v>
      </c>
    </row>
    <row r="178" spans="1:12">
      <c r="A178" t="s">
        <v>1058</v>
      </c>
      <c r="B178" t="s">
        <v>1059</v>
      </c>
      <c r="C178" t="s">
        <v>1197</v>
      </c>
      <c r="D178" t="s">
        <v>1061</v>
      </c>
      <c r="E178" t="s">
        <v>1198</v>
      </c>
      <c r="F178" t="s">
        <v>1199</v>
      </c>
      <c r="J178" t="s">
        <v>1198</v>
      </c>
      <c r="K178" t="s">
        <v>1064</v>
      </c>
      <c r="L178" t="s">
        <v>814</v>
      </c>
    </row>
    <row r="179" spans="1:12">
      <c r="A179" t="s">
        <v>1058</v>
      </c>
      <c r="B179" t="s">
        <v>1059</v>
      </c>
      <c r="C179" t="s">
        <v>1200</v>
      </c>
      <c r="D179" t="s">
        <v>1061</v>
      </c>
      <c r="E179" t="s">
        <v>1201</v>
      </c>
      <c r="F179" t="s">
        <v>1202</v>
      </c>
      <c r="J179" t="s">
        <v>1201</v>
      </c>
      <c r="K179" t="s">
        <v>1064</v>
      </c>
      <c r="L179" t="s">
        <v>814</v>
      </c>
    </row>
    <row r="180" spans="1:12">
      <c r="A180" t="s">
        <v>1058</v>
      </c>
      <c r="B180" t="s">
        <v>1059</v>
      </c>
      <c r="C180" t="s">
        <v>1203</v>
      </c>
      <c r="D180" t="s">
        <v>1061</v>
      </c>
      <c r="E180" t="s">
        <v>1204</v>
      </c>
      <c r="F180" t="s">
        <v>1205</v>
      </c>
      <c r="J180" t="s">
        <v>1204</v>
      </c>
      <c r="K180" t="s">
        <v>1064</v>
      </c>
      <c r="L180" t="s">
        <v>814</v>
      </c>
    </row>
    <row r="181" spans="1:12">
      <c r="A181" t="s">
        <v>1058</v>
      </c>
      <c r="B181" t="s">
        <v>1059</v>
      </c>
      <c r="C181" t="s">
        <v>1206</v>
      </c>
      <c r="D181" t="s">
        <v>1061</v>
      </c>
      <c r="E181" t="s">
        <v>1207</v>
      </c>
      <c r="F181" t="s">
        <v>1208</v>
      </c>
      <c r="J181" t="s">
        <v>1207</v>
      </c>
      <c r="K181" t="s">
        <v>1064</v>
      </c>
      <c r="L181" t="s">
        <v>814</v>
      </c>
    </row>
    <row r="182" spans="1:12">
      <c r="A182" t="s">
        <v>1058</v>
      </c>
      <c r="B182" t="s">
        <v>1059</v>
      </c>
      <c r="C182" t="s">
        <v>1209</v>
      </c>
      <c r="D182" t="s">
        <v>1061</v>
      </c>
      <c r="E182" t="s">
        <v>1210</v>
      </c>
      <c r="F182" t="s">
        <v>1211</v>
      </c>
      <c r="J182" t="s">
        <v>1210</v>
      </c>
      <c r="K182" t="s">
        <v>1064</v>
      </c>
      <c r="L182" t="s">
        <v>814</v>
      </c>
    </row>
    <row r="183" spans="1:12">
      <c r="A183" t="s">
        <v>1058</v>
      </c>
      <c r="B183" t="s">
        <v>1059</v>
      </c>
      <c r="C183" t="s">
        <v>1212</v>
      </c>
      <c r="D183" t="s">
        <v>1061</v>
      </c>
      <c r="E183" t="s">
        <v>1213</v>
      </c>
      <c r="F183" t="s">
        <v>1214</v>
      </c>
      <c r="J183" t="s">
        <v>1213</v>
      </c>
      <c r="K183" t="s">
        <v>1064</v>
      </c>
      <c r="L183" t="s">
        <v>814</v>
      </c>
    </row>
    <row r="184" spans="1:12">
      <c r="A184" t="s">
        <v>1058</v>
      </c>
      <c r="B184" t="s">
        <v>1059</v>
      </c>
      <c r="C184" t="s">
        <v>1215</v>
      </c>
      <c r="D184" t="s">
        <v>1061</v>
      </c>
      <c r="E184" t="s">
        <v>1216</v>
      </c>
      <c r="F184" t="s">
        <v>1217</v>
      </c>
      <c r="J184" t="s">
        <v>1216</v>
      </c>
      <c r="K184" t="s">
        <v>1064</v>
      </c>
      <c r="L184" t="s">
        <v>814</v>
      </c>
    </row>
    <row r="185" spans="1:12">
      <c r="A185" t="s">
        <v>1058</v>
      </c>
      <c r="B185" t="s">
        <v>1059</v>
      </c>
      <c r="C185" t="s">
        <v>1218</v>
      </c>
      <c r="D185" t="s">
        <v>1061</v>
      </c>
      <c r="E185" t="s">
        <v>1219</v>
      </c>
      <c r="F185" t="s">
        <v>1220</v>
      </c>
      <c r="J185" t="s">
        <v>1219</v>
      </c>
      <c r="K185" t="s">
        <v>1064</v>
      </c>
      <c r="L185" t="s">
        <v>814</v>
      </c>
    </row>
    <row r="186" spans="1:12">
      <c r="A186" t="s">
        <v>1058</v>
      </c>
      <c r="B186" t="s">
        <v>1059</v>
      </c>
      <c r="C186" t="s">
        <v>1221</v>
      </c>
      <c r="D186" t="s">
        <v>1061</v>
      </c>
      <c r="E186" t="s">
        <v>1222</v>
      </c>
      <c r="F186" t="s">
        <v>1223</v>
      </c>
      <c r="J186" t="s">
        <v>1222</v>
      </c>
      <c r="K186" t="s">
        <v>1064</v>
      </c>
      <c r="L186" t="s">
        <v>814</v>
      </c>
    </row>
    <row r="187" spans="1:12">
      <c r="A187" t="s">
        <v>1058</v>
      </c>
      <c r="B187" t="s">
        <v>1059</v>
      </c>
      <c r="C187" t="s">
        <v>1224</v>
      </c>
      <c r="D187" t="s">
        <v>1061</v>
      </c>
      <c r="E187" t="s">
        <v>1225</v>
      </c>
      <c r="F187" t="s">
        <v>1226</v>
      </c>
      <c r="J187" t="s">
        <v>1225</v>
      </c>
      <c r="K187" t="s">
        <v>1064</v>
      </c>
      <c r="L187" t="s">
        <v>814</v>
      </c>
    </row>
    <row r="188" spans="1:12">
      <c r="A188" t="s">
        <v>1058</v>
      </c>
      <c r="B188" t="s">
        <v>1059</v>
      </c>
      <c r="C188" t="s">
        <v>1227</v>
      </c>
      <c r="D188" t="s">
        <v>1061</v>
      </c>
      <c r="E188" t="s">
        <v>1228</v>
      </c>
      <c r="F188" t="s">
        <v>1229</v>
      </c>
      <c r="J188" t="s">
        <v>1228</v>
      </c>
      <c r="K188" t="s">
        <v>1064</v>
      </c>
      <c r="L188" t="s">
        <v>814</v>
      </c>
    </row>
    <row r="189" spans="1:12">
      <c r="A189" t="s">
        <v>1058</v>
      </c>
      <c r="B189" t="s">
        <v>1059</v>
      </c>
      <c r="C189" t="s">
        <v>1230</v>
      </c>
      <c r="D189" t="s">
        <v>1061</v>
      </c>
      <c r="E189" t="s">
        <v>1231</v>
      </c>
      <c r="F189" t="s">
        <v>1232</v>
      </c>
      <c r="J189" t="s">
        <v>1231</v>
      </c>
      <c r="K189" t="s">
        <v>1064</v>
      </c>
      <c r="L189" t="s">
        <v>814</v>
      </c>
    </row>
    <row r="190" spans="1:12">
      <c r="A190" t="s">
        <v>1058</v>
      </c>
      <c r="B190" t="s">
        <v>1059</v>
      </c>
      <c r="C190" t="s">
        <v>1233</v>
      </c>
      <c r="D190" t="s">
        <v>1061</v>
      </c>
      <c r="E190" t="s">
        <v>1234</v>
      </c>
      <c r="F190" t="s">
        <v>1235</v>
      </c>
      <c r="J190" t="s">
        <v>1234</v>
      </c>
      <c r="K190" t="s">
        <v>1064</v>
      </c>
      <c r="L190" t="s">
        <v>814</v>
      </c>
    </row>
    <row r="191" spans="1:12">
      <c r="A191" t="s">
        <v>1058</v>
      </c>
      <c r="B191" t="s">
        <v>1059</v>
      </c>
      <c r="C191" t="s">
        <v>1236</v>
      </c>
      <c r="D191" t="s">
        <v>1061</v>
      </c>
      <c r="E191" t="s">
        <v>1237</v>
      </c>
      <c r="F191" t="s">
        <v>1238</v>
      </c>
      <c r="J191" t="s">
        <v>1237</v>
      </c>
      <c r="K191" t="s">
        <v>1064</v>
      </c>
      <c r="L191" t="s">
        <v>814</v>
      </c>
    </row>
    <row r="192" spans="1:12">
      <c r="A192" t="s">
        <v>1058</v>
      </c>
      <c r="B192" t="s">
        <v>1059</v>
      </c>
      <c r="C192" t="s">
        <v>1239</v>
      </c>
      <c r="D192" t="s">
        <v>1061</v>
      </c>
      <c r="E192" t="s">
        <v>1240</v>
      </c>
      <c r="F192" t="s">
        <v>1241</v>
      </c>
      <c r="J192" t="s">
        <v>1240</v>
      </c>
      <c r="K192" t="s">
        <v>1064</v>
      </c>
      <c r="L192" t="s">
        <v>814</v>
      </c>
    </row>
    <row r="193" spans="1:12">
      <c r="A193" t="s">
        <v>1058</v>
      </c>
      <c r="B193" t="s">
        <v>1059</v>
      </c>
      <c r="C193" t="s">
        <v>1242</v>
      </c>
      <c r="D193" t="s">
        <v>1061</v>
      </c>
      <c r="E193" t="s">
        <v>1243</v>
      </c>
      <c r="F193" t="s">
        <v>1244</v>
      </c>
      <c r="J193" t="s">
        <v>1243</v>
      </c>
      <c r="K193" t="s">
        <v>1064</v>
      </c>
      <c r="L193" t="s">
        <v>814</v>
      </c>
    </row>
    <row r="194" spans="1:12">
      <c r="A194" t="s">
        <v>1058</v>
      </c>
      <c r="B194" t="s">
        <v>1059</v>
      </c>
      <c r="C194" t="s">
        <v>1245</v>
      </c>
      <c r="D194" t="s">
        <v>1061</v>
      </c>
      <c r="E194" t="s">
        <v>1246</v>
      </c>
      <c r="F194" t="s">
        <v>1247</v>
      </c>
    </row>
    <row r="195" spans="1:12">
      <c r="A195" t="s">
        <v>1058</v>
      </c>
      <c r="B195" t="s">
        <v>1059</v>
      </c>
      <c r="C195" t="s">
        <v>1248</v>
      </c>
      <c r="D195" t="s">
        <v>1061</v>
      </c>
      <c r="E195" t="s">
        <v>1249</v>
      </c>
      <c r="F195" t="s">
        <v>1250</v>
      </c>
      <c r="J195" t="s">
        <v>1249</v>
      </c>
      <c r="K195" t="s">
        <v>1064</v>
      </c>
      <c r="L195" t="s">
        <v>814</v>
      </c>
    </row>
    <row r="196" spans="1:12">
      <c r="A196" t="s">
        <v>1058</v>
      </c>
      <c r="B196" t="s">
        <v>1059</v>
      </c>
      <c r="C196" t="s">
        <v>1251</v>
      </c>
      <c r="D196" t="s">
        <v>1061</v>
      </c>
      <c r="E196" t="s">
        <v>1252</v>
      </c>
      <c r="F196" t="s">
        <v>1253</v>
      </c>
    </row>
    <row r="197" spans="1:12">
      <c r="A197" t="s">
        <v>1058</v>
      </c>
      <c r="B197" t="s">
        <v>1059</v>
      </c>
      <c r="C197" t="s">
        <v>1254</v>
      </c>
      <c r="D197" t="s">
        <v>1061</v>
      </c>
      <c r="E197" t="s">
        <v>1255</v>
      </c>
      <c r="F197" t="s">
        <v>1256</v>
      </c>
      <c r="J197" t="s">
        <v>1255</v>
      </c>
      <c r="K197" t="s">
        <v>1064</v>
      </c>
      <c r="L197" t="s">
        <v>814</v>
      </c>
    </row>
    <row r="198" spans="1:12">
      <c r="A198" t="s">
        <v>1058</v>
      </c>
      <c r="B198" t="s">
        <v>1059</v>
      </c>
      <c r="C198" t="s">
        <v>1257</v>
      </c>
      <c r="D198" t="s">
        <v>1061</v>
      </c>
      <c r="E198" t="s">
        <v>1258</v>
      </c>
      <c r="F198" t="s">
        <v>1259</v>
      </c>
    </row>
    <row r="199" spans="1:12">
      <c r="A199" t="s">
        <v>1058</v>
      </c>
      <c r="B199" t="s">
        <v>1059</v>
      </c>
      <c r="C199" t="s">
        <v>1260</v>
      </c>
      <c r="D199" t="s">
        <v>1061</v>
      </c>
      <c r="E199" t="s">
        <v>1261</v>
      </c>
      <c r="F199" t="s">
        <v>1262</v>
      </c>
    </row>
    <row r="200" spans="1:12">
      <c r="A200" t="s">
        <v>1058</v>
      </c>
      <c r="B200" t="s">
        <v>1059</v>
      </c>
      <c r="C200" t="s">
        <v>1263</v>
      </c>
      <c r="D200" t="s">
        <v>1061</v>
      </c>
      <c r="E200" t="s">
        <v>706</v>
      </c>
      <c r="F200" t="s">
        <v>1264</v>
      </c>
      <c r="J200" t="s">
        <v>706</v>
      </c>
      <c r="K200" t="s">
        <v>1064</v>
      </c>
      <c r="L200" t="s">
        <v>814</v>
      </c>
    </row>
    <row r="201" spans="1:12">
      <c r="A201" t="s">
        <v>1058</v>
      </c>
      <c r="B201" t="s">
        <v>1059</v>
      </c>
      <c r="C201" t="s">
        <v>1265</v>
      </c>
      <c r="D201" t="s">
        <v>1061</v>
      </c>
      <c r="E201" t="s">
        <v>1266</v>
      </c>
      <c r="F201" t="s">
        <v>1267</v>
      </c>
      <c r="J201" t="s">
        <v>1266</v>
      </c>
      <c r="K201" t="s">
        <v>1064</v>
      </c>
      <c r="L201" t="s">
        <v>814</v>
      </c>
    </row>
    <row r="202" spans="1:12">
      <c r="A202" t="s">
        <v>1058</v>
      </c>
      <c r="B202" t="s">
        <v>1059</v>
      </c>
      <c r="C202" t="s">
        <v>1268</v>
      </c>
      <c r="D202" t="s">
        <v>1061</v>
      </c>
      <c r="E202" t="s">
        <v>1269</v>
      </c>
      <c r="F202" t="s">
        <v>1270</v>
      </c>
      <c r="J202" t="s">
        <v>1269</v>
      </c>
      <c r="K202" t="s">
        <v>1064</v>
      </c>
      <c r="L202" t="s">
        <v>814</v>
      </c>
    </row>
    <row r="203" spans="1:12">
      <c r="A203" t="s">
        <v>1058</v>
      </c>
      <c r="B203" t="s">
        <v>1059</v>
      </c>
      <c r="C203" t="s">
        <v>1271</v>
      </c>
      <c r="D203" t="s">
        <v>1061</v>
      </c>
      <c r="E203" t="s">
        <v>1272</v>
      </c>
      <c r="F203" t="s">
        <v>1273</v>
      </c>
      <c r="J203" t="s">
        <v>1272</v>
      </c>
      <c r="K203" t="s">
        <v>1064</v>
      </c>
      <c r="L203" t="s">
        <v>814</v>
      </c>
    </row>
    <row r="204" spans="1:12">
      <c r="A204" t="s">
        <v>1058</v>
      </c>
      <c r="B204" t="s">
        <v>1059</v>
      </c>
      <c r="C204" t="s">
        <v>1274</v>
      </c>
      <c r="D204" t="s">
        <v>1061</v>
      </c>
      <c r="E204" t="s">
        <v>1275</v>
      </c>
      <c r="F204" t="s">
        <v>1276</v>
      </c>
      <c r="J204" t="s">
        <v>1275</v>
      </c>
      <c r="K204" t="s">
        <v>1064</v>
      </c>
      <c r="L204" t="s">
        <v>814</v>
      </c>
    </row>
    <row r="205" spans="1:12">
      <c r="A205" t="s">
        <v>1058</v>
      </c>
      <c r="B205" t="s">
        <v>1059</v>
      </c>
      <c r="C205" t="s">
        <v>1277</v>
      </c>
      <c r="D205" t="s">
        <v>1061</v>
      </c>
      <c r="E205" t="s">
        <v>1278</v>
      </c>
      <c r="F205" t="s">
        <v>1279</v>
      </c>
      <c r="J205" t="s">
        <v>1278</v>
      </c>
      <c r="K205" t="s">
        <v>1064</v>
      </c>
      <c r="L205" t="s">
        <v>814</v>
      </c>
    </row>
    <row r="206" spans="1:12">
      <c r="A206" t="s">
        <v>1058</v>
      </c>
      <c r="B206" t="s">
        <v>1059</v>
      </c>
      <c r="C206" t="s">
        <v>1280</v>
      </c>
      <c r="D206" t="s">
        <v>1061</v>
      </c>
      <c r="E206" t="s">
        <v>1281</v>
      </c>
      <c r="F206" t="s">
        <v>1282</v>
      </c>
      <c r="J206" t="s">
        <v>1281</v>
      </c>
      <c r="K206" t="s">
        <v>1064</v>
      </c>
      <c r="L206" t="s">
        <v>814</v>
      </c>
    </row>
    <row r="207" spans="1:12">
      <c r="A207" t="s">
        <v>1058</v>
      </c>
      <c r="B207" t="s">
        <v>1059</v>
      </c>
      <c r="C207" t="s">
        <v>1283</v>
      </c>
      <c r="D207" t="s">
        <v>1061</v>
      </c>
      <c r="E207" t="s">
        <v>1284</v>
      </c>
      <c r="F207" t="s">
        <v>1285</v>
      </c>
      <c r="J207" t="s">
        <v>1284</v>
      </c>
      <c r="K207" t="s">
        <v>1064</v>
      </c>
      <c r="L207" t="s">
        <v>814</v>
      </c>
    </row>
    <row r="208" spans="1:12">
      <c r="A208" t="s">
        <v>1058</v>
      </c>
      <c r="B208" t="s">
        <v>1059</v>
      </c>
      <c r="C208" t="s">
        <v>1286</v>
      </c>
      <c r="D208" t="s">
        <v>1061</v>
      </c>
      <c r="E208" t="s">
        <v>1287</v>
      </c>
      <c r="F208" t="s">
        <v>1288</v>
      </c>
      <c r="J208" t="s">
        <v>1287</v>
      </c>
      <c r="K208" t="s">
        <v>1064</v>
      </c>
      <c r="L208" t="s">
        <v>814</v>
      </c>
    </row>
    <row r="209" spans="1:12">
      <c r="A209" t="s">
        <v>1058</v>
      </c>
      <c r="B209" t="s">
        <v>1059</v>
      </c>
      <c r="C209" t="s">
        <v>1289</v>
      </c>
      <c r="D209" t="s">
        <v>1061</v>
      </c>
      <c r="E209" t="s">
        <v>1290</v>
      </c>
      <c r="F209" t="s">
        <v>1291</v>
      </c>
      <c r="J209" t="s">
        <v>1290</v>
      </c>
      <c r="K209" t="s">
        <v>1064</v>
      </c>
      <c r="L209" t="s">
        <v>814</v>
      </c>
    </row>
    <row r="210" spans="1:12">
      <c r="A210" t="s">
        <v>1058</v>
      </c>
      <c r="B210" t="s">
        <v>1059</v>
      </c>
      <c r="C210" t="s">
        <v>1292</v>
      </c>
      <c r="D210" t="s">
        <v>1061</v>
      </c>
      <c r="E210" t="s">
        <v>1293</v>
      </c>
      <c r="F210" t="s">
        <v>1294</v>
      </c>
      <c r="J210" t="s">
        <v>1293</v>
      </c>
      <c r="K210" t="s">
        <v>1064</v>
      </c>
      <c r="L210" t="s">
        <v>814</v>
      </c>
    </row>
    <row r="211" spans="1:12">
      <c r="A211" t="s">
        <v>1058</v>
      </c>
      <c r="B211" t="s">
        <v>1059</v>
      </c>
      <c r="C211" t="s">
        <v>1295</v>
      </c>
      <c r="D211" t="s">
        <v>1061</v>
      </c>
      <c r="E211" t="s">
        <v>1296</v>
      </c>
      <c r="F211" t="s">
        <v>1297</v>
      </c>
      <c r="J211" t="s">
        <v>1296</v>
      </c>
      <c r="K211" t="s">
        <v>1064</v>
      </c>
      <c r="L211" t="s">
        <v>814</v>
      </c>
    </row>
    <row r="212" spans="1:12">
      <c r="A212" t="s">
        <v>1058</v>
      </c>
      <c r="B212" t="s">
        <v>1059</v>
      </c>
      <c r="C212" t="s">
        <v>1298</v>
      </c>
      <c r="D212" t="s">
        <v>1061</v>
      </c>
      <c r="E212" t="s">
        <v>1299</v>
      </c>
      <c r="F212" t="s">
        <v>1300</v>
      </c>
      <c r="J212" t="s">
        <v>1299</v>
      </c>
      <c r="K212" t="s">
        <v>1064</v>
      </c>
      <c r="L212" t="s">
        <v>814</v>
      </c>
    </row>
    <row r="213" spans="1:12">
      <c r="A213" t="s">
        <v>1058</v>
      </c>
      <c r="B213" t="s">
        <v>1059</v>
      </c>
      <c r="C213" t="s">
        <v>1301</v>
      </c>
      <c r="D213" t="s">
        <v>1061</v>
      </c>
      <c r="E213" t="s">
        <v>1302</v>
      </c>
      <c r="F213" t="s">
        <v>1303</v>
      </c>
      <c r="J213" t="s">
        <v>1302</v>
      </c>
      <c r="K213" t="s">
        <v>1064</v>
      </c>
      <c r="L213" t="s">
        <v>814</v>
      </c>
    </row>
    <row r="214" spans="1:12">
      <c r="A214" t="s">
        <v>1058</v>
      </c>
      <c r="B214" t="s">
        <v>1059</v>
      </c>
      <c r="C214" t="s">
        <v>1304</v>
      </c>
      <c r="D214" t="s">
        <v>1061</v>
      </c>
      <c r="E214" t="s">
        <v>1305</v>
      </c>
      <c r="F214" t="s">
        <v>1306</v>
      </c>
      <c r="J214" t="s">
        <v>1305</v>
      </c>
      <c r="K214" t="s">
        <v>1064</v>
      </c>
      <c r="L214" t="s">
        <v>814</v>
      </c>
    </row>
    <row r="215" spans="1:12">
      <c r="A215" t="s">
        <v>1058</v>
      </c>
      <c r="B215" t="s">
        <v>1059</v>
      </c>
      <c r="C215" t="s">
        <v>1307</v>
      </c>
      <c r="D215" t="s">
        <v>1061</v>
      </c>
      <c r="E215" t="s">
        <v>1308</v>
      </c>
      <c r="F215" t="s">
        <v>1309</v>
      </c>
      <c r="J215" t="s">
        <v>1308</v>
      </c>
      <c r="K215" t="s">
        <v>1064</v>
      </c>
      <c r="L215" t="s">
        <v>814</v>
      </c>
    </row>
    <row r="216" spans="1:12">
      <c r="A216" t="s">
        <v>1058</v>
      </c>
      <c r="B216" t="s">
        <v>1059</v>
      </c>
      <c r="C216" t="s">
        <v>1310</v>
      </c>
      <c r="D216" t="s">
        <v>1061</v>
      </c>
      <c r="E216" t="s">
        <v>1311</v>
      </c>
      <c r="F216" t="s">
        <v>1312</v>
      </c>
      <c r="J216" t="s">
        <v>1311</v>
      </c>
      <c r="K216" t="s">
        <v>1064</v>
      </c>
      <c r="L216" t="s">
        <v>814</v>
      </c>
    </row>
    <row r="217" spans="1:12">
      <c r="A217" t="s">
        <v>1058</v>
      </c>
      <c r="B217" t="s">
        <v>1059</v>
      </c>
      <c r="C217" t="s">
        <v>1313</v>
      </c>
      <c r="D217" t="s">
        <v>1061</v>
      </c>
      <c r="E217" t="s">
        <v>1314</v>
      </c>
      <c r="F217" t="s">
        <v>1315</v>
      </c>
      <c r="J217" t="s">
        <v>1314</v>
      </c>
      <c r="K217" t="s">
        <v>1064</v>
      </c>
      <c r="L217" t="s">
        <v>814</v>
      </c>
    </row>
    <row r="218" spans="1:12">
      <c r="A218" t="s">
        <v>1058</v>
      </c>
      <c r="B218" t="s">
        <v>1059</v>
      </c>
      <c r="C218" t="s">
        <v>1316</v>
      </c>
      <c r="D218" t="s">
        <v>1061</v>
      </c>
      <c r="E218" t="s">
        <v>1317</v>
      </c>
      <c r="F218" t="s">
        <v>1318</v>
      </c>
      <c r="J218" t="s">
        <v>1317</v>
      </c>
      <c r="K218" t="s">
        <v>1064</v>
      </c>
      <c r="L218" t="s">
        <v>814</v>
      </c>
    </row>
    <row r="219" spans="1:12">
      <c r="A219" t="s">
        <v>1058</v>
      </c>
      <c r="B219" t="s">
        <v>1059</v>
      </c>
      <c r="C219" t="s">
        <v>1319</v>
      </c>
      <c r="D219" t="s">
        <v>1061</v>
      </c>
      <c r="E219" t="s">
        <v>1320</v>
      </c>
      <c r="F219" t="s">
        <v>1321</v>
      </c>
      <c r="J219" t="s">
        <v>1320</v>
      </c>
      <c r="K219" t="s">
        <v>1064</v>
      </c>
      <c r="L219" t="s">
        <v>814</v>
      </c>
    </row>
    <row r="220" spans="1:12">
      <c r="A220" t="s">
        <v>1058</v>
      </c>
      <c r="B220" t="s">
        <v>1059</v>
      </c>
      <c r="C220" t="s">
        <v>1322</v>
      </c>
      <c r="D220" t="s">
        <v>1061</v>
      </c>
      <c r="E220" t="s">
        <v>1323</v>
      </c>
      <c r="F220" t="s">
        <v>1324</v>
      </c>
    </row>
    <row r="221" spans="1:12">
      <c r="A221" t="s">
        <v>1058</v>
      </c>
      <c r="B221" t="s">
        <v>1059</v>
      </c>
      <c r="C221" t="s">
        <v>1325</v>
      </c>
      <c r="D221" t="s">
        <v>1061</v>
      </c>
      <c r="E221" t="s">
        <v>1326</v>
      </c>
      <c r="F221" t="s">
        <v>1327</v>
      </c>
    </row>
    <row r="222" spans="1:12">
      <c r="A222" t="s">
        <v>1058</v>
      </c>
      <c r="B222" t="s">
        <v>1059</v>
      </c>
      <c r="C222" t="s">
        <v>1328</v>
      </c>
      <c r="D222" t="s">
        <v>1061</v>
      </c>
      <c r="E222" t="s">
        <v>1329</v>
      </c>
      <c r="F222" t="s">
        <v>1330</v>
      </c>
    </row>
    <row r="223" spans="1:12">
      <c r="A223" t="s">
        <v>1058</v>
      </c>
      <c r="B223" t="s">
        <v>1059</v>
      </c>
      <c r="C223" t="s">
        <v>1331</v>
      </c>
      <c r="D223" t="s">
        <v>1061</v>
      </c>
      <c r="E223" t="s">
        <v>1332</v>
      </c>
      <c r="F223" t="s">
        <v>1333</v>
      </c>
    </row>
    <row r="224" spans="1:12">
      <c r="A224" t="s">
        <v>1058</v>
      </c>
      <c r="B224" t="s">
        <v>1059</v>
      </c>
      <c r="C224" t="s">
        <v>1334</v>
      </c>
      <c r="D224" t="s">
        <v>1061</v>
      </c>
      <c r="E224" t="s">
        <v>1335</v>
      </c>
      <c r="F224" t="s">
        <v>1336</v>
      </c>
      <c r="J224" t="s">
        <v>1335</v>
      </c>
      <c r="K224" t="s">
        <v>1064</v>
      </c>
      <c r="L224" t="s">
        <v>814</v>
      </c>
    </row>
    <row r="225" spans="1:12">
      <c r="A225" t="s">
        <v>1058</v>
      </c>
      <c r="B225" t="s">
        <v>1059</v>
      </c>
      <c r="C225" t="s">
        <v>1337</v>
      </c>
      <c r="D225" t="s">
        <v>1061</v>
      </c>
      <c r="E225" t="s">
        <v>1338</v>
      </c>
      <c r="F225" t="s">
        <v>1339</v>
      </c>
      <c r="J225" t="s">
        <v>1338</v>
      </c>
      <c r="K225" t="s">
        <v>1064</v>
      </c>
      <c r="L225" t="s">
        <v>814</v>
      </c>
    </row>
    <row r="226" spans="1:12">
      <c r="A226" t="s">
        <v>1058</v>
      </c>
      <c r="B226" t="s">
        <v>1059</v>
      </c>
      <c r="C226" t="s">
        <v>1340</v>
      </c>
      <c r="D226" t="s">
        <v>1061</v>
      </c>
      <c r="E226" t="s">
        <v>1341</v>
      </c>
      <c r="F226" t="s">
        <v>1342</v>
      </c>
      <c r="J226" t="s">
        <v>1341</v>
      </c>
      <c r="K226" t="s">
        <v>1064</v>
      </c>
      <c r="L226" t="s">
        <v>814</v>
      </c>
    </row>
    <row r="227" spans="1:12">
      <c r="A227" t="s">
        <v>1058</v>
      </c>
      <c r="B227" t="s">
        <v>1059</v>
      </c>
      <c r="C227" t="s">
        <v>1343</v>
      </c>
      <c r="D227" t="s">
        <v>1061</v>
      </c>
      <c r="E227" t="s">
        <v>1344</v>
      </c>
      <c r="F227" t="s">
        <v>1345</v>
      </c>
      <c r="J227" t="s">
        <v>1344</v>
      </c>
      <c r="K227" t="s">
        <v>1064</v>
      </c>
      <c r="L227" t="s">
        <v>814</v>
      </c>
    </row>
    <row r="228" spans="1:12">
      <c r="A228" t="s">
        <v>1058</v>
      </c>
      <c r="B228" t="s">
        <v>1059</v>
      </c>
      <c r="C228" t="s">
        <v>1346</v>
      </c>
      <c r="D228" t="s">
        <v>1061</v>
      </c>
      <c r="E228" t="s">
        <v>1347</v>
      </c>
      <c r="F228" t="s">
        <v>1348</v>
      </c>
      <c r="J228" t="s">
        <v>1347</v>
      </c>
      <c r="K228" t="s">
        <v>1064</v>
      </c>
      <c r="L228" t="s">
        <v>814</v>
      </c>
    </row>
    <row r="229" spans="1:12">
      <c r="A229" t="s">
        <v>1058</v>
      </c>
      <c r="B229" t="s">
        <v>1059</v>
      </c>
      <c r="C229" t="s">
        <v>1349</v>
      </c>
      <c r="D229" t="s">
        <v>1061</v>
      </c>
      <c r="E229" t="s">
        <v>1350</v>
      </c>
      <c r="F229" t="s">
        <v>1351</v>
      </c>
      <c r="J229" t="s">
        <v>1350</v>
      </c>
      <c r="K229" t="s">
        <v>1064</v>
      </c>
      <c r="L229" t="s">
        <v>814</v>
      </c>
    </row>
    <row r="230" spans="1:12">
      <c r="A230" t="s">
        <v>1058</v>
      </c>
      <c r="B230" t="s">
        <v>1059</v>
      </c>
      <c r="C230" t="s">
        <v>1352</v>
      </c>
      <c r="D230" t="s">
        <v>1061</v>
      </c>
      <c r="E230" t="s">
        <v>1353</v>
      </c>
      <c r="F230" t="s">
        <v>1354</v>
      </c>
      <c r="J230" t="s">
        <v>1353</v>
      </c>
      <c r="K230" t="s">
        <v>1064</v>
      </c>
      <c r="L230" t="s">
        <v>814</v>
      </c>
    </row>
    <row r="231" spans="1:12">
      <c r="A231" t="s">
        <v>1058</v>
      </c>
      <c r="B231" t="s">
        <v>1059</v>
      </c>
      <c r="C231" t="s">
        <v>1355</v>
      </c>
      <c r="D231" t="s">
        <v>1061</v>
      </c>
      <c r="E231" t="s">
        <v>1356</v>
      </c>
      <c r="F231" t="s">
        <v>1357</v>
      </c>
      <c r="J231" t="s">
        <v>1356</v>
      </c>
      <c r="K231" t="s">
        <v>1064</v>
      </c>
      <c r="L231" t="s">
        <v>814</v>
      </c>
    </row>
    <row r="232" spans="1:12">
      <c r="A232" t="s">
        <v>1058</v>
      </c>
      <c r="B232" t="s">
        <v>1059</v>
      </c>
      <c r="C232" t="s">
        <v>1358</v>
      </c>
      <c r="D232" t="s">
        <v>1061</v>
      </c>
      <c r="E232" t="s">
        <v>1359</v>
      </c>
      <c r="F232" t="s">
        <v>1360</v>
      </c>
      <c r="J232" t="s">
        <v>1359</v>
      </c>
      <c r="K232" t="s">
        <v>1064</v>
      </c>
      <c r="L232" t="s">
        <v>814</v>
      </c>
    </row>
    <row r="233" spans="1:12">
      <c r="A233" t="s">
        <v>1058</v>
      </c>
      <c r="B233" t="s">
        <v>1059</v>
      </c>
      <c r="C233" t="s">
        <v>1361</v>
      </c>
      <c r="D233" t="s">
        <v>1061</v>
      </c>
      <c r="E233" t="s">
        <v>1362</v>
      </c>
      <c r="F233" t="s">
        <v>1363</v>
      </c>
    </row>
    <row r="234" spans="1:12">
      <c r="A234" t="s">
        <v>1058</v>
      </c>
      <c r="B234" t="s">
        <v>1059</v>
      </c>
      <c r="C234" t="s">
        <v>1364</v>
      </c>
      <c r="D234" t="s">
        <v>1061</v>
      </c>
      <c r="E234" t="s">
        <v>1365</v>
      </c>
      <c r="F234" t="s">
        <v>1366</v>
      </c>
      <c r="J234" t="s">
        <v>1365</v>
      </c>
      <c r="K234" t="s">
        <v>1064</v>
      </c>
      <c r="L234" t="s">
        <v>814</v>
      </c>
    </row>
    <row r="235" spans="1:12">
      <c r="A235" t="s">
        <v>1058</v>
      </c>
      <c r="B235" t="s">
        <v>1059</v>
      </c>
      <c r="C235" t="s">
        <v>1367</v>
      </c>
      <c r="D235" t="s">
        <v>1061</v>
      </c>
      <c r="E235" t="s">
        <v>1368</v>
      </c>
      <c r="F235" t="s">
        <v>1369</v>
      </c>
      <c r="J235" t="s">
        <v>1368</v>
      </c>
      <c r="K235" t="s">
        <v>1064</v>
      </c>
      <c r="L235" t="s">
        <v>814</v>
      </c>
    </row>
    <row r="236" spans="1:12">
      <c r="A236" t="s">
        <v>1058</v>
      </c>
      <c r="B236" t="s">
        <v>1059</v>
      </c>
      <c r="C236" t="s">
        <v>1370</v>
      </c>
      <c r="D236" t="s">
        <v>1061</v>
      </c>
      <c r="E236" t="s">
        <v>1371</v>
      </c>
      <c r="F236" t="s">
        <v>1372</v>
      </c>
      <c r="J236" t="s">
        <v>1371</v>
      </c>
      <c r="K236" t="s">
        <v>1064</v>
      </c>
      <c r="L236" t="s">
        <v>814</v>
      </c>
    </row>
    <row r="237" spans="1:12">
      <c r="A237" t="s">
        <v>1058</v>
      </c>
      <c r="B237" t="s">
        <v>1059</v>
      </c>
      <c r="C237" t="s">
        <v>1373</v>
      </c>
      <c r="D237" t="s">
        <v>1061</v>
      </c>
      <c r="E237" t="s">
        <v>1374</v>
      </c>
      <c r="F237" t="s">
        <v>1375</v>
      </c>
      <c r="J237" t="s">
        <v>1374</v>
      </c>
      <c r="K237" t="s">
        <v>1064</v>
      </c>
      <c r="L237" t="s">
        <v>814</v>
      </c>
    </row>
    <row r="238" spans="1:12">
      <c r="A238" t="s">
        <v>1058</v>
      </c>
      <c r="B238" t="s">
        <v>1059</v>
      </c>
      <c r="C238" t="s">
        <v>1376</v>
      </c>
      <c r="D238" t="s">
        <v>1061</v>
      </c>
      <c r="E238" t="s">
        <v>1377</v>
      </c>
      <c r="F238" t="s">
        <v>1378</v>
      </c>
    </row>
    <row r="239" spans="1:12">
      <c r="A239" t="s">
        <v>1058</v>
      </c>
      <c r="B239" t="s">
        <v>1059</v>
      </c>
      <c r="C239" t="s">
        <v>1379</v>
      </c>
      <c r="D239" t="s">
        <v>1061</v>
      </c>
      <c r="E239" t="s">
        <v>655</v>
      </c>
      <c r="F239" t="s">
        <v>656</v>
      </c>
    </row>
    <row r="240" spans="1:12">
      <c r="A240" t="s">
        <v>1058</v>
      </c>
      <c r="B240" t="s">
        <v>1059</v>
      </c>
      <c r="D240" t="s">
        <v>1061</v>
      </c>
      <c r="F240" t="s">
        <v>1380</v>
      </c>
      <c r="J240" t="s">
        <v>1381</v>
      </c>
      <c r="K240" t="s">
        <v>1064</v>
      </c>
      <c r="L240" t="s">
        <v>814</v>
      </c>
    </row>
    <row r="241" spans="1:12">
      <c r="A241" t="s">
        <v>1382</v>
      </c>
      <c r="B241" t="s">
        <v>1383</v>
      </c>
      <c r="C241" t="s">
        <v>1384</v>
      </c>
      <c r="D241" t="s">
        <v>1385</v>
      </c>
      <c r="E241" t="s">
        <v>1386</v>
      </c>
      <c r="F241" t="s">
        <v>1387</v>
      </c>
      <c r="J241" t="s">
        <v>1386</v>
      </c>
      <c r="K241" t="s">
        <v>1388</v>
      </c>
      <c r="L241" t="s">
        <v>1389</v>
      </c>
    </row>
    <row r="242" spans="1:12">
      <c r="A242" t="s">
        <v>1382</v>
      </c>
      <c r="B242" t="s">
        <v>1383</v>
      </c>
      <c r="C242" t="s">
        <v>1390</v>
      </c>
      <c r="D242" t="s">
        <v>1385</v>
      </c>
      <c r="E242" t="s">
        <v>1391</v>
      </c>
      <c r="F242" t="s">
        <v>1391</v>
      </c>
      <c r="J242" t="s">
        <v>1391</v>
      </c>
      <c r="K242" t="s">
        <v>1388</v>
      </c>
      <c r="L242" t="s">
        <v>1389</v>
      </c>
    </row>
    <row r="243" spans="1:12">
      <c r="A243" t="s">
        <v>1382</v>
      </c>
      <c r="B243" t="s">
        <v>1383</v>
      </c>
      <c r="C243" t="s">
        <v>1392</v>
      </c>
      <c r="D243" t="s">
        <v>1385</v>
      </c>
      <c r="E243" t="s">
        <v>1393</v>
      </c>
      <c r="F243" t="s">
        <v>1394</v>
      </c>
      <c r="J243" t="s">
        <v>1393</v>
      </c>
      <c r="K243" t="s">
        <v>1388</v>
      </c>
      <c r="L243" t="s">
        <v>1389</v>
      </c>
    </row>
    <row r="244" spans="1:12">
      <c r="A244" t="s">
        <v>1382</v>
      </c>
      <c r="B244" t="s">
        <v>1383</v>
      </c>
      <c r="C244" t="s">
        <v>1395</v>
      </c>
      <c r="D244" t="s">
        <v>1385</v>
      </c>
      <c r="E244" t="s">
        <v>1396</v>
      </c>
      <c r="F244" t="s">
        <v>1397</v>
      </c>
      <c r="J244" t="s">
        <v>1396</v>
      </c>
      <c r="K244" t="s">
        <v>1388</v>
      </c>
      <c r="L244" t="s">
        <v>1389</v>
      </c>
    </row>
    <row r="245" spans="1:12">
      <c r="A245" t="s">
        <v>1382</v>
      </c>
      <c r="B245" t="s">
        <v>1383</v>
      </c>
      <c r="C245" t="s">
        <v>1398</v>
      </c>
      <c r="D245" t="s">
        <v>1385</v>
      </c>
      <c r="E245" t="s">
        <v>655</v>
      </c>
      <c r="F245" t="s">
        <v>656</v>
      </c>
    </row>
    <row r="246" spans="1:12">
      <c r="A246" t="s">
        <v>1399</v>
      </c>
      <c r="B246" t="s">
        <v>1400</v>
      </c>
      <c r="C246" t="s">
        <v>1401</v>
      </c>
      <c r="D246" t="s">
        <v>1402</v>
      </c>
      <c r="E246" t="s">
        <v>1403</v>
      </c>
      <c r="F246" t="s">
        <v>1404</v>
      </c>
      <c r="J246" t="s">
        <v>1403</v>
      </c>
      <c r="K246" t="s">
        <v>1405</v>
      </c>
      <c r="L246" t="s">
        <v>851</v>
      </c>
    </row>
    <row r="247" spans="1:12">
      <c r="A247" t="s">
        <v>1399</v>
      </c>
      <c r="B247" t="s">
        <v>1400</v>
      </c>
      <c r="C247" t="s">
        <v>1406</v>
      </c>
      <c r="D247" t="s">
        <v>1402</v>
      </c>
      <c r="E247" t="s">
        <v>1407</v>
      </c>
      <c r="F247" t="s">
        <v>1408</v>
      </c>
    </row>
    <row r="248" spans="1:12">
      <c r="A248" t="s">
        <v>1399</v>
      </c>
      <c r="B248" t="s">
        <v>1400</v>
      </c>
      <c r="C248" t="s">
        <v>1409</v>
      </c>
      <c r="D248" t="s">
        <v>1402</v>
      </c>
      <c r="E248" t="s">
        <v>1410</v>
      </c>
      <c r="F248" t="s">
        <v>1411</v>
      </c>
      <c r="J248" t="s">
        <v>1410</v>
      </c>
      <c r="K248" t="s">
        <v>1405</v>
      </c>
      <c r="L248" t="s">
        <v>851</v>
      </c>
    </row>
    <row r="249" spans="1:12">
      <c r="A249" t="s">
        <v>1399</v>
      </c>
      <c r="B249" t="s">
        <v>1400</v>
      </c>
      <c r="C249" t="s">
        <v>1412</v>
      </c>
      <c r="D249" t="s">
        <v>1402</v>
      </c>
      <c r="E249" t="s">
        <v>1413</v>
      </c>
      <c r="F249" t="s">
        <v>1414</v>
      </c>
    </row>
    <row r="250" spans="1:12">
      <c r="A250" t="s">
        <v>1399</v>
      </c>
      <c r="B250" t="s">
        <v>1400</v>
      </c>
      <c r="C250" t="s">
        <v>1415</v>
      </c>
      <c r="D250" t="s">
        <v>1402</v>
      </c>
      <c r="E250" t="s">
        <v>1416</v>
      </c>
      <c r="F250" t="s">
        <v>1417</v>
      </c>
      <c r="J250" t="s">
        <v>1416</v>
      </c>
      <c r="K250" t="s">
        <v>1405</v>
      </c>
      <c r="L250" t="s">
        <v>851</v>
      </c>
    </row>
    <row r="251" spans="1:12">
      <c r="A251" t="s">
        <v>1399</v>
      </c>
      <c r="B251" t="s">
        <v>1400</v>
      </c>
      <c r="C251" t="s">
        <v>1418</v>
      </c>
      <c r="D251" t="s">
        <v>1402</v>
      </c>
      <c r="E251" t="s">
        <v>1419</v>
      </c>
      <c r="F251" t="s">
        <v>1420</v>
      </c>
      <c r="J251" t="s">
        <v>1419</v>
      </c>
      <c r="K251" t="s">
        <v>1405</v>
      </c>
      <c r="L251" t="s">
        <v>851</v>
      </c>
    </row>
    <row r="252" spans="1:12">
      <c r="A252" t="s">
        <v>1399</v>
      </c>
      <c r="B252" t="s">
        <v>1400</v>
      </c>
      <c r="C252" t="s">
        <v>1421</v>
      </c>
      <c r="D252" t="s">
        <v>1402</v>
      </c>
      <c r="E252" t="s">
        <v>1422</v>
      </c>
      <c r="F252" t="s">
        <v>1423</v>
      </c>
      <c r="J252" t="s">
        <v>1422</v>
      </c>
      <c r="K252" t="s">
        <v>1405</v>
      </c>
      <c r="L252" t="s">
        <v>851</v>
      </c>
    </row>
    <row r="253" spans="1:12">
      <c r="A253" t="s">
        <v>1399</v>
      </c>
      <c r="B253" t="s">
        <v>1400</v>
      </c>
      <c r="C253" t="s">
        <v>1424</v>
      </c>
      <c r="D253" t="s">
        <v>1402</v>
      </c>
      <c r="E253" t="s">
        <v>1425</v>
      </c>
      <c r="F253" t="s">
        <v>1426</v>
      </c>
      <c r="J253" t="s">
        <v>1425</v>
      </c>
      <c r="K253" t="s">
        <v>1405</v>
      </c>
      <c r="L253" t="s">
        <v>851</v>
      </c>
    </row>
    <row r="254" spans="1:12">
      <c r="A254" t="s">
        <v>1399</v>
      </c>
      <c r="B254" t="s">
        <v>1400</v>
      </c>
      <c r="C254" t="s">
        <v>1427</v>
      </c>
      <c r="D254" t="s">
        <v>1402</v>
      </c>
      <c r="E254" t="s">
        <v>1428</v>
      </c>
      <c r="F254" t="s">
        <v>1429</v>
      </c>
    </row>
    <row r="255" spans="1:12">
      <c r="A255" t="s">
        <v>1399</v>
      </c>
      <c r="B255" t="s">
        <v>1400</v>
      </c>
      <c r="C255" t="s">
        <v>1430</v>
      </c>
      <c r="D255" t="s">
        <v>1402</v>
      </c>
      <c r="E255" t="s">
        <v>1431</v>
      </c>
      <c r="F255" t="s">
        <v>1432</v>
      </c>
      <c r="J255" t="s">
        <v>1431</v>
      </c>
      <c r="K255" t="s">
        <v>1405</v>
      </c>
      <c r="L255" t="s">
        <v>851</v>
      </c>
    </row>
    <row r="256" spans="1:12">
      <c r="A256" t="s">
        <v>1399</v>
      </c>
      <c r="B256" t="s">
        <v>1400</v>
      </c>
      <c r="C256" t="s">
        <v>1433</v>
      </c>
      <c r="D256" t="s">
        <v>1402</v>
      </c>
      <c r="E256" t="s">
        <v>1434</v>
      </c>
      <c r="F256" t="s">
        <v>1435</v>
      </c>
      <c r="J256" t="s">
        <v>1434</v>
      </c>
      <c r="K256" t="s">
        <v>1405</v>
      </c>
      <c r="L256" t="s">
        <v>851</v>
      </c>
    </row>
    <row r="257" spans="1:12">
      <c r="A257" t="s">
        <v>1399</v>
      </c>
      <c r="B257" t="s">
        <v>1400</v>
      </c>
      <c r="C257" t="s">
        <v>1436</v>
      </c>
      <c r="D257" t="s">
        <v>1402</v>
      </c>
      <c r="E257" t="s">
        <v>1437</v>
      </c>
      <c r="F257" t="s">
        <v>1438</v>
      </c>
      <c r="J257" t="s">
        <v>1437</v>
      </c>
      <c r="K257" t="s">
        <v>1405</v>
      </c>
      <c r="L257" t="s">
        <v>851</v>
      </c>
    </row>
    <row r="258" spans="1:12">
      <c r="A258" t="s">
        <v>1399</v>
      </c>
      <c r="B258" t="s">
        <v>1400</v>
      </c>
      <c r="C258" t="s">
        <v>1439</v>
      </c>
      <c r="D258" t="s">
        <v>1402</v>
      </c>
      <c r="E258" t="s">
        <v>655</v>
      </c>
      <c r="F258" t="s">
        <v>656</v>
      </c>
    </row>
    <row r="259" spans="1:12">
      <c r="A259" t="s">
        <v>1440</v>
      </c>
      <c r="B259" t="s">
        <v>1441</v>
      </c>
      <c r="C259" t="s">
        <v>1442</v>
      </c>
      <c r="D259" t="s">
        <v>1443</v>
      </c>
      <c r="E259" t="s">
        <v>1444</v>
      </c>
      <c r="F259" t="s">
        <v>1445</v>
      </c>
      <c r="J259" t="s">
        <v>1444</v>
      </c>
      <c r="K259" t="s">
        <v>1446</v>
      </c>
      <c r="L259" t="s">
        <v>1389</v>
      </c>
    </row>
    <row r="260" spans="1:12">
      <c r="A260" t="s">
        <v>1440</v>
      </c>
      <c r="B260" t="s">
        <v>1441</v>
      </c>
      <c r="C260" t="s">
        <v>1447</v>
      </c>
      <c r="D260" t="s">
        <v>1443</v>
      </c>
      <c r="E260" t="s">
        <v>1448</v>
      </c>
      <c r="F260" t="s">
        <v>1449</v>
      </c>
      <c r="J260" t="s">
        <v>1448</v>
      </c>
      <c r="K260" t="s">
        <v>1446</v>
      </c>
      <c r="L260" t="s">
        <v>1389</v>
      </c>
    </row>
    <row r="261" spans="1:12">
      <c r="A261" t="s">
        <v>1440</v>
      </c>
      <c r="B261" t="s">
        <v>1441</v>
      </c>
      <c r="C261" t="s">
        <v>1450</v>
      </c>
      <c r="D261" t="s">
        <v>1443</v>
      </c>
      <c r="E261" t="s">
        <v>1451</v>
      </c>
      <c r="F261" t="s">
        <v>1452</v>
      </c>
      <c r="J261" t="s">
        <v>1451</v>
      </c>
      <c r="K261" t="s">
        <v>1446</v>
      </c>
      <c r="L261" t="s">
        <v>1389</v>
      </c>
    </row>
    <row r="262" spans="1:12">
      <c r="A262" t="s">
        <v>1440</v>
      </c>
      <c r="B262" t="s">
        <v>1441</v>
      </c>
      <c r="C262" t="s">
        <v>1453</v>
      </c>
      <c r="D262" t="s">
        <v>1443</v>
      </c>
      <c r="E262" t="s">
        <v>1454</v>
      </c>
      <c r="F262" t="s">
        <v>1455</v>
      </c>
      <c r="J262" t="s">
        <v>1454</v>
      </c>
      <c r="K262" t="s">
        <v>1446</v>
      </c>
      <c r="L262" t="s">
        <v>1389</v>
      </c>
    </row>
    <row r="263" spans="1:12">
      <c r="A263" t="s">
        <v>1440</v>
      </c>
      <c r="B263" t="s">
        <v>1441</v>
      </c>
      <c r="C263" t="s">
        <v>1456</v>
      </c>
      <c r="D263" t="s">
        <v>1443</v>
      </c>
      <c r="E263" t="s">
        <v>1457</v>
      </c>
      <c r="F263" t="s">
        <v>1458</v>
      </c>
    </row>
    <row r="264" spans="1:12">
      <c r="A264" t="s">
        <v>1440</v>
      </c>
      <c r="B264" t="s">
        <v>1441</v>
      </c>
      <c r="C264" t="s">
        <v>1459</v>
      </c>
      <c r="D264" t="s">
        <v>1443</v>
      </c>
      <c r="E264" t="s">
        <v>1460</v>
      </c>
      <c r="F264" t="s">
        <v>1461</v>
      </c>
      <c r="J264" t="s">
        <v>1460</v>
      </c>
      <c r="K264" t="s">
        <v>1446</v>
      </c>
      <c r="L264" t="s">
        <v>1389</v>
      </c>
    </row>
    <row r="265" spans="1:12">
      <c r="A265" t="s">
        <v>1440</v>
      </c>
      <c r="B265" t="s">
        <v>1441</v>
      </c>
      <c r="C265" t="s">
        <v>1462</v>
      </c>
      <c r="D265" t="s">
        <v>1443</v>
      </c>
      <c r="E265" t="s">
        <v>1463</v>
      </c>
      <c r="F265" t="s">
        <v>1464</v>
      </c>
      <c r="J265" t="s">
        <v>1463</v>
      </c>
      <c r="K265" t="s">
        <v>1446</v>
      </c>
      <c r="L265" t="s">
        <v>1389</v>
      </c>
    </row>
    <row r="266" spans="1:12">
      <c r="A266" t="s">
        <v>1440</v>
      </c>
      <c r="B266" t="s">
        <v>1441</v>
      </c>
      <c r="C266" t="s">
        <v>1465</v>
      </c>
      <c r="D266" t="s">
        <v>1443</v>
      </c>
      <c r="E266" t="s">
        <v>1466</v>
      </c>
      <c r="F266" t="s">
        <v>1467</v>
      </c>
      <c r="J266" t="s">
        <v>1466</v>
      </c>
      <c r="K266" t="s">
        <v>1446</v>
      </c>
      <c r="L266" t="s">
        <v>1389</v>
      </c>
    </row>
    <row r="267" spans="1:12">
      <c r="A267" t="s">
        <v>1440</v>
      </c>
      <c r="B267" t="s">
        <v>1441</v>
      </c>
      <c r="C267" t="s">
        <v>1468</v>
      </c>
      <c r="D267" t="s">
        <v>1443</v>
      </c>
      <c r="E267" t="s">
        <v>1469</v>
      </c>
      <c r="F267" t="s">
        <v>1470</v>
      </c>
      <c r="J267" t="s">
        <v>1469</v>
      </c>
      <c r="K267" t="s">
        <v>1446</v>
      </c>
      <c r="L267" t="s">
        <v>1389</v>
      </c>
    </row>
    <row r="268" spans="1:12">
      <c r="A268" t="s">
        <v>1440</v>
      </c>
      <c r="B268" t="s">
        <v>1441</v>
      </c>
      <c r="C268" t="s">
        <v>1471</v>
      </c>
      <c r="D268" t="s">
        <v>1443</v>
      </c>
      <c r="E268" t="s">
        <v>1472</v>
      </c>
      <c r="F268" t="s">
        <v>1473</v>
      </c>
      <c r="J268" t="s">
        <v>1472</v>
      </c>
      <c r="K268" t="s">
        <v>1446</v>
      </c>
      <c r="L268" t="s">
        <v>1389</v>
      </c>
    </row>
    <row r="269" spans="1:12">
      <c r="A269" t="s">
        <v>1440</v>
      </c>
      <c r="B269" t="s">
        <v>1441</v>
      </c>
      <c r="C269" t="s">
        <v>1474</v>
      </c>
      <c r="D269" t="s">
        <v>1443</v>
      </c>
      <c r="E269" t="s">
        <v>1475</v>
      </c>
      <c r="F269" t="s">
        <v>1476</v>
      </c>
      <c r="J269" t="s">
        <v>1475</v>
      </c>
      <c r="K269" t="s">
        <v>1446</v>
      </c>
      <c r="L269" t="s">
        <v>1389</v>
      </c>
    </row>
    <row r="270" spans="1:12">
      <c r="A270" t="s">
        <v>1440</v>
      </c>
      <c r="B270" t="s">
        <v>1441</v>
      </c>
      <c r="C270" t="s">
        <v>1477</v>
      </c>
      <c r="D270" t="s">
        <v>1443</v>
      </c>
      <c r="E270" t="s">
        <v>1478</v>
      </c>
      <c r="F270" t="s">
        <v>1479</v>
      </c>
      <c r="J270" t="s">
        <v>1478</v>
      </c>
      <c r="K270" t="s">
        <v>1446</v>
      </c>
      <c r="L270" t="s">
        <v>1389</v>
      </c>
    </row>
    <row r="271" spans="1:12">
      <c r="A271" t="s">
        <v>1440</v>
      </c>
      <c r="B271" t="s">
        <v>1441</v>
      </c>
      <c r="C271" t="s">
        <v>1480</v>
      </c>
      <c r="D271" t="s">
        <v>1443</v>
      </c>
      <c r="E271" t="s">
        <v>1481</v>
      </c>
      <c r="F271" t="s">
        <v>1482</v>
      </c>
      <c r="J271" t="s">
        <v>1481</v>
      </c>
      <c r="K271" t="s">
        <v>1446</v>
      </c>
      <c r="L271" t="s">
        <v>1389</v>
      </c>
    </row>
    <row r="272" spans="1:12">
      <c r="A272" t="s">
        <v>1440</v>
      </c>
      <c r="B272" t="s">
        <v>1441</v>
      </c>
      <c r="C272" t="s">
        <v>1483</v>
      </c>
      <c r="D272" t="s">
        <v>1443</v>
      </c>
      <c r="E272" t="s">
        <v>1484</v>
      </c>
      <c r="F272" t="s">
        <v>1485</v>
      </c>
      <c r="J272" t="s">
        <v>1484</v>
      </c>
      <c r="K272" t="s">
        <v>1446</v>
      </c>
      <c r="L272" t="s">
        <v>1389</v>
      </c>
    </row>
    <row r="273" spans="1:12">
      <c r="A273" t="s">
        <v>1440</v>
      </c>
      <c r="B273" t="s">
        <v>1441</v>
      </c>
      <c r="C273" t="s">
        <v>1486</v>
      </c>
      <c r="D273" t="s">
        <v>1443</v>
      </c>
      <c r="E273" t="s">
        <v>1487</v>
      </c>
      <c r="F273" t="s">
        <v>1488</v>
      </c>
    </row>
    <row r="274" spans="1:12">
      <c r="A274" t="s">
        <v>1440</v>
      </c>
      <c r="B274" t="s">
        <v>1441</v>
      </c>
      <c r="C274" t="s">
        <v>1489</v>
      </c>
      <c r="D274" t="s">
        <v>1443</v>
      </c>
      <c r="E274" t="s">
        <v>1490</v>
      </c>
      <c r="F274" t="s">
        <v>1491</v>
      </c>
      <c r="J274" t="s">
        <v>1490</v>
      </c>
      <c r="K274" t="s">
        <v>1446</v>
      </c>
      <c r="L274" t="s">
        <v>1389</v>
      </c>
    </row>
    <row r="275" spans="1:12">
      <c r="A275" t="s">
        <v>1440</v>
      </c>
      <c r="B275" t="s">
        <v>1441</v>
      </c>
      <c r="C275" t="s">
        <v>1492</v>
      </c>
      <c r="D275" t="s">
        <v>1443</v>
      </c>
      <c r="E275" t="s">
        <v>1493</v>
      </c>
      <c r="F275" t="s">
        <v>1494</v>
      </c>
      <c r="J275" t="s">
        <v>1493</v>
      </c>
      <c r="K275" t="s">
        <v>1446</v>
      </c>
      <c r="L275" t="s">
        <v>1389</v>
      </c>
    </row>
    <row r="276" spans="1:12">
      <c r="A276" t="s">
        <v>1440</v>
      </c>
      <c r="B276" t="s">
        <v>1441</v>
      </c>
      <c r="C276" t="s">
        <v>1495</v>
      </c>
      <c r="D276" t="s">
        <v>1443</v>
      </c>
      <c r="E276" t="s">
        <v>1496</v>
      </c>
      <c r="F276" t="s">
        <v>1497</v>
      </c>
      <c r="J276" t="s">
        <v>1496</v>
      </c>
      <c r="K276" t="s">
        <v>1446</v>
      </c>
      <c r="L276" t="s">
        <v>1389</v>
      </c>
    </row>
    <row r="277" spans="1:12">
      <c r="A277" t="s">
        <v>1440</v>
      </c>
      <c r="B277" t="s">
        <v>1441</v>
      </c>
      <c r="C277" t="s">
        <v>1498</v>
      </c>
      <c r="D277" t="s">
        <v>1443</v>
      </c>
      <c r="E277" t="s">
        <v>1499</v>
      </c>
      <c r="F277" t="s">
        <v>1500</v>
      </c>
      <c r="J277" t="s">
        <v>1499</v>
      </c>
      <c r="K277" t="s">
        <v>1446</v>
      </c>
      <c r="L277" t="s">
        <v>1389</v>
      </c>
    </row>
    <row r="278" spans="1:12">
      <c r="A278" t="s">
        <v>1440</v>
      </c>
      <c r="B278" t="s">
        <v>1441</v>
      </c>
      <c r="C278" t="s">
        <v>1501</v>
      </c>
      <c r="D278" t="s">
        <v>1443</v>
      </c>
      <c r="E278" t="s">
        <v>1502</v>
      </c>
      <c r="F278" t="s">
        <v>1503</v>
      </c>
      <c r="J278" t="s">
        <v>1502</v>
      </c>
      <c r="K278" t="s">
        <v>1446</v>
      </c>
      <c r="L278" t="s">
        <v>1389</v>
      </c>
    </row>
    <row r="279" spans="1:12">
      <c r="A279" t="s">
        <v>1440</v>
      </c>
      <c r="B279" t="s">
        <v>1441</v>
      </c>
      <c r="C279" t="s">
        <v>1504</v>
      </c>
      <c r="D279" t="s">
        <v>1443</v>
      </c>
      <c r="E279" t="s">
        <v>1505</v>
      </c>
      <c r="F279" t="s">
        <v>1506</v>
      </c>
      <c r="J279" t="s">
        <v>1505</v>
      </c>
      <c r="K279" t="s">
        <v>1446</v>
      </c>
      <c r="L279" t="s">
        <v>1389</v>
      </c>
    </row>
    <row r="280" spans="1:12">
      <c r="A280" t="s">
        <v>1440</v>
      </c>
      <c r="B280" t="s">
        <v>1441</v>
      </c>
      <c r="C280" t="s">
        <v>1507</v>
      </c>
      <c r="D280" t="s">
        <v>1443</v>
      </c>
      <c r="E280" t="s">
        <v>1508</v>
      </c>
      <c r="F280" t="s">
        <v>1509</v>
      </c>
      <c r="J280" t="s">
        <v>1508</v>
      </c>
      <c r="K280" t="s">
        <v>1446</v>
      </c>
      <c r="L280" t="s">
        <v>1389</v>
      </c>
    </row>
    <row r="281" spans="1:12">
      <c r="A281" t="s">
        <v>1440</v>
      </c>
      <c r="B281" t="s">
        <v>1441</v>
      </c>
      <c r="C281" t="s">
        <v>1510</v>
      </c>
      <c r="D281" t="s">
        <v>1443</v>
      </c>
      <c r="E281" t="s">
        <v>1511</v>
      </c>
      <c r="F281" t="s">
        <v>1512</v>
      </c>
      <c r="J281" t="s">
        <v>1511</v>
      </c>
      <c r="K281" t="s">
        <v>1446</v>
      </c>
      <c r="L281" t="s">
        <v>1389</v>
      </c>
    </row>
    <row r="282" spans="1:12">
      <c r="A282" t="s">
        <v>1440</v>
      </c>
      <c r="B282" t="s">
        <v>1441</v>
      </c>
      <c r="C282" t="s">
        <v>1513</v>
      </c>
      <c r="D282" t="s">
        <v>1443</v>
      </c>
      <c r="E282" t="s">
        <v>1514</v>
      </c>
      <c r="F282" t="s">
        <v>1515</v>
      </c>
      <c r="J282" t="s">
        <v>1514</v>
      </c>
      <c r="K282" t="s">
        <v>1446</v>
      </c>
      <c r="L282" t="s">
        <v>1389</v>
      </c>
    </row>
    <row r="283" spans="1:12">
      <c r="A283" t="s">
        <v>1440</v>
      </c>
      <c r="B283" t="s">
        <v>1441</v>
      </c>
      <c r="C283" t="s">
        <v>1516</v>
      </c>
      <c r="D283" t="s">
        <v>1443</v>
      </c>
      <c r="E283" t="s">
        <v>1517</v>
      </c>
      <c r="F283" t="s">
        <v>1518</v>
      </c>
      <c r="J283" t="s">
        <v>1517</v>
      </c>
      <c r="K283" t="s">
        <v>1446</v>
      </c>
      <c r="L283" t="s">
        <v>1389</v>
      </c>
    </row>
    <row r="284" spans="1:12">
      <c r="A284" t="s">
        <v>1440</v>
      </c>
      <c r="B284" t="s">
        <v>1441</v>
      </c>
      <c r="C284" t="s">
        <v>1519</v>
      </c>
      <c r="D284" t="s">
        <v>1443</v>
      </c>
      <c r="E284" t="s">
        <v>1520</v>
      </c>
      <c r="F284" t="s">
        <v>1521</v>
      </c>
      <c r="J284" t="s">
        <v>1520</v>
      </c>
      <c r="K284" t="s">
        <v>1446</v>
      </c>
      <c r="L284" t="s">
        <v>1389</v>
      </c>
    </row>
    <row r="285" spans="1:12">
      <c r="A285" t="s">
        <v>1440</v>
      </c>
      <c r="B285" t="s">
        <v>1441</v>
      </c>
      <c r="C285" t="s">
        <v>1522</v>
      </c>
      <c r="D285" t="s">
        <v>1443</v>
      </c>
      <c r="E285" t="s">
        <v>1523</v>
      </c>
      <c r="F285" t="s">
        <v>1524</v>
      </c>
      <c r="J285" t="s">
        <v>1523</v>
      </c>
      <c r="K285" t="s">
        <v>1446</v>
      </c>
      <c r="L285" t="s">
        <v>1389</v>
      </c>
    </row>
    <row r="286" spans="1:12">
      <c r="A286" t="s">
        <v>1440</v>
      </c>
      <c r="B286" t="s">
        <v>1441</v>
      </c>
      <c r="C286" t="s">
        <v>1525</v>
      </c>
      <c r="D286" t="s">
        <v>1443</v>
      </c>
      <c r="E286" t="s">
        <v>1526</v>
      </c>
      <c r="F286" t="s">
        <v>1527</v>
      </c>
      <c r="J286" t="s">
        <v>1526</v>
      </c>
      <c r="K286" t="s">
        <v>1446</v>
      </c>
      <c r="L286" t="s">
        <v>1389</v>
      </c>
    </row>
    <row r="287" spans="1:12">
      <c r="A287" t="s">
        <v>1440</v>
      </c>
      <c r="B287" t="s">
        <v>1441</v>
      </c>
      <c r="C287" t="s">
        <v>1528</v>
      </c>
      <c r="D287" t="s">
        <v>1443</v>
      </c>
      <c r="E287" t="s">
        <v>1529</v>
      </c>
      <c r="F287" t="s">
        <v>1530</v>
      </c>
      <c r="J287" t="s">
        <v>1529</v>
      </c>
      <c r="K287" t="s">
        <v>1446</v>
      </c>
      <c r="L287" t="s">
        <v>1389</v>
      </c>
    </row>
    <row r="288" spans="1:12">
      <c r="A288" t="s">
        <v>1440</v>
      </c>
      <c r="B288" t="s">
        <v>1441</v>
      </c>
      <c r="C288" t="s">
        <v>1531</v>
      </c>
      <c r="D288" t="s">
        <v>1443</v>
      </c>
      <c r="E288" t="s">
        <v>1532</v>
      </c>
      <c r="F288" t="s">
        <v>1533</v>
      </c>
      <c r="J288" t="s">
        <v>1532</v>
      </c>
      <c r="K288" t="s">
        <v>1446</v>
      </c>
      <c r="L288" t="s">
        <v>1389</v>
      </c>
    </row>
    <row r="289" spans="1:12">
      <c r="A289" t="s">
        <v>1440</v>
      </c>
      <c r="B289" t="s">
        <v>1441</v>
      </c>
      <c r="C289" t="s">
        <v>1534</v>
      </c>
      <c r="D289" t="s">
        <v>1443</v>
      </c>
      <c r="E289" t="s">
        <v>1535</v>
      </c>
      <c r="F289" t="s">
        <v>1536</v>
      </c>
    </row>
    <row r="290" spans="1:12">
      <c r="A290" t="s">
        <v>1440</v>
      </c>
      <c r="B290" t="s">
        <v>1441</v>
      </c>
      <c r="C290" t="s">
        <v>1537</v>
      </c>
      <c r="D290" t="s">
        <v>1443</v>
      </c>
      <c r="E290" t="s">
        <v>1538</v>
      </c>
      <c r="F290" t="s">
        <v>1539</v>
      </c>
      <c r="J290" t="s">
        <v>1538</v>
      </c>
      <c r="K290" t="s">
        <v>1446</v>
      </c>
      <c r="L290" t="s">
        <v>1389</v>
      </c>
    </row>
    <row r="291" spans="1:12">
      <c r="A291" t="s">
        <v>1440</v>
      </c>
      <c r="B291" t="s">
        <v>1441</v>
      </c>
      <c r="C291" t="s">
        <v>1540</v>
      </c>
      <c r="D291" t="s">
        <v>1443</v>
      </c>
      <c r="E291" t="s">
        <v>1541</v>
      </c>
      <c r="F291" t="s">
        <v>1542</v>
      </c>
    </row>
    <row r="292" spans="1:12">
      <c r="A292" t="s">
        <v>1440</v>
      </c>
      <c r="B292" t="s">
        <v>1441</v>
      </c>
      <c r="C292" t="s">
        <v>1543</v>
      </c>
      <c r="D292" t="s">
        <v>1443</v>
      </c>
      <c r="E292" t="s">
        <v>1544</v>
      </c>
      <c r="F292" t="s">
        <v>1545</v>
      </c>
    </row>
    <row r="293" spans="1:12">
      <c r="A293" t="s">
        <v>1440</v>
      </c>
      <c r="B293" t="s">
        <v>1441</v>
      </c>
      <c r="C293" t="s">
        <v>1546</v>
      </c>
      <c r="D293" t="s">
        <v>1443</v>
      </c>
      <c r="E293" t="s">
        <v>1547</v>
      </c>
      <c r="F293" t="s">
        <v>1548</v>
      </c>
      <c r="J293" t="s">
        <v>1547</v>
      </c>
      <c r="K293" t="s">
        <v>1446</v>
      </c>
      <c r="L293" t="s">
        <v>1389</v>
      </c>
    </row>
    <row r="294" spans="1:12">
      <c r="A294" t="s">
        <v>1440</v>
      </c>
      <c r="B294" t="s">
        <v>1441</v>
      </c>
      <c r="C294" t="s">
        <v>1549</v>
      </c>
      <c r="D294" t="s">
        <v>1443</v>
      </c>
      <c r="E294" t="s">
        <v>1550</v>
      </c>
      <c r="F294" t="s">
        <v>1551</v>
      </c>
      <c r="J294" t="s">
        <v>1550</v>
      </c>
      <c r="K294" t="s">
        <v>1446</v>
      </c>
      <c r="L294" t="s">
        <v>1389</v>
      </c>
    </row>
    <row r="295" spans="1:12">
      <c r="A295" t="s">
        <v>1440</v>
      </c>
      <c r="B295" t="s">
        <v>1441</v>
      </c>
      <c r="C295" t="s">
        <v>1552</v>
      </c>
      <c r="D295" t="s">
        <v>1443</v>
      </c>
      <c r="E295" t="s">
        <v>1553</v>
      </c>
      <c r="F295" t="s">
        <v>1554</v>
      </c>
      <c r="J295" t="s">
        <v>1553</v>
      </c>
      <c r="K295" t="s">
        <v>1446</v>
      </c>
      <c r="L295" t="s">
        <v>1389</v>
      </c>
    </row>
    <row r="296" spans="1:12">
      <c r="A296" t="s">
        <v>1440</v>
      </c>
      <c r="B296" t="s">
        <v>1441</v>
      </c>
      <c r="C296" t="s">
        <v>1555</v>
      </c>
      <c r="D296" t="s">
        <v>1443</v>
      </c>
      <c r="E296" t="s">
        <v>924</v>
      </c>
      <c r="F296" t="s">
        <v>1556</v>
      </c>
      <c r="J296" t="s">
        <v>924</v>
      </c>
      <c r="K296" t="s">
        <v>1446</v>
      </c>
      <c r="L296" t="s">
        <v>1389</v>
      </c>
    </row>
    <row r="297" spans="1:12">
      <c r="A297" t="s">
        <v>1440</v>
      </c>
      <c r="B297" t="s">
        <v>1441</v>
      </c>
      <c r="C297" t="s">
        <v>1557</v>
      </c>
      <c r="D297" t="s">
        <v>1443</v>
      </c>
      <c r="E297" t="s">
        <v>1558</v>
      </c>
      <c r="F297" t="s">
        <v>1559</v>
      </c>
      <c r="J297" t="s">
        <v>1558</v>
      </c>
      <c r="K297" t="s">
        <v>1446</v>
      </c>
      <c r="L297" t="s">
        <v>1389</v>
      </c>
    </row>
    <row r="298" spans="1:12">
      <c r="A298" t="s">
        <v>1440</v>
      </c>
      <c r="B298" t="s">
        <v>1441</v>
      </c>
      <c r="C298" t="s">
        <v>1560</v>
      </c>
      <c r="D298" t="s">
        <v>1443</v>
      </c>
      <c r="E298" t="s">
        <v>1561</v>
      </c>
      <c r="F298" t="s">
        <v>1562</v>
      </c>
      <c r="J298" t="s">
        <v>1561</v>
      </c>
      <c r="K298" t="s">
        <v>1446</v>
      </c>
      <c r="L298" t="s">
        <v>1389</v>
      </c>
    </row>
    <row r="299" spans="1:12">
      <c r="A299" t="s">
        <v>1440</v>
      </c>
      <c r="B299" t="s">
        <v>1441</v>
      </c>
      <c r="C299" t="s">
        <v>1563</v>
      </c>
      <c r="D299" t="s">
        <v>1443</v>
      </c>
      <c r="E299" t="s">
        <v>1564</v>
      </c>
      <c r="F299" t="s">
        <v>1565</v>
      </c>
    </row>
    <row r="300" spans="1:12">
      <c r="A300" t="s">
        <v>1440</v>
      </c>
      <c r="B300" t="s">
        <v>1441</v>
      </c>
      <c r="C300" t="s">
        <v>1566</v>
      </c>
      <c r="D300" t="s">
        <v>1443</v>
      </c>
      <c r="E300" t="s">
        <v>1567</v>
      </c>
      <c r="F300" t="s">
        <v>1568</v>
      </c>
      <c r="J300" t="s">
        <v>1567</v>
      </c>
      <c r="K300" t="s">
        <v>1446</v>
      </c>
      <c r="L300" t="s">
        <v>1389</v>
      </c>
    </row>
    <row r="301" spans="1:12">
      <c r="A301" t="s">
        <v>1440</v>
      </c>
      <c r="B301" t="s">
        <v>1441</v>
      </c>
      <c r="C301" t="s">
        <v>1569</v>
      </c>
      <c r="D301" t="s">
        <v>1443</v>
      </c>
      <c r="E301" t="s">
        <v>1570</v>
      </c>
      <c r="F301" t="s">
        <v>1571</v>
      </c>
      <c r="J301" t="s">
        <v>1570</v>
      </c>
      <c r="K301" t="s">
        <v>1446</v>
      </c>
      <c r="L301" t="s">
        <v>1389</v>
      </c>
    </row>
    <row r="302" spans="1:12">
      <c r="A302" t="s">
        <v>1440</v>
      </c>
      <c r="B302" t="s">
        <v>1441</v>
      </c>
      <c r="C302" t="s">
        <v>1572</v>
      </c>
      <c r="D302" t="s">
        <v>1443</v>
      </c>
      <c r="E302" t="s">
        <v>1573</v>
      </c>
      <c r="F302" t="s">
        <v>1574</v>
      </c>
      <c r="J302" t="s">
        <v>1573</v>
      </c>
      <c r="K302" t="s">
        <v>1446</v>
      </c>
      <c r="L302" t="s">
        <v>1389</v>
      </c>
    </row>
    <row r="303" spans="1:12">
      <c r="A303" t="s">
        <v>1440</v>
      </c>
      <c r="B303" t="s">
        <v>1441</v>
      </c>
      <c r="C303" t="s">
        <v>1575</v>
      </c>
      <c r="D303" t="s">
        <v>1443</v>
      </c>
      <c r="E303" t="s">
        <v>1576</v>
      </c>
      <c r="F303" t="s">
        <v>1577</v>
      </c>
      <c r="J303" t="s">
        <v>1576</v>
      </c>
      <c r="K303" t="s">
        <v>1446</v>
      </c>
      <c r="L303" t="s">
        <v>1389</v>
      </c>
    </row>
    <row r="304" spans="1:12">
      <c r="A304" t="s">
        <v>1440</v>
      </c>
      <c r="B304" t="s">
        <v>1441</v>
      </c>
      <c r="C304" t="s">
        <v>1578</v>
      </c>
      <c r="D304" t="s">
        <v>1443</v>
      </c>
      <c r="E304" t="s">
        <v>1579</v>
      </c>
      <c r="F304" t="s">
        <v>1580</v>
      </c>
      <c r="J304" t="s">
        <v>1579</v>
      </c>
      <c r="K304" t="s">
        <v>1446</v>
      </c>
      <c r="L304" t="s">
        <v>1389</v>
      </c>
    </row>
    <row r="305" spans="1:12">
      <c r="A305" t="s">
        <v>1440</v>
      </c>
      <c r="B305" t="s">
        <v>1441</v>
      </c>
      <c r="C305" t="s">
        <v>1581</v>
      </c>
      <c r="D305" t="s">
        <v>1443</v>
      </c>
      <c r="E305" t="s">
        <v>1582</v>
      </c>
      <c r="F305" t="s">
        <v>1583</v>
      </c>
      <c r="J305" t="s">
        <v>1582</v>
      </c>
      <c r="K305" t="s">
        <v>1446</v>
      </c>
      <c r="L305" t="s">
        <v>1389</v>
      </c>
    </row>
    <row r="306" spans="1:12">
      <c r="A306" t="s">
        <v>1440</v>
      </c>
      <c r="B306" t="s">
        <v>1441</v>
      </c>
      <c r="C306" t="s">
        <v>1584</v>
      </c>
      <c r="D306" t="s">
        <v>1443</v>
      </c>
      <c r="E306" t="s">
        <v>1585</v>
      </c>
      <c r="F306" t="s">
        <v>1586</v>
      </c>
      <c r="J306" t="s">
        <v>1585</v>
      </c>
      <c r="K306" t="s">
        <v>1446</v>
      </c>
      <c r="L306" t="s">
        <v>1389</v>
      </c>
    </row>
    <row r="307" spans="1:12">
      <c r="A307" t="s">
        <v>1440</v>
      </c>
      <c r="B307" t="s">
        <v>1441</v>
      </c>
      <c r="C307" t="s">
        <v>1587</v>
      </c>
      <c r="D307" t="s">
        <v>1443</v>
      </c>
      <c r="E307" t="s">
        <v>1588</v>
      </c>
      <c r="F307" t="s">
        <v>1589</v>
      </c>
      <c r="J307" t="s">
        <v>1588</v>
      </c>
      <c r="K307" t="s">
        <v>1446</v>
      </c>
      <c r="L307" t="s">
        <v>1389</v>
      </c>
    </row>
    <row r="308" spans="1:12">
      <c r="A308" t="s">
        <v>1440</v>
      </c>
      <c r="B308" t="s">
        <v>1441</v>
      </c>
      <c r="C308" t="s">
        <v>1590</v>
      </c>
      <c r="D308" t="s">
        <v>1443</v>
      </c>
      <c r="E308" t="s">
        <v>1591</v>
      </c>
      <c r="F308" t="s">
        <v>1592</v>
      </c>
      <c r="J308" t="s">
        <v>1591</v>
      </c>
      <c r="K308" t="s">
        <v>1446</v>
      </c>
      <c r="L308" t="s">
        <v>1389</v>
      </c>
    </row>
    <row r="309" spans="1:12">
      <c r="A309" t="s">
        <v>1440</v>
      </c>
      <c r="B309" t="s">
        <v>1441</v>
      </c>
      <c r="C309" t="s">
        <v>1593</v>
      </c>
      <c r="D309" t="s">
        <v>1443</v>
      </c>
      <c r="E309" t="s">
        <v>1594</v>
      </c>
      <c r="F309" t="s">
        <v>1595</v>
      </c>
      <c r="J309" t="s">
        <v>1594</v>
      </c>
      <c r="K309" t="s">
        <v>1446</v>
      </c>
      <c r="L309" t="s">
        <v>1389</v>
      </c>
    </row>
    <row r="310" spans="1:12">
      <c r="A310" t="s">
        <v>1440</v>
      </c>
      <c r="B310" t="s">
        <v>1441</v>
      </c>
      <c r="C310" t="s">
        <v>1596</v>
      </c>
      <c r="D310" t="s">
        <v>1443</v>
      </c>
      <c r="E310" t="s">
        <v>1597</v>
      </c>
      <c r="F310" t="s">
        <v>1598</v>
      </c>
      <c r="J310" t="s">
        <v>1597</v>
      </c>
      <c r="K310" t="s">
        <v>1446</v>
      </c>
      <c r="L310" t="s">
        <v>1389</v>
      </c>
    </row>
    <row r="311" spans="1:12">
      <c r="A311" t="s">
        <v>1440</v>
      </c>
      <c r="B311" t="s">
        <v>1441</v>
      </c>
      <c r="C311" t="s">
        <v>1599</v>
      </c>
      <c r="D311" t="s">
        <v>1443</v>
      </c>
      <c r="E311" t="s">
        <v>1600</v>
      </c>
      <c r="F311" t="s">
        <v>1601</v>
      </c>
      <c r="J311" t="s">
        <v>1600</v>
      </c>
      <c r="K311" t="s">
        <v>1446</v>
      </c>
      <c r="L311" t="s">
        <v>1389</v>
      </c>
    </row>
    <row r="312" spans="1:12">
      <c r="A312" t="s">
        <v>1440</v>
      </c>
      <c r="B312" t="s">
        <v>1441</v>
      </c>
      <c r="C312" t="s">
        <v>1602</v>
      </c>
      <c r="D312" t="s">
        <v>1443</v>
      </c>
      <c r="E312" t="s">
        <v>1603</v>
      </c>
      <c r="F312" t="s">
        <v>1604</v>
      </c>
      <c r="J312" t="s">
        <v>1603</v>
      </c>
      <c r="K312" t="s">
        <v>1446</v>
      </c>
      <c r="L312" t="s">
        <v>1389</v>
      </c>
    </row>
    <row r="313" spans="1:12">
      <c r="A313" t="s">
        <v>1440</v>
      </c>
      <c r="B313" t="s">
        <v>1441</v>
      </c>
      <c r="C313" t="s">
        <v>1605</v>
      </c>
      <c r="D313" t="s">
        <v>1443</v>
      </c>
      <c r="E313" t="s">
        <v>1606</v>
      </c>
      <c r="F313" t="s">
        <v>1607</v>
      </c>
    </row>
    <row r="314" spans="1:12">
      <c r="A314" t="s">
        <v>1440</v>
      </c>
      <c r="B314" t="s">
        <v>1441</v>
      </c>
      <c r="C314" t="s">
        <v>1608</v>
      </c>
      <c r="D314" t="s">
        <v>1443</v>
      </c>
      <c r="E314" t="s">
        <v>1609</v>
      </c>
      <c r="F314" t="s">
        <v>1610</v>
      </c>
      <c r="J314" t="s">
        <v>1609</v>
      </c>
      <c r="K314" t="s">
        <v>1446</v>
      </c>
      <c r="L314" t="s">
        <v>1389</v>
      </c>
    </row>
    <row r="315" spans="1:12">
      <c r="A315" t="s">
        <v>1440</v>
      </c>
      <c r="B315" t="s">
        <v>1441</v>
      </c>
      <c r="C315" t="s">
        <v>1611</v>
      </c>
      <c r="D315" t="s">
        <v>1443</v>
      </c>
      <c r="E315" t="s">
        <v>1612</v>
      </c>
      <c r="F315" t="s">
        <v>1613</v>
      </c>
      <c r="J315" t="s">
        <v>1612</v>
      </c>
      <c r="K315" t="s">
        <v>1446</v>
      </c>
      <c r="L315" t="s">
        <v>1389</v>
      </c>
    </row>
    <row r="316" spans="1:12">
      <c r="A316" t="s">
        <v>1440</v>
      </c>
      <c r="B316" t="s">
        <v>1441</v>
      </c>
      <c r="C316" t="s">
        <v>1614</v>
      </c>
      <c r="D316" t="s">
        <v>1443</v>
      </c>
      <c r="E316" t="s">
        <v>1615</v>
      </c>
      <c r="F316" t="s">
        <v>1616</v>
      </c>
      <c r="J316" t="s">
        <v>1615</v>
      </c>
      <c r="K316" t="s">
        <v>1446</v>
      </c>
      <c r="L316" t="s">
        <v>1389</v>
      </c>
    </row>
    <row r="317" spans="1:12">
      <c r="A317" t="s">
        <v>1440</v>
      </c>
      <c r="B317" t="s">
        <v>1441</v>
      </c>
      <c r="C317" t="s">
        <v>1617</v>
      </c>
      <c r="D317" t="s">
        <v>1443</v>
      </c>
      <c r="E317" t="s">
        <v>1618</v>
      </c>
      <c r="F317" t="s">
        <v>1619</v>
      </c>
      <c r="J317" t="s">
        <v>1618</v>
      </c>
      <c r="K317" t="s">
        <v>1446</v>
      </c>
      <c r="L317" t="s">
        <v>1389</v>
      </c>
    </row>
    <row r="318" spans="1:12">
      <c r="A318" t="s">
        <v>1440</v>
      </c>
      <c r="B318" t="s">
        <v>1441</v>
      </c>
      <c r="C318" t="s">
        <v>1620</v>
      </c>
      <c r="D318" t="s">
        <v>1443</v>
      </c>
      <c r="E318" t="s">
        <v>1621</v>
      </c>
      <c r="F318" t="s">
        <v>1622</v>
      </c>
      <c r="J318" t="s">
        <v>1621</v>
      </c>
      <c r="K318" t="s">
        <v>1446</v>
      </c>
      <c r="L318" t="s">
        <v>1389</v>
      </c>
    </row>
    <row r="319" spans="1:12">
      <c r="A319" t="s">
        <v>1440</v>
      </c>
      <c r="B319" t="s">
        <v>1441</v>
      </c>
      <c r="C319" t="s">
        <v>1623</v>
      </c>
      <c r="D319" t="s">
        <v>1443</v>
      </c>
      <c r="E319" t="s">
        <v>1624</v>
      </c>
      <c r="F319" t="s">
        <v>1625</v>
      </c>
      <c r="J319" t="s">
        <v>1624</v>
      </c>
      <c r="K319" t="s">
        <v>1446</v>
      </c>
      <c r="L319" t="s">
        <v>1389</v>
      </c>
    </row>
    <row r="320" spans="1:12">
      <c r="A320" t="s">
        <v>1440</v>
      </c>
      <c r="B320" t="s">
        <v>1441</v>
      </c>
      <c r="C320" t="s">
        <v>1626</v>
      </c>
      <c r="D320" t="s">
        <v>1443</v>
      </c>
      <c r="E320" t="s">
        <v>1627</v>
      </c>
      <c r="F320" t="s">
        <v>1628</v>
      </c>
      <c r="J320" t="s">
        <v>1627</v>
      </c>
      <c r="K320" t="s">
        <v>1446</v>
      </c>
      <c r="L320" t="s">
        <v>1389</v>
      </c>
    </row>
    <row r="321" spans="1:12">
      <c r="A321" t="s">
        <v>1440</v>
      </c>
      <c r="B321" t="s">
        <v>1441</v>
      </c>
      <c r="C321" t="s">
        <v>1629</v>
      </c>
      <c r="D321" t="s">
        <v>1443</v>
      </c>
      <c r="E321" t="s">
        <v>1630</v>
      </c>
      <c r="F321" t="s">
        <v>1631</v>
      </c>
      <c r="J321" t="s">
        <v>1630</v>
      </c>
      <c r="K321" t="s">
        <v>1446</v>
      </c>
      <c r="L321" t="s">
        <v>1389</v>
      </c>
    </row>
    <row r="322" spans="1:12">
      <c r="A322" t="s">
        <v>1440</v>
      </c>
      <c r="B322" t="s">
        <v>1441</v>
      </c>
      <c r="C322" t="s">
        <v>1632</v>
      </c>
      <c r="D322" t="s">
        <v>1443</v>
      </c>
      <c r="E322" t="s">
        <v>1633</v>
      </c>
      <c r="F322" t="s">
        <v>1634</v>
      </c>
    </row>
    <row r="323" spans="1:12">
      <c r="A323" t="s">
        <v>1440</v>
      </c>
      <c r="B323" t="s">
        <v>1441</v>
      </c>
      <c r="C323" t="s">
        <v>1635</v>
      </c>
      <c r="D323" t="s">
        <v>1443</v>
      </c>
      <c r="E323" t="s">
        <v>1636</v>
      </c>
      <c r="F323" t="s">
        <v>1637</v>
      </c>
      <c r="J323" t="s">
        <v>1636</v>
      </c>
      <c r="K323" t="s">
        <v>1446</v>
      </c>
      <c r="L323" t="s">
        <v>1389</v>
      </c>
    </row>
    <row r="324" spans="1:12">
      <c r="A324" t="s">
        <v>1440</v>
      </c>
      <c r="B324" t="s">
        <v>1441</v>
      </c>
      <c r="C324" t="s">
        <v>1638</v>
      </c>
      <c r="D324" t="s">
        <v>1443</v>
      </c>
      <c r="E324" t="s">
        <v>1639</v>
      </c>
      <c r="F324" t="s">
        <v>1640</v>
      </c>
      <c r="J324" t="s">
        <v>1639</v>
      </c>
      <c r="K324" t="s">
        <v>1446</v>
      </c>
      <c r="L324" t="s">
        <v>1389</v>
      </c>
    </row>
    <row r="325" spans="1:12">
      <c r="A325" t="s">
        <v>1440</v>
      </c>
      <c r="B325" t="s">
        <v>1441</v>
      </c>
      <c r="C325" t="s">
        <v>1641</v>
      </c>
      <c r="D325" t="s">
        <v>1443</v>
      </c>
      <c r="E325" t="s">
        <v>1642</v>
      </c>
      <c r="F325" t="s">
        <v>1643</v>
      </c>
      <c r="J325" t="s">
        <v>1642</v>
      </c>
      <c r="K325" t="s">
        <v>1446</v>
      </c>
      <c r="L325" t="s">
        <v>1389</v>
      </c>
    </row>
    <row r="326" spans="1:12">
      <c r="A326" t="s">
        <v>1440</v>
      </c>
      <c r="B326" t="s">
        <v>1441</v>
      </c>
      <c r="C326" t="s">
        <v>1644</v>
      </c>
      <c r="D326" t="s">
        <v>1443</v>
      </c>
      <c r="E326" t="s">
        <v>1645</v>
      </c>
      <c r="F326" t="s">
        <v>1646</v>
      </c>
    </row>
    <row r="327" spans="1:12">
      <c r="A327" t="s">
        <v>1440</v>
      </c>
      <c r="B327" t="s">
        <v>1441</v>
      </c>
      <c r="C327" t="s">
        <v>1647</v>
      </c>
      <c r="D327" t="s">
        <v>1443</v>
      </c>
      <c r="E327" t="s">
        <v>1648</v>
      </c>
      <c r="F327" t="s">
        <v>1649</v>
      </c>
      <c r="J327" t="s">
        <v>1648</v>
      </c>
      <c r="K327" t="s">
        <v>1446</v>
      </c>
      <c r="L327" t="s">
        <v>1389</v>
      </c>
    </row>
    <row r="328" spans="1:12">
      <c r="A328" t="s">
        <v>1440</v>
      </c>
      <c r="B328" t="s">
        <v>1441</v>
      </c>
      <c r="C328" t="s">
        <v>1650</v>
      </c>
      <c r="D328" t="s">
        <v>1443</v>
      </c>
      <c r="E328" t="s">
        <v>1651</v>
      </c>
      <c r="F328" t="s">
        <v>1652</v>
      </c>
      <c r="J328" t="s">
        <v>1651</v>
      </c>
      <c r="K328" t="s">
        <v>1446</v>
      </c>
      <c r="L328" t="s">
        <v>1389</v>
      </c>
    </row>
    <row r="329" spans="1:12">
      <c r="A329" t="s">
        <v>1440</v>
      </c>
      <c r="B329" t="s">
        <v>1441</v>
      </c>
      <c r="C329" t="s">
        <v>1653</v>
      </c>
      <c r="D329" t="s">
        <v>1443</v>
      </c>
      <c r="E329" t="s">
        <v>1654</v>
      </c>
      <c r="F329" t="s">
        <v>1655</v>
      </c>
      <c r="J329" t="s">
        <v>1654</v>
      </c>
      <c r="K329" t="s">
        <v>1446</v>
      </c>
      <c r="L329" t="s">
        <v>1389</v>
      </c>
    </row>
    <row r="330" spans="1:12">
      <c r="A330" t="s">
        <v>1440</v>
      </c>
      <c r="B330" t="s">
        <v>1441</v>
      </c>
      <c r="C330" t="s">
        <v>1656</v>
      </c>
      <c r="D330" t="s">
        <v>1443</v>
      </c>
      <c r="E330" t="s">
        <v>1657</v>
      </c>
      <c r="F330" t="s">
        <v>1658</v>
      </c>
      <c r="J330" t="s">
        <v>1657</v>
      </c>
      <c r="K330" t="s">
        <v>1446</v>
      </c>
      <c r="L330" t="s">
        <v>1389</v>
      </c>
    </row>
    <row r="331" spans="1:12">
      <c r="A331" t="s">
        <v>1440</v>
      </c>
      <c r="B331" t="s">
        <v>1441</v>
      </c>
      <c r="C331" t="s">
        <v>1659</v>
      </c>
      <c r="D331" t="s">
        <v>1443</v>
      </c>
      <c r="E331" t="s">
        <v>1660</v>
      </c>
      <c r="F331" t="s">
        <v>1661</v>
      </c>
      <c r="J331" t="s">
        <v>1660</v>
      </c>
      <c r="K331" t="s">
        <v>1446</v>
      </c>
      <c r="L331" t="s">
        <v>1389</v>
      </c>
    </row>
    <row r="332" spans="1:12">
      <c r="A332" t="s">
        <v>1440</v>
      </c>
      <c r="B332" t="s">
        <v>1441</v>
      </c>
      <c r="C332" t="s">
        <v>1662</v>
      </c>
      <c r="D332" t="s">
        <v>1443</v>
      </c>
      <c r="E332" t="s">
        <v>1663</v>
      </c>
      <c r="F332" t="s">
        <v>1664</v>
      </c>
      <c r="J332" t="s">
        <v>1663</v>
      </c>
      <c r="K332" t="s">
        <v>1446</v>
      </c>
      <c r="L332" t="s">
        <v>1389</v>
      </c>
    </row>
    <row r="333" spans="1:12">
      <c r="A333" t="s">
        <v>1440</v>
      </c>
      <c r="B333" t="s">
        <v>1441</v>
      </c>
      <c r="C333" t="s">
        <v>1665</v>
      </c>
      <c r="D333" t="s">
        <v>1443</v>
      </c>
      <c r="E333" t="s">
        <v>1666</v>
      </c>
      <c r="F333" t="s">
        <v>1667</v>
      </c>
    </row>
    <row r="334" spans="1:12">
      <c r="A334" t="s">
        <v>1440</v>
      </c>
      <c r="B334" t="s">
        <v>1441</v>
      </c>
      <c r="C334" t="s">
        <v>1668</v>
      </c>
      <c r="D334" t="s">
        <v>1443</v>
      </c>
      <c r="E334" t="s">
        <v>1669</v>
      </c>
      <c r="F334" t="s">
        <v>1670</v>
      </c>
      <c r="J334" t="s">
        <v>1669</v>
      </c>
      <c r="K334" t="s">
        <v>1446</v>
      </c>
      <c r="L334" t="s">
        <v>1389</v>
      </c>
    </row>
    <row r="335" spans="1:12">
      <c r="A335" t="s">
        <v>1440</v>
      </c>
      <c r="B335" t="s">
        <v>1441</v>
      </c>
      <c r="C335" t="s">
        <v>1671</v>
      </c>
      <c r="D335" t="s">
        <v>1443</v>
      </c>
      <c r="E335" t="s">
        <v>1672</v>
      </c>
      <c r="F335" t="s">
        <v>1673</v>
      </c>
    </row>
    <row r="336" spans="1:12">
      <c r="A336" t="s">
        <v>1440</v>
      </c>
      <c r="B336" t="s">
        <v>1441</v>
      </c>
      <c r="C336" t="s">
        <v>1674</v>
      </c>
      <c r="D336" t="s">
        <v>1443</v>
      </c>
      <c r="E336" t="s">
        <v>1675</v>
      </c>
      <c r="F336" t="s">
        <v>1676</v>
      </c>
      <c r="J336" t="s">
        <v>1675</v>
      </c>
      <c r="K336" t="s">
        <v>1446</v>
      </c>
      <c r="L336" t="s">
        <v>1389</v>
      </c>
    </row>
    <row r="337" spans="1:12">
      <c r="A337" t="s">
        <v>1440</v>
      </c>
      <c r="B337" t="s">
        <v>1441</v>
      </c>
      <c r="C337" t="s">
        <v>1677</v>
      </c>
      <c r="D337" t="s">
        <v>1443</v>
      </c>
      <c r="E337" t="s">
        <v>1678</v>
      </c>
      <c r="F337" t="s">
        <v>1679</v>
      </c>
      <c r="J337" t="s">
        <v>1678</v>
      </c>
      <c r="K337" t="s">
        <v>1446</v>
      </c>
      <c r="L337" t="s">
        <v>1389</v>
      </c>
    </row>
    <row r="338" spans="1:12">
      <c r="A338" t="s">
        <v>1440</v>
      </c>
      <c r="B338" t="s">
        <v>1441</v>
      </c>
      <c r="C338" t="s">
        <v>1680</v>
      </c>
      <c r="D338" t="s">
        <v>1443</v>
      </c>
      <c r="E338" t="s">
        <v>1681</v>
      </c>
      <c r="F338" t="s">
        <v>1682</v>
      </c>
      <c r="J338" t="s">
        <v>1681</v>
      </c>
      <c r="K338" t="s">
        <v>1446</v>
      </c>
      <c r="L338" t="s">
        <v>1389</v>
      </c>
    </row>
    <row r="339" spans="1:12">
      <c r="A339" t="s">
        <v>1440</v>
      </c>
      <c r="B339" t="s">
        <v>1441</v>
      </c>
      <c r="C339" t="s">
        <v>1683</v>
      </c>
      <c r="D339" t="s">
        <v>1443</v>
      </c>
      <c r="E339" t="s">
        <v>1684</v>
      </c>
      <c r="F339" t="s">
        <v>1685</v>
      </c>
      <c r="J339" t="s">
        <v>1684</v>
      </c>
      <c r="K339" t="s">
        <v>1446</v>
      </c>
      <c r="L339" t="s">
        <v>1389</v>
      </c>
    </row>
    <row r="340" spans="1:12">
      <c r="A340" t="s">
        <v>1440</v>
      </c>
      <c r="B340" t="s">
        <v>1441</v>
      </c>
      <c r="C340" t="s">
        <v>1686</v>
      </c>
      <c r="D340" t="s">
        <v>1443</v>
      </c>
      <c r="E340" t="s">
        <v>1687</v>
      </c>
      <c r="F340" t="s">
        <v>1688</v>
      </c>
      <c r="J340" t="s">
        <v>1687</v>
      </c>
      <c r="K340" t="s">
        <v>1446</v>
      </c>
      <c r="L340" t="s">
        <v>1389</v>
      </c>
    </row>
    <row r="341" spans="1:12">
      <c r="A341" t="s">
        <v>1440</v>
      </c>
      <c r="B341" t="s">
        <v>1441</v>
      </c>
      <c r="C341" t="s">
        <v>1689</v>
      </c>
      <c r="D341" t="s">
        <v>1443</v>
      </c>
      <c r="E341" t="s">
        <v>1690</v>
      </c>
      <c r="F341" t="s">
        <v>1691</v>
      </c>
      <c r="J341" t="s">
        <v>1690</v>
      </c>
      <c r="K341" t="s">
        <v>1446</v>
      </c>
      <c r="L341" t="s">
        <v>1389</v>
      </c>
    </row>
    <row r="342" spans="1:12">
      <c r="A342" t="s">
        <v>1440</v>
      </c>
      <c r="B342" t="s">
        <v>1441</v>
      </c>
      <c r="C342" t="s">
        <v>1692</v>
      </c>
      <c r="D342" t="s">
        <v>1443</v>
      </c>
      <c r="E342" t="s">
        <v>1693</v>
      </c>
      <c r="F342" t="s">
        <v>1694</v>
      </c>
      <c r="J342" t="s">
        <v>1693</v>
      </c>
      <c r="K342" t="s">
        <v>1446</v>
      </c>
      <c r="L342" t="s">
        <v>1389</v>
      </c>
    </row>
    <row r="343" spans="1:12">
      <c r="A343" t="s">
        <v>1440</v>
      </c>
      <c r="B343" t="s">
        <v>1441</v>
      </c>
      <c r="C343" t="s">
        <v>1695</v>
      </c>
      <c r="D343" t="s">
        <v>1443</v>
      </c>
      <c r="E343" t="s">
        <v>1696</v>
      </c>
      <c r="F343" t="s">
        <v>1697</v>
      </c>
      <c r="J343" t="s">
        <v>1696</v>
      </c>
      <c r="K343" t="s">
        <v>1446</v>
      </c>
      <c r="L343" t="s">
        <v>1389</v>
      </c>
    </row>
    <row r="344" spans="1:12">
      <c r="A344" t="s">
        <v>1440</v>
      </c>
      <c r="B344" t="s">
        <v>1441</v>
      </c>
      <c r="C344" t="s">
        <v>1698</v>
      </c>
      <c r="D344" t="s">
        <v>1443</v>
      </c>
      <c r="E344" t="s">
        <v>1699</v>
      </c>
      <c r="F344" t="s">
        <v>1700</v>
      </c>
    </row>
    <row r="345" spans="1:12">
      <c r="A345" t="s">
        <v>1440</v>
      </c>
      <c r="B345" t="s">
        <v>1441</v>
      </c>
      <c r="C345" t="s">
        <v>1701</v>
      </c>
      <c r="D345" t="s">
        <v>1443</v>
      </c>
      <c r="E345" t="s">
        <v>1702</v>
      </c>
      <c r="F345" t="s">
        <v>1703</v>
      </c>
      <c r="J345" t="s">
        <v>1702</v>
      </c>
      <c r="K345" t="s">
        <v>1446</v>
      </c>
      <c r="L345" t="s">
        <v>1389</v>
      </c>
    </row>
    <row r="346" spans="1:12">
      <c r="A346" t="s">
        <v>1440</v>
      </c>
      <c r="B346" t="s">
        <v>1441</v>
      </c>
      <c r="C346" t="s">
        <v>1704</v>
      </c>
      <c r="D346" t="s">
        <v>1443</v>
      </c>
      <c r="E346" t="s">
        <v>1705</v>
      </c>
      <c r="F346" t="s">
        <v>1706</v>
      </c>
      <c r="J346" t="s">
        <v>1705</v>
      </c>
      <c r="K346" t="s">
        <v>1446</v>
      </c>
      <c r="L346" t="s">
        <v>1389</v>
      </c>
    </row>
    <row r="347" spans="1:12">
      <c r="A347" t="s">
        <v>1440</v>
      </c>
      <c r="B347" t="s">
        <v>1441</v>
      </c>
      <c r="C347" t="s">
        <v>1707</v>
      </c>
      <c r="D347" t="s">
        <v>1443</v>
      </c>
      <c r="E347" t="s">
        <v>1708</v>
      </c>
      <c r="F347" t="s">
        <v>1709</v>
      </c>
      <c r="J347" t="s">
        <v>1708</v>
      </c>
      <c r="K347" t="s">
        <v>1446</v>
      </c>
      <c r="L347" t="s">
        <v>1389</v>
      </c>
    </row>
    <row r="348" spans="1:12">
      <c r="A348" t="s">
        <v>1440</v>
      </c>
      <c r="B348" t="s">
        <v>1441</v>
      </c>
      <c r="C348" t="s">
        <v>1710</v>
      </c>
      <c r="D348" t="s">
        <v>1443</v>
      </c>
      <c r="E348" t="s">
        <v>1711</v>
      </c>
      <c r="F348" t="s">
        <v>1712</v>
      </c>
      <c r="J348" t="s">
        <v>1711</v>
      </c>
      <c r="K348" t="s">
        <v>1446</v>
      </c>
      <c r="L348" t="s">
        <v>1389</v>
      </c>
    </row>
    <row r="349" spans="1:12">
      <c r="A349" t="s">
        <v>1440</v>
      </c>
      <c r="B349" t="s">
        <v>1441</v>
      </c>
      <c r="C349" t="s">
        <v>1713</v>
      </c>
      <c r="D349" t="s">
        <v>1443</v>
      </c>
      <c r="E349" t="s">
        <v>1714</v>
      </c>
      <c r="F349" t="s">
        <v>1715</v>
      </c>
      <c r="J349" t="s">
        <v>1714</v>
      </c>
      <c r="K349" t="s">
        <v>1446</v>
      </c>
      <c r="L349" t="s">
        <v>1389</v>
      </c>
    </row>
    <row r="350" spans="1:12">
      <c r="A350" t="s">
        <v>1440</v>
      </c>
      <c r="B350" t="s">
        <v>1441</v>
      </c>
      <c r="C350" t="s">
        <v>1716</v>
      </c>
      <c r="D350" t="s">
        <v>1443</v>
      </c>
      <c r="E350" t="s">
        <v>1717</v>
      </c>
      <c r="F350" t="s">
        <v>1718</v>
      </c>
      <c r="J350" t="s">
        <v>1717</v>
      </c>
      <c r="K350" t="s">
        <v>1446</v>
      </c>
      <c r="L350" t="s">
        <v>1389</v>
      </c>
    </row>
    <row r="351" spans="1:12">
      <c r="A351" t="s">
        <v>1440</v>
      </c>
      <c r="B351" t="s">
        <v>1441</v>
      </c>
      <c r="C351" t="s">
        <v>1719</v>
      </c>
      <c r="D351" t="s">
        <v>1443</v>
      </c>
      <c r="E351" t="s">
        <v>1720</v>
      </c>
      <c r="F351" t="s">
        <v>1721</v>
      </c>
      <c r="J351" t="s">
        <v>1720</v>
      </c>
      <c r="K351" t="s">
        <v>1446</v>
      </c>
      <c r="L351" t="s">
        <v>1389</v>
      </c>
    </row>
    <row r="352" spans="1:12">
      <c r="A352" t="s">
        <v>1440</v>
      </c>
      <c r="B352" t="s">
        <v>1441</v>
      </c>
      <c r="C352" t="s">
        <v>1722</v>
      </c>
      <c r="D352" t="s">
        <v>1443</v>
      </c>
      <c r="E352" t="s">
        <v>1723</v>
      </c>
      <c r="F352" t="s">
        <v>1724</v>
      </c>
      <c r="J352" t="s">
        <v>1723</v>
      </c>
      <c r="K352" t="s">
        <v>1446</v>
      </c>
      <c r="L352" t="s">
        <v>1389</v>
      </c>
    </row>
    <row r="353" spans="1:12">
      <c r="A353" t="s">
        <v>1440</v>
      </c>
      <c r="B353" t="s">
        <v>1441</v>
      </c>
      <c r="C353" t="s">
        <v>1725</v>
      </c>
      <c r="D353" t="s">
        <v>1443</v>
      </c>
      <c r="E353" t="s">
        <v>1726</v>
      </c>
      <c r="F353" t="s">
        <v>1727</v>
      </c>
      <c r="J353" t="s">
        <v>1726</v>
      </c>
      <c r="K353" t="s">
        <v>1446</v>
      </c>
      <c r="L353" t="s">
        <v>1389</v>
      </c>
    </row>
    <row r="354" spans="1:12">
      <c r="A354" t="s">
        <v>1440</v>
      </c>
      <c r="B354" t="s">
        <v>1441</v>
      </c>
      <c r="C354" t="s">
        <v>1728</v>
      </c>
      <c r="D354" t="s">
        <v>1443</v>
      </c>
      <c r="E354" t="s">
        <v>1729</v>
      </c>
      <c r="F354" t="s">
        <v>1730</v>
      </c>
      <c r="J354" t="s">
        <v>1729</v>
      </c>
      <c r="K354" t="s">
        <v>1446</v>
      </c>
      <c r="L354" t="s">
        <v>1389</v>
      </c>
    </row>
    <row r="355" spans="1:12">
      <c r="A355" t="s">
        <v>1440</v>
      </c>
      <c r="B355" t="s">
        <v>1441</v>
      </c>
      <c r="C355" t="s">
        <v>1731</v>
      </c>
      <c r="D355" t="s">
        <v>1443</v>
      </c>
      <c r="E355" t="s">
        <v>1732</v>
      </c>
      <c r="F355" t="s">
        <v>1733</v>
      </c>
    </row>
    <row r="356" spans="1:12">
      <c r="A356" t="s">
        <v>1440</v>
      </c>
      <c r="B356" t="s">
        <v>1441</v>
      </c>
      <c r="C356" t="s">
        <v>1734</v>
      </c>
      <c r="D356" t="s">
        <v>1443</v>
      </c>
      <c r="E356" t="s">
        <v>1735</v>
      </c>
      <c r="F356" t="s">
        <v>1736</v>
      </c>
      <c r="J356" t="s">
        <v>1735</v>
      </c>
      <c r="K356" t="s">
        <v>1446</v>
      </c>
      <c r="L356" t="s">
        <v>1389</v>
      </c>
    </row>
    <row r="357" spans="1:12">
      <c r="A357" t="s">
        <v>1440</v>
      </c>
      <c r="B357" t="s">
        <v>1441</v>
      </c>
      <c r="C357" t="s">
        <v>1737</v>
      </c>
      <c r="D357" t="s">
        <v>1443</v>
      </c>
      <c r="E357" t="s">
        <v>1738</v>
      </c>
      <c r="F357" t="s">
        <v>1739</v>
      </c>
      <c r="J357" t="s">
        <v>1738</v>
      </c>
      <c r="K357" t="s">
        <v>1446</v>
      </c>
      <c r="L357" t="s">
        <v>1389</v>
      </c>
    </row>
    <row r="358" spans="1:12">
      <c r="A358" t="s">
        <v>1440</v>
      </c>
      <c r="B358" t="s">
        <v>1441</v>
      </c>
      <c r="C358" t="s">
        <v>1740</v>
      </c>
      <c r="D358" t="s">
        <v>1443</v>
      </c>
      <c r="E358" t="s">
        <v>1741</v>
      </c>
      <c r="F358" t="s">
        <v>1742</v>
      </c>
      <c r="J358" t="s">
        <v>1741</v>
      </c>
      <c r="K358" t="s">
        <v>1446</v>
      </c>
      <c r="L358" t="s">
        <v>1389</v>
      </c>
    </row>
    <row r="359" spans="1:12">
      <c r="A359" t="s">
        <v>1440</v>
      </c>
      <c r="B359" t="s">
        <v>1441</v>
      </c>
      <c r="C359" t="s">
        <v>1743</v>
      </c>
      <c r="D359" t="s">
        <v>1443</v>
      </c>
      <c r="E359" t="s">
        <v>1744</v>
      </c>
      <c r="F359" t="s">
        <v>1745</v>
      </c>
    </row>
    <row r="360" spans="1:12">
      <c r="A360" t="s">
        <v>1440</v>
      </c>
      <c r="B360" t="s">
        <v>1441</v>
      </c>
      <c r="C360" t="s">
        <v>1746</v>
      </c>
      <c r="D360" t="s">
        <v>1443</v>
      </c>
      <c r="E360" t="s">
        <v>1747</v>
      </c>
      <c r="F360" t="s">
        <v>1748</v>
      </c>
    </row>
    <row r="361" spans="1:12">
      <c r="A361" t="s">
        <v>1440</v>
      </c>
      <c r="B361" t="s">
        <v>1441</v>
      </c>
      <c r="C361" t="s">
        <v>1749</v>
      </c>
      <c r="D361" t="s">
        <v>1443</v>
      </c>
      <c r="E361" t="s">
        <v>1750</v>
      </c>
      <c r="F361" t="s">
        <v>1751</v>
      </c>
    </row>
    <row r="362" spans="1:12">
      <c r="A362" t="s">
        <v>1440</v>
      </c>
      <c r="B362" t="s">
        <v>1441</v>
      </c>
      <c r="C362" t="s">
        <v>1752</v>
      </c>
      <c r="D362" t="s">
        <v>1443</v>
      </c>
      <c r="E362" t="s">
        <v>1753</v>
      </c>
      <c r="F362" t="s">
        <v>1754</v>
      </c>
      <c r="J362" t="s">
        <v>1753</v>
      </c>
      <c r="K362" t="s">
        <v>1446</v>
      </c>
      <c r="L362" t="s">
        <v>1389</v>
      </c>
    </row>
    <row r="363" spans="1:12">
      <c r="A363" t="s">
        <v>1440</v>
      </c>
      <c r="B363" t="s">
        <v>1441</v>
      </c>
      <c r="C363" t="s">
        <v>1755</v>
      </c>
      <c r="D363" t="s">
        <v>1443</v>
      </c>
      <c r="E363" t="s">
        <v>1756</v>
      </c>
      <c r="F363" t="s">
        <v>1757</v>
      </c>
      <c r="J363" t="s">
        <v>1756</v>
      </c>
      <c r="K363" t="s">
        <v>1446</v>
      </c>
      <c r="L363" t="s">
        <v>1389</v>
      </c>
    </row>
    <row r="364" spans="1:12">
      <c r="A364" t="s">
        <v>1440</v>
      </c>
      <c r="B364" t="s">
        <v>1441</v>
      </c>
      <c r="C364" t="s">
        <v>1758</v>
      </c>
      <c r="D364" t="s">
        <v>1443</v>
      </c>
      <c r="E364" t="s">
        <v>1759</v>
      </c>
      <c r="F364" t="s">
        <v>1760</v>
      </c>
      <c r="J364" t="s">
        <v>1759</v>
      </c>
      <c r="K364" t="s">
        <v>1446</v>
      </c>
      <c r="L364" t="s">
        <v>1389</v>
      </c>
    </row>
    <row r="365" spans="1:12">
      <c r="A365" t="s">
        <v>1440</v>
      </c>
      <c r="B365" t="s">
        <v>1441</v>
      </c>
      <c r="C365" t="s">
        <v>1761</v>
      </c>
      <c r="D365" t="s">
        <v>1443</v>
      </c>
      <c r="E365" t="s">
        <v>1762</v>
      </c>
      <c r="F365" t="s">
        <v>1763</v>
      </c>
      <c r="J365" t="s">
        <v>1762</v>
      </c>
      <c r="K365" t="s">
        <v>1446</v>
      </c>
      <c r="L365" t="s">
        <v>1389</v>
      </c>
    </row>
    <row r="366" spans="1:12">
      <c r="A366" t="s">
        <v>1440</v>
      </c>
      <c r="B366" t="s">
        <v>1441</v>
      </c>
      <c r="C366" t="s">
        <v>1764</v>
      </c>
      <c r="D366" t="s">
        <v>1443</v>
      </c>
      <c r="E366" t="s">
        <v>1765</v>
      </c>
      <c r="F366" t="s">
        <v>1766</v>
      </c>
      <c r="J366" t="s">
        <v>1765</v>
      </c>
      <c r="K366" t="s">
        <v>1446</v>
      </c>
      <c r="L366" t="s">
        <v>1389</v>
      </c>
    </row>
    <row r="367" spans="1:12">
      <c r="A367" t="s">
        <v>1440</v>
      </c>
      <c r="B367" t="s">
        <v>1441</v>
      </c>
      <c r="C367" t="s">
        <v>1767</v>
      </c>
      <c r="D367" t="s">
        <v>1443</v>
      </c>
      <c r="E367" t="s">
        <v>1768</v>
      </c>
      <c r="F367" t="s">
        <v>1769</v>
      </c>
      <c r="J367" t="s">
        <v>1768</v>
      </c>
      <c r="K367" t="s">
        <v>1446</v>
      </c>
      <c r="L367" t="s">
        <v>1389</v>
      </c>
    </row>
    <row r="368" spans="1:12">
      <c r="A368" t="s">
        <v>1440</v>
      </c>
      <c r="B368" t="s">
        <v>1441</v>
      </c>
      <c r="C368" t="s">
        <v>1770</v>
      </c>
      <c r="D368" t="s">
        <v>1443</v>
      </c>
      <c r="E368" t="s">
        <v>1771</v>
      </c>
      <c r="F368" t="s">
        <v>1772</v>
      </c>
      <c r="J368" t="s">
        <v>1771</v>
      </c>
      <c r="K368" t="s">
        <v>1446</v>
      </c>
      <c r="L368" t="s">
        <v>1389</v>
      </c>
    </row>
    <row r="369" spans="1:12">
      <c r="A369" t="s">
        <v>1440</v>
      </c>
      <c r="B369" t="s">
        <v>1441</v>
      </c>
      <c r="C369" t="s">
        <v>1773</v>
      </c>
      <c r="D369" t="s">
        <v>1443</v>
      </c>
      <c r="E369" t="s">
        <v>1774</v>
      </c>
      <c r="F369" t="s">
        <v>1775</v>
      </c>
      <c r="J369" t="s">
        <v>1774</v>
      </c>
      <c r="K369" t="s">
        <v>1446</v>
      </c>
      <c r="L369" t="s">
        <v>1389</v>
      </c>
    </row>
    <row r="370" spans="1:12">
      <c r="A370" t="s">
        <v>1440</v>
      </c>
      <c r="B370" t="s">
        <v>1441</v>
      </c>
      <c r="C370" t="s">
        <v>1776</v>
      </c>
      <c r="D370" t="s">
        <v>1443</v>
      </c>
      <c r="E370" t="s">
        <v>1777</v>
      </c>
      <c r="F370" t="s">
        <v>1778</v>
      </c>
    </row>
    <row r="371" spans="1:12">
      <c r="A371" t="s">
        <v>1440</v>
      </c>
      <c r="B371" t="s">
        <v>1441</v>
      </c>
      <c r="C371" t="s">
        <v>1779</v>
      </c>
      <c r="D371" t="s">
        <v>1443</v>
      </c>
      <c r="E371" t="s">
        <v>1780</v>
      </c>
      <c r="F371" t="s">
        <v>1781</v>
      </c>
    </row>
    <row r="372" spans="1:12">
      <c r="A372" t="s">
        <v>1440</v>
      </c>
      <c r="B372" t="s">
        <v>1441</v>
      </c>
      <c r="C372" t="s">
        <v>1782</v>
      </c>
      <c r="D372" t="s">
        <v>1443</v>
      </c>
      <c r="E372" t="s">
        <v>1783</v>
      </c>
      <c r="F372" t="s">
        <v>1784</v>
      </c>
      <c r="J372" t="s">
        <v>1783</v>
      </c>
      <c r="K372" t="s">
        <v>1446</v>
      </c>
      <c r="L372" t="s">
        <v>1389</v>
      </c>
    </row>
    <row r="373" spans="1:12">
      <c r="A373" t="s">
        <v>1440</v>
      </c>
      <c r="B373" t="s">
        <v>1441</v>
      </c>
      <c r="C373" t="s">
        <v>1785</v>
      </c>
      <c r="D373" t="s">
        <v>1443</v>
      </c>
      <c r="E373" t="s">
        <v>1786</v>
      </c>
      <c r="F373" t="s">
        <v>1787</v>
      </c>
      <c r="J373" t="s">
        <v>1786</v>
      </c>
      <c r="K373" t="s">
        <v>1446</v>
      </c>
      <c r="L373" t="s">
        <v>1389</v>
      </c>
    </row>
    <row r="374" spans="1:12">
      <c r="A374" t="s">
        <v>1440</v>
      </c>
      <c r="B374" t="s">
        <v>1441</v>
      </c>
      <c r="C374" t="s">
        <v>1788</v>
      </c>
      <c r="D374" t="s">
        <v>1443</v>
      </c>
      <c r="E374" t="s">
        <v>1789</v>
      </c>
      <c r="F374" t="s">
        <v>1790</v>
      </c>
      <c r="J374" t="s">
        <v>1789</v>
      </c>
      <c r="K374" t="s">
        <v>1446</v>
      </c>
      <c r="L374" t="s">
        <v>1389</v>
      </c>
    </row>
    <row r="375" spans="1:12">
      <c r="A375" t="s">
        <v>1440</v>
      </c>
      <c r="B375" t="s">
        <v>1441</v>
      </c>
      <c r="C375" t="s">
        <v>1791</v>
      </c>
      <c r="D375" t="s">
        <v>1443</v>
      </c>
      <c r="E375" t="s">
        <v>876</v>
      </c>
      <c r="F375" t="s">
        <v>1792</v>
      </c>
      <c r="J375" t="s">
        <v>876</v>
      </c>
      <c r="K375" t="s">
        <v>1446</v>
      </c>
      <c r="L375" t="s">
        <v>1389</v>
      </c>
    </row>
    <row r="376" spans="1:12">
      <c r="A376" t="s">
        <v>1440</v>
      </c>
      <c r="B376" t="s">
        <v>1441</v>
      </c>
      <c r="C376" t="s">
        <v>1793</v>
      </c>
      <c r="D376" t="s">
        <v>1443</v>
      </c>
      <c r="E376" t="s">
        <v>1794</v>
      </c>
      <c r="F376" t="s">
        <v>1795</v>
      </c>
      <c r="J376" t="s">
        <v>1794</v>
      </c>
      <c r="K376" t="s">
        <v>1446</v>
      </c>
      <c r="L376" t="s">
        <v>1389</v>
      </c>
    </row>
    <row r="377" spans="1:12">
      <c r="A377" t="s">
        <v>1440</v>
      </c>
      <c r="B377" t="s">
        <v>1441</v>
      </c>
      <c r="C377" t="s">
        <v>1796</v>
      </c>
      <c r="D377" t="s">
        <v>1443</v>
      </c>
      <c r="E377" t="s">
        <v>1797</v>
      </c>
      <c r="F377" t="s">
        <v>1798</v>
      </c>
      <c r="J377" t="s">
        <v>1797</v>
      </c>
      <c r="K377" t="s">
        <v>1446</v>
      </c>
      <c r="L377" t="s">
        <v>1389</v>
      </c>
    </row>
    <row r="378" spans="1:12">
      <c r="A378" t="s">
        <v>1440</v>
      </c>
      <c r="B378" t="s">
        <v>1441</v>
      </c>
      <c r="C378" t="s">
        <v>1799</v>
      </c>
      <c r="D378" t="s">
        <v>1443</v>
      </c>
      <c r="E378" t="s">
        <v>1800</v>
      </c>
      <c r="F378" t="s">
        <v>1801</v>
      </c>
      <c r="J378" t="s">
        <v>1800</v>
      </c>
      <c r="K378" t="s">
        <v>1446</v>
      </c>
      <c r="L378" t="s">
        <v>1389</v>
      </c>
    </row>
    <row r="379" spans="1:12">
      <c r="A379" t="s">
        <v>1440</v>
      </c>
      <c r="B379" t="s">
        <v>1441</v>
      </c>
      <c r="C379" t="s">
        <v>1802</v>
      </c>
      <c r="D379" t="s">
        <v>1443</v>
      </c>
      <c r="E379" t="s">
        <v>1803</v>
      </c>
      <c r="F379" t="s">
        <v>1804</v>
      </c>
      <c r="J379" t="s">
        <v>1803</v>
      </c>
      <c r="K379" t="s">
        <v>1446</v>
      </c>
      <c r="L379" t="s">
        <v>1389</v>
      </c>
    </row>
    <row r="380" spans="1:12">
      <c r="A380" t="s">
        <v>1440</v>
      </c>
      <c r="B380" t="s">
        <v>1441</v>
      </c>
      <c r="C380" t="s">
        <v>1805</v>
      </c>
      <c r="D380" t="s">
        <v>1443</v>
      </c>
      <c r="E380" t="s">
        <v>1806</v>
      </c>
      <c r="F380" t="s">
        <v>1807</v>
      </c>
      <c r="J380" t="s">
        <v>1806</v>
      </c>
      <c r="K380" t="s">
        <v>1446</v>
      </c>
      <c r="L380" t="s">
        <v>1389</v>
      </c>
    </row>
    <row r="381" spans="1:12">
      <c r="A381" t="s">
        <v>1440</v>
      </c>
      <c r="B381" t="s">
        <v>1441</v>
      </c>
      <c r="C381" t="s">
        <v>1808</v>
      </c>
      <c r="D381" t="s">
        <v>1443</v>
      </c>
      <c r="E381" t="s">
        <v>1809</v>
      </c>
      <c r="F381" t="s">
        <v>1810</v>
      </c>
      <c r="J381" t="s">
        <v>1809</v>
      </c>
      <c r="K381" t="s">
        <v>1446</v>
      </c>
      <c r="L381" t="s">
        <v>1389</v>
      </c>
    </row>
    <row r="382" spans="1:12">
      <c r="A382" t="s">
        <v>1440</v>
      </c>
      <c r="B382" t="s">
        <v>1441</v>
      </c>
      <c r="C382" t="s">
        <v>1811</v>
      </c>
      <c r="D382" t="s">
        <v>1443</v>
      </c>
      <c r="E382" t="s">
        <v>1812</v>
      </c>
      <c r="F382" t="s">
        <v>1813</v>
      </c>
      <c r="J382" t="s">
        <v>1812</v>
      </c>
      <c r="K382" t="s">
        <v>1446</v>
      </c>
      <c r="L382" t="s">
        <v>1389</v>
      </c>
    </row>
    <row r="383" spans="1:12">
      <c r="A383" t="s">
        <v>1440</v>
      </c>
      <c r="B383" t="s">
        <v>1441</v>
      </c>
      <c r="C383" t="s">
        <v>1814</v>
      </c>
      <c r="D383" t="s">
        <v>1443</v>
      </c>
      <c r="E383" t="s">
        <v>1815</v>
      </c>
      <c r="F383" t="s">
        <v>1816</v>
      </c>
      <c r="J383" t="s">
        <v>1815</v>
      </c>
      <c r="K383" t="s">
        <v>1446</v>
      </c>
      <c r="L383" t="s">
        <v>1389</v>
      </c>
    </row>
    <row r="384" spans="1:12">
      <c r="A384" t="s">
        <v>1440</v>
      </c>
      <c r="B384" t="s">
        <v>1441</v>
      </c>
      <c r="C384" t="s">
        <v>1817</v>
      </c>
      <c r="D384" t="s">
        <v>1443</v>
      </c>
      <c r="E384" t="s">
        <v>1818</v>
      </c>
      <c r="F384" t="s">
        <v>1819</v>
      </c>
      <c r="J384" t="s">
        <v>1818</v>
      </c>
      <c r="K384" t="s">
        <v>1446</v>
      </c>
      <c r="L384" t="s">
        <v>1389</v>
      </c>
    </row>
    <row r="385" spans="1:12">
      <c r="A385" t="s">
        <v>1440</v>
      </c>
      <c r="B385" t="s">
        <v>1441</v>
      </c>
      <c r="C385" t="s">
        <v>1820</v>
      </c>
      <c r="D385" t="s">
        <v>1443</v>
      </c>
      <c r="E385" t="s">
        <v>1821</v>
      </c>
      <c r="F385" t="s">
        <v>1822</v>
      </c>
      <c r="J385" t="s">
        <v>1821</v>
      </c>
      <c r="K385" t="s">
        <v>1446</v>
      </c>
      <c r="L385" t="s">
        <v>1389</v>
      </c>
    </row>
    <row r="386" spans="1:12">
      <c r="A386" t="s">
        <v>1440</v>
      </c>
      <c r="B386" t="s">
        <v>1441</v>
      </c>
      <c r="C386" t="s">
        <v>1823</v>
      </c>
      <c r="D386" t="s">
        <v>1443</v>
      </c>
      <c r="E386" t="s">
        <v>1824</v>
      </c>
      <c r="F386" t="s">
        <v>1825</v>
      </c>
      <c r="J386" t="s">
        <v>1824</v>
      </c>
      <c r="K386" t="s">
        <v>1446</v>
      </c>
      <c r="L386" t="s">
        <v>1389</v>
      </c>
    </row>
    <row r="387" spans="1:12">
      <c r="A387" t="s">
        <v>1440</v>
      </c>
      <c r="B387" t="s">
        <v>1441</v>
      </c>
      <c r="C387" t="s">
        <v>1826</v>
      </c>
      <c r="D387" t="s">
        <v>1443</v>
      </c>
      <c r="E387" t="s">
        <v>1827</v>
      </c>
      <c r="F387" t="s">
        <v>1828</v>
      </c>
      <c r="J387" t="s">
        <v>1827</v>
      </c>
      <c r="K387" t="s">
        <v>1446</v>
      </c>
      <c r="L387" t="s">
        <v>1389</v>
      </c>
    </row>
    <row r="388" spans="1:12">
      <c r="A388" t="s">
        <v>1440</v>
      </c>
      <c r="B388" t="s">
        <v>1441</v>
      </c>
      <c r="C388" t="s">
        <v>1829</v>
      </c>
      <c r="D388" t="s">
        <v>1443</v>
      </c>
      <c r="E388" t="s">
        <v>1830</v>
      </c>
      <c r="F388" t="s">
        <v>1831</v>
      </c>
      <c r="J388" t="s">
        <v>1830</v>
      </c>
      <c r="K388" t="s">
        <v>1446</v>
      </c>
      <c r="L388" t="s">
        <v>1389</v>
      </c>
    </row>
    <row r="389" spans="1:12">
      <c r="A389" t="s">
        <v>1440</v>
      </c>
      <c r="B389" t="s">
        <v>1441</v>
      </c>
      <c r="C389" t="s">
        <v>1832</v>
      </c>
      <c r="D389" t="s">
        <v>1443</v>
      </c>
      <c r="E389" t="s">
        <v>1833</v>
      </c>
      <c r="F389" t="s">
        <v>1834</v>
      </c>
      <c r="J389" t="s">
        <v>1833</v>
      </c>
      <c r="K389" t="s">
        <v>1446</v>
      </c>
      <c r="L389" t="s">
        <v>1389</v>
      </c>
    </row>
    <row r="390" spans="1:12">
      <c r="A390" t="s">
        <v>1440</v>
      </c>
      <c r="B390" t="s">
        <v>1441</v>
      </c>
      <c r="C390" t="s">
        <v>1835</v>
      </c>
      <c r="D390" t="s">
        <v>1443</v>
      </c>
      <c r="E390" t="s">
        <v>1836</v>
      </c>
      <c r="F390" t="s">
        <v>1837</v>
      </c>
      <c r="J390" t="s">
        <v>1836</v>
      </c>
      <c r="K390" t="s">
        <v>1446</v>
      </c>
      <c r="L390" t="s">
        <v>1389</v>
      </c>
    </row>
    <row r="391" spans="1:12">
      <c r="A391" t="s">
        <v>1440</v>
      </c>
      <c r="B391" t="s">
        <v>1441</v>
      </c>
      <c r="C391" t="s">
        <v>1838</v>
      </c>
      <c r="D391" t="s">
        <v>1443</v>
      </c>
      <c r="E391" t="s">
        <v>1839</v>
      </c>
      <c r="F391" t="s">
        <v>1840</v>
      </c>
    </row>
    <row r="392" spans="1:12">
      <c r="A392" t="s">
        <v>1440</v>
      </c>
      <c r="B392" t="s">
        <v>1441</v>
      </c>
      <c r="C392" t="s">
        <v>1841</v>
      </c>
      <c r="D392" t="s">
        <v>1443</v>
      </c>
      <c r="E392" t="s">
        <v>1842</v>
      </c>
      <c r="F392" t="s">
        <v>1843</v>
      </c>
      <c r="J392" t="s">
        <v>1842</v>
      </c>
      <c r="K392" t="s">
        <v>1446</v>
      </c>
      <c r="L392" t="s">
        <v>1389</v>
      </c>
    </row>
    <row r="393" spans="1:12">
      <c r="A393" t="s">
        <v>1440</v>
      </c>
      <c r="B393" t="s">
        <v>1441</v>
      </c>
      <c r="C393" t="s">
        <v>1844</v>
      </c>
      <c r="D393" t="s">
        <v>1443</v>
      </c>
      <c r="E393" t="s">
        <v>1845</v>
      </c>
      <c r="F393" t="s">
        <v>1846</v>
      </c>
      <c r="J393" t="s">
        <v>1845</v>
      </c>
      <c r="K393" t="s">
        <v>1446</v>
      </c>
      <c r="L393" t="s">
        <v>1389</v>
      </c>
    </row>
    <row r="394" spans="1:12">
      <c r="A394" t="s">
        <v>1440</v>
      </c>
      <c r="B394" t="s">
        <v>1441</v>
      </c>
      <c r="C394" t="s">
        <v>1847</v>
      </c>
      <c r="D394" t="s">
        <v>1443</v>
      </c>
      <c r="E394" t="s">
        <v>1848</v>
      </c>
      <c r="F394" t="s">
        <v>1849</v>
      </c>
      <c r="J394" t="s">
        <v>1848</v>
      </c>
      <c r="K394" t="s">
        <v>1446</v>
      </c>
      <c r="L394" t="s">
        <v>1389</v>
      </c>
    </row>
    <row r="395" spans="1:12">
      <c r="A395" t="s">
        <v>1440</v>
      </c>
      <c r="B395" t="s">
        <v>1441</v>
      </c>
      <c r="C395" t="s">
        <v>1850</v>
      </c>
      <c r="D395" t="s">
        <v>1443</v>
      </c>
      <c r="E395" t="s">
        <v>1851</v>
      </c>
      <c r="F395" t="s">
        <v>1852</v>
      </c>
    </row>
    <row r="396" spans="1:12">
      <c r="A396" t="s">
        <v>1440</v>
      </c>
      <c r="B396" t="s">
        <v>1441</v>
      </c>
      <c r="C396" t="s">
        <v>1853</v>
      </c>
      <c r="D396" t="s">
        <v>1443</v>
      </c>
      <c r="E396" t="s">
        <v>1854</v>
      </c>
      <c r="F396" t="s">
        <v>1855</v>
      </c>
    </row>
    <row r="397" spans="1:12">
      <c r="A397" t="s">
        <v>1440</v>
      </c>
      <c r="B397" t="s">
        <v>1441</v>
      </c>
      <c r="C397" t="s">
        <v>1856</v>
      </c>
      <c r="D397" t="s">
        <v>1443</v>
      </c>
      <c r="E397" t="s">
        <v>1857</v>
      </c>
      <c r="F397" t="s">
        <v>1858</v>
      </c>
      <c r="J397" t="s">
        <v>1857</v>
      </c>
      <c r="K397" t="s">
        <v>1446</v>
      </c>
      <c r="L397" t="s">
        <v>1389</v>
      </c>
    </row>
    <row r="398" spans="1:12">
      <c r="A398" t="s">
        <v>1440</v>
      </c>
      <c r="B398" t="s">
        <v>1441</v>
      </c>
      <c r="C398" t="s">
        <v>1859</v>
      </c>
      <c r="D398" t="s">
        <v>1443</v>
      </c>
      <c r="E398" t="s">
        <v>1860</v>
      </c>
      <c r="F398" t="s">
        <v>1861</v>
      </c>
      <c r="J398" t="s">
        <v>1860</v>
      </c>
      <c r="K398" t="s">
        <v>1446</v>
      </c>
      <c r="L398" t="s">
        <v>1389</v>
      </c>
    </row>
    <row r="399" spans="1:12">
      <c r="A399" t="s">
        <v>1440</v>
      </c>
      <c r="B399" t="s">
        <v>1441</v>
      </c>
      <c r="C399" t="s">
        <v>1862</v>
      </c>
      <c r="D399" t="s">
        <v>1443</v>
      </c>
      <c r="E399" t="s">
        <v>1863</v>
      </c>
      <c r="F399" t="s">
        <v>1864</v>
      </c>
      <c r="J399" t="s">
        <v>1863</v>
      </c>
      <c r="K399" t="s">
        <v>1446</v>
      </c>
      <c r="L399" t="s">
        <v>1389</v>
      </c>
    </row>
    <row r="400" spans="1:12">
      <c r="A400" t="s">
        <v>1440</v>
      </c>
      <c r="B400" t="s">
        <v>1441</v>
      </c>
      <c r="C400" t="s">
        <v>1865</v>
      </c>
      <c r="D400" t="s">
        <v>1443</v>
      </c>
      <c r="E400" t="s">
        <v>1866</v>
      </c>
      <c r="F400" t="s">
        <v>1867</v>
      </c>
      <c r="J400" t="s">
        <v>1866</v>
      </c>
      <c r="K400" t="s">
        <v>1446</v>
      </c>
      <c r="L400" t="s">
        <v>1389</v>
      </c>
    </row>
    <row r="401" spans="1:12">
      <c r="A401" t="s">
        <v>1440</v>
      </c>
      <c r="B401" t="s">
        <v>1441</v>
      </c>
      <c r="C401" t="s">
        <v>1868</v>
      </c>
      <c r="D401" t="s">
        <v>1443</v>
      </c>
      <c r="E401" t="s">
        <v>1869</v>
      </c>
      <c r="F401" t="s">
        <v>1870</v>
      </c>
      <c r="J401" t="s">
        <v>1869</v>
      </c>
      <c r="K401" t="s">
        <v>1446</v>
      </c>
      <c r="L401" t="s">
        <v>1389</v>
      </c>
    </row>
    <row r="402" spans="1:12">
      <c r="A402" t="s">
        <v>1440</v>
      </c>
      <c r="B402" t="s">
        <v>1441</v>
      </c>
      <c r="C402" t="s">
        <v>1871</v>
      </c>
      <c r="D402" t="s">
        <v>1443</v>
      </c>
      <c r="E402" t="s">
        <v>1872</v>
      </c>
      <c r="F402" t="s">
        <v>1873</v>
      </c>
      <c r="J402" t="s">
        <v>1872</v>
      </c>
      <c r="K402" t="s">
        <v>1446</v>
      </c>
      <c r="L402" t="s">
        <v>1389</v>
      </c>
    </row>
    <row r="403" spans="1:12">
      <c r="A403" t="s">
        <v>1440</v>
      </c>
      <c r="B403" t="s">
        <v>1441</v>
      </c>
      <c r="C403" t="s">
        <v>1874</v>
      </c>
      <c r="D403" t="s">
        <v>1443</v>
      </c>
      <c r="E403" t="s">
        <v>1875</v>
      </c>
      <c r="F403" t="s">
        <v>1876</v>
      </c>
      <c r="J403" t="s">
        <v>1875</v>
      </c>
      <c r="K403" t="s">
        <v>1446</v>
      </c>
      <c r="L403" t="s">
        <v>1389</v>
      </c>
    </row>
    <row r="404" spans="1:12">
      <c r="A404" t="s">
        <v>1440</v>
      </c>
      <c r="B404" t="s">
        <v>1441</v>
      </c>
      <c r="C404" t="s">
        <v>1877</v>
      </c>
      <c r="D404" t="s">
        <v>1443</v>
      </c>
      <c r="E404" t="s">
        <v>1878</v>
      </c>
      <c r="F404" t="s">
        <v>1879</v>
      </c>
      <c r="J404" t="s">
        <v>1878</v>
      </c>
      <c r="K404" t="s">
        <v>1446</v>
      </c>
      <c r="L404" t="s">
        <v>1389</v>
      </c>
    </row>
    <row r="405" spans="1:12">
      <c r="A405" t="s">
        <v>1440</v>
      </c>
      <c r="B405" t="s">
        <v>1441</v>
      </c>
      <c r="C405" t="s">
        <v>1880</v>
      </c>
      <c r="D405" t="s">
        <v>1443</v>
      </c>
      <c r="E405" t="s">
        <v>1881</v>
      </c>
      <c r="F405" t="s">
        <v>1882</v>
      </c>
      <c r="J405" t="s">
        <v>1881</v>
      </c>
      <c r="K405" t="s">
        <v>1446</v>
      </c>
      <c r="L405" t="s">
        <v>1389</v>
      </c>
    </row>
    <row r="406" spans="1:12">
      <c r="A406" t="s">
        <v>1440</v>
      </c>
      <c r="B406" t="s">
        <v>1441</v>
      </c>
      <c r="C406" t="s">
        <v>1883</v>
      </c>
      <c r="D406" t="s">
        <v>1443</v>
      </c>
      <c r="E406" t="s">
        <v>1884</v>
      </c>
      <c r="F406" t="s">
        <v>1885</v>
      </c>
      <c r="J406" t="s">
        <v>1884</v>
      </c>
      <c r="K406" t="s">
        <v>1446</v>
      </c>
      <c r="L406" t="s">
        <v>1389</v>
      </c>
    </row>
    <row r="407" spans="1:12">
      <c r="A407" t="s">
        <v>1440</v>
      </c>
      <c r="B407" t="s">
        <v>1441</v>
      </c>
      <c r="C407" t="s">
        <v>1886</v>
      </c>
      <c r="D407" t="s">
        <v>1443</v>
      </c>
      <c r="E407" t="s">
        <v>1887</v>
      </c>
      <c r="F407" t="s">
        <v>1888</v>
      </c>
      <c r="J407" t="s">
        <v>1887</v>
      </c>
      <c r="K407" t="s">
        <v>1446</v>
      </c>
      <c r="L407" t="s">
        <v>1389</v>
      </c>
    </row>
    <row r="408" spans="1:12">
      <c r="A408" t="s">
        <v>1440</v>
      </c>
      <c r="B408" t="s">
        <v>1441</v>
      </c>
      <c r="C408" t="s">
        <v>1889</v>
      </c>
      <c r="D408" t="s">
        <v>1443</v>
      </c>
      <c r="E408" t="s">
        <v>1890</v>
      </c>
      <c r="F408" t="s">
        <v>1891</v>
      </c>
      <c r="J408" t="s">
        <v>1890</v>
      </c>
      <c r="K408" t="s">
        <v>1446</v>
      </c>
      <c r="L408" t="s">
        <v>1389</v>
      </c>
    </row>
    <row r="409" spans="1:12">
      <c r="A409" t="s">
        <v>1440</v>
      </c>
      <c r="B409" t="s">
        <v>1441</v>
      </c>
      <c r="C409" t="s">
        <v>1892</v>
      </c>
      <c r="D409" t="s">
        <v>1443</v>
      </c>
      <c r="E409" t="s">
        <v>1893</v>
      </c>
      <c r="F409" t="s">
        <v>1894</v>
      </c>
      <c r="J409" t="s">
        <v>1893</v>
      </c>
      <c r="K409" t="s">
        <v>1446</v>
      </c>
      <c r="L409" t="s">
        <v>1389</v>
      </c>
    </row>
    <row r="410" spans="1:12">
      <c r="A410" t="s">
        <v>1440</v>
      </c>
      <c r="B410" t="s">
        <v>1441</v>
      </c>
      <c r="C410" t="s">
        <v>1895</v>
      </c>
      <c r="D410" t="s">
        <v>1443</v>
      </c>
      <c r="E410" t="s">
        <v>1896</v>
      </c>
      <c r="F410" t="s">
        <v>1897</v>
      </c>
      <c r="J410" t="s">
        <v>1896</v>
      </c>
      <c r="K410" t="s">
        <v>1446</v>
      </c>
      <c r="L410" t="s">
        <v>1389</v>
      </c>
    </row>
    <row r="411" spans="1:12">
      <c r="A411" t="s">
        <v>1440</v>
      </c>
      <c r="B411" t="s">
        <v>1441</v>
      </c>
      <c r="C411" t="s">
        <v>1898</v>
      </c>
      <c r="D411" t="s">
        <v>1443</v>
      </c>
      <c r="E411" t="s">
        <v>1899</v>
      </c>
      <c r="F411" t="s">
        <v>1900</v>
      </c>
      <c r="J411" t="s">
        <v>1899</v>
      </c>
      <c r="K411" t="s">
        <v>1446</v>
      </c>
      <c r="L411" t="s">
        <v>1389</v>
      </c>
    </row>
    <row r="412" spans="1:12">
      <c r="A412" t="s">
        <v>1440</v>
      </c>
      <c r="B412" t="s">
        <v>1441</v>
      </c>
      <c r="C412" t="s">
        <v>1901</v>
      </c>
      <c r="D412" t="s">
        <v>1443</v>
      </c>
      <c r="E412" t="s">
        <v>1902</v>
      </c>
      <c r="F412" t="s">
        <v>1903</v>
      </c>
      <c r="J412" t="s">
        <v>1902</v>
      </c>
      <c r="K412" t="s">
        <v>1446</v>
      </c>
      <c r="L412" t="s">
        <v>1389</v>
      </c>
    </row>
    <row r="413" spans="1:12">
      <c r="A413" t="s">
        <v>1440</v>
      </c>
      <c r="B413" t="s">
        <v>1441</v>
      </c>
      <c r="C413" t="s">
        <v>1904</v>
      </c>
      <c r="D413" t="s">
        <v>1443</v>
      </c>
      <c r="E413" t="s">
        <v>1905</v>
      </c>
      <c r="F413" t="s">
        <v>1906</v>
      </c>
      <c r="J413" t="s">
        <v>1905</v>
      </c>
      <c r="K413" t="s">
        <v>1446</v>
      </c>
      <c r="L413" t="s">
        <v>1389</v>
      </c>
    </row>
    <row r="414" spans="1:12">
      <c r="A414" t="s">
        <v>1440</v>
      </c>
      <c r="B414" t="s">
        <v>1441</v>
      </c>
      <c r="C414" t="s">
        <v>1907</v>
      </c>
      <c r="D414" t="s">
        <v>1443</v>
      </c>
      <c r="E414" t="s">
        <v>1908</v>
      </c>
      <c r="F414" t="s">
        <v>1909</v>
      </c>
      <c r="J414" t="s">
        <v>1908</v>
      </c>
      <c r="K414" t="s">
        <v>1446</v>
      </c>
      <c r="L414" t="s">
        <v>1389</v>
      </c>
    </row>
    <row r="415" spans="1:12">
      <c r="A415" t="s">
        <v>1440</v>
      </c>
      <c r="B415" t="s">
        <v>1441</v>
      </c>
      <c r="C415" t="s">
        <v>1910</v>
      </c>
      <c r="D415" t="s">
        <v>1443</v>
      </c>
      <c r="E415" t="s">
        <v>1911</v>
      </c>
      <c r="F415" t="s">
        <v>1912</v>
      </c>
      <c r="J415" t="s">
        <v>1911</v>
      </c>
      <c r="K415" t="s">
        <v>1446</v>
      </c>
      <c r="L415" t="s">
        <v>1389</v>
      </c>
    </row>
    <row r="416" spans="1:12">
      <c r="A416" t="s">
        <v>1440</v>
      </c>
      <c r="B416" t="s">
        <v>1441</v>
      </c>
      <c r="C416" t="s">
        <v>1913</v>
      </c>
      <c r="D416" t="s">
        <v>1443</v>
      </c>
      <c r="E416" t="s">
        <v>1914</v>
      </c>
      <c r="F416" t="s">
        <v>1915</v>
      </c>
      <c r="J416" t="s">
        <v>1914</v>
      </c>
      <c r="K416" t="s">
        <v>1446</v>
      </c>
      <c r="L416" t="s">
        <v>1389</v>
      </c>
    </row>
    <row r="417" spans="1:12">
      <c r="A417" t="s">
        <v>1440</v>
      </c>
      <c r="B417" t="s">
        <v>1441</v>
      </c>
      <c r="C417" t="s">
        <v>1916</v>
      </c>
      <c r="D417" t="s">
        <v>1443</v>
      </c>
      <c r="E417" t="s">
        <v>1917</v>
      </c>
      <c r="F417" t="s">
        <v>1918</v>
      </c>
      <c r="J417" t="s">
        <v>1917</v>
      </c>
      <c r="K417" t="s">
        <v>1446</v>
      </c>
      <c r="L417" t="s">
        <v>1389</v>
      </c>
    </row>
    <row r="418" spans="1:12">
      <c r="A418" t="s">
        <v>1440</v>
      </c>
      <c r="B418" t="s">
        <v>1441</v>
      </c>
      <c r="C418" t="s">
        <v>1919</v>
      </c>
      <c r="D418" t="s">
        <v>1443</v>
      </c>
      <c r="E418" t="s">
        <v>1920</v>
      </c>
      <c r="F418" t="s">
        <v>1921</v>
      </c>
      <c r="J418" t="s">
        <v>1920</v>
      </c>
      <c r="K418" t="s">
        <v>1446</v>
      </c>
      <c r="L418" t="s">
        <v>1389</v>
      </c>
    </row>
    <row r="419" spans="1:12">
      <c r="A419" t="s">
        <v>1440</v>
      </c>
      <c r="B419" t="s">
        <v>1441</v>
      </c>
      <c r="C419" t="s">
        <v>1922</v>
      </c>
      <c r="D419" t="s">
        <v>1443</v>
      </c>
      <c r="E419" t="s">
        <v>1923</v>
      </c>
      <c r="F419" t="s">
        <v>1924</v>
      </c>
      <c r="J419" t="s">
        <v>1923</v>
      </c>
      <c r="K419" t="s">
        <v>1446</v>
      </c>
      <c r="L419" t="s">
        <v>1389</v>
      </c>
    </row>
    <row r="420" spans="1:12">
      <c r="A420" t="s">
        <v>1440</v>
      </c>
      <c r="B420" t="s">
        <v>1441</v>
      </c>
      <c r="C420" t="s">
        <v>1925</v>
      </c>
      <c r="D420" t="s">
        <v>1443</v>
      </c>
      <c r="E420" t="s">
        <v>1926</v>
      </c>
      <c r="F420" t="s">
        <v>1927</v>
      </c>
      <c r="J420" t="s">
        <v>1926</v>
      </c>
      <c r="K420" t="s">
        <v>1446</v>
      </c>
      <c r="L420" t="s">
        <v>1389</v>
      </c>
    </row>
    <row r="421" spans="1:12">
      <c r="A421" t="s">
        <v>1440</v>
      </c>
      <c r="B421" t="s">
        <v>1441</v>
      </c>
      <c r="C421" t="s">
        <v>1928</v>
      </c>
      <c r="D421" t="s">
        <v>1443</v>
      </c>
      <c r="E421" t="s">
        <v>1929</v>
      </c>
      <c r="F421" t="s">
        <v>1930</v>
      </c>
      <c r="J421" t="s">
        <v>1929</v>
      </c>
      <c r="K421" t="s">
        <v>1446</v>
      </c>
      <c r="L421" t="s">
        <v>1389</v>
      </c>
    </row>
    <row r="422" spans="1:12">
      <c r="A422" t="s">
        <v>1440</v>
      </c>
      <c r="B422" t="s">
        <v>1441</v>
      </c>
      <c r="C422" t="s">
        <v>1931</v>
      </c>
      <c r="D422" t="s">
        <v>1443</v>
      </c>
      <c r="E422" t="s">
        <v>1932</v>
      </c>
      <c r="F422" t="s">
        <v>1933</v>
      </c>
      <c r="J422" t="s">
        <v>1932</v>
      </c>
      <c r="K422" t="s">
        <v>1446</v>
      </c>
      <c r="L422" t="s">
        <v>1389</v>
      </c>
    </row>
    <row r="423" spans="1:12">
      <c r="A423" t="s">
        <v>1440</v>
      </c>
      <c r="B423" t="s">
        <v>1441</v>
      </c>
      <c r="C423" t="s">
        <v>1934</v>
      </c>
      <c r="D423" t="s">
        <v>1443</v>
      </c>
      <c r="E423" t="s">
        <v>1935</v>
      </c>
      <c r="F423" t="s">
        <v>1936</v>
      </c>
      <c r="J423" t="s">
        <v>1935</v>
      </c>
      <c r="K423" t="s">
        <v>1446</v>
      </c>
      <c r="L423" t="s">
        <v>1389</v>
      </c>
    </row>
    <row r="424" spans="1:12">
      <c r="A424" t="s">
        <v>1440</v>
      </c>
      <c r="B424" t="s">
        <v>1441</v>
      </c>
      <c r="C424" t="s">
        <v>1937</v>
      </c>
      <c r="D424" t="s">
        <v>1443</v>
      </c>
      <c r="E424" t="s">
        <v>1938</v>
      </c>
      <c r="F424" t="s">
        <v>1939</v>
      </c>
    </row>
    <row r="425" spans="1:12">
      <c r="A425" t="s">
        <v>1440</v>
      </c>
      <c r="B425" t="s">
        <v>1441</v>
      </c>
      <c r="C425" t="s">
        <v>1940</v>
      </c>
      <c r="D425" t="s">
        <v>1443</v>
      </c>
      <c r="E425" t="s">
        <v>1941</v>
      </c>
      <c r="F425" t="s">
        <v>1942</v>
      </c>
      <c r="J425" t="s">
        <v>1941</v>
      </c>
      <c r="K425" t="s">
        <v>1446</v>
      </c>
      <c r="L425" t="s">
        <v>1389</v>
      </c>
    </row>
    <row r="426" spans="1:12">
      <c r="A426" t="s">
        <v>1440</v>
      </c>
      <c r="B426" t="s">
        <v>1441</v>
      </c>
      <c r="C426" t="s">
        <v>1943</v>
      </c>
      <c r="D426" t="s">
        <v>1443</v>
      </c>
      <c r="E426" t="s">
        <v>1944</v>
      </c>
      <c r="F426" t="s">
        <v>1945</v>
      </c>
      <c r="J426" t="s">
        <v>1944</v>
      </c>
      <c r="K426" t="s">
        <v>1446</v>
      </c>
      <c r="L426" t="s">
        <v>1389</v>
      </c>
    </row>
    <row r="427" spans="1:12">
      <c r="A427" t="s">
        <v>1440</v>
      </c>
      <c r="B427" t="s">
        <v>1441</v>
      </c>
      <c r="C427" t="s">
        <v>1946</v>
      </c>
      <c r="D427" t="s">
        <v>1443</v>
      </c>
      <c r="E427" t="s">
        <v>1947</v>
      </c>
      <c r="F427" t="s">
        <v>1948</v>
      </c>
      <c r="J427" t="s">
        <v>1947</v>
      </c>
      <c r="K427" t="s">
        <v>1446</v>
      </c>
      <c r="L427" t="s">
        <v>1389</v>
      </c>
    </row>
    <row r="428" spans="1:12">
      <c r="A428" t="s">
        <v>1440</v>
      </c>
      <c r="B428" t="s">
        <v>1441</v>
      </c>
      <c r="C428" t="s">
        <v>1949</v>
      </c>
      <c r="D428" t="s">
        <v>1443</v>
      </c>
      <c r="E428" t="s">
        <v>1950</v>
      </c>
      <c r="F428" t="s">
        <v>1951</v>
      </c>
      <c r="J428" t="s">
        <v>1950</v>
      </c>
      <c r="K428" t="s">
        <v>1446</v>
      </c>
      <c r="L428" t="s">
        <v>1389</v>
      </c>
    </row>
    <row r="429" spans="1:12">
      <c r="A429" t="s">
        <v>1440</v>
      </c>
      <c r="B429" t="s">
        <v>1441</v>
      </c>
      <c r="C429" t="s">
        <v>1952</v>
      </c>
      <c r="D429" t="s">
        <v>1443</v>
      </c>
      <c r="E429" t="s">
        <v>1953</v>
      </c>
      <c r="F429" t="s">
        <v>1954</v>
      </c>
      <c r="J429" t="s">
        <v>1953</v>
      </c>
      <c r="K429" t="s">
        <v>1446</v>
      </c>
      <c r="L429" t="s">
        <v>1389</v>
      </c>
    </row>
    <row r="430" spans="1:12">
      <c r="A430" t="s">
        <v>1440</v>
      </c>
      <c r="B430" t="s">
        <v>1441</v>
      </c>
      <c r="C430" t="s">
        <v>1955</v>
      </c>
      <c r="D430" t="s">
        <v>1443</v>
      </c>
      <c r="E430" t="s">
        <v>1956</v>
      </c>
      <c r="F430" t="s">
        <v>1957</v>
      </c>
    </row>
    <row r="431" spans="1:12">
      <c r="A431" t="s">
        <v>1440</v>
      </c>
      <c r="B431" t="s">
        <v>1441</v>
      </c>
      <c r="C431" t="s">
        <v>1958</v>
      </c>
      <c r="D431" t="s">
        <v>1443</v>
      </c>
      <c r="E431" t="s">
        <v>1959</v>
      </c>
      <c r="F431" t="s">
        <v>1960</v>
      </c>
      <c r="J431" t="s">
        <v>1959</v>
      </c>
      <c r="K431" t="s">
        <v>1446</v>
      </c>
      <c r="L431" t="s">
        <v>1389</v>
      </c>
    </row>
    <row r="432" spans="1:12">
      <c r="A432" t="s">
        <v>1440</v>
      </c>
      <c r="B432" t="s">
        <v>1441</v>
      </c>
      <c r="C432" t="s">
        <v>1961</v>
      </c>
      <c r="D432" t="s">
        <v>1443</v>
      </c>
      <c r="E432" t="s">
        <v>1962</v>
      </c>
      <c r="F432" t="s">
        <v>1963</v>
      </c>
      <c r="J432" t="s">
        <v>1962</v>
      </c>
      <c r="K432" t="s">
        <v>1446</v>
      </c>
      <c r="L432" t="s">
        <v>1389</v>
      </c>
    </row>
    <row r="433" spans="1:12">
      <c r="A433" t="s">
        <v>1440</v>
      </c>
      <c r="B433" t="s">
        <v>1441</v>
      </c>
      <c r="C433" t="s">
        <v>1964</v>
      </c>
      <c r="D433" t="s">
        <v>1443</v>
      </c>
      <c r="E433" t="s">
        <v>1965</v>
      </c>
      <c r="F433" t="s">
        <v>1966</v>
      </c>
      <c r="J433" t="s">
        <v>1965</v>
      </c>
      <c r="K433" t="s">
        <v>1446</v>
      </c>
      <c r="L433" t="s">
        <v>1389</v>
      </c>
    </row>
    <row r="434" spans="1:12">
      <c r="A434" t="s">
        <v>1440</v>
      </c>
      <c r="B434" t="s">
        <v>1441</v>
      </c>
      <c r="C434" t="s">
        <v>1967</v>
      </c>
      <c r="D434" t="s">
        <v>1443</v>
      </c>
      <c r="E434" t="s">
        <v>1968</v>
      </c>
      <c r="F434" t="s">
        <v>1969</v>
      </c>
      <c r="J434" t="s">
        <v>1968</v>
      </c>
      <c r="K434" t="s">
        <v>1446</v>
      </c>
      <c r="L434" t="s">
        <v>1389</v>
      </c>
    </row>
    <row r="435" spans="1:12">
      <c r="A435" t="s">
        <v>1440</v>
      </c>
      <c r="B435" t="s">
        <v>1441</v>
      </c>
      <c r="C435" t="s">
        <v>1970</v>
      </c>
      <c r="D435" t="s">
        <v>1443</v>
      </c>
      <c r="E435" t="s">
        <v>1971</v>
      </c>
      <c r="F435" t="s">
        <v>1972</v>
      </c>
      <c r="J435" t="s">
        <v>1971</v>
      </c>
      <c r="K435" t="s">
        <v>1446</v>
      </c>
      <c r="L435" t="s">
        <v>1389</v>
      </c>
    </row>
    <row r="436" spans="1:12">
      <c r="A436" t="s">
        <v>1440</v>
      </c>
      <c r="B436" t="s">
        <v>1441</v>
      </c>
      <c r="C436" t="s">
        <v>1973</v>
      </c>
      <c r="D436" t="s">
        <v>1443</v>
      </c>
      <c r="E436" t="s">
        <v>1974</v>
      </c>
      <c r="F436" t="s">
        <v>1975</v>
      </c>
      <c r="J436" t="s">
        <v>1974</v>
      </c>
      <c r="K436" t="s">
        <v>1446</v>
      </c>
      <c r="L436" t="s">
        <v>1389</v>
      </c>
    </row>
    <row r="437" spans="1:12">
      <c r="A437" t="s">
        <v>1440</v>
      </c>
      <c r="B437" t="s">
        <v>1441</v>
      </c>
      <c r="C437" t="s">
        <v>1976</v>
      </c>
      <c r="D437" t="s">
        <v>1443</v>
      </c>
      <c r="E437" t="s">
        <v>1977</v>
      </c>
      <c r="F437" t="s">
        <v>1978</v>
      </c>
      <c r="J437" t="s">
        <v>1977</v>
      </c>
      <c r="K437" t="s">
        <v>1446</v>
      </c>
      <c r="L437" t="s">
        <v>1389</v>
      </c>
    </row>
    <row r="438" spans="1:12">
      <c r="A438" t="s">
        <v>1440</v>
      </c>
      <c r="B438" t="s">
        <v>1441</v>
      </c>
      <c r="C438" t="s">
        <v>1979</v>
      </c>
      <c r="D438" t="s">
        <v>1443</v>
      </c>
      <c r="E438" t="s">
        <v>1980</v>
      </c>
      <c r="F438" t="s">
        <v>1981</v>
      </c>
      <c r="J438" t="s">
        <v>1980</v>
      </c>
      <c r="K438" t="s">
        <v>1446</v>
      </c>
      <c r="L438" t="s">
        <v>1389</v>
      </c>
    </row>
    <row r="439" spans="1:12">
      <c r="A439" t="s">
        <v>1440</v>
      </c>
      <c r="B439" t="s">
        <v>1441</v>
      </c>
      <c r="C439" t="s">
        <v>1982</v>
      </c>
      <c r="D439" t="s">
        <v>1443</v>
      </c>
      <c r="E439" t="s">
        <v>1983</v>
      </c>
      <c r="F439" t="s">
        <v>1984</v>
      </c>
      <c r="J439" t="s">
        <v>1983</v>
      </c>
      <c r="K439" t="s">
        <v>1446</v>
      </c>
      <c r="L439" t="s">
        <v>1389</v>
      </c>
    </row>
    <row r="440" spans="1:12">
      <c r="A440" t="s">
        <v>1440</v>
      </c>
      <c r="B440" t="s">
        <v>1441</v>
      </c>
      <c r="C440" t="s">
        <v>1985</v>
      </c>
      <c r="D440" t="s">
        <v>1443</v>
      </c>
      <c r="E440" t="s">
        <v>1986</v>
      </c>
      <c r="F440" t="s">
        <v>1987</v>
      </c>
      <c r="J440" t="s">
        <v>1986</v>
      </c>
      <c r="K440" t="s">
        <v>1446</v>
      </c>
      <c r="L440" t="s">
        <v>1389</v>
      </c>
    </row>
    <row r="441" spans="1:12">
      <c r="A441" t="s">
        <v>1440</v>
      </c>
      <c r="B441" t="s">
        <v>1441</v>
      </c>
      <c r="C441" t="s">
        <v>1988</v>
      </c>
      <c r="D441" t="s">
        <v>1443</v>
      </c>
      <c r="E441" t="s">
        <v>1989</v>
      </c>
      <c r="F441" t="s">
        <v>1990</v>
      </c>
      <c r="J441" t="s">
        <v>1989</v>
      </c>
      <c r="K441" t="s">
        <v>1446</v>
      </c>
      <c r="L441" t="s">
        <v>1389</v>
      </c>
    </row>
    <row r="442" spans="1:12">
      <c r="A442" t="s">
        <v>1440</v>
      </c>
      <c r="B442" t="s">
        <v>1441</v>
      </c>
      <c r="C442" t="s">
        <v>1991</v>
      </c>
      <c r="D442" t="s">
        <v>1443</v>
      </c>
      <c r="E442" t="s">
        <v>1992</v>
      </c>
      <c r="F442" t="s">
        <v>1993</v>
      </c>
      <c r="J442" t="s">
        <v>1992</v>
      </c>
      <c r="K442" t="s">
        <v>1446</v>
      </c>
      <c r="L442" t="s">
        <v>1389</v>
      </c>
    </row>
    <row r="443" spans="1:12">
      <c r="A443" t="s">
        <v>1440</v>
      </c>
      <c r="B443" t="s">
        <v>1441</v>
      </c>
      <c r="C443" t="s">
        <v>1994</v>
      </c>
      <c r="D443" t="s">
        <v>1443</v>
      </c>
      <c r="E443" t="s">
        <v>1995</v>
      </c>
      <c r="F443" t="s">
        <v>1996</v>
      </c>
      <c r="J443" t="s">
        <v>1995</v>
      </c>
      <c r="K443" t="s">
        <v>1446</v>
      </c>
      <c r="L443" t="s">
        <v>1389</v>
      </c>
    </row>
    <row r="444" spans="1:12">
      <c r="A444" t="s">
        <v>1440</v>
      </c>
      <c r="B444" t="s">
        <v>1441</v>
      </c>
      <c r="C444" t="s">
        <v>1997</v>
      </c>
      <c r="D444" t="s">
        <v>1443</v>
      </c>
      <c r="E444" t="s">
        <v>1998</v>
      </c>
      <c r="F444" t="s">
        <v>1999</v>
      </c>
      <c r="J444" t="s">
        <v>1998</v>
      </c>
      <c r="K444" t="s">
        <v>1446</v>
      </c>
      <c r="L444" t="s">
        <v>1389</v>
      </c>
    </row>
    <row r="445" spans="1:12">
      <c r="A445" t="s">
        <v>1440</v>
      </c>
      <c r="B445" t="s">
        <v>1441</v>
      </c>
      <c r="C445" t="s">
        <v>2000</v>
      </c>
      <c r="D445" t="s">
        <v>1443</v>
      </c>
      <c r="E445" t="s">
        <v>2001</v>
      </c>
      <c r="F445" t="s">
        <v>2002</v>
      </c>
    </row>
    <row r="446" spans="1:12">
      <c r="A446" t="s">
        <v>1440</v>
      </c>
      <c r="B446" t="s">
        <v>1441</v>
      </c>
      <c r="C446" t="s">
        <v>2003</v>
      </c>
      <c r="D446" t="s">
        <v>1443</v>
      </c>
      <c r="E446" t="s">
        <v>2004</v>
      </c>
      <c r="F446" t="s">
        <v>2005</v>
      </c>
      <c r="J446" t="s">
        <v>2004</v>
      </c>
      <c r="K446" t="s">
        <v>1446</v>
      </c>
      <c r="L446" t="s">
        <v>1389</v>
      </c>
    </row>
    <row r="447" spans="1:12">
      <c r="A447" t="s">
        <v>1440</v>
      </c>
      <c r="B447" t="s">
        <v>1441</v>
      </c>
      <c r="C447" t="s">
        <v>2006</v>
      </c>
      <c r="D447" t="s">
        <v>1443</v>
      </c>
      <c r="E447" t="s">
        <v>2007</v>
      </c>
      <c r="F447" t="s">
        <v>2008</v>
      </c>
      <c r="J447" t="s">
        <v>2007</v>
      </c>
      <c r="K447" t="s">
        <v>1446</v>
      </c>
      <c r="L447" t="s">
        <v>1389</v>
      </c>
    </row>
    <row r="448" spans="1:12">
      <c r="A448" t="s">
        <v>1440</v>
      </c>
      <c r="B448" t="s">
        <v>1441</v>
      </c>
      <c r="C448" t="s">
        <v>2009</v>
      </c>
      <c r="D448" t="s">
        <v>1443</v>
      </c>
      <c r="E448" t="s">
        <v>2010</v>
      </c>
      <c r="F448" t="s">
        <v>2011</v>
      </c>
      <c r="J448" t="s">
        <v>2010</v>
      </c>
      <c r="K448" t="s">
        <v>1446</v>
      </c>
      <c r="L448" t="s">
        <v>1389</v>
      </c>
    </row>
    <row r="449" spans="1:12">
      <c r="A449" t="s">
        <v>1440</v>
      </c>
      <c r="B449" t="s">
        <v>1441</v>
      </c>
      <c r="C449" t="s">
        <v>2012</v>
      </c>
      <c r="D449" t="s">
        <v>1443</v>
      </c>
      <c r="E449" t="s">
        <v>2013</v>
      </c>
      <c r="F449" t="s">
        <v>2014</v>
      </c>
      <c r="J449" t="s">
        <v>2013</v>
      </c>
      <c r="K449" t="s">
        <v>1446</v>
      </c>
      <c r="L449" t="s">
        <v>1389</v>
      </c>
    </row>
    <row r="450" spans="1:12">
      <c r="A450" t="s">
        <v>1440</v>
      </c>
      <c r="B450" t="s">
        <v>1441</v>
      </c>
      <c r="C450" t="s">
        <v>2015</v>
      </c>
      <c r="D450" t="s">
        <v>1443</v>
      </c>
      <c r="E450" t="s">
        <v>2016</v>
      </c>
      <c r="F450" t="s">
        <v>2017</v>
      </c>
      <c r="J450" t="s">
        <v>2016</v>
      </c>
      <c r="K450" t="s">
        <v>1446</v>
      </c>
      <c r="L450" t="s">
        <v>1389</v>
      </c>
    </row>
    <row r="451" spans="1:12">
      <c r="A451" t="s">
        <v>1440</v>
      </c>
      <c r="B451" t="s">
        <v>1441</v>
      </c>
      <c r="C451" t="s">
        <v>2018</v>
      </c>
      <c r="D451" t="s">
        <v>1443</v>
      </c>
      <c r="E451" t="s">
        <v>2019</v>
      </c>
      <c r="F451" t="s">
        <v>2020</v>
      </c>
      <c r="J451" t="s">
        <v>2019</v>
      </c>
      <c r="K451" t="s">
        <v>1446</v>
      </c>
      <c r="L451" t="s">
        <v>1389</v>
      </c>
    </row>
    <row r="452" spans="1:12">
      <c r="A452" t="s">
        <v>1440</v>
      </c>
      <c r="B452" t="s">
        <v>1441</v>
      </c>
      <c r="C452" t="s">
        <v>2021</v>
      </c>
      <c r="D452" t="s">
        <v>1443</v>
      </c>
      <c r="E452" t="s">
        <v>2022</v>
      </c>
      <c r="F452" t="s">
        <v>2023</v>
      </c>
      <c r="J452" t="s">
        <v>2022</v>
      </c>
      <c r="K452" t="s">
        <v>1446</v>
      </c>
      <c r="L452" t="s">
        <v>1389</v>
      </c>
    </row>
    <row r="453" spans="1:12">
      <c r="A453" t="s">
        <v>1440</v>
      </c>
      <c r="B453" t="s">
        <v>1441</v>
      </c>
      <c r="C453" t="s">
        <v>2024</v>
      </c>
      <c r="D453" t="s">
        <v>1443</v>
      </c>
      <c r="E453" t="s">
        <v>2025</v>
      </c>
      <c r="F453" t="s">
        <v>2026</v>
      </c>
      <c r="J453" t="s">
        <v>2025</v>
      </c>
      <c r="K453" t="s">
        <v>1446</v>
      </c>
      <c r="L453" t="s">
        <v>1389</v>
      </c>
    </row>
    <row r="454" spans="1:12">
      <c r="A454" t="s">
        <v>1440</v>
      </c>
      <c r="B454" t="s">
        <v>1441</v>
      </c>
      <c r="C454" t="s">
        <v>2027</v>
      </c>
      <c r="D454" t="s">
        <v>1443</v>
      </c>
      <c r="E454" t="s">
        <v>2028</v>
      </c>
      <c r="F454" t="s">
        <v>2029</v>
      </c>
      <c r="J454" t="s">
        <v>2028</v>
      </c>
      <c r="K454" t="s">
        <v>1446</v>
      </c>
      <c r="L454" t="s">
        <v>1389</v>
      </c>
    </row>
    <row r="455" spans="1:12">
      <c r="A455" t="s">
        <v>1440</v>
      </c>
      <c r="B455" t="s">
        <v>1441</v>
      </c>
      <c r="C455" t="s">
        <v>2030</v>
      </c>
      <c r="D455" t="s">
        <v>1443</v>
      </c>
      <c r="E455" t="s">
        <v>2031</v>
      </c>
      <c r="F455" t="s">
        <v>2032</v>
      </c>
      <c r="J455" t="s">
        <v>2031</v>
      </c>
      <c r="K455" t="s">
        <v>1446</v>
      </c>
      <c r="L455" t="s">
        <v>1389</v>
      </c>
    </row>
    <row r="456" spans="1:12">
      <c r="A456" t="s">
        <v>1440</v>
      </c>
      <c r="B456" t="s">
        <v>1441</v>
      </c>
      <c r="C456" t="s">
        <v>2033</v>
      </c>
      <c r="D456" t="s">
        <v>1443</v>
      </c>
      <c r="E456" t="s">
        <v>2034</v>
      </c>
      <c r="F456" t="s">
        <v>2035</v>
      </c>
      <c r="J456" t="s">
        <v>2034</v>
      </c>
      <c r="K456" t="s">
        <v>1446</v>
      </c>
      <c r="L456" t="s">
        <v>1389</v>
      </c>
    </row>
    <row r="457" spans="1:12">
      <c r="A457" t="s">
        <v>1440</v>
      </c>
      <c r="B457" t="s">
        <v>1441</v>
      </c>
      <c r="C457" t="s">
        <v>2036</v>
      </c>
      <c r="D457" t="s">
        <v>1443</v>
      </c>
      <c r="E457" t="s">
        <v>2037</v>
      </c>
      <c r="F457" t="s">
        <v>2038</v>
      </c>
      <c r="J457" t="s">
        <v>2037</v>
      </c>
      <c r="K457" t="s">
        <v>1446</v>
      </c>
      <c r="L457" t="s">
        <v>1389</v>
      </c>
    </row>
    <row r="458" spans="1:12">
      <c r="A458" t="s">
        <v>1440</v>
      </c>
      <c r="B458" t="s">
        <v>1441</v>
      </c>
      <c r="C458" t="s">
        <v>2039</v>
      </c>
      <c r="D458" t="s">
        <v>1443</v>
      </c>
      <c r="E458" t="s">
        <v>2040</v>
      </c>
      <c r="F458" t="s">
        <v>2041</v>
      </c>
      <c r="J458" t="s">
        <v>2040</v>
      </c>
      <c r="K458" t="s">
        <v>1446</v>
      </c>
      <c r="L458" t="s">
        <v>1389</v>
      </c>
    </row>
    <row r="459" spans="1:12">
      <c r="A459" t="s">
        <v>1440</v>
      </c>
      <c r="B459" t="s">
        <v>1441</v>
      </c>
      <c r="C459" t="s">
        <v>2042</v>
      </c>
      <c r="D459" t="s">
        <v>1443</v>
      </c>
      <c r="E459" t="s">
        <v>2043</v>
      </c>
      <c r="F459" t="s">
        <v>2044</v>
      </c>
      <c r="J459" t="s">
        <v>2043</v>
      </c>
      <c r="K459" t="s">
        <v>1446</v>
      </c>
      <c r="L459" t="s">
        <v>1389</v>
      </c>
    </row>
    <row r="460" spans="1:12">
      <c r="A460" t="s">
        <v>1440</v>
      </c>
      <c r="B460" t="s">
        <v>1441</v>
      </c>
      <c r="C460" t="s">
        <v>2045</v>
      </c>
      <c r="D460" t="s">
        <v>1443</v>
      </c>
      <c r="E460" t="s">
        <v>2046</v>
      </c>
      <c r="F460" t="s">
        <v>2047</v>
      </c>
      <c r="J460" t="s">
        <v>2046</v>
      </c>
      <c r="K460" t="s">
        <v>1446</v>
      </c>
      <c r="L460" t="s">
        <v>1389</v>
      </c>
    </row>
    <row r="461" spans="1:12">
      <c r="A461" t="s">
        <v>1440</v>
      </c>
      <c r="B461" t="s">
        <v>1441</v>
      </c>
      <c r="C461" t="s">
        <v>2048</v>
      </c>
      <c r="D461" t="s">
        <v>1443</v>
      </c>
      <c r="E461" t="s">
        <v>2049</v>
      </c>
      <c r="F461" t="s">
        <v>2050</v>
      </c>
      <c r="J461" t="s">
        <v>2049</v>
      </c>
      <c r="K461" t="s">
        <v>1446</v>
      </c>
      <c r="L461" t="s">
        <v>1389</v>
      </c>
    </row>
    <row r="462" spans="1:12">
      <c r="A462" t="s">
        <v>1440</v>
      </c>
      <c r="B462" t="s">
        <v>1441</v>
      </c>
      <c r="C462" t="s">
        <v>2051</v>
      </c>
      <c r="D462" t="s">
        <v>1443</v>
      </c>
      <c r="E462" t="s">
        <v>2052</v>
      </c>
      <c r="F462" t="s">
        <v>2053</v>
      </c>
    </row>
    <row r="463" spans="1:12">
      <c r="A463" t="s">
        <v>1440</v>
      </c>
      <c r="B463" t="s">
        <v>1441</v>
      </c>
      <c r="C463" t="s">
        <v>2054</v>
      </c>
      <c r="D463" t="s">
        <v>1443</v>
      </c>
      <c r="E463" t="s">
        <v>2055</v>
      </c>
      <c r="F463" t="s">
        <v>2056</v>
      </c>
      <c r="J463" t="s">
        <v>2055</v>
      </c>
      <c r="K463" t="s">
        <v>1446</v>
      </c>
      <c r="L463" t="s">
        <v>1389</v>
      </c>
    </row>
    <row r="464" spans="1:12">
      <c r="A464" t="s">
        <v>1440</v>
      </c>
      <c r="B464" t="s">
        <v>1441</v>
      </c>
      <c r="C464" t="s">
        <v>2057</v>
      </c>
      <c r="D464" t="s">
        <v>1443</v>
      </c>
      <c r="E464" t="s">
        <v>2058</v>
      </c>
      <c r="F464" t="s">
        <v>2059</v>
      </c>
      <c r="J464" t="s">
        <v>2058</v>
      </c>
      <c r="K464" t="s">
        <v>1446</v>
      </c>
      <c r="L464" t="s">
        <v>1389</v>
      </c>
    </row>
    <row r="465" spans="1:12">
      <c r="A465" t="s">
        <v>1440</v>
      </c>
      <c r="B465" t="s">
        <v>1441</v>
      </c>
      <c r="C465" t="s">
        <v>2060</v>
      </c>
      <c r="D465" t="s">
        <v>1443</v>
      </c>
      <c r="E465" t="s">
        <v>2061</v>
      </c>
      <c r="F465" t="s">
        <v>2062</v>
      </c>
      <c r="J465" t="s">
        <v>2061</v>
      </c>
      <c r="K465" t="s">
        <v>1446</v>
      </c>
      <c r="L465" t="s">
        <v>1389</v>
      </c>
    </row>
    <row r="466" spans="1:12">
      <c r="A466" t="s">
        <v>1440</v>
      </c>
      <c r="B466" t="s">
        <v>1441</v>
      </c>
      <c r="C466" t="s">
        <v>2063</v>
      </c>
      <c r="D466" t="s">
        <v>1443</v>
      </c>
      <c r="E466" t="s">
        <v>2064</v>
      </c>
      <c r="F466" t="s">
        <v>2065</v>
      </c>
      <c r="J466" t="s">
        <v>2064</v>
      </c>
      <c r="K466" t="s">
        <v>1446</v>
      </c>
      <c r="L466" t="s">
        <v>1389</v>
      </c>
    </row>
    <row r="467" spans="1:12">
      <c r="A467" t="s">
        <v>1440</v>
      </c>
      <c r="B467" t="s">
        <v>1441</v>
      </c>
      <c r="C467" t="s">
        <v>2066</v>
      </c>
      <c r="D467" t="s">
        <v>1443</v>
      </c>
      <c r="E467" t="s">
        <v>2067</v>
      </c>
      <c r="F467" t="s">
        <v>2068</v>
      </c>
      <c r="J467" t="s">
        <v>2067</v>
      </c>
      <c r="K467" t="s">
        <v>1446</v>
      </c>
      <c r="L467" t="s">
        <v>1389</v>
      </c>
    </row>
    <row r="468" spans="1:12">
      <c r="A468" t="s">
        <v>1440</v>
      </c>
      <c r="B468" t="s">
        <v>1441</v>
      </c>
      <c r="C468" t="s">
        <v>2069</v>
      </c>
      <c r="D468" t="s">
        <v>1443</v>
      </c>
      <c r="E468" t="s">
        <v>2070</v>
      </c>
      <c r="F468" t="s">
        <v>2071</v>
      </c>
    </row>
    <row r="469" spans="1:12">
      <c r="A469" t="s">
        <v>1440</v>
      </c>
      <c r="B469" t="s">
        <v>1441</v>
      </c>
      <c r="C469" t="s">
        <v>2072</v>
      </c>
      <c r="D469" t="s">
        <v>1443</v>
      </c>
      <c r="E469" t="s">
        <v>2073</v>
      </c>
      <c r="F469" t="s">
        <v>2074</v>
      </c>
      <c r="J469" t="s">
        <v>2073</v>
      </c>
      <c r="K469" t="s">
        <v>1446</v>
      </c>
      <c r="L469" t="s">
        <v>1389</v>
      </c>
    </row>
    <row r="470" spans="1:12">
      <c r="A470" t="s">
        <v>1440</v>
      </c>
      <c r="B470" t="s">
        <v>1441</v>
      </c>
      <c r="C470" t="s">
        <v>2075</v>
      </c>
      <c r="D470" t="s">
        <v>1443</v>
      </c>
      <c r="E470" t="s">
        <v>2076</v>
      </c>
      <c r="F470" t="s">
        <v>2077</v>
      </c>
      <c r="J470" t="s">
        <v>2076</v>
      </c>
      <c r="K470" t="s">
        <v>1446</v>
      </c>
      <c r="L470" t="s">
        <v>1389</v>
      </c>
    </row>
    <row r="471" spans="1:12">
      <c r="A471" t="s">
        <v>1440</v>
      </c>
      <c r="B471" t="s">
        <v>1441</v>
      </c>
      <c r="C471" t="s">
        <v>2078</v>
      </c>
      <c r="D471" t="s">
        <v>1443</v>
      </c>
      <c r="E471" t="s">
        <v>2079</v>
      </c>
      <c r="F471" t="s">
        <v>2080</v>
      </c>
      <c r="J471" t="s">
        <v>2079</v>
      </c>
      <c r="K471" t="s">
        <v>1446</v>
      </c>
      <c r="L471" t="s">
        <v>1389</v>
      </c>
    </row>
    <row r="472" spans="1:12">
      <c r="A472" t="s">
        <v>1440</v>
      </c>
      <c r="B472" t="s">
        <v>1441</v>
      </c>
      <c r="C472" t="s">
        <v>2081</v>
      </c>
      <c r="D472" t="s">
        <v>1443</v>
      </c>
      <c r="E472" t="s">
        <v>2082</v>
      </c>
      <c r="F472" t="s">
        <v>2083</v>
      </c>
      <c r="J472" t="s">
        <v>2082</v>
      </c>
      <c r="K472" t="s">
        <v>1446</v>
      </c>
      <c r="L472" t="s">
        <v>1389</v>
      </c>
    </row>
    <row r="473" spans="1:12">
      <c r="A473" t="s">
        <v>1440</v>
      </c>
      <c r="B473" t="s">
        <v>1441</v>
      </c>
      <c r="C473" t="s">
        <v>2084</v>
      </c>
      <c r="D473" t="s">
        <v>1443</v>
      </c>
      <c r="E473" t="s">
        <v>2085</v>
      </c>
      <c r="F473" t="s">
        <v>2086</v>
      </c>
      <c r="J473" t="s">
        <v>2085</v>
      </c>
      <c r="K473" t="s">
        <v>1446</v>
      </c>
      <c r="L473" t="s">
        <v>1389</v>
      </c>
    </row>
    <row r="474" spans="1:12">
      <c r="A474" t="s">
        <v>1440</v>
      </c>
      <c r="B474" t="s">
        <v>1441</v>
      </c>
      <c r="C474" t="s">
        <v>2087</v>
      </c>
      <c r="D474" t="s">
        <v>1443</v>
      </c>
      <c r="E474" t="s">
        <v>2088</v>
      </c>
      <c r="F474" t="s">
        <v>2089</v>
      </c>
      <c r="J474" t="s">
        <v>2088</v>
      </c>
      <c r="K474" t="s">
        <v>1446</v>
      </c>
      <c r="L474" t="s">
        <v>1389</v>
      </c>
    </row>
    <row r="475" spans="1:12">
      <c r="A475" t="s">
        <v>1440</v>
      </c>
      <c r="B475" t="s">
        <v>1441</v>
      </c>
      <c r="C475" t="s">
        <v>2090</v>
      </c>
      <c r="D475" t="s">
        <v>1443</v>
      </c>
      <c r="E475" t="s">
        <v>2091</v>
      </c>
      <c r="F475" t="s">
        <v>2092</v>
      </c>
      <c r="J475" t="s">
        <v>2091</v>
      </c>
      <c r="K475" t="s">
        <v>1446</v>
      </c>
      <c r="L475" t="s">
        <v>1389</v>
      </c>
    </row>
    <row r="476" spans="1:12">
      <c r="A476" t="s">
        <v>1440</v>
      </c>
      <c r="B476" t="s">
        <v>1441</v>
      </c>
      <c r="C476" t="s">
        <v>2093</v>
      </c>
      <c r="D476" t="s">
        <v>1443</v>
      </c>
      <c r="E476" t="s">
        <v>2094</v>
      </c>
      <c r="F476" t="s">
        <v>2095</v>
      </c>
      <c r="J476" t="s">
        <v>2094</v>
      </c>
      <c r="K476" t="s">
        <v>1446</v>
      </c>
      <c r="L476" t="s">
        <v>1389</v>
      </c>
    </row>
    <row r="477" spans="1:12">
      <c r="A477" t="s">
        <v>1440</v>
      </c>
      <c r="B477" t="s">
        <v>1441</v>
      </c>
      <c r="C477" t="s">
        <v>2096</v>
      </c>
      <c r="D477" t="s">
        <v>1443</v>
      </c>
      <c r="E477" t="s">
        <v>2097</v>
      </c>
      <c r="F477" t="s">
        <v>2098</v>
      </c>
      <c r="J477" t="s">
        <v>2097</v>
      </c>
      <c r="K477" t="s">
        <v>1446</v>
      </c>
      <c r="L477" t="s">
        <v>1389</v>
      </c>
    </row>
    <row r="478" spans="1:12">
      <c r="A478" t="s">
        <v>1440</v>
      </c>
      <c r="B478" t="s">
        <v>1441</v>
      </c>
      <c r="C478" t="s">
        <v>2099</v>
      </c>
      <c r="D478" t="s">
        <v>1443</v>
      </c>
      <c r="E478" t="s">
        <v>2100</v>
      </c>
      <c r="F478" t="s">
        <v>2101</v>
      </c>
      <c r="J478" t="s">
        <v>2100</v>
      </c>
      <c r="K478" t="s">
        <v>1446</v>
      </c>
      <c r="L478" t="s">
        <v>1389</v>
      </c>
    </row>
    <row r="479" spans="1:12">
      <c r="A479" t="s">
        <v>1440</v>
      </c>
      <c r="B479" t="s">
        <v>1441</v>
      </c>
      <c r="C479" t="s">
        <v>2102</v>
      </c>
      <c r="D479" t="s">
        <v>1443</v>
      </c>
      <c r="E479" t="s">
        <v>2103</v>
      </c>
      <c r="F479" t="s">
        <v>2104</v>
      </c>
      <c r="J479" t="s">
        <v>2103</v>
      </c>
      <c r="K479" t="s">
        <v>1446</v>
      </c>
      <c r="L479" t="s">
        <v>1389</v>
      </c>
    </row>
    <row r="480" spans="1:12">
      <c r="A480" t="s">
        <v>1440</v>
      </c>
      <c r="B480" t="s">
        <v>1441</v>
      </c>
      <c r="C480" t="s">
        <v>2105</v>
      </c>
      <c r="D480" t="s">
        <v>1443</v>
      </c>
      <c r="E480" t="s">
        <v>2106</v>
      </c>
      <c r="F480" t="s">
        <v>2107</v>
      </c>
      <c r="J480" t="s">
        <v>2106</v>
      </c>
      <c r="K480" t="s">
        <v>1446</v>
      </c>
      <c r="L480" t="s">
        <v>1389</v>
      </c>
    </row>
    <row r="481" spans="1:12">
      <c r="A481" t="s">
        <v>1440</v>
      </c>
      <c r="B481" t="s">
        <v>1441</v>
      </c>
      <c r="C481" t="s">
        <v>2108</v>
      </c>
      <c r="D481" t="s">
        <v>1443</v>
      </c>
      <c r="E481" t="s">
        <v>2109</v>
      </c>
      <c r="F481" t="s">
        <v>2110</v>
      </c>
      <c r="J481" t="s">
        <v>2109</v>
      </c>
      <c r="K481" t="s">
        <v>1446</v>
      </c>
      <c r="L481" t="s">
        <v>1389</v>
      </c>
    </row>
    <row r="482" spans="1:12">
      <c r="A482" t="s">
        <v>1440</v>
      </c>
      <c r="B482" t="s">
        <v>1441</v>
      </c>
      <c r="C482" t="s">
        <v>2111</v>
      </c>
      <c r="D482" t="s">
        <v>1443</v>
      </c>
      <c r="E482" t="s">
        <v>2112</v>
      </c>
      <c r="F482" t="s">
        <v>2113</v>
      </c>
      <c r="J482" t="s">
        <v>2112</v>
      </c>
      <c r="K482" t="s">
        <v>1446</v>
      </c>
      <c r="L482" t="s">
        <v>1389</v>
      </c>
    </row>
    <row r="483" spans="1:12">
      <c r="A483" t="s">
        <v>1440</v>
      </c>
      <c r="B483" t="s">
        <v>1441</v>
      </c>
      <c r="C483" t="s">
        <v>2114</v>
      </c>
      <c r="D483" t="s">
        <v>1443</v>
      </c>
      <c r="E483" t="s">
        <v>2115</v>
      </c>
      <c r="F483" t="s">
        <v>2116</v>
      </c>
      <c r="J483" t="s">
        <v>2115</v>
      </c>
      <c r="K483" t="s">
        <v>1446</v>
      </c>
      <c r="L483" t="s">
        <v>1389</v>
      </c>
    </row>
    <row r="484" spans="1:12">
      <c r="A484" t="s">
        <v>1440</v>
      </c>
      <c r="B484" t="s">
        <v>1441</v>
      </c>
      <c r="C484" t="s">
        <v>2117</v>
      </c>
      <c r="D484" t="s">
        <v>1443</v>
      </c>
      <c r="E484" t="s">
        <v>2118</v>
      </c>
      <c r="F484" t="s">
        <v>2119</v>
      </c>
      <c r="J484" t="s">
        <v>2118</v>
      </c>
      <c r="K484" t="s">
        <v>1446</v>
      </c>
      <c r="L484" t="s">
        <v>1389</v>
      </c>
    </row>
    <row r="485" spans="1:12">
      <c r="A485" t="s">
        <v>1440</v>
      </c>
      <c r="B485" t="s">
        <v>1441</v>
      </c>
      <c r="C485" t="s">
        <v>2120</v>
      </c>
      <c r="D485" t="s">
        <v>1443</v>
      </c>
      <c r="E485" t="s">
        <v>2121</v>
      </c>
      <c r="F485" t="s">
        <v>2122</v>
      </c>
      <c r="J485" t="s">
        <v>2121</v>
      </c>
      <c r="K485" t="s">
        <v>1446</v>
      </c>
      <c r="L485" t="s">
        <v>1389</v>
      </c>
    </row>
    <row r="486" spans="1:12">
      <c r="A486" t="s">
        <v>1440</v>
      </c>
      <c r="B486" t="s">
        <v>1441</v>
      </c>
      <c r="C486" t="s">
        <v>2123</v>
      </c>
      <c r="D486" t="s">
        <v>1443</v>
      </c>
      <c r="E486" t="s">
        <v>2124</v>
      </c>
      <c r="F486" t="s">
        <v>2125</v>
      </c>
      <c r="J486" t="s">
        <v>2124</v>
      </c>
      <c r="K486" t="s">
        <v>1446</v>
      </c>
      <c r="L486" t="s">
        <v>1389</v>
      </c>
    </row>
    <row r="487" spans="1:12">
      <c r="A487" t="s">
        <v>1440</v>
      </c>
      <c r="B487" t="s">
        <v>1441</v>
      </c>
      <c r="C487" t="s">
        <v>2126</v>
      </c>
      <c r="D487" t="s">
        <v>1443</v>
      </c>
      <c r="E487" t="s">
        <v>2127</v>
      </c>
      <c r="F487" t="s">
        <v>2128</v>
      </c>
      <c r="J487" t="s">
        <v>2127</v>
      </c>
      <c r="K487" t="s">
        <v>1446</v>
      </c>
      <c r="L487" t="s">
        <v>1389</v>
      </c>
    </row>
    <row r="488" spans="1:12">
      <c r="A488" t="s">
        <v>1440</v>
      </c>
      <c r="B488" t="s">
        <v>1441</v>
      </c>
      <c r="C488" t="s">
        <v>2129</v>
      </c>
      <c r="D488" t="s">
        <v>1443</v>
      </c>
      <c r="E488" t="s">
        <v>2130</v>
      </c>
      <c r="F488" t="s">
        <v>2131</v>
      </c>
      <c r="J488" t="s">
        <v>2130</v>
      </c>
      <c r="K488" t="s">
        <v>1446</v>
      </c>
      <c r="L488" t="s">
        <v>1389</v>
      </c>
    </row>
    <row r="489" spans="1:12">
      <c r="A489" t="s">
        <v>1440</v>
      </c>
      <c r="B489" t="s">
        <v>1441</v>
      </c>
      <c r="C489" t="s">
        <v>2132</v>
      </c>
      <c r="D489" t="s">
        <v>1443</v>
      </c>
      <c r="E489" t="s">
        <v>2133</v>
      </c>
      <c r="F489" t="s">
        <v>2134</v>
      </c>
      <c r="J489" t="s">
        <v>2133</v>
      </c>
      <c r="K489" t="s">
        <v>1446</v>
      </c>
      <c r="L489" t="s">
        <v>1389</v>
      </c>
    </row>
    <row r="490" spans="1:12">
      <c r="A490" t="s">
        <v>1440</v>
      </c>
      <c r="B490" t="s">
        <v>1441</v>
      </c>
      <c r="C490" t="s">
        <v>2135</v>
      </c>
      <c r="D490" t="s">
        <v>1443</v>
      </c>
      <c r="E490" t="s">
        <v>2136</v>
      </c>
      <c r="F490" t="s">
        <v>2137</v>
      </c>
      <c r="J490" t="s">
        <v>2136</v>
      </c>
      <c r="K490" t="s">
        <v>1446</v>
      </c>
      <c r="L490" t="s">
        <v>1389</v>
      </c>
    </row>
    <row r="491" spans="1:12">
      <c r="A491" t="s">
        <v>1440</v>
      </c>
      <c r="B491" t="s">
        <v>1441</v>
      </c>
      <c r="C491" t="s">
        <v>2138</v>
      </c>
      <c r="D491" t="s">
        <v>1443</v>
      </c>
      <c r="E491" t="s">
        <v>2139</v>
      </c>
      <c r="F491" t="s">
        <v>2140</v>
      </c>
      <c r="J491" t="s">
        <v>2139</v>
      </c>
      <c r="K491" t="s">
        <v>1446</v>
      </c>
      <c r="L491" t="s">
        <v>1389</v>
      </c>
    </row>
    <row r="492" spans="1:12">
      <c r="A492" t="s">
        <v>1440</v>
      </c>
      <c r="B492" t="s">
        <v>1441</v>
      </c>
      <c r="C492" t="s">
        <v>2141</v>
      </c>
      <c r="D492" t="s">
        <v>1443</v>
      </c>
      <c r="E492" t="s">
        <v>2142</v>
      </c>
      <c r="F492" t="s">
        <v>2143</v>
      </c>
    </row>
    <row r="493" spans="1:12">
      <c r="A493" t="s">
        <v>1440</v>
      </c>
      <c r="B493" t="s">
        <v>1441</v>
      </c>
      <c r="C493" t="s">
        <v>2144</v>
      </c>
      <c r="D493" t="s">
        <v>1443</v>
      </c>
      <c r="E493" t="s">
        <v>2145</v>
      </c>
      <c r="F493" t="s">
        <v>2146</v>
      </c>
    </row>
    <row r="494" spans="1:12">
      <c r="A494" t="s">
        <v>1440</v>
      </c>
      <c r="B494" t="s">
        <v>1441</v>
      </c>
      <c r="C494" t="s">
        <v>2147</v>
      </c>
      <c r="D494" t="s">
        <v>1443</v>
      </c>
      <c r="E494" t="s">
        <v>2148</v>
      </c>
      <c r="F494" t="s">
        <v>2149</v>
      </c>
      <c r="J494" t="s">
        <v>2148</v>
      </c>
      <c r="K494" t="s">
        <v>1446</v>
      </c>
      <c r="L494" t="s">
        <v>1389</v>
      </c>
    </row>
    <row r="495" spans="1:12">
      <c r="A495" t="s">
        <v>1440</v>
      </c>
      <c r="B495" t="s">
        <v>1441</v>
      </c>
      <c r="C495" t="s">
        <v>2150</v>
      </c>
      <c r="D495" t="s">
        <v>1443</v>
      </c>
      <c r="E495" t="s">
        <v>2151</v>
      </c>
      <c r="F495" t="s">
        <v>2152</v>
      </c>
      <c r="J495" t="s">
        <v>2151</v>
      </c>
      <c r="K495" t="s">
        <v>1446</v>
      </c>
      <c r="L495" t="s">
        <v>1389</v>
      </c>
    </row>
    <row r="496" spans="1:12">
      <c r="A496" t="s">
        <v>1440</v>
      </c>
      <c r="B496" t="s">
        <v>1441</v>
      </c>
      <c r="C496" t="s">
        <v>2153</v>
      </c>
      <c r="D496" t="s">
        <v>1443</v>
      </c>
      <c r="E496" t="s">
        <v>2154</v>
      </c>
      <c r="F496" t="s">
        <v>2155</v>
      </c>
      <c r="J496" t="s">
        <v>2154</v>
      </c>
      <c r="K496" t="s">
        <v>1446</v>
      </c>
      <c r="L496" t="s">
        <v>1389</v>
      </c>
    </row>
    <row r="497" spans="1:12">
      <c r="A497" t="s">
        <v>1440</v>
      </c>
      <c r="B497" t="s">
        <v>1441</v>
      </c>
      <c r="C497" t="s">
        <v>2156</v>
      </c>
      <c r="D497" t="s">
        <v>1443</v>
      </c>
      <c r="E497" t="s">
        <v>2157</v>
      </c>
      <c r="F497" t="s">
        <v>2158</v>
      </c>
      <c r="J497" t="s">
        <v>2157</v>
      </c>
      <c r="K497" t="s">
        <v>1446</v>
      </c>
      <c r="L497" t="s">
        <v>1389</v>
      </c>
    </row>
    <row r="498" spans="1:12">
      <c r="A498" t="s">
        <v>1440</v>
      </c>
      <c r="B498" t="s">
        <v>1441</v>
      </c>
      <c r="C498" t="s">
        <v>2159</v>
      </c>
      <c r="D498" t="s">
        <v>1443</v>
      </c>
      <c r="E498" t="s">
        <v>2160</v>
      </c>
      <c r="F498" t="s">
        <v>2161</v>
      </c>
      <c r="J498" t="s">
        <v>2160</v>
      </c>
      <c r="K498" t="s">
        <v>1446</v>
      </c>
      <c r="L498" t="s">
        <v>1389</v>
      </c>
    </row>
    <row r="499" spans="1:12">
      <c r="A499" t="s">
        <v>1440</v>
      </c>
      <c r="B499" t="s">
        <v>1441</v>
      </c>
      <c r="C499" t="s">
        <v>2162</v>
      </c>
      <c r="D499" t="s">
        <v>1443</v>
      </c>
      <c r="E499" t="s">
        <v>2163</v>
      </c>
      <c r="F499" t="s">
        <v>2164</v>
      </c>
      <c r="J499" t="s">
        <v>2163</v>
      </c>
      <c r="K499" t="s">
        <v>1446</v>
      </c>
      <c r="L499" t="s">
        <v>1389</v>
      </c>
    </row>
    <row r="500" spans="1:12">
      <c r="A500" t="s">
        <v>1440</v>
      </c>
      <c r="B500" t="s">
        <v>1441</v>
      </c>
      <c r="C500" t="s">
        <v>2165</v>
      </c>
      <c r="D500" t="s">
        <v>1443</v>
      </c>
      <c r="E500" t="s">
        <v>2166</v>
      </c>
      <c r="F500" t="s">
        <v>2167</v>
      </c>
      <c r="J500" t="s">
        <v>2166</v>
      </c>
      <c r="K500" t="s">
        <v>1446</v>
      </c>
      <c r="L500" t="s">
        <v>1389</v>
      </c>
    </row>
    <row r="501" spans="1:12">
      <c r="A501" t="s">
        <v>1440</v>
      </c>
      <c r="B501" t="s">
        <v>1441</v>
      </c>
      <c r="C501" t="s">
        <v>2168</v>
      </c>
      <c r="D501" t="s">
        <v>1443</v>
      </c>
      <c r="E501" t="s">
        <v>2169</v>
      </c>
      <c r="F501" t="s">
        <v>2170</v>
      </c>
      <c r="J501" t="s">
        <v>2169</v>
      </c>
      <c r="K501" t="s">
        <v>1446</v>
      </c>
      <c r="L501" t="s">
        <v>1389</v>
      </c>
    </row>
    <row r="502" spans="1:12">
      <c r="A502" t="s">
        <v>1440</v>
      </c>
      <c r="B502" t="s">
        <v>1441</v>
      </c>
      <c r="C502" t="s">
        <v>2171</v>
      </c>
      <c r="D502" t="s">
        <v>1443</v>
      </c>
      <c r="E502" t="s">
        <v>2172</v>
      </c>
      <c r="F502" t="s">
        <v>2173</v>
      </c>
      <c r="J502" t="s">
        <v>2172</v>
      </c>
      <c r="K502" t="s">
        <v>1446</v>
      </c>
      <c r="L502" t="s">
        <v>1389</v>
      </c>
    </row>
    <row r="503" spans="1:12">
      <c r="A503" t="s">
        <v>1440</v>
      </c>
      <c r="B503" t="s">
        <v>1441</v>
      </c>
      <c r="C503" t="s">
        <v>2174</v>
      </c>
      <c r="D503" t="s">
        <v>1443</v>
      </c>
      <c r="E503" t="s">
        <v>2175</v>
      </c>
      <c r="F503" t="s">
        <v>2176</v>
      </c>
      <c r="J503" t="s">
        <v>2175</v>
      </c>
      <c r="K503" t="s">
        <v>1446</v>
      </c>
      <c r="L503" t="s">
        <v>1389</v>
      </c>
    </row>
    <row r="504" spans="1:12">
      <c r="A504" t="s">
        <v>1440</v>
      </c>
      <c r="B504" t="s">
        <v>1441</v>
      </c>
      <c r="C504" t="s">
        <v>2177</v>
      </c>
      <c r="D504" t="s">
        <v>1443</v>
      </c>
      <c r="E504" t="s">
        <v>2178</v>
      </c>
      <c r="F504" t="s">
        <v>2179</v>
      </c>
      <c r="J504" t="s">
        <v>2178</v>
      </c>
      <c r="K504" t="s">
        <v>1446</v>
      </c>
      <c r="L504" t="s">
        <v>1389</v>
      </c>
    </row>
    <row r="505" spans="1:12">
      <c r="A505" t="s">
        <v>1440</v>
      </c>
      <c r="B505" t="s">
        <v>1441</v>
      </c>
      <c r="C505" t="s">
        <v>2180</v>
      </c>
      <c r="D505" t="s">
        <v>1443</v>
      </c>
      <c r="E505" t="s">
        <v>2181</v>
      </c>
      <c r="F505" t="s">
        <v>2182</v>
      </c>
      <c r="J505" t="s">
        <v>2181</v>
      </c>
      <c r="K505" t="s">
        <v>1446</v>
      </c>
      <c r="L505" t="s">
        <v>1389</v>
      </c>
    </row>
    <row r="506" spans="1:12">
      <c r="A506" t="s">
        <v>1440</v>
      </c>
      <c r="B506" t="s">
        <v>1441</v>
      </c>
      <c r="C506" t="s">
        <v>2183</v>
      </c>
      <c r="D506" t="s">
        <v>1443</v>
      </c>
      <c r="E506" t="s">
        <v>2184</v>
      </c>
      <c r="F506" t="s">
        <v>2185</v>
      </c>
      <c r="J506" t="s">
        <v>2184</v>
      </c>
      <c r="K506" t="s">
        <v>1446</v>
      </c>
      <c r="L506" t="s">
        <v>1389</v>
      </c>
    </row>
    <row r="507" spans="1:12">
      <c r="A507" t="s">
        <v>1440</v>
      </c>
      <c r="B507" t="s">
        <v>1441</v>
      </c>
      <c r="C507" t="s">
        <v>2186</v>
      </c>
      <c r="D507" t="s">
        <v>1443</v>
      </c>
      <c r="E507" t="s">
        <v>2187</v>
      </c>
      <c r="F507" t="s">
        <v>2188</v>
      </c>
    </row>
    <row r="508" spans="1:12">
      <c r="A508" t="s">
        <v>1440</v>
      </c>
      <c r="B508" t="s">
        <v>1441</v>
      </c>
      <c r="C508" t="s">
        <v>2189</v>
      </c>
      <c r="D508" t="s">
        <v>1443</v>
      </c>
      <c r="E508" t="s">
        <v>2190</v>
      </c>
      <c r="F508" t="s">
        <v>2191</v>
      </c>
      <c r="J508" t="s">
        <v>2190</v>
      </c>
      <c r="K508" t="s">
        <v>1446</v>
      </c>
      <c r="L508" t="s">
        <v>1389</v>
      </c>
    </row>
    <row r="509" spans="1:12">
      <c r="A509" t="s">
        <v>1440</v>
      </c>
      <c r="B509" t="s">
        <v>1441</v>
      </c>
      <c r="C509" t="s">
        <v>2192</v>
      </c>
      <c r="D509" t="s">
        <v>1443</v>
      </c>
      <c r="E509" t="s">
        <v>2193</v>
      </c>
      <c r="F509" t="s">
        <v>2194</v>
      </c>
      <c r="J509" t="s">
        <v>2193</v>
      </c>
      <c r="K509" t="s">
        <v>1446</v>
      </c>
      <c r="L509" t="s">
        <v>1389</v>
      </c>
    </row>
    <row r="510" spans="1:12">
      <c r="A510" t="s">
        <v>1440</v>
      </c>
      <c r="B510" t="s">
        <v>1441</v>
      </c>
      <c r="C510" t="s">
        <v>2195</v>
      </c>
      <c r="D510" t="s">
        <v>1443</v>
      </c>
      <c r="E510" t="s">
        <v>2196</v>
      </c>
      <c r="F510" t="s">
        <v>2197</v>
      </c>
      <c r="J510" t="s">
        <v>2196</v>
      </c>
      <c r="K510" t="s">
        <v>1446</v>
      </c>
      <c r="L510" t="s">
        <v>1389</v>
      </c>
    </row>
    <row r="511" spans="1:12">
      <c r="A511" t="s">
        <v>1440</v>
      </c>
      <c r="B511" t="s">
        <v>1441</v>
      </c>
      <c r="C511" t="s">
        <v>2198</v>
      </c>
      <c r="D511" t="s">
        <v>1443</v>
      </c>
      <c r="E511" t="s">
        <v>2199</v>
      </c>
      <c r="F511" t="s">
        <v>2200</v>
      </c>
      <c r="J511" t="s">
        <v>2199</v>
      </c>
      <c r="K511" t="s">
        <v>1446</v>
      </c>
      <c r="L511" t="s">
        <v>1389</v>
      </c>
    </row>
    <row r="512" spans="1:12">
      <c r="A512" t="s">
        <v>1440</v>
      </c>
      <c r="B512" t="s">
        <v>1441</v>
      </c>
      <c r="C512" t="s">
        <v>2201</v>
      </c>
      <c r="D512" t="s">
        <v>1443</v>
      </c>
      <c r="E512" t="s">
        <v>2202</v>
      </c>
      <c r="F512" t="s">
        <v>2203</v>
      </c>
      <c r="J512" t="s">
        <v>2202</v>
      </c>
      <c r="K512" t="s">
        <v>1446</v>
      </c>
      <c r="L512" t="s">
        <v>1389</v>
      </c>
    </row>
    <row r="513" spans="1:12">
      <c r="A513" t="s">
        <v>1440</v>
      </c>
      <c r="B513" t="s">
        <v>1441</v>
      </c>
      <c r="C513" t="s">
        <v>2204</v>
      </c>
      <c r="D513" t="s">
        <v>1443</v>
      </c>
      <c r="E513" t="s">
        <v>2205</v>
      </c>
      <c r="F513" t="s">
        <v>2206</v>
      </c>
      <c r="J513" t="s">
        <v>2205</v>
      </c>
      <c r="K513" t="s">
        <v>1446</v>
      </c>
      <c r="L513" t="s">
        <v>1389</v>
      </c>
    </row>
    <row r="514" spans="1:12">
      <c r="A514" t="s">
        <v>1440</v>
      </c>
      <c r="B514" t="s">
        <v>1441</v>
      </c>
      <c r="C514" t="s">
        <v>2207</v>
      </c>
      <c r="D514" t="s">
        <v>1443</v>
      </c>
      <c r="E514" t="s">
        <v>2208</v>
      </c>
      <c r="F514" t="s">
        <v>2209</v>
      </c>
      <c r="J514" t="s">
        <v>2208</v>
      </c>
      <c r="K514" t="s">
        <v>1446</v>
      </c>
      <c r="L514" t="s">
        <v>1389</v>
      </c>
    </row>
    <row r="515" spans="1:12">
      <c r="A515" t="s">
        <v>1440</v>
      </c>
      <c r="B515" t="s">
        <v>1441</v>
      </c>
      <c r="C515" t="s">
        <v>2210</v>
      </c>
      <c r="D515" t="s">
        <v>1443</v>
      </c>
      <c r="E515" t="s">
        <v>2211</v>
      </c>
      <c r="F515" t="s">
        <v>2212</v>
      </c>
      <c r="J515" t="s">
        <v>2211</v>
      </c>
      <c r="K515" t="s">
        <v>1446</v>
      </c>
      <c r="L515" t="s">
        <v>1389</v>
      </c>
    </row>
    <row r="516" spans="1:12">
      <c r="A516" t="s">
        <v>1440</v>
      </c>
      <c r="B516" t="s">
        <v>1441</v>
      </c>
      <c r="C516" t="s">
        <v>2213</v>
      </c>
      <c r="D516" t="s">
        <v>1443</v>
      </c>
      <c r="E516" t="s">
        <v>2214</v>
      </c>
      <c r="F516" t="s">
        <v>2215</v>
      </c>
      <c r="J516" t="s">
        <v>2214</v>
      </c>
      <c r="K516" t="s">
        <v>1446</v>
      </c>
      <c r="L516" t="s">
        <v>1389</v>
      </c>
    </row>
    <row r="517" spans="1:12">
      <c r="A517" t="s">
        <v>1440</v>
      </c>
      <c r="B517" t="s">
        <v>1441</v>
      </c>
      <c r="C517" t="s">
        <v>2216</v>
      </c>
      <c r="D517" t="s">
        <v>1443</v>
      </c>
      <c r="E517" t="s">
        <v>2217</v>
      </c>
      <c r="F517" t="s">
        <v>2218</v>
      </c>
      <c r="J517" t="s">
        <v>2217</v>
      </c>
      <c r="K517" t="s">
        <v>1446</v>
      </c>
      <c r="L517" t="s">
        <v>1389</v>
      </c>
    </row>
    <row r="518" spans="1:12">
      <c r="A518" t="s">
        <v>1440</v>
      </c>
      <c r="B518" t="s">
        <v>1441</v>
      </c>
      <c r="C518" t="s">
        <v>2219</v>
      </c>
      <c r="D518" t="s">
        <v>1443</v>
      </c>
      <c r="E518" t="s">
        <v>2220</v>
      </c>
      <c r="F518" t="s">
        <v>2221</v>
      </c>
      <c r="J518" t="s">
        <v>2220</v>
      </c>
      <c r="K518" t="s">
        <v>1446</v>
      </c>
      <c r="L518" t="s">
        <v>1389</v>
      </c>
    </row>
    <row r="519" spans="1:12">
      <c r="A519" t="s">
        <v>1440</v>
      </c>
      <c r="B519" t="s">
        <v>1441</v>
      </c>
      <c r="C519" t="s">
        <v>2222</v>
      </c>
      <c r="D519" t="s">
        <v>1443</v>
      </c>
      <c r="E519" t="s">
        <v>2223</v>
      </c>
      <c r="F519" t="s">
        <v>2224</v>
      </c>
      <c r="J519" t="s">
        <v>2223</v>
      </c>
      <c r="K519" t="s">
        <v>1446</v>
      </c>
      <c r="L519" t="s">
        <v>1389</v>
      </c>
    </row>
    <row r="520" spans="1:12">
      <c r="A520" t="s">
        <v>1440</v>
      </c>
      <c r="B520" t="s">
        <v>1441</v>
      </c>
      <c r="C520" t="s">
        <v>2225</v>
      </c>
      <c r="D520" t="s">
        <v>1443</v>
      </c>
      <c r="E520" t="s">
        <v>2226</v>
      </c>
      <c r="F520" t="s">
        <v>2227</v>
      </c>
      <c r="J520" t="s">
        <v>2226</v>
      </c>
      <c r="K520" t="s">
        <v>1446</v>
      </c>
      <c r="L520" t="s">
        <v>1389</v>
      </c>
    </row>
    <row r="521" spans="1:12">
      <c r="A521" t="s">
        <v>1440</v>
      </c>
      <c r="B521" t="s">
        <v>1441</v>
      </c>
      <c r="C521" t="s">
        <v>2228</v>
      </c>
      <c r="D521" t="s">
        <v>1443</v>
      </c>
      <c r="E521" t="s">
        <v>2229</v>
      </c>
      <c r="F521" t="s">
        <v>2230</v>
      </c>
      <c r="J521" t="s">
        <v>2229</v>
      </c>
      <c r="K521" t="s">
        <v>1446</v>
      </c>
      <c r="L521" t="s">
        <v>1389</v>
      </c>
    </row>
    <row r="522" spans="1:12">
      <c r="A522" t="s">
        <v>1440</v>
      </c>
      <c r="B522" t="s">
        <v>1441</v>
      </c>
      <c r="C522" t="s">
        <v>2231</v>
      </c>
      <c r="D522" t="s">
        <v>1443</v>
      </c>
      <c r="E522" t="s">
        <v>2232</v>
      </c>
      <c r="F522" t="s">
        <v>2233</v>
      </c>
      <c r="J522" t="s">
        <v>2232</v>
      </c>
      <c r="K522" t="s">
        <v>1446</v>
      </c>
      <c r="L522" t="s">
        <v>1389</v>
      </c>
    </row>
    <row r="523" spans="1:12">
      <c r="A523" t="s">
        <v>1440</v>
      </c>
      <c r="B523" t="s">
        <v>1441</v>
      </c>
      <c r="C523" t="s">
        <v>2234</v>
      </c>
      <c r="D523" t="s">
        <v>1443</v>
      </c>
      <c r="E523" t="s">
        <v>2235</v>
      </c>
      <c r="F523" t="s">
        <v>2236</v>
      </c>
      <c r="J523" t="s">
        <v>2235</v>
      </c>
      <c r="K523" t="s">
        <v>1446</v>
      </c>
      <c r="L523" t="s">
        <v>1389</v>
      </c>
    </row>
    <row r="524" spans="1:12">
      <c r="A524" t="s">
        <v>1440</v>
      </c>
      <c r="B524" t="s">
        <v>1441</v>
      </c>
      <c r="C524" t="s">
        <v>2237</v>
      </c>
      <c r="D524" t="s">
        <v>1443</v>
      </c>
      <c r="E524" t="s">
        <v>2238</v>
      </c>
      <c r="F524" t="s">
        <v>2239</v>
      </c>
      <c r="J524" t="s">
        <v>2238</v>
      </c>
      <c r="K524" t="s">
        <v>1446</v>
      </c>
      <c r="L524" t="s">
        <v>1389</v>
      </c>
    </row>
    <row r="525" spans="1:12">
      <c r="A525" t="s">
        <v>1440</v>
      </c>
      <c r="B525" t="s">
        <v>1441</v>
      </c>
      <c r="C525" t="s">
        <v>2240</v>
      </c>
      <c r="D525" t="s">
        <v>1443</v>
      </c>
      <c r="E525" t="s">
        <v>2241</v>
      </c>
      <c r="F525" t="s">
        <v>2242</v>
      </c>
      <c r="J525" t="s">
        <v>2241</v>
      </c>
      <c r="K525" t="s">
        <v>1446</v>
      </c>
      <c r="L525" t="s">
        <v>1389</v>
      </c>
    </row>
    <row r="526" spans="1:12">
      <c r="A526" t="s">
        <v>1440</v>
      </c>
      <c r="B526" t="s">
        <v>1441</v>
      </c>
      <c r="C526" t="s">
        <v>2243</v>
      </c>
      <c r="D526" t="s">
        <v>1443</v>
      </c>
      <c r="E526" t="s">
        <v>2244</v>
      </c>
      <c r="F526" t="s">
        <v>2245</v>
      </c>
      <c r="J526" t="s">
        <v>2244</v>
      </c>
      <c r="K526" t="s">
        <v>1446</v>
      </c>
      <c r="L526" t="s">
        <v>1389</v>
      </c>
    </row>
    <row r="527" spans="1:12">
      <c r="A527" t="s">
        <v>1440</v>
      </c>
      <c r="B527" t="s">
        <v>1441</v>
      </c>
      <c r="C527" t="s">
        <v>2246</v>
      </c>
      <c r="D527" t="s">
        <v>1443</v>
      </c>
      <c r="E527" t="s">
        <v>2247</v>
      </c>
      <c r="F527" t="s">
        <v>2248</v>
      </c>
      <c r="J527" t="s">
        <v>2247</v>
      </c>
      <c r="K527" t="s">
        <v>1446</v>
      </c>
      <c r="L527" t="s">
        <v>1389</v>
      </c>
    </row>
    <row r="528" spans="1:12">
      <c r="A528" t="s">
        <v>1440</v>
      </c>
      <c r="B528" t="s">
        <v>1441</v>
      </c>
      <c r="C528" t="s">
        <v>2249</v>
      </c>
      <c r="D528" t="s">
        <v>1443</v>
      </c>
      <c r="E528" t="s">
        <v>2250</v>
      </c>
      <c r="F528" t="s">
        <v>2251</v>
      </c>
    </row>
    <row r="529" spans="1:12">
      <c r="A529" t="s">
        <v>1440</v>
      </c>
      <c r="B529" t="s">
        <v>1441</v>
      </c>
      <c r="C529" t="s">
        <v>2252</v>
      </c>
      <c r="D529" t="s">
        <v>1443</v>
      </c>
      <c r="E529" t="s">
        <v>2253</v>
      </c>
      <c r="F529" t="s">
        <v>2254</v>
      </c>
      <c r="J529" t="s">
        <v>2253</v>
      </c>
      <c r="K529" t="s">
        <v>1446</v>
      </c>
      <c r="L529" t="s">
        <v>1389</v>
      </c>
    </row>
    <row r="530" spans="1:12">
      <c r="A530" t="s">
        <v>1440</v>
      </c>
      <c r="B530" t="s">
        <v>1441</v>
      </c>
      <c r="C530" t="s">
        <v>2255</v>
      </c>
      <c r="D530" t="s">
        <v>1443</v>
      </c>
      <c r="E530" t="s">
        <v>2256</v>
      </c>
      <c r="F530" t="s">
        <v>2257</v>
      </c>
    </row>
    <row r="531" spans="1:12">
      <c r="A531" t="s">
        <v>1440</v>
      </c>
      <c r="B531" t="s">
        <v>1441</v>
      </c>
      <c r="C531" t="s">
        <v>2258</v>
      </c>
      <c r="D531" t="s">
        <v>1443</v>
      </c>
      <c r="E531" t="s">
        <v>2259</v>
      </c>
      <c r="F531" t="s">
        <v>2260</v>
      </c>
      <c r="J531" t="s">
        <v>2259</v>
      </c>
      <c r="K531" t="s">
        <v>1446</v>
      </c>
      <c r="L531" t="s">
        <v>1389</v>
      </c>
    </row>
    <row r="532" spans="1:12">
      <c r="A532" t="s">
        <v>1440</v>
      </c>
      <c r="B532" t="s">
        <v>1441</v>
      </c>
      <c r="C532" t="s">
        <v>2261</v>
      </c>
      <c r="D532" t="s">
        <v>1443</v>
      </c>
      <c r="E532" t="s">
        <v>2262</v>
      </c>
      <c r="F532" t="s">
        <v>2263</v>
      </c>
      <c r="J532" t="s">
        <v>2262</v>
      </c>
      <c r="K532" t="s">
        <v>1446</v>
      </c>
      <c r="L532" t="s">
        <v>1389</v>
      </c>
    </row>
    <row r="533" spans="1:12">
      <c r="A533" t="s">
        <v>1440</v>
      </c>
      <c r="B533" t="s">
        <v>1441</v>
      </c>
      <c r="C533" t="s">
        <v>2264</v>
      </c>
      <c r="D533" t="s">
        <v>1443</v>
      </c>
      <c r="E533" t="s">
        <v>2265</v>
      </c>
      <c r="F533" t="s">
        <v>2266</v>
      </c>
      <c r="J533" t="s">
        <v>2265</v>
      </c>
      <c r="K533" t="s">
        <v>1446</v>
      </c>
      <c r="L533" t="s">
        <v>1389</v>
      </c>
    </row>
    <row r="534" spans="1:12">
      <c r="A534" t="s">
        <v>1440</v>
      </c>
      <c r="B534" t="s">
        <v>1441</v>
      </c>
      <c r="C534" t="s">
        <v>2267</v>
      </c>
      <c r="D534" t="s">
        <v>1443</v>
      </c>
      <c r="E534" t="s">
        <v>2268</v>
      </c>
      <c r="F534" t="s">
        <v>2269</v>
      </c>
      <c r="J534" t="s">
        <v>2268</v>
      </c>
      <c r="K534" t="s">
        <v>1446</v>
      </c>
      <c r="L534" t="s">
        <v>1389</v>
      </c>
    </row>
    <row r="535" spans="1:12">
      <c r="A535" t="s">
        <v>1440</v>
      </c>
      <c r="B535" t="s">
        <v>1441</v>
      </c>
      <c r="C535" t="s">
        <v>2270</v>
      </c>
      <c r="D535" t="s">
        <v>1443</v>
      </c>
      <c r="E535" t="s">
        <v>2271</v>
      </c>
      <c r="F535" t="s">
        <v>2272</v>
      </c>
      <c r="J535" t="s">
        <v>2271</v>
      </c>
      <c r="K535" t="s">
        <v>1446</v>
      </c>
      <c r="L535" t="s">
        <v>1389</v>
      </c>
    </row>
    <row r="536" spans="1:12">
      <c r="A536" t="s">
        <v>1440</v>
      </c>
      <c r="B536" t="s">
        <v>1441</v>
      </c>
      <c r="C536" t="s">
        <v>2273</v>
      </c>
      <c r="D536" t="s">
        <v>1443</v>
      </c>
      <c r="E536" t="s">
        <v>2274</v>
      </c>
      <c r="F536" t="s">
        <v>2275</v>
      </c>
    </row>
    <row r="537" spans="1:12">
      <c r="A537" t="s">
        <v>1440</v>
      </c>
      <c r="B537" t="s">
        <v>1441</v>
      </c>
      <c r="C537" t="s">
        <v>2276</v>
      </c>
      <c r="D537" t="s">
        <v>1443</v>
      </c>
      <c r="E537" t="s">
        <v>2277</v>
      </c>
      <c r="F537" t="s">
        <v>2278</v>
      </c>
      <c r="J537" t="s">
        <v>2277</v>
      </c>
      <c r="K537" t="s">
        <v>1446</v>
      </c>
      <c r="L537" t="s">
        <v>1389</v>
      </c>
    </row>
    <row r="538" spans="1:12">
      <c r="A538" t="s">
        <v>1440</v>
      </c>
      <c r="B538" t="s">
        <v>1441</v>
      </c>
      <c r="C538" t="s">
        <v>2279</v>
      </c>
      <c r="D538" t="s">
        <v>1443</v>
      </c>
      <c r="E538" t="s">
        <v>2280</v>
      </c>
      <c r="F538" t="s">
        <v>2281</v>
      </c>
      <c r="J538" t="s">
        <v>2280</v>
      </c>
      <c r="K538" t="s">
        <v>1446</v>
      </c>
      <c r="L538" t="s">
        <v>1389</v>
      </c>
    </row>
    <row r="539" spans="1:12">
      <c r="A539" t="s">
        <v>1440</v>
      </c>
      <c r="B539" t="s">
        <v>1441</v>
      </c>
      <c r="C539" t="s">
        <v>2282</v>
      </c>
      <c r="D539" t="s">
        <v>1443</v>
      </c>
      <c r="E539" t="s">
        <v>2283</v>
      </c>
      <c r="F539" t="s">
        <v>2284</v>
      </c>
      <c r="J539" t="s">
        <v>2283</v>
      </c>
      <c r="K539" t="s">
        <v>1446</v>
      </c>
      <c r="L539" t="s">
        <v>1389</v>
      </c>
    </row>
    <row r="540" spans="1:12">
      <c r="A540" t="s">
        <v>1440</v>
      </c>
      <c r="B540" t="s">
        <v>1441</v>
      </c>
      <c r="C540" t="s">
        <v>2285</v>
      </c>
      <c r="D540" t="s">
        <v>1443</v>
      </c>
      <c r="E540" t="s">
        <v>891</v>
      </c>
      <c r="F540" t="s">
        <v>2286</v>
      </c>
      <c r="J540" t="s">
        <v>891</v>
      </c>
      <c r="K540" t="s">
        <v>1446</v>
      </c>
      <c r="L540" t="s">
        <v>1389</v>
      </c>
    </row>
    <row r="541" spans="1:12">
      <c r="A541" t="s">
        <v>1440</v>
      </c>
      <c r="B541" t="s">
        <v>1441</v>
      </c>
      <c r="C541" t="s">
        <v>2287</v>
      </c>
      <c r="D541" t="s">
        <v>1443</v>
      </c>
      <c r="E541" t="s">
        <v>2288</v>
      </c>
      <c r="F541" t="s">
        <v>2289</v>
      </c>
      <c r="J541" t="s">
        <v>2288</v>
      </c>
      <c r="K541" t="s">
        <v>1446</v>
      </c>
      <c r="L541" t="s">
        <v>1389</v>
      </c>
    </row>
    <row r="542" spans="1:12">
      <c r="A542" t="s">
        <v>1440</v>
      </c>
      <c r="B542" t="s">
        <v>1441</v>
      </c>
      <c r="C542" t="s">
        <v>2290</v>
      </c>
      <c r="D542" t="s">
        <v>1443</v>
      </c>
      <c r="E542" t="s">
        <v>2291</v>
      </c>
      <c r="F542" t="s">
        <v>2292</v>
      </c>
      <c r="J542" t="s">
        <v>2291</v>
      </c>
      <c r="K542" t="s">
        <v>1446</v>
      </c>
      <c r="L542" t="s">
        <v>1389</v>
      </c>
    </row>
    <row r="543" spans="1:12">
      <c r="A543" t="s">
        <v>1440</v>
      </c>
      <c r="B543" t="s">
        <v>1441</v>
      </c>
      <c r="C543" t="s">
        <v>2293</v>
      </c>
      <c r="D543" t="s">
        <v>1443</v>
      </c>
      <c r="E543" t="s">
        <v>2294</v>
      </c>
      <c r="F543" t="s">
        <v>2295</v>
      </c>
      <c r="J543" t="s">
        <v>2294</v>
      </c>
      <c r="K543" t="s">
        <v>1446</v>
      </c>
      <c r="L543" t="s">
        <v>1389</v>
      </c>
    </row>
    <row r="544" spans="1:12">
      <c r="A544" t="s">
        <v>1440</v>
      </c>
      <c r="B544" t="s">
        <v>1441</v>
      </c>
      <c r="C544" t="s">
        <v>2296</v>
      </c>
      <c r="D544" t="s">
        <v>1443</v>
      </c>
      <c r="E544" t="s">
        <v>2297</v>
      </c>
      <c r="F544" t="s">
        <v>2298</v>
      </c>
      <c r="J544" t="s">
        <v>2297</v>
      </c>
      <c r="K544" t="s">
        <v>1446</v>
      </c>
      <c r="L544" t="s">
        <v>1389</v>
      </c>
    </row>
    <row r="545" spans="1:12">
      <c r="A545" t="s">
        <v>1440</v>
      </c>
      <c r="B545" t="s">
        <v>1441</v>
      </c>
      <c r="C545" t="s">
        <v>2299</v>
      </c>
      <c r="D545" t="s">
        <v>1443</v>
      </c>
      <c r="E545" t="s">
        <v>2300</v>
      </c>
      <c r="F545" t="s">
        <v>2301</v>
      </c>
      <c r="J545" t="s">
        <v>2300</v>
      </c>
      <c r="K545" t="s">
        <v>1446</v>
      </c>
      <c r="L545" t="s">
        <v>1389</v>
      </c>
    </row>
    <row r="546" spans="1:12">
      <c r="A546" t="s">
        <v>1440</v>
      </c>
      <c r="B546" t="s">
        <v>1441</v>
      </c>
      <c r="C546" t="s">
        <v>2302</v>
      </c>
      <c r="D546" t="s">
        <v>1443</v>
      </c>
      <c r="E546" t="s">
        <v>766</v>
      </c>
      <c r="F546" t="s">
        <v>2303</v>
      </c>
    </row>
    <row r="547" spans="1:12">
      <c r="A547" t="s">
        <v>1440</v>
      </c>
      <c r="B547" t="s">
        <v>1441</v>
      </c>
      <c r="C547" t="s">
        <v>2304</v>
      </c>
      <c r="D547" t="s">
        <v>1443</v>
      </c>
      <c r="E547" t="s">
        <v>2305</v>
      </c>
      <c r="F547" t="s">
        <v>2306</v>
      </c>
    </row>
    <row r="548" spans="1:12">
      <c r="A548" t="s">
        <v>1440</v>
      </c>
      <c r="B548" t="s">
        <v>1441</v>
      </c>
      <c r="C548" t="s">
        <v>2307</v>
      </c>
      <c r="D548" t="s">
        <v>1443</v>
      </c>
      <c r="E548" t="s">
        <v>2308</v>
      </c>
      <c r="F548" t="s">
        <v>2309</v>
      </c>
      <c r="J548" t="s">
        <v>2308</v>
      </c>
      <c r="K548" t="s">
        <v>1446</v>
      </c>
      <c r="L548" t="s">
        <v>1389</v>
      </c>
    </row>
    <row r="549" spans="1:12">
      <c r="A549" t="s">
        <v>1440</v>
      </c>
      <c r="B549" t="s">
        <v>1441</v>
      </c>
      <c r="C549" t="s">
        <v>2310</v>
      </c>
      <c r="D549" t="s">
        <v>1443</v>
      </c>
      <c r="E549" t="s">
        <v>2311</v>
      </c>
      <c r="F549" t="s">
        <v>2312</v>
      </c>
      <c r="J549" t="s">
        <v>2311</v>
      </c>
      <c r="K549" t="s">
        <v>1446</v>
      </c>
      <c r="L549" t="s">
        <v>1389</v>
      </c>
    </row>
    <row r="550" spans="1:12">
      <c r="A550" t="s">
        <v>1440</v>
      </c>
      <c r="B550" t="s">
        <v>1441</v>
      </c>
      <c r="C550" t="s">
        <v>2313</v>
      </c>
      <c r="D550" t="s">
        <v>1443</v>
      </c>
      <c r="E550" t="s">
        <v>2314</v>
      </c>
      <c r="F550" t="s">
        <v>2315</v>
      </c>
      <c r="J550" t="s">
        <v>2314</v>
      </c>
      <c r="K550" t="s">
        <v>1446</v>
      </c>
      <c r="L550" t="s">
        <v>1389</v>
      </c>
    </row>
    <row r="551" spans="1:12">
      <c r="A551" t="s">
        <v>1440</v>
      </c>
      <c r="B551" t="s">
        <v>1441</v>
      </c>
      <c r="C551" t="s">
        <v>2316</v>
      </c>
      <c r="D551" t="s">
        <v>1443</v>
      </c>
      <c r="E551" t="s">
        <v>2317</v>
      </c>
      <c r="F551" t="s">
        <v>2318</v>
      </c>
      <c r="J551" t="s">
        <v>2317</v>
      </c>
      <c r="K551" t="s">
        <v>1446</v>
      </c>
      <c r="L551" t="s">
        <v>1389</v>
      </c>
    </row>
    <row r="552" spans="1:12">
      <c r="A552" t="s">
        <v>1440</v>
      </c>
      <c r="B552" t="s">
        <v>1441</v>
      </c>
      <c r="C552" t="s">
        <v>2319</v>
      </c>
      <c r="D552" t="s">
        <v>1443</v>
      </c>
      <c r="E552" t="s">
        <v>2320</v>
      </c>
      <c r="F552" t="s">
        <v>2321</v>
      </c>
    </row>
    <row r="553" spans="1:12">
      <c r="A553" t="s">
        <v>1440</v>
      </c>
      <c r="B553" t="s">
        <v>1441</v>
      </c>
      <c r="C553" t="s">
        <v>2322</v>
      </c>
      <c r="D553" t="s">
        <v>1443</v>
      </c>
      <c r="E553" t="s">
        <v>2323</v>
      </c>
      <c r="F553" t="s">
        <v>2324</v>
      </c>
      <c r="J553" t="s">
        <v>2323</v>
      </c>
      <c r="K553" t="s">
        <v>1446</v>
      </c>
      <c r="L553" t="s">
        <v>1389</v>
      </c>
    </row>
    <row r="554" spans="1:12">
      <c r="A554" t="s">
        <v>1440</v>
      </c>
      <c r="B554" t="s">
        <v>1441</v>
      </c>
      <c r="C554" t="s">
        <v>2325</v>
      </c>
      <c r="D554" t="s">
        <v>1443</v>
      </c>
      <c r="E554" t="s">
        <v>2326</v>
      </c>
      <c r="F554" t="s">
        <v>2327</v>
      </c>
      <c r="J554" t="s">
        <v>2326</v>
      </c>
      <c r="K554" t="s">
        <v>1446</v>
      </c>
      <c r="L554" t="s">
        <v>1389</v>
      </c>
    </row>
    <row r="555" spans="1:12">
      <c r="A555" t="s">
        <v>1440</v>
      </c>
      <c r="B555" t="s">
        <v>1441</v>
      </c>
      <c r="C555" t="s">
        <v>2328</v>
      </c>
      <c r="D555" t="s">
        <v>1443</v>
      </c>
      <c r="E555" t="s">
        <v>2329</v>
      </c>
      <c r="F555" t="s">
        <v>2330</v>
      </c>
      <c r="J555" t="s">
        <v>2329</v>
      </c>
      <c r="K555" t="s">
        <v>1446</v>
      </c>
      <c r="L555" t="s">
        <v>1389</v>
      </c>
    </row>
    <row r="556" spans="1:12">
      <c r="A556" t="s">
        <v>1440</v>
      </c>
      <c r="B556" t="s">
        <v>1441</v>
      </c>
      <c r="C556" t="s">
        <v>2331</v>
      </c>
      <c r="D556" t="s">
        <v>1443</v>
      </c>
      <c r="E556" t="s">
        <v>2332</v>
      </c>
      <c r="F556" t="s">
        <v>2333</v>
      </c>
      <c r="J556" t="s">
        <v>2332</v>
      </c>
      <c r="K556" t="s">
        <v>1446</v>
      </c>
      <c r="L556" t="s">
        <v>1389</v>
      </c>
    </row>
    <row r="557" spans="1:12">
      <c r="A557" t="s">
        <v>1440</v>
      </c>
      <c r="B557" t="s">
        <v>1441</v>
      </c>
      <c r="C557" t="s">
        <v>2334</v>
      </c>
      <c r="D557" t="s">
        <v>1443</v>
      </c>
      <c r="E557" t="s">
        <v>2335</v>
      </c>
      <c r="F557" t="s">
        <v>2336</v>
      </c>
      <c r="J557" t="s">
        <v>2335</v>
      </c>
      <c r="K557" t="s">
        <v>1446</v>
      </c>
      <c r="L557" t="s">
        <v>1389</v>
      </c>
    </row>
    <row r="558" spans="1:12">
      <c r="A558" t="s">
        <v>1440</v>
      </c>
      <c r="B558" t="s">
        <v>1441</v>
      </c>
      <c r="C558" t="s">
        <v>2337</v>
      </c>
      <c r="D558" t="s">
        <v>1443</v>
      </c>
      <c r="E558" t="s">
        <v>2338</v>
      </c>
      <c r="F558" t="s">
        <v>2339</v>
      </c>
      <c r="J558" t="s">
        <v>2338</v>
      </c>
      <c r="K558" t="s">
        <v>1446</v>
      </c>
      <c r="L558" t="s">
        <v>1389</v>
      </c>
    </row>
    <row r="559" spans="1:12">
      <c r="A559" t="s">
        <v>1440</v>
      </c>
      <c r="B559" t="s">
        <v>1441</v>
      </c>
      <c r="C559" t="s">
        <v>2340</v>
      </c>
      <c r="D559" t="s">
        <v>1443</v>
      </c>
      <c r="E559" t="s">
        <v>2341</v>
      </c>
      <c r="F559" t="s">
        <v>2342</v>
      </c>
      <c r="J559" t="s">
        <v>2341</v>
      </c>
      <c r="K559" t="s">
        <v>1446</v>
      </c>
      <c r="L559" t="s">
        <v>1389</v>
      </c>
    </row>
    <row r="560" spans="1:12">
      <c r="A560" t="s">
        <v>1440</v>
      </c>
      <c r="B560" t="s">
        <v>1441</v>
      </c>
      <c r="C560" t="s">
        <v>2343</v>
      </c>
      <c r="D560" t="s">
        <v>1443</v>
      </c>
      <c r="E560" t="s">
        <v>2344</v>
      </c>
      <c r="F560" t="s">
        <v>2345</v>
      </c>
      <c r="J560" t="s">
        <v>2344</v>
      </c>
      <c r="K560" t="s">
        <v>1446</v>
      </c>
      <c r="L560" t="s">
        <v>1389</v>
      </c>
    </row>
    <row r="561" spans="1:12">
      <c r="A561" t="s">
        <v>1440</v>
      </c>
      <c r="B561" t="s">
        <v>1441</v>
      </c>
      <c r="C561" t="s">
        <v>2346</v>
      </c>
      <c r="D561" t="s">
        <v>1443</v>
      </c>
      <c r="E561" t="s">
        <v>2347</v>
      </c>
      <c r="F561" t="s">
        <v>2348</v>
      </c>
      <c r="J561" t="s">
        <v>2347</v>
      </c>
      <c r="K561" t="s">
        <v>1446</v>
      </c>
      <c r="L561" t="s">
        <v>1389</v>
      </c>
    </row>
    <row r="562" spans="1:12">
      <c r="A562" t="s">
        <v>1440</v>
      </c>
      <c r="B562" t="s">
        <v>1441</v>
      </c>
      <c r="C562" t="s">
        <v>2349</v>
      </c>
      <c r="D562" t="s">
        <v>1443</v>
      </c>
      <c r="E562" t="s">
        <v>2350</v>
      </c>
      <c r="F562" t="s">
        <v>2351</v>
      </c>
      <c r="J562" t="s">
        <v>2350</v>
      </c>
      <c r="K562" t="s">
        <v>1446</v>
      </c>
      <c r="L562" t="s">
        <v>1389</v>
      </c>
    </row>
    <row r="563" spans="1:12">
      <c r="A563" t="s">
        <v>1440</v>
      </c>
      <c r="B563" t="s">
        <v>1441</v>
      </c>
      <c r="C563" t="s">
        <v>2352</v>
      </c>
      <c r="D563" t="s">
        <v>1443</v>
      </c>
      <c r="E563" t="s">
        <v>2353</v>
      </c>
      <c r="F563" t="s">
        <v>2354</v>
      </c>
      <c r="J563" t="s">
        <v>2353</v>
      </c>
      <c r="K563" t="s">
        <v>1446</v>
      </c>
      <c r="L563" t="s">
        <v>1389</v>
      </c>
    </row>
    <row r="564" spans="1:12">
      <c r="A564" t="s">
        <v>1440</v>
      </c>
      <c r="B564" t="s">
        <v>1441</v>
      </c>
      <c r="C564" t="s">
        <v>2355</v>
      </c>
      <c r="D564" t="s">
        <v>1443</v>
      </c>
      <c r="E564" t="s">
        <v>2356</v>
      </c>
      <c r="F564" t="s">
        <v>2357</v>
      </c>
      <c r="J564" t="s">
        <v>2356</v>
      </c>
      <c r="K564" t="s">
        <v>1446</v>
      </c>
      <c r="L564" t="s">
        <v>1389</v>
      </c>
    </row>
    <row r="565" spans="1:12">
      <c r="A565" t="s">
        <v>1440</v>
      </c>
      <c r="B565" t="s">
        <v>1441</v>
      </c>
      <c r="C565" t="s">
        <v>2358</v>
      </c>
      <c r="D565" t="s">
        <v>1443</v>
      </c>
      <c r="E565" t="s">
        <v>2359</v>
      </c>
      <c r="F565" t="s">
        <v>2360</v>
      </c>
      <c r="J565" t="s">
        <v>2359</v>
      </c>
      <c r="K565" t="s">
        <v>1446</v>
      </c>
      <c r="L565" t="s">
        <v>1389</v>
      </c>
    </row>
    <row r="566" spans="1:12">
      <c r="A566" t="s">
        <v>1440</v>
      </c>
      <c r="B566" t="s">
        <v>1441</v>
      </c>
      <c r="C566" t="s">
        <v>2361</v>
      </c>
      <c r="D566" t="s">
        <v>1443</v>
      </c>
      <c r="E566" t="s">
        <v>2362</v>
      </c>
      <c r="F566" t="s">
        <v>2363</v>
      </c>
      <c r="J566" t="s">
        <v>2362</v>
      </c>
      <c r="K566" t="s">
        <v>1446</v>
      </c>
      <c r="L566" t="s">
        <v>1389</v>
      </c>
    </row>
    <row r="567" spans="1:12">
      <c r="A567" t="s">
        <v>1440</v>
      </c>
      <c r="B567" t="s">
        <v>1441</v>
      </c>
      <c r="C567" t="s">
        <v>2364</v>
      </c>
      <c r="D567" t="s">
        <v>1443</v>
      </c>
      <c r="E567" t="s">
        <v>2365</v>
      </c>
      <c r="F567" t="s">
        <v>2366</v>
      </c>
      <c r="J567" t="s">
        <v>2365</v>
      </c>
      <c r="K567" t="s">
        <v>1446</v>
      </c>
      <c r="L567" t="s">
        <v>1389</v>
      </c>
    </row>
    <row r="568" spans="1:12">
      <c r="A568" t="s">
        <v>1440</v>
      </c>
      <c r="B568" t="s">
        <v>1441</v>
      </c>
      <c r="C568" t="s">
        <v>2367</v>
      </c>
      <c r="D568" t="s">
        <v>1443</v>
      </c>
      <c r="E568" t="s">
        <v>2368</v>
      </c>
      <c r="F568" t="s">
        <v>2369</v>
      </c>
      <c r="J568" t="s">
        <v>2368</v>
      </c>
      <c r="K568" t="s">
        <v>1446</v>
      </c>
      <c r="L568" t="s">
        <v>1389</v>
      </c>
    </row>
    <row r="569" spans="1:12">
      <c r="A569" t="s">
        <v>1440</v>
      </c>
      <c r="B569" t="s">
        <v>1441</v>
      </c>
      <c r="C569" t="s">
        <v>2370</v>
      </c>
      <c r="D569" t="s">
        <v>1443</v>
      </c>
      <c r="E569" t="s">
        <v>2371</v>
      </c>
      <c r="F569" t="s">
        <v>2372</v>
      </c>
      <c r="J569" t="s">
        <v>2371</v>
      </c>
      <c r="K569" t="s">
        <v>1446</v>
      </c>
      <c r="L569" t="s">
        <v>1389</v>
      </c>
    </row>
    <row r="570" spans="1:12">
      <c r="A570" t="s">
        <v>1440</v>
      </c>
      <c r="B570" t="s">
        <v>1441</v>
      </c>
      <c r="C570" t="s">
        <v>2373</v>
      </c>
      <c r="D570" t="s">
        <v>1443</v>
      </c>
      <c r="E570" t="s">
        <v>2374</v>
      </c>
      <c r="F570" t="s">
        <v>2375</v>
      </c>
      <c r="J570" t="s">
        <v>2374</v>
      </c>
      <c r="K570" t="s">
        <v>1446</v>
      </c>
      <c r="L570" t="s">
        <v>1389</v>
      </c>
    </row>
    <row r="571" spans="1:12">
      <c r="A571" t="s">
        <v>1440</v>
      </c>
      <c r="B571" t="s">
        <v>1441</v>
      </c>
      <c r="C571" t="s">
        <v>2376</v>
      </c>
      <c r="D571" t="s">
        <v>1443</v>
      </c>
      <c r="E571" t="s">
        <v>2377</v>
      </c>
      <c r="F571" t="s">
        <v>2378</v>
      </c>
      <c r="J571" t="s">
        <v>2377</v>
      </c>
      <c r="K571" t="s">
        <v>1446</v>
      </c>
      <c r="L571" t="s">
        <v>1389</v>
      </c>
    </row>
    <row r="572" spans="1:12">
      <c r="A572" t="s">
        <v>1440</v>
      </c>
      <c r="B572" t="s">
        <v>1441</v>
      </c>
      <c r="C572" t="s">
        <v>2379</v>
      </c>
      <c r="D572" t="s">
        <v>1443</v>
      </c>
      <c r="E572" t="s">
        <v>2380</v>
      </c>
      <c r="F572" t="s">
        <v>2381</v>
      </c>
      <c r="J572" t="s">
        <v>2380</v>
      </c>
      <c r="K572" t="s">
        <v>1446</v>
      </c>
      <c r="L572" t="s">
        <v>1389</v>
      </c>
    </row>
    <row r="573" spans="1:12">
      <c r="A573" t="s">
        <v>1440</v>
      </c>
      <c r="B573" t="s">
        <v>1441</v>
      </c>
      <c r="C573" t="s">
        <v>2382</v>
      </c>
      <c r="D573" t="s">
        <v>1443</v>
      </c>
      <c r="E573" t="s">
        <v>2383</v>
      </c>
      <c r="F573" t="s">
        <v>2384</v>
      </c>
      <c r="J573" t="s">
        <v>2383</v>
      </c>
      <c r="K573" t="s">
        <v>1446</v>
      </c>
      <c r="L573" t="s">
        <v>1389</v>
      </c>
    </row>
    <row r="574" spans="1:12">
      <c r="A574" t="s">
        <v>1440</v>
      </c>
      <c r="B574" t="s">
        <v>1441</v>
      </c>
      <c r="C574" t="s">
        <v>2385</v>
      </c>
      <c r="D574" t="s">
        <v>1443</v>
      </c>
      <c r="E574" t="s">
        <v>2386</v>
      </c>
      <c r="F574" t="s">
        <v>2387</v>
      </c>
      <c r="J574" t="s">
        <v>2386</v>
      </c>
      <c r="K574" t="s">
        <v>1446</v>
      </c>
      <c r="L574" t="s">
        <v>1389</v>
      </c>
    </row>
    <row r="575" spans="1:12">
      <c r="A575" t="s">
        <v>1440</v>
      </c>
      <c r="B575" t="s">
        <v>1441</v>
      </c>
      <c r="C575" t="s">
        <v>2388</v>
      </c>
      <c r="D575" t="s">
        <v>1443</v>
      </c>
      <c r="E575" t="s">
        <v>2389</v>
      </c>
      <c r="F575" t="s">
        <v>2390</v>
      </c>
      <c r="J575" t="s">
        <v>2389</v>
      </c>
      <c r="K575" t="s">
        <v>1446</v>
      </c>
      <c r="L575" t="s">
        <v>1389</v>
      </c>
    </row>
    <row r="576" spans="1:12">
      <c r="A576" t="s">
        <v>1440</v>
      </c>
      <c r="B576" t="s">
        <v>1441</v>
      </c>
      <c r="C576" t="s">
        <v>2391</v>
      </c>
      <c r="D576" t="s">
        <v>1443</v>
      </c>
      <c r="E576" t="s">
        <v>978</v>
      </c>
      <c r="F576" t="s">
        <v>2392</v>
      </c>
    </row>
    <row r="577" spans="1:12">
      <c r="A577" t="s">
        <v>1440</v>
      </c>
      <c r="B577" t="s">
        <v>1441</v>
      </c>
      <c r="C577" t="s">
        <v>2393</v>
      </c>
      <c r="D577" t="s">
        <v>1443</v>
      </c>
      <c r="E577" t="s">
        <v>2394</v>
      </c>
      <c r="F577" t="s">
        <v>2395</v>
      </c>
      <c r="J577" t="s">
        <v>2394</v>
      </c>
      <c r="K577" t="s">
        <v>1446</v>
      </c>
      <c r="L577" t="s">
        <v>1389</v>
      </c>
    </row>
    <row r="578" spans="1:12">
      <c r="A578" t="s">
        <v>1440</v>
      </c>
      <c r="B578" t="s">
        <v>1441</v>
      </c>
      <c r="C578" t="s">
        <v>2396</v>
      </c>
      <c r="D578" t="s">
        <v>1443</v>
      </c>
      <c r="E578" t="s">
        <v>2397</v>
      </c>
      <c r="F578" t="s">
        <v>2398</v>
      </c>
      <c r="J578" t="s">
        <v>2397</v>
      </c>
      <c r="K578" t="s">
        <v>1446</v>
      </c>
      <c r="L578" t="s">
        <v>1389</v>
      </c>
    </row>
    <row r="579" spans="1:12">
      <c r="A579" t="s">
        <v>1440</v>
      </c>
      <c r="B579" t="s">
        <v>1441</v>
      </c>
      <c r="C579" t="s">
        <v>2399</v>
      </c>
      <c r="D579" t="s">
        <v>1443</v>
      </c>
      <c r="E579" t="s">
        <v>2400</v>
      </c>
      <c r="F579" t="s">
        <v>2401</v>
      </c>
      <c r="J579" t="s">
        <v>2400</v>
      </c>
      <c r="K579" t="s">
        <v>1446</v>
      </c>
      <c r="L579" t="s">
        <v>1389</v>
      </c>
    </row>
    <row r="580" spans="1:12">
      <c r="A580" t="s">
        <v>1440</v>
      </c>
      <c r="B580" t="s">
        <v>1441</v>
      </c>
      <c r="C580" t="s">
        <v>2402</v>
      </c>
      <c r="D580" t="s">
        <v>1443</v>
      </c>
      <c r="E580" t="s">
        <v>2403</v>
      </c>
      <c r="F580" t="s">
        <v>2404</v>
      </c>
      <c r="J580" t="s">
        <v>2403</v>
      </c>
      <c r="K580" t="s">
        <v>1446</v>
      </c>
      <c r="L580" t="s">
        <v>1389</v>
      </c>
    </row>
    <row r="581" spans="1:12">
      <c r="A581" t="s">
        <v>1440</v>
      </c>
      <c r="B581" t="s">
        <v>1441</v>
      </c>
      <c r="C581" t="s">
        <v>2405</v>
      </c>
      <c r="D581" t="s">
        <v>1443</v>
      </c>
      <c r="E581" t="s">
        <v>2406</v>
      </c>
      <c r="F581" t="s">
        <v>2407</v>
      </c>
      <c r="J581" t="s">
        <v>2406</v>
      </c>
      <c r="K581" t="s">
        <v>1446</v>
      </c>
      <c r="L581" t="s">
        <v>1389</v>
      </c>
    </row>
    <row r="582" spans="1:12">
      <c r="A582" t="s">
        <v>1440</v>
      </c>
      <c r="B582" t="s">
        <v>1441</v>
      </c>
      <c r="C582" t="s">
        <v>2408</v>
      </c>
      <c r="D582" t="s">
        <v>1443</v>
      </c>
      <c r="E582" t="s">
        <v>2409</v>
      </c>
      <c r="F582" t="s">
        <v>2410</v>
      </c>
      <c r="J582" t="s">
        <v>2409</v>
      </c>
      <c r="K582" t="s">
        <v>1446</v>
      </c>
      <c r="L582" t="s">
        <v>1389</v>
      </c>
    </row>
    <row r="583" spans="1:12">
      <c r="A583" t="s">
        <v>1440</v>
      </c>
      <c r="B583" t="s">
        <v>1441</v>
      </c>
      <c r="C583" t="s">
        <v>2411</v>
      </c>
      <c r="D583" t="s">
        <v>1443</v>
      </c>
      <c r="E583" t="s">
        <v>2412</v>
      </c>
      <c r="F583" t="s">
        <v>2413</v>
      </c>
      <c r="J583" t="s">
        <v>2412</v>
      </c>
      <c r="K583" t="s">
        <v>1446</v>
      </c>
      <c r="L583" t="s">
        <v>1389</v>
      </c>
    </row>
    <row r="584" spans="1:12">
      <c r="A584" t="s">
        <v>1440</v>
      </c>
      <c r="B584" t="s">
        <v>1441</v>
      </c>
      <c r="C584" t="s">
        <v>2414</v>
      </c>
      <c r="D584" t="s">
        <v>1443</v>
      </c>
      <c r="E584" t="s">
        <v>2415</v>
      </c>
      <c r="F584" t="s">
        <v>2416</v>
      </c>
      <c r="J584" t="s">
        <v>2415</v>
      </c>
      <c r="K584" t="s">
        <v>1446</v>
      </c>
      <c r="L584" t="s">
        <v>1389</v>
      </c>
    </row>
    <row r="585" spans="1:12">
      <c r="A585" t="s">
        <v>1440</v>
      </c>
      <c r="B585" t="s">
        <v>1441</v>
      </c>
      <c r="C585" t="s">
        <v>2417</v>
      </c>
      <c r="D585" t="s">
        <v>1443</v>
      </c>
      <c r="E585" t="s">
        <v>2418</v>
      </c>
      <c r="F585" t="s">
        <v>2419</v>
      </c>
      <c r="J585" t="s">
        <v>2418</v>
      </c>
      <c r="K585" t="s">
        <v>1446</v>
      </c>
      <c r="L585" t="s">
        <v>1389</v>
      </c>
    </row>
    <row r="586" spans="1:12">
      <c r="A586" t="s">
        <v>1440</v>
      </c>
      <c r="B586" t="s">
        <v>1441</v>
      </c>
      <c r="C586" t="s">
        <v>2420</v>
      </c>
      <c r="D586" t="s">
        <v>1443</v>
      </c>
      <c r="E586" t="s">
        <v>2421</v>
      </c>
      <c r="F586" t="s">
        <v>2422</v>
      </c>
      <c r="J586" t="s">
        <v>2421</v>
      </c>
      <c r="K586" t="s">
        <v>1446</v>
      </c>
      <c r="L586" t="s">
        <v>1389</v>
      </c>
    </row>
    <row r="587" spans="1:12">
      <c r="A587" t="s">
        <v>1440</v>
      </c>
      <c r="B587" t="s">
        <v>1441</v>
      </c>
      <c r="C587" t="s">
        <v>2423</v>
      </c>
      <c r="D587" t="s">
        <v>1443</v>
      </c>
      <c r="E587" t="s">
        <v>2424</v>
      </c>
      <c r="F587" t="s">
        <v>2425</v>
      </c>
      <c r="J587" t="s">
        <v>2424</v>
      </c>
      <c r="K587" t="s">
        <v>1446</v>
      </c>
      <c r="L587" t="s">
        <v>1389</v>
      </c>
    </row>
    <row r="588" spans="1:12">
      <c r="A588" t="s">
        <v>1440</v>
      </c>
      <c r="B588" t="s">
        <v>1441</v>
      </c>
      <c r="C588" t="s">
        <v>2426</v>
      </c>
      <c r="D588" t="s">
        <v>1443</v>
      </c>
      <c r="E588" t="s">
        <v>2427</v>
      </c>
      <c r="F588" t="s">
        <v>2428</v>
      </c>
      <c r="J588" t="s">
        <v>2427</v>
      </c>
      <c r="K588" t="s">
        <v>1446</v>
      </c>
      <c r="L588" t="s">
        <v>1389</v>
      </c>
    </row>
    <row r="589" spans="1:12">
      <c r="A589" t="s">
        <v>1440</v>
      </c>
      <c r="B589" t="s">
        <v>1441</v>
      </c>
      <c r="C589" t="s">
        <v>2429</v>
      </c>
      <c r="D589" t="s">
        <v>1443</v>
      </c>
      <c r="E589" t="s">
        <v>2430</v>
      </c>
      <c r="F589" t="s">
        <v>2431</v>
      </c>
      <c r="J589" t="s">
        <v>2430</v>
      </c>
      <c r="K589" t="s">
        <v>1446</v>
      </c>
      <c r="L589" t="s">
        <v>1389</v>
      </c>
    </row>
    <row r="590" spans="1:12">
      <c r="A590" t="s">
        <v>1440</v>
      </c>
      <c r="B590" t="s">
        <v>1441</v>
      </c>
      <c r="C590" t="s">
        <v>2432</v>
      </c>
      <c r="D590" t="s">
        <v>1443</v>
      </c>
      <c r="E590" t="s">
        <v>2433</v>
      </c>
      <c r="F590" t="s">
        <v>2434</v>
      </c>
      <c r="J590" t="s">
        <v>2433</v>
      </c>
      <c r="K590" t="s">
        <v>1446</v>
      </c>
      <c r="L590" t="s">
        <v>1389</v>
      </c>
    </row>
    <row r="591" spans="1:12">
      <c r="A591" t="s">
        <v>1440</v>
      </c>
      <c r="B591" t="s">
        <v>1441</v>
      </c>
      <c r="C591" t="s">
        <v>2435</v>
      </c>
      <c r="D591" t="s">
        <v>1443</v>
      </c>
      <c r="E591" t="s">
        <v>2436</v>
      </c>
      <c r="F591" t="s">
        <v>2437</v>
      </c>
      <c r="J591" t="s">
        <v>2436</v>
      </c>
      <c r="K591" t="s">
        <v>1446</v>
      </c>
      <c r="L591" t="s">
        <v>1389</v>
      </c>
    </row>
    <row r="592" spans="1:12">
      <c r="A592" t="s">
        <v>1440</v>
      </c>
      <c r="B592" t="s">
        <v>1441</v>
      </c>
      <c r="C592" t="s">
        <v>2438</v>
      </c>
      <c r="D592" t="s">
        <v>1443</v>
      </c>
      <c r="E592" t="s">
        <v>2439</v>
      </c>
      <c r="F592" t="s">
        <v>2440</v>
      </c>
      <c r="J592" t="s">
        <v>2439</v>
      </c>
      <c r="K592" t="s">
        <v>1446</v>
      </c>
      <c r="L592" t="s">
        <v>1389</v>
      </c>
    </row>
    <row r="593" spans="1:12">
      <c r="A593" t="s">
        <v>1440</v>
      </c>
      <c r="B593" t="s">
        <v>1441</v>
      </c>
      <c r="C593" t="s">
        <v>2441</v>
      </c>
      <c r="D593" t="s">
        <v>1443</v>
      </c>
      <c r="E593" t="s">
        <v>2442</v>
      </c>
      <c r="F593" t="s">
        <v>2443</v>
      </c>
      <c r="J593" t="s">
        <v>2442</v>
      </c>
      <c r="K593" t="s">
        <v>1446</v>
      </c>
      <c r="L593" t="s">
        <v>1389</v>
      </c>
    </row>
    <row r="594" spans="1:12">
      <c r="A594" t="s">
        <v>1440</v>
      </c>
      <c r="B594" t="s">
        <v>1441</v>
      </c>
      <c r="C594" t="s">
        <v>2444</v>
      </c>
      <c r="D594" t="s">
        <v>1443</v>
      </c>
      <c r="E594" t="s">
        <v>2445</v>
      </c>
      <c r="F594" t="s">
        <v>2446</v>
      </c>
      <c r="J594" t="s">
        <v>2445</v>
      </c>
      <c r="K594" t="s">
        <v>1446</v>
      </c>
      <c r="L594" t="s">
        <v>1389</v>
      </c>
    </row>
    <row r="595" spans="1:12">
      <c r="A595" t="s">
        <v>1440</v>
      </c>
      <c r="B595" t="s">
        <v>1441</v>
      </c>
      <c r="C595" t="s">
        <v>2447</v>
      </c>
      <c r="D595" t="s">
        <v>1443</v>
      </c>
      <c r="E595" t="s">
        <v>2448</v>
      </c>
      <c r="F595" t="s">
        <v>2449</v>
      </c>
      <c r="J595" t="s">
        <v>2448</v>
      </c>
      <c r="K595" t="s">
        <v>1446</v>
      </c>
      <c r="L595" t="s">
        <v>1389</v>
      </c>
    </row>
    <row r="596" spans="1:12">
      <c r="A596" t="s">
        <v>1440</v>
      </c>
      <c r="B596" t="s">
        <v>1441</v>
      </c>
      <c r="C596" t="s">
        <v>2450</v>
      </c>
      <c r="D596" t="s">
        <v>1443</v>
      </c>
      <c r="E596" t="s">
        <v>2451</v>
      </c>
      <c r="F596" t="s">
        <v>2452</v>
      </c>
      <c r="J596" t="s">
        <v>2451</v>
      </c>
      <c r="K596" t="s">
        <v>1446</v>
      </c>
      <c r="L596" t="s">
        <v>1389</v>
      </c>
    </row>
    <row r="597" spans="1:12">
      <c r="A597" t="s">
        <v>1440</v>
      </c>
      <c r="B597" t="s">
        <v>1441</v>
      </c>
      <c r="C597" t="s">
        <v>2453</v>
      </c>
      <c r="D597" t="s">
        <v>1443</v>
      </c>
      <c r="E597" t="s">
        <v>2454</v>
      </c>
      <c r="F597" t="s">
        <v>2455</v>
      </c>
      <c r="J597" t="s">
        <v>2454</v>
      </c>
      <c r="K597" t="s">
        <v>1446</v>
      </c>
      <c r="L597" t="s">
        <v>1389</v>
      </c>
    </row>
    <row r="598" spans="1:12">
      <c r="A598" t="s">
        <v>1440</v>
      </c>
      <c r="B598" t="s">
        <v>1441</v>
      </c>
      <c r="C598" t="s">
        <v>2456</v>
      </c>
      <c r="D598" t="s">
        <v>1443</v>
      </c>
      <c r="E598" t="s">
        <v>2457</v>
      </c>
      <c r="F598" t="s">
        <v>2458</v>
      </c>
      <c r="J598" t="s">
        <v>2457</v>
      </c>
      <c r="K598" t="s">
        <v>1446</v>
      </c>
      <c r="L598" t="s">
        <v>1389</v>
      </c>
    </row>
    <row r="599" spans="1:12">
      <c r="A599" t="s">
        <v>1440</v>
      </c>
      <c r="B599" t="s">
        <v>1441</v>
      </c>
      <c r="C599" t="s">
        <v>2459</v>
      </c>
      <c r="D599" t="s">
        <v>1443</v>
      </c>
      <c r="E599" t="s">
        <v>2460</v>
      </c>
      <c r="F599" t="s">
        <v>2461</v>
      </c>
      <c r="J599" t="s">
        <v>2460</v>
      </c>
      <c r="K599" t="s">
        <v>1446</v>
      </c>
      <c r="L599" t="s">
        <v>1389</v>
      </c>
    </row>
    <row r="600" spans="1:12">
      <c r="A600" t="s">
        <v>1440</v>
      </c>
      <c r="B600" t="s">
        <v>1441</v>
      </c>
      <c r="C600" t="s">
        <v>2462</v>
      </c>
      <c r="D600" t="s">
        <v>1443</v>
      </c>
      <c r="E600" t="s">
        <v>2463</v>
      </c>
      <c r="F600" t="s">
        <v>2464</v>
      </c>
      <c r="J600" t="s">
        <v>2463</v>
      </c>
      <c r="K600" t="s">
        <v>1446</v>
      </c>
      <c r="L600" t="s">
        <v>1389</v>
      </c>
    </row>
    <row r="601" spans="1:12">
      <c r="A601" t="s">
        <v>1440</v>
      </c>
      <c r="B601" t="s">
        <v>1441</v>
      </c>
      <c r="C601" t="s">
        <v>2465</v>
      </c>
      <c r="D601" t="s">
        <v>1443</v>
      </c>
      <c r="E601" t="s">
        <v>2466</v>
      </c>
      <c r="F601" t="s">
        <v>2467</v>
      </c>
      <c r="J601" t="s">
        <v>2466</v>
      </c>
      <c r="K601" t="s">
        <v>1446</v>
      </c>
      <c r="L601" t="s">
        <v>1389</v>
      </c>
    </row>
    <row r="602" spans="1:12">
      <c r="A602" t="s">
        <v>1440</v>
      </c>
      <c r="B602" t="s">
        <v>1441</v>
      </c>
      <c r="C602" t="s">
        <v>2468</v>
      </c>
      <c r="D602" t="s">
        <v>1443</v>
      </c>
      <c r="E602" t="s">
        <v>2469</v>
      </c>
      <c r="F602" t="s">
        <v>2470</v>
      </c>
      <c r="J602" t="s">
        <v>2469</v>
      </c>
      <c r="K602" t="s">
        <v>1446</v>
      </c>
      <c r="L602" t="s">
        <v>1389</v>
      </c>
    </row>
    <row r="603" spans="1:12">
      <c r="A603" t="s">
        <v>1440</v>
      </c>
      <c r="B603" t="s">
        <v>1441</v>
      </c>
      <c r="C603" t="s">
        <v>2471</v>
      </c>
      <c r="D603" t="s">
        <v>1443</v>
      </c>
      <c r="E603" t="s">
        <v>2472</v>
      </c>
      <c r="F603" t="s">
        <v>2473</v>
      </c>
      <c r="J603" t="s">
        <v>2472</v>
      </c>
      <c r="K603" t="s">
        <v>1446</v>
      </c>
      <c r="L603" t="s">
        <v>1389</v>
      </c>
    </row>
    <row r="604" spans="1:12">
      <c r="A604" t="s">
        <v>1440</v>
      </c>
      <c r="B604" t="s">
        <v>1441</v>
      </c>
      <c r="C604" t="s">
        <v>2474</v>
      </c>
      <c r="D604" t="s">
        <v>1443</v>
      </c>
      <c r="E604" t="s">
        <v>2475</v>
      </c>
      <c r="F604" t="s">
        <v>2476</v>
      </c>
      <c r="J604" t="s">
        <v>2475</v>
      </c>
      <c r="K604" t="s">
        <v>1446</v>
      </c>
      <c r="L604" t="s">
        <v>1389</v>
      </c>
    </row>
    <row r="605" spans="1:12">
      <c r="A605" t="s">
        <v>1440</v>
      </c>
      <c r="B605" t="s">
        <v>1441</v>
      </c>
      <c r="C605" t="s">
        <v>2477</v>
      </c>
      <c r="D605" t="s">
        <v>1443</v>
      </c>
      <c r="E605" t="s">
        <v>2478</v>
      </c>
      <c r="F605" t="s">
        <v>2479</v>
      </c>
      <c r="J605" t="s">
        <v>2478</v>
      </c>
      <c r="K605" t="s">
        <v>1446</v>
      </c>
      <c r="L605" t="s">
        <v>1389</v>
      </c>
    </row>
    <row r="606" spans="1:12">
      <c r="A606" t="s">
        <v>1440</v>
      </c>
      <c r="B606" t="s">
        <v>1441</v>
      </c>
      <c r="C606" t="s">
        <v>2480</v>
      </c>
      <c r="D606" t="s">
        <v>1443</v>
      </c>
      <c r="E606" t="s">
        <v>2481</v>
      </c>
      <c r="F606" t="s">
        <v>2482</v>
      </c>
      <c r="J606" t="s">
        <v>2481</v>
      </c>
      <c r="K606" t="s">
        <v>1446</v>
      </c>
      <c r="L606" t="s">
        <v>1389</v>
      </c>
    </row>
    <row r="607" spans="1:12">
      <c r="A607" t="s">
        <v>1440</v>
      </c>
      <c r="B607" t="s">
        <v>1441</v>
      </c>
      <c r="C607" t="s">
        <v>2483</v>
      </c>
      <c r="D607" t="s">
        <v>1443</v>
      </c>
      <c r="E607" t="s">
        <v>2484</v>
      </c>
      <c r="F607" t="s">
        <v>2485</v>
      </c>
      <c r="J607" t="s">
        <v>2484</v>
      </c>
      <c r="K607" t="s">
        <v>1446</v>
      </c>
      <c r="L607" t="s">
        <v>1389</v>
      </c>
    </row>
    <row r="608" spans="1:12">
      <c r="A608" t="s">
        <v>1440</v>
      </c>
      <c r="B608" t="s">
        <v>1441</v>
      </c>
      <c r="C608" t="s">
        <v>2486</v>
      </c>
      <c r="D608" t="s">
        <v>1443</v>
      </c>
      <c r="E608" t="s">
        <v>2487</v>
      </c>
      <c r="F608" t="s">
        <v>2488</v>
      </c>
      <c r="J608" t="s">
        <v>2487</v>
      </c>
      <c r="K608" t="s">
        <v>1446</v>
      </c>
      <c r="L608" t="s">
        <v>1389</v>
      </c>
    </row>
    <row r="609" spans="1:12">
      <c r="A609" t="s">
        <v>1440</v>
      </c>
      <c r="B609" t="s">
        <v>1441</v>
      </c>
      <c r="C609" t="s">
        <v>2489</v>
      </c>
      <c r="D609" t="s">
        <v>1443</v>
      </c>
      <c r="E609" t="s">
        <v>2490</v>
      </c>
      <c r="F609" t="s">
        <v>2491</v>
      </c>
      <c r="J609" t="s">
        <v>2490</v>
      </c>
      <c r="K609" t="s">
        <v>1446</v>
      </c>
      <c r="L609" t="s">
        <v>1389</v>
      </c>
    </row>
    <row r="610" spans="1:12">
      <c r="A610" t="s">
        <v>1440</v>
      </c>
      <c r="B610" t="s">
        <v>1441</v>
      </c>
      <c r="C610" t="s">
        <v>2492</v>
      </c>
      <c r="D610" t="s">
        <v>1443</v>
      </c>
      <c r="E610" t="s">
        <v>2493</v>
      </c>
      <c r="F610" t="s">
        <v>2494</v>
      </c>
      <c r="J610" t="s">
        <v>2493</v>
      </c>
      <c r="K610" t="s">
        <v>1446</v>
      </c>
      <c r="L610" t="s">
        <v>1389</v>
      </c>
    </row>
    <row r="611" spans="1:12">
      <c r="A611" t="s">
        <v>1440</v>
      </c>
      <c r="B611" t="s">
        <v>1441</v>
      </c>
      <c r="C611" t="s">
        <v>2495</v>
      </c>
      <c r="D611" t="s">
        <v>1443</v>
      </c>
      <c r="E611" t="s">
        <v>2496</v>
      </c>
      <c r="F611" t="s">
        <v>2497</v>
      </c>
      <c r="J611" t="s">
        <v>2496</v>
      </c>
      <c r="K611" t="s">
        <v>1446</v>
      </c>
      <c r="L611" t="s">
        <v>1389</v>
      </c>
    </row>
    <row r="612" spans="1:12">
      <c r="A612" t="s">
        <v>1440</v>
      </c>
      <c r="B612" t="s">
        <v>1441</v>
      </c>
      <c r="C612" t="s">
        <v>2498</v>
      </c>
      <c r="D612" t="s">
        <v>1443</v>
      </c>
      <c r="E612" t="s">
        <v>2499</v>
      </c>
      <c r="F612" t="s">
        <v>2500</v>
      </c>
      <c r="J612" t="s">
        <v>2499</v>
      </c>
      <c r="K612" t="s">
        <v>1446</v>
      </c>
      <c r="L612" t="s">
        <v>1389</v>
      </c>
    </row>
    <row r="613" spans="1:12">
      <c r="A613" t="s">
        <v>1440</v>
      </c>
      <c r="B613" t="s">
        <v>1441</v>
      </c>
      <c r="C613" t="s">
        <v>2501</v>
      </c>
      <c r="D613" t="s">
        <v>1443</v>
      </c>
      <c r="E613" t="s">
        <v>2502</v>
      </c>
      <c r="F613" t="s">
        <v>2503</v>
      </c>
      <c r="J613" t="s">
        <v>2502</v>
      </c>
      <c r="K613" t="s">
        <v>1446</v>
      </c>
      <c r="L613" t="s">
        <v>1389</v>
      </c>
    </row>
    <row r="614" spans="1:12">
      <c r="A614" t="s">
        <v>1440</v>
      </c>
      <c r="B614" t="s">
        <v>1441</v>
      </c>
      <c r="C614" t="s">
        <v>2504</v>
      </c>
      <c r="D614" t="s">
        <v>1443</v>
      </c>
      <c r="E614" t="s">
        <v>2505</v>
      </c>
      <c r="F614" t="s">
        <v>2506</v>
      </c>
      <c r="J614" t="s">
        <v>2505</v>
      </c>
      <c r="K614" t="s">
        <v>1446</v>
      </c>
      <c r="L614" t="s">
        <v>1389</v>
      </c>
    </row>
    <row r="615" spans="1:12">
      <c r="A615" t="s">
        <v>1440</v>
      </c>
      <c r="B615" t="s">
        <v>1441</v>
      </c>
      <c r="C615" t="s">
        <v>2507</v>
      </c>
      <c r="D615" t="s">
        <v>1443</v>
      </c>
      <c r="E615" t="s">
        <v>2508</v>
      </c>
      <c r="F615" t="s">
        <v>2509</v>
      </c>
      <c r="J615" t="s">
        <v>2508</v>
      </c>
      <c r="K615" t="s">
        <v>1446</v>
      </c>
      <c r="L615" t="s">
        <v>1389</v>
      </c>
    </row>
    <row r="616" spans="1:12">
      <c r="A616" t="s">
        <v>1440</v>
      </c>
      <c r="B616" t="s">
        <v>1441</v>
      </c>
      <c r="C616" t="s">
        <v>2510</v>
      </c>
      <c r="D616" t="s">
        <v>1443</v>
      </c>
      <c r="E616" t="s">
        <v>2511</v>
      </c>
      <c r="F616" t="s">
        <v>2512</v>
      </c>
      <c r="J616" t="s">
        <v>2511</v>
      </c>
      <c r="K616" t="s">
        <v>1446</v>
      </c>
      <c r="L616" t="s">
        <v>1389</v>
      </c>
    </row>
    <row r="617" spans="1:12">
      <c r="A617" t="s">
        <v>1440</v>
      </c>
      <c r="B617" t="s">
        <v>1441</v>
      </c>
      <c r="C617" t="s">
        <v>2513</v>
      </c>
      <c r="D617" t="s">
        <v>1443</v>
      </c>
      <c r="E617" t="s">
        <v>2514</v>
      </c>
      <c r="F617" t="s">
        <v>2515</v>
      </c>
      <c r="J617" t="s">
        <v>2514</v>
      </c>
      <c r="K617" t="s">
        <v>1446</v>
      </c>
      <c r="L617" t="s">
        <v>1389</v>
      </c>
    </row>
    <row r="618" spans="1:12">
      <c r="A618" t="s">
        <v>1440</v>
      </c>
      <c r="B618" t="s">
        <v>1441</v>
      </c>
      <c r="C618" t="s">
        <v>2516</v>
      </c>
      <c r="D618" t="s">
        <v>1443</v>
      </c>
      <c r="E618" t="s">
        <v>2517</v>
      </c>
      <c r="F618" t="s">
        <v>2518</v>
      </c>
      <c r="J618" t="s">
        <v>2517</v>
      </c>
      <c r="K618" t="s">
        <v>1446</v>
      </c>
      <c r="L618" t="s">
        <v>1389</v>
      </c>
    </row>
    <row r="619" spans="1:12">
      <c r="A619" t="s">
        <v>1440</v>
      </c>
      <c r="B619" t="s">
        <v>1441</v>
      </c>
      <c r="C619" t="s">
        <v>2519</v>
      </c>
      <c r="D619" t="s">
        <v>1443</v>
      </c>
      <c r="E619" t="s">
        <v>2520</v>
      </c>
      <c r="F619" t="s">
        <v>2521</v>
      </c>
      <c r="J619" t="s">
        <v>2520</v>
      </c>
      <c r="K619" t="s">
        <v>1446</v>
      </c>
      <c r="L619" t="s">
        <v>1389</v>
      </c>
    </row>
    <row r="620" spans="1:12">
      <c r="A620" t="s">
        <v>1440</v>
      </c>
      <c r="B620" t="s">
        <v>1441</v>
      </c>
      <c r="C620" t="s">
        <v>2522</v>
      </c>
      <c r="D620" t="s">
        <v>1443</v>
      </c>
      <c r="E620" t="s">
        <v>2523</v>
      </c>
      <c r="F620" t="s">
        <v>2524</v>
      </c>
      <c r="J620" t="s">
        <v>2523</v>
      </c>
      <c r="K620" t="s">
        <v>1446</v>
      </c>
      <c r="L620" t="s">
        <v>1389</v>
      </c>
    </row>
    <row r="621" spans="1:12">
      <c r="A621" t="s">
        <v>1440</v>
      </c>
      <c r="B621" t="s">
        <v>1441</v>
      </c>
      <c r="C621" t="s">
        <v>2525</v>
      </c>
      <c r="D621" t="s">
        <v>1443</v>
      </c>
      <c r="E621" t="s">
        <v>2526</v>
      </c>
      <c r="F621" t="s">
        <v>2527</v>
      </c>
      <c r="J621" t="s">
        <v>2526</v>
      </c>
      <c r="K621" t="s">
        <v>1446</v>
      </c>
      <c r="L621" t="s">
        <v>1389</v>
      </c>
    </row>
    <row r="622" spans="1:12">
      <c r="A622" t="s">
        <v>1440</v>
      </c>
      <c r="B622" t="s">
        <v>1441</v>
      </c>
      <c r="C622" t="s">
        <v>2528</v>
      </c>
      <c r="D622" t="s">
        <v>1443</v>
      </c>
      <c r="E622" t="s">
        <v>2529</v>
      </c>
      <c r="F622" t="s">
        <v>2530</v>
      </c>
      <c r="J622" t="s">
        <v>2529</v>
      </c>
      <c r="K622" t="s">
        <v>1446</v>
      </c>
      <c r="L622" t="s">
        <v>1389</v>
      </c>
    </row>
    <row r="623" spans="1:12">
      <c r="A623" t="s">
        <v>1440</v>
      </c>
      <c r="B623" t="s">
        <v>1441</v>
      </c>
      <c r="C623" t="s">
        <v>2531</v>
      </c>
      <c r="D623" t="s">
        <v>1443</v>
      </c>
      <c r="E623" t="s">
        <v>2532</v>
      </c>
      <c r="F623" t="s">
        <v>2533</v>
      </c>
      <c r="J623" t="s">
        <v>2532</v>
      </c>
      <c r="K623" t="s">
        <v>1446</v>
      </c>
      <c r="L623" t="s">
        <v>1389</v>
      </c>
    </row>
    <row r="624" spans="1:12">
      <c r="A624" t="s">
        <v>1440</v>
      </c>
      <c r="B624" t="s">
        <v>1441</v>
      </c>
      <c r="C624" t="s">
        <v>2534</v>
      </c>
      <c r="D624" t="s">
        <v>1443</v>
      </c>
      <c r="E624" t="s">
        <v>2535</v>
      </c>
      <c r="F624" t="s">
        <v>2536</v>
      </c>
    </row>
    <row r="625" spans="1:12">
      <c r="A625" t="s">
        <v>1440</v>
      </c>
      <c r="B625" t="s">
        <v>1441</v>
      </c>
      <c r="C625" t="s">
        <v>2537</v>
      </c>
      <c r="D625" t="s">
        <v>1443</v>
      </c>
      <c r="E625" t="s">
        <v>2538</v>
      </c>
      <c r="F625" t="s">
        <v>2539</v>
      </c>
      <c r="J625" t="s">
        <v>2538</v>
      </c>
      <c r="K625" t="s">
        <v>1446</v>
      </c>
      <c r="L625" t="s">
        <v>1389</v>
      </c>
    </row>
    <row r="626" spans="1:12">
      <c r="A626" t="s">
        <v>1440</v>
      </c>
      <c r="B626" t="s">
        <v>1441</v>
      </c>
      <c r="C626" t="s">
        <v>2540</v>
      </c>
      <c r="D626" t="s">
        <v>1443</v>
      </c>
      <c r="E626" t="s">
        <v>2541</v>
      </c>
      <c r="F626" t="s">
        <v>2542</v>
      </c>
      <c r="J626" t="s">
        <v>2541</v>
      </c>
      <c r="K626" t="s">
        <v>1446</v>
      </c>
      <c r="L626" t="s">
        <v>1389</v>
      </c>
    </row>
    <row r="627" spans="1:12">
      <c r="A627" t="s">
        <v>1440</v>
      </c>
      <c r="B627" t="s">
        <v>1441</v>
      </c>
      <c r="C627" t="s">
        <v>2543</v>
      </c>
      <c r="D627" t="s">
        <v>1443</v>
      </c>
      <c r="E627" t="s">
        <v>2544</v>
      </c>
      <c r="F627" t="s">
        <v>2545</v>
      </c>
      <c r="J627" t="s">
        <v>2544</v>
      </c>
      <c r="K627" t="s">
        <v>1446</v>
      </c>
      <c r="L627" t="s">
        <v>1389</v>
      </c>
    </row>
    <row r="628" spans="1:12">
      <c r="A628" t="s">
        <v>1440</v>
      </c>
      <c r="B628" t="s">
        <v>1441</v>
      </c>
      <c r="C628" t="s">
        <v>2546</v>
      </c>
      <c r="D628" t="s">
        <v>1443</v>
      </c>
      <c r="E628" t="s">
        <v>2547</v>
      </c>
      <c r="F628" t="s">
        <v>2548</v>
      </c>
      <c r="J628" t="s">
        <v>2547</v>
      </c>
      <c r="K628" t="s">
        <v>1446</v>
      </c>
      <c r="L628" t="s">
        <v>1389</v>
      </c>
    </row>
    <row r="629" spans="1:12">
      <c r="A629" t="s">
        <v>1440</v>
      </c>
      <c r="B629" t="s">
        <v>1441</v>
      </c>
      <c r="C629" t="s">
        <v>2549</v>
      </c>
      <c r="D629" t="s">
        <v>1443</v>
      </c>
      <c r="E629" t="s">
        <v>2550</v>
      </c>
      <c r="F629" t="s">
        <v>2551</v>
      </c>
      <c r="J629" t="s">
        <v>2550</v>
      </c>
      <c r="K629" t="s">
        <v>1446</v>
      </c>
      <c r="L629" t="s">
        <v>1389</v>
      </c>
    </row>
    <row r="630" spans="1:12">
      <c r="A630" t="s">
        <v>1440</v>
      </c>
      <c r="B630" t="s">
        <v>1441</v>
      </c>
      <c r="C630" t="s">
        <v>2552</v>
      </c>
      <c r="D630" t="s">
        <v>1443</v>
      </c>
      <c r="E630" t="s">
        <v>2553</v>
      </c>
      <c r="F630" t="s">
        <v>2554</v>
      </c>
      <c r="J630" t="s">
        <v>2553</v>
      </c>
      <c r="K630" t="s">
        <v>1446</v>
      </c>
      <c r="L630" t="s">
        <v>1389</v>
      </c>
    </row>
    <row r="631" spans="1:12">
      <c r="A631" t="s">
        <v>1440</v>
      </c>
      <c r="B631" t="s">
        <v>1441</v>
      </c>
      <c r="C631" t="s">
        <v>2555</v>
      </c>
      <c r="D631" t="s">
        <v>1443</v>
      </c>
      <c r="E631" t="s">
        <v>2556</v>
      </c>
      <c r="F631" t="s">
        <v>2557</v>
      </c>
      <c r="J631" t="s">
        <v>2556</v>
      </c>
      <c r="K631" t="s">
        <v>1446</v>
      </c>
      <c r="L631" t="s">
        <v>1389</v>
      </c>
    </row>
    <row r="632" spans="1:12">
      <c r="A632" t="s">
        <v>1440</v>
      </c>
      <c r="B632" t="s">
        <v>1441</v>
      </c>
      <c r="C632" t="s">
        <v>2558</v>
      </c>
      <c r="D632" t="s">
        <v>1443</v>
      </c>
      <c r="E632" t="s">
        <v>2559</v>
      </c>
      <c r="F632" t="s">
        <v>2560</v>
      </c>
      <c r="J632" t="s">
        <v>2559</v>
      </c>
      <c r="K632" t="s">
        <v>1446</v>
      </c>
      <c r="L632" t="s">
        <v>1389</v>
      </c>
    </row>
    <row r="633" spans="1:12">
      <c r="A633" t="s">
        <v>1440</v>
      </c>
      <c r="B633" t="s">
        <v>1441</v>
      </c>
      <c r="C633" t="s">
        <v>2561</v>
      </c>
      <c r="D633" t="s">
        <v>1443</v>
      </c>
      <c r="E633" t="s">
        <v>2562</v>
      </c>
      <c r="F633" t="s">
        <v>2563</v>
      </c>
      <c r="J633" t="s">
        <v>2562</v>
      </c>
      <c r="K633" t="s">
        <v>1446</v>
      </c>
      <c r="L633" t="s">
        <v>1389</v>
      </c>
    </row>
    <row r="634" spans="1:12">
      <c r="A634" t="s">
        <v>1440</v>
      </c>
      <c r="B634" t="s">
        <v>1441</v>
      </c>
      <c r="C634" t="s">
        <v>2564</v>
      </c>
      <c r="D634" t="s">
        <v>1443</v>
      </c>
      <c r="E634" t="s">
        <v>2565</v>
      </c>
      <c r="F634" t="s">
        <v>2566</v>
      </c>
      <c r="J634" t="s">
        <v>2565</v>
      </c>
      <c r="K634" t="s">
        <v>1446</v>
      </c>
      <c r="L634" t="s">
        <v>1389</v>
      </c>
    </row>
    <row r="635" spans="1:12">
      <c r="A635" t="s">
        <v>1440</v>
      </c>
      <c r="B635" t="s">
        <v>1441</v>
      </c>
      <c r="C635" t="s">
        <v>2567</v>
      </c>
      <c r="D635" t="s">
        <v>1443</v>
      </c>
      <c r="E635" t="s">
        <v>2568</v>
      </c>
      <c r="F635" t="s">
        <v>2569</v>
      </c>
      <c r="J635" t="s">
        <v>2568</v>
      </c>
      <c r="K635" t="s">
        <v>1446</v>
      </c>
      <c r="L635" t="s">
        <v>1389</v>
      </c>
    </row>
    <row r="636" spans="1:12">
      <c r="A636" t="s">
        <v>1440</v>
      </c>
      <c r="B636" t="s">
        <v>1441</v>
      </c>
      <c r="C636" t="s">
        <v>2570</v>
      </c>
      <c r="D636" t="s">
        <v>1443</v>
      </c>
      <c r="E636" t="s">
        <v>2571</v>
      </c>
      <c r="F636" t="s">
        <v>2572</v>
      </c>
      <c r="J636" t="s">
        <v>2571</v>
      </c>
      <c r="K636" t="s">
        <v>1446</v>
      </c>
      <c r="L636" t="s">
        <v>1389</v>
      </c>
    </row>
    <row r="637" spans="1:12">
      <c r="A637" t="s">
        <v>1440</v>
      </c>
      <c r="B637" t="s">
        <v>1441</v>
      </c>
      <c r="C637" t="s">
        <v>2573</v>
      </c>
      <c r="D637" t="s">
        <v>1443</v>
      </c>
      <c r="E637" t="s">
        <v>2574</v>
      </c>
      <c r="F637" t="s">
        <v>2575</v>
      </c>
      <c r="J637" t="s">
        <v>2574</v>
      </c>
      <c r="K637" t="s">
        <v>1446</v>
      </c>
      <c r="L637" t="s">
        <v>1389</v>
      </c>
    </row>
    <row r="638" spans="1:12">
      <c r="A638" t="s">
        <v>1440</v>
      </c>
      <c r="B638" t="s">
        <v>1441</v>
      </c>
      <c r="C638" t="s">
        <v>2576</v>
      </c>
      <c r="D638" t="s">
        <v>1443</v>
      </c>
      <c r="E638" t="s">
        <v>2577</v>
      </c>
      <c r="F638" t="s">
        <v>2578</v>
      </c>
      <c r="J638" t="s">
        <v>2577</v>
      </c>
      <c r="K638" t="s">
        <v>1446</v>
      </c>
      <c r="L638" t="s">
        <v>1389</v>
      </c>
    </row>
    <row r="639" spans="1:12">
      <c r="A639" t="s">
        <v>1440</v>
      </c>
      <c r="B639" t="s">
        <v>1441</v>
      </c>
      <c r="C639" t="s">
        <v>2579</v>
      </c>
      <c r="D639" t="s">
        <v>1443</v>
      </c>
      <c r="E639" t="s">
        <v>2580</v>
      </c>
      <c r="F639" t="s">
        <v>2581</v>
      </c>
      <c r="J639" t="s">
        <v>2580</v>
      </c>
      <c r="K639" t="s">
        <v>1446</v>
      </c>
      <c r="L639" t="s">
        <v>1389</v>
      </c>
    </row>
    <row r="640" spans="1:12">
      <c r="A640" t="s">
        <v>1440</v>
      </c>
      <c r="B640" t="s">
        <v>1441</v>
      </c>
      <c r="C640" t="s">
        <v>2582</v>
      </c>
      <c r="D640" t="s">
        <v>1443</v>
      </c>
      <c r="E640" t="s">
        <v>2583</v>
      </c>
      <c r="F640" t="s">
        <v>2584</v>
      </c>
      <c r="J640" t="s">
        <v>2583</v>
      </c>
      <c r="K640" t="s">
        <v>1446</v>
      </c>
      <c r="L640" t="s">
        <v>1389</v>
      </c>
    </row>
    <row r="641" spans="1:12">
      <c r="A641" t="s">
        <v>1440</v>
      </c>
      <c r="B641" t="s">
        <v>1441</v>
      </c>
      <c r="C641" t="s">
        <v>2585</v>
      </c>
      <c r="D641" t="s">
        <v>1443</v>
      </c>
      <c r="E641" t="s">
        <v>2586</v>
      </c>
      <c r="F641" t="s">
        <v>2587</v>
      </c>
      <c r="J641" t="s">
        <v>2586</v>
      </c>
      <c r="K641" t="s">
        <v>1446</v>
      </c>
      <c r="L641" t="s">
        <v>1389</v>
      </c>
    </row>
    <row r="642" spans="1:12">
      <c r="A642" t="s">
        <v>1440</v>
      </c>
      <c r="B642" t="s">
        <v>1441</v>
      </c>
      <c r="C642" t="s">
        <v>2588</v>
      </c>
      <c r="D642" t="s">
        <v>1443</v>
      </c>
      <c r="E642" t="s">
        <v>2589</v>
      </c>
      <c r="F642" t="s">
        <v>2590</v>
      </c>
      <c r="J642" t="s">
        <v>2589</v>
      </c>
      <c r="K642" t="s">
        <v>1446</v>
      </c>
      <c r="L642" t="s">
        <v>1389</v>
      </c>
    </row>
    <row r="643" spans="1:12">
      <c r="A643" t="s">
        <v>1440</v>
      </c>
      <c r="B643" t="s">
        <v>1441</v>
      </c>
      <c r="C643" t="s">
        <v>2591</v>
      </c>
      <c r="D643" t="s">
        <v>1443</v>
      </c>
      <c r="E643" t="s">
        <v>2592</v>
      </c>
      <c r="F643" t="s">
        <v>2593</v>
      </c>
      <c r="J643" t="s">
        <v>2592</v>
      </c>
      <c r="K643" t="s">
        <v>1446</v>
      </c>
      <c r="L643" t="s">
        <v>1389</v>
      </c>
    </row>
    <row r="644" spans="1:12">
      <c r="A644" t="s">
        <v>1440</v>
      </c>
      <c r="B644" t="s">
        <v>1441</v>
      </c>
      <c r="C644" t="s">
        <v>2594</v>
      </c>
      <c r="D644" t="s">
        <v>1443</v>
      </c>
      <c r="E644" t="s">
        <v>2595</v>
      </c>
      <c r="F644" t="s">
        <v>2596</v>
      </c>
      <c r="J644" t="s">
        <v>2595</v>
      </c>
      <c r="K644" t="s">
        <v>1446</v>
      </c>
      <c r="L644" t="s">
        <v>1389</v>
      </c>
    </row>
    <row r="645" spans="1:12">
      <c r="A645" t="s">
        <v>1440</v>
      </c>
      <c r="B645" t="s">
        <v>1441</v>
      </c>
      <c r="C645" t="s">
        <v>2597</v>
      </c>
      <c r="D645" t="s">
        <v>1443</v>
      </c>
      <c r="E645" t="s">
        <v>2598</v>
      </c>
      <c r="F645" t="s">
        <v>2599</v>
      </c>
      <c r="J645" t="s">
        <v>2598</v>
      </c>
      <c r="K645" t="s">
        <v>1446</v>
      </c>
      <c r="L645" t="s">
        <v>1389</v>
      </c>
    </row>
    <row r="646" spans="1:12">
      <c r="A646" t="s">
        <v>1440</v>
      </c>
      <c r="B646" t="s">
        <v>1441</v>
      </c>
      <c r="C646" t="s">
        <v>2600</v>
      </c>
      <c r="D646" t="s">
        <v>1443</v>
      </c>
      <c r="E646" t="s">
        <v>2601</v>
      </c>
      <c r="F646" t="s">
        <v>2602</v>
      </c>
      <c r="J646" t="s">
        <v>2601</v>
      </c>
      <c r="K646" t="s">
        <v>1446</v>
      </c>
      <c r="L646" t="s">
        <v>1389</v>
      </c>
    </row>
    <row r="647" spans="1:12">
      <c r="A647" t="s">
        <v>1440</v>
      </c>
      <c r="B647" t="s">
        <v>1441</v>
      </c>
      <c r="C647" t="s">
        <v>2603</v>
      </c>
      <c r="D647" t="s">
        <v>1443</v>
      </c>
      <c r="E647" t="s">
        <v>2604</v>
      </c>
      <c r="F647" t="s">
        <v>2605</v>
      </c>
      <c r="J647" t="s">
        <v>2604</v>
      </c>
      <c r="K647" t="s">
        <v>1446</v>
      </c>
      <c r="L647" t="s">
        <v>1389</v>
      </c>
    </row>
    <row r="648" spans="1:12">
      <c r="A648" t="s">
        <v>1440</v>
      </c>
      <c r="B648" t="s">
        <v>1441</v>
      </c>
      <c r="C648" t="s">
        <v>2606</v>
      </c>
      <c r="D648" t="s">
        <v>1443</v>
      </c>
      <c r="E648" t="s">
        <v>2607</v>
      </c>
      <c r="F648" t="s">
        <v>2608</v>
      </c>
      <c r="J648" t="s">
        <v>2607</v>
      </c>
      <c r="K648" t="s">
        <v>1446</v>
      </c>
      <c r="L648" t="s">
        <v>1389</v>
      </c>
    </row>
    <row r="649" spans="1:12">
      <c r="A649" t="s">
        <v>1440</v>
      </c>
      <c r="B649" t="s">
        <v>1441</v>
      </c>
      <c r="C649" t="s">
        <v>2609</v>
      </c>
      <c r="D649" t="s">
        <v>1443</v>
      </c>
      <c r="E649" t="s">
        <v>2610</v>
      </c>
      <c r="F649" t="s">
        <v>2611</v>
      </c>
      <c r="J649" t="s">
        <v>2610</v>
      </c>
      <c r="K649" t="s">
        <v>1446</v>
      </c>
      <c r="L649" t="s">
        <v>1389</v>
      </c>
    </row>
    <row r="650" spans="1:12">
      <c r="A650" t="s">
        <v>1440</v>
      </c>
      <c r="B650" t="s">
        <v>1441</v>
      </c>
      <c r="C650" t="s">
        <v>2612</v>
      </c>
      <c r="D650" t="s">
        <v>1443</v>
      </c>
      <c r="E650" t="s">
        <v>2613</v>
      </c>
      <c r="F650" t="s">
        <v>2614</v>
      </c>
      <c r="J650" t="s">
        <v>2613</v>
      </c>
      <c r="K650" t="s">
        <v>1446</v>
      </c>
      <c r="L650" t="s">
        <v>1389</v>
      </c>
    </row>
    <row r="651" spans="1:12">
      <c r="A651" t="s">
        <v>1440</v>
      </c>
      <c r="B651" t="s">
        <v>1441</v>
      </c>
      <c r="C651" t="s">
        <v>2615</v>
      </c>
      <c r="D651" t="s">
        <v>1443</v>
      </c>
      <c r="E651" t="s">
        <v>2616</v>
      </c>
      <c r="F651" t="s">
        <v>2617</v>
      </c>
      <c r="J651" t="s">
        <v>2616</v>
      </c>
      <c r="K651" t="s">
        <v>1446</v>
      </c>
      <c r="L651" t="s">
        <v>1389</v>
      </c>
    </row>
    <row r="652" spans="1:12">
      <c r="A652" t="s">
        <v>1440</v>
      </c>
      <c r="B652" t="s">
        <v>1441</v>
      </c>
      <c r="C652" t="s">
        <v>2618</v>
      </c>
      <c r="D652" t="s">
        <v>1443</v>
      </c>
      <c r="E652" t="s">
        <v>2619</v>
      </c>
      <c r="F652" t="s">
        <v>2620</v>
      </c>
      <c r="J652" t="s">
        <v>2619</v>
      </c>
      <c r="K652" t="s">
        <v>1446</v>
      </c>
      <c r="L652" t="s">
        <v>1389</v>
      </c>
    </row>
    <row r="653" spans="1:12">
      <c r="A653" t="s">
        <v>1440</v>
      </c>
      <c r="B653" t="s">
        <v>1441</v>
      </c>
      <c r="C653" t="s">
        <v>2621</v>
      </c>
      <c r="D653" t="s">
        <v>1443</v>
      </c>
      <c r="E653" t="s">
        <v>2622</v>
      </c>
      <c r="F653" t="s">
        <v>2623</v>
      </c>
      <c r="J653" t="s">
        <v>2622</v>
      </c>
      <c r="K653" t="s">
        <v>1446</v>
      </c>
      <c r="L653" t="s">
        <v>1389</v>
      </c>
    </row>
    <row r="654" spans="1:12">
      <c r="A654" t="s">
        <v>1440</v>
      </c>
      <c r="B654" t="s">
        <v>1441</v>
      </c>
      <c r="C654" t="s">
        <v>2624</v>
      </c>
      <c r="D654" t="s">
        <v>1443</v>
      </c>
      <c r="E654" t="s">
        <v>2625</v>
      </c>
      <c r="F654" t="s">
        <v>2626</v>
      </c>
      <c r="J654" t="s">
        <v>2625</v>
      </c>
      <c r="K654" t="s">
        <v>1446</v>
      </c>
      <c r="L654" t="s">
        <v>1389</v>
      </c>
    </row>
    <row r="655" spans="1:12">
      <c r="A655" t="s">
        <v>1440</v>
      </c>
      <c r="B655" t="s">
        <v>1441</v>
      </c>
      <c r="C655" t="s">
        <v>2627</v>
      </c>
      <c r="D655" t="s">
        <v>1443</v>
      </c>
      <c r="E655" t="s">
        <v>2628</v>
      </c>
      <c r="F655" t="s">
        <v>2629</v>
      </c>
      <c r="J655" t="s">
        <v>2628</v>
      </c>
      <c r="K655" t="s">
        <v>1446</v>
      </c>
      <c r="L655" t="s">
        <v>1389</v>
      </c>
    </row>
    <row r="656" spans="1:12">
      <c r="A656" t="s">
        <v>1440</v>
      </c>
      <c r="B656" t="s">
        <v>1441</v>
      </c>
      <c r="C656" t="s">
        <v>2630</v>
      </c>
      <c r="D656" t="s">
        <v>1443</v>
      </c>
      <c r="E656" t="s">
        <v>2631</v>
      </c>
      <c r="F656" t="s">
        <v>2632</v>
      </c>
      <c r="J656" t="s">
        <v>2631</v>
      </c>
      <c r="K656" t="s">
        <v>1446</v>
      </c>
      <c r="L656" t="s">
        <v>1389</v>
      </c>
    </row>
    <row r="657" spans="1:12">
      <c r="A657" t="s">
        <v>1440</v>
      </c>
      <c r="B657" t="s">
        <v>1441</v>
      </c>
      <c r="C657" t="s">
        <v>2633</v>
      </c>
      <c r="D657" t="s">
        <v>1443</v>
      </c>
      <c r="E657" t="s">
        <v>2634</v>
      </c>
      <c r="F657" t="s">
        <v>2635</v>
      </c>
      <c r="J657" t="s">
        <v>2634</v>
      </c>
      <c r="K657" t="s">
        <v>1446</v>
      </c>
      <c r="L657" t="s">
        <v>1389</v>
      </c>
    </row>
    <row r="658" spans="1:12">
      <c r="A658" t="s">
        <v>1440</v>
      </c>
      <c r="B658" t="s">
        <v>1441</v>
      </c>
      <c r="C658" t="s">
        <v>2636</v>
      </c>
      <c r="D658" t="s">
        <v>1443</v>
      </c>
      <c r="E658" t="s">
        <v>2637</v>
      </c>
      <c r="F658" t="s">
        <v>2638</v>
      </c>
      <c r="J658" t="s">
        <v>2637</v>
      </c>
      <c r="K658" t="s">
        <v>1446</v>
      </c>
      <c r="L658" t="s">
        <v>1389</v>
      </c>
    </row>
    <row r="659" spans="1:12">
      <c r="A659" t="s">
        <v>1440</v>
      </c>
      <c r="B659" t="s">
        <v>1441</v>
      </c>
      <c r="C659" t="s">
        <v>2639</v>
      </c>
      <c r="D659" t="s">
        <v>1443</v>
      </c>
      <c r="E659" t="s">
        <v>2640</v>
      </c>
      <c r="F659" t="s">
        <v>2641</v>
      </c>
      <c r="J659" t="s">
        <v>2640</v>
      </c>
      <c r="K659" t="s">
        <v>1446</v>
      </c>
      <c r="L659" t="s">
        <v>1389</v>
      </c>
    </row>
    <row r="660" spans="1:12">
      <c r="A660" t="s">
        <v>1440</v>
      </c>
      <c r="B660" t="s">
        <v>1441</v>
      </c>
      <c r="C660" t="s">
        <v>2642</v>
      </c>
      <c r="D660" t="s">
        <v>1443</v>
      </c>
      <c r="E660" t="s">
        <v>2643</v>
      </c>
      <c r="F660" t="s">
        <v>2644</v>
      </c>
      <c r="J660" t="s">
        <v>2643</v>
      </c>
      <c r="K660" t="s">
        <v>1446</v>
      </c>
      <c r="L660" t="s">
        <v>1389</v>
      </c>
    </row>
    <row r="661" spans="1:12">
      <c r="A661" t="s">
        <v>1440</v>
      </c>
      <c r="B661" t="s">
        <v>1441</v>
      </c>
      <c r="C661" t="s">
        <v>2645</v>
      </c>
      <c r="D661" t="s">
        <v>1443</v>
      </c>
      <c r="E661" t="s">
        <v>2646</v>
      </c>
      <c r="F661" t="s">
        <v>2647</v>
      </c>
      <c r="J661" t="s">
        <v>2646</v>
      </c>
      <c r="K661" t="s">
        <v>1446</v>
      </c>
      <c r="L661" t="s">
        <v>1389</v>
      </c>
    </row>
    <row r="662" spans="1:12">
      <c r="A662" t="s">
        <v>1440</v>
      </c>
      <c r="B662" t="s">
        <v>1441</v>
      </c>
      <c r="C662" t="s">
        <v>2648</v>
      </c>
      <c r="D662" t="s">
        <v>1443</v>
      </c>
      <c r="E662" t="s">
        <v>2649</v>
      </c>
      <c r="F662" t="s">
        <v>2650</v>
      </c>
      <c r="J662" t="s">
        <v>2649</v>
      </c>
      <c r="K662" t="s">
        <v>1446</v>
      </c>
      <c r="L662" t="s">
        <v>1389</v>
      </c>
    </row>
    <row r="663" spans="1:12">
      <c r="A663" t="s">
        <v>1440</v>
      </c>
      <c r="B663" t="s">
        <v>1441</v>
      </c>
      <c r="C663" t="s">
        <v>2651</v>
      </c>
      <c r="D663" t="s">
        <v>1443</v>
      </c>
      <c r="E663" t="s">
        <v>2652</v>
      </c>
      <c r="F663" t="s">
        <v>2653</v>
      </c>
      <c r="J663" t="s">
        <v>2652</v>
      </c>
      <c r="K663" t="s">
        <v>1446</v>
      </c>
      <c r="L663" t="s">
        <v>1389</v>
      </c>
    </row>
    <row r="664" spans="1:12">
      <c r="A664" t="s">
        <v>1440</v>
      </c>
      <c r="B664" t="s">
        <v>1441</v>
      </c>
      <c r="C664" t="s">
        <v>2654</v>
      </c>
      <c r="D664" t="s">
        <v>1443</v>
      </c>
      <c r="E664" t="s">
        <v>2655</v>
      </c>
      <c r="F664" t="s">
        <v>2656</v>
      </c>
      <c r="J664" t="s">
        <v>2655</v>
      </c>
      <c r="K664" t="s">
        <v>1446</v>
      </c>
      <c r="L664" t="s">
        <v>1389</v>
      </c>
    </row>
    <row r="665" spans="1:12">
      <c r="A665" t="s">
        <v>1440</v>
      </c>
      <c r="B665" t="s">
        <v>1441</v>
      </c>
      <c r="C665" t="s">
        <v>2657</v>
      </c>
      <c r="D665" t="s">
        <v>1443</v>
      </c>
      <c r="E665" t="s">
        <v>2658</v>
      </c>
      <c r="F665" t="s">
        <v>2659</v>
      </c>
      <c r="J665" t="s">
        <v>2658</v>
      </c>
      <c r="K665" t="s">
        <v>1446</v>
      </c>
      <c r="L665" t="s">
        <v>1389</v>
      </c>
    </row>
    <row r="666" spans="1:12">
      <c r="A666" t="s">
        <v>1440</v>
      </c>
      <c r="B666" t="s">
        <v>1441</v>
      </c>
      <c r="C666" t="s">
        <v>2660</v>
      </c>
      <c r="D666" t="s">
        <v>1443</v>
      </c>
      <c r="E666" t="s">
        <v>2661</v>
      </c>
      <c r="F666" t="s">
        <v>2662</v>
      </c>
      <c r="J666" t="s">
        <v>2661</v>
      </c>
      <c r="K666" t="s">
        <v>1446</v>
      </c>
      <c r="L666" t="s">
        <v>1389</v>
      </c>
    </row>
    <row r="667" spans="1:12">
      <c r="A667" t="s">
        <v>1440</v>
      </c>
      <c r="B667" t="s">
        <v>1441</v>
      </c>
      <c r="C667" t="s">
        <v>2663</v>
      </c>
      <c r="D667" t="s">
        <v>1443</v>
      </c>
      <c r="E667" t="s">
        <v>2664</v>
      </c>
      <c r="F667" t="s">
        <v>2665</v>
      </c>
      <c r="J667" t="s">
        <v>2664</v>
      </c>
      <c r="K667" t="s">
        <v>1446</v>
      </c>
      <c r="L667" t="s">
        <v>1389</v>
      </c>
    </row>
    <row r="668" spans="1:12">
      <c r="A668" t="s">
        <v>1440</v>
      </c>
      <c r="B668" t="s">
        <v>1441</v>
      </c>
      <c r="C668" t="s">
        <v>2666</v>
      </c>
      <c r="D668" t="s">
        <v>1443</v>
      </c>
      <c r="E668" t="s">
        <v>2667</v>
      </c>
      <c r="F668" t="s">
        <v>2668</v>
      </c>
      <c r="J668" t="s">
        <v>2667</v>
      </c>
      <c r="K668" t="s">
        <v>1446</v>
      </c>
      <c r="L668" t="s">
        <v>1389</v>
      </c>
    </row>
    <row r="669" spans="1:12">
      <c r="A669" t="s">
        <v>1440</v>
      </c>
      <c r="B669" t="s">
        <v>1441</v>
      </c>
      <c r="C669" t="s">
        <v>2669</v>
      </c>
      <c r="D669" t="s">
        <v>1443</v>
      </c>
      <c r="E669" t="s">
        <v>2670</v>
      </c>
      <c r="F669" t="s">
        <v>2671</v>
      </c>
      <c r="J669" t="s">
        <v>2670</v>
      </c>
      <c r="K669" t="s">
        <v>1446</v>
      </c>
      <c r="L669" t="s">
        <v>1389</v>
      </c>
    </row>
    <row r="670" spans="1:12">
      <c r="A670" t="s">
        <v>1440</v>
      </c>
      <c r="B670" t="s">
        <v>1441</v>
      </c>
      <c r="C670" t="s">
        <v>2672</v>
      </c>
      <c r="D670" t="s">
        <v>1443</v>
      </c>
      <c r="E670" t="s">
        <v>2673</v>
      </c>
      <c r="F670" t="s">
        <v>2674</v>
      </c>
      <c r="J670" t="s">
        <v>2673</v>
      </c>
      <c r="K670" t="s">
        <v>1446</v>
      </c>
      <c r="L670" t="s">
        <v>1389</v>
      </c>
    </row>
    <row r="671" spans="1:12">
      <c r="A671" t="s">
        <v>1440</v>
      </c>
      <c r="B671" t="s">
        <v>1441</v>
      </c>
      <c r="C671" t="s">
        <v>2675</v>
      </c>
      <c r="D671" t="s">
        <v>1443</v>
      </c>
      <c r="E671" t="s">
        <v>2676</v>
      </c>
      <c r="F671" t="s">
        <v>2677</v>
      </c>
      <c r="J671" t="s">
        <v>2676</v>
      </c>
      <c r="K671" t="s">
        <v>1446</v>
      </c>
      <c r="L671" t="s">
        <v>1389</v>
      </c>
    </row>
    <row r="672" spans="1:12">
      <c r="A672" t="s">
        <v>1440</v>
      </c>
      <c r="B672" t="s">
        <v>1441</v>
      </c>
      <c r="C672" t="s">
        <v>2678</v>
      </c>
      <c r="D672" t="s">
        <v>1443</v>
      </c>
      <c r="E672" t="s">
        <v>2679</v>
      </c>
      <c r="F672" t="s">
        <v>2680</v>
      </c>
      <c r="J672" t="s">
        <v>2679</v>
      </c>
      <c r="K672" t="s">
        <v>1446</v>
      </c>
      <c r="L672" t="s">
        <v>1389</v>
      </c>
    </row>
    <row r="673" spans="1:12">
      <c r="A673" t="s">
        <v>1440</v>
      </c>
      <c r="B673" t="s">
        <v>1441</v>
      </c>
      <c r="C673" t="s">
        <v>2681</v>
      </c>
      <c r="D673" t="s">
        <v>1443</v>
      </c>
      <c r="E673" t="s">
        <v>2682</v>
      </c>
      <c r="F673" t="s">
        <v>2683</v>
      </c>
      <c r="J673" t="s">
        <v>2682</v>
      </c>
      <c r="K673" t="s">
        <v>1446</v>
      </c>
      <c r="L673" t="s">
        <v>1389</v>
      </c>
    </row>
    <row r="674" spans="1:12">
      <c r="A674" t="s">
        <v>1440</v>
      </c>
      <c r="B674" t="s">
        <v>1441</v>
      </c>
      <c r="C674" t="s">
        <v>2684</v>
      </c>
      <c r="D674" t="s">
        <v>1443</v>
      </c>
      <c r="E674" t="s">
        <v>2685</v>
      </c>
      <c r="F674" t="s">
        <v>2686</v>
      </c>
      <c r="J674" t="s">
        <v>2685</v>
      </c>
      <c r="K674" t="s">
        <v>1446</v>
      </c>
      <c r="L674" t="s">
        <v>1389</v>
      </c>
    </row>
    <row r="675" spans="1:12">
      <c r="A675" t="s">
        <v>1440</v>
      </c>
      <c r="B675" t="s">
        <v>1441</v>
      </c>
      <c r="C675" t="s">
        <v>2687</v>
      </c>
      <c r="D675" t="s">
        <v>1443</v>
      </c>
      <c r="E675" t="s">
        <v>2688</v>
      </c>
      <c r="F675" t="s">
        <v>2689</v>
      </c>
      <c r="J675" t="s">
        <v>2688</v>
      </c>
      <c r="K675" t="s">
        <v>1446</v>
      </c>
      <c r="L675" t="s">
        <v>1389</v>
      </c>
    </row>
    <row r="676" spans="1:12">
      <c r="A676" t="s">
        <v>1440</v>
      </c>
      <c r="B676" t="s">
        <v>1441</v>
      </c>
      <c r="C676" t="s">
        <v>2690</v>
      </c>
      <c r="D676" t="s">
        <v>1443</v>
      </c>
      <c r="E676" t="s">
        <v>2691</v>
      </c>
      <c r="F676" t="s">
        <v>2692</v>
      </c>
      <c r="J676" t="s">
        <v>2691</v>
      </c>
      <c r="K676" t="s">
        <v>1446</v>
      </c>
      <c r="L676" t="s">
        <v>1389</v>
      </c>
    </row>
    <row r="677" spans="1:12">
      <c r="A677" t="s">
        <v>1440</v>
      </c>
      <c r="B677" t="s">
        <v>1441</v>
      </c>
      <c r="C677" t="s">
        <v>2693</v>
      </c>
      <c r="D677" t="s">
        <v>1443</v>
      </c>
      <c r="E677" t="s">
        <v>2694</v>
      </c>
      <c r="F677" t="s">
        <v>2695</v>
      </c>
      <c r="J677" t="s">
        <v>2694</v>
      </c>
      <c r="K677" t="s">
        <v>1446</v>
      </c>
      <c r="L677" t="s">
        <v>1389</v>
      </c>
    </row>
    <row r="678" spans="1:12">
      <c r="A678" t="s">
        <v>1440</v>
      </c>
      <c r="B678" t="s">
        <v>1441</v>
      </c>
      <c r="C678" t="s">
        <v>2696</v>
      </c>
      <c r="D678" t="s">
        <v>1443</v>
      </c>
      <c r="E678" t="s">
        <v>2697</v>
      </c>
      <c r="F678" t="s">
        <v>2698</v>
      </c>
      <c r="J678" t="s">
        <v>2697</v>
      </c>
      <c r="K678" t="s">
        <v>1446</v>
      </c>
      <c r="L678" t="s">
        <v>1389</v>
      </c>
    </row>
    <row r="679" spans="1:12">
      <c r="A679" t="s">
        <v>1440</v>
      </c>
      <c r="B679" t="s">
        <v>1441</v>
      </c>
      <c r="C679" t="s">
        <v>2699</v>
      </c>
      <c r="D679" t="s">
        <v>1443</v>
      </c>
      <c r="E679" t="s">
        <v>2700</v>
      </c>
      <c r="F679" t="s">
        <v>2701</v>
      </c>
      <c r="J679" t="s">
        <v>2700</v>
      </c>
      <c r="K679" t="s">
        <v>1446</v>
      </c>
      <c r="L679" t="s">
        <v>1389</v>
      </c>
    </row>
    <row r="680" spans="1:12">
      <c r="A680" t="s">
        <v>1440</v>
      </c>
      <c r="B680" t="s">
        <v>1441</v>
      </c>
      <c r="C680" t="s">
        <v>2702</v>
      </c>
      <c r="D680" t="s">
        <v>1443</v>
      </c>
      <c r="E680" t="s">
        <v>2703</v>
      </c>
      <c r="F680" t="s">
        <v>2704</v>
      </c>
      <c r="J680" t="s">
        <v>2703</v>
      </c>
      <c r="K680" t="s">
        <v>1446</v>
      </c>
      <c r="L680" t="s">
        <v>1389</v>
      </c>
    </row>
    <row r="681" spans="1:12">
      <c r="A681" t="s">
        <v>1440</v>
      </c>
      <c r="B681" t="s">
        <v>1441</v>
      </c>
      <c r="C681" t="s">
        <v>2705</v>
      </c>
      <c r="D681" t="s">
        <v>1443</v>
      </c>
      <c r="E681" t="s">
        <v>2706</v>
      </c>
      <c r="F681" t="s">
        <v>2707</v>
      </c>
    </row>
    <row r="682" spans="1:12">
      <c r="A682" t="s">
        <v>1440</v>
      </c>
      <c r="B682" t="s">
        <v>1441</v>
      </c>
      <c r="C682" t="s">
        <v>2708</v>
      </c>
      <c r="D682" t="s">
        <v>1443</v>
      </c>
      <c r="E682" t="s">
        <v>2709</v>
      </c>
      <c r="F682" t="s">
        <v>2710</v>
      </c>
      <c r="J682" t="s">
        <v>2709</v>
      </c>
      <c r="K682" t="s">
        <v>1446</v>
      </c>
      <c r="L682" t="s">
        <v>1389</v>
      </c>
    </row>
    <row r="683" spans="1:12">
      <c r="A683" t="s">
        <v>1440</v>
      </c>
      <c r="B683" t="s">
        <v>1441</v>
      </c>
      <c r="C683" t="s">
        <v>2711</v>
      </c>
      <c r="D683" t="s">
        <v>1443</v>
      </c>
      <c r="E683" t="s">
        <v>2712</v>
      </c>
      <c r="F683" t="s">
        <v>2713</v>
      </c>
      <c r="J683" t="s">
        <v>2712</v>
      </c>
      <c r="K683" t="s">
        <v>1446</v>
      </c>
      <c r="L683" t="s">
        <v>1389</v>
      </c>
    </row>
    <row r="684" spans="1:12">
      <c r="A684" t="s">
        <v>1440</v>
      </c>
      <c r="B684" t="s">
        <v>1441</v>
      </c>
      <c r="C684" t="s">
        <v>2714</v>
      </c>
      <c r="D684" t="s">
        <v>1443</v>
      </c>
      <c r="E684" t="s">
        <v>2715</v>
      </c>
      <c r="F684" t="s">
        <v>2716</v>
      </c>
    </row>
    <row r="685" spans="1:12">
      <c r="A685" t="s">
        <v>1440</v>
      </c>
      <c r="B685" t="s">
        <v>1441</v>
      </c>
      <c r="C685" t="s">
        <v>2717</v>
      </c>
      <c r="D685" t="s">
        <v>1443</v>
      </c>
      <c r="E685" t="s">
        <v>2718</v>
      </c>
      <c r="F685" t="s">
        <v>2719</v>
      </c>
    </row>
    <row r="686" spans="1:12">
      <c r="A686" t="s">
        <v>1440</v>
      </c>
      <c r="B686" t="s">
        <v>1441</v>
      </c>
      <c r="C686" t="s">
        <v>2720</v>
      </c>
      <c r="D686" t="s">
        <v>1443</v>
      </c>
      <c r="E686" t="s">
        <v>2721</v>
      </c>
      <c r="F686" t="s">
        <v>2722</v>
      </c>
      <c r="J686" t="s">
        <v>2721</v>
      </c>
      <c r="K686" t="s">
        <v>1446</v>
      </c>
      <c r="L686" t="s">
        <v>1389</v>
      </c>
    </row>
    <row r="687" spans="1:12">
      <c r="A687" t="s">
        <v>1440</v>
      </c>
      <c r="B687" t="s">
        <v>1441</v>
      </c>
      <c r="C687" t="s">
        <v>2723</v>
      </c>
      <c r="D687" t="s">
        <v>1443</v>
      </c>
      <c r="E687" t="s">
        <v>2724</v>
      </c>
      <c r="F687" t="s">
        <v>2725</v>
      </c>
    </row>
    <row r="688" spans="1:12">
      <c r="A688" t="s">
        <v>1440</v>
      </c>
      <c r="B688" t="s">
        <v>1441</v>
      </c>
      <c r="C688" t="s">
        <v>2726</v>
      </c>
      <c r="D688" t="s">
        <v>1443</v>
      </c>
      <c r="E688" t="s">
        <v>2727</v>
      </c>
      <c r="F688" t="s">
        <v>2728</v>
      </c>
    </row>
    <row r="689" spans="1:12">
      <c r="A689" t="s">
        <v>1440</v>
      </c>
      <c r="B689" t="s">
        <v>1441</v>
      </c>
      <c r="C689" t="s">
        <v>2729</v>
      </c>
      <c r="D689" t="s">
        <v>1443</v>
      </c>
      <c r="E689" t="s">
        <v>2730</v>
      </c>
      <c r="F689" t="s">
        <v>2731</v>
      </c>
    </row>
    <row r="690" spans="1:12">
      <c r="A690" t="s">
        <v>1440</v>
      </c>
      <c r="B690" t="s">
        <v>1441</v>
      </c>
      <c r="C690" t="s">
        <v>2732</v>
      </c>
      <c r="D690" t="s">
        <v>1443</v>
      </c>
      <c r="E690" t="s">
        <v>2733</v>
      </c>
      <c r="F690" t="s">
        <v>2734</v>
      </c>
      <c r="J690" t="s">
        <v>2733</v>
      </c>
      <c r="K690" t="s">
        <v>1446</v>
      </c>
      <c r="L690" t="s">
        <v>1389</v>
      </c>
    </row>
    <row r="691" spans="1:12">
      <c r="A691" t="s">
        <v>1440</v>
      </c>
      <c r="B691" t="s">
        <v>1441</v>
      </c>
      <c r="C691" t="s">
        <v>2735</v>
      </c>
      <c r="D691" t="s">
        <v>1443</v>
      </c>
      <c r="E691" t="s">
        <v>2736</v>
      </c>
      <c r="F691" t="s">
        <v>2737</v>
      </c>
      <c r="J691" t="s">
        <v>2736</v>
      </c>
      <c r="K691" t="s">
        <v>1446</v>
      </c>
      <c r="L691" t="s">
        <v>1389</v>
      </c>
    </row>
    <row r="692" spans="1:12">
      <c r="A692" t="s">
        <v>1440</v>
      </c>
      <c r="B692" t="s">
        <v>1441</v>
      </c>
      <c r="C692" t="s">
        <v>2738</v>
      </c>
      <c r="D692" t="s">
        <v>1443</v>
      </c>
      <c r="E692" t="s">
        <v>2739</v>
      </c>
      <c r="F692" t="s">
        <v>2740</v>
      </c>
      <c r="J692" t="s">
        <v>2739</v>
      </c>
      <c r="K692" t="s">
        <v>1446</v>
      </c>
      <c r="L692" t="s">
        <v>1389</v>
      </c>
    </row>
    <row r="693" spans="1:12">
      <c r="A693" t="s">
        <v>1440</v>
      </c>
      <c r="B693" t="s">
        <v>1441</v>
      </c>
      <c r="C693" t="s">
        <v>2741</v>
      </c>
      <c r="D693" t="s">
        <v>1443</v>
      </c>
      <c r="E693" t="s">
        <v>2742</v>
      </c>
      <c r="F693" t="s">
        <v>2743</v>
      </c>
    </row>
    <row r="694" spans="1:12">
      <c r="A694" t="s">
        <v>1440</v>
      </c>
      <c r="B694" t="s">
        <v>1441</v>
      </c>
      <c r="C694" t="s">
        <v>2744</v>
      </c>
      <c r="D694" t="s">
        <v>1443</v>
      </c>
      <c r="E694" t="s">
        <v>2745</v>
      </c>
      <c r="F694" t="s">
        <v>2746</v>
      </c>
      <c r="J694" t="s">
        <v>2745</v>
      </c>
      <c r="K694" t="s">
        <v>1446</v>
      </c>
      <c r="L694" t="s">
        <v>1389</v>
      </c>
    </row>
    <row r="695" spans="1:12">
      <c r="A695" t="s">
        <v>1440</v>
      </c>
      <c r="B695" t="s">
        <v>1441</v>
      </c>
      <c r="C695" t="s">
        <v>2747</v>
      </c>
      <c r="D695" t="s">
        <v>1443</v>
      </c>
      <c r="E695" t="s">
        <v>1005</v>
      </c>
      <c r="F695" t="s">
        <v>2748</v>
      </c>
    </row>
    <row r="696" spans="1:12">
      <c r="A696" t="s">
        <v>1440</v>
      </c>
      <c r="B696" t="s">
        <v>1441</v>
      </c>
      <c r="C696" t="s">
        <v>2749</v>
      </c>
      <c r="D696" t="s">
        <v>1443</v>
      </c>
      <c r="E696" t="s">
        <v>2750</v>
      </c>
      <c r="F696" t="s">
        <v>2751</v>
      </c>
      <c r="J696" t="s">
        <v>2750</v>
      </c>
      <c r="K696" t="s">
        <v>1446</v>
      </c>
      <c r="L696" t="s">
        <v>1389</v>
      </c>
    </row>
    <row r="697" spans="1:12">
      <c r="A697" t="s">
        <v>1440</v>
      </c>
      <c r="B697" t="s">
        <v>1441</v>
      </c>
      <c r="C697" t="s">
        <v>2752</v>
      </c>
      <c r="D697" t="s">
        <v>1443</v>
      </c>
      <c r="E697" t="s">
        <v>2753</v>
      </c>
      <c r="F697" t="s">
        <v>2754</v>
      </c>
    </row>
    <row r="698" spans="1:12">
      <c r="A698" t="s">
        <v>1440</v>
      </c>
      <c r="B698" t="s">
        <v>1441</v>
      </c>
      <c r="C698" t="s">
        <v>2755</v>
      </c>
      <c r="D698" t="s">
        <v>1443</v>
      </c>
      <c r="E698" t="s">
        <v>2756</v>
      </c>
      <c r="F698" t="s">
        <v>2757</v>
      </c>
      <c r="J698" t="s">
        <v>2756</v>
      </c>
      <c r="K698" t="s">
        <v>1446</v>
      </c>
      <c r="L698" t="s">
        <v>1389</v>
      </c>
    </row>
    <row r="699" spans="1:12">
      <c r="A699" t="s">
        <v>1440</v>
      </c>
      <c r="B699" t="s">
        <v>1441</v>
      </c>
      <c r="C699" t="s">
        <v>2758</v>
      </c>
      <c r="D699" t="s">
        <v>1443</v>
      </c>
      <c r="E699" t="s">
        <v>2759</v>
      </c>
      <c r="F699" t="s">
        <v>2760</v>
      </c>
    </row>
    <row r="700" spans="1:12">
      <c r="A700" t="s">
        <v>1440</v>
      </c>
      <c r="B700" t="s">
        <v>1441</v>
      </c>
      <c r="C700" t="s">
        <v>2761</v>
      </c>
      <c r="D700" t="s">
        <v>1443</v>
      </c>
      <c r="E700" t="s">
        <v>2762</v>
      </c>
      <c r="F700" t="s">
        <v>2763</v>
      </c>
      <c r="J700" t="s">
        <v>2762</v>
      </c>
      <c r="K700" t="s">
        <v>1446</v>
      </c>
      <c r="L700" t="s">
        <v>1389</v>
      </c>
    </row>
    <row r="701" spans="1:12">
      <c r="A701" t="s">
        <v>1440</v>
      </c>
      <c r="B701" t="s">
        <v>1441</v>
      </c>
      <c r="C701" t="s">
        <v>2764</v>
      </c>
      <c r="D701" t="s">
        <v>1443</v>
      </c>
      <c r="E701" t="s">
        <v>2765</v>
      </c>
      <c r="F701" t="s">
        <v>2766</v>
      </c>
    </row>
    <row r="702" spans="1:12">
      <c r="A702" t="s">
        <v>1440</v>
      </c>
      <c r="B702" t="s">
        <v>1441</v>
      </c>
      <c r="C702" t="s">
        <v>2767</v>
      </c>
      <c r="D702" t="s">
        <v>1443</v>
      </c>
      <c r="E702" t="s">
        <v>2768</v>
      </c>
      <c r="F702" t="s">
        <v>2769</v>
      </c>
      <c r="J702" t="s">
        <v>2768</v>
      </c>
      <c r="K702" t="s">
        <v>1446</v>
      </c>
      <c r="L702" t="s">
        <v>1389</v>
      </c>
    </row>
    <row r="703" spans="1:12">
      <c r="A703" t="s">
        <v>1440</v>
      </c>
      <c r="B703" t="s">
        <v>1441</v>
      </c>
      <c r="C703" t="s">
        <v>2770</v>
      </c>
      <c r="D703" t="s">
        <v>1443</v>
      </c>
      <c r="E703" t="s">
        <v>2771</v>
      </c>
      <c r="F703" t="s">
        <v>2772</v>
      </c>
      <c r="J703" t="s">
        <v>2771</v>
      </c>
      <c r="K703" t="s">
        <v>1446</v>
      </c>
      <c r="L703" t="s">
        <v>1389</v>
      </c>
    </row>
    <row r="704" spans="1:12">
      <c r="A704" t="s">
        <v>1440</v>
      </c>
      <c r="B704" t="s">
        <v>1441</v>
      </c>
      <c r="C704" t="s">
        <v>2773</v>
      </c>
      <c r="D704" t="s">
        <v>1443</v>
      </c>
      <c r="E704" t="s">
        <v>2774</v>
      </c>
      <c r="F704" t="s">
        <v>2775</v>
      </c>
      <c r="J704" t="s">
        <v>2774</v>
      </c>
      <c r="K704" t="s">
        <v>1446</v>
      </c>
      <c r="L704" t="s">
        <v>1389</v>
      </c>
    </row>
    <row r="705" spans="1:12">
      <c r="A705" t="s">
        <v>1440</v>
      </c>
      <c r="B705" t="s">
        <v>1441</v>
      </c>
      <c r="C705" t="s">
        <v>2776</v>
      </c>
      <c r="D705" t="s">
        <v>1443</v>
      </c>
      <c r="E705" t="s">
        <v>2777</v>
      </c>
      <c r="F705" t="s">
        <v>2778</v>
      </c>
      <c r="J705" t="s">
        <v>2777</v>
      </c>
      <c r="K705" t="s">
        <v>1446</v>
      </c>
      <c r="L705" t="s">
        <v>1389</v>
      </c>
    </row>
    <row r="706" spans="1:12">
      <c r="A706" t="s">
        <v>1440</v>
      </c>
      <c r="B706" t="s">
        <v>1441</v>
      </c>
      <c r="C706" t="s">
        <v>2779</v>
      </c>
      <c r="D706" t="s">
        <v>1443</v>
      </c>
      <c r="E706" t="s">
        <v>2780</v>
      </c>
      <c r="F706" t="s">
        <v>2781</v>
      </c>
      <c r="J706" t="s">
        <v>2780</v>
      </c>
      <c r="K706" t="s">
        <v>1446</v>
      </c>
      <c r="L706" t="s">
        <v>1389</v>
      </c>
    </row>
    <row r="707" spans="1:12">
      <c r="A707" t="s">
        <v>1440</v>
      </c>
      <c r="B707" t="s">
        <v>1441</v>
      </c>
      <c r="C707" t="s">
        <v>2782</v>
      </c>
      <c r="D707" t="s">
        <v>1443</v>
      </c>
      <c r="E707" t="s">
        <v>2783</v>
      </c>
      <c r="F707" t="s">
        <v>2784</v>
      </c>
    </row>
    <row r="708" spans="1:12">
      <c r="A708" t="s">
        <v>1440</v>
      </c>
      <c r="B708" t="s">
        <v>1441</v>
      </c>
      <c r="C708" t="s">
        <v>2785</v>
      </c>
      <c r="D708" t="s">
        <v>1443</v>
      </c>
      <c r="E708" t="s">
        <v>2786</v>
      </c>
      <c r="F708" t="s">
        <v>2787</v>
      </c>
    </row>
    <row r="709" spans="1:12">
      <c r="A709" t="s">
        <v>1440</v>
      </c>
      <c r="B709" t="s">
        <v>1441</v>
      </c>
      <c r="C709" t="s">
        <v>2788</v>
      </c>
      <c r="D709" t="s">
        <v>1443</v>
      </c>
      <c r="E709" t="s">
        <v>2789</v>
      </c>
      <c r="F709" t="s">
        <v>2790</v>
      </c>
      <c r="J709" t="s">
        <v>2789</v>
      </c>
      <c r="K709" t="s">
        <v>1446</v>
      </c>
      <c r="L709" t="s">
        <v>1389</v>
      </c>
    </row>
    <row r="710" spans="1:12">
      <c r="A710" t="s">
        <v>1440</v>
      </c>
      <c r="B710" t="s">
        <v>1441</v>
      </c>
      <c r="C710" t="s">
        <v>2791</v>
      </c>
      <c r="D710" t="s">
        <v>1443</v>
      </c>
      <c r="E710" t="s">
        <v>2792</v>
      </c>
      <c r="F710" t="s">
        <v>2793</v>
      </c>
    </row>
    <row r="711" spans="1:12">
      <c r="A711" t="s">
        <v>1440</v>
      </c>
      <c r="B711" t="s">
        <v>1441</v>
      </c>
      <c r="C711" t="s">
        <v>2794</v>
      </c>
      <c r="D711" t="s">
        <v>1443</v>
      </c>
      <c r="E711" t="s">
        <v>2795</v>
      </c>
      <c r="F711" t="s">
        <v>2796</v>
      </c>
      <c r="J711" t="s">
        <v>2795</v>
      </c>
      <c r="K711" t="s">
        <v>1446</v>
      </c>
      <c r="L711" t="s">
        <v>1389</v>
      </c>
    </row>
    <row r="712" spans="1:12">
      <c r="A712" t="s">
        <v>1440</v>
      </c>
      <c r="B712" t="s">
        <v>1441</v>
      </c>
      <c r="C712" t="s">
        <v>2797</v>
      </c>
      <c r="D712" t="s">
        <v>1443</v>
      </c>
      <c r="E712" t="s">
        <v>2798</v>
      </c>
      <c r="F712" t="s">
        <v>2799</v>
      </c>
    </row>
    <row r="713" spans="1:12">
      <c r="A713" t="s">
        <v>1440</v>
      </c>
      <c r="B713" t="s">
        <v>1441</v>
      </c>
      <c r="C713" t="s">
        <v>2800</v>
      </c>
      <c r="D713" t="s">
        <v>1443</v>
      </c>
      <c r="E713" t="s">
        <v>2801</v>
      </c>
      <c r="F713" t="s">
        <v>2802</v>
      </c>
      <c r="J713" t="s">
        <v>2801</v>
      </c>
      <c r="K713" t="s">
        <v>1446</v>
      </c>
      <c r="L713" t="s">
        <v>1389</v>
      </c>
    </row>
    <row r="714" spans="1:12">
      <c r="A714" t="s">
        <v>1440</v>
      </c>
      <c r="B714" t="s">
        <v>1441</v>
      </c>
      <c r="C714" t="s">
        <v>2803</v>
      </c>
      <c r="D714" t="s">
        <v>1443</v>
      </c>
      <c r="E714" t="s">
        <v>2804</v>
      </c>
      <c r="F714" t="s">
        <v>2805</v>
      </c>
    </row>
    <row r="715" spans="1:12">
      <c r="A715" t="s">
        <v>1440</v>
      </c>
      <c r="B715" t="s">
        <v>1441</v>
      </c>
      <c r="C715" t="s">
        <v>2806</v>
      </c>
      <c r="D715" t="s">
        <v>1443</v>
      </c>
      <c r="E715" t="s">
        <v>2807</v>
      </c>
      <c r="F715" t="s">
        <v>2808</v>
      </c>
      <c r="J715" t="s">
        <v>2807</v>
      </c>
      <c r="K715" t="s">
        <v>1446</v>
      </c>
      <c r="L715" t="s">
        <v>1389</v>
      </c>
    </row>
    <row r="716" spans="1:12">
      <c r="A716" t="s">
        <v>1440</v>
      </c>
      <c r="B716" t="s">
        <v>1441</v>
      </c>
      <c r="C716" t="s">
        <v>2809</v>
      </c>
      <c r="D716" t="s">
        <v>1443</v>
      </c>
      <c r="E716" t="s">
        <v>2810</v>
      </c>
      <c r="F716" t="s">
        <v>2811</v>
      </c>
    </row>
    <row r="717" spans="1:12">
      <c r="A717" t="s">
        <v>1440</v>
      </c>
      <c r="B717" t="s">
        <v>1441</v>
      </c>
      <c r="C717" t="s">
        <v>2812</v>
      </c>
      <c r="D717" t="s">
        <v>1443</v>
      </c>
      <c r="E717" t="s">
        <v>2813</v>
      </c>
      <c r="F717" t="s">
        <v>2814</v>
      </c>
    </row>
    <row r="718" spans="1:12">
      <c r="A718" t="s">
        <v>1440</v>
      </c>
      <c r="B718" t="s">
        <v>1441</v>
      </c>
      <c r="C718" t="s">
        <v>2815</v>
      </c>
      <c r="D718" t="s">
        <v>1443</v>
      </c>
      <c r="E718" t="s">
        <v>2816</v>
      </c>
      <c r="F718" t="s">
        <v>2817</v>
      </c>
    </row>
    <row r="719" spans="1:12">
      <c r="A719" t="s">
        <v>1440</v>
      </c>
      <c r="B719" t="s">
        <v>1441</v>
      </c>
      <c r="C719" t="s">
        <v>2818</v>
      </c>
      <c r="D719" t="s">
        <v>1443</v>
      </c>
      <c r="E719" t="s">
        <v>2819</v>
      </c>
      <c r="F719" t="s">
        <v>2820</v>
      </c>
    </row>
    <row r="720" spans="1:12">
      <c r="A720" t="s">
        <v>1440</v>
      </c>
      <c r="B720" t="s">
        <v>1441</v>
      </c>
      <c r="C720" t="s">
        <v>2821</v>
      </c>
      <c r="D720" t="s">
        <v>1443</v>
      </c>
      <c r="E720" t="s">
        <v>2822</v>
      </c>
      <c r="F720" t="s">
        <v>2823</v>
      </c>
    </row>
    <row r="721" spans="1:12">
      <c r="A721" t="s">
        <v>1440</v>
      </c>
      <c r="B721" t="s">
        <v>1441</v>
      </c>
      <c r="C721" t="s">
        <v>2824</v>
      </c>
      <c r="D721" t="s">
        <v>1443</v>
      </c>
      <c r="E721" t="s">
        <v>2825</v>
      </c>
      <c r="F721" t="s">
        <v>2826</v>
      </c>
      <c r="J721" t="s">
        <v>2825</v>
      </c>
      <c r="K721" t="s">
        <v>1446</v>
      </c>
      <c r="L721" t="s">
        <v>1389</v>
      </c>
    </row>
    <row r="722" spans="1:12">
      <c r="A722" t="s">
        <v>1440</v>
      </c>
      <c r="B722" t="s">
        <v>1441</v>
      </c>
      <c r="C722" t="s">
        <v>2827</v>
      </c>
      <c r="D722" t="s">
        <v>1443</v>
      </c>
      <c r="E722" t="s">
        <v>2828</v>
      </c>
      <c r="F722" t="s">
        <v>2829</v>
      </c>
      <c r="J722" t="s">
        <v>2828</v>
      </c>
      <c r="K722" t="s">
        <v>1446</v>
      </c>
      <c r="L722" t="s">
        <v>1389</v>
      </c>
    </row>
    <row r="723" spans="1:12">
      <c r="A723" t="s">
        <v>1440</v>
      </c>
      <c r="B723" t="s">
        <v>1441</v>
      </c>
      <c r="C723" t="s">
        <v>2830</v>
      </c>
      <c r="D723" t="s">
        <v>1443</v>
      </c>
      <c r="E723" t="s">
        <v>2831</v>
      </c>
      <c r="F723" t="s">
        <v>2832</v>
      </c>
      <c r="J723" t="s">
        <v>2831</v>
      </c>
      <c r="K723" t="s">
        <v>1446</v>
      </c>
      <c r="L723" t="s">
        <v>1389</v>
      </c>
    </row>
    <row r="724" spans="1:12">
      <c r="A724" t="s">
        <v>1440</v>
      </c>
      <c r="B724" t="s">
        <v>1441</v>
      </c>
      <c r="C724" t="s">
        <v>2833</v>
      </c>
      <c r="D724" t="s">
        <v>1443</v>
      </c>
      <c r="E724" t="s">
        <v>2834</v>
      </c>
      <c r="F724" t="s">
        <v>2835</v>
      </c>
      <c r="J724" t="s">
        <v>2834</v>
      </c>
      <c r="K724" t="s">
        <v>1446</v>
      </c>
      <c r="L724" t="s">
        <v>1389</v>
      </c>
    </row>
    <row r="725" spans="1:12">
      <c r="A725" t="s">
        <v>1440</v>
      </c>
      <c r="B725" t="s">
        <v>1441</v>
      </c>
      <c r="C725" t="s">
        <v>2836</v>
      </c>
      <c r="D725" t="s">
        <v>1443</v>
      </c>
      <c r="E725" t="s">
        <v>2837</v>
      </c>
      <c r="F725" t="s">
        <v>2838</v>
      </c>
    </row>
    <row r="726" spans="1:12">
      <c r="A726" t="s">
        <v>1440</v>
      </c>
      <c r="B726" t="s">
        <v>1441</v>
      </c>
      <c r="C726" t="s">
        <v>2839</v>
      </c>
      <c r="D726" t="s">
        <v>1443</v>
      </c>
      <c r="E726" t="s">
        <v>2840</v>
      </c>
      <c r="F726" t="s">
        <v>2841</v>
      </c>
      <c r="J726" t="s">
        <v>2840</v>
      </c>
      <c r="K726" t="s">
        <v>1446</v>
      </c>
      <c r="L726" t="s">
        <v>1389</v>
      </c>
    </row>
    <row r="727" spans="1:12">
      <c r="A727" t="s">
        <v>1440</v>
      </c>
      <c r="B727" t="s">
        <v>1441</v>
      </c>
      <c r="C727" t="s">
        <v>2842</v>
      </c>
      <c r="D727" t="s">
        <v>1443</v>
      </c>
      <c r="E727" t="s">
        <v>2843</v>
      </c>
      <c r="F727" t="s">
        <v>2844</v>
      </c>
      <c r="J727" t="s">
        <v>2843</v>
      </c>
      <c r="K727" t="s">
        <v>1446</v>
      </c>
      <c r="L727" t="s">
        <v>1389</v>
      </c>
    </row>
    <row r="728" spans="1:12">
      <c r="A728" t="s">
        <v>1440</v>
      </c>
      <c r="B728" t="s">
        <v>1441</v>
      </c>
      <c r="C728" t="s">
        <v>2845</v>
      </c>
      <c r="D728" t="s">
        <v>1443</v>
      </c>
      <c r="E728" t="s">
        <v>2846</v>
      </c>
      <c r="F728" t="s">
        <v>2847</v>
      </c>
      <c r="J728" t="s">
        <v>2846</v>
      </c>
      <c r="K728" t="s">
        <v>1446</v>
      </c>
      <c r="L728" t="s">
        <v>1389</v>
      </c>
    </row>
    <row r="729" spans="1:12">
      <c r="A729" t="s">
        <v>1440</v>
      </c>
      <c r="B729" t="s">
        <v>1441</v>
      </c>
      <c r="C729" t="s">
        <v>2848</v>
      </c>
      <c r="D729" t="s">
        <v>1443</v>
      </c>
      <c r="E729" t="s">
        <v>2849</v>
      </c>
      <c r="F729" t="s">
        <v>2850</v>
      </c>
      <c r="J729" t="s">
        <v>2849</v>
      </c>
      <c r="K729" t="s">
        <v>1446</v>
      </c>
      <c r="L729" t="s">
        <v>1389</v>
      </c>
    </row>
    <row r="730" spans="1:12">
      <c r="A730" t="s">
        <v>1440</v>
      </c>
      <c r="B730" t="s">
        <v>1441</v>
      </c>
      <c r="C730" t="s">
        <v>2851</v>
      </c>
      <c r="D730" t="s">
        <v>1443</v>
      </c>
      <c r="E730" t="s">
        <v>2852</v>
      </c>
      <c r="F730" t="s">
        <v>2853</v>
      </c>
      <c r="J730" t="s">
        <v>2852</v>
      </c>
      <c r="K730" t="s">
        <v>1446</v>
      </c>
      <c r="L730" t="s">
        <v>1389</v>
      </c>
    </row>
    <row r="731" spans="1:12">
      <c r="A731" t="s">
        <v>1440</v>
      </c>
      <c r="B731" t="s">
        <v>1441</v>
      </c>
      <c r="C731" t="s">
        <v>2854</v>
      </c>
      <c r="D731" t="s">
        <v>1443</v>
      </c>
      <c r="E731" t="s">
        <v>2855</v>
      </c>
      <c r="F731" t="s">
        <v>2856</v>
      </c>
      <c r="J731" t="s">
        <v>2855</v>
      </c>
      <c r="K731" t="s">
        <v>1446</v>
      </c>
      <c r="L731" t="s">
        <v>1389</v>
      </c>
    </row>
    <row r="732" spans="1:12">
      <c r="A732" t="s">
        <v>1440</v>
      </c>
      <c r="B732" t="s">
        <v>1441</v>
      </c>
      <c r="C732" t="s">
        <v>2857</v>
      </c>
      <c r="D732" t="s">
        <v>1443</v>
      </c>
      <c r="E732" t="s">
        <v>2858</v>
      </c>
      <c r="F732" t="s">
        <v>2859</v>
      </c>
      <c r="J732" t="s">
        <v>2858</v>
      </c>
      <c r="K732" t="s">
        <v>1446</v>
      </c>
      <c r="L732" t="s">
        <v>1389</v>
      </c>
    </row>
    <row r="733" spans="1:12">
      <c r="A733" t="s">
        <v>1440</v>
      </c>
      <c r="B733" t="s">
        <v>1441</v>
      </c>
      <c r="C733" t="s">
        <v>2860</v>
      </c>
      <c r="D733" t="s">
        <v>1443</v>
      </c>
      <c r="E733" t="s">
        <v>2861</v>
      </c>
      <c r="F733" t="s">
        <v>2862</v>
      </c>
      <c r="J733" t="s">
        <v>2861</v>
      </c>
      <c r="K733" t="s">
        <v>1446</v>
      </c>
      <c r="L733" t="s">
        <v>1389</v>
      </c>
    </row>
    <row r="734" spans="1:12">
      <c r="A734" t="s">
        <v>1440</v>
      </c>
      <c r="B734" t="s">
        <v>1441</v>
      </c>
      <c r="C734" t="s">
        <v>2863</v>
      </c>
      <c r="D734" t="s">
        <v>1443</v>
      </c>
      <c r="E734" t="s">
        <v>2864</v>
      </c>
      <c r="F734" t="s">
        <v>2865</v>
      </c>
      <c r="J734" t="s">
        <v>2864</v>
      </c>
      <c r="K734" t="s">
        <v>1446</v>
      </c>
      <c r="L734" t="s">
        <v>1389</v>
      </c>
    </row>
    <row r="735" spans="1:12">
      <c r="A735" t="s">
        <v>1440</v>
      </c>
      <c r="B735" t="s">
        <v>1441</v>
      </c>
      <c r="C735" t="s">
        <v>2866</v>
      </c>
      <c r="D735" t="s">
        <v>1443</v>
      </c>
      <c r="E735" t="s">
        <v>2867</v>
      </c>
      <c r="F735" t="s">
        <v>2868</v>
      </c>
      <c r="J735" t="s">
        <v>2867</v>
      </c>
      <c r="K735" t="s">
        <v>1446</v>
      </c>
      <c r="L735" t="s">
        <v>1389</v>
      </c>
    </row>
    <row r="736" spans="1:12">
      <c r="A736" t="s">
        <v>1440</v>
      </c>
      <c r="B736" t="s">
        <v>1441</v>
      </c>
      <c r="C736" t="s">
        <v>2869</v>
      </c>
      <c r="D736" t="s">
        <v>1443</v>
      </c>
      <c r="E736" t="s">
        <v>2870</v>
      </c>
      <c r="F736" t="s">
        <v>2871</v>
      </c>
      <c r="J736" t="s">
        <v>2870</v>
      </c>
      <c r="K736" t="s">
        <v>1446</v>
      </c>
      <c r="L736" t="s">
        <v>1389</v>
      </c>
    </row>
    <row r="737" spans="1:12">
      <c r="A737" t="s">
        <v>1440</v>
      </c>
      <c r="B737" t="s">
        <v>1441</v>
      </c>
      <c r="C737" t="s">
        <v>2872</v>
      </c>
      <c r="D737" t="s">
        <v>1443</v>
      </c>
      <c r="E737" t="s">
        <v>2873</v>
      </c>
      <c r="F737" t="s">
        <v>2874</v>
      </c>
      <c r="J737" t="s">
        <v>2873</v>
      </c>
      <c r="K737" t="s">
        <v>1446</v>
      </c>
      <c r="L737" t="s">
        <v>1389</v>
      </c>
    </row>
    <row r="738" spans="1:12">
      <c r="A738" t="s">
        <v>1440</v>
      </c>
      <c r="B738" t="s">
        <v>1441</v>
      </c>
      <c r="C738" t="s">
        <v>2875</v>
      </c>
      <c r="D738" t="s">
        <v>1443</v>
      </c>
      <c r="E738" t="s">
        <v>2876</v>
      </c>
      <c r="F738" t="s">
        <v>2877</v>
      </c>
      <c r="J738" t="s">
        <v>2876</v>
      </c>
      <c r="K738" t="s">
        <v>1446</v>
      </c>
      <c r="L738" t="s">
        <v>1389</v>
      </c>
    </row>
    <row r="739" spans="1:12">
      <c r="A739" t="s">
        <v>1440</v>
      </c>
      <c r="B739" t="s">
        <v>1441</v>
      </c>
      <c r="C739" t="s">
        <v>2878</v>
      </c>
      <c r="D739" t="s">
        <v>1443</v>
      </c>
      <c r="E739" t="s">
        <v>2879</v>
      </c>
      <c r="F739" t="s">
        <v>2880</v>
      </c>
      <c r="J739" t="s">
        <v>2879</v>
      </c>
      <c r="K739" t="s">
        <v>1446</v>
      </c>
      <c r="L739" t="s">
        <v>1389</v>
      </c>
    </row>
    <row r="740" spans="1:12">
      <c r="A740" t="s">
        <v>1440</v>
      </c>
      <c r="B740" t="s">
        <v>1441</v>
      </c>
      <c r="C740" t="s">
        <v>2881</v>
      </c>
      <c r="D740" t="s">
        <v>1443</v>
      </c>
      <c r="E740" t="s">
        <v>2882</v>
      </c>
      <c r="F740" t="s">
        <v>2883</v>
      </c>
      <c r="J740" t="s">
        <v>2882</v>
      </c>
      <c r="K740" t="s">
        <v>1446</v>
      </c>
      <c r="L740" t="s">
        <v>1389</v>
      </c>
    </row>
    <row r="741" spans="1:12">
      <c r="A741" t="s">
        <v>1440</v>
      </c>
      <c r="B741" t="s">
        <v>1441</v>
      </c>
      <c r="C741" t="s">
        <v>2884</v>
      </c>
      <c r="D741" t="s">
        <v>1443</v>
      </c>
      <c r="E741" t="s">
        <v>2885</v>
      </c>
      <c r="F741" t="s">
        <v>2886</v>
      </c>
      <c r="J741" t="s">
        <v>2885</v>
      </c>
      <c r="K741" t="s">
        <v>1446</v>
      </c>
      <c r="L741" t="s">
        <v>1389</v>
      </c>
    </row>
    <row r="742" spans="1:12">
      <c r="A742" t="s">
        <v>1440</v>
      </c>
      <c r="B742" t="s">
        <v>1441</v>
      </c>
      <c r="C742" t="s">
        <v>2887</v>
      </c>
      <c r="D742" t="s">
        <v>1443</v>
      </c>
      <c r="E742" t="s">
        <v>2888</v>
      </c>
      <c r="F742" t="s">
        <v>2889</v>
      </c>
      <c r="J742" t="s">
        <v>2888</v>
      </c>
      <c r="K742" t="s">
        <v>1446</v>
      </c>
      <c r="L742" t="s">
        <v>1389</v>
      </c>
    </row>
    <row r="743" spans="1:12">
      <c r="A743" t="s">
        <v>1440</v>
      </c>
      <c r="B743" t="s">
        <v>1441</v>
      </c>
      <c r="C743" t="s">
        <v>2890</v>
      </c>
      <c r="D743" t="s">
        <v>1443</v>
      </c>
      <c r="E743" t="s">
        <v>2891</v>
      </c>
      <c r="F743" t="s">
        <v>2892</v>
      </c>
      <c r="J743" t="s">
        <v>2891</v>
      </c>
      <c r="K743" t="s">
        <v>1446</v>
      </c>
      <c r="L743" t="s">
        <v>1389</v>
      </c>
    </row>
    <row r="744" spans="1:12">
      <c r="A744" t="s">
        <v>1440</v>
      </c>
      <c r="B744" t="s">
        <v>1441</v>
      </c>
      <c r="C744" t="s">
        <v>2893</v>
      </c>
      <c r="D744" t="s">
        <v>1443</v>
      </c>
      <c r="E744" t="s">
        <v>2894</v>
      </c>
      <c r="F744" t="s">
        <v>2895</v>
      </c>
      <c r="J744" t="s">
        <v>2894</v>
      </c>
      <c r="K744" t="s">
        <v>1446</v>
      </c>
      <c r="L744" t="s">
        <v>1389</v>
      </c>
    </row>
    <row r="745" spans="1:12">
      <c r="A745" t="s">
        <v>1440</v>
      </c>
      <c r="B745" t="s">
        <v>1441</v>
      </c>
      <c r="C745" t="s">
        <v>2896</v>
      </c>
      <c r="D745" t="s">
        <v>1443</v>
      </c>
      <c r="E745" t="s">
        <v>2897</v>
      </c>
      <c r="F745" t="s">
        <v>2898</v>
      </c>
    </row>
    <row r="746" spans="1:12">
      <c r="A746" t="s">
        <v>1440</v>
      </c>
      <c r="B746" t="s">
        <v>1441</v>
      </c>
      <c r="C746" t="s">
        <v>2899</v>
      </c>
      <c r="D746" t="s">
        <v>1443</v>
      </c>
      <c r="E746" t="s">
        <v>2900</v>
      </c>
      <c r="F746" t="s">
        <v>2901</v>
      </c>
      <c r="J746" t="s">
        <v>2900</v>
      </c>
      <c r="K746" t="s">
        <v>1446</v>
      </c>
      <c r="L746" t="s">
        <v>1389</v>
      </c>
    </row>
    <row r="747" spans="1:12">
      <c r="A747" t="s">
        <v>1440</v>
      </c>
      <c r="B747" t="s">
        <v>1441</v>
      </c>
      <c r="C747" t="s">
        <v>2902</v>
      </c>
      <c r="D747" t="s">
        <v>1443</v>
      </c>
      <c r="E747" t="s">
        <v>2903</v>
      </c>
      <c r="F747" t="s">
        <v>2904</v>
      </c>
      <c r="J747" t="s">
        <v>2903</v>
      </c>
      <c r="K747" t="s">
        <v>1446</v>
      </c>
      <c r="L747" t="s">
        <v>1389</v>
      </c>
    </row>
    <row r="748" spans="1:12">
      <c r="A748" t="s">
        <v>1440</v>
      </c>
      <c r="B748" t="s">
        <v>1441</v>
      </c>
      <c r="C748" t="s">
        <v>2905</v>
      </c>
      <c r="D748" t="s">
        <v>1443</v>
      </c>
      <c r="E748" t="s">
        <v>2906</v>
      </c>
      <c r="F748" t="s">
        <v>2907</v>
      </c>
      <c r="J748" t="s">
        <v>2906</v>
      </c>
      <c r="K748" t="s">
        <v>1446</v>
      </c>
      <c r="L748" t="s">
        <v>1389</v>
      </c>
    </row>
    <row r="749" spans="1:12">
      <c r="A749" t="s">
        <v>1440</v>
      </c>
      <c r="B749" t="s">
        <v>1441</v>
      </c>
      <c r="C749" t="s">
        <v>2908</v>
      </c>
      <c r="D749" t="s">
        <v>1443</v>
      </c>
      <c r="E749" t="s">
        <v>2909</v>
      </c>
      <c r="F749" t="s">
        <v>2910</v>
      </c>
      <c r="J749" t="s">
        <v>2909</v>
      </c>
      <c r="K749" t="s">
        <v>1446</v>
      </c>
      <c r="L749" t="s">
        <v>1389</v>
      </c>
    </row>
    <row r="750" spans="1:12">
      <c r="A750" t="s">
        <v>1440</v>
      </c>
      <c r="B750" t="s">
        <v>1441</v>
      </c>
      <c r="C750" t="s">
        <v>2911</v>
      </c>
      <c r="D750" t="s">
        <v>1443</v>
      </c>
      <c r="E750" t="s">
        <v>2912</v>
      </c>
      <c r="F750" t="s">
        <v>2913</v>
      </c>
      <c r="J750" t="s">
        <v>2912</v>
      </c>
      <c r="K750" t="s">
        <v>1446</v>
      </c>
      <c r="L750" t="s">
        <v>1389</v>
      </c>
    </row>
    <row r="751" spans="1:12">
      <c r="A751" t="s">
        <v>1440</v>
      </c>
      <c r="B751" t="s">
        <v>1441</v>
      </c>
      <c r="C751" t="s">
        <v>2914</v>
      </c>
      <c r="D751" t="s">
        <v>1443</v>
      </c>
      <c r="E751" t="s">
        <v>2915</v>
      </c>
      <c r="F751" t="s">
        <v>2916</v>
      </c>
      <c r="J751" t="s">
        <v>2915</v>
      </c>
      <c r="K751" t="s">
        <v>1446</v>
      </c>
      <c r="L751" t="s">
        <v>1389</v>
      </c>
    </row>
    <row r="752" spans="1:12">
      <c r="A752" t="s">
        <v>1440</v>
      </c>
      <c r="B752" t="s">
        <v>1441</v>
      </c>
      <c r="C752" t="s">
        <v>2917</v>
      </c>
      <c r="D752" t="s">
        <v>1443</v>
      </c>
      <c r="E752" t="s">
        <v>2918</v>
      </c>
      <c r="F752" t="s">
        <v>2919</v>
      </c>
    </row>
    <row r="753" spans="1:12">
      <c r="A753" t="s">
        <v>1440</v>
      </c>
      <c r="B753" t="s">
        <v>1441</v>
      </c>
      <c r="C753" t="s">
        <v>2920</v>
      </c>
      <c r="D753" t="s">
        <v>1443</v>
      </c>
      <c r="E753" t="s">
        <v>2921</v>
      </c>
      <c r="F753" t="s">
        <v>2922</v>
      </c>
      <c r="J753" t="s">
        <v>2921</v>
      </c>
      <c r="K753" t="s">
        <v>1446</v>
      </c>
      <c r="L753" t="s">
        <v>1389</v>
      </c>
    </row>
    <row r="754" spans="1:12">
      <c r="A754" t="s">
        <v>1440</v>
      </c>
      <c r="B754" t="s">
        <v>1441</v>
      </c>
      <c r="C754" t="s">
        <v>2923</v>
      </c>
      <c r="D754" t="s">
        <v>1443</v>
      </c>
      <c r="E754" t="s">
        <v>2924</v>
      </c>
      <c r="F754" t="s">
        <v>2925</v>
      </c>
      <c r="J754" t="s">
        <v>2924</v>
      </c>
      <c r="K754" t="s">
        <v>1446</v>
      </c>
      <c r="L754" t="s">
        <v>1389</v>
      </c>
    </row>
    <row r="755" spans="1:12">
      <c r="A755" t="s">
        <v>1440</v>
      </c>
      <c r="B755" t="s">
        <v>1441</v>
      </c>
      <c r="C755" t="s">
        <v>2926</v>
      </c>
      <c r="D755" t="s">
        <v>1443</v>
      </c>
      <c r="E755" t="s">
        <v>2927</v>
      </c>
      <c r="F755" t="s">
        <v>2928</v>
      </c>
      <c r="J755" t="s">
        <v>2927</v>
      </c>
      <c r="K755" t="s">
        <v>1446</v>
      </c>
      <c r="L755" t="s">
        <v>1389</v>
      </c>
    </row>
    <row r="756" spans="1:12">
      <c r="A756" t="s">
        <v>1440</v>
      </c>
      <c r="B756" t="s">
        <v>1441</v>
      </c>
      <c r="C756" t="s">
        <v>2929</v>
      </c>
      <c r="D756" t="s">
        <v>1443</v>
      </c>
      <c r="E756" t="s">
        <v>2930</v>
      </c>
      <c r="F756" t="s">
        <v>2931</v>
      </c>
      <c r="J756" t="s">
        <v>2930</v>
      </c>
      <c r="K756" t="s">
        <v>1446</v>
      </c>
      <c r="L756" t="s">
        <v>1389</v>
      </c>
    </row>
    <row r="757" spans="1:12">
      <c r="A757" t="s">
        <v>1440</v>
      </c>
      <c r="B757" t="s">
        <v>1441</v>
      </c>
      <c r="C757" t="s">
        <v>2932</v>
      </c>
      <c r="D757" t="s">
        <v>1443</v>
      </c>
      <c r="E757" t="s">
        <v>2933</v>
      </c>
      <c r="F757" t="s">
        <v>2934</v>
      </c>
      <c r="J757" t="s">
        <v>2933</v>
      </c>
      <c r="K757" t="s">
        <v>1446</v>
      </c>
      <c r="L757" t="s">
        <v>1389</v>
      </c>
    </row>
    <row r="758" spans="1:12">
      <c r="A758" t="s">
        <v>1440</v>
      </c>
      <c r="B758" t="s">
        <v>1441</v>
      </c>
      <c r="C758" t="s">
        <v>2935</v>
      </c>
      <c r="D758" t="s">
        <v>1443</v>
      </c>
      <c r="E758" t="s">
        <v>2936</v>
      </c>
      <c r="F758" t="s">
        <v>2937</v>
      </c>
      <c r="J758" t="s">
        <v>2936</v>
      </c>
      <c r="K758" t="s">
        <v>1446</v>
      </c>
      <c r="L758" t="s">
        <v>1389</v>
      </c>
    </row>
    <row r="759" spans="1:12">
      <c r="A759" t="s">
        <v>1440</v>
      </c>
      <c r="B759" t="s">
        <v>1441</v>
      </c>
      <c r="C759" t="s">
        <v>2938</v>
      </c>
      <c r="D759" t="s">
        <v>1443</v>
      </c>
      <c r="E759" t="s">
        <v>2939</v>
      </c>
      <c r="F759" t="s">
        <v>2940</v>
      </c>
    </row>
    <row r="760" spans="1:12">
      <c r="A760" t="s">
        <v>1440</v>
      </c>
      <c r="B760" t="s">
        <v>1441</v>
      </c>
      <c r="C760" t="s">
        <v>2941</v>
      </c>
      <c r="D760" t="s">
        <v>1443</v>
      </c>
      <c r="E760" t="s">
        <v>2942</v>
      </c>
      <c r="F760" t="s">
        <v>2943</v>
      </c>
      <c r="J760" t="s">
        <v>2942</v>
      </c>
      <c r="K760" t="s">
        <v>1446</v>
      </c>
      <c r="L760" t="s">
        <v>1389</v>
      </c>
    </row>
    <row r="761" spans="1:12">
      <c r="A761" t="s">
        <v>1440</v>
      </c>
      <c r="B761" t="s">
        <v>1441</v>
      </c>
      <c r="C761" t="s">
        <v>2944</v>
      </c>
      <c r="D761" t="s">
        <v>1443</v>
      </c>
      <c r="E761" t="s">
        <v>2945</v>
      </c>
      <c r="F761" t="s">
        <v>2946</v>
      </c>
      <c r="J761" t="s">
        <v>2945</v>
      </c>
      <c r="K761" t="s">
        <v>1446</v>
      </c>
      <c r="L761" t="s">
        <v>1389</v>
      </c>
    </row>
    <row r="762" spans="1:12">
      <c r="A762" t="s">
        <v>1440</v>
      </c>
      <c r="B762" t="s">
        <v>1441</v>
      </c>
      <c r="C762" t="s">
        <v>2947</v>
      </c>
      <c r="D762" t="s">
        <v>1443</v>
      </c>
      <c r="E762" t="s">
        <v>2948</v>
      </c>
      <c r="F762" t="s">
        <v>2949</v>
      </c>
      <c r="J762" t="s">
        <v>2948</v>
      </c>
      <c r="K762" t="s">
        <v>1446</v>
      </c>
      <c r="L762" t="s">
        <v>1389</v>
      </c>
    </row>
    <row r="763" spans="1:12">
      <c r="A763" t="s">
        <v>1440</v>
      </c>
      <c r="B763" t="s">
        <v>1441</v>
      </c>
      <c r="C763" t="s">
        <v>2950</v>
      </c>
      <c r="D763" t="s">
        <v>1443</v>
      </c>
      <c r="E763" t="s">
        <v>2951</v>
      </c>
      <c r="F763" t="s">
        <v>2952</v>
      </c>
      <c r="J763" t="s">
        <v>2951</v>
      </c>
      <c r="K763" t="s">
        <v>1446</v>
      </c>
      <c r="L763" t="s">
        <v>1389</v>
      </c>
    </row>
    <row r="764" spans="1:12">
      <c r="A764" t="s">
        <v>1440</v>
      </c>
      <c r="B764" t="s">
        <v>1441</v>
      </c>
      <c r="C764" t="s">
        <v>2953</v>
      </c>
      <c r="D764" t="s">
        <v>1443</v>
      </c>
      <c r="E764" t="s">
        <v>2954</v>
      </c>
      <c r="F764" t="s">
        <v>2955</v>
      </c>
      <c r="J764" t="s">
        <v>2954</v>
      </c>
      <c r="K764" t="s">
        <v>1446</v>
      </c>
      <c r="L764" t="s">
        <v>1389</v>
      </c>
    </row>
    <row r="765" spans="1:12">
      <c r="A765" t="s">
        <v>1440</v>
      </c>
      <c r="B765" t="s">
        <v>1441</v>
      </c>
      <c r="C765" t="s">
        <v>2956</v>
      </c>
      <c r="D765" t="s">
        <v>1443</v>
      </c>
      <c r="E765" t="s">
        <v>2957</v>
      </c>
      <c r="F765" t="s">
        <v>2958</v>
      </c>
      <c r="J765" t="s">
        <v>2957</v>
      </c>
      <c r="K765" t="s">
        <v>1446</v>
      </c>
      <c r="L765" t="s">
        <v>1389</v>
      </c>
    </row>
    <row r="766" spans="1:12">
      <c r="A766" t="s">
        <v>1440</v>
      </c>
      <c r="B766" t="s">
        <v>1441</v>
      </c>
      <c r="C766" t="s">
        <v>2959</v>
      </c>
      <c r="D766" t="s">
        <v>1443</v>
      </c>
      <c r="E766" t="s">
        <v>2960</v>
      </c>
      <c r="F766" t="s">
        <v>2961</v>
      </c>
      <c r="J766" t="s">
        <v>2960</v>
      </c>
      <c r="K766" t="s">
        <v>1446</v>
      </c>
      <c r="L766" t="s">
        <v>1389</v>
      </c>
    </row>
    <row r="767" spans="1:12">
      <c r="A767" t="s">
        <v>1440</v>
      </c>
      <c r="B767" t="s">
        <v>1441</v>
      </c>
      <c r="C767" t="s">
        <v>2962</v>
      </c>
      <c r="D767" t="s">
        <v>1443</v>
      </c>
      <c r="E767" t="s">
        <v>2963</v>
      </c>
      <c r="F767" t="s">
        <v>2964</v>
      </c>
      <c r="J767" t="s">
        <v>2963</v>
      </c>
      <c r="K767" t="s">
        <v>1446</v>
      </c>
      <c r="L767" t="s">
        <v>1389</v>
      </c>
    </row>
    <row r="768" spans="1:12">
      <c r="A768" t="s">
        <v>1440</v>
      </c>
      <c r="B768" t="s">
        <v>1441</v>
      </c>
      <c r="C768" t="s">
        <v>2965</v>
      </c>
      <c r="D768" t="s">
        <v>1443</v>
      </c>
      <c r="E768" t="s">
        <v>2966</v>
      </c>
      <c r="F768" t="s">
        <v>2967</v>
      </c>
      <c r="J768" t="s">
        <v>2966</v>
      </c>
      <c r="K768" t="s">
        <v>1446</v>
      </c>
      <c r="L768" t="s">
        <v>1389</v>
      </c>
    </row>
    <row r="769" spans="1:12">
      <c r="A769" t="s">
        <v>1440</v>
      </c>
      <c r="B769" t="s">
        <v>1441</v>
      </c>
      <c r="C769" t="s">
        <v>2968</v>
      </c>
      <c r="D769" t="s">
        <v>1443</v>
      </c>
      <c r="E769" t="s">
        <v>2969</v>
      </c>
      <c r="F769" t="s">
        <v>2970</v>
      </c>
      <c r="J769" t="s">
        <v>2969</v>
      </c>
      <c r="K769" t="s">
        <v>1446</v>
      </c>
      <c r="L769" t="s">
        <v>1389</v>
      </c>
    </row>
    <row r="770" spans="1:12">
      <c r="A770" t="s">
        <v>1440</v>
      </c>
      <c r="B770" t="s">
        <v>1441</v>
      </c>
      <c r="C770" t="s">
        <v>2971</v>
      </c>
      <c r="D770" t="s">
        <v>1443</v>
      </c>
      <c r="E770" t="s">
        <v>2972</v>
      </c>
      <c r="F770" t="s">
        <v>2973</v>
      </c>
      <c r="J770" t="s">
        <v>2972</v>
      </c>
      <c r="K770" t="s">
        <v>1446</v>
      </c>
      <c r="L770" t="s">
        <v>1389</v>
      </c>
    </row>
    <row r="771" spans="1:12">
      <c r="A771" t="s">
        <v>1440</v>
      </c>
      <c r="B771" t="s">
        <v>1441</v>
      </c>
      <c r="C771" t="s">
        <v>2974</v>
      </c>
      <c r="D771" t="s">
        <v>1443</v>
      </c>
      <c r="E771" t="s">
        <v>2975</v>
      </c>
      <c r="F771" t="s">
        <v>2976</v>
      </c>
      <c r="J771" t="s">
        <v>2975</v>
      </c>
      <c r="K771" t="s">
        <v>1446</v>
      </c>
      <c r="L771" t="s">
        <v>1389</v>
      </c>
    </row>
    <row r="772" spans="1:12">
      <c r="A772" t="s">
        <v>1440</v>
      </c>
      <c r="B772" t="s">
        <v>1441</v>
      </c>
      <c r="C772" t="s">
        <v>2977</v>
      </c>
      <c r="D772" t="s">
        <v>1443</v>
      </c>
      <c r="E772" t="s">
        <v>2978</v>
      </c>
      <c r="F772" t="s">
        <v>2979</v>
      </c>
      <c r="J772" t="s">
        <v>2978</v>
      </c>
      <c r="K772" t="s">
        <v>1446</v>
      </c>
      <c r="L772" t="s">
        <v>1389</v>
      </c>
    </row>
    <row r="773" spans="1:12">
      <c r="A773" t="s">
        <v>1440</v>
      </c>
      <c r="B773" t="s">
        <v>1441</v>
      </c>
      <c r="C773" t="s">
        <v>2980</v>
      </c>
      <c r="D773" t="s">
        <v>1443</v>
      </c>
      <c r="E773" t="s">
        <v>2981</v>
      </c>
      <c r="F773" t="s">
        <v>2982</v>
      </c>
      <c r="J773" t="s">
        <v>2981</v>
      </c>
      <c r="K773" t="s">
        <v>1446</v>
      </c>
      <c r="L773" t="s">
        <v>1389</v>
      </c>
    </row>
    <row r="774" spans="1:12">
      <c r="A774" t="s">
        <v>1440</v>
      </c>
      <c r="B774" t="s">
        <v>1441</v>
      </c>
      <c r="C774" t="s">
        <v>2983</v>
      </c>
      <c r="D774" t="s">
        <v>1443</v>
      </c>
      <c r="E774" t="s">
        <v>2984</v>
      </c>
      <c r="F774" t="s">
        <v>2985</v>
      </c>
      <c r="J774" t="s">
        <v>2984</v>
      </c>
      <c r="K774" t="s">
        <v>1446</v>
      </c>
      <c r="L774" t="s">
        <v>1389</v>
      </c>
    </row>
    <row r="775" spans="1:12">
      <c r="A775" t="s">
        <v>1440</v>
      </c>
      <c r="B775" t="s">
        <v>1441</v>
      </c>
      <c r="C775" t="s">
        <v>2986</v>
      </c>
      <c r="D775" t="s">
        <v>1443</v>
      </c>
      <c r="E775" t="s">
        <v>2987</v>
      </c>
      <c r="F775" t="s">
        <v>2988</v>
      </c>
      <c r="J775" t="s">
        <v>2987</v>
      </c>
      <c r="K775" t="s">
        <v>1446</v>
      </c>
      <c r="L775" t="s">
        <v>1389</v>
      </c>
    </row>
    <row r="776" spans="1:12">
      <c r="A776" t="s">
        <v>1440</v>
      </c>
      <c r="B776" t="s">
        <v>1441</v>
      </c>
      <c r="C776" t="s">
        <v>2989</v>
      </c>
      <c r="D776" t="s">
        <v>1443</v>
      </c>
      <c r="E776" t="s">
        <v>2990</v>
      </c>
      <c r="F776" t="s">
        <v>2991</v>
      </c>
      <c r="J776" t="s">
        <v>2990</v>
      </c>
      <c r="K776" t="s">
        <v>1446</v>
      </c>
      <c r="L776" t="s">
        <v>1389</v>
      </c>
    </row>
    <row r="777" spans="1:12">
      <c r="A777" t="s">
        <v>1440</v>
      </c>
      <c r="B777" t="s">
        <v>1441</v>
      </c>
      <c r="C777" t="s">
        <v>2992</v>
      </c>
      <c r="D777" t="s">
        <v>1443</v>
      </c>
      <c r="E777" t="s">
        <v>2993</v>
      </c>
      <c r="F777" t="s">
        <v>2994</v>
      </c>
    </row>
    <row r="778" spans="1:12">
      <c r="A778" t="s">
        <v>1440</v>
      </c>
      <c r="B778" t="s">
        <v>1441</v>
      </c>
      <c r="C778" t="s">
        <v>2995</v>
      </c>
      <c r="D778" t="s">
        <v>1443</v>
      </c>
      <c r="E778" t="s">
        <v>2996</v>
      </c>
      <c r="F778" t="s">
        <v>2997</v>
      </c>
      <c r="J778" t="s">
        <v>2996</v>
      </c>
      <c r="K778" t="s">
        <v>1446</v>
      </c>
      <c r="L778" t="s">
        <v>1389</v>
      </c>
    </row>
    <row r="779" spans="1:12">
      <c r="A779" t="s">
        <v>1440</v>
      </c>
      <c r="B779" t="s">
        <v>1441</v>
      </c>
      <c r="C779" t="s">
        <v>2998</v>
      </c>
      <c r="D779" t="s">
        <v>1443</v>
      </c>
      <c r="E779" t="s">
        <v>2999</v>
      </c>
      <c r="F779" t="s">
        <v>3000</v>
      </c>
      <c r="J779" t="s">
        <v>2999</v>
      </c>
      <c r="K779" t="s">
        <v>1446</v>
      </c>
      <c r="L779" t="s">
        <v>1389</v>
      </c>
    </row>
    <row r="780" spans="1:12">
      <c r="A780" t="s">
        <v>1440</v>
      </c>
      <c r="B780" t="s">
        <v>1441</v>
      </c>
      <c r="C780" t="s">
        <v>3001</v>
      </c>
      <c r="D780" t="s">
        <v>1443</v>
      </c>
      <c r="E780" t="s">
        <v>3002</v>
      </c>
      <c r="F780" t="s">
        <v>3003</v>
      </c>
      <c r="J780" t="s">
        <v>3002</v>
      </c>
      <c r="K780" t="s">
        <v>1446</v>
      </c>
      <c r="L780" t="s">
        <v>1389</v>
      </c>
    </row>
    <row r="781" spans="1:12">
      <c r="A781" t="s">
        <v>1440</v>
      </c>
      <c r="B781" t="s">
        <v>1441</v>
      </c>
      <c r="C781" t="s">
        <v>3004</v>
      </c>
      <c r="D781" t="s">
        <v>1443</v>
      </c>
      <c r="E781" t="s">
        <v>3005</v>
      </c>
      <c r="F781" t="s">
        <v>3006</v>
      </c>
      <c r="J781" t="s">
        <v>3005</v>
      </c>
      <c r="K781" t="s">
        <v>1446</v>
      </c>
      <c r="L781" t="s">
        <v>1389</v>
      </c>
    </row>
    <row r="782" spans="1:12">
      <c r="A782" t="s">
        <v>1440</v>
      </c>
      <c r="B782" t="s">
        <v>1441</v>
      </c>
      <c r="C782" t="s">
        <v>3007</v>
      </c>
      <c r="D782" t="s">
        <v>1443</v>
      </c>
      <c r="E782" t="s">
        <v>3008</v>
      </c>
      <c r="F782" t="s">
        <v>3009</v>
      </c>
    </row>
    <row r="783" spans="1:12">
      <c r="A783" t="s">
        <v>1440</v>
      </c>
      <c r="B783" t="s">
        <v>1441</v>
      </c>
      <c r="C783" t="s">
        <v>3010</v>
      </c>
      <c r="D783" t="s">
        <v>1443</v>
      </c>
      <c r="E783" t="s">
        <v>3011</v>
      </c>
      <c r="F783" t="s">
        <v>3012</v>
      </c>
      <c r="J783" t="s">
        <v>3011</v>
      </c>
      <c r="K783" t="s">
        <v>1446</v>
      </c>
      <c r="L783" t="s">
        <v>1389</v>
      </c>
    </row>
    <row r="784" spans="1:12">
      <c r="A784" t="s">
        <v>1440</v>
      </c>
      <c r="B784" t="s">
        <v>1441</v>
      </c>
      <c r="C784" t="s">
        <v>3013</v>
      </c>
      <c r="D784" t="s">
        <v>1443</v>
      </c>
      <c r="E784" t="s">
        <v>3014</v>
      </c>
      <c r="F784" t="s">
        <v>3015</v>
      </c>
    </row>
    <row r="785" spans="1:12">
      <c r="A785" t="s">
        <v>1440</v>
      </c>
      <c r="B785" t="s">
        <v>1441</v>
      </c>
      <c r="C785" t="s">
        <v>3016</v>
      </c>
      <c r="D785" t="s">
        <v>1443</v>
      </c>
      <c r="E785" t="s">
        <v>3017</v>
      </c>
      <c r="F785" t="s">
        <v>3018</v>
      </c>
      <c r="J785" t="s">
        <v>3017</v>
      </c>
      <c r="K785" t="s">
        <v>1446</v>
      </c>
      <c r="L785" t="s">
        <v>1389</v>
      </c>
    </row>
    <row r="786" spans="1:12">
      <c r="A786" t="s">
        <v>1440</v>
      </c>
      <c r="B786" t="s">
        <v>1441</v>
      </c>
      <c r="C786" t="s">
        <v>3019</v>
      </c>
      <c r="D786" t="s">
        <v>1443</v>
      </c>
      <c r="E786" t="s">
        <v>3020</v>
      </c>
      <c r="F786" t="s">
        <v>3021</v>
      </c>
      <c r="J786" t="s">
        <v>3020</v>
      </c>
      <c r="K786" t="s">
        <v>1446</v>
      </c>
      <c r="L786" t="s">
        <v>1389</v>
      </c>
    </row>
    <row r="787" spans="1:12">
      <c r="A787" t="s">
        <v>1440</v>
      </c>
      <c r="B787" t="s">
        <v>1441</v>
      </c>
      <c r="C787" t="s">
        <v>3022</v>
      </c>
      <c r="D787" t="s">
        <v>1443</v>
      </c>
      <c r="E787" t="s">
        <v>3023</v>
      </c>
      <c r="F787" t="s">
        <v>3024</v>
      </c>
      <c r="J787" t="s">
        <v>3023</v>
      </c>
      <c r="K787" t="s">
        <v>1446</v>
      </c>
      <c r="L787" t="s">
        <v>1389</v>
      </c>
    </row>
    <row r="788" spans="1:12">
      <c r="A788" t="s">
        <v>1440</v>
      </c>
      <c r="B788" t="s">
        <v>1441</v>
      </c>
      <c r="C788" t="s">
        <v>3025</v>
      </c>
      <c r="D788" t="s">
        <v>1443</v>
      </c>
      <c r="E788" t="s">
        <v>3026</v>
      </c>
      <c r="F788" t="s">
        <v>3027</v>
      </c>
      <c r="J788" t="s">
        <v>3026</v>
      </c>
      <c r="K788" t="s">
        <v>1446</v>
      </c>
      <c r="L788" t="s">
        <v>1389</v>
      </c>
    </row>
    <row r="789" spans="1:12">
      <c r="A789" t="s">
        <v>1440</v>
      </c>
      <c r="B789" t="s">
        <v>1441</v>
      </c>
      <c r="C789" t="s">
        <v>3028</v>
      </c>
      <c r="D789" t="s">
        <v>1443</v>
      </c>
      <c r="E789" t="s">
        <v>3029</v>
      </c>
      <c r="F789" t="s">
        <v>3030</v>
      </c>
      <c r="J789" t="s">
        <v>3029</v>
      </c>
      <c r="K789" t="s">
        <v>1446</v>
      </c>
      <c r="L789" t="s">
        <v>1389</v>
      </c>
    </row>
    <row r="790" spans="1:12">
      <c r="A790" t="s">
        <v>1440</v>
      </c>
      <c r="B790" t="s">
        <v>1441</v>
      </c>
      <c r="C790" t="s">
        <v>3031</v>
      </c>
      <c r="D790" t="s">
        <v>1443</v>
      </c>
      <c r="E790" t="s">
        <v>3032</v>
      </c>
      <c r="F790" t="s">
        <v>3033</v>
      </c>
      <c r="J790" t="s">
        <v>3032</v>
      </c>
      <c r="K790" t="s">
        <v>1446</v>
      </c>
      <c r="L790" t="s">
        <v>1389</v>
      </c>
    </row>
    <row r="791" spans="1:12">
      <c r="A791" t="s">
        <v>1440</v>
      </c>
      <c r="B791" t="s">
        <v>1441</v>
      </c>
      <c r="C791" t="s">
        <v>3034</v>
      </c>
      <c r="D791" t="s">
        <v>1443</v>
      </c>
      <c r="E791" t="s">
        <v>3035</v>
      </c>
      <c r="F791" t="s">
        <v>3036</v>
      </c>
      <c r="J791" t="s">
        <v>3035</v>
      </c>
      <c r="K791" t="s">
        <v>1446</v>
      </c>
      <c r="L791" t="s">
        <v>1389</v>
      </c>
    </row>
    <row r="792" spans="1:12">
      <c r="A792" t="s">
        <v>1440</v>
      </c>
      <c r="B792" t="s">
        <v>1441</v>
      </c>
      <c r="C792" t="s">
        <v>3037</v>
      </c>
      <c r="D792" t="s">
        <v>1443</v>
      </c>
      <c r="E792" t="s">
        <v>3038</v>
      </c>
      <c r="F792" t="s">
        <v>3039</v>
      </c>
      <c r="J792" t="s">
        <v>3038</v>
      </c>
      <c r="K792" t="s">
        <v>1446</v>
      </c>
      <c r="L792" t="s">
        <v>1389</v>
      </c>
    </row>
    <row r="793" spans="1:12">
      <c r="A793" t="s">
        <v>1440</v>
      </c>
      <c r="B793" t="s">
        <v>1441</v>
      </c>
      <c r="C793" t="s">
        <v>3040</v>
      </c>
      <c r="D793" t="s">
        <v>1443</v>
      </c>
      <c r="E793" t="s">
        <v>3041</v>
      </c>
      <c r="F793" t="s">
        <v>3042</v>
      </c>
      <c r="J793" t="s">
        <v>3041</v>
      </c>
      <c r="K793" t="s">
        <v>1446</v>
      </c>
      <c r="L793" t="s">
        <v>1389</v>
      </c>
    </row>
    <row r="794" spans="1:12">
      <c r="A794" t="s">
        <v>1440</v>
      </c>
      <c r="B794" t="s">
        <v>1441</v>
      </c>
      <c r="C794" t="s">
        <v>3043</v>
      </c>
      <c r="D794" t="s">
        <v>1443</v>
      </c>
      <c r="E794" t="s">
        <v>3044</v>
      </c>
      <c r="F794" t="s">
        <v>3045</v>
      </c>
      <c r="J794" t="s">
        <v>3044</v>
      </c>
      <c r="K794" t="s">
        <v>1446</v>
      </c>
      <c r="L794" t="s">
        <v>1389</v>
      </c>
    </row>
    <row r="795" spans="1:12">
      <c r="A795" t="s">
        <v>1440</v>
      </c>
      <c r="B795" t="s">
        <v>1441</v>
      </c>
      <c r="C795" t="s">
        <v>3046</v>
      </c>
      <c r="D795" t="s">
        <v>1443</v>
      </c>
      <c r="E795" t="s">
        <v>3047</v>
      </c>
      <c r="F795" t="s">
        <v>3048</v>
      </c>
      <c r="J795" t="s">
        <v>3047</v>
      </c>
      <c r="K795" t="s">
        <v>1446</v>
      </c>
      <c r="L795" t="s">
        <v>1389</v>
      </c>
    </row>
    <row r="796" spans="1:12">
      <c r="A796" t="s">
        <v>1440</v>
      </c>
      <c r="B796" t="s">
        <v>1441</v>
      </c>
      <c r="C796" t="s">
        <v>3049</v>
      </c>
      <c r="D796" t="s">
        <v>1443</v>
      </c>
      <c r="E796" t="s">
        <v>3050</v>
      </c>
      <c r="F796" t="s">
        <v>3051</v>
      </c>
      <c r="J796" t="s">
        <v>3050</v>
      </c>
      <c r="K796" t="s">
        <v>1446</v>
      </c>
      <c r="L796" t="s">
        <v>1389</v>
      </c>
    </row>
    <row r="797" spans="1:12">
      <c r="A797" t="s">
        <v>1440</v>
      </c>
      <c r="B797" t="s">
        <v>1441</v>
      </c>
      <c r="C797" t="s">
        <v>3052</v>
      </c>
      <c r="D797" t="s">
        <v>1443</v>
      </c>
      <c r="E797" t="s">
        <v>3053</v>
      </c>
      <c r="F797" t="s">
        <v>3054</v>
      </c>
      <c r="J797" t="s">
        <v>3053</v>
      </c>
      <c r="K797" t="s">
        <v>1446</v>
      </c>
      <c r="L797" t="s">
        <v>1389</v>
      </c>
    </row>
    <row r="798" spans="1:12">
      <c r="A798" t="s">
        <v>1440</v>
      </c>
      <c r="B798" t="s">
        <v>1441</v>
      </c>
      <c r="C798" t="s">
        <v>3055</v>
      </c>
      <c r="D798" t="s">
        <v>1443</v>
      </c>
      <c r="E798" t="s">
        <v>3056</v>
      </c>
      <c r="F798" t="s">
        <v>3057</v>
      </c>
      <c r="J798" t="s">
        <v>3056</v>
      </c>
      <c r="K798" t="s">
        <v>1446</v>
      </c>
      <c r="L798" t="s">
        <v>1389</v>
      </c>
    </row>
    <row r="799" spans="1:12">
      <c r="A799" t="s">
        <v>1440</v>
      </c>
      <c r="B799" t="s">
        <v>1441</v>
      </c>
      <c r="C799" t="s">
        <v>3058</v>
      </c>
      <c r="D799" t="s">
        <v>1443</v>
      </c>
      <c r="E799" t="s">
        <v>796</v>
      </c>
      <c r="F799" t="s">
        <v>3059</v>
      </c>
    </row>
    <row r="800" spans="1:12">
      <c r="A800" t="s">
        <v>1440</v>
      </c>
      <c r="B800" t="s">
        <v>1441</v>
      </c>
      <c r="C800" t="s">
        <v>3060</v>
      </c>
      <c r="D800" t="s">
        <v>1443</v>
      </c>
      <c r="E800" t="s">
        <v>3061</v>
      </c>
      <c r="F800" t="s">
        <v>3062</v>
      </c>
      <c r="J800" t="s">
        <v>3061</v>
      </c>
      <c r="K800" t="s">
        <v>1446</v>
      </c>
      <c r="L800" t="s">
        <v>1389</v>
      </c>
    </row>
    <row r="801" spans="1:12">
      <c r="A801" t="s">
        <v>1440</v>
      </c>
      <c r="B801" t="s">
        <v>1441</v>
      </c>
      <c r="C801" t="s">
        <v>3063</v>
      </c>
      <c r="D801" t="s">
        <v>1443</v>
      </c>
      <c r="E801" t="s">
        <v>3064</v>
      </c>
      <c r="F801" t="s">
        <v>3065</v>
      </c>
      <c r="J801" t="s">
        <v>3064</v>
      </c>
      <c r="K801" t="s">
        <v>1446</v>
      </c>
      <c r="L801" t="s">
        <v>1389</v>
      </c>
    </row>
    <row r="802" spans="1:12">
      <c r="A802" t="s">
        <v>1440</v>
      </c>
      <c r="B802" t="s">
        <v>1441</v>
      </c>
      <c r="C802" t="s">
        <v>3066</v>
      </c>
      <c r="D802" t="s">
        <v>1443</v>
      </c>
      <c r="E802" t="s">
        <v>3067</v>
      </c>
      <c r="F802" t="s">
        <v>3068</v>
      </c>
      <c r="J802" t="s">
        <v>3067</v>
      </c>
      <c r="K802" t="s">
        <v>1446</v>
      </c>
      <c r="L802" t="s">
        <v>1389</v>
      </c>
    </row>
    <row r="803" spans="1:12">
      <c r="A803" t="s">
        <v>1440</v>
      </c>
      <c r="B803" t="s">
        <v>1441</v>
      </c>
      <c r="C803" t="s">
        <v>3069</v>
      </c>
      <c r="D803" t="s">
        <v>1443</v>
      </c>
      <c r="E803" t="s">
        <v>3070</v>
      </c>
      <c r="F803" t="s">
        <v>3071</v>
      </c>
      <c r="J803" t="s">
        <v>3070</v>
      </c>
      <c r="K803" t="s">
        <v>1446</v>
      </c>
      <c r="L803" t="s">
        <v>1389</v>
      </c>
    </row>
    <row r="804" spans="1:12">
      <c r="A804" t="s">
        <v>1440</v>
      </c>
      <c r="B804" t="s">
        <v>1441</v>
      </c>
      <c r="C804" t="s">
        <v>3072</v>
      </c>
      <c r="D804" t="s">
        <v>1443</v>
      </c>
      <c r="E804" t="s">
        <v>3073</v>
      </c>
      <c r="F804" t="s">
        <v>3074</v>
      </c>
      <c r="J804" t="s">
        <v>3073</v>
      </c>
      <c r="K804" t="s">
        <v>1446</v>
      </c>
      <c r="L804" t="s">
        <v>1389</v>
      </c>
    </row>
    <row r="805" spans="1:12">
      <c r="A805" t="s">
        <v>1440</v>
      </c>
      <c r="B805" t="s">
        <v>1441</v>
      </c>
      <c r="C805" t="s">
        <v>3075</v>
      </c>
      <c r="D805" t="s">
        <v>1443</v>
      </c>
      <c r="E805" t="s">
        <v>3076</v>
      </c>
      <c r="F805" t="s">
        <v>3077</v>
      </c>
    </row>
    <row r="806" spans="1:12">
      <c r="A806" t="s">
        <v>1440</v>
      </c>
      <c r="B806" t="s">
        <v>1441</v>
      </c>
      <c r="C806" t="s">
        <v>3078</v>
      </c>
      <c r="D806" t="s">
        <v>1443</v>
      </c>
      <c r="E806" t="s">
        <v>3079</v>
      </c>
      <c r="F806" t="s">
        <v>3080</v>
      </c>
      <c r="J806" t="s">
        <v>3079</v>
      </c>
      <c r="K806" t="s">
        <v>1446</v>
      </c>
      <c r="L806" t="s">
        <v>1389</v>
      </c>
    </row>
    <row r="807" spans="1:12">
      <c r="A807" t="s">
        <v>1440</v>
      </c>
      <c r="B807" t="s">
        <v>1441</v>
      </c>
      <c r="C807" t="s">
        <v>3081</v>
      </c>
      <c r="D807" t="s">
        <v>1443</v>
      </c>
      <c r="E807" t="s">
        <v>3082</v>
      </c>
      <c r="F807" t="s">
        <v>3083</v>
      </c>
      <c r="J807" t="s">
        <v>3082</v>
      </c>
      <c r="K807" t="s">
        <v>1446</v>
      </c>
      <c r="L807" t="s">
        <v>1389</v>
      </c>
    </row>
    <row r="808" spans="1:12">
      <c r="A808" t="s">
        <v>1440</v>
      </c>
      <c r="B808" t="s">
        <v>1441</v>
      </c>
      <c r="C808" t="s">
        <v>3084</v>
      </c>
      <c r="D808" t="s">
        <v>1443</v>
      </c>
      <c r="E808" t="s">
        <v>3085</v>
      </c>
      <c r="F808" t="s">
        <v>3086</v>
      </c>
      <c r="J808" t="s">
        <v>3085</v>
      </c>
      <c r="K808" t="s">
        <v>1446</v>
      </c>
      <c r="L808" t="s">
        <v>1389</v>
      </c>
    </row>
    <row r="809" spans="1:12">
      <c r="A809" t="s">
        <v>1440</v>
      </c>
      <c r="B809" t="s">
        <v>1441</v>
      </c>
      <c r="C809" t="s">
        <v>3087</v>
      </c>
      <c r="D809" t="s">
        <v>1443</v>
      </c>
      <c r="E809" t="s">
        <v>3088</v>
      </c>
      <c r="F809" t="s">
        <v>3089</v>
      </c>
      <c r="J809" t="s">
        <v>3088</v>
      </c>
      <c r="K809" t="s">
        <v>1446</v>
      </c>
      <c r="L809" t="s">
        <v>1389</v>
      </c>
    </row>
    <row r="810" spans="1:12">
      <c r="A810" t="s">
        <v>1440</v>
      </c>
      <c r="B810" t="s">
        <v>1441</v>
      </c>
      <c r="C810" t="s">
        <v>3090</v>
      </c>
      <c r="D810" t="s">
        <v>1443</v>
      </c>
      <c r="E810" t="s">
        <v>3091</v>
      </c>
      <c r="F810" t="s">
        <v>3092</v>
      </c>
      <c r="J810" t="s">
        <v>3091</v>
      </c>
      <c r="K810" t="s">
        <v>1446</v>
      </c>
      <c r="L810" t="s">
        <v>1389</v>
      </c>
    </row>
    <row r="811" spans="1:12">
      <c r="A811" t="s">
        <v>1440</v>
      </c>
      <c r="B811" t="s">
        <v>1441</v>
      </c>
      <c r="C811" t="s">
        <v>3093</v>
      </c>
      <c r="D811" t="s">
        <v>1443</v>
      </c>
      <c r="E811" t="s">
        <v>3094</v>
      </c>
      <c r="F811" t="s">
        <v>3095</v>
      </c>
    </row>
    <row r="812" spans="1:12">
      <c r="A812" t="s">
        <v>1440</v>
      </c>
      <c r="B812" t="s">
        <v>1441</v>
      </c>
      <c r="C812" t="s">
        <v>3096</v>
      </c>
      <c r="D812" t="s">
        <v>1443</v>
      </c>
      <c r="E812" t="s">
        <v>3097</v>
      </c>
      <c r="F812" t="s">
        <v>3098</v>
      </c>
      <c r="J812" t="s">
        <v>3097</v>
      </c>
      <c r="K812" t="s">
        <v>1446</v>
      </c>
      <c r="L812" t="s">
        <v>1389</v>
      </c>
    </row>
    <row r="813" spans="1:12">
      <c r="A813" t="s">
        <v>1440</v>
      </c>
      <c r="B813" t="s">
        <v>1441</v>
      </c>
      <c r="C813" t="s">
        <v>3099</v>
      </c>
      <c r="D813" t="s">
        <v>1443</v>
      </c>
      <c r="E813" t="s">
        <v>3100</v>
      </c>
      <c r="F813" t="s">
        <v>3101</v>
      </c>
      <c r="J813" t="s">
        <v>3100</v>
      </c>
      <c r="K813" t="s">
        <v>1446</v>
      </c>
      <c r="L813" t="s">
        <v>1389</v>
      </c>
    </row>
    <row r="814" spans="1:12">
      <c r="A814" t="s">
        <v>1440</v>
      </c>
      <c r="B814" t="s">
        <v>1441</v>
      </c>
      <c r="C814" t="s">
        <v>3102</v>
      </c>
      <c r="D814" t="s">
        <v>1443</v>
      </c>
      <c r="E814" t="s">
        <v>3103</v>
      </c>
      <c r="F814" t="s">
        <v>3104</v>
      </c>
      <c r="J814" t="s">
        <v>3103</v>
      </c>
      <c r="K814" t="s">
        <v>1446</v>
      </c>
      <c r="L814" t="s">
        <v>1389</v>
      </c>
    </row>
    <row r="815" spans="1:12">
      <c r="A815" t="s">
        <v>1440</v>
      </c>
      <c r="B815" t="s">
        <v>1441</v>
      </c>
      <c r="C815" t="s">
        <v>3105</v>
      </c>
      <c r="D815" t="s">
        <v>1443</v>
      </c>
      <c r="E815" t="s">
        <v>3106</v>
      </c>
      <c r="F815" t="s">
        <v>3107</v>
      </c>
      <c r="J815" t="s">
        <v>3106</v>
      </c>
      <c r="K815" t="s">
        <v>1446</v>
      </c>
      <c r="L815" t="s">
        <v>1389</v>
      </c>
    </row>
    <row r="816" spans="1:12">
      <c r="A816" t="s">
        <v>1440</v>
      </c>
      <c r="B816" t="s">
        <v>1441</v>
      </c>
      <c r="C816" t="s">
        <v>3108</v>
      </c>
      <c r="D816" t="s">
        <v>1443</v>
      </c>
      <c r="E816" t="s">
        <v>3109</v>
      </c>
      <c r="F816" t="s">
        <v>3110</v>
      </c>
      <c r="J816" t="s">
        <v>3109</v>
      </c>
      <c r="K816" t="s">
        <v>1446</v>
      </c>
      <c r="L816" t="s">
        <v>1389</v>
      </c>
    </row>
    <row r="817" spans="1:12">
      <c r="A817" t="s">
        <v>1440</v>
      </c>
      <c r="B817" t="s">
        <v>1441</v>
      </c>
      <c r="C817" t="s">
        <v>3111</v>
      </c>
      <c r="D817" t="s">
        <v>1443</v>
      </c>
      <c r="E817" t="s">
        <v>3112</v>
      </c>
      <c r="F817" t="s">
        <v>3113</v>
      </c>
      <c r="J817" t="s">
        <v>3112</v>
      </c>
      <c r="K817" t="s">
        <v>1446</v>
      </c>
      <c r="L817" t="s">
        <v>1389</v>
      </c>
    </row>
    <row r="818" spans="1:12">
      <c r="A818" t="s">
        <v>1440</v>
      </c>
      <c r="B818" t="s">
        <v>1441</v>
      </c>
      <c r="C818" t="s">
        <v>3114</v>
      </c>
      <c r="D818" t="s">
        <v>1443</v>
      </c>
      <c r="E818" t="s">
        <v>3115</v>
      </c>
      <c r="F818" t="s">
        <v>3116</v>
      </c>
      <c r="J818" t="s">
        <v>3115</v>
      </c>
      <c r="K818" t="s">
        <v>1446</v>
      </c>
      <c r="L818" t="s">
        <v>1389</v>
      </c>
    </row>
    <row r="819" spans="1:12">
      <c r="A819" t="s">
        <v>1440</v>
      </c>
      <c r="B819" t="s">
        <v>1441</v>
      </c>
      <c r="C819" t="s">
        <v>3117</v>
      </c>
      <c r="D819" t="s">
        <v>1443</v>
      </c>
      <c r="E819" t="s">
        <v>3118</v>
      </c>
      <c r="F819" t="s">
        <v>3119</v>
      </c>
      <c r="J819" t="s">
        <v>3118</v>
      </c>
      <c r="K819" t="s">
        <v>1446</v>
      </c>
      <c r="L819" t="s">
        <v>1389</v>
      </c>
    </row>
    <row r="820" spans="1:12">
      <c r="A820" t="s">
        <v>1440</v>
      </c>
      <c r="B820" t="s">
        <v>1441</v>
      </c>
      <c r="C820" t="s">
        <v>3120</v>
      </c>
      <c r="D820" t="s">
        <v>1443</v>
      </c>
      <c r="E820" t="s">
        <v>3121</v>
      </c>
      <c r="F820" t="s">
        <v>3122</v>
      </c>
      <c r="J820" t="s">
        <v>3121</v>
      </c>
      <c r="K820" t="s">
        <v>1446</v>
      </c>
      <c r="L820" t="s">
        <v>1389</v>
      </c>
    </row>
    <row r="821" spans="1:12">
      <c r="A821" t="s">
        <v>1440</v>
      </c>
      <c r="B821" t="s">
        <v>1441</v>
      </c>
      <c r="C821" t="s">
        <v>3123</v>
      </c>
      <c r="D821" t="s">
        <v>1443</v>
      </c>
      <c r="E821" t="s">
        <v>3124</v>
      </c>
      <c r="F821" t="s">
        <v>3125</v>
      </c>
      <c r="J821" t="s">
        <v>3124</v>
      </c>
      <c r="K821" t="s">
        <v>1446</v>
      </c>
      <c r="L821" t="s">
        <v>1389</v>
      </c>
    </row>
    <row r="822" spans="1:12">
      <c r="A822" t="s">
        <v>1440</v>
      </c>
      <c r="B822" t="s">
        <v>1441</v>
      </c>
      <c r="C822" t="s">
        <v>3126</v>
      </c>
      <c r="D822" t="s">
        <v>1443</v>
      </c>
      <c r="E822" t="s">
        <v>3127</v>
      </c>
      <c r="F822" t="s">
        <v>3128</v>
      </c>
      <c r="J822" t="s">
        <v>3127</v>
      </c>
      <c r="K822" t="s">
        <v>1446</v>
      </c>
      <c r="L822" t="s">
        <v>1389</v>
      </c>
    </row>
    <row r="823" spans="1:12">
      <c r="A823" t="s">
        <v>1440</v>
      </c>
      <c r="B823" t="s">
        <v>1441</v>
      </c>
      <c r="C823" t="s">
        <v>3129</v>
      </c>
      <c r="D823" t="s">
        <v>1443</v>
      </c>
      <c r="E823" t="s">
        <v>3130</v>
      </c>
      <c r="F823" t="s">
        <v>3131</v>
      </c>
      <c r="J823" t="s">
        <v>3130</v>
      </c>
      <c r="K823" t="s">
        <v>1446</v>
      </c>
      <c r="L823" t="s">
        <v>1389</v>
      </c>
    </row>
    <row r="824" spans="1:12">
      <c r="A824" t="s">
        <v>1440</v>
      </c>
      <c r="B824" t="s">
        <v>1441</v>
      </c>
      <c r="C824" t="s">
        <v>3132</v>
      </c>
      <c r="D824" t="s">
        <v>1443</v>
      </c>
      <c r="E824" t="s">
        <v>3133</v>
      </c>
      <c r="F824" t="s">
        <v>3134</v>
      </c>
      <c r="J824" t="s">
        <v>3133</v>
      </c>
      <c r="K824" t="s">
        <v>1446</v>
      </c>
      <c r="L824" t="s">
        <v>1389</v>
      </c>
    </row>
    <row r="825" spans="1:12">
      <c r="A825" t="s">
        <v>1440</v>
      </c>
      <c r="B825" t="s">
        <v>1441</v>
      </c>
      <c r="C825" t="s">
        <v>3135</v>
      </c>
      <c r="D825" t="s">
        <v>1443</v>
      </c>
      <c r="E825" t="s">
        <v>3136</v>
      </c>
      <c r="F825" t="s">
        <v>3137</v>
      </c>
      <c r="J825" t="s">
        <v>3136</v>
      </c>
      <c r="K825" t="s">
        <v>1446</v>
      </c>
      <c r="L825" t="s">
        <v>1389</v>
      </c>
    </row>
    <row r="826" spans="1:12">
      <c r="A826" t="s">
        <v>1440</v>
      </c>
      <c r="B826" t="s">
        <v>1441</v>
      </c>
      <c r="C826" t="s">
        <v>3138</v>
      </c>
      <c r="D826" t="s">
        <v>1443</v>
      </c>
      <c r="E826" t="s">
        <v>3139</v>
      </c>
      <c r="F826" t="s">
        <v>3140</v>
      </c>
      <c r="J826" t="s">
        <v>3139</v>
      </c>
      <c r="K826" t="s">
        <v>1446</v>
      </c>
      <c r="L826" t="s">
        <v>1389</v>
      </c>
    </row>
    <row r="827" spans="1:12">
      <c r="A827" t="s">
        <v>1440</v>
      </c>
      <c r="B827" t="s">
        <v>1441</v>
      </c>
      <c r="C827" t="s">
        <v>3141</v>
      </c>
      <c r="D827" t="s">
        <v>1443</v>
      </c>
      <c r="E827" t="s">
        <v>3142</v>
      </c>
      <c r="F827" t="s">
        <v>3143</v>
      </c>
      <c r="J827" t="s">
        <v>3142</v>
      </c>
      <c r="K827" t="s">
        <v>1446</v>
      </c>
      <c r="L827" t="s">
        <v>1389</v>
      </c>
    </row>
    <row r="828" spans="1:12">
      <c r="A828" t="s">
        <v>1440</v>
      </c>
      <c r="B828" t="s">
        <v>1441</v>
      </c>
      <c r="C828" t="s">
        <v>3144</v>
      </c>
      <c r="D828" t="s">
        <v>1443</v>
      </c>
      <c r="E828" t="s">
        <v>3145</v>
      </c>
      <c r="F828" t="s">
        <v>3146</v>
      </c>
      <c r="J828" t="s">
        <v>3145</v>
      </c>
      <c r="K828" t="s">
        <v>1446</v>
      </c>
      <c r="L828" t="s">
        <v>1389</v>
      </c>
    </row>
    <row r="829" spans="1:12">
      <c r="A829" t="s">
        <v>1440</v>
      </c>
      <c r="B829" t="s">
        <v>1441</v>
      </c>
      <c r="C829" t="s">
        <v>3147</v>
      </c>
      <c r="D829" t="s">
        <v>1443</v>
      </c>
      <c r="E829" t="s">
        <v>3148</v>
      </c>
      <c r="F829" t="s">
        <v>3149</v>
      </c>
      <c r="J829" t="s">
        <v>3148</v>
      </c>
      <c r="K829" t="s">
        <v>1446</v>
      </c>
      <c r="L829" t="s">
        <v>1389</v>
      </c>
    </row>
    <row r="830" spans="1:12">
      <c r="A830" t="s">
        <v>1440</v>
      </c>
      <c r="B830" t="s">
        <v>1441</v>
      </c>
      <c r="C830" t="s">
        <v>3150</v>
      </c>
      <c r="D830" t="s">
        <v>1443</v>
      </c>
      <c r="E830" t="s">
        <v>3151</v>
      </c>
      <c r="F830" t="s">
        <v>3152</v>
      </c>
      <c r="J830" t="s">
        <v>3151</v>
      </c>
      <c r="K830" t="s">
        <v>1446</v>
      </c>
      <c r="L830" t="s">
        <v>1389</v>
      </c>
    </row>
    <row r="831" spans="1:12">
      <c r="A831" t="s">
        <v>1440</v>
      </c>
      <c r="B831" t="s">
        <v>1441</v>
      </c>
      <c r="C831" t="s">
        <v>3153</v>
      </c>
      <c r="D831" t="s">
        <v>1443</v>
      </c>
      <c r="E831" t="s">
        <v>3154</v>
      </c>
      <c r="F831" t="s">
        <v>3155</v>
      </c>
    </row>
    <row r="832" spans="1:12">
      <c r="A832" t="s">
        <v>1440</v>
      </c>
      <c r="B832" t="s">
        <v>1441</v>
      </c>
      <c r="C832" t="s">
        <v>3156</v>
      </c>
      <c r="D832" t="s">
        <v>1443</v>
      </c>
      <c r="E832" t="s">
        <v>3157</v>
      </c>
      <c r="F832" t="s">
        <v>3158</v>
      </c>
      <c r="J832" t="s">
        <v>3157</v>
      </c>
      <c r="K832" t="s">
        <v>1446</v>
      </c>
      <c r="L832" t="s">
        <v>1389</v>
      </c>
    </row>
    <row r="833" spans="1:12">
      <c r="A833" t="s">
        <v>1440</v>
      </c>
      <c r="B833" t="s">
        <v>1441</v>
      </c>
      <c r="C833" t="s">
        <v>3159</v>
      </c>
      <c r="D833" t="s">
        <v>1443</v>
      </c>
      <c r="E833" t="s">
        <v>3160</v>
      </c>
      <c r="F833" t="s">
        <v>3161</v>
      </c>
      <c r="J833" t="s">
        <v>3160</v>
      </c>
      <c r="K833" t="s">
        <v>1446</v>
      </c>
      <c r="L833" t="s">
        <v>1389</v>
      </c>
    </row>
    <row r="834" spans="1:12">
      <c r="A834" t="s">
        <v>1440</v>
      </c>
      <c r="B834" t="s">
        <v>1441</v>
      </c>
      <c r="C834" t="s">
        <v>3162</v>
      </c>
      <c r="D834" t="s">
        <v>1443</v>
      </c>
      <c r="E834" t="s">
        <v>3163</v>
      </c>
      <c r="F834" t="s">
        <v>3164</v>
      </c>
      <c r="J834" t="s">
        <v>3163</v>
      </c>
      <c r="K834" t="s">
        <v>1446</v>
      </c>
      <c r="L834" t="s">
        <v>1389</v>
      </c>
    </row>
    <row r="835" spans="1:12">
      <c r="A835" t="s">
        <v>1440</v>
      </c>
      <c r="B835" t="s">
        <v>1441</v>
      </c>
      <c r="C835" t="s">
        <v>3165</v>
      </c>
      <c r="D835" t="s">
        <v>1443</v>
      </c>
      <c r="E835" t="s">
        <v>3166</v>
      </c>
      <c r="F835" t="s">
        <v>3167</v>
      </c>
      <c r="J835" t="s">
        <v>3166</v>
      </c>
      <c r="K835" t="s">
        <v>1446</v>
      </c>
      <c r="L835" t="s">
        <v>1389</v>
      </c>
    </row>
    <row r="836" spans="1:12">
      <c r="A836" t="s">
        <v>1440</v>
      </c>
      <c r="B836" t="s">
        <v>1441</v>
      </c>
      <c r="C836" t="s">
        <v>3168</v>
      </c>
      <c r="D836" t="s">
        <v>1443</v>
      </c>
      <c r="E836" t="s">
        <v>3169</v>
      </c>
      <c r="F836" t="s">
        <v>3170</v>
      </c>
      <c r="J836" t="s">
        <v>3169</v>
      </c>
      <c r="K836" t="s">
        <v>1446</v>
      </c>
      <c r="L836" t="s">
        <v>1389</v>
      </c>
    </row>
    <row r="837" spans="1:12">
      <c r="A837" t="s">
        <v>1440</v>
      </c>
      <c r="B837" t="s">
        <v>1441</v>
      </c>
      <c r="C837" t="s">
        <v>3171</v>
      </c>
      <c r="D837" t="s">
        <v>1443</v>
      </c>
      <c r="E837" t="s">
        <v>3172</v>
      </c>
      <c r="F837" t="s">
        <v>3173</v>
      </c>
      <c r="J837" t="s">
        <v>3172</v>
      </c>
      <c r="K837" t="s">
        <v>1446</v>
      </c>
      <c r="L837" t="s">
        <v>1389</v>
      </c>
    </row>
    <row r="838" spans="1:12">
      <c r="A838" t="s">
        <v>1440</v>
      </c>
      <c r="B838" t="s">
        <v>1441</v>
      </c>
      <c r="C838" t="s">
        <v>3174</v>
      </c>
      <c r="D838" t="s">
        <v>1443</v>
      </c>
      <c r="E838" t="s">
        <v>3175</v>
      </c>
      <c r="F838" t="s">
        <v>3176</v>
      </c>
      <c r="J838" t="s">
        <v>3175</v>
      </c>
      <c r="K838" t="s">
        <v>1446</v>
      </c>
      <c r="L838" t="s">
        <v>1389</v>
      </c>
    </row>
    <row r="839" spans="1:12">
      <c r="A839" t="s">
        <v>1440</v>
      </c>
      <c r="B839" t="s">
        <v>1441</v>
      </c>
      <c r="C839" t="s">
        <v>3177</v>
      </c>
      <c r="D839" t="s">
        <v>1443</v>
      </c>
      <c r="E839" t="s">
        <v>3178</v>
      </c>
      <c r="F839" t="s">
        <v>3179</v>
      </c>
      <c r="J839" t="s">
        <v>3178</v>
      </c>
      <c r="K839" t="s">
        <v>1446</v>
      </c>
      <c r="L839" t="s">
        <v>1389</v>
      </c>
    </row>
    <row r="840" spans="1:12">
      <c r="A840" t="s">
        <v>1440</v>
      </c>
      <c r="B840" t="s">
        <v>1441</v>
      </c>
      <c r="C840" t="s">
        <v>3180</v>
      </c>
      <c r="D840" t="s">
        <v>1443</v>
      </c>
      <c r="E840" t="s">
        <v>3181</v>
      </c>
      <c r="F840" t="s">
        <v>3182</v>
      </c>
      <c r="J840" t="s">
        <v>3181</v>
      </c>
      <c r="K840" t="s">
        <v>1446</v>
      </c>
      <c r="L840" t="s">
        <v>1389</v>
      </c>
    </row>
    <row r="841" spans="1:12">
      <c r="A841" t="s">
        <v>1440</v>
      </c>
      <c r="B841" t="s">
        <v>1441</v>
      </c>
      <c r="C841" t="s">
        <v>3183</v>
      </c>
      <c r="D841" t="s">
        <v>1443</v>
      </c>
      <c r="E841" t="s">
        <v>3184</v>
      </c>
      <c r="F841" t="s">
        <v>3185</v>
      </c>
      <c r="J841" t="s">
        <v>3184</v>
      </c>
      <c r="K841" t="s">
        <v>1446</v>
      </c>
      <c r="L841" t="s">
        <v>1389</v>
      </c>
    </row>
    <row r="842" spans="1:12">
      <c r="A842" t="s">
        <v>1440</v>
      </c>
      <c r="B842" t="s">
        <v>1441</v>
      </c>
      <c r="C842" t="s">
        <v>3186</v>
      </c>
      <c r="D842" t="s">
        <v>1443</v>
      </c>
      <c r="E842" t="s">
        <v>3187</v>
      </c>
      <c r="F842" t="s">
        <v>3188</v>
      </c>
      <c r="J842" t="s">
        <v>3187</v>
      </c>
      <c r="K842" t="s">
        <v>1446</v>
      </c>
      <c r="L842" t="s">
        <v>1389</v>
      </c>
    </row>
    <row r="843" spans="1:12">
      <c r="A843" t="s">
        <v>1440</v>
      </c>
      <c r="B843" t="s">
        <v>1441</v>
      </c>
      <c r="C843" t="s">
        <v>3189</v>
      </c>
      <c r="D843" t="s">
        <v>1443</v>
      </c>
      <c r="E843" t="s">
        <v>3190</v>
      </c>
      <c r="F843" t="s">
        <v>3191</v>
      </c>
      <c r="J843" t="s">
        <v>3190</v>
      </c>
      <c r="K843" t="s">
        <v>1446</v>
      </c>
      <c r="L843" t="s">
        <v>1389</v>
      </c>
    </row>
    <row r="844" spans="1:12">
      <c r="A844" t="s">
        <v>1440</v>
      </c>
      <c r="B844" t="s">
        <v>1441</v>
      </c>
      <c r="C844" t="s">
        <v>3192</v>
      </c>
      <c r="D844" t="s">
        <v>1443</v>
      </c>
      <c r="E844" t="s">
        <v>3193</v>
      </c>
      <c r="F844" t="s">
        <v>3194</v>
      </c>
      <c r="J844" t="s">
        <v>3193</v>
      </c>
      <c r="K844" t="s">
        <v>1446</v>
      </c>
      <c r="L844" t="s">
        <v>1389</v>
      </c>
    </row>
    <row r="845" spans="1:12">
      <c r="A845" t="s">
        <v>1440</v>
      </c>
      <c r="B845" t="s">
        <v>1441</v>
      </c>
      <c r="C845" t="s">
        <v>3195</v>
      </c>
      <c r="D845" t="s">
        <v>1443</v>
      </c>
      <c r="E845" t="s">
        <v>3196</v>
      </c>
      <c r="F845" t="s">
        <v>3197</v>
      </c>
      <c r="J845" t="s">
        <v>3196</v>
      </c>
      <c r="K845" t="s">
        <v>1446</v>
      </c>
      <c r="L845" t="s">
        <v>1389</v>
      </c>
    </row>
    <row r="846" spans="1:12">
      <c r="A846" t="s">
        <v>1440</v>
      </c>
      <c r="B846" t="s">
        <v>1441</v>
      </c>
      <c r="C846" t="s">
        <v>3198</v>
      </c>
      <c r="D846" t="s">
        <v>1443</v>
      </c>
      <c r="E846" t="s">
        <v>3199</v>
      </c>
      <c r="F846" t="s">
        <v>3200</v>
      </c>
    </row>
    <row r="847" spans="1:12">
      <c r="A847" t="s">
        <v>1440</v>
      </c>
      <c r="B847" t="s">
        <v>1441</v>
      </c>
      <c r="C847" t="s">
        <v>3201</v>
      </c>
      <c r="D847" t="s">
        <v>1443</v>
      </c>
      <c r="E847" t="s">
        <v>3202</v>
      </c>
      <c r="F847" t="s">
        <v>3203</v>
      </c>
      <c r="J847" t="s">
        <v>3202</v>
      </c>
      <c r="K847" t="s">
        <v>1446</v>
      </c>
      <c r="L847" t="s">
        <v>1389</v>
      </c>
    </row>
    <row r="848" spans="1:12">
      <c r="A848" t="s">
        <v>1440</v>
      </c>
      <c r="B848" t="s">
        <v>1441</v>
      </c>
      <c r="C848" t="s">
        <v>3204</v>
      </c>
      <c r="D848" t="s">
        <v>1443</v>
      </c>
      <c r="E848" t="s">
        <v>3205</v>
      </c>
      <c r="F848" t="s">
        <v>3206</v>
      </c>
      <c r="J848" t="s">
        <v>3205</v>
      </c>
      <c r="K848" t="s">
        <v>1446</v>
      </c>
      <c r="L848" t="s">
        <v>1389</v>
      </c>
    </row>
    <row r="849" spans="1:12">
      <c r="A849" t="s">
        <v>1440</v>
      </c>
      <c r="B849" t="s">
        <v>1441</v>
      </c>
      <c r="C849" t="s">
        <v>3207</v>
      </c>
      <c r="D849" t="s">
        <v>1443</v>
      </c>
      <c r="E849" t="s">
        <v>3208</v>
      </c>
      <c r="F849" t="s">
        <v>3209</v>
      </c>
      <c r="J849" t="s">
        <v>3208</v>
      </c>
      <c r="K849" t="s">
        <v>1446</v>
      </c>
      <c r="L849" t="s">
        <v>1389</v>
      </c>
    </row>
    <row r="850" spans="1:12">
      <c r="A850" t="s">
        <v>1440</v>
      </c>
      <c r="B850" t="s">
        <v>1441</v>
      </c>
      <c r="C850" t="s">
        <v>3210</v>
      </c>
      <c r="D850" t="s">
        <v>1443</v>
      </c>
      <c r="E850" t="s">
        <v>3211</v>
      </c>
      <c r="F850" t="s">
        <v>3212</v>
      </c>
      <c r="J850" t="s">
        <v>3211</v>
      </c>
      <c r="K850" t="s">
        <v>1446</v>
      </c>
      <c r="L850" t="s">
        <v>1389</v>
      </c>
    </row>
    <row r="851" spans="1:12">
      <c r="A851" t="s">
        <v>1440</v>
      </c>
      <c r="B851" t="s">
        <v>1441</v>
      </c>
      <c r="C851" t="s">
        <v>3213</v>
      </c>
      <c r="D851" t="s">
        <v>1443</v>
      </c>
      <c r="E851" t="s">
        <v>3214</v>
      </c>
      <c r="F851" t="s">
        <v>3215</v>
      </c>
      <c r="J851" t="s">
        <v>3214</v>
      </c>
      <c r="K851" t="s">
        <v>1446</v>
      </c>
      <c r="L851" t="s">
        <v>1389</v>
      </c>
    </row>
    <row r="852" spans="1:12">
      <c r="A852" t="s">
        <v>1440</v>
      </c>
      <c r="B852" t="s">
        <v>1441</v>
      </c>
      <c r="C852" t="s">
        <v>3216</v>
      </c>
      <c r="D852" t="s">
        <v>1443</v>
      </c>
      <c r="E852" t="s">
        <v>655</v>
      </c>
      <c r="F852" t="s">
        <v>656</v>
      </c>
    </row>
    <row r="853" spans="1:12">
      <c r="A853" t="s">
        <v>1440</v>
      </c>
      <c r="B853" t="s">
        <v>1441</v>
      </c>
      <c r="D853" t="s">
        <v>1443</v>
      </c>
      <c r="F853" t="s">
        <v>3217</v>
      </c>
      <c r="J853" t="s">
        <v>3218</v>
      </c>
      <c r="K853" t="s">
        <v>1446</v>
      </c>
      <c r="L853" t="s">
        <v>1389</v>
      </c>
    </row>
    <row r="854" spans="1:12">
      <c r="A854" t="s">
        <v>1440</v>
      </c>
      <c r="B854" t="s">
        <v>1441</v>
      </c>
      <c r="D854" t="s">
        <v>1443</v>
      </c>
      <c r="F854" t="s">
        <v>3219</v>
      </c>
      <c r="J854" t="s">
        <v>3220</v>
      </c>
      <c r="K854" t="s">
        <v>1446</v>
      </c>
      <c r="L854" t="s">
        <v>1389</v>
      </c>
    </row>
    <row r="855" spans="1:12">
      <c r="A855" t="s">
        <v>3221</v>
      </c>
      <c r="B855" t="s">
        <v>3222</v>
      </c>
      <c r="C855" t="s">
        <v>3223</v>
      </c>
      <c r="D855" t="s">
        <v>3224</v>
      </c>
      <c r="E855" t="s">
        <v>3225</v>
      </c>
      <c r="F855" t="s">
        <v>3221</v>
      </c>
      <c r="J855" t="s">
        <v>3225</v>
      </c>
      <c r="K855" t="s">
        <v>871</v>
      </c>
      <c r="L855" t="s">
        <v>814</v>
      </c>
    </row>
    <row r="856" spans="1:12">
      <c r="A856" t="s">
        <v>3221</v>
      </c>
      <c r="B856" t="s">
        <v>3222</v>
      </c>
      <c r="C856" t="s">
        <v>3226</v>
      </c>
      <c r="D856" t="s">
        <v>3224</v>
      </c>
      <c r="E856" t="s">
        <v>3227</v>
      </c>
      <c r="F856" t="s">
        <v>3228</v>
      </c>
    </row>
    <row r="857" spans="1:12">
      <c r="A857" t="s">
        <v>3221</v>
      </c>
      <c r="B857" t="s">
        <v>3222</v>
      </c>
      <c r="C857" t="s">
        <v>3229</v>
      </c>
      <c r="D857" t="s">
        <v>3224</v>
      </c>
      <c r="E857" t="s">
        <v>1645</v>
      </c>
      <c r="F857" t="s">
        <v>3230</v>
      </c>
    </row>
    <row r="858" spans="1:12">
      <c r="A858" t="s">
        <v>3221</v>
      </c>
      <c r="B858" t="s">
        <v>3222</v>
      </c>
      <c r="C858" t="s">
        <v>3231</v>
      </c>
      <c r="D858" t="s">
        <v>3224</v>
      </c>
      <c r="E858" t="s">
        <v>3232</v>
      </c>
      <c r="F858" t="s">
        <v>3233</v>
      </c>
    </row>
    <row r="859" spans="1:12">
      <c r="A859" t="s">
        <v>3221</v>
      </c>
      <c r="B859" t="s">
        <v>3222</v>
      </c>
      <c r="C859" t="s">
        <v>3234</v>
      </c>
      <c r="D859" t="s">
        <v>3224</v>
      </c>
      <c r="E859" t="s">
        <v>3235</v>
      </c>
      <c r="F859" t="s">
        <v>3236</v>
      </c>
    </row>
    <row r="860" spans="1:12">
      <c r="A860" t="s">
        <v>3221</v>
      </c>
      <c r="B860" t="s">
        <v>3222</v>
      </c>
      <c r="C860" t="s">
        <v>3237</v>
      </c>
      <c r="D860" t="s">
        <v>3224</v>
      </c>
      <c r="E860" t="s">
        <v>3238</v>
      </c>
      <c r="F860" t="s">
        <v>3239</v>
      </c>
    </row>
    <row r="861" spans="1:12">
      <c r="A861" t="s">
        <v>3221</v>
      </c>
      <c r="B861" t="s">
        <v>3222</v>
      </c>
      <c r="C861" t="s">
        <v>3240</v>
      </c>
      <c r="D861" t="s">
        <v>3224</v>
      </c>
      <c r="E861" t="s">
        <v>655</v>
      </c>
      <c r="F861" t="s">
        <v>656</v>
      </c>
    </row>
    <row r="862" spans="1:12">
      <c r="A862" t="s">
        <v>3241</v>
      </c>
      <c r="B862" t="s">
        <v>3242</v>
      </c>
      <c r="C862" t="s">
        <v>3243</v>
      </c>
      <c r="D862" t="s">
        <v>3244</v>
      </c>
      <c r="E862" t="s">
        <v>3245</v>
      </c>
      <c r="F862" t="s">
        <v>3246</v>
      </c>
      <c r="J862" t="s">
        <v>3245</v>
      </c>
      <c r="K862" t="s">
        <v>3247</v>
      </c>
      <c r="L862" t="s">
        <v>863</v>
      </c>
    </row>
    <row r="863" spans="1:12">
      <c r="A863" t="s">
        <v>3241</v>
      </c>
      <c r="B863" t="s">
        <v>3242</v>
      </c>
      <c r="C863" t="s">
        <v>3248</v>
      </c>
      <c r="D863" t="s">
        <v>3244</v>
      </c>
      <c r="E863" t="s">
        <v>655</v>
      </c>
      <c r="F863" t="s">
        <v>656</v>
      </c>
    </row>
    <row r="864" spans="1:12">
      <c r="A864" t="s">
        <v>3241</v>
      </c>
      <c r="B864" t="s">
        <v>3242</v>
      </c>
      <c r="D864" t="s">
        <v>3244</v>
      </c>
      <c r="F864" t="s">
        <v>3249</v>
      </c>
      <c r="J864" t="s">
        <v>3250</v>
      </c>
      <c r="K864" t="s">
        <v>3247</v>
      </c>
      <c r="L864" t="s">
        <v>863</v>
      </c>
    </row>
    <row r="865" spans="1:12">
      <c r="A865" t="s">
        <v>3251</v>
      </c>
      <c r="B865" t="s">
        <v>3252</v>
      </c>
      <c r="C865" t="s">
        <v>3253</v>
      </c>
      <c r="D865" t="s">
        <v>3254</v>
      </c>
      <c r="E865" t="s">
        <v>3255</v>
      </c>
      <c r="F865" t="s">
        <v>3256</v>
      </c>
      <c r="J865" t="s">
        <v>3255</v>
      </c>
      <c r="K865" t="s">
        <v>3257</v>
      </c>
      <c r="L865" t="s">
        <v>851</v>
      </c>
    </row>
    <row r="866" spans="1:12">
      <c r="A866" t="s">
        <v>3251</v>
      </c>
      <c r="B866" t="s">
        <v>3252</v>
      </c>
      <c r="C866" t="s">
        <v>3258</v>
      </c>
      <c r="D866" t="s">
        <v>3254</v>
      </c>
      <c r="E866" t="s">
        <v>3259</v>
      </c>
      <c r="F866" t="s">
        <v>3260</v>
      </c>
      <c r="J866" t="s">
        <v>3259</v>
      </c>
      <c r="K866" t="s">
        <v>3257</v>
      </c>
      <c r="L866" t="s">
        <v>851</v>
      </c>
    </row>
    <row r="867" spans="1:12">
      <c r="A867" t="s">
        <v>3251</v>
      </c>
      <c r="B867" t="s">
        <v>3252</v>
      </c>
      <c r="C867" t="s">
        <v>3261</v>
      </c>
      <c r="D867" t="s">
        <v>3254</v>
      </c>
      <c r="E867" t="s">
        <v>655</v>
      </c>
      <c r="F867" t="s">
        <v>656</v>
      </c>
    </row>
    <row r="868" spans="1:12">
      <c r="A868" t="s">
        <v>3262</v>
      </c>
      <c r="B868" t="s">
        <v>3263</v>
      </c>
      <c r="C868" t="s">
        <v>3264</v>
      </c>
      <c r="D868" t="s">
        <v>3265</v>
      </c>
      <c r="E868" t="s">
        <v>3266</v>
      </c>
      <c r="F868" t="s">
        <v>3267</v>
      </c>
      <c r="J868" t="s">
        <v>3266</v>
      </c>
      <c r="K868" t="s">
        <v>3268</v>
      </c>
      <c r="L868" t="s">
        <v>814</v>
      </c>
    </row>
    <row r="869" spans="1:12">
      <c r="A869" t="s">
        <v>3262</v>
      </c>
      <c r="B869" t="s">
        <v>3263</v>
      </c>
      <c r="C869" t="s">
        <v>3269</v>
      </c>
      <c r="D869" t="s">
        <v>3265</v>
      </c>
      <c r="E869" t="s">
        <v>655</v>
      </c>
      <c r="F869" t="s">
        <v>656</v>
      </c>
    </row>
    <row r="870" spans="1:12">
      <c r="A870" t="s">
        <v>3270</v>
      </c>
      <c r="B870" t="s">
        <v>3271</v>
      </c>
      <c r="C870" t="s">
        <v>3272</v>
      </c>
      <c r="D870" t="s">
        <v>3273</v>
      </c>
      <c r="E870" t="s">
        <v>3274</v>
      </c>
      <c r="F870" t="s">
        <v>3275</v>
      </c>
      <c r="J870" t="s">
        <v>3274</v>
      </c>
      <c r="K870" t="s">
        <v>3276</v>
      </c>
      <c r="L870" t="s">
        <v>725</v>
      </c>
    </row>
    <row r="871" spans="1:12">
      <c r="A871" t="s">
        <v>3270</v>
      </c>
      <c r="B871" t="s">
        <v>3271</v>
      </c>
      <c r="C871" t="s">
        <v>3277</v>
      </c>
      <c r="D871" t="s">
        <v>3273</v>
      </c>
      <c r="E871" t="s">
        <v>3278</v>
      </c>
      <c r="F871" t="s">
        <v>3279</v>
      </c>
      <c r="J871" t="s">
        <v>3278</v>
      </c>
      <c r="K871" t="s">
        <v>3276</v>
      </c>
      <c r="L871" t="s">
        <v>725</v>
      </c>
    </row>
    <row r="872" spans="1:12">
      <c r="A872" t="s">
        <v>3270</v>
      </c>
      <c r="B872" t="s">
        <v>3271</v>
      </c>
      <c r="C872" t="s">
        <v>3280</v>
      </c>
      <c r="D872" t="s">
        <v>3273</v>
      </c>
      <c r="E872" t="s">
        <v>3281</v>
      </c>
      <c r="F872" t="s">
        <v>3282</v>
      </c>
    </row>
    <row r="873" spans="1:12">
      <c r="A873" t="s">
        <v>3270</v>
      </c>
      <c r="B873" t="s">
        <v>3271</v>
      </c>
      <c r="C873" t="s">
        <v>3283</v>
      </c>
      <c r="D873" t="s">
        <v>3273</v>
      </c>
      <c r="E873" t="s">
        <v>3284</v>
      </c>
      <c r="F873" t="s">
        <v>3285</v>
      </c>
      <c r="J873" t="s">
        <v>3284</v>
      </c>
      <c r="K873" t="s">
        <v>3276</v>
      </c>
      <c r="L873" t="s">
        <v>725</v>
      </c>
    </row>
    <row r="874" spans="1:12">
      <c r="A874" t="s">
        <v>3270</v>
      </c>
      <c r="B874" t="s">
        <v>3271</v>
      </c>
      <c r="C874" t="s">
        <v>3286</v>
      </c>
      <c r="D874" t="s">
        <v>3273</v>
      </c>
      <c r="E874" t="s">
        <v>3287</v>
      </c>
      <c r="F874" t="s">
        <v>3288</v>
      </c>
      <c r="J874" t="s">
        <v>3287</v>
      </c>
      <c r="K874" t="s">
        <v>3276</v>
      </c>
      <c r="L874" t="s">
        <v>725</v>
      </c>
    </row>
    <row r="875" spans="1:12">
      <c r="A875" t="s">
        <v>3270</v>
      </c>
      <c r="B875" t="s">
        <v>3271</v>
      </c>
      <c r="C875" t="s">
        <v>3289</v>
      </c>
      <c r="D875" t="s">
        <v>3273</v>
      </c>
      <c r="E875" t="s">
        <v>3290</v>
      </c>
      <c r="F875" t="s">
        <v>3291</v>
      </c>
      <c r="J875" t="s">
        <v>3290</v>
      </c>
      <c r="K875" t="s">
        <v>3276</v>
      </c>
      <c r="L875" t="s">
        <v>725</v>
      </c>
    </row>
    <row r="876" spans="1:12">
      <c r="A876" t="s">
        <v>3270</v>
      </c>
      <c r="B876" t="s">
        <v>3271</v>
      </c>
      <c r="C876" t="s">
        <v>3292</v>
      </c>
      <c r="D876" t="s">
        <v>3273</v>
      </c>
      <c r="E876" t="s">
        <v>3293</v>
      </c>
      <c r="F876" t="s">
        <v>3294</v>
      </c>
      <c r="J876" t="s">
        <v>3293</v>
      </c>
      <c r="K876" t="s">
        <v>3276</v>
      </c>
      <c r="L876" t="s">
        <v>725</v>
      </c>
    </row>
    <row r="877" spans="1:12">
      <c r="A877" t="s">
        <v>3270</v>
      </c>
      <c r="B877" t="s">
        <v>3271</v>
      </c>
      <c r="C877" t="s">
        <v>3295</v>
      </c>
      <c r="D877" t="s">
        <v>3273</v>
      </c>
      <c r="E877" t="s">
        <v>3296</v>
      </c>
      <c r="F877" t="s">
        <v>3297</v>
      </c>
      <c r="J877" t="s">
        <v>3296</v>
      </c>
      <c r="K877" t="s">
        <v>3276</v>
      </c>
      <c r="L877" t="s">
        <v>725</v>
      </c>
    </row>
    <row r="878" spans="1:12">
      <c r="A878" t="s">
        <v>3270</v>
      </c>
      <c r="B878" t="s">
        <v>3271</v>
      </c>
      <c r="C878" t="s">
        <v>3298</v>
      </c>
      <c r="D878" t="s">
        <v>3273</v>
      </c>
      <c r="E878" t="s">
        <v>3299</v>
      </c>
      <c r="F878" t="s">
        <v>3300</v>
      </c>
      <c r="J878" t="s">
        <v>3299</v>
      </c>
      <c r="K878" t="s">
        <v>3276</v>
      </c>
      <c r="L878" t="s">
        <v>725</v>
      </c>
    </row>
    <row r="879" spans="1:12">
      <c r="A879" t="s">
        <v>3270</v>
      </c>
      <c r="B879" t="s">
        <v>3271</v>
      </c>
      <c r="C879" t="s">
        <v>3301</v>
      </c>
      <c r="D879" t="s">
        <v>3273</v>
      </c>
      <c r="E879" t="s">
        <v>3302</v>
      </c>
      <c r="F879" t="s">
        <v>3303</v>
      </c>
    </row>
    <row r="880" spans="1:12">
      <c r="A880" t="s">
        <v>3270</v>
      </c>
      <c r="B880" t="s">
        <v>3271</v>
      </c>
      <c r="C880" t="s">
        <v>3304</v>
      </c>
      <c r="D880" t="s">
        <v>3273</v>
      </c>
      <c r="E880" t="s">
        <v>3305</v>
      </c>
      <c r="F880" t="s">
        <v>3306</v>
      </c>
    </row>
    <row r="881" spans="1:12">
      <c r="A881" t="s">
        <v>3270</v>
      </c>
      <c r="B881" t="s">
        <v>3271</v>
      </c>
      <c r="C881" t="s">
        <v>3307</v>
      </c>
      <c r="D881" t="s">
        <v>3273</v>
      </c>
      <c r="E881" t="s">
        <v>3308</v>
      </c>
      <c r="F881" t="s">
        <v>3309</v>
      </c>
    </row>
    <row r="882" spans="1:12">
      <c r="A882" t="s">
        <v>3270</v>
      </c>
      <c r="B882" t="s">
        <v>3271</v>
      </c>
      <c r="C882" t="s">
        <v>3310</v>
      </c>
      <c r="D882" t="s">
        <v>3273</v>
      </c>
      <c r="E882" t="s">
        <v>3311</v>
      </c>
      <c r="F882" t="s">
        <v>3312</v>
      </c>
      <c r="J882" t="s">
        <v>3311</v>
      </c>
      <c r="K882" t="s">
        <v>3276</v>
      </c>
      <c r="L882" t="s">
        <v>725</v>
      </c>
    </row>
    <row r="883" spans="1:12">
      <c r="A883" t="s">
        <v>3270</v>
      </c>
      <c r="B883" t="s">
        <v>3271</v>
      </c>
      <c r="C883" t="s">
        <v>3313</v>
      </c>
      <c r="D883" t="s">
        <v>3273</v>
      </c>
      <c r="E883" t="s">
        <v>3314</v>
      </c>
      <c r="F883" t="s">
        <v>3315</v>
      </c>
      <c r="J883" t="s">
        <v>3314</v>
      </c>
      <c r="K883" t="s">
        <v>3276</v>
      </c>
      <c r="L883" t="s">
        <v>725</v>
      </c>
    </row>
    <row r="884" spans="1:12">
      <c r="A884" t="s">
        <v>3270</v>
      </c>
      <c r="B884" t="s">
        <v>3271</v>
      </c>
      <c r="C884" t="s">
        <v>3316</v>
      </c>
      <c r="D884" t="s">
        <v>3273</v>
      </c>
      <c r="E884" t="s">
        <v>3317</v>
      </c>
      <c r="F884" t="s">
        <v>3318</v>
      </c>
      <c r="J884" t="s">
        <v>3317</v>
      </c>
      <c r="K884" t="s">
        <v>3276</v>
      </c>
      <c r="L884" t="s">
        <v>725</v>
      </c>
    </row>
    <row r="885" spans="1:12">
      <c r="A885" t="s">
        <v>3270</v>
      </c>
      <c r="B885" t="s">
        <v>3271</v>
      </c>
      <c r="C885" t="s">
        <v>3319</v>
      </c>
      <c r="D885" t="s">
        <v>3273</v>
      </c>
      <c r="E885" t="s">
        <v>3320</v>
      </c>
      <c r="F885" t="s">
        <v>3321</v>
      </c>
      <c r="J885" t="s">
        <v>3320</v>
      </c>
      <c r="K885" t="s">
        <v>3276</v>
      </c>
      <c r="L885" t="s">
        <v>725</v>
      </c>
    </row>
    <row r="886" spans="1:12">
      <c r="A886" t="s">
        <v>3270</v>
      </c>
      <c r="B886" t="s">
        <v>3271</v>
      </c>
      <c r="C886" t="s">
        <v>3322</v>
      </c>
      <c r="D886" t="s">
        <v>3273</v>
      </c>
      <c r="E886" t="s">
        <v>1329</v>
      </c>
      <c r="F886" t="s">
        <v>3323</v>
      </c>
      <c r="J886" t="s">
        <v>1329</v>
      </c>
      <c r="K886" t="s">
        <v>3276</v>
      </c>
      <c r="L886" t="s">
        <v>725</v>
      </c>
    </row>
    <row r="887" spans="1:12">
      <c r="A887" t="s">
        <v>3270</v>
      </c>
      <c r="B887" t="s">
        <v>3271</v>
      </c>
      <c r="C887" t="s">
        <v>3324</v>
      </c>
      <c r="D887" t="s">
        <v>3273</v>
      </c>
      <c r="E887" t="s">
        <v>3325</v>
      </c>
      <c r="F887" t="s">
        <v>3326</v>
      </c>
      <c r="J887" t="s">
        <v>3325</v>
      </c>
      <c r="K887" t="s">
        <v>3276</v>
      </c>
      <c r="L887" t="s">
        <v>725</v>
      </c>
    </row>
    <row r="888" spans="1:12">
      <c r="A888" t="s">
        <v>3270</v>
      </c>
      <c r="B888" t="s">
        <v>3271</v>
      </c>
      <c r="C888" t="s">
        <v>3327</v>
      </c>
      <c r="D888" t="s">
        <v>3273</v>
      </c>
      <c r="E888" t="s">
        <v>3328</v>
      </c>
      <c r="F888" t="s">
        <v>3329</v>
      </c>
      <c r="J888" t="s">
        <v>3328</v>
      </c>
      <c r="K888" t="s">
        <v>3276</v>
      </c>
      <c r="L888" t="s">
        <v>725</v>
      </c>
    </row>
    <row r="889" spans="1:12">
      <c r="A889" t="s">
        <v>3270</v>
      </c>
      <c r="B889" t="s">
        <v>3271</v>
      </c>
      <c r="C889" t="s">
        <v>3330</v>
      </c>
      <c r="D889" t="s">
        <v>3273</v>
      </c>
      <c r="E889" t="s">
        <v>3331</v>
      </c>
      <c r="F889" t="s">
        <v>3332</v>
      </c>
      <c r="J889" t="s">
        <v>3331</v>
      </c>
      <c r="K889" t="s">
        <v>3276</v>
      </c>
      <c r="L889" t="s">
        <v>725</v>
      </c>
    </row>
    <row r="890" spans="1:12">
      <c r="A890" t="s">
        <v>3270</v>
      </c>
      <c r="B890" t="s">
        <v>3271</v>
      </c>
      <c r="C890" t="s">
        <v>3333</v>
      </c>
      <c r="D890" t="s">
        <v>3273</v>
      </c>
      <c r="E890" t="s">
        <v>655</v>
      </c>
      <c r="F890" t="s">
        <v>656</v>
      </c>
    </row>
    <row r="891" spans="1:12">
      <c r="A891" t="s">
        <v>3334</v>
      </c>
      <c r="B891" t="s">
        <v>3335</v>
      </c>
      <c r="C891" t="s">
        <v>3336</v>
      </c>
      <c r="D891" t="s">
        <v>3337</v>
      </c>
      <c r="E891" t="s">
        <v>3338</v>
      </c>
      <c r="F891" t="s">
        <v>3339</v>
      </c>
      <c r="J891" t="s">
        <v>3338</v>
      </c>
      <c r="K891" t="s">
        <v>3340</v>
      </c>
      <c r="L891" t="s">
        <v>851</v>
      </c>
    </row>
    <row r="892" spans="1:12">
      <c r="A892" t="s">
        <v>3334</v>
      </c>
      <c r="B892" t="s">
        <v>3335</v>
      </c>
      <c r="C892" t="s">
        <v>3341</v>
      </c>
      <c r="D892" t="s">
        <v>3337</v>
      </c>
      <c r="E892" t="s">
        <v>3342</v>
      </c>
      <c r="F892" t="s">
        <v>3343</v>
      </c>
    </row>
    <row r="893" spans="1:12">
      <c r="A893" t="s">
        <v>3334</v>
      </c>
      <c r="B893" t="s">
        <v>3335</v>
      </c>
      <c r="C893" t="s">
        <v>3344</v>
      </c>
      <c r="D893" t="s">
        <v>3337</v>
      </c>
      <c r="E893" t="s">
        <v>3345</v>
      </c>
      <c r="F893" t="s">
        <v>3346</v>
      </c>
      <c r="J893" t="s">
        <v>3345</v>
      </c>
      <c r="K893" t="s">
        <v>3340</v>
      </c>
      <c r="L893" t="s">
        <v>851</v>
      </c>
    </row>
    <row r="894" spans="1:12">
      <c r="A894" t="s">
        <v>3334</v>
      </c>
      <c r="B894" t="s">
        <v>3335</v>
      </c>
      <c r="C894" t="s">
        <v>3347</v>
      </c>
      <c r="D894" t="s">
        <v>3337</v>
      </c>
      <c r="E894" t="s">
        <v>3348</v>
      </c>
      <c r="F894" t="s">
        <v>3349</v>
      </c>
      <c r="J894" t="s">
        <v>3348</v>
      </c>
      <c r="K894" t="s">
        <v>3340</v>
      </c>
      <c r="L894" t="s">
        <v>851</v>
      </c>
    </row>
    <row r="895" spans="1:12">
      <c r="A895" t="s">
        <v>3334</v>
      </c>
      <c r="B895" t="s">
        <v>3335</v>
      </c>
      <c r="C895" t="s">
        <v>3350</v>
      </c>
      <c r="D895" t="s">
        <v>3337</v>
      </c>
      <c r="E895" t="s">
        <v>3351</v>
      </c>
      <c r="F895" t="s">
        <v>3352</v>
      </c>
    </row>
    <row r="896" spans="1:12">
      <c r="A896" t="s">
        <v>3334</v>
      </c>
      <c r="B896" t="s">
        <v>3335</v>
      </c>
      <c r="C896" t="s">
        <v>3353</v>
      </c>
      <c r="D896" t="s">
        <v>3337</v>
      </c>
      <c r="E896" t="s">
        <v>3354</v>
      </c>
      <c r="F896" t="s">
        <v>3355</v>
      </c>
    </row>
    <row r="897" spans="1:12">
      <c r="A897" t="s">
        <v>3334</v>
      </c>
      <c r="B897" t="s">
        <v>3335</v>
      </c>
      <c r="C897" t="s">
        <v>3356</v>
      </c>
      <c r="D897" t="s">
        <v>3337</v>
      </c>
      <c r="E897" t="s">
        <v>3357</v>
      </c>
      <c r="F897" t="s">
        <v>3358</v>
      </c>
      <c r="J897" t="s">
        <v>3357</v>
      </c>
      <c r="K897" t="s">
        <v>3340</v>
      </c>
      <c r="L897" t="s">
        <v>851</v>
      </c>
    </row>
    <row r="898" spans="1:12">
      <c r="A898" t="s">
        <v>3334</v>
      </c>
      <c r="B898" t="s">
        <v>3335</v>
      </c>
      <c r="C898" t="s">
        <v>3359</v>
      </c>
      <c r="D898" t="s">
        <v>3337</v>
      </c>
      <c r="E898" t="s">
        <v>3360</v>
      </c>
      <c r="F898" t="s">
        <v>3361</v>
      </c>
    </row>
    <row r="899" spans="1:12">
      <c r="A899" t="s">
        <v>3334</v>
      </c>
      <c r="B899" t="s">
        <v>3335</v>
      </c>
      <c r="C899" t="s">
        <v>3362</v>
      </c>
      <c r="D899" t="s">
        <v>3337</v>
      </c>
      <c r="E899" t="s">
        <v>3363</v>
      </c>
      <c r="F899" t="s">
        <v>3364</v>
      </c>
      <c r="J899" t="s">
        <v>3363</v>
      </c>
      <c r="K899" t="s">
        <v>3340</v>
      </c>
      <c r="L899" t="s">
        <v>851</v>
      </c>
    </row>
    <row r="900" spans="1:12">
      <c r="A900" t="s">
        <v>3334</v>
      </c>
      <c r="B900" t="s">
        <v>3335</v>
      </c>
      <c r="C900" t="s">
        <v>3365</v>
      </c>
      <c r="D900" t="s">
        <v>3337</v>
      </c>
      <c r="E900" t="s">
        <v>3366</v>
      </c>
      <c r="F900" t="s">
        <v>3367</v>
      </c>
    </row>
    <row r="901" spans="1:12">
      <c r="A901" t="s">
        <v>3334</v>
      </c>
      <c r="B901" t="s">
        <v>3335</v>
      </c>
      <c r="C901" t="s">
        <v>3368</v>
      </c>
      <c r="D901" t="s">
        <v>3337</v>
      </c>
      <c r="E901" t="s">
        <v>3369</v>
      </c>
      <c r="F901" t="s">
        <v>3370</v>
      </c>
    </row>
    <row r="902" spans="1:12">
      <c r="A902" t="s">
        <v>3334</v>
      </c>
      <c r="B902" t="s">
        <v>3335</v>
      </c>
      <c r="C902" t="s">
        <v>3371</v>
      </c>
      <c r="D902" t="s">
        <v>3337</v>
      </c>
      <c r="E902" t="s">
        <v>655</v>
      </c>
      <c r="F902" t="s">
        <v>656</v>
      </c>
    </row>
    <row r="903" spans="1:12">
      <c r="A903" t="s">
        <v>3372</v>
      </c>
      <c r="B903" t="s">
        <v>3373</v>
      </c>
      <c r="C903" t="s">
        <v>3374</v>
      </c>
      <c r="D903" t="s">
        <v>3375</v>
      </c>
      <c r="E903" t="s">
        <v>3376</v>
      </c>
      <c r="F903" t="s">
        <v>3377</v>
      </c>
      <c r="J903" t="s">
        <v>3376</v>
      </c>
      <c r="K903" t="s">
        <v>3378</v>
      </c>
      <c r="L903" t="s">
        <v>916</v>
      </c>
    </row>
    <row r="904" spans="1:12">
      <c r="A904" t="s">
        <v>3372</v>
      </c>
      <c r="B904" t="s">
        <v>3373</v>
      </c>
      <c r="C904" t="s">
        <v>3379</v>
      </c>
      <c r="D904" t="s">
        <v>3375</v>
      </c>
      <c r="E904" t="s">
        <v>3380</v>
      </c>
      <c r="F904" t="s">
        <v>3381</v>
      </c>
      <c r="J904" t="s">
        <v>3380</v>
      </c>
      <c r="K904" t="s">
        <v>3378</v>
      </c>
      <c r="L904" t="s">
        <v>916</v>
      </c>
    </row>
    <row r="905" spans="1:12">
      <c r="A905" t="s">
        <v>3372</v>
      </c>
      <c r="B905" t="s">
        <v>3373</v>
      </c>
      <c r="C905" t="s">
        <v>3382</v>
      </c>
      <c r="D905" t="s">
        <v>3375</v>
      </c>
      <c r="E905" t="s">
        <v>3383</v>
      </c>
      <c r="F905" t="s">
        <v>3384</v>
      </c>
      <c r="J905" t="s">
        <v>3383</v>
      </c>
      <c r="K905" t="s">
        <v>3378</v>
      </c>
      <c r="L905" t="s">
        <v>916</v>
      </c>
    </row>
    <row r="906" spans="1:12">
      <c r="A906" t="s">
        <v>3372</v>
      </c>
      <c r="B906" t="s">
        <v>3373</v>
      </c>
      <c r="C906" t="s">
        <v>3385</v>
      </c>
      <c r="D906" t="s">
        <v>3375</v>
      </c>
      <c r="E906" t="s">
        <v>3386</v>
      </c>
      <c r="F906" t="s">
        <v>3387</v>
      </c>
      <c r="J906" t="s">
        <v>3386</v>
      </c>
      <c r="K906" t="s">
        <v>3378</v>
      </c>
      <c r="L906" t="s">
        <v>916</v>
      </c>
    </row>
    <row r="907" spans="1:12">
      <c r="A907" t="s">
        <v>3372</v>
      </c>
      <c r="B907" t="s">
        <v>3373</v>
      </c>
      <c r="C907" t="s">
        <v>3388</v>
      </c>
      <c r="D907" t="s">
        <v>3375</v>
      </c>
      <c r="E907" t="s">
        <v>3389</v>
      </c>
      <c r="F907" t="s">
        <v>3390</v>
      </c>
      <c r="J907" t="s">
        <v>3389</v>
      </c>
      <c r="K907" t="s">
        <v>3378</v>
      </c>
      <c r="L907" t="s">
        <v>916</v>
      </c>
    </row>
    <row r="908" spans="1:12">
      <c r="A908" t="s">
        <v>3372</v>
      </c>
      <c r="B908" t="s">
        <v>3373</v>
      </c>
      <c r="C908" t="s">
        <v>3391</v>
      </c>
      <c r="D908" t="s">
        <v>3375</v>
      </c>
      <c r="E908" t="s">
        <v>3392</v>
      </c>
      <c r="F908" t="s">
        <v>3393</v>
      </c>
      <c r="J908" t="s">
        <v>3392</v>
      </c>
      <c r="K908" t="s">
        <v>3378</v>
      </c>
      <c r="L908" t="s">
        <v>916</v>
      </c>
    </row>
    <row r="909" spans="1:12">
      <c r="A909" t="s">
        <v>3372</v>
      </c>
      <c r="B909" t="s">
        <v>3373</v>
      </c>
      <c r="C909" t="s">
        <v>3394</v>
      </c>
      <c r="D909" t="s">
        <v>3375</v>
      </c>
      <c r="E909" t="s">
        <v>3395</v>
      </c>
      <c r="F909" t="s">
        <v>3396</v>
      </c>
      <c r="J909" t="s">
        <v>3395</v>
      </c>
      <c r="K909" t="s">
        <v>3378</v>
      </c>
      <c r="L909" t="s">
        <v>916</v>
      </c>
    </row>
    <row r="910" spans="1:12">
      <c r="A910" t="s">
        <v>3372</v>
      </c>
      <c r="B910" t="s">
        <v>3373</v>
      </c>
      <c r="C910" t="s">
        <v>3397</v>
      </c>
      <c r="D910" t="s">
        <v>3375</v>
      </c>
      <c r="E910" t="s">
        <v>3398</v>
      </c>
      <c r="F910" t="s">
        <v>3399</v>
      </c>
      <c r="J910" t="s">
        <v>3398</v>
      </c>
      <c r="K910" t="s">
        <v>3378</v>
      </c>
      <c r="L910" t="s">
        <v>916</v>
      </c>
    </row>
    <row r="911" spans="1:12">
      <c r="A911" t="s">
        <v>3372</v>
      </c>
      <c r="B911" t="s">
        <v>3373</v>
      </c>
      <c r="C911" t="s">
        <v>3400</v>
      </c>
      <c r="D911" t="s">
        <v>3375</v>
      </c>
      <c r="E911" t="s">
        <v>3401</v>
      </c>
      <c r="F911" t="s">
        <v>3402</v>
      </c>
      <c r="J911" t="s">
        <v>3401</v>
      </c>
      <c r="K911" t="s">
        <v>3378</v>
      </c>
      <c r="L911" t="s">
        <v>916</v>
      </c>
    </row>
    <row r="912" spans="1:12">
      <c r="A912" t="s">
        <v>3372</v>
      </c>
      <c r="B912" t="s">
        <v>3373</v>
      </c>
      <c r="C912" t="s">
        <v>3403</v>
      </c>
      <c r="D912" t="s">
        <v>3375</v>
      </c>
      <c r="E912" t="s">
        <v>3404</v>
      </c>
      <c r="F912" t="s">
        <v>3405</v>
      </c>
      <c r="J912" t="s">
        <v>3404</v>
      </c>
      <c r="K912" t="s">
        <v>3378</v>
      </c>
      <c r="L912" t="s">
        <v>916</v>
      </c>
    </row>
    <row r="913" spans="1:12">
      <c r="A913" t="s">
        <v>3372</v>
      </c>
      <c r="B913" t="s">
        <v>3373</v>
      </c>
      <c r="C913" t="s">
        <v>3406</v>
      </c>
      <c r="D913" t="s">
        <v>3375</v>
      </c>
      <c r="E913" t="s">
        <v>3407</v>
      </c>
      <c r="F913" t="s">
        <v>3408</v>
      </c>
      <c r="J913" t="s">
        <v>3407</v>
      </c>
      <c r="K913" t="s">
        <v>3378</v>
      </c>
      <c r="L913" t="s">
        <v>916</v>
      </c>
    </row>
    <row r="914" spans="1:12">
      <c r="A914" t="s">
        <v>3372</v>
      </c>
      <c r="B914" t="s">
        <v>3373</v>
      </c>
      <c r="C914" t="s">
        <v>3409</v>
      </c>
      <c r="D914" t="s">
        <v>3375</v>
      </c>
      <c r="E914" t="s">
        <v>3410</v>
      </c>
      <c r="F914" t="s">
        <v>3411</v>
      </c>
      <c r="J914" t="s">
        <v>3410</v>
      </c>
      <c r="K914" t="s">
        <v>3378</v>
      </c>
      <c r="L914" t="s">
        <v>916</v>
      </c>
    </row>
    <row r="915" spans="1:12">
      <c r="A915" t="s">
        <v>3372</v>
      </c>
      <c r="B915" t="s">
        <v>3373</v>
      </c>
      <c r="C915" t="s">
        <v>3412</v>
      </c>
      <c r="D915" t="s">
        <v>3375</v>
      </c>
      <c r="E915" t="s">
        <v>3413</v>
      </c>
      <c r="F915" t="s">
        <v>3414</v>
      </c>
      <c r="J915" t="s">
        <v>3413</v>
      </c>
      <c r="K915" t="s">
        <v>3378</v>
      </c>
      <c r="L915" t="s">
        <v>916</v>
      </c>
    </row>
    <row r="916" spans="1:12">
      <c r="A916" t="s">
        <v>3372</v>
      </c>
      <c r="B916" t="s">
        <v>3373</v>
      </c>
      <c r="C916" t="s">
        <v>3415</v>
      </c>
      <c r="D916" t="s">
        <v>3375</v>
      </c>
      <c r="E916" t="s">
        <v>3416</v>
      </c>
      <c r="F916" t="s">
        <v>3417</v>
      </c>
      <c r="J916" t="s">
        <v>3416</v>
      </c>
      <c r="K916" t="s">
        <v>3378</v>
      </c>
      <c r="L916" t="s">
        <v>916</v>
      </c>
    </row>
    <row r="917" spans="1:12">
      <c r="A917" t="s">
        <v>3372</v>
      </c>
      <c r="B917" t="s">
        <v>3373</v>
      </c>
      <c r="C917" t="s">
        <v>3418</v>
      </c>
      <c r="D917" t="s">
        <v>3375</v>
      </c>
      <c r="E917" t="s">
        <v>655</v>
      </c>
      <c r="F917" t="s">
        <v>656</v>
      </c>
    </row>
    <row r="918" spans="1:12">
      <c r="A918" t="s">
        <v>3372</v>
      </c>
      <c r="B918" t="s">
        <v>3373</v>
      </c>
      <c r="D918" t="s">
        <v>3375</v>
      </c>
      <c r="F918" t="s">
        <v>3419</v>
      </c>
      <c r="J918" t="s">
        <v>3420</v>
      </c>
      <c r="K918" t="s">
        <v>3378</v>
      </c>
      <c r="L918" t="s">
        <v>916</v>
      </c>
    </row>
    <row r="919" spans="1:12">
      <c r="A919" t="s">
        <v>3372</v>
      </c>
      <c r="B919" t="s">
        <v>3373</v>
      </c>
      <c r="D919" t="s">
        <v>3375</v>
      </c>
      <c r="F919" t="s">
        <v>3421</v>
      </c>
      <c r="J919" t="s">
        <v>3422</v>
      </c>
      <c r="K919" t="s">
        <v>3378</v>
      </c>
      <c r="L919" t="s">
        <v>916</v>
      </c>
    </row>
    <row r="920" spans="1:12">
      <c r="A920" t="s">
        <v>3372</v>
      </c>
      <c r="B920" t="s">
        <v>3373</v>
      </c>
      <c r="D920" t="s">
        <v>3375</v>
      </c>
      <c r="F920" t="s">
        <v>3423</v>
      </c>
      <c r="J920" t="s">
        <v>3424</v>
      </c>
      <c r="K920" t="s">
        <v>3378</v>
      </c>
      <c r="L920" t="s">
        <v>916</v>
      </c>
    </row>
    <row r="921" spans="1:12">
      <c r="A921" t="s">
        <v>3372</v>
      </c>
      <c r="B921" t="s">
        <v>3373</v>
      </c>
      <c r="D921" t="s">
        <v>3375</v>
      </c>
      <c r="F921" t="s">
        <v>3425</v>
      </c>
      <c r="J921" t="s">
        <v>3426</v>
      </c>
      <c r="K921" t="s">
        <v>3378</v>
      </c>
      <c r="L921" t="s">
        <v>916</v>
      </c>
    </row>
    <row r="922" spans="1:12">
      <c r="A922" t="s">
        <v>3372</v>
      </c>
      <c r="B922" t="s">
        <v>3373</v>
      </c>
      <c r="D922" t="s">
        <v>3375</v>
      </c>
      <c r="F922" t="s">
        <v>3427</v>
      </c>
      <c r="J922" t="s">
        <v>3428</v>
      </c>
      <c r="K922" t="s">
        <v>3378</v>
      </c>
      <c r="L922" t="s">
        <v>916</v>
      </c>
    </row>
    <row r="923" spans="1:12">
      <c r="A923" t="s">
        <v>3372</v>
      </c>
      <c r="B923" t="s">
        <v>3373</v>
      </c>
      <c r="D923" t="s">
        <v>3375</v>
      </c>
      <c r="F923" t="s">
        <v>3429</v>
      </c>
      <c r="J923" t="s">
        <v>3430</v>
      </c>
      <c r="K923" t="s">
        <v>3378</v>
      </c>
      <c r="L923" t="s">
        <v>916</v>
      </c>
    </row>
    <row r="924" spans="1:12">
      <c r="A924" t="s">
        <v>3372</v>
      </c>
      <c r="B924" t="s">
        <v>3373</v>
      </c>
      <c r="D924" t="s">
        <v>3375</v>
      </c>
      <c r="F924" t="s">
        <v>3431</v>
      </c>
      <c r="J924" t="s">
        <v>3432</v>
      </c>
      <c r="K924" t="s">
        <v>3378</v>
      </c>
      <c r="L924" t="s">
        <v>916</v>
      </c>
    </row>
    <row r="925" spans="1:12">
      <c r="A925" t="s">
        <v>3372</v>
      </c>
      <c r="B925" t="s">
        <v>3373</v>
      </c>
      <c r="D925" t="s">
        <v>3375</v>
      </c>
      <c r="F925" t="s">
        <v>3433</v>
      </c>
      <c r="J925" t="s">
        <v>3434</v>
      </c>
      <c r="K925" t="s">
        <v>3378</v>
      </c>
      <c r="L925" t="s">
        <v>916</v>
      </c>
    </row>
    <row r="926" spans="1:12">
      <c r="A926" t="s">
        <v>3372</v>
      </c>
      <c r="B926" t="s">
        <v>3373</v>
      </c>
      <c r="D926" t="s">
        <v>3375</v>
      </c>
      <c r="F926" t="s">
        <v>3435</v>
      </c>
      <c r="J926" t="s">
        <v>3436</v>
      </c>
      <c r="K926" t="s">
        <v>3378</v>
      </c>
      <c r="L926" t="s">
        <v>916</v>
      </c>
    </row>
    <row r="927" spans="1:12">
      <c r="A927" t="s">
        <v>3372</v>
      </c>
      <c r="B927" t="s">
        <v>3373</v>
      </c>
      <c r="D927" t="s">
        <v>3375</v>
      </c>
      <c r="F927" t="s">
        <v>3437</v>
      </c>
      <c r="J927" t="s">
        <v>3438</v>
      </c>
      <c r="K927" t="s">
        <v>3378</v>
      </c>
      <c r="L927" t="s">
        <v>916</v>
      </c>
    </row>
    <row r="928" spans="1:12">
      <c r="A928" t="s">
        <v>3372</v>
      </c>
      <c r="B928" t="s">
        <v>3373</v>
      </c>
      <c r="D928" t="s">
        <v>3375</v>
      </c>
      <c r="F928" t="s">
        <v>3439</v>
      </c>
      <c r="J928" t="s">
        <v>3440</v>
      </c>
      <c r="K928" t="s">
        <v>3378</v>
      </c>
      <c r="L928" t="s">
        <v>916</v>
      </c>
    </row>
    <row r="929" spans="1:12">
      <c r="A929" t="s">
        <v>3372</v>
      </c>
      <c r="B929" t="s">
        <v>3373</v>
      </c>
      <c r="D929" t="s">
        <v>3375</v>
      </c>
      <c r="F929" t="s">
        <v>3441</v>
      </c>
      <c r="J929" t="s">
        <v>3442</v>
      </c>
      <c r="K929" t="s">
        <v>3378</v>
      </c>
      <c r="L929" t="s">
        <v>916</v>
      </c>
    </row>
    <row r="930" spans="1:12">
      <c r="A930" t="s">
        <v>3372</v>
      </c>
      <c r="B930" t="s">
        <v>3373</v>
      </c>
      <c r="D930" t="s">
        <v>3375</v>
      </c>
      <c r="F930" t="s">
        <v>3443</v>
      </c>
      <c r="J930" t="s">
        <v>3444</v>
      </c>
      <c r="K930" t="s">
        <v>3378</v>
      </c>
      <c r="L930" t="s">
        <v>916</v>
      </c>
    </row>
    <row r="931" spans="1:12">
      <c r="A931" t="s">
        <v>3445</v>
      </c>
      <c r="B931" t="s">
        <v>3446</v>
      </c>
      <c r="C931" t="s">
        <v>3447</v>
      </c>
      <c r="D931" t="s">
        <v>3448</v>
      </c>
      <c r="E931" t="s">
        <v>3449</v>
      </c>
      <c r="F931" t="s">
        <v>3450</v>
      </c>
    </row>
    <row r="932" spans="1:12">
      <c r="A932" t="s">
        <v>3445</v>
      </c>
      <c r="B932" t="s">
        <v>3446</v>
      </c>
      <c r="C932" t="s">
        <v>3451</v>
      </c>
      <c r="D932" t="s">
        <v>3448</v>
      </c>
      <c r="E932" t="s">
        <v>3452</v>
      </c>
      <c r="F932" t="s">
        <v>3453</v>
      </c>
    </row>
    <row r="933" spans="1:12">
      <c r="A933" t="s">
        <v>3445</v>
      </c>
      <c r="B933" t="s">
        <v>3446</v>
      </c>
      <c r="C933" t="s">
        <v>3454</v>
      </c>
      <c r="D933" t="s">
        <v>3448</v>
      </c>
      <c r="E933" t="s">
        <v>3455</v>
      </c>
      <c r="F933" t="s">
        <v>3456</v>
      </c>
      <c r="J933" t="s">
        <v>3455</v>
      </c>
      <c r="K933" t="s">
        <v>3457</v>
      </c>
      <c r="L933" t="s">
        <v>851</v>
      </c>
    </row>
    <row r="934" spans="1:12">
      <c r="A934" t="s">
        <v>3445</v>
      </c>
      <c r="B934" t="s">
        <v>3446</v>
      </c>
      <c r="C934" t="s">
        <v>3458</v>
      </c>
      <c r="D934" t="s">
        <v>3448</v>
      </c>
      <c r="E934" t="s">
        <v>3459</v>
      </c>
      <c r="F934" t="s">
        <v>3460</v>
      </c>
    </row>
    <row r="935" spans="1:12">
      <c r="A935" t="s">
        <v>3445</v>
      </c>
      <c r="B935" t="s">
        <v>3446</v>
      </c>
      <c r="C935" t="s">
        <v>3461</v>
      </c>
      <c r="D935" t="s">
        <v>3448</v>
      </c>
      <c r="E935" t="s">
        <v>3462</v>
      </c>
      <c r="F935" t="s">
        <v>3463</v>
      </c>
    </row>
    <row r="936" spans="1:12">
      <c r="A936" t="s">
        <v>3445</v>
      </c>
      <c r="B936" t="s">
        <v>3446</v>
      </c>
      <c r="C936" t="s">
        <v>3464</v>
      </c>
      <c r="D936" t="s">
        <v>3448</v>
      </c>
      <c r="E936" t="s">
        <v>3465</v>
      </c>
      <c r="F936" t="s">
        <v>3466</v>
      </c>
    </row>
    <row r="937" spans="1:12">
      <c r="A937" t="s">
        <v>3445</v>
      </c>
      <c r="B937" t="s">
        <v>3446</v>
      </c>
      <c r="C937" t="s">
        <v>3467</v>
      </c>
      <c r="D937" t="s">
        <v>3448</v>
      </c>
      <c r="E937" t="s">
        <v>3468</v>
      </c>
      <c r="F937" t="s">
        <v>3469</v>
      </c>
      <c r="J937" t="s">
        <v>3468</v>
      </c>
      <c r="K937" t="s">
        <v>3457</v>
      </c>
      <c r="L937" t="s">
        <v>851</v>
      </c>
    </row>
    <row r="938" spans="1:12">
      <c r="A938" t="s">
        <v>3445</v>
      </c>
      <c r="B938" t="s">
        <v>3446</v>
      </c>
      <c r="C938" t="s">
        <v>3470</v>
      </c>
      <c r="D938" t="s">
        <v>3448</v>
      </c>
      <c r="E938" t="s">
        <v>3471</v>
      </c>
      <c r="F938" t="s">
        <v>3472</v>
      </c>
      <c r="J938" t="s">
        <v>3471</v>
      </c>
      <c r="K938" t="s">
        <v>3457</v>
      </c>
      <c r="L938" t="s">
        <v>851</v>
      </c>
    </row>
    <row r="939" spans="1:12">
      <c r="A939" t="s">
        <v>3445</v>
      </c>
      <c r="B939" t="s">
        <v>3446</v>
      </c>
      <c r="C939" t="s">
        <v>3473</v>
      </c>
      <c r="D939" t="s">
        <v>3448</v>
      </c>
      <c r="E939" t="s">
        <v>3474</v>
      </c>
      <c r="F939" t="s">
        <v>3475</v>
      </c>
    </row>
    <row r="940" spans="1:12">
      <c r="A940" t="s">
        <v>3445</v>
      </c>
      <c r="B940" t="s">
        <v>3446</v>
      </c>
      <c r="C940" t="s">
        <v>3476</v>
      </c>
      <c r="D940" t="s">
        <v>3448</v>
      </c>
      <c r="E940" t="s">
        <v>3477</v>
      </c>
      <c r="F940" t="s">
        <v>3478</v>
      </c>
      <c r="J940" t="s">
        <v>3477</v>
      </c>
      <c r="K940" t="s">
        <v>3457</v>
      </c>
      <c r="L940" t="s">
        <v>851</v>
      </c>
    </row>
    <row r="941" spans="1:12">
      <c r="A941" t="s">
        <v>3445</v>
      </c>
      <c r="B941" t="s">
        <v>3446</v>
      </c>
      <c r="C941" t="s">
        <v>3479</v>
      </c>
      <c r="D941" t="s">
        <v>3448</v>
      </c>
      <c r="E941" t="s">
        <v>3480</v>
      </c>
      <c r="F941" t="s">
        <v>3481</v>
      </c>
    </row>
    <row r="942" spans="1:12">
      <c r="A942" t="s">
        <v>3445</v>
      </c>
      <c r="B942" t="s">
        <v>3446</v>
      </c>
      <c r="C942" t="s">
        <v>3482</v>
      </c>
      <c r="D942" t="s">
        <v>3448</v>
      </c>
      <c r="E942" t="s">
        <v>3483</v>
      </c>
      <c r="F942" t="s">
        <v>3484</v>
      </c>
    </row>
    <row r="943" spans="1:12">
      <c r="A943" t="s">
        <v>3445</v>
      </c>
      <c r="B943" t="s">
        <v>3446</v>
      </c>
      <c r="C943" t="s">
        <v>3485</v>
      </c>
      <c r="D943" t="s">
        <v>3448</v>
      </c>
      <c r="E943" t="s">
        <v>3486</v>
      </c>
      <c r="F943" t="s">
        <v>3487</v>
      </c>
    </row>
    <row r="944" spans="1:12">
      <c r="A944" t="s">
        <v>3445</v>
      </c>
      <c r="B944" t="s">
        <v>3446</v>
      </c>
      <c r="C944" t="s">
        <v>3488</v>
      </c>
      <c r="D944" t="s">
        <v>3448</v>
      </c>
      <c r="E944" t="s">
        <v>3489</v>
      </c>
      <c r="F944" t="s">
        <v>3490</v>
      </c>
      <c r="J944" t="s">
        <v>3489</v>
      </c>
      <c r="K944" t="s">
        <v>3457</v>
      </c>
      <c r="L944" t="s">
        <v>851</v>
      </c>
    </row>
    <row r="945" spans="1:12">
      <c r="A945" t="s">
        <v>3445</v>
      </c>
      <c r="B945" t="s">
        <v>3446</v>
      </c>
      <c r="C945" t="s">
        <v>3491</v>
      </c>
      <c r="D945" t="s">
        <v>3448</v>
      </c>
      <c r="E945" t="s">
        <v>3492</v>
      </c>
      <c r="F945" t="s">
        <v>3493</v>
      </c>
    </row>
    <row r="946" spans="1:12">
      <c r="A946" t="s">
        <v>3445</v>
      </c>
      <c r="B946" t="s">
        <v>3446</v>
      </c>
      <c r="C946" t="s">
        <v>3494</v>
      </c>
      <c r="D946" t="s">
        <v>3448</v>
      </c>
      <c r="E946" t="s">
        <v>3495</v>
      </c>
      <c r="F946" t="s">
        <v>3495</v>
      </c>
    </row>
    <row r="947" spans="1:12">
      <c r="A947" t="s">
        <v>3445</v>
      </c>
      <c r="B947" t="s">
        <v>3446</v>
      </c>
      <c r="C947" t="s">
        <v>3496</v>
      </c>
      <c r="D947" t="s">
        <v>3448</v>
      </c>
      <c r="E947" t="s">
        <v>3497</v>
      </c>
      <c r="F947" t="s">
        <v>3498</v>
      </c>
    </row>
    <row r="948" spans="1:12">
      <c r="A948" t="s">
        <v>3445</v>
      </c>
      <c r="B948" t="s">
        <v>3446</v>
      </c>
      <c r="C948" t="s">
        <v>3499</v>
      </c>
      <c r="D948" t="s">
        <v>3448</v>
      </c>
      <c r="E948" t="s">
        <v>3500</v>
      </c>
      <c r="F948" t="s">
        <v>3501</v>
      </c>
    </row>
    <row r="949" spans="1:12">
      <c r="A949" t="s">
        <v>3445</v>
      </c>
      <c r="B949" t="s">
        <v>3446</v>
      </c>
      <c r="C949" t="s">
        <v>3502</v>
      </c>
      <c r="D949" t="s">
        <v>3448</v>
      </c>
      <c r="E949" t="s">
        <v>3503</v>
      </c>
      <c r="F949" t="s">
        <v>3504</v>
      </c>
    </row>
    <row r="950" spans="1:12">
      <c r="A950" t="s">
        <v>3445</v>
      </c>
      <c r="B950" t="s">
        <v>3446</v>
      </c>
      <c r="C950" t="s">
        <v>3505</v>
      </c>
      <c r="D950" t="s">
        <v>3448</v>
      </c>
      <c r="E950" t="s">
        <v>3506</v>
      </c>
      <c r="F950" t="s">
        <v>3507</v>
      </c>
      <c r="J950" t="s">
        <v>3506</v>
      </c>
      <c r="K950" t="s">
        <v>3457</v>
      </c>
      <c r="L950" t="s">
        <v>851</v>
      </c>
    </row>
    <row r="951" spans="1:12">
      <c r="A951" t="s">
        <v>3445</v>
      </c>
      <c r="B951" t="s">
        <v>3446</v>
      </c>
      <c r="C951" t="s">
        <v>3508</v>
      </c>
      <c r="D951" t="s">
        <v>3448</v>
      </c>
      <c r="E951" t="s">
        <v>3509</v>
      </c>
      <c r="F951" t="s">
        <v>3510</v>
      </c>
      <c r="J951" t="s">
        <v>3509</v>
      </c>
      <c r="K951" t="s">
        <v>3457</v>
      </c>
      <c r="L951" t="s">
        <v>851</v>
      </c>
    </row>
    <row r="952" spans="1:12">
      <c r="A952" t="s">
        <v>3445</v>
      </c>
      <c r="B952" t="s">
        <v>3446</v>
      </c>
      <c r="C952" t="s">
        <v>3511</v>
      </c>
      <c r="D952" t="s">
        <v>3448</v>
      </c>
      <c r="E952" t="s">
        <v>3512</v>
      </c>
      <c r="F952" t="s">
        <v>3513</v>
      </c>
    </row>
    <row r="953" spans="1:12">
      <c r="A953" t="s">
        <v>3445</v>
      </c>
      <c r="B953" t="s">
        <v>3446</v>
      </c>
      <c r="C953" t="s">
        <v>3514</v>
      </c>
      <c r="D953" t="s">
        <v>3448</v>
      </c>
      <c r="E953" t="s">
        <v>3515</v>
      </c>
      <c r="F953" t="s">
        <v>3516</v>
      </c>
    </row>
    <row r="954" spans="1:12">
      <c r="A954" t="s">
        <v>3445</v>
      </c>
      <c r="B954" t="s">
        <v>3446</v>
      </c>
      <c r="C954" t="s">
        <v>3517</v>
      </c>
      <c r="D954" t="s">
        <v>3448</v>
      </c>
      <c r="E954" t="s">
        <v>3518</v>
      </c>
      <c r="F954" t="s">
        <v>3519</v>
      </c>
      <c r="J954" t="s">
        <v>3518</v>
      </c>
      <c r="K954" t="s">
        <v>3457</v>
      </c>
      <c r="L954" t="s">
        <v>851</v>
      </c>
    </row>
    <row r="955" spans="1:12">
      <c r="A955" t="s">
        <v>3445</v>
      </c>
      <c r="B955" t="s">
        <v>3446</v>
      </c>
      <c r="C955" t="s">
        <v>3520</v>
      </c>
      <c r="D955" t="s">
        <v>3448</v>
      </c>
      <c r="E955" t="s">
        <v>3521</v>
      </c>
      <c r="F955" t="s">
        <v>3522</v>
      </c>
      <c r="J955" t="s">
        <v>3521</v>
      </c>
      <c r="K955" t="s">
        <v>3457</v>
      </c>
      <c r="L955" t="s">
        <v>851</v>
      </c>
    </row>
    <row r="956" spans="1:12">
      <c r="A956" t="s">
        <v>3445</v>
      </c>
      <c r="B956" t="s">
        <v>3446</v>
      </c>
      <c r="C956" t="s">
        <v>3523</v>
      </c>
      <c r="D956" t="s">
        <v>3448</v>
      </c>
      <c r="E956" t="s">
        <v>3524</v>
      </c>
      <c r="F956" t="s">
        <v>3525</v>
      </c>
    </row>
    <row r="957" spans="1:12">
      <c r="A957" t="s">
        <v>3445</v>
      </c>
      <c r="B957" t="s">
        <v>3446</v>
      </c>
      <c r="C957" t="s">
        <v>3526</v>
      </c>
      <c r="D957" t="s">
        <v>3448</v>
      </c>
      <c r="E957" t="s">
        <v>3527</v>
      </c>
      <c r="F957" t="s">
        <v>3528</v>
      </c>
    </row>
    <row r="958" spans="1:12">
      <c r="A958" t="s">
        <v>3445</v>
      </c>
      <c r="B958" t="s">
        <v>3446</v>
      </c>
      <c r="C958" t="s">
        <v>3529</v>
      </c>
      <c r="D958" t="s">
        <v>3448</v>
      </c>
      <c r="E958" t="s">
        <v>3530</v>
      </c>
      <c r="F958" t="s">
        <v>3531</v>
      </c>
    </row>
    <row r="959" spans="1:12">
      <c r="A959" t="s">
        <v>3445</v>
      </c>
      <c r="B959" t="s">
        <v>3446</v>
      </c>
      <c r="C959" t="s">
        <v>3532</v>
      </c>
      <c r="D959" t="s">
        <v>3448</v>
      </c>
      <c r="E959" t="s">
        <v>3533</v>
      </c>
      <c r="F959" t="s">
        <v>3534</v>
      </c>
    </row>
    <row r="960" spans="1:12">
      <c r="A960" t="s">
        <v>3445</v>
      </c>
      <c r="B960" t="s">
        <v>3446</v>
      </c>
      <c r="C960" t="s">
        <v>3535</v>
      </c>
      <c r="D960" t="s">
        <v>3448</v>
      </c>
      <c r="E960" t="s">
        <v>3536</v>
      </c>
      <c r="F960" t="s">
        <v>3537</v>
      </c>
      <c r="J960" t="s">
        <v>3536</v>
      </c>
      <c r="K960" t="s">
        <v>3457</v>
      </c>
      <c r="L960" t="s">
        <v>851</v>
      </c>
    </row>
    <row r="961" spans="1:12">
      <c r="A961" t="s">
        <v>3445</v>
      </c>
      <c r="B961" t="s">
        <v>3446</v>
      </c>
      <c r="C961" t="s">
        <v>3538</v>
      </c>
      <c r="D961" t="s">
        <v>3448</v>
      </c>
      <c r="E961" t="s">
        <v>3539</v>
      </c>
      <c r="F961" t="s">
        <v>3540</v>
      </c>
      <c r="J961" t="s">
        <v>3539</v>
      </c>
      <c r="K961" t="s">
        <v>3457</v>
      </c>
      <c r="L961" t="s">
        <v>851</v>
      </c>
    </row>
    <row r="962" spans="1:12">
      <c r="A962" t="s">
        <v>3445</v>
      </c>
      <c r="B962" t="s">
        <v>3446</v>
      </c>
      <c r="C962" t="s">
        <v>3541</v>
      </c>
      <c r="D962" t="s">
        <v>3448</v>
      </c>
      <c r="E962" t="s">
        <v>3542</v>
      </c>
      <c r="F962" t="s">
        <v>3543</v>
      </c>
    </row>
    <row r="963" spans="1:12">
      <c r="A963" t="s">
        <v>3445</v>
      </c>
      <c r="B963" t="s">
        <v>3446</v>
      </c>
      <c r="C963" t="s">
        <v>3544</v>
      </c>
      <c r="D963" t="s">
        <v>3448</v>
      </c>
      <c r="E963" t="s">
        <v>3545</v>
      </c>
      <c r="F963" t="s">
        <v>3546</v>
      </c>
      <c r="J963" t="s">
        <v>3545</v>
      </c>
      <c r="K963" t="s">
        <v>3457</v>
      </c>
      <c r="L963" t="s">
        <v>851</v>
      </c>
    </row>
    <row r="964" spans="1:12">
      <c r="A964" t="s">
        <v>3445</v>
      </c>
      <c r="B964" t="s">
        <v>3446</v>
      </c>
      <c r="C964" t="s">
        <v>3547</v>
      </c>
      <c r="D964" t="s">
        <v>3448</v>
      </c>
      <c r="E964" t="s">
        <v>3548</v>
      </c>
      <c r="F964" t="s">
        <v>3549</v>
      </c>
    </row>
    <row r="965" spans="1:12">
      <c r="A965" t="s">
        <v>3445</v>
      </c>
      <c r="B965" t="s">
        <v>3446</v>
      </c>
      <c r="C965" t="s">
        <v>3550</v>
      </c>
      <c r="D965" t="s">
        <v>3448</v>
      </c>
      <c r="E965" t="s">
        <v>3551</v>
      </c>
      <c r="F965" t="s">
        <v>3552</v>
      </c>
      <c r="J965" t="s">
        <v>3551</v>
      </c>
      <c r="K965" t="s">
        <v>3457</v>
      </c>
      <c r="L965" t="s">
        <v>851</v>
      </c>
    </row>
    <row r="966" spans="1:12">
      <c r="A966" t="s">
        <v>3445</v>
      </c>
      <c r="B966" t="s">
        <v>3446</v>
      </c>
      <c r="C966" t="s">
        <v>3553</v>
      </c>
      <c r="D966" t="s">
        <v>3448</v>
      </c>
      <c r="E966" t="s">
        <v>3554</v>
      </c>
      <c r="F966" t="s">
        <v>3555</v>
      </c>
    </row>
    <row r="967" spans="1:12">
      <c r="A967" t="s">
        <v>3445</v>
      </c>
      <c r="B967" t="s">
        <v>3446</v>
      </c>
      <c r="C967" t="s">
        <v>3556</v>
      </c>
      <c r="D967" t="s">
        <v>3448</v>
      </c>
      <c r="E967" t="s">
        <v>3557</v>
      </c>
      <c r="F967" t="s">
        <v>3558</v>
      </c>
    </row>
    <row r="968" spans="1:12">
      <c r="A968" t="s">
        <v>3445</v>
      </c>
      <c r="B968" t="s">
        <v>3446</v>
      </c>
      <c r="C968" t="s">
        <v>3559</v>
      </c>
      <c r="D968" t="s">
        <v>3448</v>
      </c>
      <c r="E968" t="s">
        <v>655</v>
      </c>
      <c r="F968" t="s">
        <v>656</v>
      </c>
    </row>
    <row r="969" spans="1:12">
      <c r="A969" t="s">
        <v>3560</v>
      </c>
      <c r="B969" t="s">
        <v>3561</v>
      </c>
      <c r="C969" t="s">
        <v>3562</v>
      </c>
      <c r="D969" t="s">
        <v>3563</v>
      </c>
      <c r="E969" t="s">
        <v>1535</v>
      </c>
      <c r="F969" t="s">
        <v>3560</v>
      </c>
      <c r="J969" t="s">
        <v>1535</v>
      </c>
      <c r="K969" t="s">
        <v>3564</v>
      </c>
      <c r="L969" t="s">
        <v>664</v>
      </c>
    </row>
    <row r="970" spans="1:12">
      <c r="A970" t="s">
        <v>3560</v>
      </c>
      <c r="B970" t="s">
        <v>3561</v>
      </c>
      <c r="C970" t="s">
        <v>3565</v>
      </c>
      <c r="D970" t="s">
        <v>3563</v>
      </c>
      <c r="E970" t="s">
        <v>3566</v>
      </c>
      <c r="F970" t="s">
        <v>3567</v>
      </c>
    </row>
    <row r="971" spans="1:12">
      <c r="A971" t="s">
        <v>3560</v>
      </c>
      <c r="B971" t="s">
        <v>3561</v>
      </c>
      <c r="C971" t="s">
        <v>3568</v>
      </c>
      <c r="D971" t="s">
        <v>3563</v>
      </c>
      <c r="E971" t="s">
        <v>2472</v>
      </c>
      <c r="F971" t="s">
        <v>3569</v>
      </c>
    </row>
    <row r="972" spans="1:12">
      <c r="A972" t="s">
        <v>3560</v>
      </c>
      <c r="B972" t="s">
        <v>3561</v>
      </c>
      <c r="C972" t="s">
        <v>3570</v>
      </c>
      <c r="D972" t="s">
        <v>3563</v>
      </c>
      <c r="E972" t="s">
        <v>3571</v>
      </c>
      <c r="F972" t="s">
        <v>3572</v>
      </c>
    </row>
    <row r="973" spans="1:12">
      <c r="A973" t="s">
        <v>3560</v>
      </c>
      <c r="B973" t="s">
        <v>3561</v>
      </c>
      <c r="C973" t="s">
        <v>3573</v>
      </c>
      <c r="D973" t="s">
        <v>3563</v>
      </c>
      <c r="E973" t="s">
        <v>3574</v>
      </c>
      <c r="F973" t="s">
        <v>3575</v>
      </c>
    </row>
    <row r="974" spans="1:12">
      <c r="A974" t="s">
        <v>3560</v>
      </c>
      <c r="B974" t="s">
        <v>3561</v>
      </c>
      <c r="C974" t="s">
        <v>3576</v>
      </c>
      <c r="D974" t="s">
        <v>3563</v>
      </c>
      <c r="E974" t="s">
        <v>655</v>
      </c>
      <c r="F974" t="s">
        <v>656</v>
      </c>
    </row>
    <row r="975" spans="1:12">
      <c r="A975" t="s">
        <v>3577</v>
      </c>
      <c r="B975" t="s">
        <v>3578</v>
      </c>
      <c r="C975" t="s">
        <v>3579</v>
      </c>
      <c r="D975" t="s">
        <v>3580</v>
      </c>
      <c r="E975" t="s">
        <v>3581</v>
      </c>
      <c r="F975" t="s">
        <v>3582</v>
      </c>
      <c r="J975" t="s">
        <v>3581</v>
      </c>
      <c r="K975" t="s">
        <v>3583</v>
      </c>
      <c r="L975" t="s">
        <v>916</v>
      </c>
    </row>
    <row r="976" spans="1:12">
      <c r="A976" t="s">
        <v>3577</v>
      </c>
      <c r="B976" t="s">
        <v>3578</v>
      </c>
      <c r="C976" t="s">
        <v>3584</v>
      </c>
      <c r="D976" t="s">
        <v>3580</v>
      </c>
      <c r="E976" t="s">
        <v>655</v>
      </c>
      <c r="F976" t="s">
        <v>656</v>
      </c>
    </row>
    <row r="977" spans="1:12">
      <c r="A977" t="s">
        <v>3585</v>
      </c>
      <c r="B977" t="s">
        <v>3586</v>
      </c>
      <c r="C977" t="s">
        <v>3587</v>
      </c>
      <c r="D977" t="s">
        <v>3588</v>
      </c>
      <c r="E977" t="s">
        <v>3589</v>
      </c>
      <c r="F977" t="s">
        <v>3590</v>
      </c>
      <c r="J977" t="s">
        <v>3589</v>
      </c>
      <c r="K977" t="s">
        <v>3585</v>
      </c>
      <c r="L977" t="s">
        <v>916</v>
      </c>
    </row>
    <row r="978" spans="1:12">
      <c r="A978" t="s">
        <v>3585</v>
      </c>
      <c r="B978" t="s">
        <v>3586</v>
      </c>
      <c r="C978" t="s">
        <v>3591</v>
      </c>
      <c r="D978" t="s">
        <v>3588</v>
      </c>
      <c r="E978" t="s">
        <v>3592</v>
      </c>
      <c r="F978" t="s">
        <v>3593</v>
      </c>
      <c r="J978" t="s">
        <v>3592</v>
      </c>
      <c r="K978" t="s">
        <v>3585</v>
      </c>
      <c r="L978" t="s">
        <v>916</v>
      </c>
    </row>
    <row r="979" spans="1:12">
      <c r="A979" t="s">
        <v>3585</v>
      </c>
      <c r="B979" t="s">
        <v>3586</v>
      </c>
      <c r="C979" t="s">
        <v>3594</v>
      </c>
      <c r="D979" t="s">
        <v>3588</v>
      </c>
      <c r="E979" t="s">
        <v>3595</v>
      </c>
      <c r="F979" t="s">
        <v>3596</v>
      </c>
      <c r="J979" t="s">
        <v>3595</v>
      </c>
      <c r="K979" t="s">
        <v>3585</v>
      </c>
      <c r="L979" t="s">
        <v>916</v>
      </c>
    </row>
    <row r="980" spans="1:12">
      <c r="A980" t="s">
        <v>3585</v>
      </c>
      <c r="B980" t="s">
        <v>3586</v>
      </c>
      <c r="C980" t="s">
        <v>3597</v>
      </c>
      <c r="D980" t="s">
        <v>3588</v>
      </c>
      <c r="E980" t="s">
        <v>3598</v>
      </c>
      <c r="F980" t="s">
        <v>3599</v>
      </c>
      <c r="J980" t="s">
        <v>3598</v>
      </c>
      <c r="K980" t="s">
        <v>3585</v>
      </c>
      <c r="L980" t="s">
        <v>916</v>
      </c>
    </row>
    <row r="981" spans="1:12">
      <c r="A981" t="s">
        <v>3585</v>
      </c>
      <c r="B981" t="s">
        <v>3586</v>
      </c>
      <c r="C981" t="s">
        <v>3600</v>
      </c>
      <c r="D981" t="s">
        <v>3588</v>
      </c>
      <c r="E981" t="s">
        <v>655</v>
      </c>
      <c r="F981" t="s">
        <v>656</v>
      </c>
    </row>
    <row r="982" spans="1:12">
      <c r="A982" t="s">
        <v>3601</v>
      </c>
      <c r="B982" t="s">
        <v>3602</v>
      </c>
      <c r="C982" t="s">
        <v>3603</v>
      </c>
      <c r="D982" t="s">
        <v>3604</v>
      </c>
      <c r="E982" t="s">
        <v>3605</v>
      </c>
      <c r="F982" t="s">
        <v>3606</v>
      </c>
      <c r="J982" t="s">
        <v>3605</v>
      </c>
      <c r="K982" t="s">
        <v>3607</v>
      </c>
      <c r="L982" t="s">
        <v>814</v>
      </c>
    </row>
    <row r="983" spans="1:12">
      <c r="A983" t="s">
        <v>3601</v>
      </c>
      <c r="B983" t="s">
        <v>3602</v>
      </c>
      <c r="C983" t="s">
        <v>3608</v>
      </c>
      <c r="D983" t="s">
        <v>3604</v>
      </c>
      <c r="E983" t="s">
        <v>655</v>
      </c>
      <c r="F983" t="s">
        <v>656</v>
      </c>
    </row>
    <row r="984" spans="1:12">
      <c r="A984" t="s">
        <v>3609</v>
      </c>
      <c r="B984" t="s">
        <v>3610</v>
      </c>
      <c r="C984" t="s">
        <v>3611</v>
      </c>
      <c r="D984" t="s">
        <v>3612</v>
      </c>
      <c r="E984" t="s">
        <v>3613</v>
      </c>
      <c r="F984" t="s">
        <v>3614</v>
      </c>
      <c r="J984" t="s">
        <v>3613</v>
      </c>
      <c r="K984" t="s">
        <v>3615</v>
      </c>
      <c r="L984" t="s">
        <v>3616</v>
      </c>
    </row>
    <row r="985" spans="1:12">
      <c r="A985" t="s">
        <v>3609</v>
      </c>
      <c r="B985" t="s">
        <v>3610</v>
      </c>
      <c r="C985" t="s">
        <v>3617</v>
      </c>
      <c r="D985" t="s">
        <v>3612</v>
      </c>
      <c r="E985" t="s">
        <v>3618</v>
      </c>
      <c r="F985" t="s">
        <v>3619</v>
      </c>
    </row>
    <row r="986" spans="1:12">
      <c r="A986" t="s">
        <v>3609</v>
      </c>
      <c r="B986" t="s">
        <v>3610</v>
      </c>
      <c r="C986" t="s">
        <v>3620</v>
      </c>
      <c r="D986" t="s">
        <v>3612</v>
      </c>
      <c r="E986" t="s">
        <v>3621</v>
      </c>
      <c r="F986" t="s">
        <v>3622</v>
      </c>
    </row>
    <row r="987" spans="1:12">
      <c r="A987" t="s">
        <v>3609</v>
      </c>
      <c r="B987" t="s">
        <v>3610</v>
      </c>
      <c r="C987" t="s">
        <v>3623</v>
      </c>
      <c r="D987" t="s">
        <v>3612</v>
      </c>
      <c r="E987" t="s">
        <v>3624</v>
      </c>
      <c r="F987" t="s">
        <v>3625</v>
      </c>
    </row>
    <row r="988" spans="1:12">
      <c r="A988" t="s">
        <v>3609</v>
      </c>
      <c r="B988" t="s">
        <v>3610</v>
      </c>
      <c r="C988" t="s">
        <v>3626</v>
      </c>
      <c r="D988" t="s">
        <v>3612</v>
      </c>
      <c r="E988" t="s">
        <v>655</v>
      </c>
      <c r="F988" t="s">
        <v>656</v>
      </c>
    </row>
    <row r="989" spans="1:12">
      <c r="A989" t="s">
        <v>3609</v>
      </c>
      <c r="B989" t="s">
        <v>3610</v>
      </c>
      <c r="D989" t="s">
        <v>3612</v>
      </c>
      <c r="F989" t="s">
        <v>3609</v>
      </c>
      <c r="J989" t="s">
        <v>3627</v>
      </c>
      <c r="K989" t="s">
        <v>3615</v>
      </c>
      <c r="L989" t="s">
        <v>3616</v>
      </c>
    </row>
    <row r="990" spans="1:12">
      <c r="A990" t="s">
        <v>3628</v>
      </c>
      <c r="B990" t="s">
        <v>3629</v>
      </c>
      <c r="C990" t="s">
        <v>3630</v>
      </c>
      <c r="D990" t="s">
        <v>3631</v>
      </c>
      <c r="E990" t="s">
        <v>3632</v>
      </c>
      <c r="F990" t="s">
        <v>3633</v>
      </c>
    </row>
    <row r="991" spans="1:12">
      <c r="A991" t="s">
        <v>3628</v>
      </c>
      <c r="B991" t="s">
        <v>3629</v>
      </c>
      <c r="C991" t="s">
        <v>3634</v>
      </c>
      <c r="D991" t="s">
        <v>3631</v>
      </c>
      <c r="E991" t="s">
        <v>3635</v>
      </c>
      <c r="F991" t="s">
        <v>3636</v>
      </c>
      <c r="J991" t="s">
        <v>3635</v>
      </c>
      <c r="K991" t="s">
        <v>3637</v>
      </c>
      <c r="L991" t="s">
        <v>3638</v>
      </c>
    </row>
    <row r="992" spans="1:12">
      <c r="A992" t="s">
        <v>3628</v>
      </c>
      <c r="B992" t="s">
        <v>3629</v>
      </c>
      <c r="C992" t="s">
        <v>3639</v>
      </c>
      <c r="D992" t="s">
        <v>3631</v>
      </c>
      <c r="E992" t="s">
        <v>3640</v>
      </c>
      <c r="F992" t="s">
        <v>3641</v>
      </c>
    </row>
    <row r="993" spans="1:12">
      <c r="A993" t="s">
        <v>3628</v>
      </c>
      <c r="B993" t="s">
        <v>3629</v>
      </c>
      <c r="C993" t="s">
        <v>3642</v>
      </c>
      <c r="D993" t="s">
        <v>3631</v>
      </c>
      <c r="E993" t="s">
        <v>3643</v>
      </c>
      <c r="F993" t="s">
        <v>3644</v>
      </c>
    </row>
    <row r="994" spans="1:12">
      <c r="A994" t="s">
        <v>3628</v>
      </c>
      <c r="B994" t="s">
        <v>3629</v>
      </c>
      <c r="C994" t="s">
        <v>3645</v>
      </c>
      <c r="D994" t="s">
        <v>3631</v>
      </c>
      <c r="E994" t="s">
        <v>3646</v>
      </c>
      <c r="F994" t="s">
        <v>3647</v>
      </c>
    </row>
    <row r="995" spans="1:12">
      <c r="A995" t="s">
        <v>3628</v>
      </c>
      <c r="B995" t="s">
        <v>3629</v>
      </c>
      <c r="C995" t="s">
        <v>3648</v>
      </c>
      <c r="D995" t="s">
        <v>3631</v>
      </c>
      <c r="E995" t="s">
        <v>3649</v>
      </c>
      <c r="F995" t="s">
        <v>3650</v>
      </c>
    </row>
    <row r="996" spans="1:12">
      <c r="A996" t="s">
        <v>3628</v>
      </c>
      <c r="B996" t="s">
        <v>3629</v>
      </c>
      <c r="C996" t="s">
        <v>3651</v>
      </c>
      <c r="D996" t="s">
        <v>3631</v>
      </c>
      <c r="E996" t="s">
        <v>3652</v>
      </c>
      <c r="F996" t="s">
        <v>3653</v>
      </c>
    </row>
    <row r="997" spans="1:12">
      <c r="A997" t="s">
        <v>3628</v>
      </c>
      <c r="B997" t="s">
        <v>3629</v>
      </c>
      <c r="C997" t="s">
        <v>3654</v>
      </c>
      <c r="D997" t="s">
        <v>3631</v>
      </c>
      <c r="E997" t="s">
        <v>655</v>
      </c>
      <c r="F997" t="s">
        <v>656</v>
      </c>
    </row>
    <row r="998" spans="1:12">
      <c r="A998" t="s">
        <v>3655</v>
      </c>
      <c r="B998" t="s">
        <v>3656</v>
      </c>
      <c r="C998" t="s">
        <v>3657</v>
      </c>
      <c r="D998" t="s">
        <v>3658</v>
      </c>
      <c r="E998" t="s">
        <v>3659</v>
      </c>
      <c r="F998" t="s">
        <v>3660</v>
      </c>
      <c r="J998" t="s">
        <v>3659</v>
      </c>
      <c r="K998" t="s">
        <v>3661</v>
      </c>
      <c r="L998" t="s">
        <v>814</v>
      </c>
    </row>
    <row r="999" spans="1:12">
      <c r="A999" t="s">
        <v>3655</v>
      </c>
      <c r="B999" t="s">
        <v>3656</v>
      </c>
      <c r="C999" t="s">
        <v>3662</v>
      </c>
      <c r="D999" t="s">
        <v>3658</v>
      </c>
      <c r="E999" t="s">
        <v>3663</v>
      </c>
      <c r="F999" t="s">
        <v>3664</v>
      </c>
      <c r="J999" t="s">
        <v>3663</v>
      </c>
      <c r="K999" t="s">
        <v>3661</v>
      </c>
      <c r="L999" t="s">
        <v>814</v>
      </c>
    </row>
    <row r="1000" spans="1:12">
      <c r="A1000" t="s">
        <v>3655</v>
      </c>
      <c r="B1000" t="s">
        <v>3656</v>
      </c>
      <c r="C1000" t="s">
        <v>3665</v>
      </c>
      <c r="D1000" t="s">
        <v>3658</v>
      </c>
      <c r="E1000" t="s">
        <v>3666</v>
      </c>
      <c r="F1000" t="s">
        <v>3667</v>
      </c>
      <c r="J1000" t="s">
        <v>3666</v>
      </c>
      <c r="K1000" t="s">
        <v>3661</v>
      </c>
      <c r="L1000" t="s">
        <v>814</v>
      </c>
    </row>
    <row r="1001" spans="1:12">
      <c r="A1001" t="s">
        <v>3655</v>
      </c>
      <c r="B1001" t="s">
        <v>3656</v>
      </c>
      <c r="C1001" t="s">
        <v>3668</v>
      </c>
      <c r="D1001" t="s">
        <v>3658</v>
      </c>
      <c r="E1001" t="s">
        <v>3669</v>
      </c>
      <c r="F1001" t="s">
        <v>3670</v>
      </c>
      <c r="J1001" t="s">
        <v>3669</v>
      </c>
      <c r="K1001" t="s">
        <v>3661</v>
      </c>
      <c r="L1001" t="s">
        <v>814</v>
      </c>
    </row>
    <row r="1002" spans="1:12">
      <c r="A1002" t="s">
        <v>3655</v>
      </c>
      <c r="B1002" t="s">
        <v>3656</v>
      </c>
      <c r="C1002" t="s">
        <v>3671</v>
      </c>
      <c r="D1002" t="s">
        <v>3658</v>
      </c>
      <c r="E1002" t="s">
        <v>3672</v>
      </c>
      <c r="F1002" t="s">
        <v>3673</v>
      </c>
      <c r="J1002" t="s">
        <v>3672</v>
      </c>
      <c r="K1002" t="s">
        <v>3661</v>
      </c>
      <c r="L1002" t="s">
        <v>814</v>
      </c>
    </row>
    <row r="1003" spans="1:12">
      <c r="A1003" t="s">
        <v>3655</v>
      </c>
      <c r="B1003" t="s">
        <v>3656</v>
      </c>
      <c r="C1003" t="s">
        <v>3674</v>
      </c>
      <c r="D1003" t="s">
        <v>3658</v>
      </c>
      <c r="E1003" t="s">
        <v>3675</v>
      </c>
      <c r="F1003" t="s">
        <v>3676</v>
      </c>
      <c r="J1003" t="s">
        <v>3675</v>
      </c>
      <c r="K1003" t="s">
        <v>3661</v>
      </c>
      <c r="L1003" t="s">
        <v>814</v>
      </c>
    </row>
    <row r="1004" spans="1:12">
      <c r="A1004" t="s">
        <v>3655</v>
      </c>
      <c r="B1004" t="s">
        <v>3656</v>
      </c>
      <c r="C1004" t="s">
        <v>3677</v>
      </c>
      <c r="D1004" t="s">
        <v>3658</v>
      </c>
      <c r="E1004" t="s">
        <v>3678</v>
      </c>
      <c r="F1004" t="s">
        <v>3679</v>
      </c>
      <c r="J1004" t="s">
        <v>3678</v>
      </c>
      <c r="K1004" t="s">
        <v>3661</v>
      </c>
      <c r="L1004" t="s">
        <v>814</v>
      </c>
    </row>
    <row r="1005" spans="1:12">
      <c r="A1005" t="s">
        <v>3655</v>
      </c>
      <c r="B1005" t="s">
        <v>3656</v>
      </c>
      <c r="C1005" t="s">
        <v>3680</v>
      </c>
      <c r="D1005" t="s">
        <v>3658</v>
      </c>
      <c r="E1005" t="s">
        <v>3681</v>
      </c>
      <c r="F1005" t="s">
        <v>3682</v>
      </c>
    </row>
    <row r="1006" spans="1:12">
      <c r="A1006" t="s">
        <v>3655</v>
      </c>
      <c r="B1006" t="s">
        <v>3656</v>
      </c>
      <c r="C1006" t="s">
        <v>3683</v>
      </c>
      <c r="D1006" t="s">
        <v>3658</v>
      </c>
      <c r="E1006" t="s">
        <v>3684</v>
      </c>
      <c r="F1006" t="s">
        <v>3685</v>
      </c>
      <c r="J1006" t="s">
        <v>3684</v>
      </c>
      <c r="K1006" t="s">
        <v>3661</v>
      </c>
      <c r="L1006" t="s">
        <v>814</v>
      </c>
    </row>
    <row r="1007" spans="1:12">
      <c r="A1007" t="s">
        <v>3655</v>
      </c>
      <c r="B1007" t="s">
        <v>3656</v>
      </c>
      <c r="C1007" t="s">
        <v>3686</v>
      </c>
      <c r="D1007" t="s">
        <v>3658</v>
      </c>
      <c r="E1007" t="s">
        <v>3687</v>
      </c>
      <c r="F1007" t="s">
        <v>3688</v>
      </c>
      <c r="J1007" t="s">
        <v>3687</v>
      </c>
      <c r="K1007" t="s">
        <v>3661</v>
      </c>
      <c r="L1007" t="s">
        <v>814</v>
      </c>
    </row>
    <row r="1008" spans="1:12">
      <c r="A1008" t="s">
        <v>3655</v>
      </c>
      <c r="B1008" t="s">
        <v>3656</v>
      </c>
      <c r="C1008" t="s">
        <v>3689</v>
      </c>
      <c r="D1008" t="s">
        <v>3658</v>
      </c>
      <c r="E1008" t="s">
        <v>3690</v>
      </c>
      <c r="F1008" t="s">
        <v>3691</v>
      </c>
      <c r="J1008" t="s">
        <v>3690</v>
      </c>
      <c r="K1008" t="s">
        <v>3661</v>
      </c>
      <c r="L1008" t="s">
        <v>814</v>
      </c>
    </row>
    <row r="1009" spans="1:12">
      <c r="A1009" t="s">
        <v>3655</v>
      </c>
      <c r="B1009" t="s">
        <v>3656</v>
      </c>
      <c r="C1009" t="s">
        <v>3692</v>
      </c>
      <c r="D1009" t="s">
        <v>3658</v>
      </c>
      <c r="E1009" t="s">
        <v>3693</v>
      </c>
      <c r="F1009" t="s">
        <v>3694</v>
      </c>
      <c r="J1009" t="s">
        <v>3693</v>
      </c>
      <c r="K1009" t="s">
        <v>3661</v>
      </c>
      <c r="L1009" t="s">
        <v>814</v>
      </c>
    </row>
    <row r="1010" spans="1:12">
      <c r="A1010" t="s">
        <v>3655</v>
      </c>
      <c r="B1010" t="s">
        <v>3656</v>
      </c>
      <c r="C1010" t="s">
        <v>3695</v>
      </c>
      <c r="D1010" t="s">
        <v>3658</v>
      </c>
      <c r="E1010" t="s">
        <v>3696</v>
      </c>
      <c r="F1010" t="s">
        <v>3697</v>
      </c>
    </row>
    <row r="1011" spans="1:12">
      <c r="A1011" t="s">
        <v>3655</v>
      </c>
      <c r="B1011" t="s">
        <v>3656</v>
      </c>
      <c r="C1011" t="s">
        <v>3698</v>
      </c>
      <c r="D1011" t="s">
        <v>3658</v>
      </c>
      <c r="E1011" t="s">
        <v>3699</v>
      </c>
      <c r="F1011" t="s">
        <v>3700</v>
      </c>
      <c r="J1011" t="s">
        <v>3699</v>
      </c>
      <c r="K1011" t="s">
        <v>3661</v>
      </c>
      <c r="L1011" t="s">
        <v>814</v>
      </c>
    </row>
    <row r="1012" spans="1:12">
      <c r="A1012" t="s">
        <v>3655</v>
      </c>
      <c r="B1012" t="s">
        <v>3656</v>
      </c>
      <c r="C1012" t="s">
        <v>3701</v>
      </c>
      <c r="D1012" t="s">
        <v>3658</v>
      </c>
      <c r="E1012" t="s">
        <v>3702</v>
      </c>
      <c r="F1012" t="s">
        <v>3703</v>
      </c>
      <c r="J1012" t="s">
        <v>3702</v>
      </c>
      <c r="K1012" t="s">
        <v>3661</v>
      </c>
      <c r="L1012" t="s">
        <v>814</v>
      </c>
    </row>
    <row r="1013" spans="1:12">
      <c r="A1013" t="s">
        <v>3655</v>
      </c>
      <c r="B1013" t="s">
        <v>3656</v>
      </c>
      <c r="C1013" t="s">
        <v>3704</v>
      </c>
      <c r="D1013" t="s">
        <v>3658</v>
      </c>
      <c r="E1013" t="s">
        <v>3705</v>
      </c>
      <c r="F1013" t="s">
        <v>3706</v>
      </c>
      <c r="J1013" t="s">
        <v>3705</v>
      </c>
      <c r="K1013" t="s">
        <v>3661</v>
      </c>
      <c r="L1013" t="s">
        <v>814</v>
      </c>
    </row>
    <row r="1014" spans="1:12">
      <c r="A1014" t="s">
        <v>3655</v>
      </c>
      <c r="B1014" t="s">
        <v>3656</v>
      </c>
      <c r="C1014" t="s">
        <v>3707</v>
      </c>
      <c r="D1014" t="s">
        <v>3658</v>
      </c>
      <c r="E1014" t="s">
        <v>3708</v>
      </c>
      <c r="F1014" t="s">
        <v>3709</v>
      </c>
      <c r="J1014" t="s">
        <v>3708</v>
      </c>
      <c r="K1014" t="s">
        <v>3661</v>
      </c>
      <c r="L1014" t="s">
        <v>814</v>
      </c>
    </row>
    <row r="1015" spans="1:12">
      <c r="A1015" t="s">
        <v>3655</v>
      </c>
      <c r="B1015" t="s">
        <v>3656</v>
      </c>
      <c r="C1015" t="s">
        <v>3710</v>
      </c>
      <c r="D1015" t="s">
        <v>3658</v>
      </c>
      <c r="E1015" t="s">
        <v>3711</v>
      </c>
      <c r="F1015" t="s">
        <v>3712</v>
      </c>
      <c r="J1015" t="s">
        <v>3711</v>
      </c>
      <c r="K1015" t="s">
        <v>3661</v>
      </c>
      <c r="L1015" t="s">
        <v>814</v>
      </c>
    </row>
    <row r="1016" spans="1:12">
      <c r="A1016" t="s">
        <v>3655</v>
      </c>
      <c r="B1016" t="s">
        <v>3656</v>
      </c>
      <c r="C1016" t="s">
        <v>3713</v>
      </c>
      <c r="D1016" t="s">
        <v>3658</v>
      </c>
      <c r="E1016" t="s">
        <v>3714</v>
      </c>
      <c r="F1016" t="s">
        <v>3715</v>
      </c>
      <c r="J1016" t="s">
        <v>3714</v>
      </c>
      <c r="K1016" t="s">
        <v>3661</v>
      </c>
      <c r="L1016" t="s">
        <v>814</v>
      </c>
    </row>
    <row r="1017" spans="1:12">
      <c r="A1017" t="s">
        <v>3655</v>
      </c>
      <c r="B1017" t="s">
        <v>3656</v>
      </c>
      <c r="C1017" t="s">
        <v>3716</v>
      </c>
      <c r="D1017" t="s">
        <v>3658</v>
      </c>
      <c r="E1017" t="s">
        <v>3717</v>
      </c>
      <c r="F1017" t="s">
        <v>3718</v>
      </c>
      <c r="J1017" t="s">
        <v>3717</v>
      </c>
      <c r="K1017" t="s">
        <v>3661</v>
      </c>
      <c r="L1017" t="s">
        <v>814</v>
      </c>
    </row>
    <row r="1018" spans="1:12">
      <c r="A1018" t="s">
        <v>3655</v>
      </c>
      <c r="B1018" t="s">
        <v>3656</v>
      </c>
      <c r="C1018" t="s">
        <v>3719</v>
      </c>
      <c r="D1018" t="s">
        <v>3658</v>
      </c>
      <c r="E1018" t="s">
        <v>3720</v>
      </c>
      <c r="F1018" t="s">
        <v>3721</v>
      </c>
      <c r="J1018" t="s">
        <v>3720</v>
      </c>
      <c r="K1018" t="s">
        <v>3661</v>
      </c>
      <c r="L1018" t="s">
        <v>814</v>
      </c>
    </row>
    <row r="1019" spans="1:12">
      <c r="A1019" t="s">
        <v>3655</v>
      </c>
      <c r="B1019" t="s">
        <v>3656</v>
      </c>
      <c r="C1019" t="s">
        <v>3722</v>
      </c>
      <c r="D1019" t="s">
        <v>3658</v>
      </c>
      <c r="E1019" t="s">
        <v>3723</v>
      </c>
      <c r="F1019" t="s">
        <v>3724</v>
      </c>
      <c r="J1019" t="s">
        <v>3723</v>
      </c>
      <c r="K1019" t="s">
        <v>3661</v>
      </c>
      <c r="L1019" t="s">
        <v>814</v>
      </c>
    </row>
    <row r="1020" spans="1:12">
      <c r="A1020" t="s">
        <v>3655</v>
      </c>
      <c r="B1020" t="s">
        <v>3656</v>
      </c>
      <c r="C1020" t="s">
        <v>3725</v>
      </c>
      <c r="D1020" t="s">
        <v>3658</v>
      </c>
      <c r="E1020" t="s">
        <v>3726</v>
      </c>
      <c r="F1020" t="s">
        <v>3727</v>
      </c>
      <c r="J1020" t="s">
        <v>3726</v>
      </c>
      <c r="K1020" t="s">
        <v>3661</v>
      </c>
      <c r="L1020" t="s">
        <v>814</v>
      </c>
    </row>
    <row r="1021" spans="1:12">
      <c r="A1021" t="s">
        <v>3655</v>
      </c>
      <c r="B1021" t="s">
        <v>3656</v>
      </c>
      <c r="C1021" t="s">
        <v>3728</v>
      </c>
      <c r="D1021" t="s">
        <v>3658</v>
      </c>
      <c r="E1021" t="s">
        <v>3729</v>
      </c>
      <c r="F1021" t="s">
        <v>3730</v>
      </c>
      <c r="J1021" t="s">
        <v>3729</v>
      </c>
      <c r="K1021" t="s">
        <v>3661</v>
      </c>
      <c r="L1021" t="s">
        <v>814</v>
      </c>
    </row>
    <row r="1022" spans="1:12">
      <c r="A1022" t="s">
        <v>3655</v>
      </c>
      <c r="B1022" t="s">
        <v>3656</v>
      </c>
      <c r="C1022" t="s">
        <v>3731</v>
      </c>
      <c r="D1022" t="s">
        <v>3658</v>
      </c>
      <c r="E1022" t="s">
        <v>3732</v>
      </c>
      <c r="F1022" t="s">
        <v>3733</v>
      </c>
      <c r="J1022" t="s">
        <v>3732</v>
      </c>
      <c r="K1022" t="s">
        <v>3661</v>
      </c>
      <c r="L1022" t="s">
        <v>814</v>
      </c>
    </row>
    <row r="1023" spans="1:12">
      <c r="A1023" t="s">
        <v>3655</v>
      </c>
      <c r="B1023" t="s">
        <v>3656</v>
      </c>
      <c r="C1023" t="s">
        <v>3734</v>
      </c>
      <c r="D1023" t="s">
        <v>3658</v>
      </c>
      <c r="E1023" t="s">
        <v>3735</v>
      </c>
      <c r="F1023" t="s">
        <v>3733</v>
      </c>
      <c r="J1023" t="s">
        <v>3735</v>
      </c>
      <c r="K1023" t="s">
        <v>3661</v>
      </c>
      <c r="L1023" t="s">
        <v>814</v>
      </c>
    </row>
    <row r="1024" spans="1:12">
      <c r="A1024" t="s">
        <v>3655</v>
      </c>
      <c r="B1024" t="s">
        <v>3656</v>
      </c>
      <c r="C1024" t="s">
        <v>3736</v>
      </c>
      <c r="D1024" t="s">
        <v>3658</v>
      </c>
      <c r="E1024" t="s">
        <v>3737</v>
      </c>
      <c r="F1024" t="s">
        <v>1303</v>
      </c>
      <c r="J1024" t="s">
        <v>3737</v>
      </c>
      <c r="K1024" t="s">
        <v>3661</v>
      </c>
      <c r="L1024" t="s">
        <v>814</v>
      </c>
    </row>
    <row r="1025" spans="1:12">
      <c r="A1025" t="s">
        <v>3655</v>
      </c>
      <c r="B1025" t="s">
        <v>3656</v>
      </c>
      <c r="C1025" t="s">
        <v>3738</v>
      </c>
      <c r="D1025" t="s">
        <v>3658</v>
      </c>
      <c r="E1025" t="s">
        <v>3739</v>
      </c>
      <c r="F1025" t="s">
        <v>3740</v>
      </c>
      <c r="J1025" t="s">
        <v>3739</v>
      </c>
      <c r="K1025" t="s">
        <v>3661</v>
      </c>
      <c r="L1025" t="s">
        <v>814</v>
      </c>
    </row>
    <row r="1026" spans="1:12">
      <c r="A1026" t="s">
        <v>3655</v>
      </c>
      <c r="B1026" t="s">
        <v>3656</v>
      </c>
      <c r="C1026" t="s">
        <v>3741</v>
      </c>
      <c r="D1026" t="s">
        <v>3658</v>
      </c>
      <c r="E1026" t="s">
        <v>3742</v>
      </c>
      <c r="F1026" t="s">
        <v>3743</v>
      </c>
      <c r="J1026" t="s">
        <v>3742</v>
      </c>
      <c r="K1026" t="s">
        <v>3661</v>
      </c>
      <c r="L1026" t="s">
        <v>814</v>
      </c>
    </row>
    <row r="1027" spans="1:12">
      <c r="A1027" t="s">
        <v>3655</v>
      </c>
      <c r="B1027" t="s">
        <v>3656</v>
      </c>
      <c r="C1027" t="s">
        <v>3744</v>
      </c>
      <c r="D1027" t="s">
        <v>3658</v>
      </c>
      <c r="E1027" t="s">
        <v>3745</v>
      </c>
      <c r="F1027" t="s">
        <v>3746</v>
      </c>
      <c r="J1027" t="s">
        <v>3745</v>
      </c>
      <c r="K1027" t="s">
        <v>3661</v>
      </c>
      <c r="L1027" t="s">
        <v>814</v>
      </c>
    </row>
    <row r="1028" spans="1:12">
      <c r="A1028" t="s">
        <v>3655</v>
      </c>
      <c r="B1028" t="s">
        <v>3656</v>
      </c>
      <c r="C1028" t="s">
        <v>3747</v>
      </c>
      <c r="D1028" t="s">
        <v>3658</v>
      </c>
      <c r="E1028" t="s">
        <v>3748</v>
      </c>
      <c r="F1028" t="s">
        <v>1309</v>
      </c>
      <c r="J1028" t="s">
        <v>3748</v>
      </c>
      <c r="K1028" t="s">
        <v>3661</v>
      </c>
      <c r="L1028" t="s">
        <v>814</v>
      </c>
    </row>
    <row r="1029" spans="1:12">
      <c r="A1029" t="s">
        <v>3655</v>
      </c>
      <c r="B1029" t="s">
        <v>3656</v>
      </c>
      <c r="C1029" t="s">
        <v>3749</v>
      </c>
      <c r="D1029" t="s">
        <v>3658</v>
      </c>
      <c r="E1029" t="s">
        <v>3750</v>
      </c>
      <c r="F1029" t="s">
        <v>3751</v>
      </c>
      <c r="J1029" t="s">
        <v>3750</v>
      </c>
      <c r="K1029" t="s">
        <v>3661</v>
      </c>
      <c r="L1029" t="s">
        <v>814</v>
      </c>
    </row>
    <row r="1030" spans="1:12">
      <c r="A1030" t="s">
        <v>3655</v>
      </c>
      <c r="B1030" t="s">
        <v>3656</v>
      </c>
      <c r="C1030" t="s">
        <v>3752</v>
      </c>
      <c r="D1030" t="s">
        <v>3658</v>
      </c>
      <c r="E1030" t="s">
        <v>3753</v>
      </c>
      <c r="F1030" t="s">
        <v>3754</v>
      </c>
      <c r="J1030" t="s">
        <v>3753</v>
      </c>
      <c r="K1030" t="s">
        <v>3661</v>
      </c>
      <c r="L1030" t="s">
        <v>814</v>
      </c>
    </row>
    <row r="1031" spans="1:12">
      <c r="A1031" t="s">
        <v>3655</v>
      </c>
      <c r="B1031" t="s">
        <v>3656</v>
      </c>
      <c r="C1031" t="s">
        <v>3755</v>
      </c>
      <c r="D1031" t="s">
        <v>3658</v>
      </c>
      <c r="E1031" t="s">
        <v>655</v>
      </c>
      <c r="F1031" t="s">
        <v>656</v>
      </c>
    </row>
    <row r="1032" spans="1:12">
      <c r="A1032" t="s">
        <v>3655</v>
      </c>
      <c r="B1032" t="s">
        <v>3656</v>
      </c>
      <c r="D1032" t="s">
        <v>3658</v>
      </c>
      <c r="F1032" t="s">
        <v>3756</v>
      </c>
      <c r="J1032" t="s">
        <v>3757</v>
      </c>
      <c r="K1032" t="s">
        <v>3661</v>
      </c>
      <c r="L1032" t="s">
        <v>814</v>
      </c>
    </row>
    <row r="1033" spans="1:12">
      <c r="A1033" t="s">
        <v>3758</v>
      </c>
      <c r="B1033" t="s">
        <v>3759</v>
      </c>
      <c r="C1033" t="s">
        <v>3760</v>
      </c>
      <c r="D1033" t="s">
        <v>3761</v>
      </c>
      <c r="E1033" t="s">
        <v>3762</v>
      </c>
      <c r="F1033" t="s">
        <v>3763</v>
      </c>
    </row>
    <row r="1034" spans="1:12">
      <c r="A1034" t="s">
        <v>3758</v>
      </c>
      <c r="B1034" t="s">
        <v>3759</v>
      </c>
      <c r="C1034" t="s">
        <v>3764</v>
      </c>
      <c r="D1034" t="s">
        <v>3761</v>
      </c>
      <c r="E1034" t="s">
        <v>3765</v>
      </c>
      <c r="F1034" t="s">
        <v>3766</v>
      </c>
    </row>
    <row r="1035" spans="1:12">
      <c r="A1035" t="s">
        <v>3758</v>
      </c>
      <c r="B1035" t="s">
        <v>3759</v>
      </c>
      <c r="C1035" t="s">
        <v>3767</v>
      </c>
      <c r="D1035" t="s">
        <v>3761</v>
      </c>
      <c r="E1035" t="s">
        <v>3768</v>
      </c>
      <c r="F1035" t="s">
        <v>3769</v>
      </c>
    </row>
    <row r="1036" spans="1:12">
      <c r="A1036" t="s">
        <v>3758</v>
      </c>
      <c r="B1036" t="s">
        <v>3759</v>
      </c>
      <c r="C1036" t="s">
        <v>3770</v>
      </c>
      <c r="D1036" t="s">
        <v>3761</v>
      </c>
      <c r="E1036" t="s">
        <v>655</v>
      </c>
      <c r="F1036" t="s">
        <v>656</v>
      </c>
    </row>
    <row r="1037" spans="1:12">
      <c r="A1037" t="s">
        <v>3771</v>
      </c>
      <c r="B1037" t="s">
        <v>3772</v>
      </c>
      <c r="C1037" t="s">
        <v>3773</v>
      </c>
      <c r="D1037" t="s">
        <v>3774</v>
      </c>
      <c r="E1037" t="s">
        <v>3775</v>
      </c>
      <c r="F1037" t="s">
        <v>3776</v>
      </c>
      <c r="J1037" t="s">
        <v>3775</v>
      </c>
      <c r="K1037" t="s">
        <v>3777</v>
      </c>
      <c r="L1037" t="s">
        <v>814</v>
      </c>
    </row>
    <row r="1038" spans="1:12">
      <c r="A1038" t="s">
        <v>3771</v>
      </c>
      <c r="B1038" t="s">
        <v>3772</v>
      </c>
      <c r="C1038" t="s">
        <v>3778</v>
      </c>
      <c r="D1038" t="s">
        <v>3774</v>
      </c>
      <c r="E1038" t="s">
        <v>3779</v>
      </c>
      <c r="F1038" t="s">
        <v>3780</v>
      </c>
      <c r="J1038" t="s">
        <v>3779</v>
      </c>
      <c r="K1038" t="s">
        <v>3777</v>
      </c>
      <c r="L1038" t="s">
        <v>814</v>
      </c>
    </row>
    <row r="1039" spans="1:12">
      <c r="A1039" t="s">
        <v>3771</v>
      </c>
      <c r="B1039" t="s">
        <v>3772</v>
      </c>
      <c r="C1039" t="s">
        <v>3781</v>
      </c>
      <c r="D1039" t="s">
        <v>3774</v>
      </c>
      <c r="E1039" t="s">
        <v>3782</v>
      </c>
      <c r="F1039" t="s">
        <v>3783</v>
      </c>
    </row>
    <row r="1040" spans="1:12">
      <c r="A1040" t="s">
        <v>3771</v>
      </c>
      <c r="B1040" t="s">
        <v>3772</v>
      </c>
      <c r="C1040" t="s">
        <v>3784</v>
      </c>
      <c r="D1040" t="s">
        <v>3774</v>
      </c>
      <c r="E1040" t="s">
        <v>3785</v>
      </c>
      <c r="F1040" t="s">
        <v>3786</v>
      </c>
      <c r="J1040" t="s">
        <v>3785</v>
      </c>
      <c r="K1040" t="s">
        <v>3777</v>
      </c>
      <c r="L1040" t="s">
        <v>814</v>
      </c>
    </row>
    <row r="1041" spans="1:12">
      <c r="A1041" t="s">
        <v>3771</v>
      </c>
      <c r="B1041" t="s">
        <v>3772</v>
      </c>
      <c r="C1041" t="s">
        <v>3787</v>
      </c>
      <c r="D1041" t="s">
        <v>3774</v>
      </c>
      <c r="E1041" t="s">
        <v>3788</v>
      </c>
      <c r="F1041" t="s">
        <v>3789</v>
      </c>
      <c r="J1041" t="s">
        <v>3788</v>
      </c>
      <c r="K1041" t="s">
        <v>3777</v>
      </c>
      <c r="L1041" t="s">
        <v>814</v>
      </c>
    </row>
    <row r="1042" spans="1:12">
      <c r="A1042" t="s">
        <v>3771</v>
      </c>
      <c r="B1042" t="s">
        <v>3772</v>
      </c>
      <c r="C1042" t="s">
        <v>3790</v>
      </c>
      <c r="D1042" t="s">
        <v>3774</v>
      </c>
      <c r="E1042" t="s">
        <v>3791</v>
      </c>
      <c r="F1042" t="s">
        <v>3792</v>
      </c>
      <c r="J1042" t="s">
        <v>3791</v>
      </c>
      <c r="K1042" t="s">
        <v>3777</v>
      </c>
      <c r="L1042" t="s">
        <v>814</v>
      </c>
    </row>
    <row r="1043" spans="1:12">
      <c r="A1043" t="s">
        <v>3771</v>
      </c>
      <c r="B1043" t="s">
        <v>3772</v>
      </c>
      <c r="C1043" t="s">
        <v>3793</v>
      </c>
      <c r="D1043" t="s">
        <v>3774</v>
      </c>
      <c r="E1043" t="s">
        <v>3794</v>
      </c>
      <c r="F1043" t="s">
        <v>3795</v>
      </c>
      <c r="J1043" t="s">
        <v>3794</v>
      </c>
      <c r="K1043" t="s">
        <v>3777</v>
      </c>
      <c r="L1043" t="s">
        <v>814</v>
      </c>
    </row>
    <row r="1044" spans="1:12">
      <c r="A1044" t="s">
        <v>3771</v>
      </c>
      <c r="B1044" t="s">
        <v>3772</v>
      </c>
      <c r="C1044" t="s">
        <v>3796</v>
      </c>
      <c r="D1044" t="s">
        <v>3774</v>
      </c>
      <c r="E1044" t="s">
        <v>1403</v>
      </c>
      <c r="F1044" t="s">
        <v>3797</v>
      </c>
    </row>
    <row r="1045" spans="1:12">
      <c r="A1045" t="s">
        <v>3771</v>
      </c>
      <c r="B1045" t="s">
        <v>3772</v>
      </c>
      <c r="C1045" t="s">
        <v>3798</v>
      </c>
      <c r="D1045" t="s">
        <v>3774</v>
      </c>
      <c r="E1045" t="s">
        <v>3799</v>
      </c>
      <c r="F1045" t="s">
        <v>3800</v>
      </c>
      <c r="J1045" t="s">
        <v>3799</v>
      </c>
      <c r="K1045" t="s">
        <v>3777</v>
      </c>
      <c r="L1045" t="s">
        <v>814</v>
      </c>
    </row>
    <row r="1046" spans="1:12">
      <c r="A1046" t="s">
        <v>3771</v>
      </c>
      <c r="B1046" t="s">
        <v>3772</v>
      </c>
      <c r="C1046" t="s">
        <v>3801</v>
      </c>
      <c r="D1046" t="s">
        <v>3774</v>
      </c>
      <c r="E1046" t="s">
        <v>3802</v>
      </c>
      <c r="F1046" t="s">
        <v>3803</v>
      </c>
      <c r="J1046" t="s">
        <v>3802</v>
      </c>
      <c r="K1046" t="s">
        <v>3777</v>
      </c>
      <c r="L1046" t="s">
        <v>814</v>
      </c>
    </row>
    <row r="1047" spans="1:12">
      <c r="A1047" t="s">
        <v>3771</v>
      </c>
      <c r="B1047" t="s">
        <v>3772</v>
      </c>
      <c r="C1047" t="s">
        <v>3804</v>
      </c>
      <c r="D1047" t="s">
        <v>3774</v>
      </c>
      <c r="E1047" t="s">
        <v>3805</v>
      </c>
      <c r="F1047" t="s">
        <v>3806</v>
      </c>
      <c r="J1047" t="s">
        <v>3805</v>
      </c>
      <c r="K1047" t="s">
        <v>3777</v>
      </c>
      <c r="L1047" t="s">
        <v>814</v>
      </c>
    </row>
    <row r="1048" spans="1:12">
      <c r="A1048" t="s">
        <v>3771</v>
      </c>
      <c r="B1048" t="s">
        <v>3772</v>
      </c>
      <c r="C1048" t="s">
        <v>3807</v>
      </c>
      <c r="D1048" t="s">
        <v>3774</v>
      </c>
      <c r="E1048" t="s">
        <v>3808</v>
      </c>
      <c r="F1048" t="s">
        <v>3809</v>
      </c>
      <c r="J1048" t="s">
        <v>3808</v>
      </c>
      <c r="K1048" t="s">
        <v>3777</v>
      </c>
      <c r="L1048" t="s">
        <v>814</v>
      </c>
    </row>
    <row r="1049" spans="1:12">
      <c r="A1049" t="s">
        <v>3771</v>
      </c>
      <c r="B1049" t="s">
        <v>3772</v>
      </c>
      <c r="C1049" t="s">
        <v>3810</v>
      </c>
      <c r="D1049" t="s">
        <v>3774</v>
      </c>
      <c r="E1049" t="s">
        <v>3811</v>
      </c>
      <c r="F1049" t="s">
        <v>3812</v>
      </c>
      <c r="J1049" t="s">
        <v>3811</v>
      </c>
      <c r="K1049" t="s">
        <v>3777</v>
      </c>
      <c r="L1049" t="s">
        <v>814</v>
      </c>
    </row>
    <row r="1050" spans="1:12">
      <c r="A1050" t="s">
        <v>3771</v>
      </c>
      <c r="B1050" t="s">
        <v>3772</v>
      </c>
      <c r="C1050" t="s">
        <v>3813</v>
      </c>
      <c r="D1050" t="s">
        <v>3774</v>
      </c>
      <c r="E1050" t="s">
        <v>3814</v>
      </c>
      <c r="F1050" t="s">
        <v>3815</v>
      </c>
      <c r="J1050" t="s">
        <v>3814</v>
      </c>
      <c r="K1050" t="s">
        <v>3777</v>
      </c>
      <c r="L1050" t="s">
        <v>814</v>
      </c>
    </row>
    <row r="1051" spans="1:12">
      <c r="A1051" t="s">
        <v>3771</v>
      </c>
      <c r="B1051" t="s">
        <v>3772</v>
      </c>
      <c r="C1051" t="s">
        <v>3816</v>
      </c>
      <c r="D1051" t="s">
        <v>3774</v>
      </c>
      <c r="E1051" t="s">
        <v>3817</v>
      </c>
      <c r="F1051" t="s">
        <v>3818</v>
      </c>
    </row>
    <row r="1052" spans="1:12">
      <c r="A1052" t="s">
        <v>3771</v>
      </c>
      <c r="B1052" t="s">
        <v>3772</v>
      </c>
      <c r="C1052" t="s">
        <v>3819</v>
      </c>
      <c r="D1052" t="s">
        <v>3774</v>
      </c>
      <c r="E1052" t="s">
        <v>3820</v>
      </c>
      <c r="F1052" t="s">
        <v>3821</v>
      </c>
    </row>
    <row r="1053" spans="1:12">
      <c r="A1053" t="s">
        <v>3771</v>
      </c>
      <c r="B1053" t="s">
        <v>3772</v>
      </c>
      <c r="C1053" t="s">
        <v>3822</v>
      </c>
      <c r="D1053" t="s">
        <v>3774</v>
      </c>
      <c r="E1053" t="s">
        <v>3823</v>
      </c>
      <c r="F1053" t="s">
        <v>3824</v>
      </c>
      <c r="J1053" t="s">
        <v>3823</v>
      </c>
      <c r="K1053" t="s">
        <v>3777</v>
      </c>
      <c r="L1053" t="s">
        <v>814</v>
      </c>
    </row>
    <row r="1054" spans="1:12">
      <c r="A1054" t="s">
        <v>3771</v>
      </c>
      <c r="B1054" t="s">
        <v>3772</v>
      </c>
      <c r="C1054" t="s">
        <v>3825</v>
      </c>
      <c r="D1054" t="s">
        <v>3774</v>
      </c>
      <c r="E1054" t="s">
        <v>3826</v>
      </c>
      <c r="F1054" t="s">
        <v>3827</v>
      </c>
      <c r="J1054" t="s">
        <v>3826</v>
      </c>
      <c r="K1054" t="s">
        <v>3777</v>
      </c>
      <c r="L1054" t="s">
        <v>814</v>
      </c>
    </row>
    <row r="1055" spans="1:12">
      <c r="A1055" t="s">
        <v>3771</v>
      </c>
      <c r="B1055" t="s">
        <v>3772</v>
      </c>
      <c r="C1055" t="s">
        <v>3828</v>
      </c>
      <c r="D1055" t="s">
        <v>3774</v>
      </c>
      <c r="E1055" t="s">
        <v>3829</v>
      </c>
      <c r="F1055" t="s">
        <v>3830</v>
      </c>
      <c r="J1055" t="s">
        <v>3829</v>
      </c>
      <c r="K1055" t="s">
        <v>3777</v>
      </c>
      <c r="L1055" t="s">
        <v>814</v>
      </c>
    </row>
    <row r="1056" spans="1:12">
      <c r="A1056" t="s">
        <v>3771</v>
      </c>
      <c r="B1056" t="s">
        <v>3772</v>
      </c>
      <c r="C1056" t="s">
        <v>3831</v>
      </c>
      <c r="D1056" t="s">
        <v>3774</v>
      </c>
      <c r="E1056" t="s">
        <v>3832</v>
      </c>
      <c r="F1056" t="s">
        <v>3833</v>
      </c>
      <c r="J1056" t="s">
        <v>3832</v>
      </c>
      <c r="K1056" t="s">
        <v>3777</v>
      </c>
      <c r="L1056" t="s">
        <v>814</v>
      </c>
    </row>
    <row r="1057" spans="1:12">
      <c r="A1057" t="s">
        <v>3771</v>
      </c>
      <c r="B1057" t="s">
        <v>3772</v>
      </c>
      <c r="C1057" t="s">
        <v>3834</v>
      </c>
      <c r="D1057" t="s">
        <v>3774</v>
      </c>
      <c r="E1057" t="s">
        <v>3835</v>
      </c>
      <c r="F1057" t="s">
        <v>3836</v>
      </c>
      <c r="J1057" t="s">
        <v>3835</v>
      </c>
      <c r="K1057" t="s">
        <v>3777</v>
      </c>
      <c r="L1057" t="s">
        <v>814</v>
      </c>
    </row>
    <row r="1058" spans="1:12">
      <c r="A1058" t="s">
        <v>3771</v>
      </c>
      <c r="B1058" t="s">
        <v>3772</v>
      </c>
      <c r="C1058" t="s">
        <v>3837</v>
      </c>
      <c r="D1058" t="s">
        <v>3774</v>
      </c>
      <c r="E1058" t="s">
        <v>3838</v>
      </c>
      <c r="F1058" t="s">
        <v>3839</v>
      </c>
      <c r="J1058" t="s">
        <v>3838</v>
      </c>
      <c r="K1058" t="s">
        <v>3777</v>
      </c>
      <c r="L1058" t="s">
        <v>814</v>
      </c>
    </row>
    <row r="1059" spans="1:12">
      <c r="A1059" t="s">
        <v>3771</v>
      </c>
      <c r="B1059" t="s">
        <v>3772</v>
      </c>
      <c r="C1059" t="s">
        <v>3840</v>
      </c>
      <c r="D1059" t="s">
        <v>3774</v>
      </c>
      <c r="E1059" t="s">
        <v>3841</v>
      </c>
      <c r="F1059" t="s">
        <v>3842</v>
      </c>
      <c r="J1059" t="s">
        <v>3841</v>
      </c>
      <c r="K1059" t="s">
        <v>3777</v>
      </c>
      <c r="L1059" t="s">
        <v>814</v>
      </c>
    </row>
    <row r="1060" spans="1:12">
      <c r="A1060" t="s">
        <v>3771</v>
      </c>
      <c r="B1060" t="s">
        <v>3772</v>
      </c>
      <c r="C1060" t="s">
        <v>3843</v>
      </c>
      <c r="D1060" t="s">
        <v>3774</v>
      </c>
      <c r="E1060" t="s">
        <v>1564</v>
      </c>
      <c r="F1060" t="s">
        <v>3844</v>
      </c>
      <c r="J1060" t="s">
        <v>1564</v>
      </c>
      <c r="K1060" t="s">
        <v>3777</v>
      </c>
      <c r="L1060" t="s">
        <v>814</v>
      </c>
    </row>
    <row r="1061" spans="1:12">
      <c r="A1061" t="s">
        <v>3771</v>
      </c>
      <c r="B1061" t="s">
        <v>3772</v>
      </c>
      <c r="C1061" t="s">
        <v>3845</v>
      </c>
      <c r="D1061" t="s">
        <v>3774</v>
      </c>
      <c r="E1061" t="s">
        <v>3846</v>
      </c>
      <c r="F1061" t="s">
        <v>3847</v>
      </c>
      <c r="J1061" t="s">
        <v>3846</v>
      </c>
      <c r="K1061" t="s">
        <v>3777</v>
      </c>
      <c r="L1061" t="s">
        <v>814</v>
      </c>
    </row>
    <row r="1062" spans="1:12">
      <c r="A1062" t="s">
        <v>3771</v>
      </c>
      <c r="B1062" t="s">
        <v>3772</v>
      </c>
      <c r="C1062" t="s">
        <v>3848</v>
      </c>
      <c r="D1062" t="s">
        <v>3774</v>
      </c>
      <c r="E1062" t="s">
        <v>3849</v>
      </c>
      <c r="F1062" t="s">
        <v>3850</v>
      </c>
      <c r="J1062" t="s">
        <v>3849</v>
      </c>
      <c r="K1062" t="s">
        <v>3777</v>
      </c>
      <c r="L1062" t="s">
        <v>814</v>
      </c>
    </row>
    <row r="1063" spans="1:12">
      <c r="A1063" t="s">
        <v>3771</v>
      </c>
      <c r="B1063" t="s">
        <v>3772</v>
      </c>
      <c r="C1063" t="s">
        <v>3851</v>
      </c>
      <c r="D1063" t="s">
        <v>3774</v>
      </c>
      <c r="E1063" t="s">
        <v>3852</v>
      </c>
      <c r="F1063" t="s">
        <v>3853</v>
      </c>
      <c r="J1063" t="s">
        <v>3852</v>
      </c>
      <c r="K1063" t="s">
        <v>3777</v>
      </c>
      <c r="L1063" t="s">
        <v>814</v>
      </c>
    </row>
    <row r="1064" spans="1:12">
      <c r="A1064" t="s">
        <v>3771</v>
      </c>
      <c r="B1064" t="s">
        <v>3772</v>
      </c>
      <c r="C1064" t="s">
        <v>3854</v>
      </c>
      <c r="D1064" t="s">
        <v>3774</v>
      </c>
      <c r="E1064" t="s">
        <v>3855</v>
      </c>
      <c r="F1064" t="s">
        <v>3856</v>
      </c>
    </row>
    <row r="1065" spans="1:12">
      <c r="A1065" t="s">
        <v>3771</v>
      </c>
      <c r="B1065" t="s">
        <v>3772</v>
      </c>
      <c r="C1065" t="s">
        <v>3857</v>
      </c>
      <c r="D1065" t="s">
        <v>3774</v>
      </c>
      <c r="E1065" t="s">
        <v>3858</v>
      </c>
      <c r="F1065" t="s">
        <v>3859</v>
      </c>
      <c r="J1065" t="s">
        <v>3858</v>
      </c>
      <c r="K1065" t="s">
        <v>3777</v>
      </c>
      <c r="L1065" t="s">
        <v>814</v>
      </c>
    </row>
    <row r="1066" spans="1:12">
      <c r="A1066" t="s">
        <v>3771</v>
      </c>
      <c r="B1066" t="s">
        <v>3772</v>
      </c>
      <c r="C1066" t="s">
        <v>3860</v>
      </c>
      <c r="D1066" t="s">
        <v>3774</v>
      </c>
      <c r="E1066" t="s">
        <v>3861</v>
      </c>
      <c r="F1066" t="s">
        <v>3862</v>
      </c>
      <c r="J1066" t="s">
        <v>3861</v>
      </c>
      <c r="K1066" t="s">
        <v>3777</v>
      </c>
      <c r="L1066" t="s">
        <v>814</v>
      </c>
    </row>
    <row r="1067" spans="1:12">
      <c r="A1067" t="s">
        <v>3771</v>
      </c>
      <c r="B1067" t="s">
        <v>3772</v>
      </c>
      <c r="C1067" t="s">
        <v>3863</v>
      </c>
      <c r="D1067" t="s">
        <v>3774</v>
      </c>
      <c r="E1067" t="s">
        <v>3864</v>
      </c>
      <c r="F1067" t="s">
        <v>3865</v>
      </c>
      <c r="J1067" t="s">
        <v>3864</v>
      </c>
      <c r="K1067" t="s">
        <v>3777</v>
      </c>
      <c r="L1067" t="s">
        <v>814</v>
      </c>
    </row>
    <row r="1068" spans="1:12">
      <c r="A1068" t="s">
        <v>3771</v>
      </c>
      <c r="B1068" t="s">
        <v>3772</v>
      </c>
      <c r="C1068" t="s">
        <v>3866</v>
      </c>
      <c r="D1068" t="s">
        <v>3774</v>
      </c>
      <c r="E1068" t="s">
        <v>3867</v>
      </c>
      <c r="F1068" t="s">
        <v>3868</v>
      </c>
      <c r="J1068" t="s">
        <v>3867</v>
      </c>
      <c r="K1068" t="s">
        <v>3777</v>
      </c>
      <c r="L1068" t="s">
        <v>814</v>
      </c>
    </row>
    <row r="1069" spans="1:12">
      <c r="A1069" t="s">
        <v>3771</v>
      </c>
      <c r="B1069" t="s">
        <v>3772</v>
      </c>
      <c r="C1069" t="s">
        <v>3869</v>
      </c>
      <c r="D1069" t="s">
        <v>3774</v>
      </c>
      <c r="E1069" t="s">
        <v>3870</v>
      </c>
      <c r="F1069" t="s">
        <v>3871</v>
      </c>
      <c r="J1069" t="s">
        <v>3870</v>
      </c>
      <c r="K1069" t="s">
        <v>3777</v>
      </c>
      <c r="L1069" t="s">
        <v>814</v>
      </c>
    </row>
    <row r="1070" spans="1:12">
      <c r="A1070" t="s">
        <v>3771</v>
      </c>
      <c r="B1070" t="s">
        <v>3772</v>
      </c>
      <c r="C1070" t="s">
        <v>3872</v>
      </c>
      <c r="D1070" t="s">
        <v>3774</v>
      </c>
      <c r="E1070" t="s">
        <v>3873</v>
      </c>
      <c r="F1070" t="s">
        <v>3874</v>
      </c>
      <c r="J1070" t="s">
        <v>3873</v>
      </c>
      <c r="K1070" t="s">
        <v>3777</v>
      </c>
      <c r="L1070" t="s">
        <v>814</v>
      </c>
    </row>
    <row r="1071" spans="1:12">
      <c r="A1071" t="s">
        <v>3771</v>
      </c>
      <c r="B1071" t="s">
        <v>3772</v>
      </c>
      <c r="C1071" t="s">
        <v>3875</v>
      </c>
      <c r="D1071" t="s">
        <v>3774</v>
      </c>
      <c r="E1071" t="s">
        <v>3876</v>
      </c>
      <c r="F1071" t="s">
        <v>3877</v>
      </c>
    </row>
    <row r="1072" spans="1:12">
      <c r="A1072" t="s">
        <v>3771</v>
      </c>
      <c r="B1072" t="s">
        <v>3772</v>
      </c>
      <c r="C1072" t="s">
        <v>3878</v>
      </c>
      <c r="D1072" t="s">
        <v>3774</v>
      </c>
      <c r="E1072" t="s">
        <v>3879</v>
      </c>
      <c r="F1072" t="s">
        <v>3880</v>
      </c>
      <c r="J1072" t="s">
        <v>3879</v>
      </c>
      <c r="K1072" t="s">
        <v>3777</v>
      </c>
      <c r="L1072" t="s">
        <v>814</v>
      </c>
    </row>
    <row r="1073" spans="1:12">
      <c r="A1073" t="s">
        <v>3771</v>
      </c>
      <c r="B1073" t="s">
        <v>3772</v>
      </c>
      <c r="C1073" t="s">
        <v>3881</v>
      </c>
      <c r="D1073" t="s">
        <v>3774</v>
      </c>
      <c r="E1073" t="s">
        <v>3882</v>
      </c>
      <c r="F1073" t="s">
        <v>3883</v>
      </c>
      <c r="J1073" t="s">
        <v>3882</v>
      </c>
      <c r="K1073" t="s">
        <v>3777</v>
      </c>
      <c r="L1073" t="s">
        <v>814</v>
      </c>
    </row>
    <row r="1074" spans="1:12">
      <c r="A1074" t="s">
        <v>3771</v>
      </c>
      <c r="B1074" t="s">
        <v>3772</v>
      </c>
      <c r="C1074" t="s">
        <v>3884</v>
      </c>
      <c r="D1074" t="s">
        <v>3774</v>
      </c>
      <c r="E1074" t="s">
        <v>3885</v>
      </c>
      <c r="F1074" t="s">
        <v>3886</v>
      </c>
      <c r="J1074" t="s">
        <v>3885</v>
      </c>
      <c r="K1074" t="s">
        <v>3777</v>
      </c>
      <c r="L1074" t="s">
        <v>814</v>
      </c>
    </row>
    <row r="1075" spans="1:12">
      <c r="A1075" t="s">
        <v>3771</v>
      </c>
      <c r="B1075" t="s">
        <v>3772</v>
      </c>
      <c r="C1075" t="s">
        <v>3887</v>
      </c>
      <c r="D1075" t="s">
        <v>3774</v>
      </c>
      <c r="E1075" t="s">
        <v>3888</v>
      </c>
      <c r="F1075" t="s">
        <v>3889</v>
      </c>
      <c r="J1075" t="s">
        <v>3888</v>
      </c>
      <c r="K1075" t="s">
        <v>3777</v>
      </c>
      <c r="L1075" t="s">
        <v>814</v>
      </c>
    </row>
    <row r="1076" spans="1:12">
      <c r="A1076" t="s">
        <v>3771</v>
      </c>
      <c r="B1076" t="s">
        <v>3772</v>
      </c>
      <c r="C1076" t="s">
        <v>3890</v>
      </c>
      <c r="D1076" t="s">
        <v>3774</v>
      </c>
      <c r="E1076" t="s">
        <v>3891</v>
      </c>
      <c r="F1076" t="s">
        <v>3892</v>
      </c>
      <c r="J1076" t="s">
        <v>3891</v>
      </c>
      <c r="K1076" t="s">
        <v>3777</v>
      </c>
      <c r="L1076" t="s">
        <v>814</v>
      </c>
    </row>
    <row r="1077" spans="1:12">
      <c r="A1077" t="s">
        <v>3771</v>
      </c>
      <c r="B1077" t="s">
        <v>3772</v>
      </c>
      <c r="C1077" t="s">
        <v>3893</v>
      </c>
      <c r="D1077" t="s">
        <v>3774</v>
      </c>
      <c r="E1077" t="s">
        <v>3894</v>
      </c>
      <c r="F1077" t="s">
        <v>3895</v>
      </c>
      <c r="J1077" t="s">
        <v>3894</v>
      </c>
      <c r="K1077" t="s">
        <v>3777</v>
      </c>
      <c r="L1077" t="s">
        <v>814</v>
      </c>
    </row>
    <row r="1078" spans="1:12">
      <c r="A1078" t="s">
        <v>3771</v>
      </c>
      <c r="B1078" t="s">
        <v>3772</v>
      </c>
      <c r="C1078" t="s">
        <v>3896</v>
      </c>
      <c r="D1078" t="s">
        <v>3774</v>
      </c>
      <c r="E1078" t="s">
        <v>3897</v>
      </c>
      <c r="F1078" t="s">
        <v>3898</v>
      </c>
      <c r="J1078" t="s">
        <v>3897</v>
      </c>
      <c r="K1078" t="s">
        <v>3777</v>
      </c>
      <c r="L1078" t="s">
        <v>814</v>
      </c>
    </row>
    <row r="1079" spans="1:12">
      <c r="A1079" t="s">
        <v>3771</v>
      </c>
      <c r="B1079" t="s">
        <v>3772</v>
      </c>
      <c r="C1079" t="s">
        <v>3899</v>
      </c>
      <c r="D1079" t="s">
        <v>3774</v>
      </c>
      <c r="E1079" t="s">
        <v>3900</v>
      </c>
      <c r="F1079" t="s">
        <v>3901</v>
      </c>
      <c r="J1079" t="s">
        <v>3900</v>
      </c>
      <c r="K1079" t="s">
        <v>3777</v>
      </c>
      <c r="L1079" t="s">
        <v>814</v>
      </c>
    </row>
    <row r="1080" spans="1:12">
      <c r="A1080" t="s">
        <v>3771</v>
      </c>
      <c r="B1080" t="s">
        <v>3772</v>
      </c>
      <c r="C1080" t="s">
        <v>3902</v>
      </c>
      <c r="D1080" t="s">
        <v>3774</v>
      </c>
      <c r="E1080" t="s">
        <v>3903</v>
      </c>
      <c r="F1080" t="s">
        <v>3904</v>
      </c>
      <c r="J1080" t="s">
        <v>3903</v>
      </c>
      <c r="K1080" t="s">
        <v>3777</v>
      </c>
      <c r="L1080" t="s">
        <v>814</v>
      </c>
    </row>
    <row r="1081" spans="1:12">
      <c r="A1081" t="s">
        <v>3771</v>
      </c>
      <c r="B1081" t="s">
        <v>3772</v>
      </c>
      <c r="C1081" t="s">
        <v>3905</v>
      </c>
      <c r="D1081" t="s">
        <v>3774</v>
      </c>
      <c r="E1081" t="s">
        <v>3906</v>
      </c>
      <c r="F1081" t="s">
        <v>3907</v>
      </c>
      <c r="J1081" t="s">
        <v>3906</v>
      </c>
      <c r="K1081" t="s">
        <v>3777</v>
      </c>
      <c r="L1081" t="s">
        <v>814</v>
      </c>
    </row>
    <row r="1082" spans="1:12">
      <c r="A1082" t="s">
        <v>3771</v>
      </c>
      <c r="B1082" t="s">
        <v>3772</v>
      </c>
      <c r="C1082" t="s">
        <v>3908</v>
      </c>
      <c r="D1082" t="s">
        <v>3774</v>
      </c>
      <c r="E1082" t="s">
        <v>3909</v>
      </c>
      <c r="F1082" t="s">
        <v>3910</v>
      </c>
      <c r="J1082" t="s">
        <v>3909</v>
      </c>
      <c r="K1082" t="s">
        <v>3777</v>
      </c>
      <c r="L1082" t="s">
        <v>814</v>
      </c>
    </row>
    <row r="1083" spans="1:12">
      <c r="A1083" t="s">
        <v>3771</v>
      </c>
      <c r="B1083" t="s">
        <v>3772</v>
      </c>
      <c r="C1083" t="s">
        <v>3911</v>
      </c>
      <c r="D1083" t="s">
        <v>3774</v>
      </c>
      <c r="E1083" t="s">
        <v>3912</v>
      </c>
      <c r="F1083" t="s">
        <v>3913</v>
      </c>
    </row>
    <row r="1084" spans="1:12">
      <c r="A1084" t="s">
        <v>3771</v>
      </c>
      <c r="B1084" t="s">
        <v>3772</v>
      </c>
      <c r="C1084" t="s">
        <v>3914</v>
      </c>
      <c r="D1084" t="s">
        <v>3774</v>
      </c>
      <c r="E1084" t="s">
        <v>3915</v>
      </c>
      <c r="F1084" t="s">
        <v>3916</v>
      </c>
      <c r="J1084" t="s">
        <v>3915</v>
      </c>
      <c r="K1084" t="s">
        <v>3777</v>
      </c>
      <c r="L1084" t="s">
        <v>814</v>
      </c>
    </row>
    <row r="1085" spans="1:12">
      <c r="A1085" t="s">
        <v>3771</v>
      </c>
      <c r="B1085" t="s">
        <v>3772</v>
      </c>
      <c r="C1085" t="s">
        <v>3917</v>
      </c>
      <c r="D1085" t="s">
        <v>3774</v>
      </c>
      <c r="E1085" t="s">
        <v>3918</v>
      </c>
      <c r="F1085" t="s">
        <v>3919</v>
      </c>
      <c r="J1085" t="s">
        <v>3918</v>
      </c>
      <c r="K1085" t="s">
        <v>3777</v>
      </c>
      <c r="L1085" t="s">
        <v>814</v>
      </c>
    </row>
    <row r="1086" spans="1:12">
      <c r="A1086" t="s">
        <v>3771</v>
      </c>
      <c r="B1086" t="s">
        <v>3772</v>
      </c>
      <c r="C1086" t="s">
        <v>3920</v>
      </c>
      <c r="D1086" t="s">
        <v>3774</v>
      </c>
      <c r="E1086" t="s">
        <v>3921</v>
      </c>
      <c r="F1086" t="s">
        <v>3922</v>
      </c>
      <c r="J1086" t="s">
        <v>3921</v>
      </c>
      <c r="K1086" t="s">
        <v>3777</v>
      </c>
      <c r="L1086" t="s">
        <v>814</v>
      </c>
    </row>
    <row r="1087" spans="1:12">
      <c r="A1087" t="s">
        <v>3771</v>
      </c>
      <c r="B1087" t="s">
        <v>3772</v>
      </c>
      <c r="C1087" t="s">
        <v>3923</v>
      </c>
      <c r="D1087" t="s">
        <v>3774</v>
      </c>
      <c r="E1087" t="s">
        <v>3924</v>
      </c>
      <c r="F1087" t="s">
        <v>3925</v>
      </c>
      <c r="J1087" t="s">
        <v>3924</v>
      </c>
      <c r="K1087" t="s">
        <v>3777</v>
      </c>
      <c r="L1087" t="s">
        <v>814</v>
      </c>
    </row>
    <row r="1088" spans="1:12">
      <c r="A1088" t="s">
        <v>3771</v>
      </c>
      <c r="B1088" t="s">
        <v>3772</v>
      </c>
      <c r="C1088" t="s">
        <v>3926</v>
      </c>
      <c r="D1088" t="s">
        <v>3774</v>
      </c>
      <c r="E1088" t="s">
        <v>3927</v>
      </c>
      <c r="F1088" t="s">
        <v>3928</v>
      </c>
      <c r="J1088" t="s">
        <v>3927</v>
      </c>
      <c r="K1088" t="s">
        <v>3777</v>
      </c>
      <c r="L1088" t="s">
        <v>814</v>
      </c>
    </row>
    <row r="1089" spans="1:12">
      <c r="A1089" t="s">
        <v>3771</v>
      </c>
      <c r="B1089" t="s">
        <v>3772</v>
      </c>
      <c r="C1089" t="s">
        <v>3929</v>
      </c>
      <c r="D1089" t="s">
        <v>3774</v>
      </c>
      <c r="E1089" t="s">
        <v>3930</v>
      </c>
      <c r="F1089" t="s">
        <v>3931</v>
      </c>
      <c r="J1089" t="s">
        <v>3930</v>
      </c>
      <c r="K1089" t="s">
        <v>3777</v>
      </c>
      <c r="L1089" t="s">
        <v>814</v>
      </c>
    </row>
    <row r="1090" spans="1:12">
      <c r="A1090" t="s">
        <v>3771</v>
      </c>
      <c r="B1090" t="s">
        <v>3772</v>
      </c>
      <c r="C1090" t="s">
        <v>3932</v>
      </c>
      <c r="D1090" t="s">
        <v>3774</v>
      </c>
      <c r="E1090" t="s">
        <v>3933</v>
      </c>
      <c r="F1090" t="s">
        <v>3934</v>
      </c>
      <c r="J1090" t="s">
        <v>3933</v>
      </c>
      <c r="K1090" t="s">
        <v>3777</v>
      </c>
      <c r="L1090" t="s">
        <v>814</v>
      </c>
    </row>
    <row r="1091" spans="1:12">
      <c r="A1091" t="s">
        <v>3771</v>
      </c>
      <c r="B1091" t="s">
        <v>3772</v>
      </c>
      <c r="C1091" t="s">
        <v>3935</v>
      </c>
      <c r="D1091" t="s">
        <v>3774</v>
      </c>
      <c r="E1091" t="s">
        <v>3936</v>
      </c>
      <c r="F1091" t="s">
        <v>3937</v>
      </c>
      <c r="J1091" t="s">
        <v>3936</v>
      </c>
      <c r="K1091" t="s">
        <v>3777</v>
      </c>
      <c r="L1091" t="s">
        <v>814</v>
      </c>
    </row>
    <row r="1092" spans="1:12">
      <c r="A1092" t="s">
        <v>3771</v>
      </c>
      <c r="B1092" t="s">
        <v>3772</v>
      </c>
      <c r="C1092" t="s">
        <v>3938</v>
      </c>
      <c r="D1092" t="s">
        <v>3774</v>
      </c>
      <c r="E1092" t="s">
        <v>3939</v>
      </c>
      <c r="F1092" t="s">
        <v>3940</v>
      </c>
      <c r="J1092" t="s">
        <v>3939</v>
      </c>
      <c r="K1092" t="s">
        <v>3777</v>
      </c>
      <c r="L1092" t="s">
        <v>814</v>
      </c>
    </row>
    <row r="1093" spans="1:12">
      <c r="A1093" t="s">
        <v>3771</v>
      </c>
      <c r="B1093" t="s">
        <v>3772</v>
      </c>
      <c r="C1093" t="s">
        <v>3941</v>
      </c>
      <c r="D1093" t="s">
        <v>3774</v>
      </c>
      <c r="E1093" t="s">
        <v>3942</v>
      </c>
      <c r="F1093" t="s">
        <v>3943</v>
      </c>
      <c r="J1093" t="s">
        <v>3942</v>
      </c>
      <c r="K1093" t="s">
        <v>3777</v>
      </c>
      <c r="L1093" t="s">
        <v>814</v>
      </c>
    </row>
    <row r="1094" spans="1:12">
      <c r="A1094" t="s">
        <v>3771</v>
      </c>
      <c r="B1094" t="s">
        <v>3772</v>
      </c>
      <c r="C1094" t="s">
        <v>3944</v>
      </c>
      <c r="D1094" t="s">
        <v>3774</v>
      </c>
      <c r="E1094" t="s">
        <v>3945</v>
      </c>
      <c r="F1094" t="s">
        <v>3946</v>
      </c>
      <c r="J1094" t="s">
        <v>3945</v>
      </c>
      <c r="K1094" t="s">
        <v>3777</v>
      </c>
      <c r="L1094" t="s">
        <v>814</v>
      </c>
    </row>
    <row r="1095" spans="1:12">
      <c r="A1095" t="s">
        <v>3771</v>
      </c>
      <c r="B1095" t="s">
        <v>3772</v>
      </c>
      <c r="C1095" t="s">
        <v>3947</v>
      </c>
      <c r="D1095" t="s">
        <v>3774</v>
      </c>
      <c r="E1095" t="s">
        <v>3948</v>
      </c>
      <c r="F1095" t="s">
        <v>3949</v>
      </c>
      <c r="J1095" t="s">
        <v>3948</v>
      </c>
      <c r="K1095" t="s">
        <v>3777</v>
      </c>
      <c r="L1095" t="s">
        <v>814</v>
      </c>
    </row>
    <row r="1096" spans="1:12">
      <c r="A1096" t="s">
        <v>3771</v>
      </c>
      <c r="B1096" t="s">
        <v>3772</v>
      </c>
      <c r="C1096" t="s">
        <v>3950</v>
      </c>
      <c r="D1096" t="s">
        <v>3774</v>
      </c>
      <c r="E1096" t="s">
        <v>3951</v>
      </c>
      <c r="F1096" t="s">
        <v>3952</v>
      </c>
      <c r="J1096" t="s">
        <v>3951</v>
      </c>
      <c r="K1096" t="s">
        <v>3777</v>
      </c>
      <c r="L1096" t="s">
        <v>814</v>
      </c>
    </row>
    <row r="1097" spans="1:12">
      <c r="A1097" t="s">
        <v>3771</v>
      </c>
      <c r="B1097" t="s">
        <v>3772</v>
      </c>
      <c r="C1097" t="s">
        <v>3953</v>
      </c>
      <c r="D1097" t="s">
        <v>3774</v>
      </c>
      <c r="E1097" t="s">
        <v>3954</v>
      </c>
      <c r="F1097" t="s">
        <v>3955</v>
      </c>
      <c r="J1097" t="s">
        <v>3954</v>
      </c>
      <c r="K1097" t="s">
        <v>3777</v>
      </c>
      <c r="L1097" t="s">
        <v>814</v>
      </c>
    </row>
    <row r="1098" spans="1:12">
      <c r="A1098" t="s">
        <v>3771</v>
      </c>
      <c r="B1098" t="s">
        <v>3772</v>
      </c>
      <c r="C1098" t="s">
        <v>3956</v>
      </c>
      <c r="D1098" t="s">
        <v>3774</v>
      </c>
      <c r="E1098" t="s">
        <v>3957</v>
      </c>
      <c r="F1098" t="s">
        <v>3958</v>
      </c>
      <c r="J1098" t="s">
        <v>3957</v>
      </c>
      <c r="K1098" t="s">
        <v>3777</v>
      </c>
      <c r="L1098" t="s">
        <v>814</v>
      </c>
    </row>
    <row r="1099" spans="1:12">
      <c r="A1099" t="s">
        <v>3771</v>
      </c>
      <c r="B1099" t="s">
        <v>3772</v>
      </c>
      <c r="C1099" t="s">
        <v>3959</v>
      </c>
      <c r="D1099" t="s">
        <v>3774</v>
      </c>
      <c r="E1099" t="s">
        <v>3960</v>
      </c>
      <c r="F1099" t="s">
        <v>3961</v>
      </c>
      <c r="J1099" t="s">
        <v>3960</v>
      </c>
      <c r="K1099" t="s">
        <v>3777</v>
      </c>
      <c r="L1099" t="s">
        <v>814</v>
      </c>
    </row>
    <row r="1100" spans="1:12">
      <c r="A1100" t="s">
        <v>3771</v>
      </c>
      <c r="B1100" t="s">
        <v>3772</v>
      </c>
      <c r="C1100" t="s">
        <v>3962</v>
      </c>
      <c r="D1100" t="s">
        <v>3774</v>
      </c>
      <c r="E1100" t="s">
        <v>3963</v>
      </c>
      <c r="F1100" t="s">
        <v>3964</v>
      </c>
      <c r="J1100" t="s">
        <v>3963</v>
      </c>
      <c r="K1100" t="s">
        <v>3777</v>
      </c>
      <c r="L1100" t="s">
        <v>814</v>
      </c>
    </row>
    <row r="1101" spans="1:12">
      <c r="A1101" t="s">
        <v>3771</v>
      </c>
      <c r="B1101" t="s">
        <v>3772</v>
      </c>
      <c r="C1101" t="s">
        <v>3965</v>
      </c>
      <c r="D1101" t="s">
        <v>3774</v>
      </c>
      <c r="E1101" t="s">
        <v>3966</v>
      </c>
      <c r="F1101" t="s">
        <v>3967</v>
      </c>
      <c r="J1101" t="s">
        <v>3966</v>
      </c>
      <c r="K1101" t="s">
        <v>3777</v>
      </c>
      <c r="L1101" t="s">
        <v>814</v>
      </c>
    </row>
    <row r="1102" spans="1:12">
      <c r="A1102" t="s">
        <v>3771</v>
      </c>
      <c r="B1102" t="s">
        <v>3772</v>
      </c>
      <c r="C1102" t="s">
        <v>3968</v>
      </c>
      <c r="D1102" t="s">
        <v>3774</v>
      </c>
      <c r="E1102" t="s">
        <v>3969</v>
      </c>
      <c r="F1102" t="s">
        <v>3970</v>
      </c>
      <c r="J1102" t="s">
        <v>3969</v>
      </c>
      <c r="K1102" t="s">
        <v>3777</v>
      </c>
      <c r="L1102" t="s">
        <v>814</v>
      </c>
    </row>
    <row r="1103" spans="1:12">
      <c r="A1103" t="s">
        <v>3771</v>
      </c>
      <c r="B1103" t="s">
        <v>3772</v>
      </c>
      <c r="C1103" t="s">
        <v>3971</v>
      </c>
      <c r="D1103" t="s">
        <v>3774</v>
      </c>
      <c r="E1103" t="s">
        <v>3972</v>
      </c>
      <c r="F1103" t="s">
        <v>3973</v>
      </c>
      <c r="J1103" t="s">
        <v>3972</v>
      </c>
      <c r="K1103" t="s">
        <v>3777</v>
      </c>
      <c r="L1103" t="s">
        <v>814</v>
      </c>
    </row>
    <row r="1104" spans="1:12">
      <c r="A1104" t="s">
        <v>3771</v>
      </c>
      <c r="B1104" t="s">
        <v>3772</v>
      </c>
      <c r="C1104" t="s">
        <v>3974</v>
      </c>
      <c r="D1104" t="s">
        <v>3774</v>
      </c>
      <c r="E1104" t="s">
        <v>3975</v>
      </c>
      <c r="F1104" t="s">
        <v>3976</v>
      </c>
      <c r="J1104" t="s">
        <v>3975</v>
      </c>
      <c r="K1104" t="s">
        <v>3777</v>
      </c>
      <c r="L1104" t="s">
        <v>814</v>
      </c>
    </row>
    <row r="1105" spans="1:12">
      <c r="A1105" t="s">
        <v>3771</v>
      </c>
      <c r="B1105" t="s">
        <v>3772</v>
      </c>
      <c r="C1105" t="s">
        <v>3977</v>
      </c>
      <c r="D1105" t="s">
        <v>3774</v>
      </c>
      <c r="E1105" t="s">
        <v>3978</v>
      </c>
      <c r="F1105" t="s">
        <v>3979</v>
      </c>
      <c r="J1105" t="s">
        <v>3978</v>
      </c>
      <c r="K1105" t="s">
        <v>3777</v>
      </c>
      <c r="L1105" t="s">
        <v>814</v>
      </c>
    </row>
    <row r="1106" spans="1:12">
      <c r="A1106" t="s">
        <v>3771</v>
      </c>
      <c r="B1106" t="s">
        <v>3772</v>
      </c>
      <c r="C1106" t="s">
        <v>3980</v>
      </c>
      <c r="D1106" t="s">
        <v>3774</v>
      </c>
      <c r="E1106" t="s">
        <v>3981</v>
      </c>
      <c r="F1106" t="s">
        <v>3982</v>
      </c>
      <c r="J1106" t="s">
        <v>3981</v>
      </c>
      <c r="K1106" t="s">
        <v>3777</v>
      </c>
      <c r="L1106" t="s">
        <v>814</v>
      </c>
    </row>
    <row r="1107" spans="1:12">
      <c r="A1107" t="s">
        <v>3771</v>
      </c>
      <c r="B1107" t="s">
        <v>3772</v>
      </c>
      <c r="C1107" t="s">
        <v>3983</v>
      </c>
      <c r="D1107" t="s">
        <v>3774</v>
      </c>
      <c r="E1107" t="s">
        <v>3984</v>
      </c>
      <c r="F1107" t="s">
        <v>3985</v>
      </c>
    </row>
    <row r="1108" spans="1:12">
      <c r="A1108" t="s">
        <v>3771</v>
      </c>
      <c r="B1108" t="s">
        <v>3772</v>
      </c>
      <c r="C1108" t="s">
        <v>3986</v>
      </c>
      <c r="D1108" t="s">
        <v>3774</v>
      </c>
      <c r="E1108" t="s">
        <v>3987</v>
      </c>
      <c r="F1108" t="s">
        <v>3988</v>
      </c>
      <c r="J1108" t="s">
        <v>3987</v>
      </c>
      <c r="K1108" t="s">
        <v>3777</v>
      </c>
      <c r="L1108" t="s">
        <v>814</v>
      </c>
    </row>
    <row r="1109" spans="1:12">
      <c r="A1109" t="s">
        <v>3771</v>
      </c>
      <c r="B1109" t="s">
        <v>3772</v>
      </c>
      <c r="C1109" t="s">
        <v>3989</v>
      </c>
      <c r="D1109" t="s">
        <v>3774</v>
      </c>
      <c r="E1109" t="s">
        <v>3990</v>
      </c>
      <c r="F1109" t="s">
        <v>3991</v>
      </c>
      <c r="J1109" t="s">
        <v>3990</v>
      </c>
      <c r="K1109" t="s">
        <v>3777</v>
      </c>
      <c r="L1109" t="s">
        <v>814</v>
      </c>
    </row>
    <row r="1110" spans="1:12">
      <c r="A1110" t="s">
        <v>3771</v>
      </c>
      <c r="B1110" t="s">
        <v>3772</v>
      </c>
      <c r="C1110" t="s">
        <v>3992</v>
      </c>
      <c r="D1110" t="s">
        <v>3774</v>
      </c>
      <c r="E1110" t="s">
        <v>3993</v>
      </c>
      <c r="F1110" t="s">
        <v>3994</v>
      </c>
      <c r="J1110" t="s">
        <v>3993</v>
      </c>
      <c r="K1110" t="s">
        <v>3777</v>
      </c>
      <c r="L1110" t="s">
        <v>814</v>
      </c>
    </row>
    <row r="1111" spans="1:12">
      <c r="A1111" t="s">
        <v>3771</v>
      </c>
      <c r="B1111" t="s">
        <v>3772</v>
      </c>
      <c r="C1111" t="s">
        <v>3995</v>
      </c>
      <c r="D1111" t="s">
        <v>3774</v>
      </c>
      <c r="E1111" t="s">
        <v>3996</v>
      </c>
      <c r="F1111" t="s">
        <v>3997</v>
      </c>
      <c r="J1111" t="s">
        <v>3996</v>
      </c>
      <c r="K1111" t="s">
        <v>3777</v>
      </c>
      <c r="L1111" t="s">
        <v>814</v>
      </c>
    </row>
    <row r="1112" spans="1:12">
      <c r="A1112" t="s">
        <v>3771</v>
      </c>
      <c r="B1112" t="s">
        <v>3772</v>
      </c>
      <c r="C1112" t="s">
        <v>3998</v>
      </c>
      <c r="D1112" t="s">
        <v>3774</v>
      </c>
      <c r="E1112" t="s">
        <v>3999</v>
      </c>
      <c r="F1112" t="s">
        <v>4000</v>
      </c>
      <c r="J1112" t="s">
        <v>3999</v>
      </c>
      <c r="K1112" t="s">
        <v>3777</v>
      </c>
      <c r="L1112" t="s">
        <v>814</v>
      </c>
    </row>
    <row r="1113" spans="1:12">
      <c r="A1113" t="s">
        <v>3771</v>
      </c>
      <c r="B1113" t="s">
        <v>3772</v>
      </c>
      <c r="C1113" t="s">
        <v>4001</v>
      </c>
      <c r="D1113" t="s">
        <v>3774</v>
      </c>
      <c r="E1113" t="s">
        <v>4002</v>
      </c>
      <c r="F1113" t="s">
        <v>4003</v>
      </c>
      <c r="J1113" t="s">
        <v>4002</v>
      </c>
      <c r="K1113" t="s">
        <v>3777</v>
      </c>
      <c r="L1113" t="s">
        <v>814</v>
      </c>
    </row>
    <row r="1114" spans="1:12">
      <c r="A1114" t="s">
        <v>3771</v>
      </c>
      <c r="B1114" t="s">
        <v>3772</v>
      </c>
      <c r="C1114" t="s">
        <v>4004</v>
      </c>
      <c r="D1114" t="s">
        <v>3774</v>
      </c>
      <c r="E1114" t="s">
        <v>4005</v>
      </c>
      <c r="F1114" t="s">
        <v>4006</v>
      </c>
      <c r="J1114" t="s">
        <v>4005</v>
      </c>
      <c r="K1114" t="s">
        <v>3777</v>
      </c>
      <c r="L1114" t="s">
        <v>814</v>
      </c>
    </row>
    <row r="1115" spans="1:12">
      <c r="A1115" t="s">
        <v>3771</v>
      </c>
      <c r="B1115" t="s">
        <v>3772</v>
      </c>
      <c r="C1115" t="s">
        <v>4007</v>
      </c>
      <c r="D1115" t="s">
        <v>3774</v>
      </c>
      <c r="E1115" t="s">
        <v>4008</v>
      </c>
      <c r="F1115" t="s">
        <v>4009</v>
      </c>
      <c r="J1115" t="s">
        <v>4008</v>
      </c>
      <c r="K1115" t="s">
        <v>3777</v>
      </c>
      <c r="L1115" t="s">
        <v>814</v>
      </c>
    </row>
    <row r="1116" spans="1:12">
      <c r="A1116" t="s">
        <v>3771</v>
      </c>
      <c r="B1116" t="s">
        <v>3772</v>
      </c>
      <c r="C1116" t="s">
        <v>4010</v>
      </c>
      <c r="D1116" t="s">
        <v>3774</v>
      </c>
      <c r="E1116" t="s">
        <v>4011</v>
      </c>
      <c r="F1116" t="s">
        <v>4012</v>
      </c>
      <c r="J1116" t="s">
        <v>4011</v>
      </c>
      <c r="K1116" t="s">
        <v>3777</v>
      </c>
      <c r="L1116" t="s">
        <v>814</v>
      </c>
    </row>
    <row r="1117" spans="1:12">
      <c r="A1117" t="s">
        <v>3771</v>
      </c>
      <c r="B1117" t="s">
        <v>3772</v>
      </c>
      <c r="C1117" t="s">
        <v>4013</v>
      </c>
      <c r="D1117" t="s">
        <v>3774</v>
      </c>
      <c r="E1117" t="s">
        <v>829</v>
      </c>
      <c r="F1117" t="s">
        <v>4014</v>
      </c>
      <c r="J1117" t="s">
        <v>829</v>
      </c>
      <c r="K1117" t="s">
        <v>3777</v>
      </c>
      <c r="L1117" t="s">
        <v>814</v>
      </c>
    </row>
    <row r="1118" spans="1:12">
      <c r="A1118" t="s">
        <v>3771</v>
      </c>
      <c r="B1118" t="s">
        <v>3772</v>
      </c>
      <c r="C1118" t="s">
        <v>4015</v>
      </c>
      <c r="D1118" t="s">
        <v>3774</v>
      </c>
      <c r="E1118" t="s">
        <v>4016</v>
      </c>
      <c r="F1118" t="s">
        <v>4017</v>
      </c>
      <c r="J1118" t="s">
        <v>4016</v>
      </c>
      <c r="K1118" t="s">
        <v>3777</v>
      </c>
      <c r="L1118" t="s">
        <v>814</v>
      </c>
    </row>
    <row r="1119" spans="1:12">
      <c r="A1119" t="s">
        <v>3771</v>
      </c>
      <c r="B1119" t="s">
        <v>3772</v>
      </c>
      <c r="C1119" t="s">
        <v>4018</v>
      </c>
      <c r="D1119" t="s">
        <v>3774</v>
      </c>
      <c r="E1119" t="s">
        <v>4019</v>
      </c>
      <c r="F1119" t="s">
        <v>4020</v>
      </c>
      <c r="J1119" t="s">
        <v>4019</v>
      </c>
      <c r="K1119" t="s">
        <v>3777</v>
      </c>
      <c r="L1119" t="s">
        <v>814</v>
      </c>
    </row>
    <row r="1120" spans="1:12">
      <c r="A1120" t="s">
        <v>3771</v>
      </c>
      <c r="B1120" t="s">
        <v>3772</v>
      </c>
      <c r="C1120" t="s">
        <v>4021</v>
      </c>
      <c r="D1120" t="s">
        <v>3774</v>
      </c>
      <c r="E1120" t="s">
        <v>4022</v>
      </c>
      <c r="F1120" t="s">
        <v>4023</v>
      </c>
      <c r="J1120" t="s">
        <v>4022</v>
      </c>
      <c r="K1120" t="s">
        <v>3777</v>
      </c>
      <c r="L1120" t="s">
        <v>814</v>
      </c>
    </row>
    <row r="1121" spans="1:12">
      <c r="A1121" t="s">
        <v>3771</v>
      </c>
      <c r="B1121" t="s">
        <v>3772</v>
      </c>
      <c r="C1121" t="s">
        <v>4024</v>
      </c>
      <c r="D1121" t="s">
        <v>3774</v>
      </c>
      <c r="E1121" t="s">
        <v>4025</v>
      </c>
      <c r="F1121" t="s">
        <v>4026</v>
      </c>
    </row>
    <row r="1122" spans="1:12">
      <c r="A1122" t="s">
        <v>3771</v>
      </c>
      <c r="B1122" t="s">
        <v>3772</v>
      </c>
      <c r="C1122" t="s">
        <v>4027</v>
      </c>
      <c r="D1122" t="s">
        <v>3774</v>
      </c>
      <c r="E1122" t="s">
        <v>4028</v>
      </c>
      <c r="F1122" t="s">
        <v>4029</v>
      </c>
      <c r="J1122" t="s">
        <v>4028</v>
      </c>
      <c r="K1122" t="s">
        <v>3777</v>
      </c>
      <c r="L1122" t="s">
        <v>814</v>
      </c>
    </row>
    <row r="1123" spans="1:12">
      <c r="A1123" t="s">
        <v>3771</v>
      </c>
      <c r="B1123" t="s">
        <v>3772</v>
      </c>
      <c r="C1123" t="s">
        <v>4030</v>
      </c>
      <c r="D1123" t="s">
        <v>3774</v>
      </c>
      <c r="E1123" t="s">
        <v>4031</v>
      </c>
      <c r="F1123" t="s">
        <v>4032</v>
      </c>
      <c r="J1123" t="s">
        <v>4031</v>
      </c>
      <c r="K1123" t="s">
        <v>3777</v>
      </c>
      <c r="L1123" t="s">
        <v>814</v>
      </c>
    </row>
    <row r="1124" spans="1:12">
      <c r="A1124" t="s">
        <v>3771</v>
      </c>
      <c r="B1124" t="s">
        <v>3772</v>
      </c>
      <c r="C1124" t="s">
        <v>4033</v>
      </c>
      <c r="D1124" t="s">
        <v>3774</v>
      </c>
      <c r="E1124" t="s">
        <v>4034</v>
      </c>
      <c r="F1124" t="s">
        <v>4035</v>
      </c>
      <c r="J1124" t="s">
        <v>4034</v>
      </c>
      <c r="K1124" t="s">
        <v>3777</v>
      </c>
      <c r="L1124" t="s">
        <v>814</v>
      </c>
    </row>
    <row r="1125" spans="1:12">
      <c r="A1125" t="s">
        <v>3771</v>
      </c>
      <c r="B1125" t="s">
        <v>3772</v>
      </c>
      <c r="C1125" t="s">
        <v>4036</v>
      </c>
      <c r="D1125" t="s">
        <v>3774</v>
      </c>
      <c r="E1125" t="s">
        <v>4037</v>
      </c>
      <c r="F1125" t="s">
        <v>4038</v>
      </c>
      <c r="J1125" t="s">
        <v>4037</v>
      </c>
      <c r="K1125" t="s">
        <v>3777</v>
      </c>
      <c r="L1125" t="s">
        <v>814</v>
      </c>
    </row>
    <row r="1126" spans="1:12">
      <c r="A1126" t="s">
        <v>3771</v>
      </c>
      <c r="B1126" t="s">
        <v>3772</v>
      </c>
      <c r="C1126" t="s">
        <v>4039</v>
      </c>
      <c r="D1126" t="s">
        <v>3774</v>
      </c>
      <c r="E1126" t="s">
        <v>4040</v>
      </c>
      <c r="F1126" t="s">
        <v>4041</v>
      </c>
      <c r="J1126" t="s">
        <v>4040</v>
      </c>
      <c r="K1126" t="s">
        <v>3777</v>
      </c>
      <c r="L1126" t="s">
        <v>814</v>
      </c>
    </row>
    <row r="1127" spans="1:12">
      <c r="A1127" t="s">
        <v>3771</v>
      </c>
      <c r="B1127" t="s">
        <v>3772</v>
      </c>
      <c r="C1127" t="s">
        <v>4042</v>
      </c>
      <c r="D1127" t="s">
        <v>3774</v>
      </c>
      <c r="E1127" t="s">
        <v>4043</v>
      </c>
      <c r="F1127" t="s">
        <v>4044</v>
      </c>
      <c r="J1127" t="s">
        <v>4043</v>
      </c>
      <c r="K1127" t="s">
        <v>3777</v>
      </c>
      <c r="L1127" t="s">
        <v>814</v>
      </c>
    </row>
    <row r="1128" spans="1:12">
      <c r="A1128" t="s">
        <v>3771</v>
      </c>
      <c r="B1128" t="s">
        <v>3772</v>
      </c>
      <c r="C1128" t="s">
        <v>4045</v>
      </c>
      <c r="D1128" t="s">
        <v>3774</v>
      </c>
      <c r="E1128" t="s">
        <v>4046</v>
      </c>
      <c r="F1128" t="s">
        <v>4047</v>
      </c>
      <c r="J1128" t="s">
        <v>4046</v>
      </c>
      <c r="K1128" t="s">
        <v>3777</v>
      </c>
      <c r="L1128" t="s">
        <v>814</v>
      </c>
    </row>
    <row r="1129" spans="1:12">
      <c r="A1129" t="s">
        <v>3771</v>
      </c>
      <c r="B1129" t="s">
        <v>3772</v>
      </c>
      <c r="C1129" t="s">
        <v>4048</v>
      </c>
      <c r="D1129" t="s">
        <v>3774</v>
      </c>
      <c r="E1129" t="s">
        <v>4049</v>
      </c>
      <c r="F1129" t="s">
        <v>4050</v>
      </c>
    </row>
    <row r="1130" spans="1:12">
      <c r="A1130" t="s">
        <v>3771</v>
      </c>
      <c r="B1130" t="s">
        <v>3772</v>
      </c>
      <c r="C1130" t="s">
        <v>4051</v>
      </c>
      <c r="D1130" t="s">
        <v>3774</v>
      </c>
      <c r="E1130" t="s">
        <v>4052</v>
      </c>
      <c r="F1130" t="s">
        <v>4053</v>
      </c>
      <c r="J1130" t="s">
        <v>4052</v>
      </c>
      <c r="K1130" t="s">
        <v>3777</v>
      </c>
      <c r="L1130" t="s">
        <v>814</v>
      </c>
    </row>
    <row r="1131" spans="1:12">
      <c r="A1131" t="s">
        <v>3771</v>
      </c>
      <c r="B1131" t="s">
        <v>3772</v>
      </c>
      <c r="C1131" t="s">
        <v>4054</v>
      </c>
      <c r="D1131" t="s">
        <v>3774</v>
      </c>
      <c r="E1131" t="s">
        <v>4055</v>
      </c>
      <c r="F1131" t="s">
        <v>4056</v>
      </c>
    </row>
    <row r="1132" spans="1:12">
      <c r="A1132" t="s">
        <v>3771</v>
      </c>
      <c r="B1132" t="s">
        <v>3772</v>
      </c>
      <c r="C1132" t="s">
        <v>4057</v>
      </c>
      <c r="D1132" t="s">
        <v>3774</v>
      </c>
      <c r="E1132" t="s">
        <v>4058</v>
      </c>
      <c r="F1132" t="s">
        <v>4059</v>
      </c>
      <c r="J1132" t="s">
        <v>4058</v>
      </c>
      <c r="K1132" t="s">
        <v>3777</v>
      </c>
      <c r="L1132" t="s">
        <v>814</v>
      </c>
    </row>
    <row r="1133" spans="1:12">
      <c r="A1133" t="s">
        <v>3771</v>
      </c>
      <c r="B1133" t="s">
        <v>3772</v>
      </c>
      <c r="C1133" t="s">
        <v>4060</v>
      </c>
      <c r="D1133" t="s">
        <v>3774</v>
      </c>
      <c r="E1133" t="s">
        <v>4061</v>
      </c>
      <c r="F1133" t="s">
        <v>4062</v>
      </c>
      <c r="J1133" t="s">
        <v>4061</v>
      </c>
      <c r="K1133" t="s">
        <v>3777</v>
      </c>
      <c r="L1133" t="s">
        <v>814</v>
      </c>
    </row>
    <row r="1134" spans="1:12">
      <c r="A1134" t="s">
        <v>3771</v>
      </c>
      <c r="B1134" t="s">
        <v>3772</v>
      </c>
      <c r="C1134" t="s">
        <v>4063</v>
      </c>
      <c r="D1134" t="s">
        <v>3774</v>
      </c>
      <c r="E1134" t="s">
        <v>4064</v>
      </c>
      <c r="F1134" t="s">
        <v>4065</v>
      </c>
      <c r="J1134" t="s">
        <v>4064</v>
      </c>
      <c r="K1134" t="s">
        <v>3777</v>
      </c>
      <c r="L1134" t="s">
        <v>814</v>
      </c>
    </row>
    <row r="1135" spans="1:12">
      <c r="A1135" t="s">
        <v>3771</v>
      </c>
      <c r="B1135" t="s">
        <v>3772</v>
      </c>
      <c r="C1135" t="s">
        <v>4066</v>
      </c>
      <c r="D1135" t="s">
        <v>3774</v>
      </c>
      <c r="E1135" t="s">
        <v>4067</v>
      </c>
      <c r="F1135" t="s">
        <v>4068</v>
      </c>
    </row>
    <row r="1136" spans="1:12">
      <c r="A1136" t="s">
        <v>3771</v>
      </c>
      <c r="B1136" t="s">
        <v>3772</v>
      </c>
      <c r="C1136" t="s">
        <v>4069</v>
      </c>
      <c r="D1136" t="s">
        <v>3774</v>
      </c>
      <c r="E1136" t="s">
        <v>4070</v>
      </c>
      <c r="F1136" t="s">
        <v>4071</v>
      </c>
      <c r="J1136" t="s">
        <v>4070</v>
      </c>
      <c r="K1136" t="s">
        <v>3777</v>
      </c>
      <c r="L1136" t="s">
        <v>814</v>
      </c>
    </row>
    <row r="1137" spans="1:12">
      <c r="A1137" t="s">
        <v>3771</v>
      </c>
      <c r="B1137" t="s">
        <v>3772</v>
      </c>
      <c r="C1137" t="s">
        <v>4072</v>
      </c>
      <c r="D1137" t="s">
        <v>3774</v>
      </c>
      <c r="E1137" t="s">
        <v>4073</v>
      </c>
      <c r="F1137" t="s">
        <v>4074</v>
      </c>
      <c r="J1137" t="s">
        <v>4073</v>
      </c>
      <c r="K1137" t="s">
        <v>3777</v>
      </c>
      <c r="L1137" t="s">
        <v>814</v>
      </c>
    </row>
    <row r="1138" spans="1:12">
      <c r="A1138" t="s">
        <v>3771</v>
      </c>
      <c r="B1138" t="s">
        <v>3772</v>
      </c>
      <c r="C1138" t="s">
        <v>4075</v>
      </c>
      <c r="D1138" t="s">
        <v>3774</v>
      </c>
      <c r="E1138" t="s">
        <v>4076</v>
      </c>
      <c r="F1138" t="s">
        <v>4077</v>
      </c>
      <c r="J1138" t="s">
        <v>4076</v>
      </c>
      <c r="K1138" t="s">
        <v>3777</v>
      </c>
      <c r="L1138" t="s">
        <v>814</v>
      </c>
    </row>
    <row r="1139" spans="1:12">
      <c r="A1139" t="s">
        <v>3771</v>
      </c>
      <c r="B1139" t="s">
        <v>3772</v>
      </c>
      <c r="C1139" t="s">
        <v>4078</v>
      </c>
      <c r="D1139" t="s">
        <v>3774</v>
      </c>
      <c r="E1139" t="s">
        <v>4079</v>
      </c>
      <c r="F1139" t="s">
        <v>4080</v>
      </c>
      <c r="J1139" t="s">
        <v>4079</v>
      </c>
      <c r="K1139" t="s">
        <v>3777</v>
      </c>
      <c r="L1139" t="s">
        <v>814</v>
      </c>
    </row>
    <row r="1140" spans="1:12">
      <c r="A1140" t="s">
        <v>3771</v>
      </c>
      <c r="B1140" t="s">
        <v>3772</v>
      </c>
      <c r="C1140" t="s">
        <v>4081</v>
      </c>
      <c r="D1140" t="s">
        <v>3774</v>
      </c>
      <c r="E1140" t="s">
        <v>4082</v>
      </c>
      <c r="F1140" t="s">
        <v>4083</v>
      </c>
      <c r="J1140" t="s">
        <v>4082</v>
      </c>
      <c r="K1140" t="s">
        <v>3777</v>
      </c>
      <c r="L1140" t="s">
        <v>814</v>
      </c>
    </row>
    <row r="1141" spans="1:12">
      <c r="A1141" t="s">
        <v>3771</v>
      </c>
      <c r="B1141" t="s">
        <v>3772</v>
      </c>
      <c r="C1141" t="s">
        <v>4084</v>
      </c>
      <c r="D1141" t="s">
        <v>3774</v>
      </c>
      <c r="E1141" t="s">
        <v>4085</v>
      </c>
      <c r="F1141" t="s">
        <v>4086</v>
      </c>
      <c r="J1141" t="s">
        <v>4085</v>
      </c>
      <c r="K1141" t="s">
        <v>3777</v>
      </c>
      <c r="L1141" t="s">
        <v>814</v>
      </c>
    </row>
    <row r="1142" spans="1:12">
      <c r="A1142" t="s">
        <v>3771</v>
      </c>
      <c r="B1142" t="s">
        <v>3772</v>
      </c>
      <c r="C1142" t="s">
        <v>4087</v>
      </c>
      <c r="D1142" t="s">
        <v>3774</v>
      </c>
      <c r="E1142" t="s">
        <v>4088</v>
      </c>
      <c r="F1142" t="s">
        <v>4089</v>
      </c>
      <c r="J1142" t="s">
        <v>4088</v>
      </c>
      <c r="K1142" t="s">
        <v>3777</v>
      </c>
      <c r="L1142" t="s">
        <v>814</v>
      </c>
    </row>
    <row r="1143" spans="1:12">
      <c r="A1143" t="s">
        <v>3771</v>
      </c>
      <c r="B1143" t="s">
        <v>3772</v>
      </c>
      <c r="C1143" t="s">
        <v>4090</v>
      </c>
      <c r="D1143" t="s">
        <v>3774</v>
      </c>
      <c r="E1143" t="s">
        <v>4091</v>
      </c>
      <c r="F1143" t="s">
        <v>4092</v>
      </c>
      <c r="J1143" t="s">
        <v>4091</v>
      </c>
      <c r="K1143" t="s">
        <v>3777</v>
      </c>
      <c r="L1143" t="s">
        <v>814</v>
      </c>
    </row>
    <row r="1144" spans="1:12">
      <c r="A1144" t="s">
        <v>3771</v>
      </c>
      <c r="B1144" t="s">
        <v>3772</v>
      </c>
      <c r="C1144" t="s">
        <v>4093</v>
      </c>
      <c r="D1144" t="s">
        <v>3774</v>
      </c>
      <c r="E1144" t="s">
        <v>4094</v>
      </c>
      <c r="F1144" t="s">
        <v>4095</v>
      </c>
      <c r="J1144" t="s">
        <v>4094</v>
      </c>
      <c r="K1144" t="s">
        <v>3777</v>
      </c>
      <c r="L1144" t="s">
        <v>814</v>
      </c>
    </row>
    <row r="1145" spans="1:12">
      <c r="A1145" t="s">
        <v>3771</v>
      </c>
      <c r="B1145" t="s">
        <v>3772</v>
      </c>
      <c r="C1145" t="s">
        <v>4096</v>
      </c>
      <c r="D1145" t="s">
        <v>3774</v>
      </c>
      <c r="E1145" t="s">
        <v>4097</v>
      </c>
      <c r="F1145" t="s">
        <v>4098</v>
      </c>
      <c r="J1145" t="s">
        <v>4097</v>
      </c>
      <c r="K1145" t="s">
        <v>3777</v>
      </c>
      <c r="L1145" t="s">
        <v>814</v>
      </c>
    </row>
    <row r="1146" spans="1:12">
      <c r="A1146" t="s">
        <v>3771</v>
      </c>
      <c r="B1146" t="s">
        <v>3772</v>
      </c>
      <c r="C1146" t="s">
        <v>4099</v>
      </c>
      <c r="D1146" t="s">
        <v>3774</v>
      </c>
      <c r="E1146" t="s">
        <v>4100</v>
      </c>
      <c r="F1146" t="s">
        <v>4101</v>
      </c>
      <c r="J1146" t="s">
        <v>4100</v>
      </c>
      <c r="K1146" t="s">
        <v>3777</v>
      </c>
      <c r="L1146" t="s">
        <v>814</v>
      </c>
    </row>
    <row r="1147" spans="1:12">
      <c r="A1147" t="s">
        <v>3771</v>
      </c>
      <c r="B1147" t="s">
        <v>3772</v>
      </c>
      <c r="C1147" t="s">
        <v>4102</v>
      </c>
      <c r="D1147" t="s">
        <v>3774</v>
      </c>
      <c r="E1147" t="s">
        <v>4103</v>
      </c>
      <c r="F1147" t="s">
        <v>4104</v>
      </c>
      <c r="J1147" t="s">
        <v>4103</v>
      </c>
      <c r="K1147" t="s">
        <v>3777</v>
      </c>
      <c r="L1147" t="s">
        <v>814</v>
      </c>
    </row>
    <row r="1148" spans="1:12">
      <c r="A1148" t="s">
        <v>3771</v>
      </c>
      <c r="B1148" t="s">
        <v>3772</v>
      </c>
      <c r="C1148" t="s">
        <v>4105</v>
      </c>
      <c r="D1148" t="s">
        <v>3774</v>
      </c>
      <c r="E1148" t="s">
        <v>4106</v>
      </c>
      <c r="F1148" t="s">
        <v>4107</v>
      </c>
      <c r="J1148" t="s">
        <v>4106</v>
      </c>
      <c r="K1148" t="s">
        <v>3777</v>
      </c>
      <c r="L1148" t="s">
        <v>814</v>
      </c>
    </row>
    <row r="1149" spans="1:12">
      <c r="A1149" t="s">
        <v>3771</v>
      </c>
      <c r="B1149" t="s">
        <v>3772</v>
      </c>
      <c r="C1149" t="s">
        <v>4108</v>
      </c>
      <c r="D1149" t="s">
        <v>3774</v>
      </c>
      <c r="E1149" t="s">
        <v>4109</v>
      </c>
      <c r="F1149" t="s">
        <v>4110</v>
      </c>
    </row>
    <row r="1150" spans="1:12">
      <c r="A1150" t="s">
        <v>3771</v>
      </c>
      <c r="B1150" t="s">
        <v>3772</v>
      </c>
      <c r="C1150" t="s">
        <v>4111</v>
      </c>
      <c r="D1150" t="s">
        <v>3774</v>
      </c>
      <c r="E1150" t="s">
        <v>4112</v>
      </c>
      <c r="F1150" t="s">
        <v>4113</v>
      </c>
      <c r="J1150" t="s">
        <v>4112</v>
      </c>
      <c r="K1150" t="s">
        <v>3777</v>
      </c>
      <c r="L1150" t="s">
        <v>814</v>
      </c>
    </row>
    <row r="1151" spans="1:12">
      <c r="A1151" t="s">
        <v>3771</v>
      </c>
      <c r="B1151" t="s">
        <v>3772</v>
      </c>
      <c r="C1151" t="s">
        <v>4114</v>
      </c>
      <c r="D1151" t="s">
        <v>3774</v>
      </c>
      <c r="E1151" t="s">
        <v>4115</v>
      </c>
      <c r="F1151" t="s">
        <v>4116</v>
      </c>
      <c r="J1151" t="s">
        <v>4115</v>
      </c>
      <c r="K1151" t="s">
        <v>3777</v>
      </c>
      <c r="L1151" t="s">
        <v>814</v>
      </c>
    </row>
    <row r="1152" spans="1:12">
      <c r="A1152" t="s">
        <v>3771</v>
      </c>
      <c r="B1152" t="s">
        <v>3772</v>
      </c>
      <c r="C1152" t="s">
        <v>4117</v>
      </c>
      <c r="D1152" t="s">
        <v>3774</v>
      </c>
      <c r="E1152" t="s">
        <v>4118</v>
      </c>
      <c r="F1152" t="s">
        <v>4119</v>
      </c>
      <c r="J1152" t="s">
        <v>4118</v>
      </c>
      <c r="K1152" t="s">
        <v>3777</v>
      </c>
      <c r="L1152" t="s">
        <v>814</v>
      </c>
    </row>
    <row r="1153" spans="1:12">
      <c r="A1153" t="s">
        <v>3771</v>
      </c>
      <c r="B1153" t="s">
        <v>3772</v>
      </c>
      <c r="C1153" t="s">
        <v>4120</v>
      </c>
      <c r="D1153" t="s">
        <v>3774</v>
      </c>
      <c r="E1153" t="s">
        <v>4121</v>
      </c>
      <c r="F1153" t="s">
        <v>4122</v>
      </c>
      <c r="J1153" t="s">
        <v>4121</v>
      </c>
      <c r="K1153" t="s">
        <v>3777</v>
      </c>
      <c r="L1153" t="s">
        <v>814</v>
      </c>
    </row>
    <row r="1154" spans="1:12">
      <c r="A1154" t="s">
        <v>3771</v>
      </c>
      <c r="B1154" t="s">
        <v>3772</v>
      </c>
      <c r="C1154" t="s">
        <v>4123</v>
      </c>
      <c r="D1154" t="s">
        <v>3774</v>
      </c>
      <c r="E1154" t="s">
        <v>4124</v>
      </c>
      <c r="F1154" t="s">
        <v>4125</v>
      </c>
      <c r="J1154" t="s">
        <v>4124</v>
      </c>
      <c r="K1154" t="s">
        <v>3777</v>
      </c>
      <c r="L1154" t="s">
        <v>814</v>
      </c>
    </row>
    <row r="1155" spans="1:12">
      <c r="A1155" t="s">
        <v>3771</v>
      </c>
      <c r="B1155" t="s">
        <v>3772</v>
      </c>
      <c r="C1155" t="s">
        <v>4126</v>
      </c>
      <c r="D1155" t="s">
        <v>3774</v>
      </c>
      <c r="E1155" t="s">
        <v>4127</v>
      </c>
      <c r="F1155" t="s">
        <v>4128</v>
      </c>
      <c r="J1155" t="s">
        <v>4127</v>
      </c>
      <c r="K1155" t="s">
        <v>3777</v>
      </c>
      <c r="L1155" t="s">
        <v>814</v>
      </c>
    </row>
    <row r="1156" spans="1:12">
      <c r="A1156" t="s">
        <v>3771</v>
      </c>
      <c r="B1156" t="s">
        <v>3772</v>
      </c>
      <c r="C1156" t="s">
        <v>4129</v>
      </c>
      <c r="D1156" t="s">
        <v>3774</v>
      </c>
      <c r="E1156" t="s">
        <v>4130</v>
      </c>
      <c r="F1156" t="s">
        <v>4131</v>
      </c>
      <c r="J1156" t="s">
        <v>4130</v>
      </c>
      <c r="K1156" t="s">
        <v>3777</v>
      </c>
      <c r="L1156" t="s">
        <v>814</v>
      </c>
    </row>
    <row r="1157" spans="1:12">
      <c r="A1157" t="s">
        <v>3771</v>
      </c>
      <c r="B1157" t="s">
        <v>3772</v>
      </c>
      <c r="C1157" t="s">
        <v>4132</v>
      </c>
      <c r="D1157" t="s">
        <v>3774</v>
      </c>
      <c r="E1157" t="s">
        <v>4133</v>
      </c>
      <c r="F1157" t="s">
        <v>4134</v>
      </c>
      <c r="J1157" t="s">
        <v>4133</v>
      </c>
      <c r="K1157" t="s">
        <v>3777</v>
      </c>
      <c r="L1157" t="s">
        <v>814</v>
      </c>
    </row>
    <row r="1158" spans="1:12">
      <c r="A1158" t="s">
        <v>3771</v>
      </c>
      <c r="B1158" t="s">
        <v>3772</v>
      </c>
      <c r="C1158" t="s">
        <v>4135</v>
      </c>
      <c r="D1158" t="s">
        <v>3774</v>
      </c>
      <c r="E1158" t="s">
        <v>4136</v>
      </c>
      <c r="F1158" t="s">
        <v>4137</v>
      </c>
      <c r="J1158" t="s">
        <v>4136</v>
      </c>
      <c r="K1158" t="s">
        <v>3777</v>
      </c>
      <c r="L1158" t="s">
        <v>814</v>
      </c>
    </row>
    <row r="1159" spans="1:12">
      <c r="A1159" t="s">
        <v>3771</v>
      </c>
      <c r="B1159" t="s">
        <v>3772</v>
      </c>
      <c r="C1159" t="s">
        <v>4138</v>
      </c>
      <c r="D1159" t="s">
        <v>3774</v>
      </c>
      <c r="E1159" t="s">
        <v>4139</v>
      </c>
      <c r="F1159" t="s">
        <v>4140</v>
      </c>
      <c r="J1159" t="s">
        <v>4139</v>
      </c>
      <c r="K1159" t="s">
        <v>3777</v>
      </c>
      <c r="L1159" t="s">
        <v>814</v>
      </c>
    </row>
    <row r="1160" spans="1:12">
      <c r="A1160" t="s">
        <v>3771</v>
      </c>
      <c r="B1160" t="s">
        <v>3772</v>
      </c>
      <c r="C1160" t="s">
        <v>4141</v>
      </c>
      <c r="D1160" t="s">
        <v>3774</v>
      </c>
      <c r="E1160" t="s">
        <v>4142</v>
      </c>
      <c r="F1160" t="s">
        <v>4143</v>
      </c>
      <c r="J1160" t="s">
        <v>4142</v>
      </c>
      <c r="K1160" t="s">
        <v>3777</v>
      </c>
      <c r="L1160" t="s">
        <v>814</v>
      </c>
    </row>
    <row r="1161" spans="1:12">
      <c r="A1161" t="s">
        <v>3771</v>
      </c>
      <c r="B1161" t="s">
        <v>3772</v>
      </c>
      <c r="C1161" t="s">
        <v>4144</v>
      </c>
      <c r="D1161" t="s">
        <v>3774</v>
      </c>
      <c r="E1161" t="s">
        <v>4145</v>
      </c>
      <c r="F1161" t="s">
        <v>4146</v>
      </c>
      <c r="J1161" t="s">
        <v>4145</v>
      </c>
      <c r="K1161" t="s">
        <v>3777</v>
      </c>
      <c r="L1161" t="s">
        <v>814</v>
      </c>
    </row>
    <row r="1162" spans="1:12">
      <c r="A1162" t="s">
        <v>3771</v>
      </c>
      <c r="B1162" t="s">
        <v>3772</v>
      </c>
      <c r="C1162" t="s">
        <v>4147</v>
      </c>
      <c r="D1162" t="s">
        <v>3774</v>
      </c>
      <c r="E1162" t="s">
        <v>4148</v>
      </c>
      <c r="F1162" t="s">
        <v>4149</v>
      </c>
      <c r="J1162" t="s">
        <v>4148</v>
      </c>
      <c r="K1162" t="s">
        <v>3777</v>
      </c>
      <c r="L1162" t="s">
        <v>814</v>
      </c>
    </row>
    <row r="1163" spans="1:12">
      <c r="A1163" t="s">
        <v>3771</v>
      </c>
      <c r="B1163" t="s">
        <v>3772</v>
      </c>
      <c r="C1163" t="s">
        <v>4150</v>
      </c>
      <c r="D1163" t="s">
        <v>3774</v>
      </c>
      <c r="E1163" t="s">
        <v>4151</v>
      </c>
      <c r="F1163" t="s">
        <v>4152</v>
      </c>
      <c r="J1163" t="s">
        <v>4151</v>
      </c>
      <c r="K1163" t="s">
        <v>3777</v>
      </c>
      <c r="L1163" t="s">
        <v>814</v>
      </c>
    </row>
    <row r="1164" spans="1:12">
      <c r="A1164" t="s">
        <v>3771</v>
      </c>
      <c r="B1164" t="s">
        <v>3772</v>
      </c>
      <c r="C1164" t="s">
        <v>4153</v>
      </c>
      <c r="D1164" t="s">
        <v>3774</v>
      </c>
      <c r="E1164" t="s">
        <v>4154</v>
      </c>
      <c r="F1164" t="s">
        <v>4155</v>
      </c>
      <c r="J1164" t="s">
        <v>4154</v>
      </c>
      <c r="K1164" t="s">
        <v>3777</v>
      </c>
      <c r="L1164" t="s">
        <v>814</v>
      </c>
    </row>
    <row r="1165" spans="1:12">
      <c r="A1165" t="s">
        <v>3771</v>
      </c>
      <c r="B1165" t="s">
        <v>3772</v>
      </c>
      <c r="C1165" t="s">
        <v>4156</v>
      </c>
      <c r="D1165" t="s">
        <v>3774</v>
      </c>
      <c r="E1165" t="s">
        <v>4157</v>
      </c>
      <c r="F1165" t="s">
        <v>4158</v>
      </c>
    </row>
    <row r="1166" spans="1:12">
      <c r="A1166" t="s">
        <v>3771</v>
      </c>
      <c r="B1166" t="s">
        <v>3772</v>
      </c>
      <c r="C1166" t="s">
        <v>4159</v>
      </c>
      <c r="D1166" t="s">
        <v>3774</v>
      </c>
      <c r="E1166" t="s">
        <v>4160</v>
      </c>
      <c r="F1166" t="s">
        <v>4161</v>
      </c>
      <c r="J1166" t="s">
        <v>4160</v>
      </c>
      <c r="K1166" t="s">
        <v>3777</v>
      </c>
      <c r="L1166" t="s">
        <v>814</v>
      </c>
    </row>
    <row r="1167" spans="1:12">
      <c r="A1167" t="s">
        <v>3771</v>
      </c>
      <c r="B1167" t="s">
        <v>3772</v>
      </c>
      <c r="C1167" t="s">
        <v>4162</v>
      </c>
      <c r="D1167" t="s">
        <v>3774</v>
      </c>
      <c r="E1167" t="s">
        <v>4163</v>
      </c>
      <c r="F1167" t="s">
        <v>4164</v>
      </c>
      <c r="J1167" t="s">
        <v>4163</v>
      </c>
      <c r="K1167" t="s">
        <v>3777</v>
      </c>
      <c r="L1167" t="s">
        <v>814</v>
      </c>
    </row>
    <row r="1168" spans="1:12">
      <c r="A1168" t="s">
        <v>3771</v>
      </c>
      <c r="B1168" t="s">
        <v>3772</v>
      </c>
      <c r="C1168" t="s">
        <v>4165</v>
      </c>
      <c r="D1168" t="s">
        <v>3774</v>
      </c>
      <c r="E1168" t="s">
        <v>4166</v>
      </c>
      <c r="F1168" t="s">
        <v>4167</v>
      </c>
      <c r="J1168" t="s">
        <v>4166</v>
      </c>
      <c r="K1168" t="s">
        <v>3777</v>
      </c>
      <c r="L1168" t="s">
        <v>814</v>
      </c>
    </row>
    <row r="1169" spans="1:12">
      <c r="A1169" t="s">
        <v>3771</v>
      </c>
      <c r="B1169" t="s">
        <v>3772</v>
      </c>
      <c r="C1169" t="s">
        <v>4168</v>
      </c>
      <c r="D1169" t="s">
        <v>3774</v>
      </c>
      <c r="E1169" t="s">
        <v>4169</v>
      </c>
      <c r="F1169" t="s">
        <v>4170</v>
      </c>
      <c r="J1169" t="s">
        <v>4169</v>
      </c>
      <c r="K1169" t="s">
        <v>3777</v>
      </c>
      <c r="L1169" t="s">
        <v>814</v>
      </c>
    </row>
    <row r="1170" spans="1:12">
      <c r="A1170" t="s">
        <v>3771</v>
      </c>
      <c r="B1170" t="s">
        <v>3772</v>
      </c>
      <c r="C1170" t="s">
        <v>4171</v>
      </c>
      <c r="D1170" t="s">
        <v>3774</v>
      </c>
      <c r="E1170" t="s">
        <v>4172</v>
      </c>
      <c r="F1170" t="s">
        <v>4173</v>
      </c>
    </row>
    <row r="1171" spans="1:12">
      <c r="A1171" t="s">
        <v>3771</v>
      </c>
      <c r="B1171" t="s">
        <v>3772</v>
      </c>
      <c r="C1171" t="s">
        <v>4174</v>
      </c>
      <c r="D1171" t="s">
        <v>3774</v>
      </c>
      <c r="E1171" t="s">
        <v>4175</v>
      </c>
      <c r="F1171" t="s">
        <v>4176</v>
      </c>
      <c r="J1171" t="s">
        <v>4175</v>
      </c>
      <c r="K1171" t="s">
        <v>3777</v>
      </c>
      <c r="L1171" t="s">
        <v>814</v>
      </c>
    </row>
    <row r="1172" spans="1:12">
      <c r="A1172" t="s">
        <v>3771</v>
      </c>
      <c r="B1172" t="s">
        <v>3772</v>
      </c>
      <c r="C1172" t="s">
        <v>4177</v>
      </c>
      <c r="D1172" t="s">
        <v>3774</v>
      </c>
      <c r="E1172" t="s">
        <v>4178</v>
      </c>
      <c r="F1172" t="s">
        <v>4179</v>
      </c>
      <c r="J1172" t="s">
        <v>4178</v>
      </c>
      <c r="K1172" t="s">
        <v>3777</v>
      </c>
      <c r="L1172" t="s">
        <v>814</v>
      </c>
    </row>
    <row r="1173" spans="1:12">
      <c r="A1173" t="s">
        <v>3771</v>
      </c>
      <c r="B1173" t="s">
        <v>3772</v>
      </c>
      <c r="C1173" t="s">
        <v>4180</v>
      </c>
      <c r="D1173" t="s">
        <v>3774</v>
      </c>
      <c r="E1173" t="s">
        <v>4181</v>
      </c>
      <c r="F1173" t="s">
        <v>4182</v>
      </c>
      <c r="J1173" t="s">
        <v>4181</v>
      </c>
      <c r="K1173" t="s">
        <v>3777</v>
      </c>
      <c r="L1173" t="s">
        <v>814</v>
      </c>
    </row>
    <row r="1174" spans="1:12">
      <c r="A1174" t="s">
        <v>3771</v>
      </c>
      <c r="B1174" t="s">
        <v>3772</v>
      </c>
      <c r="C1174" t="s">
        <v>4183</v>
      </c>
      <c r="D1174" t="s">
        <v>3774</v>
      </c>
      <c r="E1174" t="s">
        <v>4184</v>
      </c>
      <c r="F1174" t="s">
        <v>4185</v>
      </c>
      <c r="J1174" t="s">
        <v>4184</v>
      </c>
      <c r="K1174" t="s">
        <v>3777</v>
      </c>
      <c r="L1174" t="s">
        <v>814</v>
      </c>
    </row>
    <row r="1175" spans="1:12">
      <c r="A1175" t="s">
        <v>3771</v>
      </c>
      <c r="B1175" t="s">
        <v>3772</v>
      </c>
      <c r="C1175" t="s">
        <v>4186</v>
      </c>
      <c r="D1175" t="s">
        <v>3774</v>
      </c>
      <c r="E1175" t="s">
        <v>4187</v>
      </c>
      <c r="F1175" t="s">
        <v>4188</v>
      </c>
      <c r="J1175" t="s">
        <v>4187</v>
      </c>
      <c r="K1175" t="s">
        <v>3777</v>
      </c>
      <c r="L1175" t="s">
        <v>814</v>
      </c>
    </row>
    <row r="1176" spans="1:12">
      <c r="A1176" t="s">
        <v>3771</v>
      </c>
      <c r="B1176" t="s">
        <v>3772</v>
      </c>
      <c r="C1176" t="s">
        <v>4189</v>
      </c>
      <c r="D1176" t="s">
        <v>3774</v>
      </c>
      <c r="E1176" t="s">
        <v>4190</v>
      </c>
      <c r="F1176" t="s">
        <v>4191</v>
      </c>
    </row>
    <row r="1177" spans="1:12">
      <c r="A1177" t="s">
        <v>3771</v>
      </c>
      <c r="B1177" t="s">
        <v>3772</v>
      </c>
      <c r="C1177" t="s">
        <v>4192</v>
      </c>
      <c r="D1177" t="s">
        <v>3774</v>
      </c>
      <c r="E1177" t="s">
        <v>4193</v>
      </c>
      <c r="F1177" t="s">
        <v>4194</v>
      </c>
      <c r="J1177" t="s">
        <v>4193</v>
      </c>
      <c r="K1177" t="s">
        <v>3777</v>
      </c>
      <c r="L1177" t="s">
        <v>814</v>
      </c>
    </row>
    <row r="1178" spans="1:12">
      <c r="A1178" t="s">
        <v>3771</v>
      </c>
      <c r="B1178" t="s">
        <v>3772</v>
      </c>
      <c r="C1178" t="s">
        <v>4195</v>
      </c>
      <c r="D1178" t="s">
        <v>3774</v>
      </c>
      <c r="E1178" t="s">
        <v>4196</v>
      </c>
      <c r="F1178" t="s">
        <v>4197</v>
      </c>
      <c r="J1178" t="s">
        <v>4196</v>
      </c>
      <c r="K1178" t="s">
        <v>3777</v>
      </c>
      <c r="L1178" t="s">
        <v>814</v>
      </c>
    </row>
    <row r="1179" spans="1:12">
      <c r="A1179" t="s">
        <v>3771</v>
      </c>
      <c r="B1179" t="s">
        <v>3772</v>
      </c>
      <c r="C1179" t="s">
        <v>4198</v>
      </c>
      <c r="D1179" t="s">
        <v>3774</v>
      </c>
      <c r="E1179" t="s">
        <v>4199</v>
      </c>
      <c r="F1179" t="s">
        <v>4200</v>
      </c>
      <c r="J1179" t="s">
        <v>4199</v>
      </c>
      <c r="K1179" t="s">
        <v>3777</v>
      </c>
      <c r="L1179" t="s">
        <v>814</v>
      </c>
    </row>
    <row r="1180" spans="1:12">
      <c r="A1180" t="s">
        <v>3771</v>
      </c>
      <c r="B1180" t="s">
        <v>3772</v>
      </c>
      <c r="C1180" t="s">
        <v>4201</v>
      </c>
      <c r="D1180" t="s">
        <v>3774</v>
      </c>
      <c r="E1180" t="s">
        <v>4202</v>
      </c>
      <c r="F1180" t="s">
        <v>4203</v>
      </c>
      <c r="J1180" t="s">
        <v>4202</v>
      </c>
      <c r="K1180" t="s">
        <v>3777</v>
      </c>
      <c r="L1180" t="s">
        <v>814</v>
      </c>
    </row>
    <row r="1181" spans="1:12">
      <c r="A1181" t="s">
        <v>3771</v>
      </c>
      <c r="B1181" t="s">
        <v>3772</v>
      </c>
      <c r="C1181" t="s">
        <v>4204</v>
      </c>
      <c r="D1181" t="s">
        <v>3774</v>
      </c>
      <c r="E1181" t="s">
        <v>4205</v>
      </c>
      <c r="F1181" t="s">
        <v>4206</v>
      </c>
    </row>
    <row r="1182" spans="1:12">
      <c r="A1182" t="s">
        <v>3771</v>
      </c>
      <c r="B1182" t="s">
        <v>3772</v>
      </c>
      <c r="C1182" t="s">
        <v>4207</v>
      </c>
      <c r="D1182" t="s">
        <v>3774</v>
      </c>
      <c r="E1182" t="s">
        <v>4208</v>
      </c>
      <c r="F1182" t="s">
        <v>4209</v>
      </c>
      <c r="J1182" t="s">
        <v>4208</v>
      </c>
      <c r="K1182" t="s">
        <v>3777</v>
      </c>
      <c r="L1182" t="s">
        <v>814</v>
      </c>
    </row>
    <row r="1183" spans="1:12">
      <c r="A1183" t="s">
        <v>3771</v>
      </c>
      <c r="B1183" t="s">
        <v>3772</v>
      </c>
      <c r="C1183" t="s">
        <v>4210</v>
      </c>
      <c r="D1183" t="s">
        <v>3774</v>
      </c>
      <c r="E1183" t="s">
        <v>4211</v>
      </c>
      <c r="F1183" t="s">
        <v>4212</v>
      </c>
      <c r="J1183" t="s">
        <v>4211</v>
      </c>
      <c r="K1183" t="s">
        <v>3777</v>
      </c>
      <c r="L1183" t="s">
        <v>814</v>
      </c>
    </row>
    <row r="1184" spans="1:12">
      <c r="A1184" t="s">
        <v>3771</v>
      </c>
      <c r="B1184" t="s">
        <v>3772</v>
      </c>
      <c r="C1184" t="s">
        <v>4213</v>
      </c>
      <c r="D1184" t="s">
        <v>3774</v>
      </c>
      <c r="E1184" t="s">
        <v>4214</v>
      </c>
      <c r="F1184" t="s">
        <v>4215</v>
      </c>
    </row>
    <row r="1185" spans="1:12">
      <c r="A1185" t="s">
        <v>3771</v>
      </c>
      <c r="B1185" t="s">
        <v>3772</v>
      </c>
      <c r="C1185" t="s">
        <v>4216</v>
      </c>
      <c r="D1185" t="s">
        <v>3774</v>
      </c>
      <c r="E1185" t="s">
        <v>4217</v>
      </c>
      <c r="F1185" t="s">
        <v>4218</v>
      </c>
      <c r="J1185" t="s">
        <v>4217</v>
      </c>
      <c r="K1185" t="s">
        <v>3777</v>
      </c>
      <c r="L1185" t="s">
        <v>814</v>
      </c>
    </row>
    <row r="1186" spans="1:12">
      <c r="A1186" t="s">
        <v>3771</v>
      </c>
      <c r="B1186" t="s">
        <v>3772</v>
      </c>
      <c r="C1186" t="s">
        <v>4219</v>
      </c>
      <c r="D1186" t="s">
        <v>3774</v>
      </c>
      <c r="E1186" t="s">
        <v>4220</v>
      </c>
      <c r="F1186" t="s">
        <v>4221</v>
      </c>
      <c r="J1186" t="s">
        <v>4220</v>
      </c>
      <c r="K1186" t="s">
        <v>3777</v>
      </c>
      <c r="L1186" t="s">
        <v>814</v>
      </c>
    </row>
    <row r="1187" spans="1:12">
      <c r="A1187" t="s">
        <v>3771</v>
      </c>
      <c r="B1187" t="s">
        <v>3772</v>
      </c>
      <c r="C1187" t="s">
        <v>4222</v>
      </c>
      <c r="D1187" t="s">
        <v>3774</v>
      </c>
      <c r="E1187" t="s">
        <v>4223</v>
      </c>
      <c r="F1187" t="s">
        <v>4224</v>
      </c>
      <c r="J1187" t="s">
        <v>4223</v>
      </c>
      <c r="K1187" t="s">
        <v>3777</v>
      </c>
      <c r="L1187" t="s">
        <v>814</v>
      </c>
    </row>
    <row r="1188" spans="1:12">
      <c r="A1188" t="s">
        <v>3771</v>
      </c>
      <c r="B1188" t="s">
        <v>3772</v>
      </c>
      <c r="C1188" t="s">
        <v>4225</v>
      </c>
      <c r="D1188" t="s">
        <v>3774</v>
      </c>
      <c r="E1188" t="s">
        <v>4226</v>
      </c>
      <c r="F1188" t="s">
        <v>4227</v>
      </c>
      <c r="J1188" t="s">
        <v>4226</v>
      </c>
      <c r="K1188" t="s">
        <v>3777</v>
      </c>
      <c r="L1188" t="s">
        <v>814</v>
      </c>
    </row>
    <row r="1189" spans="1:12">
      <c r="A1189" t="s">
        <v>3771</v>
      </c>
      <c r="B1189" t="s">
        <v>3772</v>
      </c>
      <c r="C1189" t="s">
        <v>4228</v>
      </c>
      <c r="D1189" t="s">
        <v>3774</v>
      </c>
      <c r="E1189" t="s">
        <v>4229</v>
      </c>
      <c r="F1189" t="s">
        <v>4230</v>
      </c>
      <c r="J1189" t="s">
        <v>4229</v>
      </c>
      <c r="K1189" t="s">
        <v>3777</v>
      </c>
      <c r="L1189" t="s">
        <v>814</v>
      </c>
    </row>
    <row r="1190" spans="1:12">
      <c r="A1190" t="s">
        <v>3771</v>
      </c>
      <c r="B1190" t="s">
        <v>3772</v>
      </c>
      <c r="C1190" t="s">
        <v>4231</v>
      </c>
      <c r="D1190" t="s">
        <v>3774</v>
      </c>
      <c r="E1190" t="s">
        <v>4232</v>
      </c>
      <c r="F1190" t="s">
        <v>4233</v>
      </c>
    </row>
    <row r="1191" spans="1:12">
      <c r="A1191" t="s">
        <v>3771</v>
      </c>
      <c r="B1191" t="s">
        <v>3772</v>
      </c>
      <c r="C1191" t="s">
        <v>4234</v>
      </c>
      <c r="D1191" t="s">
        <v>3774</v>
      </c>
      <c r="E1191" t="s">
        <v>4235</v>
      </c>
      <c r="F1191" t="s">
        <v>4236</v>
      </c>
      <c r="J1191" t="s">
        <v>4235</v>
      </c>
      <c r="K1191" t="s">
        <v>3777</v>
      </c>
      <c r="L1191" t="s">
        <v>814</v>
      </c>
    </row>
    <row r="1192" spans="1:12">
      <c r="A1192" t="s">
        <v>3771</v>
      </c>
      <c r="B1192" t="s">
        <v>3772</v>
      </c>
      <c r="C1192" t="s">
        <v>4237</v>
      </c>
      <c r="D1192" t="s">
        <v>3774</v>
      </c>
      <c r="E1192" t="s">
        <v>4238</v>
      </c>
      <c r="F1192" t="s">
        <v>4239</v>
      </c>
    </row>
    <row r="1193" spans="1:12">
      <c r="A1193" t="s">
        <v>3771</v>
      </c>
      <c r="B1193" t="s">
        <v>3772</v>
      </c>
      <c r="C1193" t="s">
        <v>4240</v>
      </c>
      <c r="D1193" t="s">
        <v>3774</v>
      </c>
      <c r="E1193" t="s">
        <v>4241</v>
      </c>
      <c r="F1193" t="s">
        <v>4242</v>
      </c>
      <c r="J1193" t="s">
        <v>4241</v>
      </c>
      <c r="K1193" t="s">
        <v>3777</v>
      </c>
      <c r="L1193" t="s">
        <v>814</v>
      </c>
    </row>
    <row r="1194" spans="1:12">
      <c r="A1194" t="s">
        <v>3771</v>
      </c>
      <c r="B1194" t="s">
        <v>3772</v>
      </c>
      <c r="C1194" t="s">
        <v>4243</v>
      </c>
      <c r="D1194" t="s">
        <v>3774</v>
      </c>
      <c r="E1194" t="s">
        <v>4244</v>
      </c>
      <c r="F1194" t="s">
        <v>4245</v>
      </c>
      <c r="J1194" t="s">
        <v>4244</v>
      </c>
      <c r="K1194" t="s">
        <v>3777</v>
      </c>
      <c r="L1194" t="s">
        <v>814</v>
      </c>
    </row>
    <row r="1195" spans="1:12">
      <c r="A1195" t="s">
        <v>3771</v>
      </c>
      <c r="B1195" t="s">
        <v>3772</v>
      </c>
      <c r="C1195" t="s">
        <v>4246</v>
      </c>
      <c r="D1195" t="s">
        <v>3774</v>
      </c>
      <c r="E1195" t="s">
        <v>4247</v>
      </c>
      <c r="F1195" t="s">
        <v>4248</v>
      </c>
      <c r="J1195" t="s">
        <v>4247</v>
      </c>
      <c r="K1195" t="s">
        <v>3777</v>
      </c>
      <c r="L1195" t="s">
        <v>814</v>
      </c>
    </row>
    <row r="1196" spans="1:12">
      <c r="A1196" t="s">
        <v>3771</v>
      </c>
      <c r="B1196" t="s">
        <v>3772</v>
      </c>
      <c r="C1196" t="s">
        <v>4249</v>
      </c>
      <c r="D1196" t="s">
        <v>3774</v>
      </c>
      <c r="E1196" t="s">
        <v>4250</v>
      </c>
      <c r="F1196" t="s">
        <v>4251</v>
      </c>
      <c r="J1196" t="s">
        <v>4250</v>
      </c>
      <c r="K1196" t="s">
        <v>3777</v>
      </c>
      <c r="L1196" t="s">
        <v>814</v>
      </c>
    </row>
    <row r="1197" spans="1:12">
      <c r="A1197" t="s">
        <v>3771</v>
      </c>
      <c r="B1197" t="s">
        <v>3772</v>
      </c>
      <c r="C1197" t="s">
        <v>4252</v>
      </c>
      <c r="D1197" t="s">
        <v>3774</v>
      </c>
      <c r="E1197" t="s">
        <v>4253</v>
      </c>
      <c r="F1197" t="s">
        <v>4254</v>
      </c>
      <c r="J1197" t="s">
        <v>4253</v>
      </c>
      <c r="K1197" t="s">
        <v>3777</v>
      </c>
      <c r="L1197" t="s">
        <v>814</v>
      </c>
    </row>
    <row r="1198" spans="1:12">
      <c r="A1198" t="s">
        <v>3771</v>
      </c>
      <c r="B1198" t="s">
        <v>3772</v>
      </c>
      <c r="C1198" t="s">
        <v>4255</v>
      </c>
      <c r="D1198" t="s">
        <v>3774</v>
      </c>
      <c r="E1198" t="s">
        <v>4256</v>
      </c>
      <c r="F1198" t="s">
        <v>4257</v>
      </c>
      <c r="J1198" t="s">
        <v>4256</v>
      </c>
      <c r="K1198" t="s">
        <v>3777</v>
      </c>
      <c r="L1198" t="s">
        <v>814</v>
      </c>
    </row>
    <row r="1199" spans="1:12">
      <c r="A1199" t="s">
        <v>3771</v>
      </c>
      <c r="B1199" t="s">
        <v>3772</v>
      </c>
      <c r="C1199" t="s">
        <v>4258</v>
      </c>
      <c r="D1199" t="s">
        <v>3774</v>
      </c>
      <c r="E1199" t="s">
        <v>4259</v>
      </c>
      <c r="F1199" t="s">
        <v>4260</v>
      </c>
    </row>
    <row r="1200" spans="1:12">
      <c r="A1200" t="s">
        <v>3771</v>
      </c>
      <c r="B1200" t="s">
        <v>3772</v>
      </c>
      <c r="C1200" t="s">
        <v>4261</v>
      </c>
      <c r="D1200" t="s">
        <v>3774</v>
      </c>
      <c r="E1200" t="s">
        <v>4262</v>
      </c>
      <c r="F1200" t="s">
        <v>4263</v>
      </c>
    </row>
    <row r="1201" spans="1:12">
      <c r="A1201" t="s">
        <v>3771</v>
      </c>
      <c r="B1201" t="s">
        <v>3772</v>
      </c>
      <c r="C1201" t="s">
        <v>4264</v>
      </c>
      <c r="D1201" t="s">
        <v>3774</v>
      </c>
      <c r="E1201" t="s">
        <v>4265</v>
      </c>
      <c r="F1201" t="s">
        <v>4266</v>
      </c>
      <c r="J1201" t="s">
        <v>4265</v>
      </c>
      <c r="K1201" t="s">
        <v>3777</v>
      </c>
      <c r="L1201" t="s">
        <v>814</v>
      </c>
    </row>
    <row r="1202" spans="1:12">
      <c r="A1202" t="s">
        <v>3771</v>
      </c>
      <c r="B1202" t="s">
        <v>3772</v>
      </c>
      <c r="C1202" t="s">
        <v>4267</v>
      </c>
      <c r="D1202" t="s">
        <v>3774</v>
      </c>
      <c r="E1202" t="s">
        <v>4268</v>
      </c>
      <c r="F1202" t="s">
        <v>4269</v>
      </c>
      <c r="J1202" t="s">
        <v>4268</v>
      </c>
      <c r="K1202" t="s">
        <v>3777</v>
      </c>
      <c r="L1202" t="s">
        <v>814</v>
      </c>
    </row>
    <row r="1203" spans="1:12">
      <c r="A1203" t="s">
        <v>3771</v>
      </c>
      <c r="B1203" t="s">
        <v>3772</v>
      </c>
      <c r="C1203" t="s">
        <v>4270</v>
      </c>
      <c r="D1203" t="s">
        <v>3774</v>
      </c>
      <c r="E1203" t="s">
        <v>4271</v>
      </c>
      <c r="F1203" t="s">
        <v>4272</v>
      </c>
      <c r="J1203" t="s">
        <v>4271</v>
      </c>
      <c r="K1203" t="s">
        <v>3777</v>
      </c>
      <c r="L1203" t="s">
        <v>814</v>
      </c>
    </row>
    <row r="1204" spans="1:12">
      <c r="A1204" t="s">
        <v>3771</v>
      </c>
      <c r="B1204" t="s">
        <v>3772</v>
      </c>
      <c r="C1204" t="s">
        <v>4273</v>
      </c>
      <c r="D1204" t="s">
        <v>3774</v>
      </c>
      <c r="E1204" t="s">
        <v>4274</v>
      </c>
      <c r="F1204" t="s">
        <v>4275</v>
      </c>
      <c r="J1204" t="s">
        <v>4274</v>
      </c>
      <c r="K1204" t="s">
        <v>3777</v>
      </c>
      <c r="L1204" t="s">
        <v>814</v>
      </c>
    </row>
    <row r="1205" spans="1:12">
      <c r="A1205" t="s">
        <v>3771</v>
      </c>
      <c r="B1205" t="s">
        <v>3772</v>
      </c>
      <c r="C1205" t="s">
        <v>4276</v>
      </c>
      <c r="D1205" t="s">
        <v>3774</v>
      </c>
      <c r="E1205" t="s">
        <v>4277</v>
      </c>
      <c r="F1205" t="s">
        <v>4278</v>
      </c>
      <c r="J1205" t="s">
        <v>4277</v>
      </c>
      <c r="K1205" t="s">
        <v>3777</v>
      </c>
      <c r="L1205" t="s">
        <v>814</v>
      </c>
    </row>
    <row r="1206" spans="1:12">
      <c r="A1206" t="s">
        <v>3771</v>
      </c>
      <c r="B1206" t="s">
        <v>3772</v>
      </c>
      <c r="C1206" t="s">
        <v>4279</v>
      </c>
      <c r="D1206" t="s">
        <v>3774</v>
      </c>
      <c r="E1206" t="s">
        <v>4280</v>
      </c>
      <c r="F1206" t="s">
        <v>4281</v>
      </c>
      <c r="J1206" t="s">
        <v>4280</v>
      </c>
      <c r="K1206" t="s">
        <v>3777</v>
      </c>
      <c r="L1206" t="s">
        <v>814</v>
      </c>
    </row>
    <row r="1207" spans="1:12">
      <c r="A1207" t="s">
        <v>3771</v>
      </c>
      <c r="B1207" t="s">
        <v>3772</v>
      </c>
      <c r="C1207" t="s">
        <v>4282</v>
      </c>
      <c r="D1207" t="s">
        <v>3774</v>
      </c>
      <c r="E1207" t="s">
        <v>4283</v>
      </c>
      <c r="F1207" t="s">
        <v>4284</v>
      </c>
    </row>
    <row r="1208" spans="1:12">
      <c r="A1208" t="s">
        <v>3771</v>
      </c>
      <c r="B1208" t="s">
        <v>3772</v>
      </c>
      <c r="C1208" t="s">
        <v>4285</v>
      </c>
      <c r="D1208" t="s">
        <v>3774</v>
      </c>
      <c r="E1208" t="s">
        <v>4286</v>
      </c>
      <c r="F1208" t="s">
        <v>4287</v>
      </c>
      <c r="J1208" t="s">
        <v>4286</v>
      </c>
      <c r="K1208" t="s">
        <v>3777</v>
      </c>
      <c r="L1208" t="s">
        <v>814</v>
      </c>
    </row>
    <row r="1209" spans="1:12">
      <c r="A1209" t="s">
        <v>3771</v>
      </c>
      <c r="B1209" t="s">
        <v>3772</v>
      </c>
      <c r="C1209" t="s">
        <v>4288</v>
      </c>
      <c r="D1209" t="s">
        <v>3774</v>
      </c>
      <c r="E1209" t="s">
        <v>4289</v>
      </c>
      <c r="F1209" t="s">
        <v>4290</v>
      </c>
    </row>
    <row r="1210" spans="1:12">
      <c r="A1210" t="s">
        <v>3771</v>
      </c>
      <c r="B1210" t="s">
        <v>3772</v>
      </c>
      <c r="C1210" t="s">
        <v>4291</v>
      </c>
      <c r="D1210" t="s">
        <v>3774</v>
      </c>
      <c r="E1210" t="s">
        <v>4292</v>
      </c>
      <c r="F1210" t="s">
        <v>4293</v>
      </c>
    </row>
    <row r="1211" spans="1:12">
      <c r="A1211" t="s">
        <v>3771</v>
      </c>
      <c r="B1211" t="s">
        <v>3772</v>
      </c>
      <c r="C1211" t="s">
        <v>4294</v>
      </c>
      <c r="D1211" t="s">
        <v>3774</v>
      </c>
      <c r="E1211" t="s">
        <v>4295</v>
      </c>
      <c r="F1211" t="s">
        <v>4296</v>
      </c>
      <c r="J1211" t="s">
        <v>4295</v>
      </c>
      <c r="K1211" t="s">
        <v>3777</v>
      </c>
      <c r="L1211" t="s">
        <v>814</v>
      </c>
    </row>
    <row r="1212" spans="1:12">
      <c r="A1212" t="s">
        <v>3771</v>
      </c>
      <c r="B1212" t="s">
        <v>3772</v>
      </c>
      <c r="C1212" t="s">
        <v>4297</v>
      </c>
      <c r="D1212" t="s">
        <v>3774</v>
      </c>
      <c r="E1212" t="s">
        <v>4298</v>
      </c>
      <c r="F1212" t="s">
        <v>4299</v>
      </c>
      <c r="J1212" t="s">
        <v>4298</v>
      </c>
      <c r="K1212" t="s">
        <v>3777</v>
      </c>
      <c r="L1212" t="s">
        <v>814</v>
      </c>
    </row>
    <row r="1213" spans="1:12">
      <c r="A1213" t="s">
        <v>3771</v>
      </c>
      <c r="B1213" t="s">
        <v>3772</v>
      </c>
      <c r="C1213" t="s">
        <v>4300</v>
      </c>
      <c r="D1213" t="s">
        <v>3774</v>
      </c>
      <c r="E1213" t="s">
        <v>4301</v>
      </c>
      <c r="F1213" t="s">
        <v>4302</v>
      </c>
      <c r="J1213" t="s">
        <v>4301</v>
      </c>
      <c r="K1213" t="s">
        <v>3777</v>
      </c>
      <c r="L1213" t="s">
        <v>814</v>
      </c>
    </row>
    <row r="1214" spans="1:12">
      <c r="A1214" t="s">
        <v>3771</v>
      </c>
      <c r="B1214" t="s">
        <v>3772</v>
      </c>
      <c r="C1214" t="s">
        <v>4303</v>
      </c>
      <c r="D1214" t="s">
        <v>3774</v>
      </c>
      <c r="E1214" t="s">
        <v>4304</v>
      </c>
      <c r="F1214" t="s">
        <v>4305</v>
      </c>
      <c r="J1214" t="s">
        <v>4304</v>
      </c>
      <c r="K1214" t="s">
        <v>3777</v>
      </c>
      <c r="L1214" t="s">
        <v>814</v>
      </c>
    </row>
    <row r="1215" spans="1:12">
      <c r="A1215" t="s">
        <v>3771</v>
      </c>
      <c r="B1215" t="s">
        <v>3772</v>
      </c>
      <c r="C1215" t="s">
        <v>4306</v>
      </c>
      <c r="D1215" t="s">
        <v>3774</v>
      </c>
      <c r="E1215" t="s">
        <v>4307</v>
      </c>
      <c r="F1215" t="s">
        <v>4308</v>
      </c>
    </row>
    <row r="1216" spans="1:12">
      <c r="A1216" t="s">
        <v>3771</v>
      </c>
      <c r="B1216" t="s">
        <v>3772</v>
      </c>
      <c r="C1216" t="s">
        <v>4309</v>
      </c>
      <c r="D1216" t="s">
        <v>3774</v>
      </c>
      <c r="E1216" t="s">
        <v>4310</v>
      </c>
      <c r="F1216" t="s">
        <v>4311</v>
      </c>
    </row>
    <row r="1217" spans="1:6">
      <c r="A1217" t="s">
        <v>3771</v>
      </c>
      <c r="B1217" t="s">
        <v>3772</v>
      </c>
      <c r="C1217" t="s">
        <v>4312</v>
      </c>
      <c r="D1217" t="s">
        <v>3774</v>
      </c>
      <c r="E1217" t="s">
        <v>4313</v>
      </c>
      <c r="F1217" t="s">
        <v>4314</v>
      </c>
    </row>
    <row r="1218" spans="1:6">
      <c r="A1218" t="s">
        <v>3771</v>
      </c>
      <c r="B1218" t="s">
        <v>3772</v>
      </c>
      <c r="C1218" t="s">
        <v>4315</v>
      </c>
      <c r="D1218" t="s">
        <v>3774</v>
      </c>
      <c r="E1218" t="s">
        <v>4316</v>
      </c>
      <c r="F1218" t="s">
        <v>4317</v>
      </c>
    </row>
    <row r="1219" spans="1:6">
      <c r="A1219" t="s">
        <v>3771</v>
      </c>
      <c r="B1219" t="s">
        <v>3772</v>
      </c>
      <c r="C1219" t="s">
        <v>4318</v>
      </c>
      <c r="D1219" t="s">
        <v>3774</v>
      </c>
      <c r="E1219" t="s">
        <v>4319</v>
      </c>
      <c r="F1219" t="s">
        <v>4320</v>
      </c>
    </row>
    <row r="1220" spans="1:6">
      <c r="A1220" t="s">
        <v>3771</v>
      </c>
      <c r="B1220" t="s">
        <v>3772</v>
      </c>
      <c r="C1220" t="s">
        <v>4321</v>
      </c>
      <c r="D1220" t="s">
        <v>3774</v>
      </c>
      <c r="E1220" t="s">
        <v>4322</v>
      </c>
      <c r="F1220" t="s">
        <v>4323</v>
      </c>
    </row>
    <row r="1221" spans="1:6">
      <c r="A1221" t="s">
        <v>3771</v>
      </c>
      <c r="B1221" t="s">
        <v>3772</v>
      </c>
      <c r="C1221" t="s">
        <v>4324</v>
      </c>
      <c r="D1221" t="s">
        <v>3774</v>
      </c>
      <c r="E1221" t="s">
        <v>4325</v>
      </c>
      <c r="F1221" t="s">
        <v>4326</v>
      </c>
    </row>
    <row r="1222" spans="1:6">
      <c r="A1222" t="s">
        <v>3771</v>
      </c>
      <c r="B1222" t="s">
        <v>3772</v>
      </c>
      <c r="C1222" t="s">
        <v>4327</v>
      </c>
      <c r="D1222" t="s">
        <v>3774</v>
      </c>
      <c r="E1222" t="s">
        <v>4328</v>
      </c>
      <c r="F1222" t="s">
        <v>4329</v>
      </c>
    </row>
    <row r="1223" spans="1:6">
      <c r="A1223" t="s">
        <v>3771</v>
      </c>
      <c r="B1223" t="s">
        <v>3772</v>
      </c>
      <c r="C1223" t="s">
        <v>4330</v>
      </c>
      <c r="D1223" t="s">
        <v>3774</v>
      </c>
      <c r="E1223" t="s">
        <v>4331</v>
      </c>
      <c r="F1223" t="s">
        <v>4332</v>
      </c>
    </row>
    <row r="1224" spans="1:6">
      <c r="A1224" t="s">
        <v>3771</v>
      </c>
      <c r="B1224" t="s">
        <v>3772</v>
      </c>
      <c r="C1224" t="s">
        <v>4333</v>
      </c>
      <c r="D1224" t="s">
        <v>3774</v>
      </c>
      <c r="E1224" t="s">
        <v>4334</v>
      </c>
      <c r="F1224" t="s">
        <v>4335</v>
      </c>
    </row>
    <row r="1225" spans="1:6">
      <c r="A1225" t="s">
        <v>3771</v>
      </c>
      <c r="B1225" t="s">
        <v>3772</v>
      </c>
      <c r="C1225" t="s">
        <v>4336</v>
      </c>
      <c r="D1225" t="s">
        <v>3774</v>
      </c>
      <c r="E1225" t="s">
        <v>4337</v>
      </c>
      <c r="F1225" t="s">
        <v>4338</v>
      </c>
    </row>
    <row r="1226" spans="1:6">
      <c r="A1226" t="s">
        <v>3771</v>
      </c>
      <c r="B1226" t="s">
        <v>3772</v>
      </c>
      <c r="C1226" t="s">
        <v>4339</v>
      </c>
      <c r="D1226" t="s">
        <v>3774</v>
      </c>
      <c r="E1226" t="s">
        <v>4340</v>
      </c>
      <c r="F1226" t="s">
        <v>4341</v>
      </c>
    </row>
    <row r="1227" spans="1:6">
      <c r="A1227" t="s">
        <v>3771</v>
      </c>
      <c r="B1227" t="s">
        <v>3772</v>
      </c>
      <c r="C1227" t="s">
        <v>4342</v>
      </c>
      <c r="D1227" t="s">
        <v>3774</v>
      </c>
      <c r="E1227" t="s">
        <v>4343</v>
      </c>
      <c r="F1227" t="s">
        <v>4344</v>
      </c>
    </row>
    <row r="1228" spans="1:6">
      <c r="A1228" t="s">
        <v>3771</v>
      </c>
      <c r="B1228" t="s">
        <v>3772</v>
      </c>
      <c r="C1228" t="s">
        <v>4345</v>
      </c>
      <c r="D1228" t="s">
        <v>3774</v>
      </c>
      <c r="E1228" t="s">
        <v>4346</v>
      </c>
      <c r="F1228" t="s">
        <v>4347</v>
      </c>
    </row>
    <row r="1229" spans="1:6">
      <c r="A1229" t="s">
        <v>3771</v>
      </c>
      <c r="B1229" t="s">
        <v>3772</v>
      </c>
      <c r="C1229" t="s">
        <v>4348</v>
      </c>
      <c r="D1229" t="s">
        <v>3774</v>
      </c>
      <c r="E1229" t="s">
        <v>4349</v>
      </c>
      <c r="F1229" t="s">
        <v>4350</v>
      </c>
    </row>
    <row r="1230" spans="1:6">
      <c r="A1230" t="s">
        <v>3771</v>
      </c>
      <c r="B1230" t="s">
        <v>3772</v>
      </c>
      <c r="C1230" t="s">
        <v>4351</v>
      </c>
      <c r="D1230" t="s">
        <v>3774</v>
      </c>
      <c r="E1230" t="s">
        <v>4352</v>
      </c>
      <c r="F1230" t="s">
        <v>4353</v>
      </c>
    </row>
    <row r="1231" spans="1:6">
      <c r="A1231" t="s">
        <v>3771</v>
      </c>
      <c r="B1231" t="s">
        <v>3772</v>
      </c>
      <c r="C1231" t="s">
        <v>4354</v>
      </c>
      <c r="D1231" t="s">
        <v>3774</v>
      </c>
      <c r="E1231" t="s">
        <v>4355</v>
      </c>
      <c r="F1231" t="s">
        <v>4356</v>
      </c>
    </row>
    <row r="1232" spans="1:6">
      <c r="A1232" t="s">
        <v>3771</v>
      </c>
      <c r="B1232" t="s">
        <v>3772</v>
      </c>
      <c r="C1232" t="s">
        <v>4357</v>
      </c>
      <c r="D1232" t="s">
        <v>3774</v>
      </c>
      <c r="E1232" t="s">
        <v>4358</v>
      </c>
      <c r="F1232" t="s">
        <v>4359</v>
      </c>
    </row>
    <row r="1233" spans="1:6">
      <c r="A1233" t="s">
        <v>3771</v>
      </c>
      <c r="B1233" t="s">
        <v>3772</v>
      </c>
      <c r="C1233" t="s">
        <v>4360</v>
      </c>
      <c r="D1233" t="s">
        <v>3774</v>
      </c>
      <c r="E1233" t="s">
        <v>4361</v>
      </c>
      <c r="F1233" t="s">
        <v>4362</v>
      </c>
    </row>
    <row r="1234" spans="1:6">
      <c r="A1234" t="s">
        <v>3771</v>
      </c>
      <c r="B1234" t="s">
        <v>3772</v>
      </c>
      <c r="C1234" t="s">
        <v>4363</v>
      </c>
      <c r="D1234" t="s">
        <v>3774</v>
      </c>
      <c r="E1234" t="s">
        <v>4364</v>
      </c>
      <c r="F1234" t="s">
        <v>4365</v>
      </c>
    </row>
    <row r="1235" spans="1:6">
      <c r="A1235" t="s">
        <v>3771</v>
      </c>
      <c r="B1235" t="s">
        <v>3772</v>
      </c>
      <c r="C1235" t="s">
        <v>4366</v>
      </c>
      <c r="D1235" t="s">
        <v>3774</v>
      </c>
      <c r="E1235" t="s">
        <v>4367</v>
      </c>
      <c r="F1235" t="s">
        <v>4368</v>
      </c>
    </row>
    <row r="1236" spans="1:6">
      <c r="A1236" t="s">
        <v>3771</v>
      </c>
      <c r="B1236" t="s">
        <v>3772</v>
      </c>
      <c r="C1236" t="s">
        <v>4369</v>
      </c>
      <c r="D1236" t="s">
        <v>3774</v>
      </c>
      <c r="E1236" t="s">
        <v>4370</v>
      </c>
      <c r="F1236" t="s">
        <v>4371</v>
      </c>
    </row>
    <row r="1237" spans="1:6">
      <c r="A1237" t="s">
        <v>3771</v>
      </c>
      <c r="B1237" t="s">
        <v>3772</v>
      </c>
      <c r="C1237" t="s">
        <v>4372</v>
      </c>
      <c r="D1237" t="s">
        <v>3774</v>
      </c>
      <c r="E1237" t="s">
        <v>4373</v>
      </c>
      <c r="F1237" t="s">
        <v>4374</v>
      </c>
    </row>
    <row r="1238" spans="1:6">
      <c r="A1238" t="s">
        <v>3771</v>
      </c>
      <c r="B1238" t="s">
        <v>3772</v>
      </c>
      <c r="C1238" t="s">
        <v>4375</v>
      </c>
      <c r="D1238" t="s">
        <v>3774</v>
      </c>
      <c r="E1238" t="s">
        <v>4376</v>
      </c>
      <c r="F1238" t="s">
        <v>4377</v>
      </c>
    </row>
    <row r="1239" spans="1:6">
      <c r="A1239" t="s">
        <v>3771</v>
      </c>
      <c r="B1239" t="s">
        <v>3772</v>
      </c>
      <c r="C1239" t="s">
        <v>4378</v>
      </c>
      <c r="D1239" t="s">
        <v>3774</v>
      </c>
      <c r="E1239" t="s">
        <v>4379</v>
      </c>
      <c r="F1239" t="s">
        <v>4380</v>
      </c>
    </row>
    <row r="1240" spans="1:6">
      <c r="A1240" t="s">
        <v>3771</v>
      </c>
      <c r="B1240" t="s">
        <v>3772</v>
      </c>
      <c r="C1240" t="s">
        <v>4381</v>
      </c>
      <c r="D1240" t="s">
        <v>3774</v>
      </c>
      <c r="E1240" t="s">
        <v>4382</v>
      </c>
      <c r="F1240" t="s">
        <v>4383</v>
      </c>
    </row>
    <row r="1241" spans="1:6">
      <c r="A1241" t="s">
        <v>3771</v>
      </c>
      <c r="B1241" t="s">
        <v>3772</v>
      </c>
      <c r="C1241" t="s">
        <v>4384</v>
      </c>
      <c r="D1241" t="s">
        <v>3774</v>
      </c>
      <c r="E1241" t="s">
        <v>4385</v>
      </c>
      <c r="F1241" t="s">
        <v>4386</v>
      </c>
    </row>
    <row r="1242" spans="1:6">
      <c r="A1242" t="s">
        <v>3771</v>
      </c>
      <c r="B1242" t="s">
        <v>3772</v>
      </c>
      <c r="C1242" t="s">
        <v>4387</v>
      </c>
      <c r="D1242" t="s">
        <v>3774</v>
      </c>
      <c r="E1242" t="s">
        <v>4388</v>
      </c>
      <c r="F1242" t="s">
        <v>4389</v>
      </c>
    </row>
    <row r="1243" spans="1:6">
      <c r="A1243" t="s">
        <v>3771</v>
      </c>
      <c r="B1243" t="s">
        <v>3772</v>
      </c>
      <c r="C1243" t="s">
        <v>4390</v>
      </c>
      <c r="D1243" t="s">
        <v>3774</v>
      </c>
      <c r="E1243" t="s">
        <v>4391</v>
      </c>
      <c r="F1243" t="s">
        <v>4290</v>
      </c>
    </row>
    <row r="1244" spans="1:6">
      <c r="A1244" t="s">
        <v>3771</v>
      </c>
      <c r="B1244" t="s">
        <v>3772</v>
      </c>
      <c r="C1244" t="s">
        <v>4392</v>
      </c>
      <c r="D1244" t="s">
        <v>3774</v>
      </c>
      <c r="E1244" t="s">
        <v>4393</v>
      </c>
      <c r="F1244" t="s">
        <v>4394</v>
      </c>
    </row>
    <row r="1245" spans="1:6">
      <c r="A1245" t="s">
        <v>3771</v>
      </c>
      <c r="B1245" t="s">
        <v>3772</v>
      </c>
      <c r="C1245" t="s">
        <v>4395</v>
      </c>
      <c r="D1245" t="s">
        <v>3774</v>
      </c>
      <c r="E1245" t="s">
        <v>4396</v>
      </c>
      <c r="F1245" t="s">
        <v>4397</v>
      </c>
    </row>
    <row r="1246" spans="1:6">
      <c r="A1246" t="s">
        <v>3771</v>
      </c>
      <c r="B1246" t="s">
        <v>3772</v>
      </c>
      <c r="C1246" t="s">
        <v>4398</v>
      </c>
      <c r="D1246" t="s">
        <v>3774</v>
      </c>
      <c r="E1246" t="s">
        <v>4399</v>
      </c>
      <c r="F1246" t="s">
        <v>4400</v>
      </c>
    </row>
    <row r="1247" spans="1:6">
      <c r="A1247" t="s">
        <v>3771</v>
      </c>
      <c r="B1247" t="s">
        <v>3772</v>
      </c>
      <c r="C1247" t="s">
        <v>4401</v>
      </c>
      <c r="D1247" t="s">
        <v>3774</v>
      </c>
      <c r="E1247" t="s">
        <v>4402</v>
      </c>
      <c r="F1247" t="s">
        <v>4403</v>
      </c>
    </row>
    <row r="1248" spans="1:6">
      <c r="A1248" t="s">
        <v>3771</v>
      </c>
      <c r="B1248" t="s">
        <v>3772</v>
      </c>
      <c r="C1248" t="s">
        <v>4404</v>
      </c>
      <c r="D1248" t="s">
        <v>3774</v>
      </c>
      <c r="E1248" t="s">
        <v>4405</v>
      </c>
      <c r="F1248" t="s">
        <v>4406</v>
      </c>
    </row>
    <row r="1249" spans="1:6">
      <c r="A1249" t="s">
        <v>3771</v>
      </c>
      <c r="B1249" t="s">
        <v>3772</v>
      </c>
      <c r="C1249" t="s">
        <v>4407</v>
      </c>
      <c r="D1249" t="s">
        <v>3774</v>
      </c>
      <c r="E1249" t="s">
        <v>4408</v>
      </c>
      <c r="F1249" t="s">
        <v>4409</v>
      </c>
    </row>
    <row r="1250" spans="1:6">
      <c r="A1250" t="s">
        <v>3771</v>
      </c>
      <c r="B1250" t="s">
        <v>3772</v>
      </c>
      <c r="C1250" t="s">
        <v>4410</v>
      </c>
      <c r="D1250" t="s">
        <v>3774</v>
      </c>
      <c r="E1250" t="s">
        <v>4411</v>
      </c>
      <c r="F1250" t="s">
        <v>4412</v>
      </c>
    </row>
    <row r="1251" spans="1:6">
      <c r="A1251" t="s">
        <v>3771</v>
      </c>
      <c r="B1251" t="s">
        <v>3772</v>
      </c>
      <c r="C1251" t="s">
        <v>4413</v>
      </c>
      <c r="D1251" t="s">
        <v>3774</v>
      </c>
      <c r="E1251" t="s">
        <v>4414</v>
      </c>
      <c r="F1251" t="s">
        <v>4415</v>
      </c>
    </row>
    <row r="1252" spans="1:6">
      <c r="A1252" t="s">
        <v>3771</v>
      </c>
      <c r="B1252" t="s">
        <v>3772</v>
      </c>
      <c r="C1252" t="s">
        <v>4416</v>
      </c>
      <c r="D1252" t="s">
        <v>3774</v>
      </c>
      <c r="E1252" t="s">
        <v>4417</v>
      </c>
      <c r="F1252" t="s">
        <v>4418</v>
      </c>
    </row>
    <row r="1253" spans="1:6">
      <c r="A1253" t="s">
        <v>3771</v>
      </c>
      <c r="B1253" t="s">
        <v>3772</v>
      </c>
      <c r="C1253" t="s">
        <v>4419</v>
      </c>
      <c r="D1253" t="s">
        <v>3774</v>
      </c>
      <c r="E1253" t="s">
        <v>4420</v>
      </c>
      <c r="F1253" t="s">
        <v>4421</v>
      </c>
    </row>
    <row r="1254" spans="1:6">
      <c r="A1254" t="s">
        <v>3771</v>
      </c>
      <c r="B1254" t="s">
        <v>3772</v>
      </c>
      <c r="C1254" t="s">
        <v>4422</v>
      </c>
      <c r="D1254" t="s">
        <v>3774</v>
      </c>
      <c r="E1254" t="s">
        <v>4423</v>
      </c>
      <c r="F1254" t="s">
        <v>4424</v>
      </c>
    </row>
    <row r="1255" spans="1:6">
      <c r="A1255" t="s">
        <v>3771</v>
      </c>
      <c r="B1255" t="s">
        <v>3772</v>
      </c>
      <c r="C1255" t="s">
        <v>4425</v>
      </c>
      <c r="D1255" t="s">
        <v>3774</v>
      </c>
      <c r="E1255" t="s">
        <v>4426</v>
      </c>
      <c r="F1255" t="s">
        <v>4427</v>
      </c>
    </row>
    <row r="1256" spans="1:6">
      <c r="A1256" t="s">
        <v>3771</v>
      </c>
      <c r="B1256" t="s">
        <v>3772</v>
      </c>
      <c r="C1256" t="s">
        <v>4428</v>
      </c>
      <c r="D1256" t="s">
        <v>3774</v>
      </c>
      <c r="E1256" t="s">
        <v>4429</v>
      </c>
      <c r="F1256" t="s">
        <v>4430</v>
      </c>
    </row>
    <row r="1257" spans="1:6">
      <c r="A1257" t="s">
        <v>3771</v>
      </c>
      <c r="B1257" t="s">
        <v>3772</v>
      </c>
      <c r="C1257" t="s">
        <v>4431</v>
      </c>
      <c r="D1257" t="s">
        <v>3774</v>
      </c>
      <c r="E1257" t="s">
        <v>4432</v>
      </c>
      <c r="F1257" t="s">
        <v>4433</v>
      </c>
    </row>
    <row r="1258" spans="1:6">
      <c r="A1258" t="s">
        <v>3771</v>
      </c>
      <c r="B1258" t="s">
        <v>3772</v>
      </c>
      <c r="C1258" t="s">
        <v>4434</v>
      </c>
      <c r="D1258" t="s">
        <v>3774</v>
      </c>
      <c r="E1258" t="s">
        <v>4435</v>
      </c>
      <c r="F1258" t="s">
        <v>4436</v>
      </c>
    </row>
    <row r="1259" spans="1:6">
      <c r="A1259" t="s">
        <v>3771</v>
      </c>
      <c r="B1259" t="s">
        <v>3772</v>
      </c>
      <c r="C1259" t="s">
        <v>4437</v>
      </c>
      <c r="D1259" t="s">
        <v>3774</v>
      </c>
      <c r="E1259" t="s">
        <v>4438</v>
      </c>
      <c r="F1259" t="s">
        <v>4439</v>
      </c>
    </row>
    <row r="1260" spans="1:6">
      <c r="A1260" t="s">
        <v>3771</v>
      </c>
      <c r="B1260" t="s">
        <v>3772</v>
      </c>
      <c r="C1260" t="s">
        <v>4440</v>
      </c>
      <c r="D1260" t="s">
        <v>3774</v>
      </c>
      <c r="E1260" t="s">
        <v>4441</v>
      </c>
      <c r="F1260" t="s">
        <v>4442</v>
      </c>
    </row>
    <row r="1261" spans="1:6">
      <c r="A1261" t="s">
        <v>3771</v>
      </c>
      <c r="B1261" t="s">
        <v>3772</v>
      </c>
      <c r="C1261" t="s">
        <v>4443</v>
      </c>
      <c r="D1261" t="s">
        <v>3774</v>
      </c>
      <c r="E1261" t="s">
        <v>4444</v>
      </c>
      <c r="F1261" t="s">
        <v>4445</v>
      </c>
    </row>
    <row r="1262" spans="1:6">
      <c r="A1262" t="s">
        <v>3771</v>
      </c>
      <c r="B1262" t="s">
        <v>3772</v>
      </c>
      <c r="C1262" t="s">
        <v>4446</v>
      </c>
      <c r="D1262" t="s">
        <v>3774</v>
      </c>
      <c r="E1262" t="s">
        <v>4447</v>
      </c>
      <c r="F1262" t="s">
        <v>4448</v>
      </c>
    </row>
    <row r="1263" spans="1:6">
      <c r="A1263" t="s">
        <v>3771</v>
      </c>
      <c r="B1263" t="s">
        <v>3772</v>
      </c>
      <c r="C1263" t="s">
        <v>4449</v>
      </c>
      <c r="D1263" t="s">
        <v>3774</v>
      </c>
      <c r="E1263" t="s">
        <v>4450</v>
      </c>
      <c r="F1263" t="s">
        <v>4451</v>
      </c>
    </row>
    <row r="1264" spans="1:6">
      <c r="A1264" t="s">
        <v>3771</v>
      </c>
      <c r="B1264" t="s">
        <v>3772</v>
      </c>
      <c r="C1264" t="s">
        <v>4452</v>
      </c>
      <c r="D1264" t="s">
        <v>3774</v>
      </c>
      <c r="E1264" t="s">
        <v>4453</v>
      </c>
      <c r="F1264" t="s">
        <v>4454</v>
      </c>
    </row>
    <row r="1265" spans="1:12">
      <c r="A1265" t="s">
        <v>3771</v>
      </c>
      <c r="B1265" t="s">
        <v>3772</v>
      </c>
      <c r="C1265" t="s">
        <v>4455</v>
      </c>
      <c r="D1265" t="s">
        <v>3774</v>
      </c>
      <c r="E1265" t="s">
        <v>4456</v>
      </c>
      <c r="F1265" t="s">
        <v>4457</v>
      </c>
    </row>
    <row r="1266" spans="1:12">
      <c r="A1266" t="s">
        <v>3771</v>
      </c>
      <c r="B1266" t="s">
        <v>3772</v>
      </c>
      <c r="C1266" t="s">
        <v>4458</v>
      </c>
      <c r="D1266" t="s">
        <v>3774</v>
      </c>
      <c r="E1266" t="s">
        <v>4459</v>
      </c>
      <c r="F1266" t="s">
        <v>4460</v>
      </c>
    </row>
    <row r="1267" spans="1:12">
      <c r="A1267" t="s">
        <v>3771</v>
      </c>
      <c r="B1267" t="s">
        <v>3772</v>
      </c>
      <c r="C1267" t="s">
        <v>4461</v>
      </c>
      <c r="D1267" t="s">
        <v>3774</v>
      </c>
      <c r="E1267" t="s">
        <v>4462</v>
      </c>
      <c r="F1267" t="s">
        <v>4463</v>
      </c>
    </row>
    <row r="1268" spans="1:12">
      <c r="A1268" t="s">
        <v>3771</v>
      </c>
      <c r="B1268" t="s">
        <v>3772</v>
      </c>
      <c r="C1268" t="s">
        <v>4464</v>
      </c>
      <c r="D1268" t="s">
        <v>3774</v>
      </c>
      <c r="E1268" t="s">
        <v>4465</v>
      </c>
      <c r="F1268" t="s">
        <v>4466</v>
      </c>
    </row>
    <row r="1269" spans="1:12">
      <c r="A1269" t="s">
        <v>3771</v>
      </c>
      <c r="B1269" t="s">
        <v>3772</v>
      </c>
      <c r="C1269" t="s">
        <v>4467</v>
      </c>
      <c r="D1269" t="s">
        <v>3774</v>
      </c>
      <c r="E1269" t="s">
        <v>4468</v>
      </c>
      <c r="F1269" t="s">
        <v>4469</v>
      </c>
    </row>
    <row r="1270" spans="1:12">
      <c r="A1270" t="s">
        <v>3771</v>
      </c>
      <c r="B1270" t="s">
        <v>3772</v>
      </c>
      <c r="C1270" t="s">
        <v>4470</v>
      </c>
      <c r="D1270" t="s">
        <v>3774</v>
      </c>
      <c r="E1270" t="s">
        <v>4471</v>
      </c>
      <c r="F1270" t="s">
        <v>4472</v>
      </c>
    </row>
    <row r="1271" spans="1:12">
      <c r="A1271" t="s">
        <v>3771</v>
      </c>
      <c r="B1271" t="s">
        <v>3772</v>
      </c>
      <c r="C1271" t="s">
        <v>4473</v>
      </c>
      <c r="D1271" t="s">
        <v>3774</v>
      </c>
      <c r="E1271" t="s">
        <v>4474</v>
      </c>
      <c r="F1271" t="s">
        <v>4475</v>
      </c>
    </row>
    <row r="1272" spans="1:12">
      <c r="A1272" t="s">
        <v>3771</v>
      </c>
      <c r="B1272" t="s">
        <v>3772</v>
      </c>
      <c r="C1272" t="s">
        <v>4476</v>
      </c>
      <c r="D1272" t="s">
        <v>3774</v>
      </c>
      <c r="E1272" t="s">
        <v>4477</v>
      </c>
      <c r="F1272" t="s">
        <v>4478</v>
      </c>
    </row>
    <row r="1273" spans="1:12">
      <c r="A1273" t="s">
        <v>3771</v>
      </c>
      <c r="B1273" t="s">
        <v>3772</v>
      </c>
      <c r="C1273" t="s">
        <v>4479</v>
      </c>
      <c r="D1273" t="s">
        <v>3774</v>
      </c>
      <c r="E1273" t="s">
        <v>4480</v>
      </c>
      <c r="F1273" t="s">
        <v>4481</v>
      </c>
    </row>
    <row r="1274" spans="1:12">
      <c r="A1274" t="s">
        <v>3771</v>
      </c>
      <c r="B1274" t="s">
        <v>3772</v>
      </c>
      <c r="C1274" t="s">
        <v>4482</v>
      </c>
      <c r="D1274" t="s">
        <v>3774</v>
      </c>
      <c r="E1274" t="s">
        <v>4483</v>
      </c>
      <c r="F1274" t="s">
        <v>4484</v>
      </c>
    </row>
    <row r="1275" spans="1:12">
      <c r="A1275" t="s">
        <v>3771</v>
      </c>
      <c r="B1275" t="s">
        <v>3772</v>
      </c>
      <c r="C1275" t="s">
        <v>4485</v>
      </c>
      <c r="D1275" t="s">
        <v>3774</v>
      </c>
      <c r="E1275" t="s">
        <v>4486</v>
      </c>
      <c r="F1275" t="s">
        <v>4487</v>
      </c>
      <c r="J1275" t="s">
        <v>4486</v>
      </c>
      <c r="K1275" t="s">
        <v>3777</v>
      </c>
      <c r="L1275" t="s">
        <v>814</v>
      </c>
    </row>
    <row r="1276" spans="1:12">
      <c r="A1276" t="s">
        <v>3771</v>
      </c>
      <c r="B1276" t="s">
        <v>3772</v>
      </c>
      <c r="C1276" t="s">
        <v>4488</v>
      </c>
      <c r="D1276" t="s">
        <v>3774</v>
      </c>
      <c r="E1276" t="s">
        <v>4489</v>
      </c>
      <c r="F1276" t="s">
        <v>4490</v>
      </c>
      <c r="J1276" t="s">
        <v>4489</v>
      </c>
      <c r="K1276" t="s">
        <v>3777</v>
      </c>
      <c r="L1276" t="s">
        <v>814</v>
      </c>
    </row>
    <row r="1277" spans="1:12">
      <c r="A1277" t="s">
        <v>3771</v>
      </c>
      <c r="B1277" t="s">
        <v>3772</v>
      </c>
      <c r="C1277" t="s">
        <v>4491</v>
      </c>
      <c r="D1277" t="s">
        <v>3774</v>
      </c>
      <c r="E1277" t="s">
        <v>4492</v>
      </c>
      <c r="F1277" t="s">
        <v>4493</v>
      </c>
      <c r="J1277" t="s">
        <v>4492</v>
      </c>
      <c r="K1277" t="s">
        <v>3777</v>
      </c>
      <c r="L1277" t="s">
        <v>814</v>
      </c>
    </row>
    <row r="1278" spans="1:12">
      <c r="A1278" t="s">
        <v>3771</v>
      </c>
      <c r="B1278" t="s">
        <v>3772</v>
      </c>
      <c r="C1278" t="s">
        <v>4494</v>
      </c>
      <c r="D1278" t="s">
        <v>3774</v>
      </c>
      <c r="E1278" t="s">
        <v>4495</v>
      </c>
      <c r="F1278" t="s">
        <v>4496</v>
      </c>
      <c r="J1278" t="s">
        <v>4495</v>
      </c>
      <c r="K1278" t="s">
        <v>3777</v>
      </c>
      <c r="L1278" t="s">
        <v>814</v>
      </c>
    </row>
    <row r="1279" spans="1:12">
      <c r="A1279" t="s">
        <v>3771</v>
      </c>
      <c r="B1279" t="s">
        <v>3772</v>
      </c>
      <c r="C1279" t="s">
        <v>4497</v>
      </c>
      <c r="D1279" t="s">
        <v>3774</v>
      </c>
      <c r="E1279" t="s">
        <v>4498</v>
      </c>
      <c r="F1279" t="s">
        <v>4499</v>
      </c>
      <c r="J1279" t="s">
        <v>4498</v>
      </c>
      <c r="K1279" t="s">
        <v>3777</v>
      </c>
      <c r="L1279" t="s">
        <v>814</v>
      </c>
    </row>
    <row r="1280" spans="1:12">
      <c r="A1280" t="s">
        <v>3771</v>
      </c>
      <c r="B1280" t="s">
        <v>3772</v>
      </c>
      <c r="C1280" t="s">
        <v>4500</v>
      </c>
      <c r="D1280" t="s">
        <v>3774</v>
      </c>
      <c r="E1280" t="s">
        <v>4501</v>
      </c>
      <c r="F1280" t="s">
        <v>4502</v>
      </c>
      <c r="J1280" t="s">
        <v>4501</v>
      </c>
      <c r="K1280" t="s">
        <v>3777</v>
      </c>
      <c r="L1280" t="s">
        <v>814</v>
      </c>
    </row>
    <row r="1281" spans="1:12">
      <c r="A1281" t="s">
        <v>3771</v>
      </c>
      <c r="B1281" t="s">
        <v>3772</v>
      </c>
      <c r="C1281" t="s">
        <v>4503</v>
      </c>
      <c r="D1281" t="s">
        <v>3774</v>
      </c>
      <c r="E1281" t="s">
        <v>4504</v>
      </c>
      <c r="F1281" t="s">
        <v>4505</v>
      </c>
      <c r="J1281" t="s">
        <v>4504</v>
      </c>
      <c r="K1281" t="s">
        <v>3777</v>
      </c>
      <c r="L1281" t="s">
        <v>814</v>
      </c>
    </row>
    <row r="1282" spans="1:12">
      <c r="A1282" t="s">
        <v>3771</v>
      </c>
      <c r="B1282" t="s">
        <v>3772</v>
      </c>
      <c r="C1282" t="s">
        <v>4506</v>
      </c>
      <c r="D1282" t="s">
        <v>3774</v>
      </c>
      <c r="E1282" t="s">
        <v>4507</v>
      </c>
      <c r="F1282" t="s">
        <v>4508</v>
      </c>
      <c r="J1282" t="s">
        <v>4507</v>
      </c>
      <c r="K1282" t="s">
        <v>3777</v>
      </c>
      <c r="L1282" t="s">
        <v>814</v>
      </c>
    </row>
    <row r="1283" spans="1:12">
      <c r="A1283" t="s">
        <v>3771</v>
      </c>
      <c r="B1283" t="s">
        <v>3772</v>
      </c>
      <c r="C1283" t="s">
        <v>4509</v>
      </c>
      <c r="D1283" t="s">
        <v>3774</v>
      </c>
      <c r="E1283" t="s">
        <v>4510</v>
      </c>
      <c r="F1283" t="s">
        <v>4511</v>
      </c>
      <c r="J1283" t="s">
        <v>4510</v>
      </c>
      <c r="K1283" t="s">
        <v>3777</v>
      </c>
      <c r="L1283" t="s">
        <v>814</v>
      </c>
    </row>
    <row r="1284" spans="1:12">
      <c r="A1284" t="s">
        <v>3771</v>
      </c>
      <c r="B1284" t="s">
        <v>3772</v>
      </c>
      <c r="C1284" t="s">
        <v>4512</v>
      </c>
      <c r="D1284" t="s">
        <v>3774</v>
      </c>
      <c r="E1284" t="s">
        <v>4513</v>
      </c>
      <c r="F1284" t="s">
        <v>4514</v>
      </c>
      <c r="J1284" t="s">
        <v>4513</v>
      </c>
      <c r="K1284" t="s">
        <v>3777</v>
      </c>
      <c r="L1284" t="s">
        <v>814</v>
      </c>
    </row>
    <row r="1285" spans="1:12">
      <c r="A1285" t="s">
        <v>3771</v>
      </c>
      <c r="B1285" t="s">
        <v>3772</v>
      </c>
      <c r="C1285" t="s">
        <v>4515</v>
      </c>
      <c r="D1285" t="s">
        <v>3774</v>
      </c>
      <c r="E1285" t="s">
        <v>4516</v>
      </c>
      <c r="F1285" t="s">
        <v>4517</v>
      </c>
      <c r="J1285" t="s">
        <v>4516</v>
      </c>
      <c r="K1285" t="s">
        <v>3777</v>
      </c>
      <c r="L1285" t="s">
        <v>814</v>
      </c>
    </row>
    <row r="1286" spans="1:12">
      <c r="A1286" t="s">
        <v>3771</v>
      </c>
      <c r="B1286" t="s">
        <v>3772</v>
      </c>
      <c r="C1286" t="s">
        <v>4518</v>
      </c>
      <c r="D1286" t="s">
        <v>3774</v>
      </c>
      <c r="E1286" t="s">
        <v>4519</v>
      </c>
      <c r="F1286" t="s">
        <v>4520</v>
      </c>
      <c r="J1286" t="s">
        <v>4519</v>
      </c>
      <c r="K1286" t="s">
        <v>3777</v>
      </c>
      <c r="L1286" t="s">
        <v>814</v>
      </c>
    </row>
    <row r="1287" spans="1:12">
      <c r="A1287" t="s">
        <v>3771</v>
      </c>
      <c r="B1287" t="s">
        <v>3772</v>
      </c>
      <c r="C1287" t="s">
        <v>4521</v>
      </c>
      <c r="D1287" t="s">
        <v>3774</v>
      </c>
      <c r="E1287" t="s">
        <v>4522</v>
      </c>
      <c r="F1287" t="s">
        <v>4523</v>
      </c>
    </row>
    <row r="1288" spans="1:12">
      <c r="A1288" t="s">
        <v>3771</v>
      </c>
      <c r="B1288" t="s">
        <v>3772</v>
      </c>
      <c r="C1288" t="s">
        <v>4524</v>
      </c>
      <c r="D1288" t="s">
        <v>3774</v>
      </c>
      <c r="E1288" t="s">
        <v>4525</v>
      </c>
      <c r="F1288" t="s">
        <v>4526</v>
      </c>
      <c r="J1288" t="s">
        <v>4525</v>
      </c>
      <c r="K1288" t="s">
        <v>3777</v>
      </c>
      <c r="L1288" t="s">
        <v>814</v>
      </c>
    </row>
    <row r="1289" spans="1:12">
      <c r="A1289" t="s">
        <v>3771</v>
      </c>
      <c r="B1289" t="s">
        <v>3772</v>
      </c>
      <c r="C1289" t="s">
        <v>4527</v>
      </c>
      <c r="D1289" t="s">
        <v>3774</v>
      </c>
      <c r="E1289" t="s">
        <v>4528</v>
      </c>
      <c r="F1289" t="s">
        <v>4529</v>
      </c>
      <c r="J1289" t="s">
        <v>4528</v>
      </c>
      <c r="K1289" t="s">
        <v>3777</v>
      </c>
      <c r="L1289" t="s">
        <v>814</v>
      </c>
    </row>
    <row r="1290" spans="1:12">
      <c r="A1290" t="s">
        <v>3771</v>
      </c>
      <c r="B1290" t="s">
        <v>3772</v>
      </c>
      <c r="C1290" t="s">
        <v>4530</v>
      </c>
      <c r="D1290" t="s">
        <v>3774</v>
      </c>
      <c r="E1290" t="s">
        <v>4531</v>
      </c>
      <c r="F1290" t="s">
        <v>4532</v>
      </c>
      <c r="J1290" t="s">
        <v>4531</v>
      </c>
      <c r="K1290" t="s">
        <v>3777</v>
      </c>
      <c r="L1290" t="s">
        <v>814</v>
      </c>
    </row>
    <row r="1291" spans="1:12">
      <c r="A1291" t="s">
        <v>3771</v>
      </c>
      <c r="B1291" t="s">
        <v>3772</v>
      </c>
      <c r="C1291" t="s">
        <v>4533</v>
      </c>
      <c r="D1291" t="s">
        <v>3774</v>
      </c>
      <c r="E1291" t="s">
        <v>4534</v>
      </c>
      <c r="F1291" t="s">
        <v>4535</v>
      </c>
      <c r="J1291" t="s">
        <v>4534</v>
      </c>
      <c r="K1291" t="s">
        <v>3777</v>
      </c>
      <c r="L1291" t="s">
        <v>814</v>
      </c>
    </row>
    <row r="1292" spans="1:12">
      <c r="A1292" t="s">
        <v>3771</v>
      </c>
      <c r="B1292" t="s">
        <v>3772</v>
      </c>
      <c r="C1292" t="s">
        <v>4536</v>
      </c>
      <c r="D1292" t="s">
        <v>3774</v>
      </c>
      <c r="E1292" t="s">
        <v>4537</v>
      </c>
      <c r="F1292" t="s">
        <v>4538</v>
      </c>
      <c r="J1292" t="s">
        <v>4537</v>
      </c>
      <c r="K1292" t="s">
        <v>3777</v>
      </c>
      <c r="L1292" t="s">
        <v>814</v>
      </c>
    </row>
    <row r="1293" spans="1:12">
      <c r="A1293" t="s">
        <v>3771</v>
      </c>
      <c r="B1293" t="s">
        <v>3772</v>
      </c>
      <c r="C1293" t="s">
        <v>4539</v>
      </c>
      <c r="D1293" t="s">
        <v>3774</v>
      </c>
      <c r="E1293" t="s">
        <v>4540</v>
      </c>
      <c r="F1293" t="s">
        <v>1309</v>
      </c>
      <c r="J1293" t="s">
        <v>4540</v>
      </c>
      <c r="K1293" t="s">
        <v>3777</v>
      </c>
      <c r="L1293" t="s">
        <v>814</v>
      </c>
    </row>
    <row r="1294" spans="1:12">
      <c r="A1294" t="s">
        <v>3771</v>
      </c>
      <c r="B1294" t="s">
        <v>3772</v>
      </c>
      <c r="C1294" t="s">
        <v>4541</v>
      </c>
      <c r="D1294" t="s">
        <v>3774</v>
      </c>
      <c r="E1294" t="s">
        <v>4542</v>
      </c>
      <c r="F1294" t="s">
        <v>4543</v>
      </c>
      <c r="J1294" t="s">
        <v>4542</v>
      </c>
      <c r="K1294" t="s">
        <v>3777</v>
      </c>
      <c r="L1294" t="s">
        <v>814</v>
      </c>
    </row>
    <row r="1295" spans="1:12">
      <c r="A1295" t="s">
        <v>3771</v>
      </c>
      <c r="B1295" t="s">
        <v>3772</v>
      </c>
      <c r="C1295" t="s">
        <v>4544</v>
      </c>
      <c r="D1295" t="s">
        <v>3774</v>
      </c>
      <c r="E1295" t="s">
        <v>2918</v>
      </c>
      <c r="F1295" t="s">
        <v>4545</v>
      </c>
    </row>
    <row r="1296" spans="1:12">
      <c r="A1296" t="s">
        <v>3771</v>
      </c>
      <c r="B1296" t="s">
        <v>3772</v>
      </c>
      <c r="C1296" t="s">
        <v>4546</v>
      </c>
      <c r="D1296" t="s">
        <v>3774</v>
      </c>
      <c r="E1296" t="s">
        <v>4547</v>
      </c>
      <c r="F1296" t="s">
        <v>4548</v>
      </c>
      <c r="J1296" t="s">
        <v>4547</v>
      </c>
      <c r="K1296" t="s">
        <v>3777</v>
      </c>
      <c r="L1296" t="s">
        <v>814</v>
      </c>
    </row>
    <row r="1297" spans="1:12">
      <c r="A1297" t="s">
        <v>3771</v>
      </c>
      <c r="B1297" t="s">
        <v>3772</v>
      </c>
      <c r="C1297" t="s">
        <v>4549</v>
      </c>
      <c r="D1297" t="s">
        <v>3774</v>
      </c>
      <c r="E1297" t="s">
        <v>4550</v>
      </c>
      <c r="F1297" t="s">
        <v>1303</v>
      </c>
      <c r="J1297" t="s">
        <v>4550</v>
      </c>
      <c r="K1297" t="s">
        <v>3777</v>
      </c>
      <c r="L1297" t="s">
        <v>814</v>
      </c>
    </row>
    <row r="1298" spans="1:12">
      <c r="A1298" t="s">
        <v>3771</v>
      </c>
      <c r="B1298" t="s">
        <v>3772</v>
      </c>
      <c r="C1298" t="s">
        <v>4551</v>
      </c>
      <c r="D1298" t="s">
        <v>3774</v>
      </c>
      <c r="E1298" t="s">
        <v>4552</v>
      </c>
      <c r="F1298" t="s">
        <v>4553</v>
      </c>
      <c r="J1298" t="s">
        <v>4552</v>
      </c>
      <c r="K1298" t="s">
        <v>3777</v>
      </c>
      <c r="L1298" t="s">
        <v>814</v>
      </c>
    </row>
    <row r="1299" spans="1:12">
      <c r="A1299" t="s">
        <v>3771</v>
      </c>
      <c r="B1299" t="s">
        <v>3772</v>
      </c>
      <c r="C1299" t="s">
        <v>4554</v>
      </c>
      <c r="D1299" t="s">
        <v>3774</v>
      </c>
      <c r="E1299" t="s">
        <v>4555</v>
      </c>
      <c r="F1299" t="s">
        <v>4556</v>
      </c>
    </row>
    <row r="1300" spans="1:12">
      <c r="A1300" t="s">
        <v>3771</v>
      </c>
      <c r="B1300" t="s">
        <v>3772</v>
      </c>
      <c r="C1300" t="s">
        <v>4557</v>
      </c>
      <c r="D1300" t="s">
        <v>3774</v>
      </c>
      <c r="E1300" t="s">
        <v>4558</v>
      </c>
      <c r="F1300" t="s">
        <v>4559</v>
      </c>
      <c r="J1300" t="s">
        <v>4558</v>
      </c>
      <c r="K1300" t="s">
        <v>3777</v>
      </c>
      <c r="L1300" t="s">
        <v>814</v>
      </c>
    </row>
    <row r="1301" spans="1:12">
      <c r="A1301" t="s">
        <v>3771</v>
      </c>
      <c r="B1301" t="s">
        <v>3772</v>
      </c>
      <c r="C1301" t="s">
        <v>4560</v>
      </c>
      <c r="D1301" t="s">
        <v>3774</v>
      </c>
      <c r="E1301" t="s">
        <v>4561</v>
      </c>
      <c r="F1301" t="s">
        <v>4562</v>
      </c>
      <c r="J1301" t="s">
        <v>4561</v>
      </c>
      <c r="K1301" t="s">
        <v>3777</v>
      </c>
      <c r="L1301" t="s">
        <v>814</v>
      </c>
    </row>
    <row r="1302" spans="1:12">
      <c r="A1302" t="s">
        <v>3771</v>
      </c>
      <c r="B1302" t="s">
        <v>3772</v>
      </c>
      <c r="C1302" t="s">
        <v>4563</v>
      </c>
      <c r="D1302" t="s">
        <v>3774</v>
      </c>
      <c r="E1302" t="s">
        <v>4564</v>
      </c>
      <c r="F1302" t="s">
        <v>4565</v>
      </c>
      <c r="J1302" t="s">
        <v>4564</v>
      </c>
      <c r="K1302" t="s">
        <v>3777</v>
      </c>
      <c r="L1302" t="s">
        <v>814</v>
      </c>
    </row>
    <row r="1303" spans="1:12">
      <c r="A1303" t="s">
        <v>3771</v>
      </c>
      <c r="B1303" t="s">
        <v>3772</v>
      </c>
      <c r="C1303" t="s">
        <v>4566</v>
      </c>
      <c r="D1303" t="s">
        <v>3774</v>
      </c>
      <c r="E1303" t="s">
        <v>4567</v>
      </c>
      <c r="F1303" t="s">
        <v>4568</v>
      </c>
    </row>
    <row r="1304" spans="1:12">
      <c r="A1304" t="s">
        <v>3771</v>
      </c>
      <c r="B1304" t="s">
        <v>3772</v>
      </c>
      <c r="C1304" t="s">
        <v>4569</v>
      </c>
      <c r="D1304" t="s">
        <v>3774</v>
      </c>
      <c r="E1304" t="s">
        <v>4570</v>
      </c>
      <c r="F1304" t="s">
        <v>4571</v>
      </c>
      <c r="J1304" t="s">
        <v>4570</v>
      </c>
      <c r="K1304" t="s">
        <v>3777</v>
      </c>
      <c r="L1304" t="s">
        <v>814</v>
      </c>
    </row>
    <row r="1305" spans="1:12">
      <c r="A1305" t="s">
        <v>3771</v>
      </c>
      <c r="B1305" t="s">
        <v>3772</v>
      </c>
      <c r="C1305" t="s">
        <v>4572</v>
      </c>
      <c r="D1305" t="s">
        <v>3774</v>
      </c>
      <c r="E1305" t="s">
        <v>4573</v>
      </c>
      <c r="F1305" t="s">
        <v>4574</v>
      </c>
      <c r="J1305" t="s">
        <v>4573</v>
      </c>
      <c r="K1305" t="s">
        <v>3777</v>
      </c>
      <c r="L1305" t="s">
        <v>814</v>
      </c>
    </row>
    <row r="1306" spans="1:12">
      <c r="A1306" t="s">
        <v>3771</v>
      </c>
      <c r="B1306" t="s">
        <v>3772</v>
      </c>
      <c r="C1306" t="s">
        <v>4575</v>
      </c>
      <c r="D1306" t="s">
        <v>3774</v>
      </c>
      <c r="E1306" t="s">
        <v>4576</v>
      </c>
      <c r="F1306" t="s">
        <v>4577</v>
      </c>
      <c r="J1306" t="s">
        <v>4576</v>
      </c>
      <c r="K1306" t="s">
        <v>3777</v>
      </c>
      <c r="L1306" t="s">
        <v>814</v>
      </c>
    </row>
    <row r="1307" spans="1:12">
      <c r="A1307" t="s">
        <v>3771</v>
      </c>
      <c r="B1307" t="s">
        <v>3772</v>
      </c>
      <c r="C1307" t="s">
        <v>4578</v>
      </c>
      <c r="D1307" t="s">
        <v>3774</v>
      </c>
      <c r="E1307" t="s">
        <v>4579</v>
      </c>
      <c r="F1307" t="s">
        <v>4580</v>
      </c>
      <c r="J1307" t="s">
        <v>4579</v>
      </c>
      <c r="K1307" t="s">
        <v>3777</v>
      </c>
      <c r="L1307" t="s">
        <v>814</v>
      </c>
    </row>
    <row r="1308" spans="1:12">
      <c r="A1308" t="s">
        <v>3771</v>
      </c>
      <c r="B1308" t="s">
        <v>3772</v>
      </c>
      <c r="C1308" t="s">
        <v>4581</v>
      </c>
      <c r="D1308" t="s">
        <v>3774</v>
      </c>
      <c r="E1308" t="s">
        <v>2993</v>
      </c>
      <c r="F1308" t="s">
        <v>4582</v>
      </c>
      <c r="J1308" t="s">
        <v>2993</v>
      </c>
      <c r="K1308" t="s">
        <v>3777</v>
      </c>
      <c r="L1308" t="s">
        <v>814</v>
      </c>
    </row>
    <row r="1309" spans="1:12">
      <c r="A1309" t="s">
        <v>3771</v>
      </c>
      <c r="B1309" t="s">
        <v>3772</v>
      </c>
      <c r="C1309" t="s">
        <v>4583</v>
      </c>
      <c r="D1309" t="s">
        <v>3774</v>
      </c>
      <c r="E1309" t="s">
        <v>4584</v>
      </c>
      <c r="F1309" t="s">
        <v>4585</v>
      </c>
      <c r="J1309" t="s">
        <v>4584</v>
      </c>
      <c r="K1309" t="s">
        <v>3777</v>
      </c>
      <c r="L1309" t="s">
        <v>814</v>
      </c>
    </row>
    <row r="1310" spans="1:12">
      <c r="A1310" t="s">
        <v>3771</v>
      </c>
      <c r="B1310" t="s">
        <v>3772</v>
      </c>
      <c r="C1310" t="s">
        <v>4586</v>
      </c>
      <c r="D1310" t="s">
        <v>3774</v>
      </c>
      <c r="E1310" t="s">
        <v>4587</v>
      </c>
      <c r="F1310" t="s">
        <v>4588</v>
      </c>
      <c r="J1310" t="s">
        <v>4587</v>
      </c>
      <c r="K1310" t="s">
        <v>3777</v>
      </c>
      <c r="L1310" t="s">
        <v>814</v>
      </c>
    </row>
    <row r="1311" spans="1:12">
      <c r="A1311" t="s">
        <v>3771</v>
      </c>
      <c r="B1311" t="s">
        <v>3772</v>
      </c>
      <c r="C1311" t="s">
        <v>4589</v>
      </c>
      <c r="D1311" t="s">
        <v>3774</v>
      </c>
      <c r="E1311" t="s">
        <v>4590</v>
      </c>
      <c r="F1311" t="s">
        <v>4591</v>
      </c>
    </row>
    <row r="1312" spans="1:12">
      <c r="A1312" t="s">
        <v>3771</v>
      </c>
      <c r="B1312" t="s">
        <v>3772</v>
      </c>
      <c r="C1312" t="s">
        <v>4592</v>
      </c>
      <c r="D1312" t="s">
        <v>3774</v>
      </c>
      <c r="E1312" t="s">
        <v>4593</v>
      </c>
      <c r="F1312" t="s">
        <v>4594</v>
      </c>
    </row>
    <row r="1313" spans="1:12">
      <c r="A1313" t="s">
        <v>3771</v>
      </c>
      <c r="B1313" t="s">
        <v>3772</v>
      </c>
      <c r="C1313" t="s">
        <v>4595</v>
      </c>
      <c r="D1313" t="s">
        <v>3774</v>
      </c>
      <c r="E1313" t="s">
        <v>4596</v>
      </c>
      <c r="F1313" t="s">
        <v>4597</v>
      </c>
    </row>
    <row r="1314" spans="1:12">
      <c r="A1314" t="s">
        <v>3771</v>
      </c>
      <c r="B1314" t="s">
        <v>3772</v>
      </c>
      <c r="C1314" t="s">
        <v>4598</v>
      </c>
      <c r="D1314" t="s">
        <v>3774</v>
      </c>
      <c r="E1314" t="s">
        <v>4599</v>
      </c>
      <c r="F1314" t="s">
        <v>4600</v>
      </c>
      <c r="J1314" t="s">
        <v>4599</v>
      </c>
      <c r="K1314" t="s">
        <v>3777</v>
      </c>
      <c r="L1314" t="s">
        <v>814</v>
      </c>
    </row>
    <row r="1315" spans="1:12">
      <c r="A1315" t="s">
        <v>3771</v>
      </c>
      <c r="B1315" t="s">
        <v>3772</v>
      </c>
      <c r="C1315" t="s">
        <v>4601</v>
      </c>
      <c r="D1315" t="s">
        <v>3774</v>
      </c>
      <c r="E1315" t="s">
        <v>4602</v>
      </c>
      <c r="F1315" t="s">
        <v>4603</v>
      </c>
      <c r="J1315" t="s">
        <v>4602</v>
      </c>
      <c r="K1315" t="s">
        <v>3777</v>
      </c>
      <c r="L1315" t="s">
        <v>814</v>
      </c>
    </row>
    <row r="1316" spans="1:12">
      <c r="A1316" t="s">
        <v>3771</v>
      </c>
      <c r="B1316" t="s">
        <v>3772</v>
      </c>
      <c r="C1316" t="s">
        <v>4604</v>
      </c>
      <c r="D1316" t="s">
        <v>3774</v>
      </c>
      <c r="E1316" t="s">
        <v>4605</v>
      </c>
      <c r="F1316" t="s">
        <v>4606</v>
      </c>
      <c r="J1316" t="s">
        <v>4605</v>
      </c>
      <c r="K1316" t="s">
        <v>3777</v>
      </c>
      <c r="L1316" t="s">
        <v>814</v>
      </c>
    </row>
    <row r="1317" spans="1:12">
      <c r="A1317" t="s">
        <v>3771</v>
      </c>
      <c r="B1317" t="s">
        <v>3772</v>
      </c>
      <c r="C1317" t="s">
        <v>4607</v>
      </c>
      <c r="D1317" t="s">
        <v>3774</v>
      </c>
      <c r="E1317" t="s">
        <v>4608</v>
      </c>
      <c r="F1317" t="s">
        <v>4609</v>
      </c>
      <c r="J1317" t="s">
        <v>4608</v>
      </c>
      <c r="K1317" t="s">
        <v>3777</v>
      </c>
      <c r="L1317" t="s">
        <v>814</v>
      </c>
    </row>
    <row r="1318" spans="1:12">
      <c r="A1318" t="s">
        <v>3771</v>
      </c>
      <c r="B1318" t="s">
        <v>3772</v>
      </c>
      <c r="C1318" t="s">
        <v>4610</v>
      </c>
      <c r="D1318" t="s">
        <v>3774</v>
      </c>
      <c r="E1318" t="s">
        <v>4611</v>
      </c>
      <c r="F1318" t="s">
        <v>4612</v>
      </c>
      <c r="J1318" t="s">
        <v>4611</v>
      </c>
      <c r="K1318" t="s">
        <v>3777</v>
      </c>
      <c r="L1318" t="s">
        <v>814</v>
      </c>
    </row>
    <row r="1319" spans="1:12">
      <c r="A1319" t="s">
        <v>3771</v>
      </c>
      <c r="B1319" t="s">
        <v>3772</v>
      </c>
      <c r="C1319" t="s">
        <v>4613</v>
      </c>
      <c r="D1319" t="s">
        <v>3774</v>
      </c>
      <c r="E1319" t="s">
        <v>4614</v>
      </c>
      <c r="F1319" t="s">
        <v>4615</v>
      </c>
      <c r="J1319" t="s">
        <v>4614</v>
      </c>
      <c r="K1319" t="s">
        <v>3777</v>
      </c>
      <c r="L1319" t="s">
        <v>814</v>
      </c>
    </row>
    <row r="1320" spans="1:12">
      <c r="A1320" t="s">
        <v>3771</v>
      </c>
      <c r="B1320" t="s">
        <v>3772</v>
      </c>
      <c r="C1320" t="s">
        <v>4616</v>
      </c>
      <c r="D1320" t="s">
        <v>3774</v>
      </c>
      <c r="E1320" t="s">
        <v>4617</v>
      </c>
      <c r="F1320" t="s">
        <v>4618</v>
      </c>
      <c r="J1320" t="s">
        <v>4617</v>
      </c>
      <c r="K1320" t="s">
        <v>3777</v>
      </c>
      <c r="L1320" t="s">
        <v>814</v>
      </c>
    </row>
    <row r="1321" spans="1:12">
      <c r="A1321" t="s">
        <v>3771</v>
      </c>
      <c r="B1321" t="s">
        <v>3772</v>
      </c>
      <c r="C1321" t="s">
        <v>4619</v>
      </c>
      <c r="D1321" t="s">
        <v>3774</v>
      </c>
      <c r="E1321" t="s">
        <v>4620</v>
      </c>
      <c r="F1321" t="s">
        <v>4621</v>
      </c>
      <c r="J1321" t="s">
        <v>4620</v>
      </c>
      <c r="K1321" t="s">
        <v>3777</v>
      </c>
      <c r="L1321" t="s">
        <v>814</v>
      </c>
    </row>
    <row r="1322" spans="1:12">
      <c r="A1322" t="s">
        <v>3771</v>
      </c>
      <c r="B1322" t="s">
        <v>3772</v>
      </c>
      <c r="C1322" t="s">
        <v>4622</v>
      </c>
      <c r="D1322" t="s">
        <v>3774</v>
      </c>
      <c r="E1322" t="s">
        <v>4623</v>
      </c>
      <c r="F1322" t="s">
        <v>4624</v>
      </c>
      <c r="J1322" t="s">
        <v>4623</v>
      </c>
      <c r="K1322" t="s">
        <v>3777</v>
      </c>
      <c r="L1322" t="s">
        <v>814</v>
      </c>
    </row>
    <row r="1323" spans="1:12">
      <c r="A1323" t="s">
        <v>3771</v>
      </c>
      <c r="B1323" t="s">
        <v>3772</v>
      </c>
      <c r="C1323" t="s">
        <v>4625</v>
      </c>
      <c r="D1323" t="s">
        <v>3774</v>
      </c>
      <c r="E1323" t="s">
        <v>4626</v>
      </c>
      <c r="F1323" t="s">
        <v>4627</v>
      </c>
    </row>
    <row r="1324" spans="1:12">
      <c r="A1324" t="s">
        <v>3771</v>
      </c>
      <c r="B1324" t="s">
        <v>3772</v>
      </c>
      <c r="C1324" t="s">
        <v>4628</v>
      </c>
      <c r="D1324" t="s">
        <v>3774</v>
      </c>
      <c r="E1324" t="s">
        <v>4629</v>
      </c>
      <c r="F1324" t="s">
        <v>4630</v>
      </c>
      <c r="J1324" t="s">
        <v>4629</v>
      </c>
      <c r="K1324" t="s">
        <v>3777</v>
      </c>
      <c r="L1324" t="s">
        <v>814</v>
      </c>
    </row>
    <row r="1325" spans="1:12">
      <c r="A1325" t="s">
        <v>3771</v>
      </c>
      <c r="B1325" t="s">
        <v>3772</v>
      </c>
      <c r="C1325" t="s">
        <v>4631</v>
      </c>
      <c r="D1325" t="s">
        <v>3774</v>
      </c>
      <c r="E1325" t="s">
        <v>4632</v>
      </c>
      <c r="F1325" t="s">
        <v>4633</v>
      </c>
    </row>
    <row r="1326" spans="1:12">
      <c r="A1326" t="s">
        <v>3771</v>
      </c>
      <c r="B1326" t="s">
        <v>3772</v>
      </c>
      <c r="C1326" t="s">
        <v>4634</v>
      </c>
      <c r="D1326" t="s">
        <v>3774</v>
      </c>
      <c r="E1326" t="s">
        <v>4635</v>
      </c>
      <c r="F1326" t="s">
        <v>4636</v>
      </c>
      <c r="J1326" t="s">
        <v>4635</v>
      </c>
      <c r="K1326" t="s">
        <v>3777</v>
      </c>
      <c r="L1326" t="s">
        <v>814</v>
      </c>
    </row>
    <row r="1327" spans="1:12">
      <c r="A1327" t="s">
        <v>3771</v>
      </c>
      <c r="B1327" t="s">
        <v>3772</v>
      </c>
      <c r="C1327" t="s">
        <v>4637</v>
      </c>
      <c r="D1327" t="s">
        <v>3774</v>
      </c>
      <c r="E1327" t="s">
        <v>4638</v>
      </c>
      <c r="F1327" t="s">
        <v>4639</v>
      </c>
      <c r="J1327" t="s">
        <v>4638</v>
      </c>
      <c r="K1327" t="s">
        <v>3777</v>
      </c>
      <c r="L1327" t="s">
        <v>814</v>
      </c>
    </row>
    <row r="1328" spans="1:12">
      <c r="A1328" t="s">
        <v>3771</v>
      </c>
      <c r="B1328" t="s">
        <v>3772</v>
      </c>
      <c r="C1328" t="s">
        <v>4640</v>
      </c>
      <c r="D1328" t="s">
        <v>3774</v>
      </c>
      <c r="E1328" t="s">
        <v>4641</v>
      </c>
      <c r="F1328" t="s">
        <v>4642</v>
      </c>
      <c r="J1328" t="s">
        <v>4641</v>
      </c>
      <c r="K1328" t="s">
        <v>3777</v>
      </c>
      <c r="L1328" t="s">
        <v>814</v>
      </c>
    </row>
    <row r="1329" spans="1:12">
      <c r="A1329" t="s">
        <v>3771</v>
      </c>
      <c r="B1329" t="s">
        <v>3772</v>
      </c>
      <c r="C1329" t="s">
        <v>4643</v>
      </c>
      <c r="D1329" t="s">
        <v>3774</v>
      </c>
      <c r="E1329" t="s">
        <v>655</v>
      </c>
      <c r="F1329" t="s">
        <v>656</v>
      </c>
    </row>
    <row r="1330" spans="1:12">
      <c r="A1330" t="s">
        <v>3771</v>
      </c>
      <c r="B1330" t="s">
        <v>3772</v>
      </c>
      <c r="D1330" t="s">
        <v>3774</v>
      </c>
      <c r="F1330" t="s">
        <v>4644</v>
      </c>
      <c r="J1330" t="s">
        <v>4645</v>
      </c>
      <c r="K1330" t="s">
        <v>3777</v>
      </c>
      <c r="L1330" t="s">
        <v>814</v>
      </c>
    </row>
    <row r="1331" spans="1:12">
      <c r="A1331" t="s">
        <v>3771</v>
      </c>
      <c r="B1331" t="s">
        <v>3772</v>
      </c>
      <c r="D1331" t="s">
        <v>3774</v>
      </c>
      <c r="F1331" t="s">
        <v>4646</v>
      </c>
      <c r="J1331" t="s">
        <v>4647</v>
      </c>
      <c r="K1331" t="s">
        <v>3777</v>
      </c>
      <c r="L1331" t="s">
        <v>814</v>
      </c>
    </row>
    <row r="1332" spans="1:12">
      <c r="A1332" t="s">
        <v>3771</v>
      </c>
      <c r="B1332" t="s">
        <v>3772</v>
      </c>
      <c r="D1332" t="s">
        <v>3774</v>
      </c>
      <c r="F1332" t="s">
        <v>4648</v>
      </c>
      <c r="J1332" t="s">
        <v>4649</v>
      </c>
      <c r="K1332" t="s">
        <v>3777</v>
      </c>
      <c r="L1332" t="s">
        <v>814</v>
      </c>
    </row>
    <row r="1333" spans="1:12">
      <c r="A1333" t="s">
        <v>4650</v>
      </c>
      <c r="B1333" t="s">
        <v>4651</v>
      </c>
      <c r="C1333" t="s">
        <v>4652</v>
      </c>
      <c r="D1333" t="s">
        <v>4653</v>
      </c>
      <c r="E1333" t="s">
        <v>4654</v>
      </c>
      <c r="F1333" t="s">
        <v>4655</v>
      </c>
    </row>
    <row r="1334" spans="1:12">
      <c r="A1334" t="s">
        <v>4650</v>
      </c>
      <c r="B1334" t="s">
        <v>4651</v>
      </c>
      <c r="C1334" t="s">
        <v>4656</v>
      </c>
      <c r="D1334" t="s">
        <v>4653</v>
      </c>
      <c r="E1334" t="s">
        <v>4657</v>
      </c>
      <c r="F1334" t="s">
        <v>4658</v>
      </c>
      <c r="J1334" t="s">
        <v>4657</v>
      </c>
      <c r="K1334" t="s">
        <v>1535</v>
      </c>
      <c r="L1334" t="s">
        <v>814</v>
      </c>
    </row>
    <row r="1335" spans="1:12">
      <c r="A1335" t="s">
        <v>4650</v>
      </c>
      <c r="B1335" t="s">
        <v>4651</v>
      </c>
      <c r="C1335" t="s">
        <v>4659</v>
      </c>
      <c r="D1335" t="s">
        <v>4653</v>
      </c>
      <c r="E1335" t="s">
        <v>4660</v>
      </c>
      <c r="F1335" t="s">
        <v>4661</v>
      </c>
      <c r="J1335" t="s">
        <v>4660</v>
      </c>
      <c r="K1335" t="s">
        <v>1535</v>
      </c>
      <c r="L1335" t="s">
        <v>814</v>
      </c>
    </row>
    <row r="1336" spans="1:12">
      <c r="A1336" t="s">
        <v>4650</v>
      </c>
      <c r="B1336" t="s">
        <v>4651</v>
      </c>
      <c r="C1336" t="s">
        <v>4662</v>
      </c>
      <c r="D1336" t="s">
        <v>4653</v>
      </c>
      <c r="E1336" t="s">
        <v>4663</v>
      </c>
      <c r="F1336" t="s">
        <v>4664</v>
      </c>
      <c r="J1336" t="s">
        <v>4663</v>
      </c>
      <c r="K1336" t="s">
        <v>1535</v>
      </c>
      <c r="L1336" t="s">
        <v>814</v>
      </c>
    </row>
    <row r="1337" spans="1:12">
      <c r="A1337" t="s">
        <v>4650</v>
      </c>
      <c r="B1337" t="s">
        <v>4651</v>
      </c>
      <c r="C1337" t="s">
        <v>4665</v>
      </c>
      <c r="D1337" t="s">
        <v>4653</v>
      </c>
      <c r="E1337" t="s">
        <v>4666</v>
      </c>
      <c r="F1337" t="s">
        <v>4667</v>
      </c>
      <c r="J1337" t="s">
        <v>4666</v>
      </c>
      <c r="K1337" t="s">
        <v>1535</v>
      </c>
      <c r="L1337" t="s">
        <v>814</v>
      </c>
    </row>
    <row r="1338" spans="1:12">
      <c r="A1338" t="s">
        <v>4650</v>
      </c>
      <c r="B1338" t="s">
        <v>4651</v>
      </c>
      <c r="C1338" t="s">
        <v>4668</v>
      </c>
      <c r="D1338" t="s">
        <v>4653</v>
      </c>
      <c r="E1338" t="s">
        <v>4669</v>
      </c>
      <c r="F1338" t="s">
        <v>4670</v>
      </c>
      <c r="J1338" t="s">
        <v>4669</v>
      </c>
      <c r="K1338" t="s">
        <v>1535</v>
      </c>
      <c r="L1338" t="s">
        <v>814</v>
      </c>
    </row>
    <row r="1339" spans="1:12">
      <c r="A1339" t="s">
        <v>4650</v>
      </c>
      <c r="B1339" t="s">
        <v>4651</v>
      </c>
      <c r="C1339" t="s">
        <v>4671</v>
      </c>
      <c r="D1339" t="s">
        <v>4653</v>
      </c>
      <c r="E1339" t="s">
        <v>4672</v>
      </c>
      <c r="F1339" t="s">
        <v>4673</v>
      </c>
      <c r="J1339" t="s">
        <v>4672</v>
      </c>
      <c r="K1339" t="s">
        <v>1535</v>
      </c>
      <c r="L1339" t="s">
        <v>814</v>
      </c>
    </row>
    <row r="1340" spans="1:12">
      <c r="A1340" t="s">
        <v>4650</v>
      </c>
      <c r="B1340" t="s">
        <v>4651</v>
      </c>
      <c r="C1340" t="s">
        <v>4674</v>
      </c>
      <c r="D1340" t="s">
        <v>4653</v>
      </c>
      <c r="E1340" t="s">
        <v>4675</v>
      </c>
      <c r="F1340" t="s">
        <v>4676</v>
      </c>
      <c r="J1340" t="s">
        <v>4675</v>
      </c>
      <c r="K1340" t="s">
        <v>1535</v>
      </c>
      <c r="L1340" t="s">
        <v>814</v>
      </c>
    </row>
    <row r="1341" spans="1:12">
      <c r="A1341" t="s">
        <v>4650</v>
      </c>
      <c r="B1341" t="s">
        <v>4651</v>
      </c>
      <c r="C1341" t="s">
        <v>4677</v>
      </c>
      <c r="D1341" t="s">
        <v>4653</v>
      </c>
      <c r="E1341" t="s">
        <v>4678</v>
      </c>
      <c r="F1341" t="s">
        <v>4679</v>
      </c>
      <c r="J1341" t="s">
        <v>4678</v>
      </c>
      <c r="K1341" t="s">
        <v>1535</v>
      </c>
      <c r="L1341" t="s">
        <v>814</v>
      </c>
    </row>
    <row r="1342" spans="1:12">
      <c r="A1342" t="s">
        <v>4650</v>
      </c>
      <c r="B1342" t="s">
        <v>4651</v>
      </c>
      <c r="C1342" t="s">
        <v>4680</v>
      </c>
      <c r="D1342" t="s">
        <v>4653</v>
      </c>
      <c r="E1342" t="s">
        <v>4681</v>
      </c>
      <c r="F1342" t="s">
        <v>4682</v>
      </c>
      <c r="J1342" t="s">
        <v>4681</v>
      </c>
      <c r="K1342" t="s">
        <v>1535</v>
      </c>
      <c r="L1342" t="s">
        <v>814</v>
      </c>
    </row>
    <row r="1343" spans="1:12">
      <c r="A1343" t="s">
        <v>4650</v>
      </c>
      <c r="B1343" t="s">
        <v>4651</v>
      </c>
      <c r="C1343" t="s">
        <v>4683</v>
      </c>
      <c r="D1343" t="s">
        <v>4653</v>
      </c>
      <c r="E1343" t="s">
        <v>4684</v>
      </c>
      <c r="F1343" t="s">
        <v>4685</v>
      </c>
      <c r="J1343" t="s">
        <v>4684</v>
      </c>
      <c r="K1343" t="s">
        <v>1535</v>
      </c>
      <c r="L1343" t="s">
        <v>814</v>
      </c>
    </row>
    <row r="1344" spans="1:12">
      <c r="A1344" t="s">
        <v>4650</v>
      </c>
      <c r="B1344" t="s">
        <v>4651</v>
      </c>
      <c r="C1344" t="s">
        <v>4686</v>
      </c>
      <c r="D1344" t="s">
        <v>4653</v>
      </c>
      <c r="E1344" t="s">
        <v>4687</v>
      </c>
      <c r="F1344" t="s">
        <v>4688</v>
      </c>
      <c r="J1344" t="s">
        <v>4687</v>
      </c>
      <c r="K1344" t="s">
        <v>1535</v>
      </c>
      <c r="L1344" t="s">
        <v>814</v>
      </c>
    </row>
    <row r="1345" spans="1:12">
      <c r="A1345" t="s">
        <v>4650</v>
      </c>
      <c r="B1345" t="s">
        <v>4651</v>
      </c>
      <c r="C1345" t="s">
        <v>4689</v>
      </c>
      <c r="D1345" t="s">
        <v>4653</v>
      </c>
      <c r="E1345" t="s">
        <v>4690</v>
      </c>
      <c r="F1345" t="s">
        <v>4691</v>
      </c>
      <c r="J1345" t="s">
        <v>4690</v>
      </c>
      <c r="K1345" t="s">
        <v>1535</v>
      </c>
      <c r="L1345" t="s">
        <v>814</v>
      </c>
    </row>
    <row r="1346" spans="1:12">
      <c r="A1346" t="s">
        <v>4650</v>
      </c>
      <c r="B1346" t="s">
        <v>4651</v>
      </c>
      <c r="C1346" t="s">
        <v>4692</v>
      </c>
      <c r="D1346" t="s">
        <v>4653</v>
      </c>
      <c r="E1346" t="s">
        <v>4693</v>
      </c>
      <c r="F1346" t="s">
        <v>4694</v>
      </c>
      <c r="J1346" t="s">
        <v>4693</v>
      </c>
      <c r="K1346" t="s">
        <v>1535</v>
      </c>
      <c r="L1346" t="s">
        <v>814</v>
      </c>
    </row>
    <row r="1347" spans="1:12">
      <c r="A1347" t="s">
        <v>4650</v>
      </c>
      <c r="B1347" t="s">
        <v>4651</v>
      </c>
      <c r="C1347" t="s">
        <v>4695</v>
      </c>
      <c r="D1347" t="s">
        <v>4653</v>
      </c>
      <c r="E1347" t="s">
        <v>4696</v>
      </c>
      <c r="F1347" t="s">
        <v>4697</v>
      </c>
      <c r="J1347" t="s">
        <v>4696</v>
      </c>
      <c r="K1347" t="s">
        <v>1535</v>
      </c>
      <c r="L1347" t="s">
        <v>814</v>
      </c>
    </row>
    <row r="1348" spans="1:12">
      <c r="A1348" t="s">
        <v>4650</v>
      </c>
      <c r="B1348" t="s">
        <v>4651</v>
      </c>
      <c r="C1348" t="s">
        <v>4698</v>
      </c>
      <c r="D1348" t="s">
        <v>4653</v>
      </c>
      <c r="E1348" t="s">
        <v>4699</v>
      </c>
      <c r="F1348" t="s">
        <v>4700</v>
      </c>
      <c r="J1348" t="s">
        <v>4699</v>
      </c>
      <c r="K1348" t="s">
        <v>1535</v>
      </c>
      <c r="L1348" t="s">
        <v>814</v>
      </c>
    </row>
    <row r="1349" spans="1:12">
      <c r="A1349" t="s">
        <v>4650</v>
      </c>
      <c r="B1349" t="s">
        <v>4651</v>
      </c>
      <c r="C1349" t="s">
        <v>4701</v>
      </c>
      <c r="D1349" t="s">
        <v>4653</v>
      </c>
      <c r="E1349" t="s">
        <v>4702</v>
      </c>
      <c r="F1349" t="s">
        <v>4703</v>
      </c>
      <c r="J1349" t="s">
        <v>4702</v>
      </c>
      <c r="K1349" t="s">
        <v>1535</v>
      </c>
      <c r="L1349" t="s">
        <v>814</v>
      </c>
    </row>
    <row r="1350" spans="1:12">
      <c r="A1350" t="s">
        <v>4650</v>
      </c>
      <c r="B1350" t="s">
        <v>4651</v>
      </c>
      <c r="C1350" t="s">
        <v>4704</v>
      </c>
      <c r="D1350" t="s">
        <v>4653</v>
      </c>
      <c r="E1350" t="s">
        <v>3621</v>
      </c>
      <c r="F1350" t="s">
        <v>4705</v>
      </c>
      <c r="J1350" t="s">
        <v>3621</v>
      </c>
      <c r="K1350" t="s">
        <v>1535</v>
      </c>
      <c r="L1350" t="s">
        <v>814</v>
      </c>
    </row>
    <row r="1351" spans="1:12">
      <c r="A1351" t="s">
        <v>4650</v>
      </c>
      <c r="B1351" t="s">
        <v>4651</v>
      </c>
      <c r="C1351" t="s">
        <v>4706</v>
      </c>
      <c r="D1351" t="s">
        <v>4653</v>
      </c>
      <c r="E1351" t="s">
        <v>4707</v>
      </c>
      <c r="F1351" t="s">
        <v>4708</v>
      </c>
      <c r="J1351" t="s">
        <v>4707</v>
      </c>
      <c r="K1351" t="s">
        <v>1535</v>
      </c>
      <c r="L1351" t="s">
        <v>814</v>
      </c>
    </row>
    <row r="1352" spans="1:12">
      <c r="A1352" t="s">
        <v>4650</v>
      </c>
      <c r="B1352" t="s">
        <v>4651</v>
      </c>
      <c r="C1352" t="s">
        <v>4709</v>
      </c>
      <c r="D1352" t="s">
        <v>4653</v>
      </c>
      <c r="E1352" t="s">
        <v>4710</v>
      </c>
      <c r="F1352" t="s">
        <v>4711</v>
      </c>
      <c r="J1352" t="s">
        <v>4710</v>
      </c>
      <c r="K1352" t="s">
        <v>1535</v>
      </c>
      <c r="L1352" t="s">
        <v>814</v>
      </c>
    </row>
    <row r="1353" spans="1:12">
      <c r="A1353" t="s">
        <v>4650</v>
      </c>
      <c r="B1353" t="s">
        <v>4651</v>
      </c>
      <c r="C1353" t="s">
        <v>4712</v>
      </c>
      <c r="D1353" t="s">
        <v>4653</v>
      </c>
      <c r="E1353" t="s">
        <v>4713</v>
      </c>
      <c r="F1353" t="s">
        <v>4714</v>
      </c>
      <c r="J1353" t="s">
        <v>4713</v>
      </c>
      <c r="K1353" t="s">
        <v>1535</v>
      </c>
      <c r="L1353" t="s">
        <v>814</v>
      </c>
    </row>
    <row r="1354" spans="1:12">
      <c r="A1354" t="s">
        <v>4650</v>
      </c>
      <c r="B1354" t="s">
        <v>4651</v>
      </c>
      <c r="C1354" t="s">
        <v>4715</v>
      </c>
      <c r="D1354" t="s">
        <v>4653</v>
      </c>
      <c r="E1354" t="s">
        <v>4716</v>
      </c>
      <c r="F1354" t="s">
        <v>4717</v>
      </c>
      <c r="J1354" t="s">
        <v>4716</v>
      </c>
      <c r="K1354" t="s">
        <v>1535</v>
      </c>
      <c r="L1354" t="s">
        <v>814</v>
      </c>
    </row>
    <row r="1355" spans="1:12">
      <c r="A1355" t="s">
        <v>4650</v>
      </c>
      <c r="B1355" t="s">
        <v>4651</v>
      </c>
      <c r="C1355" t="s">
        <v>4718</v>
      </c>
      <c r="D1355" t="s">
        <v>4653</v>
      </c>
      <c r="E1355" t="s">
        <v>4719</v>
      </c>
      <c r="F1355" t="s">
        <v>4720</v>
      </c>
      <c r="J1355" t="s">
        <v>4719</v>
      </c>
      <c r="K1355" t="s">
        <v>1535</v>
      </c>
      <c r="L1355" t="s">
        <v>814</v>
      </c>
    </row>
    <row r="1356" spans="1:12">
      <c r="A1356" t="s">
        <v>4650</v>
      </c>
      <c r="B1356" t="s">
        <v>4651</v>
      </c>
      <c r="C1356" t="s">
        <v>4721</v>
      </c>
      <c r="D1356" t="s">
        <v>4653</v>
      </c>
      <c r="E1356" t="s">
        <v>4722</v>
      </c>
      <c r="F1356" t="s">
        <v>4723</v>
      </c>
      <c r="J1356" t="s">
        <v>4722</v>
      </c>
      <c r="K1356" t="s">
        <v>1535</v>
      </c>
      <c r="L1356" t="s">
        <v>814</v>
      </c>
    </row>
    <row r="1357" spans="1:12">
      <c r="A1357" t="s">
        <v>4650</v>
      </c>
      <c r="B1357" t="s">
        <v>4651</v>
      </c>
      <c r="C1357" t="s">
        <v>4724</v>
      </c>
      <c r="D1357" t="s">
        <v>4653</v>
      </c>
      <c r="E1357" t="s">
        <v>4725</v>
      </c>
      <c r="F1357" t="s">
        <v>4726</v>
      </c>
      <c r="J1357" t="s">
        <v>4725</v>
      </c>
      <c r="K1357" t="s">
        <v>1535</v>
      </c>
      <c r="L1357" t="s">
        <v>814</v>
      </c>
    </row>
    <row r="1358" spans="1:12">
      <c r="A1358" t="s">
        <v>4650</v>
      </c>
      <c r="B1358" t="s">
        <v>4651</v>
      </c>
      <c r="C1358" t="s">
        <v>4727</v>
      </c>
      <c r="D1358" t="s">
        <v>4653</v>
      </c>
      <c r="E1358" t="s">
        <v>4728</v>
      </c>
      <c r="F1358" t="s">
        <v>4729</v>
      </c>
      <c r="J1358" t="s">
        <v>4728</v>
      </c>
      <c r="K1358" t="s">
        <v>1535</v>
      </c>
      <c r="L1358" t="s">
        <v>814</v>
      </c>
    </row>
    <row r="1359" spans="1:12">
      <c r="A1359" t="s">
        <v>4650</v>
      </c>
      <c r="B1359" t="s">
        <v>4651</v>
      </c>
      <c r="C1359" t="s">
        <v>4730</v>
      </c>
      <c r="D1359" t="s">
        <v>4653</v>
      </c>
      <c r="E1359" t="s">
        <v>4731</v>
      </c>
      <c r="F1359" t="s">
        <v>4732</v>
      </c>
      <c r="J1359" t="s">
        <v>4731</v>
      </c>
      <c r="K1359" t="s">
        <v>1535</v>
      </c>
      <c r="L1359" t="s">
        <v>814</v>
      </c>
    </row>
    <row r="1360" spans="1:12">
      <c r="A1360" t="s">
        <v>4650</v>
      </c>
      <c r="B1360" t="s">
        <v>4651</v>
      </c>
      <c r="C1360" t="s">
        <v>4733</v>
      </c>
      <c r="D1360" t="s">
        <v>4653</v>
      </c>
      <c r="E1360" t="s">
        <v>4734</v>
      </c>
      <c r="F1360" t="s">
        <v>4735</v>
      </c>
      <c r="J1360" t="s">
        <v>4734</v>
      </c>
      <c r="K1360" t="s">
        <v>1535</v>
      </c>
      <c r="L1360" t="s">
        <v>814</v>
      </c>
    </row>
    <row r="1361" spans="1:12">
      <c r="A1361" t="s">
        <v>4650</v>
      </c>
      <c r="B1361" t="s">
        <v>4651</v>
      </c>
      <c r="C1361" t="s">
        <v>4736</v>
      </c>
      <c r="D1361" t="s">
        <v>4653</v>
      </c>
      <c r="E1361" t="s">
        <v>4737</v>
      </c>
      <c r="F1361" t="s">
        <v>4738</v>
      </c>
      <c r="J1361" t="s">
        <v>4737</v>
      </c>
      <c r="K1361" t="s">
        <v>1535</v>
      </c>
      <c r="L1361" t="s">
        <v>814</v>
      </c>
    </row>
    <row r="1362" spans="1:12">
      <c r="A1362" t="s">
        <v>4650</v>
      </c>
      <c r="B1362" t="s">
        <v>4651</v>
      </c>
      <c r="C1362" t="s">
        <v>4739</v>
      </c>
      <c r="D1362" t="s">
        <v>4653</v>
      </c>
      <c r="E1362" t="s">
        <v>4740</v>
      </c>
      <c r="F1362" t="s">
        <v>4741</v>
      </c>
      <c r="J1362" t="s">
        <v>4740</v>
      </c>
      <c r="K1362" t="s">
        <v>1535</v>
      </c>
      <c r="L1362" t="s">
        <v>814</v>
      </c>
    </row>
    <row r="1363" spans="1:12">
      <c r="A1363" t="s">
        <v>4650</v>
      </c>
      <c r="B1363" t="s">
        <v>4651</v>
      </c>
      <c r="C1363" t="s">
        <v>4742</v>
      </c>
      <c r="D1363" t="s">
        <v>4653</v>
      </c>
      <c r="E1363" t="s">
        <v>4743</v>
      </c>
      <c r="F1363" t="s">
        <v>4744</v>
      </c>
      <c r="J1363" t="s">
        <v>4743</v>
      </c>
      <c r="K1363" t="s">
        <v>1535</v>
      </c>
      <c r="L1363" t="s">
        <v>814</v>
      </c>
    </row>
    <row r="1364" spans="1:12">
      <c r="A1364" t="s">
        <v>4650</v>
      </c>
      <c r="B1364" t="s">
        <v>4651</v>
      </c>
      <c r="C1364" t="s">
        <v>4745</v>
      </c>
      <c r="D1364" t="s">
        <v>4653</v>
      </c>
      <c r="E1364" t="s">
        <v>4746</v>
      </c>
      <c r="F1364" t="s">
        <v>4747</v>
      </c>
      <c r="J1364" t="s">
        <v>4746</v>
      </c>
      <c r="K1364" t="s">
        <v>1535</v>
      </c>
      <c r="L1364" t="s">
        <v>814</v>
      </c>
    </row>
    <row r="1365" spans="1:12">
      <c r="A1365" t="s">
        <v>4650</v>
      </c>
      <c r="B1365" t="s">
        <v>4651</v>
      </c>
      <c r="C1365" t="s">
        <v>4748</v>
      </c>
      <c r="D1365" t="s">
        <v>4653</v>
      </c>
      <c r="E1365" t="s">
        <v>4749</v>
      </c>
      <c r="F1365" t="s">
        <v>4750</v>
      </c>
      <c r="J1365" t="s">
        <v>4749</v>
      </c>
      <c r="K1365" t="s">
        <v>1535</v>
      </c>
      <c r="L1365" t="s">
        <v>814</v>
      </c>
    </row>
    <row r="1366" spans="1:12">
      <c r="A1366" t="s">
        <v>4650</v>
      </c>
      <c r="B1366" t="s">
        <v>4651</v>
      </c>
      <c r="C1366" t="s">
        <v>4751</v>
      </c>
      <c r="D1366" t="s">
        <v>4653</v>
      </c>
      <c r="E1366" t="s">
        <v>4752</v>
      </c>
      <c r="F1366" t="s">
        <v>4753</v>
      </c>
      <c r="J1366" t="s">
        <v>4752</v>
      </c>
      <c r="K1366" t="s">
        <v>1535</v>
      </c>
      <c r="L1366" t="s">
        <v>814</v>
      </c>
    </row>
    <row r="1367" spans="1:12">
      <c r="A1367" t="s">
        <v>4650</v>
      </c>
      <c r="B1367" t="s">
        <v>4651</v>
      </c>
      <c r="C1367" t="s">
        <v>4754</v>
      </c>
      <c r="D1367" t="s">
        <v>4653</v>
      </c>
      <c r="E1367" t="s">
        <v>4755</v>
      </c>
      <c r="F1367" t="s">
        <v>4756</v>
      </c>
      <c r="J1367" t="s">
        <v>4755</v>
      </c>
      <c r="K1367" t="s">
        <v>1535</v>
      </c>
      <c r="L1367" t="s">
        <v>814</v>
      </c>
    </row>
    <row r="1368" spans="1:12">
      <c r="A1368" t="s">
        <v>4650</v>
      </c>
      <c r="B1368" t="s">
        <v>4651</v>
      </c>
      <c r="C1368" t="s">
        <v>4757</v>
      </c>
      <c r="D1368" t="s">
        <v>4653</v>
      </c>
      <c r="E1368" t="s">
        <v>655</v>
      </c>
      <c r="F1368" t="s">
        <v>656</v>
      </c>
    </row>
    <row r="1369" spans="1:12">
      <c r="A1369" t="s">
        <v>4650</v>
      </c>
      <c r="B1369" t="s">
        <v>4651</v>
      </c>
      <c r="D1369" t="s">
        <v>4653</v>
      </c>
      <c r="F1369" t="s">
        <v>4758</v>
      </c>
      <c r="J1369" t="s">
        <v>4759</v>
      </c>
      <c r="K1369" t="s">
        <v>1535</v>
      </c>
      <c r="L1369" t="s">
        <v>814</v>
      </c>
    </row>
    <row r="1370" spans="1:12">
      <c r="A1370" t="s">
        <v>4650</v>
      </c>
      <c r="B1370" t="s">
        <v>4651</v>
      </c>
      <c r="D1370" t="s">
        <v>4653</v>
      </c>
      <c r="F1370" t="s">
        <v>4760</v>
      </c>
      <c r="J1370" t="s">
        <v>4761</v>
      </c>
      <c r="K1370" t="s">
        <v>1535</v>
      </c>
      <c r="L1370" t="s">
        <v>814</v>
      </c>
    </row>
    <row r="1371" spans="1:12">
      <c r="A1371" t="s">
        <v>4650</v>
      </c>
      <c r="B1371" t="s">
        <v>4651</v>
      </c>
      <c r="D1371" t="s">
        <v>4653</v>
      </c>
      <c r="F1371" t="s">
        <v>4664</v>
      </c>
      <c r="J1371" t="s">
        <v>4762</v>
      </c>
      <c r="K1371" t="s">
        <v>1535</v>
      </c>
      <c r="L1371" t="s">
        <v>814</v>
      </c>
    </row>
    <row r="1372" spans="1:12">
      <c r="A1372" t="s">
        <v>4763</v>
      </c>
      <c r="B1372" t="s">
        <v>4764</v>
      </c>
      <c r="C1372" t="s">
        <v>4765</v>
      </c>
      <c r="D1372" t="s">
        <v>4766</v>
      </c>
      <c r="E1372" t="s">
        <v>4767</v>
      </c>
      <c r="F1372" t="s">
        <v>4768</v>
      </c>
      <c r="J1372" t="s">
        <v>4767</v>
      </c>
      <c r="K1372" t="s">
        <v>4769</v>
      </c>
      <c r="L1372" t="s">
        <v>725</v>
      </c>
    </row>
    <row r="1373" spans="1:12">
      <c r="A1373" t="s">
        <v>4763</v>
      </c>
      <c r="B1373" t="s">
        <v>4764</v>
      </c>
      <c r="C1373" t="s">
        <v>4770</v>
      </c>
      <c r="D1373" t="s">
        <v>4766</v>
      </c>
      <c r="E1373" t="s">
        <v>4771</v>
      </c>
      <c r="F1373" t="s">
        <v>4772</v>
      </c>
    </row>
    <row r="1374" spans="1:12">
      <c r="A1374" t="s">
        <v>4763</v>
      </c>
      <c r="B1374" t="s">
        <v>4764</v>
      </c>
      <c r="C1374" t="s">
        <v>4773</v>
      </c>
      <c r="D1374" t="s">
        <v>4766</v>
      </c>
      <c r="E1374" t="s">
        <v>655</v>
      </c>
      <c r="F1374" t="s">
        <v>656</v>
      </c>
    </row>
    <row r="1375" spans="1:12">
      <c r="A1375" t="s">
        <v>4774</v>
      </c>
      <c r="B1375" t="s">
        <v>4775</v>
      </c>
      <c r="C1375" t="s">
        <v>4776</v>
      </c>
      <c r="D1375" t="s">
        <v>4777</v>
      </c>
      <c r="E1375" t="s">
        <v>4778</v>
      </c>
      <c r="F1375" t="s">
        <v>4779</v>
      </c>
      <c r="J1375" t="s">
        <v>4778</v>
      </c>
      <c r="K1375" t="s">
        <v>4780</v>
      </c>
      <c r="L1375" t="s">
        <v>916</v>
      </c>
    </row>
    <row r="1376" spans="1:12">
      <c r="A1376" t="s">
        <v>4774</v>
      </c>
      <c r="B1376" t="s">
        <v>4775</v>
      </c>
      <c r="C1376" t="s">
        <v>4781</v>
      </c>
      <c r="D1376" t="s">
        <v>4777</v>
      </c>
      <c r="E1376" t="s">
        <v>4782</v>
      </c>
      <c r="F1376" t="s">
        <v>4783</v>
      </c>
      <c r="J1376" t="s">
        <v>4782</v>
      </c>
      <c r="K1376" t="s">
        <v>4780</v>
      </c>
      <c r="L1376" t="s">
        <v>916</v>
      </c>
    </row>
    <row r="1377" spans="1:12">
      <c r="A1377" t="s">
        <v>4774</v>
      </c>
      <c r="B1377" t="s">
        <v>4775</v>
      </c>
      <c r="C1377" t="s">
        <v>4784</v>
      </c>
      <c r="D1377" t="s">
        <v>4777</v>
      </c>
      <c r="E1377" t="s">
        <v>4785</v>
      </c>
      <c r="F1377" t="s">
        <v>4786</v>
      </c>
      <c r="J1377" t="s">
        <v>4785</v>
      </c>
      <c r="K1377" t="s">
        <v>4780</v>
      </c>
      <c r="L1377" t="s">
        <v>916</v>
      </c>
    </row>
    <row r="1378" spans="1:12">
      <c r="A1378" t="s">
        <v>4774</v>
      </c>
      <c r="B1378" t="s">
        <v>4775</v>
      </c>
      <c r="C1378" t="s">
        <v>4787</v>
      </c>
      <c r="D1378" t="s">
        <v>4777</v>
      </c>
      <c r="E1378" t="s">
        <v>4788</v>
      </c>
      <c r="F1378" t="s">
        <v>4789</v>
      </c>
      <c r="J1378" t="s">
        <v>4788</v>
      </c>
      <c r="K1378" t="s">
        <v>4780</v>
      </c>
      <c r="L1378" t="s">
        <v>916</v>
      </c>
    </row>
    <row r="1379" spans="1:12">
      <c r="A1379" t="s">
        <v>4774</v>
      </c>
      <c r="B1379" t="s">
        <v>4775</v>
      </c>
      <c r="C1379" t="s">
        <v>4790</v>
      </c>
      <c r="D1379" t="s">
        <v>4777</v>
      </c>
      <c r="E1379" t="s">
        <v>4791</v>
      </c>
      <c r="F1379" t="s">
        <v>4792</v>
      </c>
      <c r="J1379" t="s">
        <v>4791</v>
      </c>
      <c r="K1379" t="s">
        <v>4780</v>
      </c>
      <c r="L1379" t="s">
        <v>916</v>
      </c>
    </row>
    <row r="1380" spans="1:12">
      <c r="A1380" t="s">
        <v>4774</v>
      </c>
      <c r="B1380" t="s">
        <v>4775</v>
      </c>
      <c r="C1380" t="s">
        <v>4793</v>
      </c>
      <c r="D1380" t="s">
        <v>4777</v>
      </c>
      <c r="E1380" t="s">
        <v>4794</v>
      </c>
      <c r="F1380" t="s">
        <v>4795</v>
      </c>
      <c r="J1380" t="s">
        <v>4794</v>
      </c>
      <c r="K1380" t="s">
        <v>4780</v>
      </c>
      <c r="L1380" t="s">
        <v>916</v>
      </c>
    </row>
    <row r="1381" spans="1:12">
      <c r="A1381" t="s">
        <v>4774</v>
      </c>
      <c r="B1381" t="s">
        <v>4775</v>
      </c>
      <c r="C1381" t="s">
        <v>4796</v>
      </c>
      <c r="D1381" t="s">
        <v>4777</v>
      </c>
      <c r="E1381" t="s">
        <v>4797</v>
      </c>
      <c r="F1381" t="s">
        <v>4798</v>
      </c>
      <c r="J1381" t="s">
        <v>4797</v>
      </c>
      <c r="K1381" t="s">
        <v>4780</v>
      </c>
      <c r="L1381" t="s">
        <v>916</v>
      </c>
    </row>
    <row r="1382" spans="1:12">
      <c r="A1382" t="s">
        <v>4774</v>
      </c>
      <c r="B1382" t="s">
        <v>4775</v>
      </c>
      <c r="C1382" t="s">
        <v>4799</v>
      </c>
      <c r="D1382" t="s">
        <v>4777</v>
      </c>
      <c r="E1382" t="s">
        <v>700</v>
      </c>
      <c r="F1382" t="s">
        <v>4800</v>
      </c>
      <c r="J1382" t="s">
        <v>700</v>
      </c>
      <c r="K1382" t="s">
        <v>4780</v>
      </c>
      <c r="L1382" t="s">
        <v>916</v>
      </c>
    </row>
    <row r="1383" spans="1:12">
      <c r="A1383" t="s">
        <v>4774</v>
      </c>
      <c r="B1383" t="s">
        <v>4775</v>
      </c>
      <c r="C1383" t="s">
        <v>4801</v>
      </c>
      <c r="D1383" t="s">
        <v>4777</v>
      </c>
      <c r="E1383" t="s">
        <v>4802</v>
      </c>
      <c r="F1383" t="s">
        <v>4803</v>
      </c>
      <c r="J1383" t="s">
        <v>4802</v>
      </c>
      <c r="K1383" t="s">
        <v>4780</v>
      </c>
      <c r="L1383" t="s">
        <v>916</v>
      </c>
    </row>
    <row r="1384" spans="1:12">
      <c r="A1384" t="s">
        <v>4774</v>
      </c>
      <c r="B1384" t="s">
        <v>4775</v>
      </c>
      <c r="C1384" t="s">
        <v>4804</v>
      </c>
      <c r="D1384" t="s">
        <v>4777</v>
      </c>
      <c r="E1384" t="s">
        <v>4805</v>
      </c>
      <c r="F1384" t="s">
        <v>4806</v>
      </c>
      <c r="J1384" t="s">
        <v>4805</v>
      </c>
      <c r="K1384" t="s">
        <v>4780</v>
      </c>
      <c r="L1384" t="s">
        <v>916</v>
      </c>
    </row>
    <row r="1385" spans="1:12">
      <c r="A1385" t="s">
        <v>4774</v>
      </c>
      <c r="B1385" t="s">
        <v>4775</v>
      </c>
      <c r="C1385" t="s">
        <v>4807</v>
      </c>
      <c r="D1385" t="s">
        <v>4777</v>
      </c>
      <c r="E1385" t="s">
        <v>4808</v>
      </c>
      <c r="F1385" t="s">
        <v>4809</v>
      </c>
      <c r="J1385" t="s">
        <v>4808</v>
      </c>
      <c r="K1385" t="s">
        <v>4780</v>
      </c>
      <c r="L1385" t="s">
        <v>916</v>
      </c>
    </row>
    <row r="1386" spans="1:12">
      <c r="A1386" t="s">
        <v>4774</v>
      </c>
      <c r="B1386" t="s">
        <v>4775</v>
      </c>
      <c r="C1386" t="s">
        <v>4810</v>
      </c>
      <c r="D1386" t="s">
        <v>4777</v>
      </c>
      <c r="E1386" t="s">
        <v>655</v>
      </c>
      <c r="F1386" t="s">
        <v>656</v>
      </c>
    </row>
    <row r="1387" spans="1:12">
      <c r="A1387" t="s">
        <v>4811</v>
      </c>
      <c r="B1387" t="s">
        <v>4812</v>
      </c>
      <c r="C1387" t="s">
        <v>4813</v>
      </c>
      <c r="D1387" t="s">
        <v>4814</v>
      </c>
      <c r="E1387" t="s">
        <v>4815</v>
      </c>
      <c r="F1387" t="s">
        <v>4816</v>
      </c>
    </row>
    <row r="1388" spans="1:12">
      <c r="A1388" t="s">
        <v>4811</v>
      </c>
      <c r="B1388" t="s">
        <v>4812</v>
      </c>
      <c r="C1388" t="s">
        <v>4817</v>
      </c>
      <c r="D1388" t="s">
        <v>4814</v>
      </c>
      <c r="E1388" t="s">
        <v>4818</v>
      </c>
      <c r="F1388" t="s">
        <v>4819</v>
      </c>
      <c r="J1388" t="s">
        <v>4818</v>
      </c>
      <c r="K1388" t="s">
        <v>4820</v>
      </c>
      <c r="L1388" t="s">
        <v>863</v>
      </c>
    </row>
    <row r="1389" spans="1:12">
      <c r="A1389" t="s">
        <v>4811</v>
      </c>
      <c r="B1389" t="s">
        <v>4812</v>
      </c>
      <c r="C1389" t="s">
        <v>4821</v>
      </c>
      <c r="D1389" t="s">
        <v>4814</v>
      </c>
      <c r="E1389" t="s">
        <v>4822</v>
      </c>
      <c r="F1389" t="s">
        <v>4823</v>
      </c>
    </row>
    <row r="1390" spans="1:12">
      <c r="A1390" t="s">
        <v>4811</v>
      </c>
      <c r="B1390" t="s">
        <v>4812</v>
      </c>
      <c r="C1390" t="s">
        <v>4824</v>
      </c>
      <c r="D1390" t="s">
        <v>4814</v>
      </c>
      <c r="E1390" t="s">
        <v>655</v>
      </c>
      <c r="F1390" t="s">
        <v>656</v>
      </c>
    </row>
    <row r="1391" spans="1:12">
      <c r="A1391" t="s">
        <v>4825</v>
      </c>
      <c r="B1391" t="s">
        <v>4826</v>
      </c>
      <c r="C1391" t="s">
        <v>4827</v>
      </c>
      <c r="D1391" t="s">
        <v>4828</v>
      </c>
      <c r="E1391" t="s">
        <v>4829</v>
      </c>
      <c r="F1391" t="s">
        <v>4830</v>
      </c>
      <c r="J1391" t="s">
        <v>4829</v>
      </c>
      <c r="K1391" t="s">
        <v>4831</v>
      </c>
      <c r="L1391" t="s">
        <v>814</v>
      </c>
    </row>
    <row r="1392" spans="1:12">
      <c r="A1392" t="s">
        <v>4825</v>
      </c>
      <c r="B1392" t="s">
        <v>4826</v>
      </c>
      <c r="C1392" t="s">
        <v>4832</v>
      </c>
      <c r="D1392" t="s">
        <v>4828</v>
      </c>
      <c r="E1392" t="s">
        <v>1108</v>
      </c>
      <c r="F1392" t="s">
        <v>4833</v>
      </c>
    </row>
    <row r="1393" spans="1:12">
      <c r="A1393" t="s">
        <v>4825</v>
      </c>
      <c r="B1393" t="s">
        <v>4826</v>
      </c>
      <c r="C1393" t="s">
        <v>4834</v>
      </c>
      <c r="D1393" t="s">
        <v>4828</v>
      </c>
      <c r="E1393" t="s">
        <v>4835</v>
      </c>
      <c r="F1393" t="s">
        <v>4836</v>
      </c>
      <c r="J1393" t="s">
        <v>4835</v>
      </c>
      <c r="K1393" t="s">
        <v>4831</v>
      </c>
      <c r="L1393" t="s">
        <v>814</v>
      </c>
    </row>
    <row r="1394" spans="1:12">
      <c r="A1394" t="s">
        <v>4825</v>
      </c>
      <c r="B1394" t="s">
        <v>4826</v>
      </c>
      <c r="C1394" t="s">
        <v>4837</v>
      </c>
      <c r="D1394" t="s">
        <v>4828</v>
      </c>
      <c r="E1394" t="s">
        <v>4838</v>
      </c>
      <c r="F1394" t="s">
        <v>4839</v>
      </c>
      <c r="J1394" t="s">
        <v>4838</v>
      </c>
      <c r="K1394" t="s">
        <v>4831</v>
      </c>
      <c r="L1394" t="s">
        <v>814</v>
      </c>
    </row>
    <row r="1395" spans="1:12">
      <c r="A1395" t="s">
        <v>4825</v>
      </c>
      <c r="B1395" t="s">
        <v>4826</v>
      </c>
      <c r="C1395" t="s">
        <v>4840</v>
      </c>
      <c r="D1395" t="s">
        <v>4828</v>
      </c>
      <c r="E1395" t="s">
        <v>4841</v>
      </c>
      <c r="F1395" t="s">
        <v>4842</v>
      </c>
      <c r="J1395" t="s">
        <v>4841</v>
      </c>
      <c r="K1395" t="s">
        <v>4831</v>
      </c>
      <c r="L1395" t="s">
        <v>814</v>
      </c>
    </row>
    <row r="1396" spans="1:12">
      <c r="A1396" t="s">
        <v>4825</v>
      </c>
      <c r="B1396" t="s">
        <v>4826</v>
      </c>
      <c r="C1396" t="s">
        <v>4843</v>
      </c>
      <c r="D1396" t="s">
        <v>4828</v>
      </c>
      <c r="E1396" t="s">
        <v>4844</v>
      </c>
      <c r="F1396" t="s">
        <v>4845</v>
      </c>
      <c r="J1396" t="s">
        <v>4844</v>
      </c>
      <c r="K1396" t="s">
        <v>4831</v>
      </c>
      <c r="L1396" t="s">
        <v>814</v>
      </c>
    </row>
    <row r="1397" spans="1:12">
      <c r="A1397" t="s">
        <v>4825</v>
      </c>
      <c r="B1397" t="s">
        <v>4826</v>
      </c>
      <c r="C1397" t="s">
        <v>4846</v>
      </c>
      <c r="D1397" t="s">
        <v>4828</v>
      </c>
      <c r="E1397" t="s">
        <v>4847</v>
      </c>
      <c r="F1397" t="s">
        <v>1330</v>
      </c>
      <c r="J1397" t="s">
        <v>4847</v>
      </c>
      <c r="K1397" t="s">
        <v>4831</v>
      </c>
      <c r="L1397" t="s">
        <v>814</v>
      </c>
    </row>
    <row r="1398" spans="1:12">
      <c r="A1398" t="s">
        <v>4825</v>
      </c>
      <c r="B1398" t="s">
        <v>4826</v>
      </c>
      <c r="C1398" t="s">
        <v>4848</v>
      </c>
      <c r="D1398" t="s">
        <v>4828</v>
      </c>
      <c r="E1398" t="s">
        <v>4849</v>
      </c>
      <c r="F1398" t="s">
        <v>1309</v>
      </c>
      <c r="J1398" t="s">
        <v>4849</v>
      </c>
      <c r="K1398" t="s">
        <v>4831</v>
      </c>
      <c r="L1398" t="s">
        <v>814</v>
      </c>
    </row>
    <row r="1399" spans="1:12">
      <c r="A1399" t="s">
        <v>4825</v>
      </c>
      <c r="B1399" t="s">
        <v>4826</v>
      </c>
      <c r="C1399" t="s">
        <v>4850</v>
      </c>
      <c r="D1399" t="s">
        <v>4828</v>
      </c>
      <c r="E1399" t="s">
        <v>4851</v>
      </c>
      <c r="F1399" t="s">
        <v>4852</v>
      </c>
      <c r="J1399" t="s">
        <v>4851</v>
      </c>
      <c r="K1399" t="s">
        <v>4831</v>
      </c>
      <c r="L1399" t="s">
        <v>814</v>
      </c>
    </row>
    <row r="1400" spans="1:12">
      <c r="A1400" t="s">
        <v>4825</v>
      </c>
      <c r="B1400" t="s">
        <v>4826</v>
      </c>
      <c r="C1400" t="s">
        <v>4853</v>
      </c>
      <c r="D1400" t="s">
        <v>4828</v>
      </c>
      <c r="E1400" t="s">
        <v>655</v>
      </c>
      <c r="F1400" t="s">
        <v>656</v>
      </c>
    </row>
    <row r="1401" spans="1:12">
      <c r="A1401" t="s">
        <v>4825</v>
      </c>
      <c r="B1401" t="s">
        <v>4826</v>
      </c>
      <c r="D1401" t="s">
        <v>4828</v>
      </c>
      <c r="F1401" t="s">
        <v>4854</v>
      </c>
      <c r="J1401" t="s">
        <v>4855</v>
      </c>
      <c r="K1401" t="s">
        <v>4831</v>
      </c>
      <c r="L1401" t="s">
        <v>814</v>
      </c>
    </row>
    <row r="1402" spans="1:12">
      <c r="A1402" t="s">
        <v>4825</v>
      </c>
      <c r="B1402" t="s">
        <v>4826</v>
      </c>
      <c r="D1402" t="s">
        <v>4828</v>
      </c>
      <c r="F1402" t="s">
        <v>4856</v>
      </c>
      <c r="J1402" t="s">
        <v>4857</v>
      </c>
      <c r="K1402" t="s">
        <v>4831</v>
      </c>
      <c r="L1402" t="s">
        <v>814</v>
      </c>
    </row>
    <row r="1403" spans="1:12">
      <c r="A1403" t="s">
        <v>4825</v>
      </c>
      <c r="B1403" t="s">
        <v>4826</v>
      </c>
      <c r="D1403" t="s">
        <v>4828</v>
      </c>
      <c r="F1403" t="s">
        <v>4858</v>
      </c>
      <c r="J1403" t="s">
        <v>4859</v>
      </c>
      <c r="K1403" t="s">
        <v>4831</v>
      </c>
      <c r="L1403" t="s">
        <v>814</v>
      </c>
    </row>
    <row r="1404" spans="1:12">
      <c r="A1404" t="s">
        <v>4825</v>
      </c>
      <c r="B1404" t="s">
        <v>4826</v>
      </c>
      <c r="D1404" t="s">
        <v>4828</v>
      </c>
      <c r="F1404" t="s">
        <v>4860</v>
      </c>
      <c r="J1404" t="s">
        <v>4861</v>
      </c>
      <c r="K1404" t="s">
        <v>4831</v>
      </c>
      <c r="L1404" t="s">
        <v>814</v>
      </c>
    </row>
    <row r="1405" spans="1:12">
      <c r="A1405" t="s">
        <v>4825</v>
      </c>
      <c r="B1405" t="s">
        <v>4826</v>
      </c>
      <c r="D1405" t="s">
        <v>4828</v>
      </c>
      <c r="F1405" t="s">
        <v>4862</v>
      </c>
      <c r="J1405" t="s">
        <v>4863</v>
      </c>
      <c r="K1405" t="s">
        <v>4831</v>
      </c>
      <c r="L1405" t="s">
        <v>814</v>
      </c>
    </row>
    <row r="1406" spans="1:12">
      <c r="A1406" t="s">
        <v>4825</v>
      </c>
      <c r="B1406" t="s">
        <v>4826</v>
      </c>
      <c r="D1406" t="s">
        <v>4828</v>
      </c>
      <c r="F1406" t="s">
        <v>4830</v>
      </c>
      <c r="J1406" t="s">
        <v>4864</v>
      </c>
      <c r="K1406" t="s">
        <v>4831</v>
      </c>
      <c r="L1406" t="s">
        <v>814</v>
      </c>
    </row>
    <row r="1407" spans="1:12">
      <c r="A1407" t="s">
        <v>4865</v>
      </c>
      <c r="B1407" t="s">
        <v>4866</v>
      </c>
      <c r="C1407" t="s">
        <v>4867</v>
      </c>
      <c r="D1407" t="s">
        <v>4868</v>
      </c>
      <c r="E1407" t="s">
        <v>4869</v>
      </c>
      <c r="F1407" t="s">
        <v>4870</v>
      </c>
    </row>
    <row r="1408" spans="1:12">
      <c r="A1408" t="s">
        <v>4865</v>
      </c>
      <c r="B1408" t="s">
        <v>4866</v>
      </c>
      <c r="C1408" t="s">
        <v>4871</v>
      </c>
      <c r="D1408" t="s">
        <v>4868</v>
      </c>
      <c r="E1408" t="s">
        <v>4872</v>
      </c>
      <c r="F1408" t="s">
        <v>4873</v>
      </c>
    </row>
    <row r="1409" spans="1:6">
      <c r="A1409" t="s">
        <v>4865</v>
      </c>
      <c r="B1409" t="s">
        <v>4866</v>
      </c>
      <c r="C1409" t="s">
        <v>4874</v>
      </c>
      <c r="D1409" t="s">
        <v>4868</v>
      </c>
      <c r="E1409" t="s">
        <v>4875</v>
      </c>
      <c r="F1409" t="s">
        <v>4876</v>
      </c>
    </row>
    <row r="1410" spans="1:6">
      <c r="A1410" t="s">
        <v>4865</v>
      </c>
      <c r="B1410" t="s">
        <v>4866</v>
      </c>
      <c r="C1410" t="s">
        <v>4877</v>
      </c>
      <c r="D1410" t="s">
        <v>4868</v>
      </c>
      <c r="E1410" t="s">
        <v>1550</v>
      </c>
      <c r="F1410" t="s">
        <v>4878</v>
      </c>
    </row>
    <row r="1411" spans="1:6">
      <c r="A1411" t="s">
        <v>4865</v>
      </c>
      <c r="B1411" t="s">
        <v>4866</v>
      </c>
      <c r="C1411" t="s">
        <v>4879</v>
      </c>
      <c r="D1411" t="s">
        <v>4868</v>
      </c>
      <c r="E1411" t="s">
        <v>4880</v>
      </c>
      <c r="F1411" t="s">
        <v>4881</v>
      </c>
    </row>
    <row r="1412" spans="1:6">
      <c r="A1412" t="s">
        <v>4865</v>
      </c>
      <c r="B1412" t="s">
        <v>4866</v>
      </c>
      <c r="C1412" t="s">
        <v>4882</v>
      </c>
      <c r="D1412" t="s">
        <v>4868</v>
      </c>
      <c r="E1412" t="s">
        <v>4883</v>
      </c>
      <c r="F1412" t="s">
        <v>4884</v>
      </c>
    </row>
    <row r="1413" spans="1:6">
      <c r="A1413" t="s">
        <v>4865</v>
      </c>
      <c r="B1413" t="s">
        <v>4866</v>
      </c>
      <c r="C1413" t="s">
        <v>4885</v>
      </c>
      <c r="D1413" t="s">
        <v>4868</v>
      </c>
      <c r="E1413" t="s">
        <v>1564</v>
      </c>
      <c r="F1413" t="s">
        <v>4886</v>
      </c>
    </row>
    <row r="1414" spans="1:6">
      <c r="A1414" t="s">
        <v>4865</v>
      </c>
      <c r="B1414" t="s">
        <v>4866</v>
      </c>
      <c r="C1414" t="s">
        <v>4887</v>
      </c>
      <c r="D1414" t="s">
        <v>4868</v>
      </c>
      <c r="E1414" t="s">
        <v>4888</v>
      </c>
      <c r="F1414" t="s">
        <v>4889</v>
      </c>
    </row>
    <row r="1415" spans="1:6">
      <c r="A1415" t="s">
        <v>4865</v>
      </c>
      <c r="B1415" t="s">
        <v>4866</v>
      </c>
      <c r="C1415" t="s">
        <v>4890</v>
      </c>
      <c r="D1415" t="s">
        <v>4868</v>
      </c>
      <c r="E1415" t="s">
        <v>4891</v>
      </c>
      <c r="F1415" t="s">
        <v>4892</v>
      </c>
    </row>
    <row r="1416" spans="1:6">
      <c r="A1416" t="s">
        <v>4865</v>
      </c>
      <c r="B1416" t="s">
        <v>4866</v>
      </c>
      <c r="C1416" t="s">
        <v>4893</v>
      </c>
      <c r="D1416" t="s">
        <v>4868</v>
      </c>
      <c r="E1416" t="s">
        <v>4894</v>
      </c>
      <c r="F1416" t="s">
        <v>4895</v>
      </c>
    </row>
    <row r="1417" spans="1:6">
      <c r="A1417" t="s">
        <v>4865</v>
      </c>
      <c r="B1417" t="s">
        <v>4866</v>
      </c>
      <c r="C1417" t="s">
        <v>4896</v>
      </c>
      <c r="D1417" t="s">
        <v>4868</v>
      </c>
      <c r="E1417" t="s">
        <v>4897</v>
      </c>
      <c r="F1417" t="s">
        <v>4898</v>
      </c>
    </row>
    <row r="1418" spans="1:6">
      <c r="A1418" t="s">
        <v>4865</v>
      </c>
      <c r="B1418" t="s">
        <v>4866</v>
      </c>
      <c r="C1418" t="s">
        <v>4899</v>
      </c>
      <c r="D1418" t="s">
        <v>4868</v>
      </c>
      <c r="E1418" t="s">
        <v>4900</v>
      </c>
      <c r="F1418" t="s">
        <v>4901</v>
      </c>
    </row>
    <row r="1419" spans="1:6">
      <c r="A1419" t="s">
        <v>4865</v>
      </c>
      <c r="B1419" t="s">
        <v>4866</v>
      </c>
      <c r="C1419" t="s">
        <v>4902</v>
      </c>
      <c r="D1419" t="s">
        <v>4868</v>
      </c>
      <c r="E1419" t="s">
        <v>1645</v>
      </c>
      <c r="F1419" t="s">
        <v>4903</v>
      </c>
    </row>
    <row r="1420" spans="1:6">
      <c r="A1420" t="s">
        <v>4865</v>
      </c>
      <c r="B1420" t="s">
        <v>4866</v>
      </c>
      <c r="C1420" t="s">
        <v>4904</v>
      </c>
      <c r="D1420" t="s">
        <v>4868</v>
      </c>
      <c r="E1420" t="s">
        <v>4905</v>
      </c>
      <c r="F1420" t="s">
        <v>4906</v>
      </c>
    </row>
    <row r="1421" spans="1:6">
      <c r="A1421" t="s">
        <v>4865</v>
      </c>
      <c r="B1421" t="s">
        <v>4866</v>
      </c>
      <c r="C1421" t="s">
        <v>4907</v>
      </c>
      <c r="D1421" t="s">
        <v>4868</v>
      </c>
      <c r="E1421" t="s">
        <v>4908</v>
      </c>
      <c r="F1421" t="s">
        <v>4909</v>
      </c>
    </row>
    <row r="1422" spans="1:6">
      <c r="A1422" t="s">
        <v>4865</v>
      </c>
      <c r="B1422" t="s">
        <v>4866</v>
      </c>
      <c r="C1422" t="s">
        <v>4910</v>
      </c>
      <c r="D1422" t="s">
        <v>4868</v>
      </c>
      <c r="E1422" t="s">
        <v>3669</v>
      </c>
      <c r="F1422" t="s">
        <v>4911</v>
      </c>
    </row>
    <row r="1423" spans="1:6">
      <c r="A1423" t="s">
        <v>4865</v>
      </c>
      <c r="B1423" t="s">
        <v>4866</v>
      </c>
      <c r="C1423" t="s">
        <v>4912</v>
      </c>
      <c r="D1423" t="s">
        <v>4868</v>
      </c>
      <c r="E1423" t="s">
        <v>4913</v>
      </c>
      <c r="F1423" t="s">
        <v>4914</v>
      </c>
    </row>
    <row r="1424" spans="1:6">
      <c r="A1424" t="s">
        <v>4865</v>
      </c>
      <c r="B1424" t="s">
        <v>4866</v>
      </c>
      <c r="C1424" t="s">
        <v>4915</v>
      </c>
      <c r="D1424" t="s">
        <v>4868</v>
      </c>
      <c r="E1424" t="s">
        <v>4666</v>
      </c>
      <c r="F1424" t="s">
        <v>4916</v>
      </c>
    </row>
    <row r="1425" spans="1:6">
      <c r="A1425" t="s">
        <v>4865</v>
      </c>
      <c r="B1425" t="s">
        <v>4866</v>
      </c>
      <c r="C1425" t="s">
        <v>4917</v>
      </c>
      <c r="D1425" t="s">
        <v>4868</v>
      </c>
      <c r="E1425" t="s">
        <v>4918</v>
      </c>
      <c r="F1425" t="s">
        <v>4919</v>
      </c>
    </row>
    <row r="1426" spans="1:6">
      <c r="A1426" t="s">
        <v>4865</v>
      </c>
      <c r="B1426" t="s">
        <v>4866</v>
      </c>
      <c r="C1426" t="s">
        <v>4920</v>
      </c>
      <c r="D1426" t="s">
        <v>4868</v>
      </c>
      <c r="E1426" t="s">
        <v>4921</v>
      </c>
      <c r="F1426" t="s">
        <v>4922</v>
      </c>
    </row>
    <row r="1427" spans="1:6">
      <c r="A1427" t="s">
        <v>4865</v>
      </c>
      <c r="B1427" t="s">
        <v>4866</v>
      </c>
      <c r="C1427" t="s">
        <v>4923</v>
      </c>
      <c r="D1427" t="s">
        <v>4868</v>
      </c>
      <c r="E1427" t="s">
        <v>4924</v>
      </c>
      <c r="F1427" t="s">
        <v>4925</v>
      </c>
    </row>
    <row r="1428" spans="1:6">
      <c r="A1428" t="s">
        <v>4865</v>
      </c>
      <c r="B1428" t="s">
        <v>4866</v>
      </c>
      <c r="C1428" t="s">
        <v>4926</v>
      </c>
      <c r="D1428" t="s">
        <v>4868</v>
      </c>
      <c r="E1428" t="s">
        <v>4927</v>
      </c>
      <c r="F1428" t="s">
        <v>4928</v>
      </c>
    </row>
    <row r="1429" spans="1:6">
      <c r="A1429" t="s">
        <v>4865</v>
      </c>
      <c r="B1429" t="s">
        <v>4866</v>
      </c>
      <c r="C1429" t="s">
        <v>4929</v>
      </c>
      <c r="D1429" t="s">
        <v>4868</v>
      </c>
      <c r="E1429" t="s">
        <v>4930</v>
      </c>
      <c r="F1429" t="s">
        <v>4931</v>
      </c>
    </row>
    <row r="1430" spans="1:6">
      <c r="A1430" t="s">
        <v>4865</v>
      </c>
      <c r="B1430" t="s">
        <v>4866</v>
      </c>
      <c r="C1430" t="s">
        <v>4932</v>
      </c>
      <c r="D1430" t="s">
        <v>4868</v>
      </c>
      <c r="E1430" t="s">
        <v>4933</v>
      </c>
      <c r="F1430" t="s">
        <v>4934</v>
      </c>
    </row>
    <row r="1431" spans="1:6">
      <c r="A1431" t="s">
        <v>4865</v>
      </c>
      <c r="B1431" t="s">
        <v>4866</v>
      </c>
      <c r="C1431" t="s">
        <v>4935</v>
      </c>
      <c r="D1431" t="s">
        <v>4868</v>
      </c>
      <c r="E1431" t="s">
        <v>1105</v>
      </c>
      <c r="F1431" t="s">
        <v>4936</v>
      </c>
    </row>
    <row r="1432" spans="1:6">
      <c r="A1432" t="s">
        <v>4865</v>
      </c>
      <c r="B1432" t="s">
        <v>4866</v>
      </c>
      <c r="C1432" t="s">
        <v>4937</v>
      </c>
      <c r="D1432" t="s">
        <v>4868</v>
      </c>
      <c r="E1432" t="s">
        <v>1108</v>
      </c>
      <c r="F1432" t="s">
        <v>4938</v>
      </c>
    </row>
    <row r="1433" spans="1:6">
      <c r="A1433" t="s">
        <v>4865</v>
      </c>
      <c r="B1433" t="s">
        <v>4866</v>
      </c>
      <c r="C1433" t="s">
        <v>4939</v>
      </c>
      <c r="D1433" t="s">
        <v>4868</v>
      </c>
      <c r="E1433" t="s">
        <v>1777</v>
      </c>
      <c r="F1433" t="s">
        <v>4940</v>
      </c>
    </row>
    <row r="1434" spans="1:6">
      <c r="A1434" t="s">
        <v>4865</v>
      </c>
      <c r="B1434" t="s">
        <v>4866</v>
      </c>
      <c r="C1434" t="s">
        <v>4941</v>
      </c>
      <c r="D1434" t="s">
        <v>4868</v>
      </c>
      <c r="E1434" t="s">
        <v>1780</v>
      </c>
      <c r="F1434" t="s">
        <v>4942</v>
      </c>
    </row>
    <row r="1435" spans="1:6">
      <c r="A1435" t="s">
        <v>4865</v>
      </c>
      <c r="B1435" t="s">
        <v>4866</v>
      </c>
      <c r="C1435" t="s">
        <v>4943</v>
      </c>
      <c r="D1435" t="s">
        <v>4868</v>
      </c>
      <c r="E1435" t="s">
        <v>1114</v>
      </c>
      <c r="F1435" t="s">
        <v>4944</v>
      </c>
    </row>
    <row r="1436" spans="1:6">
      <c r="A1436" t="s">
        <v>4865</v>
      </c>
      <c r="B1436" t="s">
        <v>4866</v>
      </c>
      <c r="C1436" t="s">
        <v>4945</v>
      </c>
      <c r="D1436" t="s">
        <v>4868</v>
      </c>
      <c r="E1436" t="s">
        <v>4946</v>
      </c>
      <c r="F1436" t="s">
        <v>4947</v>
      </c>
    </row>
    <row r="1437" spans="1:6">
      <c r="A1437" t="s">
        <v>4865</v>
      </c>
      <c r="B1437" t="s">
        <v>4866</v>
      </c>
      <c r="C1437" t="s">
        <v>4948</v>
      </c>
      <c r="D1437" t="s">
        <v>4868</v>
      </c>
      <c r="E1437" t="s">
        <v>4949</v>
      </c>
      <c r="F1437" t="s">
        <v>4950</v>
      </c>
    </row>
    <row r="1438" spans="1:6">
      <c r="A1438" t="s">
        <v>4865</v>
      </c>
      <c r="B1438" t="s">
        <v>4866</v>
      </c>
      <c r="C1438" t="s">
        <v>4951</v>
      </c>
      <c r="D1438" t="s">
        <v>4868</v>
      </c>
      <c r="E1438" t="s">
        <v>4952</v>
      </c>
      <c r="F1438" t="s">
        <v>4953</v>
      </c>
    </row>
    <row r="1439" spans="1:6">
      <c r="A1439" t="s">
        <v>4865</v>
      </c>
      <c r="B1439" t="s">
        <v>4866</v>
      </c>
      <c r="C1439" t="s">
        <v>4954</v>
      </c>
      <c r="D1439" t="s">
        <v>4868</v>
      </c>
      <c r="E1439" t="s">
        <v>4955</v>
      </c>
      <c r="F1439" t="s">
        <v>4956</v>
      </c>
    </row>
    <row r="1440" spans="1:6">
      <c r="A1440" t="s">
        <v>4865</v>
      </c>
      <c r="B1440" t="s">
        <v>4866</v>
      </c>
      <c r="C1440" t="s">
        <v>4957</v>
      </c>
      <c r="D1440" t="s">
        <v>4868</v>
      </c>
      <c r="E1440" t="s">
        <v>4958</v>
      </c>
      <c r="F1440" t="s">
        <v>4959</v>
      </c>
    </row>
    <row r="1441" spans="1:12">
      <c r="A1441" t="s">
        <v>4865</v>
      </c>
      <c r="B1441" t="s">
        <v>4866</v>
      </c>
      <c r="C1441" t="s">
        <v>4960</v>
      </c>
      <c r="D1441" t="s">
        <v>4868</v>
      </c>
      <c r="E1441" t="s">
        <v>4961</v>
      </c>
      <c r="F1441" t="s">
        <v>4962</v>
      </c>
    </row>
    <row r="1442" spans="1:12">
      <c r="A1442" t="s">
        <v>4865</v>
      </c>
      <c r="B1442" t="s">
        <v>4866</v>
      </c>
      <c r="C1442" t="s">
        <v>4963</v>
      </c>
      <c r="D1442" t="s">
        <v>4868</v>
      </c>
      <c r="E1442" t="s">
        <v>4964</v>
      </c>
      <c r="F1442" t="s">
        <v>4965</v>
      </c>
      <c r="J1442" t="s">
        <v>4964</v>
      </c>
      <c r="K1442" t="s">
        <v>4966</v>
      </c>
      <c r="L1442" t="s">
        <v>4967</v>
      </c>
    </row>
    <row r="1443" spans="1:12">
      <c r="A1443" t="s">
        <v>4865</v>
      </c>
      <c r="B1443" t="s">
        <v>4866</v>
      </c>
      <c r="C1443" t="s">
        <v>4968</v>
      </c>
      <c r="D1443" t="s">
        <v>4868</v>
      </c>
      <c r="E1443" t="s">
        <v>4969</v>
      </c>
      <c r="F1443" t="s">
        <v>4970</v>
      </c>
    </row>
    <row r="1444" spans="1:12">
      <c r="A1444" t="s">
        <v>4865</v>
      </c>
      <c r="B1444" t="s">
        <v>4866</v>
      </c>
      <c r="C1444" t="s">
        <v>4971</v>
      </c>
      <c r="D1444" t="s">
        <v>4868</v>
      </c>
      <c r="E1444" t="s">
        <v>4972</v>
      </c>
      <c r="F1444" t="s">
        <v>4973</v>
      </c>
    </row>
    <row r="1445" spans="1:12">
      <c r="A1445" t="s">
        <v>4865</v>
      </c>
      <c r="B1445" t="s">
        <v>4866</v>
      </c>
      <c r="C1445" t="s">
        <v>4974</v>
      </c>
      <c r="D1445" t="s">
        <v>4868</v>
      </c>
      <c r="E1445" t="s">
        <v>4975</v>
      </c>
      <c r="F1445" t="s">
        <v>4976</v>
      </c>
    </row>
    <row r="1446" spans="1:12">
      <c r="A1446" t="s">
        <v>4865</v>
      </c>
      <c r="B1446" t="s">
        <v>4866</v>
      </c>
      <c r="C1446" t="s">
        <v>4977</v>
      </c>
      <c r="D1446" t="s">
        <v>4868</v>
      </c>
      <c r="E1446" t="s">
        <v>4978</v>
      </c>
      <c r="F1446" t="s">
        <v>4979</v>
      </c>
    </row>
    <row r="1447" spans="1:12">
      <c r="A1447" t="s">
        <v>4865</v>
      </c>
      <c r="B1447" t="s">
        <v>4866</v>
      </c>
      <c r="C1447" t="s">
        <v>4980</v>
      </c>
      <c r="D1447" t="s">
        <v>4868</v>
      </c>
      <c r="E1447" t="s">
        <v>4981</v>
      </c>
      <c r="F1447" t="s">
        <v>4982</v>
      </c>
    </row>
    <row r="1448" spans="1:12">
      <c r="A1448" t="s">
        <v>4865</v>
      </c>
      <c r="B1448" t="s">
        <v>4866</v>
      </c>
      <c r="C1448" t="s">
        <v>4983</v>
      </c>
      <c r="D1448" t="s">
        <v>4868</v>
      </c>
      <c r="E1448" t="s">
        <v>4984</v>
      </c>
      <c r="F1448" t="s">
        <v>4985</v>
      </c>
    </row>
    <row r="1449" spans="1:12">
      <c r="A1449" t="s">
        <v>4865</v>
      </c>
      <c r="B1449" t="s">
        <v>4866</v>
      </c>
      <c r="C1449" t="s">
        <v>4986</v>
      </c>
      <c r="D1449" t="s">
        <v>4868</v>
      </c>
      <c r="E1449" t="s">
        <v>829</v>
      </c>
      <c r="F1449" t="s">
        <v>4987</v>
      </c>
    </row>
    <row r="1450" spans="1:12">
      <c r="A1450" t="s">
        <v>4865</v>
      </c>
      <c r="B1450" t="s">
        <v>4866</v>
      </c>
      <c r="C1450" t="s">
        <v>4988</v>
      </c>
      <c r="D1450" t="s">
        <v>4868</v>
      </c>
      <c r="E1450" t="s">
        <v>2001</v>
      </c>
      <c r="F1450" t="s">
        <v>4989</v>
      </c>
    </row>
    <row r="1451" spans="1:12">
      <c r="A1451" t="s">
        <v>4865</v>
      </c>
      <c r="B1451" t="s">
        <v>4866</v>
      </c>
      <c r="C1451" t="s">
        <v>4990</v>
      </c>
      <c r="D1451" t="s">
        <v>4868</v>
      </c>
      <c r="E1451" t="s">
        <v>4991</v>
      </c>
      <c r="F1451" t="s">
        <v>4992</v>
      </c>
    </row>
    <row r="1452" spans="1:12">
      <c r="A1452" t="s">
        <v>4865</v>
      </c>
      <c r="B1452" t="s">
        <v>4866</v>
      </c>
      <c r="C1452" t="s">
        <v>4993</v>
      </c>
      <c r="D1452" t="s">
        <v>4868</v>
      </c>
      <c r="E1452" t="s">
        <v>4994</v>
      </c>
      <c r="F1452" t="s">
        <v>4995</v>
      </c>
    </row>
    <row r="1453" spans="1:12">
      <c r="A1453" t="s">
        <v>4865</v>
      </c>
      <c r="B1453" t="s">
        <v>4866</v>
      </c>
      <c r="C1453" t="s">
        <v>4996</v>
      </c>
      <c r="D1453" t="s">
        <v>4868</v>
      </c>
      <c r="E1453" t="s">
        <v>4997</v>
      </c>
      <c r="F1453" t="s">
        <v>4998</v>
      </c>
    </row>
    <row r="1454" spans="1:12">
      <c r="A1454" t="s">
        <v>4865</v>
      </c>
      <c r="B1454" t="s">
        <v>4866</v>
      </c>
      <c r="C1454" t="s">
        <v>4999</v>
      </c>
      <c r="D1454" t="s">
        <v>4868</v>
      </c>
      <c r="E1454" t="s">
        <v>5000</v>
      </c>
      <c r="F1454" t="s">
        <v>5001</v>
      </c>
    </row>
    <row r="1455" spans="1:12">
      <c r="A1455" t="s">
        <v>4865</v>
      </c>
      <c r="B1455" t="s">
        <v>4866</v>
      </c>
      <c r="C1455" t="s">
        <v>5002</v>
      </c>
      <c r="D1455" t="s">
        <v>4868</v>
      </c>
      <c r="E1455" t="s">
        <v>5003</v>
      </c>
      <c r="F1455" t="s">
        <v>5004</v>
      </c>
    </row>
    <row r="1456" spans="1:12">
      <c r="A1456" t="s">
        <v>4865</v>
      </c>
      <c r="B1456" t="s">
        <v>4866</v>
      </c>
      <c r="C1456" t="s">
        <v>5005</v>
      </c>
      <c r="D1456" t="s">
        <v>4868</v>
      </c>
      <c r="E1456" t="s">
        <v>5006</v>
      </c>
      <c r="F1456" t="s">
        <v>5007</v>
      </c>
    </row>
    <row r="1457" spans="1:12">
      <c r="A1457" t="s">
        <v>4865</v>
      </c>
      <c r="B1457" t="s">
        <v>4866</v>
      </c>
      <c r="C1457" t="s">
        <v>5008</v>
      </c>
      <c r="D1457" t="s">
        <v>4868</v>
      </c>
      <c r="E1457" t="s">
        <v>5009</v>
      </c>
      <c r="F1457" t="s">
        <v>5010</v>
      </c>
    </row>
    <row r="1458" spans="1:12">
      <c r="A1458" t="s">
        <v>4865</v>
      </c>
      <c r="B1458" t="s">
        <v>4866</v>
      </c>
      <c r="C1458" t="s">
        <v>5011</v>
      </c>
      <c r="D1458" t="s">
        <v>4868</v>
      </c>
      <c r="E1458" t="s">
        <v>5012</v>
      </c>
      <c r="F1458" t="s">
        <v>5013</v>
      </c>
    </row>
    <row r="1459" spans="1:12">
      <c r="A1459" t="s">
        <v>4865</v>
      </c>
      <c r="B1459" t="s">
        <v>4866</v>
      </c>
      <c r="C1459" t="s">
        <v>5014</v>
      </c>
      <c r="D1459" t="s">
        <v>4868</v>
      </c>
      <c r="E1459" t="s">
        <v>5015</v>
      </c>
      <c r="F1459" t="s">
        <v>5016</v>
      </c>
    </row>
    <row r="1460" spans="1:12">
      <c r="A1460" t="s">
        <v>4865</v>
      </c>
      <c r="B1460" t="s">
        <v>4866</v>
      </c>
      <c r="C1460" t="s">
        <v>5017</v>
      </c>
      <c r="D1460" t="s">
        <v>4868</v>
      </c>
      <c r="E1460" t="s">
        <v>2058</v>
      </c>
      <c r="F1460" t="s">
        <v>5018</v>
      </c>
    </row>
    <row r="1461" spans="1:12">
      <c r="A1461" t="s">
        <v>4865</v>
      </c>
      <c r="B1461" t="s">
        <v>4866</v>
      </c>
      <c r="C1461" t="s">
        <v>5019</v>
      </c>
      <c r="D1461" t="s">
        <v>4868</v>
      </c>
      <c r="E1461" t="s">
        <v>5020</v>
      </c>
      <c r="F1461" t="s">
        <v>5021</v>
      </c>
    </row>
    <row r="1462" spans="1:12">
      <c r="A1462" t="s">
        <v>4865</v>
      </c>
      <c r="B1462" t="s">
        <v>4866</v>
      </c>
      <c r="C1462" t="s">
        <v>5022</v>
      </c>
      <c r="D1462" t="s">
        <v>4868</v>
      </c>
      <c r="E1462" t="s">
        <v>5023</v>
      </c>
      <c r="F1462" t="s">
        <v>5024</v>
      </c>
    </row>
    <row r="1463" spans="1:12">
      <c r="A1463" t="s">
        <v>4865</v>
      </c>
      <c r="B1463" t="s">
        <v>4866</v>
      </c>
      <c r="C1463" t="s">
        <v>5025</v>
      </c>
      <c r="D1463" t="s">
        <v>4868</v>
      </c>
      <c r="E1463" t="s">
        <v>5026</v>
      </c>
      <c r="F1463" t="s">
        <v>5027</v>
      </c>
    </row>
    <row r="1464" spans="1:12">
      <c r="A1464" t="s">
        <v>4865</v>
      </c>
      <c r="B1464" t="s">
        <v>4866</v>
      </c>
      <c r="C1464" t="s">
        <v>5028</v>
      </c>
      <c r="D1464" t="s">
        <v>4868</v>
      </c>
      <c r="E1464" t="s">
        <v>5029</v>
      </c>
      <c r="F1464" t="s">
        <v>5030</v>
      </c>
    </row>
    <row r="1465" spans="1:12">
      <c r="A1465" t="s">
        <v>4865</v>
      </c>
      <c r="B1465" t="s">
        <v>4866</v>
      </c>
      <c r="C1465" t="s">
        <v>5031</v>
      </c>
      <c r="D1465" t="s">
        <v>4868</v>
      </c>
      <c r="E1465" t="s">
        <v>2103</v>
      </c>
      <c r="F1465" t="s">
        <v>5032</v>
      </c>
    </row>
    <row r="1466" spans="1:12">
      <c r="A1466" t="s">
        <v>4865</v>
      </c>
      <c r="B1466" t="s">
        <v>4866</v>
      </c>
      <c r="C1466" t="s">
        <v>5033</v>
      </c>
      <c r="D1466" t="s">
        <v>4868</v>
      </c>
      <c r="E1466" t="s">
        <v>5034</v>
      </c>
      <c r="F1466" t="s">
        <v>5035</v>
      </c>
    </row>
    <row r="1467" spans="1:12">
      <c r="A1467" t="s">
        <v>4865</v>
      </c>
      <c r="B1467" t="s">
        <v>4866</v>
      </c>
      <c r="C1467" t="s">
        <v>5036</v>
      </c>
      <c r="D1467" t="s">
        <v>4868</v>
      </c>
      <c r="E1467" t="s">
        <v>5037</v>
      </c>
      <c r="F1467" t="s">
        <v>5038</v>
      </c>
    </row>
    <row r="1468" spans="1:12">
      <c r="A1468" t="s">
        <v>4865</v>
      </c>
      <c r="B1468" t="s">
        <v>4866</v>
      </c>
      <c r="C1468" t="s">
        <v>5039</v>
      </c>
      <c r="D1468" t="s">
        <v>4868</v>
      </c>
      <c r="E1468" t="s">
        <v>5040</v>
      </c>
      <c r="F1468" t="s">
        <v>5041</v>
      </c>
    </row>
    <row r="1469" spans="1:12">
      <c r="A1469" t="s">
        <v>4865</v>
      </c>
      <c r="B1469" t="s">
        <v>4866</v>
      </c>
      <c r="C1469" t="s">
        <v>5042</v>
      </c>
      <c r="D1469" t="s">
        <v>4868</v>
      </c>
      <c r="E1469" t="s">
        <v>5043</v>
      </c>
      <c r="F1469" t="s">
        <v>5044</v>
      </c>
    </row>
    <row r="1470" spans="1:12">
      <c r="A1470" t="s">
        <v>4865</v>
      </c>
      <c r="B1470" t="s">
        <v>4866</v>
      </c>
      <c r="C1470" t="s">
        <v>5045</v>
      </c>
      <c r="D1470" t="s">
        <v>4868</v>
      </c>
      <c r="E1470" t="s">
        <v>5046</v>
      </c>
      <c r="F1470" t="s">
        <v>5047</v>
      </c>
      <c r="J1470" t="s">
        <v>5046</v>
      </c>
      <c r="K1470" t="s">
        <v>4966</v>
      </c>
      <c r="L1470" t="s">
        <v>4967</v>
      </c>
    </row>
    <row r="1471" spans="1:12">
      <c r="A1471" t="s">
        <v>4865</v>
      </c>
      <c r="B1471" t="s">
        <v>4866</v>
      </c>
      <c r="C1471" t="s">
        <v>5048</v>
      </c>
      <c r="D1471" t="s">
        <v>4868</v>
      </c>
      <c r="E1471" t="s">
        <v>5049</v>
      </c>
      <c r="F1471" t="s">
        <v>5050</v>
      </c>
      <c r="J1471" t="s">
        <v>5049</v>
      </c>
      <c r="K1471" t="s">
        <v>4966</v>
      </c>
      <c r="L1471" t="s">
        <v>4967</v>
      </c>
    </row>
    <row r="1472" spans="1:12">
      <c r="A1472" t="s">
        <v>4865</v>
      </c>
      <c r="B1472" t="s">
        <v>4866</v>
      </c>
      <c r="C1472" t="s">
        <v>5051</v>
      </c>
      <c r="D1472" t="s">
        <v>4868</v>
      </c>
      <c r="E1472" t="s">
        <v>694</v>
      </c>
      <c r="F1472" t="s">
        <v>5052</v>
      </c>
    </row>
    <row r="1473" spans="1:12">
      <c r="A1473" t="s">
        <v>4865</v>
      </c>
      <c r="B1473" t="s">
        <v>4866</v>
      </c>
      <c r="C1473" t="s">
        <v>5053</v>
      </c>
      <c r="D1473" t="s">
        <v>4868</v>
      </c>
      <c r="E1473" t="s">
        <v>5054</v>
      </c>
      <c r="F1473" t="s">
        <v>5055</v>
      </c>
      <c r="J1473" t="s">
        <v>5054</v>
      </c>
      <c r="K1473" t="s">
        <v>4966</v>
      </c>
      <c r="L1473" t="s">
        <v>4967</v>
      </c>
    </row>
    <row r="1474" spans="1:12">
      <c r="A1474" t="s">
        <v>4865</v>
      </c>
      <c r="B1474" t="s">
        <v>4866</v>
      </c>
      <c r="C1474" t="s">
        <v>5056</v>
      </c>
      <c r="D1474" t="s">
        <v>4868</v>
      </c>
      <c r="E1474" t="s">
        <v>5057</v>
      </c>
      <c r="F1474" t="s">
        <v>5058</v>
      </c>
      <c r="J1474" t="s">
        <v>5057</v>
      </c>
      <c r="K1474" t="s">
        <v>4966</v>
      </c>
      <c r="L1474" t="s">
        <v>4967</v>
      </c>
    </row>
    <row r="1475" spans="1:12">
      <c r="A1475" t="s">
        <v>4865</v>
      </c>
      <c r="B1475" t="s">
        <v>4866</v>
      </c>
      <c r="C1475" t="s">
        <v>5059</v>
      </c>
      <c r="D1475" t="s">
        <v>4868</v>
      </c>
      <c r="E1475" t="s">
        <v>5060</v>
      </c>
      <c r="F1475" t="s">
        <v>5061</v>
      </c>
    </row>
    <row r="1476" spans="1:12">
      <c r="A1476" t="s">
        <v>4865</v>
      </c>
      <c r="B1476" t="s">
        <v>4866</v>
      </c>
      <c r="C1476" t="s">
        <v>5062</v>
      </c>
      <c r="D1476" t="s">
        <v>4868</v>
      </c>
      <c r="E1476" t="s">
        <v>5063</v>
      </c>
      <c r="F1476" t="s">
        <v>5064</v>
      </c>
      <c r="J1476" t="s">
        <v>5063</v>
      </c>
      <c r="K1476" t="s">
        <v>4966</v>
      </c>
      <c r="L1476" t="s">
        <v>4967</v>
      </c>
    </row>
    <row r="1477" spans="1:12">
      <c r="A1477" t="s">
        <v>4865</v>
      </c>
      <c r="B1477" t="s">
        <v>4866</v>
      </c>
      <c r="C1477" t="s">
        <v>5065</v>
      </c>
      <c r="D1477" t="s">
        <v>4868</v>
      </c>
      <c r="E1477" t="s">
        <v>5066</v>
      </c>
      <c r="F1477" t="s">
        <v>5067</v>
      </c>
    </row>
    <row r="1478" spans="1:12">
      <c r="A1478" t="s">
        <v>4865</v>
      </c>
      <c r="B1478" t="s">
        <v>4866</v>
      </c>
      <c r="C1478" t="s">
        <v>5068</v>
      </c>
      <c r="D1478" t="s">
        <v>4868</v>
      </c>
      <c r="E1478" t="s">
        <v>5069</v>
      </c>
      <c r="F1478" t="s">
        <v>5070</v>
      </c>
    </row>
    <row r="1479" spans="1:12">
      <c r="A1479" t="s">
        <v>4865</v>
      </c>
      <c r="B1479" t="s">
        <v>4866</v>
      </c>
      <c r="C1479" t="s">
        <v>5071</v>
      </c>
      <c r="D1479" t="s">
        <v>4868</v>
      </c>
      <c r="E1479" t="s">
        <v>5072</v>
      </c>
      <c r="F1479" t="s">
        <v>5073</v>
      </c>
    </row>
    <row r="1480" spans="1:12">
      <c r="A1480" t="s">
        <v>4865</v>
      </c>
      <c r="B1480" t="s">
        <v>4866</v>
      </c>
      <c r="C1480" t="s">
        <v>5074</v>
      </c>
      <c r="D1480" t="s">
        <v>4868</v>
      </c>
      <c r="E1480" t="s">
        <v>5075</v>
      </c>
      <c r="F1480" t="s">
        <v>5076</v>
      </c>
      <c r="J1480" t="s">
        <v>5077</v>
      </c>
      <c r="K1480" t="s">
        <v>4966</v>
      </c>
      <c r="L1480" t="s">
        <v>4967</v>
      </c>
    </row>
    <row r="1481" spans="1:12">
      <c r="A1481" t="s">
        <v>4865</v>
      </c>
      <c r="B1481" t="s">
        <v>4866</v>
      </c>
      <c r="C1481" t="s">
        <v>5078</v>
      </c>
      <c r="D1481" t="s">
        <v>4868</v>
      </c>
      <c r="E1481" t="s">
        <v>5079</v>
      </c>
      <c r="F1481" t="s">
        <v>5080</v>
      </c>
    </row>
    <row r="1482" spans="1:12">
      <c r="A1482" t="s">
        <v>4865</v>
      </c>
      <c r="B1482" t="s">
        <v>4866</v>
      </c>
      <c r="C1482" t="s">
        <v>5081</v>
      </c>
      <c r="D1482" t="s">
        <v>4868</v>
      </c>
      <c r="E1482" t="s">
        <v>969</v>
      </c>
      <c r="F1482" t="s">
        <v>5082</v>
      </c>
    </row>
    <row r="1483" spans="1:12">
      <c r="A1483" t="s">
        <v>4865</v>
      </c>
      <c r="B1483" t="s">
        <v>4866</v>
      </c>
      <c r="C1483" t="s">
        <v>5083</v>
      </c>
      <c r="D1483" t="s">
        <v>4868</v>
      </c>
      <c r="E1483" t="s">
        <v>5084</v>
      </c>
      <c r="F1483" t="s">
        <v>5085</v>
      </c>
    </row>
    <row r="1484" spans="1:12">
      <c r="A1484" t="s">
        <v>4865</v>
      </c>
      <c r="B1484" t="s">
        <v>4866</v>
      </c>
      <c r="C1484" t="s">
        <v>5086</v>
      </c>
      <c r="D1484" t="s">
        <v>4868</v>
      </c>
      <c r="E1484" t="s">
        <v>5087</v>
      </c>
      <c r="F1484" t="s">
        <v>5088</v>
      </c>
    </row>
    <row r="1485" spans="1:12">
      <c r="A1485" t="s">
        <v>4865</v>
      </c>
      <c r="B1485" t="s">
        <v>4866</v>
      </c>
      <c r="C1485" t="s">
        <v>5089</v>
      </c>
      <c r="D1485" t="s">
        <v>4868</v>
      </c>
      <c r="E1485" t="s">
        <v>5090</v>
      </c>
      <c r="F1485" t="s">
        <v>5091</v>
      </c>
    </row>
    <row r="1486" spans="1:12">
      <c r="A1486" t="s">
        <v>4865</v>
      </c>
      <c r="B1486" t="s">
        <v>4866</v>
      </c>
      <c r="C1486" t="s">
        <v>5092</v>
      </c>
      <c r="D1486" t="s">
        <v>4868</v>
      </c>
      <c r="E1486" t="s">
        <v>5093</v>
      </c>
      <c r="F1486" t="s">
        <v>5094</v>
      </c>
    </row>
    <row r="1487" spans="1:12">
      <c r="A1487" t="s">
        <v>4865</v>
      </c>
      <c r="B1487" t="s">
        <v>4866</v>
      </c>
      <c r="C1487" t="s">
        <v>5095</v>
      </c>
      <c r="D1487" t="s">
        <v>4868</v>
      </c>
      <c r="E1487" t="s">
        <v>5096</v>
      </c>
      <c r="F1487" t="s">
        <v>5097</v>
      </c>
    </row>
    <row r="1488" spans="1:12">
      <c r="A1488" t="s">
        <v>4865</v>
      </c>
      <c r="B1488" t="s">
        <v>4866</v>
      </c>
      <c r="C1488" t="s">
        <v>5098</v>
      </c>
      <c r="D1488" t="s">
        <v>4868</v>
      </c>
      <c r="E1488" t="s">
        <v>5099</v>
      </c>
      <c r="F1488" t="s">
        <v>5100</v>
      </c>
    </row>
    <row r="1489" spans="1:12">
      <c r="A1489" t="s">
        <v>4865</v>
      </c>
      <c r="B1489" t="s">
        <v>4866</v>
      </c>
      <c r="C1489" t="s">
        <v>5101</v>
      </c>
      <c r="D1489" t="s">
        <v>4868</v>
      </c>
      <c r="E1489" t="s">
        <v>5102</v>
      </c>
      <c r="F1489" t="s">
        <v>5103</v>
      </c>
    </row>
    <row r="1490" spans="1:12">
      <c r="A1490" t="s">
        <v>4865</v>
      </c>
      <c r="B1490" t="s">
        <v>4866</v>
      </c>
      <c r="C1490" t="s">
        <v>5104</v>
      </c>
      <c r="D1490" t="s">
        <v>4868</v>
      </c>
      <c r="E1490" t="s">
        <v>5105</v>
      </c>
      <c r="F1490" t="s">
        <v>5106</v>
      </c>
    </row>
    <row r="1491" spans="1:12">
      <c r="A1491" t="s">
        <v>4865</v>
      </c>
      <c r="B1491" t="s">
        <v>4866</v>
      </c>
      <c r="C1491" t="s">
        <v>5107</v>
      </c>
      <c r="D1491" t="s">
        <v>4868</v>
      </c>
      <c r="E1491" t="s">
        <v>5108</v>
      </c>
      <c r="F1491" t="s">
        <v>5109</v>
      </c>
    </row>
    <row r="1492" spans="1:12">
      <c r="A1492" t="s">
        <v>4865</v>
      </c>
      <c r="B1492" t="s">
        <v>4866</v>
      </c>
      <c r="C1492" t="s">
        <v>5110</v>
      </c>
      <c r="D1492" t="s">
        <v>4868</v>
      </c>
      <c r="E1492" t="s">
        <v>5111</v>
      </c>
      <c r="F1492" t="s">
        <v>5112</v>
      </c>
    </row>
    <row r="1493" spans="1:12">
      <c r="A1493" t="s">
        <v>4865</v>
      </c>
      <c r="B1493" t="s">
        <v>4866</v>
      </c>
      <c r="C1493" t="s">
        <v>5113</v>
      </c>
      <c r="D1493" t="s">
        <v>4868</v>
      </c>
      <c r="E1493" t="s">
        <v>5114</v>
      </c>
      <c r="F1493" t="s">
        <v>5115</v>
      </c>
      <c r="J1493" t="s">
        <v>5114</v>
      </c>
      <c r="K1493" t="s">
        <v>4966</v>
      </c>
      <c r="L1493" t="s">
        <v>4967</v>
      </c>
    </row>
    <row r="1494" spans="1:12">
      <c r="A1494" t="s">
        <v>4865</v>
      </c>
      <c r="B1494" t="s">
        <v>4866</v>
      </c>
      <c r="C1494" t="s">
        <v>5116</v>
      </c>
      <c r="D1494" t="s">
        <v>4868</v>
      </c>
      <c r="E1494" t="s">
        <v>5117</v>
      </c>
      <c r="F1494" t="s">
        <v>5118</v>
      </c>
    </row>
    <row r="1495" spans="1:12">
      <c r="A1495" t="s">
        <v>4865</v>
      </c>
      <c r="B1495" t="s">
        <v>4866</v>
      </c>
      <c r="C1495" t="s">
        <v>5119</v>
      </c>
      <c r="D1495" t="s">
        <v>4868</v>
      </c>
      <c r="E1495" t="s">
        <v>5120</v>
      </c>
      <c r="F1495" t="s">
        <v>5121</v>
      </c>
    </row>
    <row r="1496" spans="1:12">
      <c r="A1496" t="s">
        <v>4865</v>
      </c>
      <c r="B1496" t="s">
        <v>4866</v>
      </c>
      <c r="C1496" t="s">
        <v>5122</v>
      </c>
      <c r="D1496" t="s">
        <v>4868</v>
      </c>
      <c r="E1496" t="s">
        <v>5123</v>
      </c>
      <c r="F1496" t="s">
        <v>5124</v>
      </c>
    </row>
    <row r="1497" spans="1:12">
      <c r="A1497" t="s">
        <v>4865</v>
      </c>
      <c r="B1497" t="s">
        <v>4866</v>
      </c>
      <c r="C1497" t="s">
        <v>5125</v>
      </c>
      <c r="D1497" t="s">
        <v>4868</v>
      </c>
      <c r="E1497" t="s">
        <v>5126</v>
      </c>
      <c r="F1497" t="s">
        <v>5127</v>
      </c>
    </row>
    <row r="1498" spans="1:12">
      <c r="A1498" t="s">
        <v>4865</v>
      </c>
      <c r="B1498" t="s">
        <v>4866</v>
      </c>
      <c r="C1498" t="s">
        <v>5128</v>
      </c>
      <c r="D1498" t="s">
        <v>4868</v>
      </c>
      <c r="E1498" t="s">
        <v>5129</v>
      </c>
      <c r="F1498" t="s">
        <v>5130</v>
      </c>
    </row>
    <row r="1499" spans="1:12">
      <c r="A1499" t="s">
        <v>4865</v>
      </c>
      <c r="B1499" t="s">
        <v>4866</v>
      </c>
      <c r="C1499" t="s">
        <v>5131</v>
      </c>
      <c r="D1499" t="s">
        <v>4868</v>
      </c>
      <c r="E1499" t="s">
        <v>5132</v>
      </c>
      <c r="F1499" t="s">
        <v>5133</v>
      </c>
    </row>
    <row r="1500" spans="1:12">
      <c r="A1500" t="s">
        <v>4865</v>
      </c>
      <c r="B1500" t="s">
        <v>4866</v>
      </c>
      <c r="C1500" t="s">
        <v>5134</v>
      </c>
      <c r="D1500" t="s">
        <v>4868</v>
      </c>
      <c r="E1500" t="s">
        <v>5135</v>
      </c>
      <c r="F1500" t="s">
        <v>5136</v>
      </c>
    </row>
    <row r="1501" spans="1:12">
      <c r="A1501" t="s">
        <v>4865</v>
      </c>
      <c r="B1501" t="s">
        <v>4866</v>
      </c>
      <c r="C1501" t="s">
        <v>5137</v>
      </c>
      <c r="D1501" t="s">
        <v>4868</v>
      </c>
      <c r="E1501" t="s">
        <v>5138</v>
      </c>
      <c r="F1501" t="s">
        <v>5139</v>
      </c>
    </row>
    <row r="1502" spans="1:12">
      <c r="A1502" t="s">
        <v>4865</v>
      </c>
      <c r="B1502" t="s">
        <v>4866</v>
      </c>
      <c r="C1502" t="s">
        <v>5140</v>
      </c>
      <c r="D1502" t="s">
        <v>4868</v>
      </c>
      <c r="E1502" t="s">
        <v>5141</v>
      </c>
      <c r="F1502" t="s">
        <v>5142</v>
      </c>
    </row>
    <row r="1503" spans="1:12">
      <c r="A1503" t="s">
        <v>4865</v>
      </c>
      <c r="B1503" t="s">
        <v>4866</v>
      </c>
      <c r="C1503" t="s">
        <v>5143</v>
      </c>
      <c r="D1503" t="s">
        <v>4868</v>
      </c>
      <c r="E1503" t="s">
        <v>5144</v>
      </c>
      <c r="F1503" t="s">
        <v>5145</v>
      </c>
      <c r="J1503" t="s">
        <v>5144</v>
      </c>
      <c r="K1503" t="s">
        <v>4966</v>
      </c>
      <c r="L1503" t="s">
        <v>4967</v>
      </c>
    </row>
    <row r="1504" spans="1:12">
      <c r="A1504" t="s">
        <v>4865</v>
      </c>
      <c r="B1504" t="s">
        <v>4866</v>
      </c>
      <c r="C1504" t="s">
        <v>5146</v>
      </c>
      <c r="D1504" t="s">
        <v>4868</v>
      </c>
      <c r="E1504" t="s">
        <v>5147</v>
      </c>
      <c r="F1504" t="s">
        <v>5148</v>
      </c>
    </row>
    <row r="1505" spans="1:6">
      <c r="A1505" t="s">
        <v>4865</v>
      </c>
      <c r="B1505" t="s">
        <v>4866</v>
      </c>
      <c r="C1505" t="s">
        <v>5149</v>
      </c>
      <c r="D1505" t="s">
        <v>4868</v>
      </c>
      <c r="E1505" t="s">
        <v>5150</v>
      </c>
      <c r="F1505" t="s">
        <v>5151</v>
      </c>
    </row>
    <row r="1506" spans="1:6">
      <c r="A1506" t="s">
        <v>4865</v>
      </c>
      <c r="B1506" t="s">
        <v>4866</v>
      </c>
      <c r="C1506" t="s">
        <v>5152</v>
      </c>
      <c r="D1506" t="s">
        <v>4868</v>
      </c>
      <c r="E1506" t="s">
        <v>5153</v>
      </c>
      <c r="F1506" t="s">
        <v>5154</v>
      </c>
    </row>
    <row r="1507" spans="1:6">
      <c r="A1507" t="s">
        <v>4865</v>
      </c>
      <c r="B1507" t="s">
        <v>4866</v>
      </c>
      <c r="C1507" t="s">
        <v>5155</v>
      </c>
      <c r="D1507" t="s">
        <v>4868</v>
      </c>
      <c r="E1507" t="s">
        <v>5156</v>
      </c>
      <c r="F1507" t="s">
        <v>5157</v>
      </c>
    </row>
    <row r="1508" spans="1:6">
      <c r="A1508" t="s">
        <v>4865</v>
      </c>
      <c r="B1508" t="s">
        <v>4866</v>
      </c>
      <c r="C1508" t="s">
        <v>5158</v>
      </c>
      <c r="D1508" t="s">
        <v>4868</v>
      </c>
      <c r="E1508" t="s">
        <v>5159</v>
      </c>
      <c r="F1508" t="s">
        <v>5160</v>
      </c>
    </row>
    <row r="1509" spans="1:6">
      <c r="A1509" t="s">
        <v>4865</v>
      </c>
      <c r="B1509" t="s">
        <v>4866</v>
      </c>
      <c r="C1509" t="s">
        <v>5161</v>
      </c>
      <c r="D1509" t="s">
        <v>4868</v>
      </c>
      <c r="E1509" t="s">
        <v>5162</v>
      </c>
      <c r="F1509" t="s">
        <v>5163</v>
      </c>
    </row>
    <row r="1510" spans="1:6">
      <c r="A1510" t="s">
        <v>4865</v>
      </c>
      <c r="B1510" t="s">
        <v>4866</v>
      </c>
      <c r="C1510" t="s">
        <v>5164</v>
      </c>
      <c r="D1510" t="s">
        <v>4868</v>
      </c>
      <c r="E1510" t="s">
        <v>5165</v>
      </c>
      <c r="F1510" t="s">
        <v>5166</v>
      </c>
    </row>
    <row r="1511" spans="1:6">
      <c r="A1511" t="s">
        <v>4865</v>
      </c>
      <c r="B1511" t="s">
        <v>4866</v>
      </c>
      <c r="C1511" t="s">
        <v>5167</v>
      </c>
      <c r="D1511" t="s">
        <v>4868</v>
      </c>
      <c r="E1511" t="s">
        <v>5168</v>
      </c>
      <c r="F1511" t="s">
        <v>5169</v>
      </c>
    </row>
    <row r="1512" spans="1:6">
      <c r="A1512" t="s">
        <v>4865</v>
      </c>
      <c r="B1512" t="s">
        <v>4866</v>
      </c>
      <c r="C1512" t="s">
        <v>5170</v>
      </c>
      <c r="D1512" t="s">
        <v>4868</v>
      </c>
      <c r="E1512" t="s">
        <v>4767</v>
      </c>
      <c r="F1512" t="s">
        <v>5171</v>
      </c>
    </row>
    <row r="1513" spans="1:6">
      <c r="A1513" t="s">
        <v>4865</v>
      </c>
      <c r="B1513" t="s">
        <v>4866</v>
      </c>
      <c r="C1513" t="s">
        <v>5172</v>
      </c>
      <c r="D1513" t="s">
        <v>4868</v>
      </c>
      <c r="E1513" t="s">
        <v>4229</v>
      </c>
      <c r="F1513" t="s">
        <v>5173</v>
      </c>
    </row>
    <row r="1514" spans="1:6">
      <c r="A1514" t="s">
        <v>4865</v>
      </c>
      <c r="B1514" t="s">
        <v>4866</v>
      </c>
      <c r="C1514" t="s">
        <v>5174</v>
      </c>
      <c r="D1514" t="s">
        <v>4868</v>
      </c>
      <c r="E1514" t="s">
        <v>5175</v>
      </c>
      <c r="F1514" t="s">
        <v>5176</v>
      </c>
    </row>
    <row r="1515" spans="1:6">
      <c r="A1515" t="s">
        <v>4865</v>
      </c>
      <c r="B1515" t="s">
        <v>4866</v>
      </c>
      <c r="C1515" t="s">
        <v>5177</v>
      </c>
      <c r="D1515" t="s">
        <v>4868</v>
      </c>
      <c r="E1515" t="s">
        <v>5178</v>
      </c>
      <c r="F1515" t="s">
        <v>5179</v>
      </c>
    </row>
    <row r="1516" spans="1:6">
      <c r="A1516" t="s">
        <v>4865</v>
      </c>
      <c r="B1516" t="s">
        <v>4866</v>
      </c>
      <c r="C1516" t="s">
        <v>5180</v>
      </c>
      <c r="D1516" t="s">
        <v>4868</v>
      </c>
      <c r="E1516" t="s">
        <v>5181</v>
      </c>
      <c r="F1516" t="s">
        <v>5182</v>
      </c>
    </row>
    <row r="1517" spans="1:6">
      <c r="A1517" t="s">
        <v>4865</v>
      </c>
      <c r="B1517" t="s">
        <v>4866</v>
      </c>
      <c r="C1517" t="s">
        <v>5183</v>
      </c>
      <c r="D1517" t="s">
        <v>4868</v>
      </c>
      <c r="E1517" t="s">
        <v>3506</v>
      </c>
      <c r="F1517" t="s">
        <v>5184</v>
      </c>
    </row>
    <row r="1518" spans="1:6">
      <c r="A1518" t="s">
        <v>4865</v>
      </c>
      <c r="B1518" t="s">
        <v>4866</v>
      </c>
      <c r="C1518" t="s">
        <v>5185</v>
      </c>
      <c r="D1518" t="s">
        <v>4868</v>
      </c>
      <c r="E1518" t="s">
        <v>2739</v>
      </c>
      <c r="F1518" t="s">
        <v>5186</v>
      </c>
    </row>
    <row r="1519" spans="1:6">
      <c r="A1519" t="s">
        <v>4865</v>
      </c>
      <c r="B1519" t="s">
        <v>4866</v>
      </c>
      <c r="C1519" t="s">
        <v>5187</v>
      </c>
      <c r="D1519" t="s">
        <v>4868</v>
      </c>
      <c r="E1519" t="s">
        <v>5188</v>
      </c>
      <c r="F1519" t="s">
        <v>5189</v>
      </c>
    </row>
    <row r="1520" spans="1:6">
      <c r="A1520" t="s">
        <v>4865</v>
      </c>
      <c r="B1520" t="s">
        <v>4866</v>
      </c>
      <c r="C1520" t="s">
        <v>5190</v>
      </c>
      <c r="D1520" t="s">
        <v>4868</v>
      </c>
      <c r="E1520" t="s">
        <v>5191</v>
      </c>
      <c r="F1520" t="s">
        <v>5192</v>
      </c>
    </row>
    <row r="1521" spans="1:12">
      <c r="A1521" t="s">
        <v>4865</v>
      </c>
      <c r="B1521" t="s">
        <v>4866</v>
      </c>
      <c r="C1521" t="s">
        <v>5193</v>
      </c>
      <c r="D1521" t="s">
        <v>4868</v>
      </c>
      <c r="E1521" t="s">
        <v>5194</v>
      </c>
      <c r="F1521" t="s">
        <v>5195</v>
      </c>
    </row>
    <row r="1522" spans="1:12">
      <c r="A1522" t="s">
        <v>4865</v>
      </c>
      <c r="B1522" t="s">
        <v>4866</v>
      </c>
      <c r="C1522" t="s">
        <v>5196</v>
      </c>
      <c r="D1522" t="s">
        <v>4868</v>
      </c>
      <c r="E1522" t="s">
        <v>5197</v>
      </c>
      <c r="F1522" t="s">
        <v>5198</v>
      </c>
      <c r="J1522" t="s">
        <v>5197</v>
      </c>
      <c r="K1522" t="s">
        <v>4966</v>
      </c>
      <c r="L1522" t="s">
        <v>4967</v>
      </c>
    </row>
    <row r="1523" spans="1:12">
      <c r="A1523" t="s">
        <v>4865</v>
      </c>
      <c r="B1523" t="s">
        <v>4866</v>
      </c>
      <c r="C1523" t="s">
        <v>5199</v>
      </c>
      <c r="D1523" t="s">
        <v>4868</v>
      </c>
      <c r="E1523" t="s">
        <v>4262</v>
      </c>
      <c r="F1523" t="s">
        <v>5200</v>
      </c>
    </row>
    <row r="1524" spans="1:12">
      <c r="A1524" t="s">
        <v>4865</v>
      </c>
      <c r="B1524" t="s">
        <v>4866</v>
      </c>
      <c r="C1524" t="s">
        <v>5201</v>
      </c>
      <c r="D1524" t="s">
        <v>4868</v>
      </c>
      <c r="E1524" t="s">
        <v>5202</v>
      </c>
      <c r="F1524" t="s">
        <v>5203</v>
      </c>
    </row>
    <row r="1525" spans="1:12">
      <c r="A1525" t="s">
        <v>4865</v>
      </c>
      <c r="B1525" t="s">
        <v>4866</v>
      </c>
      <c r="C1525" t="s">
        <v>5204</v>
      </c>
      <c r="D1525" t="s">
        <v>4868</v>
      </c>
      <c r="E1525" t="s">
        <v>5205</v>
      </c>
      <c r="F1525" t="s">
        <v>5206</v>
      </c>
    </row>
    <row r="1526" spans="1:12">
      <c r="A1526" t="s">
        <v>4865</v>
      </c>
      <c r="B1526" t="s">
        <v>4866</v>
      </c>
      <c r="C1526" t="s">
        <v>5207</v>
      </c>
      <c r="D1526" t="s">
        <v>4868</v>
      </c>
      <c r="E1526" t="s">
        <v>5208</v>
      </c>
      <c r="F1526" t="s">
        <v>5209</v>
      </c>
    </row>
    <row r="1527" spans="1:12">
      <c r="A1527" t="s">
        <v>4865</v>
      </c>
      <c r="B1527" t="s">
        <v>4866</v>
      </c>
      <c r="C1527" t="s">
        <v>5210</v>
      </c>
      <c r="D1527" t="s">
        <v>4868</v>
      </c>
      <c r="E1527" t="s">
        <v>5211</v>
      </c>
      <c r="F1527" t="s">
        <v>5212</v>
      </c>
    </row>
    <row r="1528" spans="1:12">
      <c r="A1528" t="s">
        <v>4865</v>
      </c>
      <c r="B1528" t="s">
        <v>4866</v>
      </c>
      <c r="C1528" t="s">
        <v>5213</v>
      </c>
      <c r="D1528" t="s">
        <v>4868</v>
      </c>
      <c r="E1528" t="s">
        <v>5214</v>
      </c>
      <c r="F1528" t="s">
        <v>5215</v>
      </c>
    </row>
    <row r="1529" spans="1:12">
      <c r="A1529" t="s">
        <v>4865</v>
      </c>
      <c r="B1529" t="s">
        <v>4866</v>
      </c>
      <c r="C1529" t="s">
        <v>5216</v>
      </c>
      <c r="D1529" t="s">
        <v>4868</v>
      </c>
      <c r="E1529" t="s">
        <v>5217</v>
      </c>
      <c r="F1529" t="s">
        <v>5218</v>
      </c>
    </row>
    <row r="1530" spans="1:12">
      <c r="A1530" t="s">
        <v>4865</v>
      </c>
      <c r="B1530" t="s">
        <v>4866</v>
      </c>
      <c r="C1530" t="s">
        <v>5219</v>
      </c>
      <c r="D1530" t="s">
        <v>4868</v>
      </c>
      <c r="E1530" t="s">
        <v>5220</v>
      </c>
      <c r="F1530" t="s">
        <v>5221</v>
      </c>
    </row>
    <row r="1531" spans="1:12">
      <c r="A1531" t="s">
        <v>4865</v>
      </c>
      <c r="B1531" t="s">
        <v>4866</v>
      </c>
      <c r="C1531" t="s">
        <v>5222</v>
      </c>
      <c r="D1531" t="s">
        <v>4868</v>
      </c>
      <c r="E1531" t="s">
        <v>5223</v>
      </c>
      <c r="F1531" t="s">
        <v>5224</v>
      </c>
    </row>
    <row r="1532" spans="1:12">
      <c r="A1532" t="s">
        <v>4865</v>
      </c>
      <c r="B1532" t="s">
        <v>4866</v>
      </c>
      <c r="C1532" t="s">
        <v>5225</v>
      </c>
      <c r="D1532" t="s">
        <v>4868</v>
      </c>
      <c r="E1532" t="s">
        <v>5226</v>
      </c>
      <c r="F1532" t="s">
        <v>5227</v>
      </c>
    </row>
    <row r="1533" spans="1:12">
      <c r="A1533" t="s">
        <v>4865</v>
      </c>
      <c r="B1533" t="s">
        <v>4866</v>
      </c>
      <c r="C1533" t="s">
        <v>5228</v>
      </c>
      <c r="D1533" t="s">
        <v>4868</v>
      </c>
      <c r="E1533" t="s">
        <v>2792</v>
      </c>
      <c r="F1533" t="s">
        <v>5229</v>
      </c>
    </row>
    <row r="1534" spans="1:12">
      <c r="A1534" t="s">
        <v>4865</v>
      </c>
      <c r="B1534" t="s">
        <v>4866</v>
      </c>
      <c r="C1534" t="s">
        <v>5230</v>
      </c>
      <c r="D1534" t="s">
        <v>4868</v>
      </c>
      <c r="E1534" t="s">
        <v>5231</v>
      </c>
      <c r="F1534" t="s">
        <v>5232</v>
      </c>
    </row>
    <row r="1535" spans="1:12">
      <c r="A1535" t="s">
        <v>4865</v>
      </c>
      <c r="B1535" t="s">
        <v>4866</v>
      </c>
      <c r="C1535" t="s">
        <v>5233</v>
      </c>
      <c r="D1535" t="s">
        <v>4868</v>
      </c>
      <c r="E1535" t="s">
        <v>5234</v>
      </c>
      <c r="F1535" t="s">
        <v>5235</v>
      </c>
    </row>
    <row r="1536" spans="1:12">
      <c r="A1536" t="s">
        <v>4865</v>
      </c>
      <c r="B1536" t="s">
        <v>4866</v>
      </c>
      <c r="C1536" t="s">
        <v>5236</v>
      </c>
      <c r="D1536" t="s">
        <v>4868</v>
      </c>
      <c r="E1536" t="s">
        <v>5237</v>
      </c>
      <c r="F1536" t="s">
        <v>5238</v>
      </c>
    </row>
    <row r="1537" spans="1:6">
      <c r="A1537" t="s">
        <v>4865</v>
      </c>
      <c r="B1537" t="s">
        <v>4866</v>
      </c>
      <c r="C1537" t="s">
        <v>5239</v>
      </c>
      <c r="D1537" t="s">
        <v>4868</v>
      </c>
      <c r="E1537" t="s">
        <v>5240</v>
      </c>
      <c r="F1537" t="s">
        <v>5241</v>
      </c>
    </row>
    <row r="1538" spans="1:6">
      <c r="A1538" t="s">
        <v>4865</v>
      </c>
      <c r="B1538" t="s">
        <v>4866</v>
      </c>
      <c r="C1538" t="s">
        <v>5242</v>
      </c>
      <c r="D1538" t="s">
        <v>4868</v>
      </c>
      <c r="E1538" t="s">
        <v>5243</v>
      </c>
      <c r="F1538" t="s">
        <v>5244</v>
      </c>
    </row>
    <row r="1539" spans="1:6">
      <c r="A1539" t="s">
        <v>4865</v>
      </c>
      <c r="B1539" t="s">
        <v>4866</v>
      </c>
      <c r="C1539" t="s">
        <v>5245</v>
      </c>
      <c r="D1539" t="s">
        <v>4868</v>
      </c>
      <c r="E1539" t="s">
        <v>5246</v>
      </c>
      <c r="F1539" t="s">
        <v>5247</v>
      </c>
    </row>
    <row r="1540" spans="1:6">
      <c r="A1540" t="s">
        <v>4865</v>
      </c>
      <c r="B1540" t="s">
        <v>4866</v>
      </c>
      <c r="C1540" t="s">
        <v>5248</v>
      </c>
      <c r="D1540" t="s">
        <v>4868</v>
      </c>
      <c r="E1540" t="s">
        <v>5249</v>
      </c>
      <c r="F1540" t="s">
        <v>5250</v>
      </c>
    </row>
    <row r="1541" spans="1:6">
      <c r="A1541" t="s">
        <v>4865</v>
      </c>
      <c r="B1541" t="s">
        <v>4866</v>
      </c>
      <c r="C1541" t="s">
        <v>5251</v>
      </c>
      <c r="D1541" t="s">
        <v>4868</v>
      </c>
      <c r="E1541" t="s">
        <v>5252</v>
      </c>
      <c r="F1541" t="s">
        <v>5253</v>
      </c>
    </row>
    <row r="1542" spans="1:6">
      <c r="A1542" t="s">
        <v>4865</v>
      </c>
      <c r="B1542" t="s">
        <v>4866</v>
      </c>
      <c r="C1542" t="s">
        <v>5254</v>
      </c>
      <c r="D1542" t="s">
        <v>4868</v>
      </c>
      <c r="E1542" t="s">
        <v>5255</v>
      </c>
      <c r="F1542" t="s">
        <v>5256</v>
      </c>
    </row>
    <row r="1543" spans="1:6">
      <c r="A1543" t="s">
        <v>4865</v>
      </c>
      <c r="B1543" t="s">
        <v>4866</v>
      </c>
      <c r="C1543" t="s">
        <v>5257</v>
      </c>
      <c r="D1543" t="s">
        <v>4868</v>
      </c>
      <c r="E1543" t="s">
        <v>5258</v>
      </c>
      <c r="F1543" t="s">
        <v>5259</v>
      </c>
    </row>
    <row r="1544" spans="1:6">
      <c r="A1544" t="s">
        <v>4865</v>
      </c>
      <c r="B1544" t="s">
        <v>4866</v>
      </c>
      <c r="C1544" t="s">
        <v>5260</v>
      </c>
      <c r="D1544" t="s">
        <v>4868</v>
      </c>
      <c r="E1544" t="s">
        <v>2885</v>
      </c>
      <c r="F1544" t="s">
        <v>5261</v>
      </c>
    </row>
    <row r="1545" spans="1:6">
      <c r="A1545" t="s">
        <v>4865</v>
      </c>
      <c r="B1545" t="s">
        <v>4866</v>
      </c>
      <c r="C1545" t="s">
        <v>5262</v>
      </c>
      <c r="D1545" t="s">
        <v>4868</v>
      </c>
      <c r="E1545" t="s">
        <v>5263</v>
      </c>
      <c r="F1545" t="s">
        <v>5264</v>
      </c>
    </row>
    <row r="1546" spans="1:6">
      <c r="A1546" t="s">
        <v>4865</v>
      </c>
      <c r="B1546" t="s">
        <v>4866</v>
      </c>
      <c r="C1546" t="s">
        <v>5265</v>
      </c>
      <c r="D1546" t="s">
        <v>4868</v>
      </c>
      <c r="E1546" t="s">
        <v>4519</v>
      </c>
      <c r="F1546" t="s">
        <v>5266</v>
      </c>
    </row>
    <row r="1547" spans="1:6">
      <c r="A1547" t="s">
        <v>4865</v>
      </c>
      <c r="B1547" t="s">
        <v>4866</v>
      </c>
      <c r="C1547" t="s">
        <v>5267</v>
      </c>
      <c r="D1547" t="s">
        <v>4868</v>
      </c>
      <c r="E1547" t="s">
        <v>5268</v>
      </c>
      <c r="F1547" t="s">
        <v>5269</v>
      </c>
    </row>
    <row r="1548" spans="1:6">
      <c r="A1548" t="s">
        <v>4865</v>
      </c>
      <c r="B1548" t="s">
        <v>4866</v>
      </c>
      <c r="C1548" t="s">
        <v>5270</v>
      </c>
      <c r="D1548" t="s">
        <v>4868</v>
      </c>
      <c r="E1548" t="s">
        <v>5271</v>
      </c>
      <c r="F1548" t="s">
        <v>5272</v>
      </c>
    </row>
    <row r="1549" spans="1:6">
      <c r="A1549" t="s">
        <v>4865</v>
      </c>
      <c r="B1549" t="s">
        <v>4866</v>
      </c>
      <c r="C1549" t="s">
        <v>5273</v>
      </c>
      <c r="D1549" t="s">
        <v>4868</v>
      </c>
      <c r="E1549" t="s">
        <v>3723</v>
      </c>
      <c r="F1549" t="s">
        <v>5274</v>
      </c>
    </row>
    <row r="1550" spans="1:6">
      <c r="A1550" t="s">
        <v>4865</v>
      </c>
      <c r="B1550" t="s">
        <v>4866</v>
      </c>
      <c r="C1550" t="s">
        <v>5275</v>
      </c>
      <c r="D1550" t="s">
        <v>4868</v>
      </c>
      <c r="E1550" t="s">
        <v>5276</v>
      </c>
      <c r="F1550" t="s">
        <v>5277</v>
      </c>
    </row>
    <row r="1551" spans="1:6">
      <c r="A1551" t="s">
        <v>4865</v>
      </c>
      <c r="B1551" t="s">
        <v>4866</v>
      </c>
      <c r="C1551" t="s">
        <v>5278</v>
      </c>
      <c r="D1551" t="s">
        <v>4868</v>
      </c>
      <c r="E1551" t="s">
        <v>5279</v>
      </c>
      <c r="F1551" t="s">
        <v>5280</v>
      </c>
    </row>
    <row r="1552" spans="1:6">
      <c r="A1552" t="s">
        <v>4865</v>
      </c>
      <c r="B1552" t="s">
        <v>4866</v>
      </c>
      <c r="C1552" t="s">
        <v>5281</v>
      </c>
      <c r="D1552" t="s">
        <v>4868</v>
      </c>
      <c r="E1552" t="s">
        <v>5282</v>
      </c>
      <c r="F1552" t="s">
        <v>5283</v>
      </c>
    </row>
    <row r="1553" spans="1:12">
      <c r="A1553" t="s">
        <v>4865</v>
      </c>
      <c r="B1553" t="s">
        <v>4866</v>
      </c>
      <c r="C1553" t="s">
        <v>5284</v>
      </c>
      <c r="D1553" t="s">
        <v>4868</v>
      </c>
      <c r="E1553" t="s">
        <v>5285</v>
      </c>
      <c r="F1553" t="s">
        <v>5286</v>
      </c>
    </row>
    <row r="1554" spans="1:12">
      <c r="A1554" t="s">
        <v>4865</v>
      </c>
      <c r="B1554" t="s">
        <v>4866</v>
      </c>
      <c r="C1554" t="s">
        <v>5287</v>
      </c>
      <c r="D1554" t="s">
        <v>4868</v>
      </c>
      <c r="E1554" t="s">
        <v>5288</v>
      </c>
      <c r="F1554" t="s">
        <v>5289</v>
      </c>
    </row>
    <row r="1555" spans="1:12">
      <c r="A1555" t="s">
        <v>4865</v>
      </c>
      <c r="B1555" t="s">
        <v>4866</v>
      </c>
      <c r="C1555" t="s">
        <v>5290</v>
      </c>
      <c r="D1555" t="s">
        <v>4868</v>
      </c>
      <c r="E1555" t="s">
        <v>5291</v>
      </c>
      <c r="F1555" t="s">
        <v>5292</v>
      </c>
      <c r="J1555" t="s">
        <v>3199</v>
      </c>
      <c r="K1555" t="s">
        <v>4966</v>
      </c>
      <c r="L1555" t="s">
        <v>4967</v>
      </c>
    </row>
    <row r="1556" spans="1:12">
      <c r="A1556" t="s">
        <v>4865</v>
      </c>
      <c r="B1556" t="s">
        <v>4866</v>
      </c>
      <c r="C1556" t="s">
        <v>5293</v>
      </c>
      <c r="D1556" t="s">
        <v>4868</v>
      </c>
      <c r="E1556" t="s">
        <v>5294</v>
      </c>
      <c r="F1556" t="s">
        <v>5295</v>
      </c>
    </row>
    <row r="1557" spans="1:12">
      <c r="A1557" t="s">
        <v>4865</v>
      </c>
      <c r="B1557" t="s">
        <v>4866</v>
      </c>
      <c r="C1557" t="s">
        <v>5296</v>
      </c>
      <c r="D1557" t="s">
        <v>4868</v>
      </c>
      <c r="E1557" t="s">
        <v>5297</v>
      </c>
      <c r="F1557" t="s">
        <v>5298</v>
      </c>
    </row>
    <row r="1558" spans="1:12">
      <c r="A1558" t="s">
        <v>4865</v>
      </c>
      <c r="B1558" t="s">
        <v>4866</v>
      </c>
      <c r="C1558" t="s">
        <v>5299</v>
      </c>
      <c r="D1558" t="s">
        <v>4868</v>
      </c>
      <c r="E1558" t="s">
        <v>5300</v>
      </c>
      <c r="F1558" t="s">
        <v>5301</v>
      </c>
      <c r="J1558" t="s">
        <v>5300</v>
      </c>
      <c r="K1558" t="s">
        <v>4966</v>
      </c>
      <c r="L1558" t="s">
        <v>4967</v>
      </c>
    </row>
    <row r="1559" spans="1:12">
      <c r="A1559" t="s">
        <v>4865</v>
      </c>
      <c r="B1559" t="s">
        <v>4866</v>
      </c>
      <c r="C1559" t="s">
        <v>5302</v>
      </c>
      <c r="D1559" t="s">
        <v>4868</v>
      </c>
      <c r="E1559" t="s">
        <v>2957</v>
      </c>
      <c r="F1559" t="s">
        <v>2958</v>
      </c>
    </row>
    <row r="1560" spans="1:12">
      <c r="A1560" t="s">
        <v>4865</v>
      </c>
      <c r="B1560" t="s">
        <v>4866</v>
      </c>
      <c r="C1560" t="s">
        <v>5303</v>
      </c>
      <c r="D1560" t="s">
        <v>4868</v>
      </c>
      <c r="E1560" t="s">
        <v>3652</v>
      </c>
      <c r="F1560" t="s">
        <v>5304</v>
      </c>
    </row>
    <row r="1561" spans="1:12">
      <c r="A1561" t="s">
        <v>4865</v>
      </c>
      <c r="B1561" t="s">
        <v>4866</v>
      </c>
      <c r="C1561" t="s">
        <v>5305</v>
      </c>
      <c r="D1561" t="s">
        <v>4868</v>
      </c>
      <c r="E1561" t="s">
        <v>5306</v>
      </c>
      <c r="F1561" t="s">
        <v>5307</v>
      </c>
    </row>
    <row r="1562" spans="1:12">
      <c r="A1562" t="s">
        <v>4865</v>
      </c>
      <c r="B1562" t="s">
        <v>4866</v>
      </c>
      <c r="C1562" t="s">
        <v>5308</v>
      </c>
      <c r="D1562" t="s">
        <v>4868</v>
      </c>
      <c r="E1562" t="s">
        <v>2993</v>
      </c>
      <c r="F1562" t="s">
        <v>5309</v>
      </c>
    </row>
    <row r="1563" spans="1:12">
      <c r="A1563" t="s">
        <v>4865</v>
      </c>
      <c r="B1563" t="s">
        <v>4866</v>
      </c>
      <c r="C1563" t="s">
        <v>5310</v>
      </c>
      <c r="D1563" t="s">
        <v>4868</v>
      </c>
      <c r="E1563" t="s">
        <v>5311</v>
      </c>
      <c r="F1563" t="s">
        <v>5312</v>
      </c>
    </row>
    <row r="1564" spans="1:12">
      <c r="A1564" t="s">
        <v>4865</v>
      </c>
      <c r="B1564" t="s">
        <v>4866</v>
      </c>
      <c r="C1564" t="s">
        <v>5313</v>
      </c>
      <c r="D1564" t="s">
        <v>4868</v>
      </c>
      <c r="E1564" t="s">
        <v>5314</v>
      </c>
      <c r="F1564" t="s">
        <v>5315</v>
      </c>
      <c r="J1564" t="s">
        <v>5314</v>
      </c>
      <c r="K1564" t="s">
        <v>4966</v>
      </c>
      <c r="L1564" t="s">
        <v>4967</v>
      </c>
    </row>
    <row r="1565" spans="1:12">
      <c r="A1565" t="s">
        <v>4865</v>
      </c>
      <c r="B1565" t="s">
        <v>4866</v>
      </c>
      <c r="C1565" t="s">
        <v>5316</v>
      </c>
      <c r="D1565" t="s">
        <v>4868</v>
      </c>
      <c r="E1565" t="s">
        <v>5317</v>
      </c>
      <c r="F1565" t="s">
        <v>5318</v>
      </c>
      <c r="J1565" t="s">
        <v>5317</v>
      </c>
      <c r="K1565" t="s">
        <v>4966</v>
      </c>
      <c r="L1565" t="s">
        <v>4967</v>
      </c>
    </row>
    <row r="1566" spans="1:12">
      <c r="A1566" t="s">
        <v>4865</v>
      </c>
      <c r="B1566" t="s">
        <v>4866</v>
      </c>
      <c r="C1566" t="s">
        <v>5319</v>
      </c>
      <c r="D1566" t="s">
        <v>4868</v>
      </c>
      <c r="E1566" t="s">
        <v>5320</v>
      </c>
      <c r="F1566" t="s">
        <v>5321</v>
      </c>
    </row>
    <row r="1567" spans="1:12">
      <c r="A1567" t="s">
        <v>4865</v>
      </c>
      <c r="B1567" t="s">
        <v>4866</v>
      </c>
      <c r="C1567" t="s">
        <v>5322</v>
      </c>
      <c r="D1567" t="s">
        <v>4868</v>
      </c>
      <c r="E1567" t="s">
        <v>5323</v>
      </c>
      <c r="F1567" t="s">
        <v>5324</v>
      </c>
    </row>
    <row r="1568" spans="1:12">
      <c r="A1568" t="s">
        <v>4865</v>
      </c>
      <c r="B1568" t="s">
        <v>4866</v>
      </c>
      <c r="C1568" t="s">
        <v>5325</v>
      </c>
      <c r="D1568" t="s">
        <v>4868</v>
      </c>
      <c r="E1568" t="s">
        <v>5326</v>
      </c>
      <c r="F1568" t="s">
        <v>5327</v>
      </c>
    </row>
    <row r="1569" spans="1:12">
      <c r="A1569" t="s">
        <v>4865</v>
      </c>
      <c r="B1569" t="s">
        <v>4866</v>
      </c>
      <c r="C1569" t="s">
        <v>5328</v>
      </c>
      <c r="D1569" t="s">
        <v>4868</v>
      </c>
      <c r="E1569" t="s">
        <v>5329</v>
      </c>
      <c r="F1569" t="s">
        <v>5330</v>
      </c>
    </row>
    <row r="1570" spans="1:12">
      <c r="A1570" t="s">
        <v>4865</v>
      </c>
      <c r="B1570" t="s">
        <v>4866</v>
      </c>
      <c r="C1570" t="s">
        <v>5331</v>
      </c>
      <c r="D1570" t="s">
        <v>4868</v>
      </c>
      <c r="E1570" t="s">
        <v>5332</v>
      </c>
      <c r="F1570" t="s">
        <v>5333</v>
      </c>
    </row>
    <row r="1571" spans="1:12">
      <c r="A1571" t="s">
        <v>4865</v>
      </c>
      <c r="B1571" t="s">
        <v>4866</v>
      </c>
      <c r="C1571" t="s">
        <v>5334</v>
      </c>
      <c r="D1571" t="s">
        <v>4868</v>
      </c>
      <c r="E1571" t="s">
        <v>5335</v>
      </c>
      <c r="F1571" t="s">
        <v>5336</v>
      </c>
    </row>
    <row r="1572" spans="1:12">
      <c r="A1572" t="s">
        <v>4865</v>
      </c>
      <c r="B1572" t="s">
        <v>4866</v>
      </c>
      <c r="C1572" t="s">
        <v>5337</v>
      </c>
      <c r="D1572" t="s">
        <v>4868</v>
      </c>
      <c r="E1572" t="s">
        <v>5338</v>
      </c>
      <c r="F1572" t="s">
        <v>5339</v>
      </c>
    </row>
    <row r="1573" spans="1:12">
      <c r="A1573" t="s">
        <v>4865</v>
      </c>
      <c r="B1573" t="s">
        <v>4866</v>
      </c>
      <c r="C1573" t="s">
        <v>5340</v>
      </c>
      <c r="D1573" t="s">
        <v>4868</v>
      </c>
      <c r="E1573" t="s">
        <v>5341</v>
      </c>
      <c r="F1573" t="s">
        <v>5342</v>
      </c>
    </row>
    <row r="1574" spans="1:12">
      <c r="A1574" t="s">
        <v>4865</v>
      </c>
      <c r="B1574" t="s">
        <v>4866</v>
      </c>
      <c r="C1574" t="s">
        <v>5343</v>
      </c>
      <c r="D1574" t="s">
        <v>4868</v>
      </c>
      <c r="E1574" t="s">
        <v>5344</v>
      </c>
      <c r="F1574" t="s">
        <v>5345</v>
      </c>
    </row>
    <row r="1575" spans="1:12">
      <c r="A1575" t="s">
        <v>4865</v>
      </c>
      <c r="B1575" t="s">
        <v>4866</v>
      </c>
      <c r="C1575" t="s">
        <v>5346</v>
      </c>
      <c r="D1575" t="s">
        <v>4868</v>
      </c>
      <c r="E1575" t="s">
        <v>5347</v>
      </c>
      <c r="F1575" t="s">
        <v>5348</v>
      </c>
    </row>
    <row r="1576" spans="1:12">
      <c r="A1576" t="s">
        <v>4865</v>
      </c>
      <c r="B1576" t="s">
        <v>4866</v>
      </c>
      <c r="C1576" t="s">
        <v>5349</v>
      </c>
      <c r="D1576" t="s">
        <v>4868</v>
      </c>
      <c r="E1576" t="s">
        <v>3136</v>
      </c>
      <c r="F1576" t="s">
        <v>5350</v>
      </c>
    </row>
    <row r="1577" spans="1:12">
      <c r="A1577" t="s">
        <v>4865</v>
      </c>
      <c r="B1577" t="s">
        <v>4866</v>
      </c>
      <c r="C1577" t="s">
        <v>5351</v>
      </c>
      <c r="D1577" t="s">
        <v>4868</v>
      </c>
      <c r="E1577" t="s">
        <v>5352</v>
      </c>
      <c r="F1577" t="s">
        <v>5353</v>
      </c>
      <c r="J1577" t="s">
        <v>5352</v>
      </c>
      <c r="K1577" t="s">
        <v>4966</v>
      </c>
      <c r="L1577" t="s">
        <v>4967</v>
      </c>
    </row>
    <row r="1578" spans="1:12">
      <c r="A1578" t="s">
        <v>4865</v>
      </c>
      <c r="B1578" t="s">
        <v>4866</v>
      </c>
      <c r="C1578" t="s">
        <v>5354</v>
      </c>
      <c r="D1578" t="s">
        <v>4868</v>
      </c>
      <c r="E1578" t="s">
        <v>5355</v>
      </c>
      <c r="F1578" t="s">
        <v>5356</v>
      </c>
    </row>
    <row r="1579" spans="1:12">
      <c r="A1579" t="s">
        <v>4865</v>
      </c>
      <c r="B1579" t="s">
        <v>4866</v>
      </c>
      <c r="C1579" t="s">
        <v>5357</v>
      </c>
      <c r="D1579" t="s">
        <v>4868</v>
      </c>
      <c r="E1579" t="s">
        <v>5358</v>
      </c>
      <c r="F1579" t="s">
        <v>5359</v>
      </c>
    </row>
    <row r="1580" spans="1:12">
      <c r="A1580" t="s">
        <v>4865</v>
      </c>
      <c r="B1580" t="s">
        <v>4866</v>
      </c>
      <c r="C1580" t="s">
        <v>5360</v>
      </c>
      <c r="D1580" t="s">
        <v>4868</v>
      </c>
      <c r="E1580" t="s">
        <v>5361</v>
      </c>
      <c r="F1580" t="s">
        <v>5362</v>
      </c>
      <c r="J1580" t="s">
        <v>5361</v>
      </c>
      <c r="K1580" t="s">
        <v>4966</v>
      </c>
      <c r="L1580" t="s">
        <v>4967</v>
      </c>
    </row>
    <row r="1581" spans="1:12">
      <c r="A1581" t="s">
        <v>4865</v>
      </c>
      <c r="B1581" t="s">
        <v>4866</v>
      </c>
      <c r="C1581" t="s">
        <v>5363</v>
      </c>
      <c r="D1581" t="s">
        <v>4868</v>
      </c>
      <c r="E1581" t="s">
        <v>5364</v>
      </c>
      <c r="F1581" t="s">
        <v>5365</v>
      </c>
      <c r="J1581" t="s">
        <v>5364</v>
      </c>
      <c r="K1581" t="s">
        <v>4966</v>
      </c>
      <c r="L1581" t="s">
        <v>4967</v>
      </c>
    </row>
    <row r="1582" spans="1:12">
      <c r="A1582" t="s">
        <v>4865</v>
      </c>
      <c r="B1582" t="s">
        <v>4866</v>
      </c>
      <c r="C1582" t="s">
        <v>5366</v>
      </c>
      <c r="D1582" t="s">
        <v>4868</v>
      </c>
      <c r="E1582" t="s">
        <v>5367</v>
      </c>
      <c r="F1582" t="s">
        <v>5368</v>
      </c>
    </row>
    <row r="1583" spans="1:12">
      <c r="A1583" t="s">
        <v>4865</v>
      </c>
      <c r="B1583" t="s">
        <v>4866</v>
      </c>
      <c r="C1583" t="s">
        <v>5369</v>
      </c>
      <c r="D1583" t="s">
        <v>4868</v>
      </c>
      <c r="E1583" t="s">
        <v>5370</v>
      </c>
      <c r="F1583" t="s">
        <v>5371</v>
      </c>
    </row>
    <row r="1584" spans="1:12">
      <c r="A1584" t="s">
        <v>4865</v>
      </c>
      <c r="B1584" t="s">
        <v>4866</v>
      </c>
      <c r="C1584" t="s">
        <v>5372</v>
      </c>
      <c r="D1584" t="s">
        <v>4868</v>
      </c>
      <c r="E1584" t="s">
        <v>5373</v>
      </c>
      <c r="F1584" t="s">
        <v>5374</v>
      </c>
      <c r="J1584" t="s">
        <v>5373</v>
      </c>
      <c r="K1584" t="s">
        <v>4966</v>
      </c>
      <c r="L1584" t="s">
        <v>4967</v>
      </c>
    </row>
    <row r="1585" spans="1:12">
      <c r="A1585" t="s">
        <v>4865</v>
      </c>
      <c r="B1585" t="s">
        <v>4866</v>
      </c>
      <c r="C1585" t="s">
        <v>5375</v>
      </c>
      <c r="D1585" t="s">
        <v>4868</v>
      </c>
      <c r="E1585" t="s">
        <v>5376</v>
      </c>
      <c r="F1585" t="s">
        <v>5377</v>
      </c>
      <c r="J1585" t="s">
        <v>5376</v>
      </c>
      <c r="K1585" t="s">
        <v>4966</v>
      </c>
      <c r="L1585" t="s">
        <v>4967</v>
      </c>
    </row>
    <row r="1586" spans="1:12">
      <c r="A1586" t="s">
        <v>4865</v>
      </c>
      <c r="B1586" t="s">
        <v>4866</v>
      </c>
      <c r="C1586" t="s">
        <v>5378</v>
      </c>
      <c r="D1586" t="s">
        <v>4868</v>
      </c>
      <c r="E1586" t="s">
        <v>5379</v>
      </c>
      <c r="F1586" t="s">
        <v>5380</v>
      </c>
      <c r="J1586" t="s">
        <v>5379</v>
      </c>
      <c r="K1586" t="s">
        <v>4966</v>
      </c>
      <c r="L1586" t="s">
        <v>4967</v>
      </c>
    </row>
    <row r="1587" spans="1:12">
      <c r="A1587" t="s">
        <v>4865</v>
      </c>
      <c r="B1587" t="s">
        <v>4866</v>
      </c>
      <c r="C1587" t="s">
        <v>5381</v>
      </c>
      <c r="D1587" t="s">
        <v>4868</v>
      </c>
      <c r="E1587" t="s">
        <v>5382</v>
      </c>
      <c r="F1587" t="s">
        <v>5383</v>
      </c>
      <c r="J1587" t="s">
        <v>5382</v>
      </c>
      <c r="K1587" t="s">
        <v>4966</v>
      </c>
      <c r="L1587" t="s">
        <v>4967</v>
      </c>
    </row>
    <row r="1588" spans="1:12">
      <c r="A1588" t="s">
        <v>4865</v>
      </c>
      <c r="B1588" t="s">
        <v>4866</v>
      </c>
      <c r="C1588" t="s">
        <v>5384</v>
      </c>
      <c r="D1588" t="s">
        <v>4868</v>
      </c>
      <c r="E1588" t="s">
        <v>5385</v>
      </c>
      <c r="F1588" t="s">
        <v>5386</v>
      </c>
      <c r="J1588" t="s">
        <v>5385</v>
      </c>
      <c r="K1588" t="s">
        <v>4966</v>
      </c>
      <c r="L1588" t="s">
        <v>4967</v>
      </c>
    </row>
    <row r="1589" spans="1:12">
      <c r="A1589" t="s">
        <v>4865</v>
      </c>
      <c r="B1589" t="s">
        <v>4866</v>
      </c>
      <c r="C1589" t="s">
        <v>5387</v>
      </c>
      <c r="D1589" t="s">
        <v>4868</v>
      </c>
      <c r="E1589" t="s">
        <v>5388</v>
      </c>
      <c r="F1589" t="s">
        <v>5389</v>
      </c>
      <c r="J1589" t="s">
        <v>5388</v>
      </c>
      <c r="K1589" t="s">
        <v>4966</v>
      </c>
      <c r="L1589" t="s">
        <v>4967</v>
      </c>
    </row>
    <row r="1590" spans="1:12">
      <c r="A1590" t="s">
        <v>4865</v>
      </c>
      <c r="B1590" t="s">
        <v>4866</v>
      </c>
      <c r="C1590" t="s">
        <v>5390</v>
      </c>
      <c r="D1590" t="s">
        <v>4868</v>
      </c>
      <c r="E1590" t="s">
        <v>5391</v>
      </c>
      <c r="F1590" t="s">
        <v>5392</v>
      </c>
    </row>
    <row r="1591" spans="1:12">
      <c r="A1591" t="s">
        <v>4865</v>
      </c>
      <c r="B1591" t="s">
        <v>4866</v>
      </c>
      <c r="C1591" t="s">
        <v>5393</v>
      </c>
      <c r="D1591" t="s">
        <v>4868</v>
      </c>
      <c r="E1591" t="s">
        <v>5394</v>
      </c>
      <c r="F1591" t="s">
        <v>5395</v>
      </c>
      <c r="J1591" t="s">
        <v>5394</v>
      </c>
      <c r="K1591" t="s">
        <v>4966</v>
      </c>
      <c r="L1591" t="s">
        <v>4967</v>
      </c>
    </row>
    <row r="1592" spans="1:12">
      <c r="A1592" t="s">
        <v>4865</v>
      </c>
      <c r="B1592" t="s">
        <v>4866</v>
      </c>
      <c r="C1592" t="s">
        <v>5396</v>
      </c>
      <c r="D1592" t="s">
        <v>4868</v>
      </c>
      <c r="E1592" t="s">
        <v>5397</v>
      </c>
      <c r="F1592" t="s">
        <v>5398</v>
      </c>
      <c r="J1592" t="s">
        <v>5397</v>
      </c>
      <c r="K1592" t="s">
        <v>4966</v>
      </c>
      <c r="L1592" t="s">
        <v>4967</v>
      </c>
    </row>
    <row r="1593" spans="1:12">
      <c r="A1593" t="s">
        <v>4865</v>
      </c>
      <c r="B1593" t="s">
        <v>4866</v>
      </c>
      <c r="C1593" t="s">
        <v>5399</v>
      </c>
      <c r="D1593" t="s">
        <v>4868</v>
      </c>
      <c r="E1593" t="s">
        <v>5400</v>
      </c>
      <c r="F1593" t="s">
        <v>5401</v>
      </c>
      <c r="J1593" t="s">
        <v>5400</v>
      </c>
      <c r="K1593" t="s">
        <v>4966</v>
      </c>
      <c r="L1593" t="s">
        <v>4967</v>
      </c>
    </row>
    <row r="1594" spans="1:12">
      <c r="A1594" t="s">
        <v>4865</v>
      </c>
      <c r="B1594" t="s">
        <v>4866</v>
      </c>
      <c r="C1594" t="s">
        <v>5402</v>
      </c>
      <c r="D1594" t="s">
        <v>4868</v>
      </c>
      <c r="E1594" t="s">
        <v>5403</v>
      </c>
      <c r="F1594" t="s">
        <v>5404</v>
      </c>
      <c r="J1594" t="s">
        <v>5403</v>
      </c>
      <c r="K1594" t="s">
        <v>4966</v>
      </c>
      <c r="L1594" t="s">
        <v>4967</v>
      </c>
    </row>
    <row r="1595" spans="1:12">
      <c r="A1595" t="s">
        <v>4865</v>
      </c>
      <c r="B1595" t="s">
        <v>4866</v>
      </c>
      <c r="C1595" t="s">
        <v>5405</v>
      </c>
      <c r="D1595" t="s">
        <v>4868</v>
      </c>
      <c r="E1595" t="s">
        <v>5406</v>
      </c>
      <c r="F1595" t="s">
        <v>5407</v>
      </c>
      <c r="J1595" t="s">
        <v>5406</v>
      </c>
      <c r="K1595" t="s">
        <v>4966</v>
      </c>
      <c r="L1595" t="s">
        <v>4967</v>
      </c>
    </row>
    <row r="1596" spans="1:12">
      <c r="A1596" t="s">
        <v>4865</v>
      </c>
      <c r="B1596" t="s">
        <v>4866</v>
      </c>
      <c r="C1596" t="s">
        <v>5408</v>
      </c>
      <c r="D1596" t="s">
        <v>4868</v>
      </c>
      <c r="E1596" t="s">
        <v>5409</v>
      </c>
      <c r="F1596" t="s">
        <v>5410</v>
      </c>
      <c r="J1596" t="s">
        <v>5409</v>
      </c>
      <c r="K1596" t="s">
        <v>4966</v>
      </c>
      <c r="L1596" t="s">
        <v>4967</v>
      </c>
    </row>
    <row r="1597" spans="1:12">
      <c r="A1597" t="s">
        <v>4865</v>
      </c>
      <c r="B1597" t="s">
        <v>4866</v>
      </c>
      <c r="C1597" t="s">
        <v>5411</v>
      </c>
      <c r="D1597" t="s">
        <v>4868</v>
      </c>
      <c r="E1597" t="s">
        <v>5412</v>
      </c>
      <c r="F1597" t="s">
        <v>5413</v>
      </c>
      <c r="J1597" t="s">
        <v>5412</v>
      </c>
      <c r="K1597" t="s">
        <v>4966</v>
      </c>
      <c r="L1597" t="s">
        <v>4967</v>
      </c>
    </row>
    <row r="1598" spans="1:12">
      <c r="A1598" t="s">
        <v>4865</v>
      </c>
      <c r="B1598" t="s">
        <v>4866</v>
      </c>
      <c r="C1598" t="s">
        <v>5414</v>
      </c>
      <c r="D1598" t="s">
        <v>4868</v>
      </c>
      <c r="E1598" t="s">
        <v>5415</v>
      </c>
      <c r="F1598" t="s">
        <v>5416</v>
      </c>
      <c r="J1598" t="s">
        <v>5415</v>
      </c>
      <c r="K1598" t="s">
        <v>4966</v>
      </c>
      <c r="L1598" t="s">
        <v>4967</v>
      </c>
    </row>
    <row r="1599" spans="1:12">
      <c r="A1599" t="s">
        <v>4865</v>
      </c>
      <c r="B1599" t="s">
        <v>4866</v>
      </c>
      <c r="C1599" t="s">
        <v>5417</v>
      </c>
      <c r="D1599" t="s">
        <v>4868</v>
      </c>
      <c r="E1599" t="s">
        <v>5418</v>
      </c>
      <c r="F1599" t="s">
        <v>5419</v>
      </c>
    </row>
    <row r="1600" spans="1:12">
      <c r="A1600" t="s">
        <v>4865</v>
      </c>
      <c r="B1600" t="s">
        <v>4866</v>
      </c>
      <c r="C1600" t="s">
        <v>5420</v>
      </c>
      <c r="D1600" t="s">
        <v>4868</v>
      </c>
      <c r="E1600" t="s">
        <v>5421</v>
      </c>
      <c r="F1600" t="s">
        <v>5422</v>
      </c>
      <c r="J1600" t="s">
        <v>5421</v>
      </c>
      <c r="K1600" t="s">
        <v>4966</v>
      </c>
      <c r="L1600" t="s">
        <v>4967</v>
      </c>
    </row>
    <row r="1601" spans="1:12">
      <c r="A1601" t="s">
        <v>4865</v>
      </c>
      <c r="B1601" t="s">
        <v>4866</v>
      </c>
      <c r="C1601" t="s">
        <v>5423</v>
      </c>
      <c r="D1601" t="s">
        <v>4868</v>
      </c>
      <c r="E1601" t="s">
        <v>5424</v>
      </c>
      <c r="F1601" t="s">
        <v>5425</v>
      </c>
      <c r="J1601" t="s">
        <v>5424</v>
      </c>
      <c r="K1601" t="s">
        <v>4966</v>
      </c>
      <c r="L1601" t="s">
        <v>4967</v>
      </c>
    </row>
    <row r="1602" spans="1:12">
      <c r="A1602" t="s">
        <v>4865</v>
      </c>
      <c r="B1602" t="s">
        <v>4866</v>
      </c>
      <c r="C1602" t="s">
        <v>5426</v>
      </c>
      <c r="D1602" t="s">
        <v>4868</v>
      </c>
      <c r="E1602" t="s">
        <v>5427</v>
      </c>
      <c r="F1602" t="s">
        <v>5428</v>
      </c>
      <c r="J1602" t="s">
        <v>5427</v>
      </c>
      <c r="K1602" t="s">
        <v>4966</v>
      </c>
      <c r="L1602" t="s">
        <v>4967</v>
      </c>
    </row>
    <row r="1603" spans="1:12">
      <c r="A1603" t="s">
        <v>4865</v>
      </c>
      <c r="B1603" t="s">
        <v>4866</v>
      </c>
      <c r="C1603" t="s">
        <v>5429</v>
      </c>
      <c r="D1603" t="s">
        <v>4868</v>
      </c>
      <c r="E1603" t="s">
        <v>5430</v>
      </c>
      <c r="F1603" t="s">
        <v>5431</v>
      </c>
      <c r="J1603" t="s">
        <v>5430</v>
      </c>
      <c r="K1603" t="s">
        <v>4966</v>
      </c>
      <c r="L1603" t="s">
        <v>4967</v>
      </c>
    </row>
    <row r="1604" spans="1:12">
      <c r="A1604" t="s">
        <v>4865</v>
      </c>
      <c r="B1604" t="s">
        <v>4866</v>
      </c>
      <c r="C1604" t="s">
        <v>5432</v>
      </c>
      <c r="D1604" t="s">
        <v>4868</v>
      </c>
      <c r="E1604" t="s">
        <v>5433</v>
      </c>
      <c r="F1604" t="s">
        <v>5434</v>
      </c>
    </row>
    <row r="1605" spans="1:12">
      <c r="A1605" t="s">
        <v>4865</v>
      </c>
      <c r="B1605" t="s">
        <v>4866</v>
      </c>
      <c r="C1605" t="s">
        <v>5435</v>
      </c>
      <c r="D1605" t="s">
        <v>4868</v>
      </c>
      <c r="E1605" t="s">
        <v>5436</v>
      </c>
      <c r="F1605" t="s">
        <v>5437</v>
      </c>
    </row>
    <row r="1606" spans="1:12">
      <c r="A1606" t="s">
        <v>4865</v>
      </c>
      <c r="B1606" t="s">
        <v>4866</v>
      </c>
      <c r="C1606" t="s">
        <v>5438</v>
      </c>
      <c r="D1606" t="s">
        <v>4868</v>
      </c>
      <c r="E1606" t="s">
        <v>5439</v>
      </c>
      <c r="F1606" t="s">
        <v>5440</v>
      </c>
      <c r="J1606" t="s">
        <v>5439</v>
      </c>
      <c r="K1606" t="s">
        <v>4966</v>
      </c>
      <c r="L1606" t="s">
        <v>4967</v>
      </c>
    </row>
    <row r="1607" spans="1:12">
      <c r="A1607" t="s">
        <v>4865</v>
      </c>
      <c r="B1607" t="s">
        <v>4866</v>
      </c>
      <c r="C1607" t="s">
        <v>5441</v>
      </c>
      <c r="D1607" t="s">
        <v>4868</v>
      </c>
      <c r="E1607" t="s">
        <v>5442</v>
      </c>
      <c r="F1607" t="s">
        <v>5443</v>
      </c>
      <c r="J1607" t="s">
        <v>5442</v>
      </c>
      <c r="K1607" t="s">
        <v>4966</v>
      </c>
      <c r="L1607" t="s">
        <v>4967</v>
      </c>
    </row>
    <row r="1608" spans="1:12">
      <c r="A1608" t="s">
        <v>4865</v>
      </c>
      <c r="B1608" t="s">
        <v>4866</v>
      </c>
      <c r="C1608" t="s">
        <v>5444</v>
      </c>
      <c r="D1608" t="s">
        <v>4868</v>
      </c>
      <c r="E1608" t="s">
        <v>5445</v>
      </c>
      <c r="F1608" t="s">
        <v>5446</v>
      </c>
      <c r="J1608" t="s">
        <v>5445</v>
      </c>
      <c r="K1608" t="s">
        <v>4966</v>
      </c>
      <c r="L1608" t="s">
        <v>4967</v>
      </c>
    </row>
    <row r="1609" spans="1:12">
      <c r="A1609" t="s">
        <v>4865</v>
      </c>
      <c r="B1609" t="s">
        <v>4866</v>
      </c>
      <c r="C1609" t="s">
        <v>5447</v>
      </c>
      <c r="D1609" t="s">
        <v>4868</v>
      </c>
      <c r="E1609" t="s">
        <v>5448</v>
      </c>
      <c r="F1609" t="s">
        <v>5449</v>
      </c>
      <c r="J1609" t="s">
        <v>5448</v>
      </c>
      <c r="K1609" t="s">
        <v>4966</v>
      </c>
      <c r="L1609" t="s">
        <v>4967</v>
      </c>
    </row>
    <row r="1610" spans="1:12">
      <c r="A1610" t="s">
        <v>4865</v>
      </c>
      <c r="B1610" t="s">
        <v>4866</v>
      </c>
      <c r="C1610" t="s">
        <v>5450</v>
      </c>
      <c r="D1610" t="s">
        <v>4868</v>
      </c>
      <c r="E1610" t="s">
        <v>5451</v>
      </c>
      <c r="F1610" t="s">
        <v>5452</v>
      </c>
      <c r="J1610" t="s">
        <v>5451</v>
      </c>
      <c r="K1610" t="s">
        <v>4966</v>
      </c>
      <c r="L1610" t="s">
        <v>4967</v>
      </c>
    </row>
    <row r="1611" spans="1:12">
      <c r="A1611" t="s">
        <v>4865</v>
      </c>
      <c r="B1611" t="s">
        <v>4866</v>
      </c>
      <c r="C1611" t="s">
        <v>5453</v>
      </c>
      <c r="D1611" t="s">
        <v>4868</v>
      </c>
      <c r="E1611" t="s">
        <v>5454</v>
      </c>
      <c r="F1611" t="s">
        <v>5455</v>
      </c>
      <c r="J1611" t="s">
        <v>5454</v>
      </c>
      <c r="K1611" t="s">
        <v>4966</v>
      </c>
      <c r="L1611" t="s">
        <v>4967</v>
      </c>
    </row>
    <row r="1612" spans="1:12">
      <c r="A1612" t="s">
        <v>4865</v>
      </c>
      <c r="B1612" t="s">
        <v>4866</v>
      </c>
      <c r="C1612" t="s">
        <v>5456</v>
      </c>
      <c r="D1612" t="s">
        <v>4868</v>
      </c>
      <c r="E1612" t="s">
        <v>5457</v>
      </c>
      <c r="F1612" t="s">
        <v>5458</v>
      </c>
      <c r="J1612" t="s">
        <v>5457</v>
      </c>
      <c r="K1612" t="s">
        <v>4966</v>
      </c>
      <c r="L1612" t="s">
        <v>4967</v>
      </c>
    </row>
    <row r="1613" spans="1:12">
      <c r="A1613" t="s">
        <v>4865</v>
      </c>
      <c r="B1613" t="s">
        <v>4866</v>
      </c>
      <c r="C1613" t="s">
        <v>5459</v>
      </c>
      <c r="D1613" t="s">
        <v>4868</v>
      </c>
      <c r="E1613" t="s">
        <v>5460</v>
      </c>
      <c r="F1613" t="s">
        <v>5461</v>
      </c>
      <c r="J1613" t="s">
        <v>5460</v>
      </c>
      <c r="K1613" t="s">
        <v>4966</v>
      </c>
      <c r="L1613" t="s">
        <v>4967</v>
      </c>
    </row>
    <row r="1614" spans="1:12">
      <c r="A1614" t="s">
        <v>4865</v>
      </c>
      <c r="B1614" t="s">
        <v>4866</v>
      </c>
      <c r="C1614" t="s">
        <v>5462</v>
      </c>
      <c r="D1614" t="s">
        <v>4868</v>
      </c>
      <c r="E1614" t="s">
        <v>5463</v>
      </c>
      <c r="F1614" t="s">
        <v>5464</v>
      </c>
      <c r="J1614" t="s">
        <v>5463</v>
      </c>
      <c r="K1614" t="s">
        <v>4966</v>
      </c>
      <c r="L1614" t="s">
        <v>4967</v>
      </c>
    </row>
    <row r="1615" spans="1:12">
      <c r="A1615" t="s">
        <v>4865</v>
      </c>
      <c r="B1615" t="s">
        <v>4866</v>
      </c>
      <c r="C1615" t="s">
        <v>5465</v>
      </c>
      <c r="D1615" t="s">
        <v>4868</v>
      </c>
      <c r="E1615" t="s">
        <v>5466</v>
      </c>
      <c r="F1615" t="s">
        <v>5467</v>
      </c>
      <c r="J1615" t="s">
        <v>5466</v>
      </c>
      <c r="K1615" t="s">
        <v>4966</v>
      </c>
      <c r="L1615" t="s">
        <v>4967</v>
      </c>
    </row>
    <row r="1616" spans="1:12">
      <c r="A1616" t="s">
        <v>4865</v>
      </c>
      <c r="B1616" t="s">
        <v>4866</v>
      </c>
      <c r="C1616" t="s">
        <v>5468</v>
      </c>
      <c r="D1616" t="s">
        <v>4868</v>
      </c>
      <c r="E1616" t="s">
        <v>5469</v>
      </c>
      <c r="F1616" t="s">
        <v>5470</v>
      </c>
      <c r="J1616" t="s">
        <v>5469</v>
      </c>
      <c r="K1616" t="s">
        <v>4966</v>
      </c>
      <c r="L1616" t="s">
        <v>4967</v>
      </c>
    </row>
    <row r="1617" spans="1:12">
      <c r="A1617" t="s">
        <v>4865</v>
      </c>
      <c r="B1617" t="s">
        <v>4866</v>
      </c>
      <c r="C1617" t="s">
        <v>5471</v>
      </c>
      <c r="D1617" t="s">
        <v>4868</v>
      </c>
      <c r="E1617" t="s">
        <v>5472</v>
      </c>
      <c r="F1617" t="s">
        <v>5473</v>
      </c>
    </row>
    <row r="1618" spans="1:12">
      <c r="A1618" t="s">
        <v>4865</v>
      </c>
      <c r="B1618" t="s">
        <v>4866</v>
      </c>
      <c r="C1618" t="s">
        <v>5474</v>
      </c>
      <c r="D1618" t="s">
        <v>4868</v>
      </c>
      <c r="E1618" t="s">
        <v>5475</v>
      </c>
      <c r="F1618" t="s">
        <v>5476</v>
      </c>
      <c r="J1618" t="s">
        <v>5475</v>
      </c>
      <c r="K1618" t="s">
        <v>4966</v>
      </c>
      <c r="L1618" t="s">
        <v>4967</v>
      </c>
    </row>
    <row r="1619" spans="1:12">
      <c r="A1619" t="s">
        <v>4865</v>
      </c>
      <c r="B1619" t="s">
        <v>4866</v>
      </c>
      <c r="C1619" t="s">
        <v>5477</v>
      </c>
      <c r="D1619" t="s">
        <v>4868</v>
      </c>
      <c r="E1619" t="s">
        <v>5478</v>
      </c>
      <c r="F1619" t="s">
        <v>5479</v>
      </c>
      <c r="J1619" t="s">
        <v>5478</v>
      </c>
      <c r="K1619" t="s">
        <v>4966</v>
      </c>
      <c r="L1619" t="s">
        <v>4967</v>
      </c>
    </row>
    <row r="1620" spans="1:12">
      <c r="A1620" t="s">
        <v>4865</v>
      </c>
      <c r="B1620" t="s">
        <v>4866</v>
      </c>
      <c r="C1620" t="s">
        <v>5480</v>
      </c>
      <c r="D1620" t="s">
        <v>4868</v>
      </c>
      <c r="E1620" t="s">
        <v>5481</v>
      </c>
      <c r="F1620" t="s">
        <v>5482</v>
      </c>
      <c r="J1620" t="s">
        <v>5481</v>
      </c>
      <c r="K1620" t="s">
        <v>4966</v>
      </c>
      <c r="L1620" t="s">
        <v>4967</v>
      </c>
    </row>
    <row r="1621" spans="1:12">
      <c r="A1621" t="s">
        <v>4865</v>
      </c>
      <c r="B1621" t="s">
        <v>4866</v>
      </c>
      <c r="C1621" t="s">
        <v>5483</v>
      </c>
      <c r="D1621" t="s">
        <v>4868</v>
      </c>
      <c r="E1621" t="s">
        <v>5484</v>
      </c>
      <c r="F1621" t="s">
        <v>5485</v>
      </c>
      <c r="J1621" t="s">
        <v>5484</v>
      </c>
      <c r="K1621" t="s">
        <v>4966</v>
      </c>
      <c r="L1621" t="s">
        <v>4967</v>
      </c>
    </row>
    <row r="1622" spans="1:12">
      <c r="A1622" t="s">
        <v>4865</v>
      </c>
      <c r="B1622" t="s">
        <v>4866</v>
      </c>
      <c r="C1622" t="s">
        <v>5486</v>
      </c>
      <c r="D1622" t="s">
        <v>4868</v>
      </c>
      <c r="E1622" t="s">
        <v>5487</v>
      </c>
      <c r="F1622" t="s">
        <v>5488</v>
      </c>
      <c r="J1622" t="s">
        <v>5487</v>
      </c>
      <c r="K1622" t="s">
        <v>4966</v>
      </c>
      <c r="L1622" t="s">
        <v>4967</v>
      </c>
    </row>
    <row r="1623" spans="1:12">
      <c r="A1623" t="s">
        <v>4865</v>
      </c>
      <c r="B1623" t="s">
        <v>4866</v>
      </c>
      <c r="C1623" t="s">
        <v>5489</v>
      </c>
      <c r="D1623" t="s">
        <v>4868</v>
      </c>
      <c r="E1623" t="s">
        <v>5490</v>
      </c>
      <c r="F1623" t="s">
        <v>5491</v>
      </c>
      <c r="J1623" t="s">
        <v>5490</v>
      </c>
      <c r="K1623" t="s">
        <v>4966</v>
      </c>
      <c r="L1623" t="s">
        <v>4967</v>
      </c>
    </row>
    <row r="1624" spans="1:12">
      <c r="A1624" t="s">
        <v>4865</v>
      </c>
      <c r="B1624" t="s">
        <v>4866</v>
      </c>
      <c r="C1624" t="s">
        <v>5492</v>
      </c>
      <c r="D1624" t="s">
        <v>4868</v>
      </c>
      <c r="E1624" t="s">
        <v>5493</v>
      </c>
      <c r="F1624" t="s">
        <v>5494</v>
      </c>
      <c r="J1624" t="s">
        <v>5493</v>
      </c>
      <c r="K1624" t="s">
        <v>4966</v>
      </c>
      <c r="L1624" t="s">
        <v>4967</v>
      </c>
    </row>
    <row r="1625" spans="1:12">
      <c r="A1625" t="s">
        <v>4865</v>
      </c>
      <c r="B1625" t="s">
        <v>4866</v>
      </c>
      <c r="C1625" t="s">
        <v>5495</v>
      </c>
      <c r="D1625" t="s">
        <v>4868</v>
      </c>
      <c r="E1625" t="s">
        <v>5496</v>
      </c>
      <c r="F1625" t="s">
        <v>5497</v>
      </c>
      <c r="J1625" t="s">
        <v>5496</v>
      </c>
      <c r="K1625" t="s">
        <v>4966</v>
      </c>
      <c r="L1625" t="s">
        <v>4967</v>
      </c>
    </row>
    <row r="1626" spans="1:12">
      <c r="A1626" t="s">
        <v>4865</v>
      </c>
      <c r="B1626" t="s">
        <v>4866</v>
      </c>
      <c r="C1626" t="s">
        <v>5498</v>
      </c>
      <c r="D1626" t="s">
        <v>4868</v>
      </c>
      <c r="E1626" t="s">
        <v>5499</v>
      </c>
      <c r="F1626" t="s">
        <v>5500</v>
      </c>
      <c r="J1626" t="s">
        <v>5499</v>
      </c>
      <c r="K1626" t="s">
        <v>4966</v>
      </c>
      <c r="L1626" t="s">
        <v>4967</v>
      </c>
    </row>
    <row r="1627" spans="1:12">
      <c r="A1627" t="s">
        <v>4865</v>
      </c>
      <c r="B1627" t="s">
        <v>4866</v>
      </c>
      <c r="C1627" t="s">
        <v>5501</v>
      </c>
      <c r="D1627" t="s">
        <v>4868</v>
      </c>
      <c r="E1627" t="s">
        <v>5502</v>
      </c>
      <c r="F1627" t="s">
        <v>5503</v>
      </c>
      <c r="J1627" t="s">
        <v>5502</v>
      </c>
      <c r="K1627" t="s">
        <v>4966</v>
      </c>
      <c r="L1627" t="s">
        <v>4967</v>
      </c>
    </row>
    <row r="1628" spans="1:12">
      <c r="A1628" t="s">
        <v>4865</v>
      </c>
      <c r="B1628" t="s">
        <v>4866</v>
      </c>
      <c r="C1628" t="s">
        <v>5504</v>
      </c>
      <c r="D1628" t="s">
        <v>4868</v>
      </c>
      <c r="E1628" t="s">
        <v>5505</v>
      </c>
      <c r="F1628" t="s">
        <v>5506</v>
      </c>
      <c r="J1628" t="s">
        <v>5505</v>
      </c>
      <c r="K1628" t="s">
        <v>4966</v>
      </c>
      <c r="L1628" t="s">
        <v>4967</v>
      </c>
    </row>
    <row r="1629" spans="1:12">
      <c r="A1629" t="s">
        <v>4865</v>
      </c>
      <c r="B1629" t="s">
        <v>4866</v>
      </c>
      <c r="C1629" t="s">
        <v>5507</v>
      </c>
      <c r="D1629" t="s">
        <v>4868</v>
      </c>
      <c r="E1629" t="s">
        <v>5508</v>
      </c>
      <c r="F1629" t="s">
        <v>5509</v>
      </c>
      <c r="J1629" t="s">
        <v>5508</v>
      </c>
      <c r="K1629" t="s">
        <v>4966</v>
      </c>
      <c r="L1629" t="s">
        <v>4967</v>
      </c>
    </row>
    <row r="1630" spans="1:12">
      <c r="A1630" t="s">
        <v>4865</v>
      </c>
      <c r="B1630" t="s">
        <v>4866</v>
      </c>
      <c r="C1630" t="s">
        <v>5510</v>
      </c>
      <c r="D1630" t="s">
        <v>4868</v>
      </c>
      <c r="E1630" t="s">
        <v>5511</v>
      </c>
      <c r="F1630" t="s">
        <v>5512</v>
      </c>
      <c r="J1630" t="s">
        <v>5511</v>
      </c>
      <c r="K1630" t="s">
        <v>4966</v>
      </c>
      <c r="L1630" t="s">
        <v>4967</v>
      </c>
    </row>
    <row r="1631" spans="1:12">
      <c r="A1631" t="s">
        <v>4865</v>
      </c>
      <c r="B1631" t="s">
        <v>4866</v>
      </c>
      <c r="C1631" t="s">
        <v>5513</v>
      </c>
      <c r="D1631" t="s">
        <v>4868</v>
      </c>
      <c r="E1631" t="s">
        <v>5514</v>
      </c>
      <c r="F1631" t="s">
        <v>5515</v>
      </c>
      <c r="J1631" t="s">
        <v>5514</v>
      </c>
      <c r="K1631" t="s">
        <v>4966</v>
      </c>
      <c r="L1631" t="s">
        <v>4967</v>
      </c>
    </row>
    <row r="1632" spans="1:12">
      <c r="A1632" t="s">
        <v>4865</v>
      </c>
      <c r="B1632" t="s">
        <v>4866</v>
      </c>
      <c r="C1632" t="s">
        <v>5516</v>
      </c>
      <c r="D1632" t="s">
        <v>4868</v>
      </c>
      <c r="E1632" t="s">
        <v>5517</v>
      </c>
      <c r="F1632" t="s">
        <v>5518</v>
      </c>
      <c r="J1632" t="s">
        <v>5517</v>
      </c>
      <c r="K1632" t="s">
        <v>4966</v>
      </c>
      <c r="L1632" t="s">
        <v>4967</v>
      </c>
    </row>
    <row r="1633" spans="1:12">
      <c r="A1633" t="s">
        <v>4865</v>
      </c>
      <c r="B1633" t="s">
        <v>4866</v>
      </c>
      <c r="C1633" t="s">
        <v>5519</v>
      </c>
      <c r="D1633" t="s">
        <v>4868</v>
      </c>
      <c r="E1633" t="s">
        <v>5520</v>
      </c>
      <c r="F1633" t="s">
        <v>5521</v>
      </c>
      <c r="J1633" t="s">
        <v>5520</v>
      </c>
      <c r="K1633" t="s">
        <v>4966</v>
      </c>
      <c r="L1633" t="s">
        <v>4967</v>
      </c>
    </row>
    <row r="1634" spans="1:12">
      <c r="A1634" t="s">
        <v>4865</v>
      </c>
      <c r="B1634" t="s">
        <v>4866</v>
      </c>
      <c r="C1634" t="s">
        <v>5522</v>
      </c>
      <c r="D1634" t="s">
        <v>4868</v>
      </c>
      <c r="E1634" t="s">
        <v>5523</v>
      </c>
      <c r="F1634" t="s">
        <v>5524</v>
      </c>
      <c r="J1634" t="s">
        <v>5523</v>
      </c>
      <c r="K1634" t="s">
        <v>4966</v>
      </c>
      <c r="L1634" t="s">
        <v>4967</v>
      </c>
    </row>
    <row r="1635" spans="1:12">
      <c r="A1635" t="s">
        <v>4865</v>
      </c>
      <c r="B1635" t="s">
        <v>4866</v>
      </c>
      <c r="C1635" t="s">
        <v>5525</v>
      </c>
      <c r="D1635" t="s">
        <v>4868</v>
      </c>
      <c r="E1635" t="s">
        <v>5526</v>
      </c>
      <c r="F1635" t="s">
        <v>5524</v>
      </c>
      <c r="J1635" t="s">
        <v>5526</v>
      </c>
      <c r="K1635" t="s">
        <v>4966</v>
      </c>
      <c r="L1635" t="s">
        <v>4967</v>
      </c>
    </row>
    <row r="1636" spans="1:12">
      <c r="A1636" t="s">
        <v>4865</v>
      </c>
      <c r="B1636" t="s">
        <v>4866</v>
      </c>
      <c r="C1636" t="s">
        <v>5527</v>
      </c>
      <c r="D1636" t="s">
        <v>4868</v>
      </c>
      <c r="E1636" t="s">
        <v>5528</v>
      </c>
      <c r="F1636" t="s">
        <v>5529</v>
      </c>
      <c r="J1636" t="s">
        <v>5528</v>
      </c>
      <c r="K1636" t="s">
        <v>4966</v>
      </c>
      <c r="L1636" t="s">
        <v>4967</v>
      </c>
    </row>
    <row r="1637" spans="1:12">
      <c r="A1637" t="s">
        <v>4865</v>
      </c>
      <c r="B1637" t="s">
        <v>4866</v>
      </c>
      <c r="C1637" t="s">
        <v>5530</v>
      </c>
      <c r="D1637" t="s">
        <v>4868</v>
      </c>
      <c r="E1637" t="s">
        <v>5531</v>
      </c>
      <c r="F1637" t="s">
        <v>5532</v>
      </c>
      <c r="J1637" t="s">
        <v>5531</v>
      </c>
      <c r="K1637" t="s">
        <v>4966</v>
      </c>
      <c r="L1637" t="s">
        <v>4967</v>
      </c>
    </row>
    <row r="1638" spans="1:12">
      <c r="A1638" t="s">
        <v>4865</v>
      </c>
      <c r="B1638" t="s">
        <v>4866</v>
      </c>
      <c r="C1638" t="s">
        <v>5533</v>
      </c>
      <c r="D1638" t="s">
        <v>4868</v>
      </c>
      <c r="E1638" t="s">
        <v>5534</v>
      </c>
      <c r="F1638" t="s">
        <v>5535</v>
      </c>
      <c r="J1638" t="s">
        <v>5534</v>
      </c>
      <c r="K1638" t="s">
        <v>4966</v>
      </c>
      <c r="L1638" t="s">
        <v>4967</v>
      </c>
    </row>
    <row r="1639" spans="1:12">
      <c r="A1639" t="s">
        <v>4865</v>
      </c>
      <c r="B1639" t="s">
        <v>4866</v>
      </c>
      <c r="C1639" t="s">
        <v>5536</v>
      </c>
      <c r="D1639" t="s">
        <v>4868</v>
      </c>
      <c r="E1639" t="s">
        <v>5537</v>
      </c>
      <c r="F1639" t="s">
        <v>5538</v>
      </c>
      <c r="J1639" t="s">
        <v>5537</v>
      </c>
      <c r="K1639" t="s">
        <v>4966</v>
      </c>
      <c r="L1639" t="s">
        <v>4967</v>
      </c>
    </row>
    <row r="1640" spans="1:12">
      <c r="A1640" t="s">
        <v>4865</v>
      </c>
      <c r="B1640" t="s">
        <v>4866</v>
      </c>
      <c r="C1640" t="s">
        <v>5539</v>
      </c>
      <c r="D1640" t="s">
        <v>4868</v>
      </c>
      <c r="E1640" t="s">
        <v>5540</v>
      </c>
      <c r="F1640" t="s">
        <v>5541</v>
      </c>
      <c r="J1640" t="s">
        <v>5540</v>
      </c>
      <c r="K1640" t="s">
        <v>4966</v>
      </c>
      <c r="L1640" t="s">
        <v>4967</v>
      </c>
    </row>
    <row r="1641" spans="1:12">
      <c r="A1641" t="s">
        <v>4865</v>
      </c>
      <c r="B1641" t="s">
        <v>4866</v>
      </c>
      <c r="C1641" t="s">
        <v>5542</v>
      </c>
      <c r="D1641" t="s">
        <v>4868</v>
      </c>
      <c r="E1641" t="s">
        <v>5543</v>
      </c>
      <c r="F1641" t="s">
        <v>5544</v>
      </c>
    </row>
    <row r="1642" spans="1:12">
      <c r="A1642" t="s">
        <v>4865</v>
      </c>
      <c r="B1642" t="s">
        <v>4866</v>
      </c>
      <c r="C1642" t="s">
        <v>5545</v>
      </c>
      <c r="D1642" t="s">
        <v>4868</v>
      </c>
      <c r="E1642" t="s">
        <v>5546</v>
      </c>
      <c r="F1642" t="s">
        <v>5547</v>
      </c>
      <c r="J1642" t="s">
        <v>5546</v>
      </c>
      <c r="K1642" t="s">
        <v>4966</v>
      </c>
      <c r="L1642" t="s">
        <v>4967</v>
      </c>
    </row>
    <row r="1643" spans="1:12">
      <c r="A1643" t="s">
        <v>4865</v>
      </c>
      <c r="B1643" t="s">
        <v>4866</v>
      </c>
      <c r="C1643" t="s">
        <v>5548</v>
      </c>
      <c r="D1643" t="s">
        <v>4868</v>
      </c>
      <c r="E1643" t="s">
        <v>5549</v>
      </c>
      <c r="F1643" t="s">
        <v>5550</v>
      </c>
      <c r="J1643" t="s">
        <v>5549</v>
      </c>
      <c r="K1643" t="s">
        <v>4966</v>
      </c>
      <c r="L1643" t="s">
        <v>4967</v>
      </c>
    </row>
    <row r="1644" spans="1:12">
      <c r="A1644" t="s">
        <v>4865</v>
      </c>
      <c r="B1644" t="s">
        <v>4866</v>
      </c>
      <c r="C1644" t="s">
        <v>5551</v>
      </c>
      <c r="D1644" t="s">
        <v>4868</v>
      </c>
      <c r="E1644" t="s">
        <v>5552</v>
      </c>
      <c r="F1644" t="s">
        <v>5553</v>
      </c>
      <c r="J1644" t="s">
        <v>5552</v>
      </c>
      <c r="K1644" t="s">
        <v>4966</v>
      </c>
      <c r="L1644" t="s">
        <v>4967</v>
      </c>
    </row>
    <row r="1645" spans="1:12">
      <c r="A1645" t="s">
        <v>4865</v>
      </c>
      <c r="B1645" t="s">
        <v>4866</v>
      </c>
      <c r="C1645" t="s">
        <v>5554</v>
      </c>
      <c r="D1645" t="s">
        <v>4868</v>
      </c>
      <c r="E1645" t="s">
        <v>5555</v>
      </c>
      <c r="F1645" t="s">
        <v>5556</v>
      </c>
      <c r="J1645" t="s">
        <v>5555</v>
      </c>
      <c r="K1645" t="s">
        <v>4966</v>
      </c>
      <c r="L1645" t="s">
        <v>4967</v>
      </c>
    </row>
    <row r="1646" spans="1:12">
      <c r="A1646" t="s">
        <v>4865</v>
      </c>
      <c r="B1646" t="s">
        <v>4866</v>
      </c>
      <c r="C1646" t="s">
        <v>5557</v>
      </c>
      <c r="D1646" t="s">
        <v>4868</v>
      </c>
      <c r="E1646" t="s">
        <v>5558</v>
      </c>
      <c r="F1646" t="s">
        <v>5559</v>
      </c>
      <c r="J1646" t="s">
        <v>5558</v>
      </c>
      <c r="K1646" t="s">
        <v>4966</v>
      </c>
      <c r="L1646" t="s">
        <v>4967</v>
      </c>
    </row>
    <row r="1647" spans="1:12">
      <c r="A1647" t="s">
        <v>4865</v>
      </c>
      <c r="B1647" t="s">
        <v>4866</v>
      </c>
      <c r="C1647" t="s">
        <v>5560</v>
      </c>
      <c r="D1647" t="s">
        <v>4868</v>
      </c>
      <c r="E1647" t="s">
        <v>5561</v>
      </c>
      <c r="F1647" t="s">
        <v>5562</v>
      </c>
    </row>
    <row r="1648" spans="1:12">
      <c r="A1648" t="s">
        <v>4865</v>
      </c>
      <c r="B1648" t="s">
        <v>4866</v>
      </c>
      <c r="C1648" t="s">
        <v>5563</v>
      </c>
      <c r="D1648" t="s">
        <v>4868</v>
      </c>
      <c r="E1648" t="s">
        <v>5564</v>
      </c>
      <c r="F1648" t="s">
        <v>5565</v>
      </c>
      <c r="J1648" t="s">
        <v>5564</v>
      </c>
      <c r="K1648" t="s">
        <v>4966</v>
      </c>
      <c r="L1648" t="s">
        <v>4967</v>
      </c>
    </row>
    <row r="1649" spans="1:12">
      <c r="A1649" t="s">
        <v>4865</v>
      </c>
      <c r="B1649" t="s">
        <v>4866</v>
      </c>
      <c r="C1649" t="s">
        <v>5566</v>
      </c>
      <c r="D1649" t="s">
        <v>4868</v>
      </c>
      <c r="E1649" t="s">
        <v>5567</v>
      </c>
      <c r="F1649" t="s">
        <v>5568</v>
      </c>
      <c r="J1649" t="s">
        <v>5567</v>
      </c>
      <c r="K1649" t="s">
        <v>4966</v>
      </c>
      <c r="L1649" t="s">
        <v>4967</v>
      </c>
    </row>
    <row r="1650" spans="1:12">
      <c r="A1650" t="s">
        <v>4865</v>
      </c>
      <c r="B1650" t="s">
        <v>4866</v>
      </c>
      <c r="C1650" t="s">
        <v>5569</v>
      </c>
      <c r="D1650" t="s">
        <v>4868</v>
      </c>
      <c r="E1650" t="s">
        <v>5570</v>
      </c>
      <c r="F1650" t="s">
        <v>5571</v>
      </c>
      <c r="J1650" t="s">
        <v>5570</v>
      </c>
      <c r="K1650" t="s">
        <v>4966</v>
      </c>
      <c r="L1650" t="s">
        <v>4967</v>
      </c>
    </row>
    <row r="1651" spans="1:12">
      <c r="A1651" t="s">
        <v>4865</v>
      </c>
      <c r="B1651" t="s">
        <v>4866</v>
      </c>
      <c r="C1651" t="s">
        <v>5572</v>
      </c>
      <c r="D1651" t="s">
        <v>4868</v>
      </c>
      <c r="E1651" t="s">
        <v>5573</v>
      </c>
      <c r="F1651" t="s">
        <v>5574</v>
      </c>
      <c r="J1651" t="s">
        <v>5573</v>
      </c>
      <c r="K1651" t="s">
        <v>4966</v>
      </c>
      <c r="L1651" t="s">
        <v>4967</v>
      </c>
    </row>
    <row r="1652" spans="1:12">
      <c r="A1652" t="s">
        <v>4865</v>
      </c>
      <c r="B1652" t="s">
        <v>4866</v>
      </c>
      <c r="C1652" t="s">
        <v>5575</v>
      </c>
      <c r="D1652" t="s">
        <v>4868</v>
      </c>
      <c r="E1652" t="s">
        <v>5576</v>
      </c>
      <c r="F1652" t="s">
        <v>5577</v>
      </c>
      <c r="J1652" t="s">
        <v>5576</v>
      </c>
      <c r="K1652" t="s">
        <v>4966</v>
      </c>
      <c r="L1652" t="s">
        <v>4967</v>
      </c>
    </row>
    <row r="1653" spans="1:12">
      <c r="A1653" t="s">
        <v>4865</v>
      </c>
      <c r="B1653" t="s">
        <v>4866</v>
      </c>
      <c r="C1653" t="s">
        <v>5578</v>
      </c>
      <c r="D1653" t="s">
        <v>4868</v>
      </c>
      <c r="E1653" t="s">
        <v>5579</v>
      </c>
      <c r="F1653" t="s">
        <v>5580</v>
      </c>
      <c r="J1653" t="s">
        <v>5579</v>
      </c>
      <c r="K1653" t="s">
        <v>4966</v>
      </c>
      <c r="L1653" t="s">
        <v>4967</v>
      </c>
    </row>
    <row r="1654" spans="1:12">
      <c r="A1654" t="s">
        <v>4865</v>
      </c>
      <c r="B1654" t="s">
        <v>4866</v>
      </c>
      <c r="C1654" t="s">
        <v>5581</v>
      </c>
      <c r="D1654" t="s">
        <v>4868</v>
      </c>
      <c r="E1654" t="s">
        <v>5582</v>
      </c>
      <c r="F1654" t="s">
        <v>5583</v>
      </c>
      <c r="J1654" t="s">
        <v>5582</v>
      </c>
      <c r="K1654" t="s">
        <v>4966</v>
      </c>
      <c r="L1654" t="s">
        <v>4967</v>
      </c>
    </row>
    <row r="1655" spans="1:12">
      <c r="A1655" t="s">
        <v>4865</v>
      </c>
      <c r="B1655" t="s">
        <v>4866</v>
      </c>
      <c r="C1655" t="s">
        <v>5584</v>
      </c>
      <c r="D1655" t="s">
        <v>4868</v>
      </c>
      <c r="E1655" t="s">
        <v>5585</v>
      </c>
      <c r="F1655" t="s">
        <v>5586</v>
      </c>
      <c r="J1655" t="s">
        <v>5585</v>
      </c>
      <c r="K1655" t="s">
        <v>4966</v>
      </c>
      <c r="L1655" t="s">
        <v>4967</v>
      </c>
    </row>
    <row r="1656" spans="1:12">
      <c r="A1656" t="s">
        <v>4865</v>
      </c>
      <c r="B1656" t="s">
        <v>4866</v>
      </c>
      <c r="C1656" t="s">
        <v>5587</v>
      </c>
      <c r="D1656" t="s">
        <v>4868</v>
      </c>
      <c r="E1656" t="s">
        <v>5588</v>
      </c>
      <c r="F1656" t="s">
        <v>5589</v>
      </c>
      <c r="J1656" t="s">
        <v>5588</v>
      </c>
      <c r="K1656" t="s">
        <v>4966</v>
      </c>
      <c r="L1656" t="s">
        <v>4967</v>
      </c>
    </row>
    <row r="1657" spans="1:12">
      <c r="A1657" t="s">
        <v>4865</v>
      </c>
      <c r="B1657" t="s">
        <v>4866</v>
      </c>
      <c r="C1657" t="s">
        <v>5590</v>
      </c>
      <c r="D1657" t="s">
        <v>4868</v>
      </c>
      <c r="E1657" t="s">
        <v>5591</v>
      </c>
      <c r="F1657" t="s">
        <v>5592</v>
      </c>
      <c r="J1657" t="s">
        <v>5591</v>
      </c>
      <c r="K1657" t="s">
        <v>4966</v>
      </c>
      <c r="L1657" t="s">
        <v>4967</v>
      </c>
    </row>
    <row r="1658" spans="1:12">
      <c r="A1658" t="s">
        <v>4865</v>
      </c>
      <c r="B1658" t="s">
        <v>4866</v>
      </c>
      <c r="C1658" t="s">
        <v>5593</v>
      </c>
      <c r="D1658" t="s">
        <v>4868</v>
      </c>
      <c r="E1658" t="s">
        <v>5594</v>
      </c>
      <c r="F1658" t="s">
        <v>5595</v>
      </c>
      <c r="J1658" t="s">
        <v>5594</v>
      </c>
      <c r="K1658" t="s">
        <v>4966</v>
      </c>
      <c r="L1658" t="s">
        <v>4967</v>
      </c>
    </row>
    <row r="1659" spans="1:12">
      <c r="A1659" t="s">
        <v>4865</v>
      </c>
      <c r="B1659" t="s">
        <v>4866</v>
      </c>
      <c r="C1659" t="s">
        <v>5596</v>
      </c>
      <c r="D1659" t="s">
        <v>4868</v>
      </c>
      <c r="E1659" t="s">
        <v>5597</v>
      </c>
      <c r="F1659" t="s">
        <v>5598</v>
      </c>
      <c r="J1659" t="s">
        <v>5597</v>
      </c>
      <c r="K1659" t="s">
        <v>4966</v>
      </c>
      <c r="L1659" t="s">
        <v>4967</v>
      </c>
    </row>
    <row r="1660" spans="1:12">
      <c r="A1660" t="s">
        <v>4865</v>
      </c>
      <c r="B1660" t="s">
        <v>4866</v>
      </c>
      <c r="C1660" t="s">
        <v>5599</v>
      </c>
      <c r="D1660" t="s">
        <v>4868</v>
      </c>
      <c r="E1660" t="s">
        <v>5600</v>
      </c>
      <c r="F1660" t="s">
        <v>5601</v>
      </c>
      <c r="J1660" t="s">
        <v>5600</v>
      </c>
      <c r="K1660" t="s">
        <v>4966</v>
      </c>
      <c r="L1660" t="s">
        <v>4967</v>
      </c>
    </row>
    <row r="1661" spans="1:12">
      <c r="A1661" t="s">
        <v>4865</v>
      </c>
      <c r="B1661" t="s">
        <v>4866</v>
      </c>
      <c r="C1661" t="s">
        <v>5602</v>
      </c>
      <c r="D1661" t="s">
        <v>4868</v>
      </c>
      <c r="E1661" t="s">
        <v>5603</v>
      </c>
      <c r="F1661" t="s">
        <v>5604</v>
      </c>
      <c r="J1661" t="s">
        <v>5603</v>
      </c>
      <c r="K1661" t="s">
        <v>4966</v>
      </c>
      <c r="L1661" t="s">
        <v>4967</v>
      </c>
    </row>
    <row r="1662" spans="1:12">
      <c r="A1662" t="s">
        <v>4865</v>
      </c>
      <c r="B1662" t="s">
        <v>4866</v>
      </c>
      <c r="C1662" t="s">
        <v>5605</v>
      </c>
      <c r="D1662" t="s">
        <v>4868</v>
      </c>
      <c r="E1662" t="s">
        <v>5606</v>
      </c>
      <c r="F1662" t="s">
        <v>5607</v>
      </c>
      <c r="J1662" t="s">
        <v>5606</v>
      </c>
      <c r="K1662" t="s">
        <v>4966</v>
      </c>
      <c r="L1662" t="s">
        <v>4967</v>
      </c>
    </row>
    <row r="1663" spans="1:12">
      <c r="A1663" t="s">
        <v>4865</v>
      </c>
      <c r="B1663" t="s">
        <v>4866</v>
      </c>
      <c r="C1663" t="s">
        <v>5608</v>
      </c>
      <c r="D1663" t="s">
        <v>4868</v>
      </c>
      <c r="E1663" t="s">
        <v>5609</v>
      </c>
      <c r="F1663" t="s">
        <v>5610</v>
      </c>
      <c r="J1663" t="s">
        <v>5609</v>
      </c>
      <c r="K1663" t="s">
        <v>4966</v>
      </c>
      <c r="L1663" t="s">
        <v>4967</v>
      </c>
    </row>
    <row r="1664" spans="1:12">
      <c r="A1664" t="s">
        <v>4865</v>
      </c>
      <c r="B1664" t="s">
        <v>4866</v>
      </c>
      <c r="C1664" t="s">
        <v>5611</v>
      </c>
      <c r="D1664" t="s">
        <v>4868</v>
      </c>
      <c r="E1664" t="s">
        <v>5612</v>
      </c>
      <c r="F1664" t="s">
        <v>5613</v>
      </c>
      <c r="J1664" t="s">
        <v>5612</v>
      </c>
      <c r="K1664" t="s">
        <v>4966</v>
      </c>
      <c r="L1664" t="s">
        <v>4967</v>
      </c>
    </row>
    <row r="1665" spans="1:12">
      <c r="A1665" t="s">
        <v>4865</v>
      </c>
      <c r="B1665" t="s">
        <v>4866</v>
      </c>
      <c r="C1665" t="s">
        <v>5614</v>
      </c>
      <c r="D1665" t="s">
        <v>4868</v>
      </c>
      <c r="E1665" t="s">
        <v>5615</v>
      </c>
      <c r="F1665" t="s">
        <v>5616</v>
      </c>
      <c r="J1665" t="s">
        <v>5615</v>
      </c>
      <c r="K1665" t="s">
        <v>4966</v>
      </c>
      <c r="L1665" t="s">
        <v>4967</v>
      </c>
    </row>
    <row r="1666" spans="1:12">
      <c r="A1666" t="s">
        <v>4865</v>
      </c>
      <c r="B1666" t="s">
        <v>4866</v>
      </c>
      <c r="C1666" t="s">
        <v>5617</v>
      </c>
      <c r="D1666" t="s">
        <v>4868</v>
      </c>
      <c r="E1666" t="s">
        <v>5618</v>
      </c>
      <c r="F1666" t="s">
        <v>5619</v>
      </c>
      <c r="J1666" t="s">
        <v>5618</v>
      </c>
      <c r="K1666" t="s">
        <v>4966</v>
      </c>
      <c r="L1666" t="s">
        <v>4967</v>
      </c>
    </row>
    <row r="1667" spans="1:12">
      <c r="A1667" t="s">
        <v>4865</v>
      </c>
      <c r="B1667" t="s">
        <v>4866</v>
      </c>
      <c r="C1667" t="s">
        <v>5620</v>
      </c>
      <c r="D1667" t="s">
        <v>4868</v>
      </c>
      <c r="E1667" t="s">
        <v>5621</v>
      </c>
      <c r="F1667" t="s">
        <v>5622</v>
      </c>
      <c r="J1667" t="s">
        <v>5621</v>
      </c>
      <c r="K1667" t="s">
        <v>4966</v>
      </c>
      <c r="L1667" t="s">
        <v>4967</v>
      </c>
    </row>
    <row r="1668" spans="1:12">
      <c r="A1668" t="s">
        <v>4865</v>
      </c>
      <c r="B1668" t="s">
        <v>4866</v>
      </c>
      <c r="C1668" t="s">
        <v>5623</v>
      </c>
      <c r="D1668" t="s">
        <v>4868</v>
      </c>
      <c r="E1668" t="s">
        <v>5624</v>
      </c>
      <c r="F1668" t="s">
        <v>5625</v>
      </c>
      <c r="J1668" t="s">
        <v>5624</v>
      </c>
      <c r="K1668" t="s">
        <v>4966</v>
      </c>
      <c r="L1668" t="s">
        <v>4967</v>
      </c>
    </row>
    <row r="1669" spans="1:12">
      <c r="A1669" t="s">
        <v>4865</v>
      </c>
      <c r="B1669" t="s">
        <v>4866</v>
      </c>
      <c r="C1669" t="s">
        <v>5626</v>
      </c>
      <c r="D1669" t="s">
        <v>4868</v>
      </c>
      <c r="E1669" t="s">
        <v>5627</v>
      </c>
      <c r="F1669" t="s">
        <v>5628</v>
      </c>
    </row>
    <row r="1670" spans="1:12">
      <c r="A1670" t="s">
        <v>4865</v>
      </c>
      <c r="B1670" t="s">
        <v>4866</v>
      </c>
      <c r="C1670" t="s">
        <v>5629</v>
      </c>
      <c r="D1670" t="s">
        <v>4868</v>
      </c>
      <c r="E1670" t="s">
        <v>5630</v>
      </c>
      <c r="F1670" t="s">
        <v>5631</v>
      </c>
      <c r="J1670" t="s">
        <v>5630</v>
      </c>
      <c r="K1670" t="s">
        <v>4966</v>
      </c>
      <c r="L1670" t="s">
        <v>4967</v>
      </c>
    </row>
    <row r="1671" spans="1:12">
      <c r="A1671" t="s">
        <v>4865</v>
      </c>
      <c r="B1671" t="s">
        <v>4866</v>
      </c>
      <c r="C1671" t="s">
        <v>5632</v>
      </c>
      <c r="D1671" t="s">
        <v>4868</v>
      </c>
      <c r="E1671" t="s">
        <v>5633</v>
      </c>
      <c r="F1671" t="s">
        <v>5634</v>
      </c>
      <c r="J1671" t="s">
        <v>5633</v>
      </c>
      <c r="K1671" t="s">
        <v>4966</v>
      </c>
      <c r="L1671" t="s">
        <v>4967</v>
      </c>
    </row>
    <row r="1672" spans="1:12">
      <c r="A1672" t="s">
        <v>4865</v>
      </c>
      <c r="B1672" t="s">
        <v>4866</v>
      </c>
      <c r="C1672" t="s">
        <v>5635</v>
      </c>
      <c r="D1672" t="s">
        <v>4868</v>
      </c>
      <c r="E1672" t="s">
        <v>5636</v>
      </c>
      <c r="F1672" t="s">
        <v>5637</v>
      </c>
      <c r="J1672" t="s">
        <v>5636</v>
      </c>
      <c r="K1672" t="s">
        <v>4966</v>
      </c>
      <c r="L1672" t="s">
        <v>4967</v>
      </c>
    </row>
    <row r="1673" spans="1:12">
      <c r="A1673" t="s">
        <v>4865</v>
      </c>
      <c r="B1673" t="s">
        <v>4866</v>
      </c>
      <c r="C1673" t="s">
        <v>5638</v>
      </c>
      <c r="D1673" t="s">
        <v>4868</v>
      </c>
      <c r="E1673" t="s">
        <v>5639</v>
      </c>
      <c r="F1673" t="s">
        <v>5640</v>
      </c>
      <c r="J1673" t="s">
        <v>5639</v>
      </c>
      <c r="K1673" t="s">
        <v>4966</v>
      </c>
      <c r="L1673" t="s">
        <v>4967</v>
      </c>
    </row>
    <row r="1674" spans="1:12">
      <c r="A1674" t="s">
        <v>4865</v>
      </c>
      <c r="B1674" t="s">
        <v>4866</v>
      </c>
      <c r="C1674" t="s">
        <v>5641</v>
      </c>
      <c r="D1674" t="s">
        <v>4868</v>
      </c>
      <c r="E1674" t="s">
        <v>5642</v>
      </c>
      <c r="F1674" t="s">
        <v>5643</v>
      </c>
      <c r="J1674" t="s">
        <v>5642</v>
      </c>
      <c r="K1674" t="s">
        <v>4966</v>
      </c>
      <c r="L1674" t="s">
        <v>4967</v>
      </c>
    </row>
    <row r="1675" spans="1:12">
      <c r="A1675" t="s">
        <v>4865</v>
      </c>
      <c r="B1675" t="s">
        <v>4866</v>
      </c>
      <c r="C1675" t="s">
        <v>5644</v>
      </c>
      <c r="D1675" t="s">
        <v>4868</v>
      </c>
      <c r="E1675" t="s">
        <v>5645</v>
      </c>
      <c r="F1675" t="s">
        <v>5646</v>
      </c>
      <c r="J1675" t="s">
        <v>5645</v>
      </c>
      <c r="K1675" t="s">
        <v>4966</v>
      </c>
      <c r="L1675" t="s">
        <v>4967</v>
      </c>
    </row>
    <row r="1676" spans="1:12">
      <c r="A1676" t="s">
        <v>4865</v>
      </c>
      <c r="B1676" t="s">
        <v>4866</v>
      </c>
      <c r="C1676" t="s">
        <v>5647</v>
      </c>
      <c r="D1676" t="s">
        <v>4868</v>
      </c>
      <c r="E1676" t="s">
        <v>5648</v>
      </c>
      <c r="F1676" t="s">
        <v>5649</v>
      </c>
      <c r="J1676" t="s">
        <v>5648</v>
      </c>
      <c r="K1676" t="s">
        <v>4966</v>
      </c>
      <c r="L1676" t="s">
        <v>4967</v>
      </c>
    </row>
    <row r="1677" spans="1:12">
      <c r="A1677" t="s">
        <v>4865</v>
      </c>
      <c r="B1677" t="s">
        <v>4866</v>
      </c>
      <c r="C1677" t="s">
        <v>5650</v>
      </c>
      <c r="D1677" t="s">
        <v>4868</v>
      </c>
      <c r="E1677" t="s">
        <v>5651</v>
      </c>
      <c r="F1677" t="s">
        <v>5652</v>
      </c>
      <c r="J1677" t="s">
        <v>5651</v>
      </c>
      <c r="K1677" t="s">
        <v>4966</v>
      </c>
      <c r="L1677" t="s">
        <v>4967</v>
      </c>
    </row>
    <row r="1678" spans="1:12">
      <c r="A1678" t="s">
        <v>4865</v>
      </c>
      <c r="B1678" t="s">
        <v>4866</v>
      </c>
      <c r="C1678" t="s">
        <v>5653</v>
      </c>
      <c r="D1678" t="s">
        <v>4868</v>
      </c>
      <c r="E1678" t="s">
        <v>5654</v>
      </c>
      <c r="F1678" t="s">
        <v>5655</v>
      </c>
      <c r="J1678" t="s">
        <v>5654</v>
      </c>
      <c r="K1678" t="s">
        <v>4966</v>
      </c>
      <c r="L1678" t="s">
        <v>4967</v>
      </c>
    </row>
    <row r="1679" spans="1:12">
      <c r="A1679" t="s">
        <v>4865</v>
      </c>
      <c r="B1679" t="s">
        <v>4866</v>
      </c>
      <c r="C1679" t="s">
        <v>5656</v>
      </c>
      <c r="D1679" t="s">
        <v>4868</v>
      </c>
      <c r="E1679" t="s">
        <v>5657</v>
      </c>
      <c r="F1679" t="s">
        <v>5658</v>
      </c>
      <c r="J1679" t="s">
        <v>5657</v>
      </c>
      <c r="K1679" t="s">
        <v>4966</v>
      </c>
      <c r="L1679" t="s">
        <v>4967</v>
      </c>
    </row>
    <row r="1680" spans="1:12">
      <c r="A1680" t="s">
        <v>4865</v>
      </c>
      <c r="B1680" t="s">
        <v>4866</v>
      </c>
      <c r="C1680" t="s">
        <v>5659</v>
      </c>
      <c r="D1680" t="s">
        <v>4868</v>
      </c>
      <c r="E1680" t="s">
        <v>5660</v>
      </c>
      <c r="F1680" t="s">
        <v>5661</v>
      </c>
      <c r="J1680" t="s">
        <v>5660</v>
      </c>
      <c r="K1680" t="s">
        <v>4966</v>
      </c>
      <c r="L1680" t="s">
        <v>4967</v>
      </c>
    </row>
    <row r="1681" spans="1:12">
      <c r="A1681" t="s">
        <v>4865</v>
      </c>
      <c r="B1681" t="s">
        <v>4866</v>
      </c>
      <c r="C1681" t="s">
        <v>5662</v>
      </c>
      <c r="D1681" t="s">
        <v>4868</v>
      </c>
      <c r="E1681" t="s">
        <v>5663</v>
      </c>
      <c r="F1681" t="s">
        <v>5664</v>
      </c>
    </row>
    <row r="1682" spans="1:12">
      <c r="A1682" t="s">
        <v>4865</v>
      </c>
      <c r="B1682" t="s">
        <v>4866</v>
      </c>
      <c r="C1682" t="s">
        <v>5665</v>
      </c>
      <c r="D1682" t="s">
        <v>4868</v>
      </c>
      <c r="E1682" t="s">
        <v>5666</v>
      </c>
      <c r="F1682" t="s">
        <v>5667</v>
      </c>
      <c r="J1682" t="s">
        <v>5666</v>
      </c>
      <c r="K1682" t="s">
        <v>4966</v>
      </c>
      <c r="L1682" t="s">
        <v>4967</v>
      </c>
    </row>
    <row r="1683" spans="1:12">
      <c r="A1683" t="s">
        <v>4865</v>
      </c>
      <c r="B1683" t="s">
        <v>4866</v>
      </c>
      <c r="C1683" t="s">
        <v>5668</v>
      </c>
      <c r="D1683" t="s">
        <v>4868</v>
      </c>
      <c r="E1683" t="s">
        <v>5669</v>
      </c>
      <c r="F1683" t="s">
        <v>5670</v>
      </c>
      <c r="J1683" t="s">
        <v>5669</v>
      </c>
      <c r="K1683" t="s">
        <v>4966</v>
      </c>
      <c r="L1683" t="s">
        <v>4967</v>
      </c>
    </row>
    <row r="1684" spans="1:12">
      <c r="A1684" t="s">
        <v>4865</v>
      </c>
      <c r="B1684" t="s">
        <v>4866</v>
      </c>
      <c r="C1684" t="s">
        <v>5671</v>
      </c>
      <c r="D1684" t="s">
        <v>4868</v>
      </c>
      <c r="E1684" t="s">
        <v>5672</v>
      </c>
      <c r="F1684" t="s">
        <v>5673</v>
      </c>
      <c r="J1684" t="s">
        <v>5672</v>
      </c>
      <c r="K1684" t="s">
        <v>4966</v>
      </c>
      <c r="L1684" t="s">
        <v>4967</v>
      </c>
    </row>
    <row r="1685" spans="1:12">
      <c r="A1685" t="s">
        <v>4865</v>
      </c>
      <c r="B1685" t="s">
        <v>4866</v>
      </c>
      <c r="C1685" t="s">
        <v>5674</v>
      </c>
      <c r="D1685" t="s">
        <v>4868</v>
      </c>
      <c r="E1685" t="s">
        <v>5675</v>
      </c>
      <c r="F1685" t="s">
        <v>5676</v>
      </c>
      <c r="J1685" t="s">
        <v>5675</v>
      </c>
      <c r="K1685" t="s">
        <v>4966</v>
      </c>
      <c r="L1685" t="s">
        <v>4967</v>
      </c>
    </row>
    <row r="1686" spans="1:12">
      <c r="A1686" t="s">
        <v>4865</v>
      </c>
      <c r="B1686" t="s">
        <v>4866</v>
      </c>
      <c r="C1686" t="s">
        <v>5677</v>
      </c>
      <c r="D1686" t="s">
        <v>4868</v>
      </c>
      <c r="E1686" t="s">
        <v>5678</v>
      </c>
      <c r="F1686" t="s">
        <v>5679</v>
      </c>
      <c r="J1686" t="s">
        <v>5678</v>
      </c>
      <c r="K1686" t="s">
        <v>4966</v>
      </c>
      <c r="L1686" t="s">
        <v>4967</v>
      </c>
    </row>
    <row r="1687" spans="1:12">
      <c r="A1687" t="s">
        <v>4865</v>
      </c>
      <c r="B1687" t="s">
        <v>4866</v>
      </c>
      <c r="C1687" t="s">
        <v>5680</v>
      </c>
      <c r="D1687" t="s">
        <v>4868</v>
      </c>
      <c r="E1687" t="s">
        <v>5681</v>
      </c>
      <c r="F1687" t="s">
        <v>5682</v>
      </c>
      <c r="J1687" t="s">
        <v>5681</v>
      </c>
      <c r="K1687" t="s">
        <v>4966</v>
      </c>
      <c r="L1687" t="s">
        <v>4967</v>
      </c>
    </row>
    <row r="1688" spans="1:12">
      <c r="A1688" t="s">
        <v>4865</v>
      </c>
      <c r="B1688" t="s">
        <v>4866</v>
      </c>
      <c r="C1688" t="s">
        <v>5683</v>
      </c>
      <c r="D1688" t="s">
        <v>4868</v>
      </c>
      <c r="E1688" t="s">
        <v>5684</v>
      </c>
      <c r="F1688" t="s">
        <v>5685</v>
      </c>
      <c r="J1688" t="s">
        <v>5684</v>
      </c>
      <c r="K1688" t="s">
        <v>4966</v>
      </c>
      <c r="L1688" t="s">
        <v>4967</v>
      </c>
    </row>
    <row r="1689" spans="1:12">
      <c r="A1689" t="s">
        <v>4865</v>
      </c>
      <c r="B1689" t="s">
        <v>4866</v>
      </c>
      <c r="C1689" t="s">
        <v>5686</v>
      </c>
      <c r="D1689" t="s">
        <v>4868</v>
      </c>
      <c r="E1689" t="s">
        <v>5687</v>
      </c>
      <c r="F1689" t="s">
        <v>5688</v>
      </c>
      <c r="J1689" t="s">
        <v>5687</v>
      </c>
      <c r="K1689" t="s">
        <v>4966</v>
      </c>
      <c r="L1689" t="s">
        <v>4967</v>
      </c>
    </row>
    <row r="1690" spans="1:12">
      <c r="A1690" t="s">
        <v>4865</v>
      </c>
      <c r="B1690" t="s">
        <v>4866</v>
      </c>
      <c r="C1690" t="s">
        <v>5689</v>
      </c>
      <c r="D1690" t="s">
        <v>4868</v>
      </c>
      <c r="E1690" t="s">
        <v>5690</v>
      </c>
      <c r="F1690" t="s">
        <v>5691</v>
      </c>
      <c r="J1690" t="s">
        <v>5690</v>
      </c>
      <c r="K1690" t="s">
        <v>4966</v>
      </c>
      <c r="L1690" t="s">
        <v>4967</v>
      </c>
    </row>
    <row r="1691" spans="1:12">
      <c r="A1691" t="s">
        <v>4865</v>
      </c>
      <c r="B1691" t="s">
        <v>4866</v>
      </c>
      <c r="C1691" t="s">
        <v>5692</v>
      </c>
      <c r="D1691" t="s">
        <v>4868</v>
      </c>
      <c r="E1691" t="s">
        <v>5693</v>
      </c>
      <c r="F1691" t="s">
        <v>5694</v>
      </c>
      <c r="J1691" t="s">
        <v>5693</v>
      </c>
      <c r="K1691" t="s">
        <v>4966</v>
      </c>
      <c r="L1691" t="s">
        <v>4967</v>
      </c>
    </row>
    <row r="1692" spans="1:12">
      <c r="A1692" t="s">
        <v>4865</v>
      </c>
      <c r="B1692" t="s">
        <v>4866</v>
      </c>
      <c r="C1692" t="s">
        <v>5695</v>
      </c>
      <c r="D1692" t="s">
        <v>4868</v>
      </c>
      <c r="E1692" t="s">
        <v>5696</v>
      </c>
      <c r="F1692" t="s">
        <v>5697</v>
      </c>
      <c r="J1692" t="s">
        <v>5696</v>
      </c>
      <c r="K1692" t="s">
        <v>4966</v>
      </c>
      <c r="L1692" t="s">
        <v>4967</v>
      </c>
    </row>
    <row r="1693" spans="1:12">
      <c r="A1693" t="s">
        <v>4865</v>
      </c>
      <c r="B1693" t="s">
        <v>4866</v>
      </c>
      <c r="C1693" t="s">
        <v>5698</v>
      </c>
      <c r="D1693" t="s">
        <v>4868</v>
      </c>
      <c r="E1693" t="s">
        <v>5699</v>
      </c>
      <c r="F1693" t="s">
        <v>5700</v>
      </c>
      <c r="J1693" t="s">
        <v>5699</v>
      </c>
      <c r="K1693" t="s">
        <v>4966</v>
      </c>
      <c r="L1693" t="s">
        <v>4967</v>
      </c>
    </row>
    <row r="1694" spans="1:12">
      <c r="A1694" t="s">
        <v>4865</v>
      </c>
      <c r="B1694" t="s">
        <v>4866</v>
      </c>
      <c r="C1694" t="s">
        <v>5701</v>
      </c>
      <c r="D1694" t="s">
        <v>4868</v>
      </c>
      <c r="E1694" t="s">
        <v>5702</v>
      </c>
      <c r="F1694" t="s">
        <v>5703</v>
      </c>
      <c r="J1694" t="s">
        <v>5702</v>
      </c>
      <c r="K1694" t="s">
        <v>4966</v>
      </c>
      <c r="L1694" t="s">
        <v>4967</v>
      </c>
    </row>
    <row r="1695" spans="1:12">
      <c r="A1695" t="s">
        <v>4865</v>
      </c>
      <c r="B1695" t="s">
        <v>4866</v>
      </c>
      <c r="C1695" t="s">
        <v>5704</v>
      </c>
      <c r="D1695" t="s">
        <v>4868</v>
      </c>
      <c r="E1695" t="s">
        <v>5705</v>
      </c>
      <c r="F1695" t="s">
        <v>5706</v>
      </c>
      <c r="J1695" t="s">
        <v>5705</v>
      </c>
      <c r="K1695" t="s">
        <v>4966</v>
      </c>
      <c r="L1695" t="s">
        <v>4967</v>
      </c>
    </row>
    <row r="1696" spans="1:12">
      <c r="A1696" t="s">
        <v>4865</v>
      </c>
      <c r="B1696" t="s">
        <v>4866</v>
      </c>
      <c r="C1696" t="s">
        <v>5707</v>
      </c>
      <c r="D1696" t="s">
        <v>4868</v>
      </c>
      <c r="E1696" t="s">
        <v>5708</v>
      </c>
      <c r="F1696" t="s">
        <v>5709</v>
      </c>
      <c r="J1696" t="s">
        <v>5708</v>
      </c>
      <c r="K1696" t="s">
        <v>4966</v>
      </c>
      <c r="L1696" t="s">
        <v>4967</v>
      </c>
    </row>
    <row r="1697" spans="1:12">
      <c r="A1697" t="s">
        <v>4865</v>
      </c>
      <c r="B1697" t="s">
        <v>4866</v>
      </c>
      <c r="C1697" t="s">
        <v>5710</v>
      </c>
      <c r="D1697" t="s">
        <v>4868</v>
      </c>
      <c r="E1697" t="s">
        <v>5711</v>
      </c>
      <c r="F1697" t="s">
        <v>5712</v>
      </c>
      <c r="J1697" t="s">
        <v>5711</v>
      </c>
      <c r="K1697" t="s">
        <v>4966</v>
      </c>
      <c r="L1697" t="s">
        <v>4967</v>
      </c>
    </row>
    <row r="1698" spans="1:12">
      <c r="A1698" t="s">
        <v>4865</v>
      </c>
      <c r="B1698" t="s">
        <v>4866</v>
      </c>
      <c r="C1698" t="s">
        <v>5713</v>
      </c>
      <c r="D1698" t="s">
        <v>4868</v>
      </c>
      <c r="E1698" t="s">
        <v>5714</v>
      </c>
      <c r="F1698" t="s">
        <v>5715</v>
      </c>
      <c r="J1698" t="s">
        <v>5714</v>
      </c>
      <c r="K1698" t="s">
        <v>4966</v>
      </c>
      <c r="L1698" t="s">
        <v>4967</v>
      </c>
    </row>
    <row r="1699" spans="1:12">
      <c r="A1699" t="s">
        <v>4865</v>
      </c>
      <c r="B1699" t="s">
        <v>4866</v>
      </c>
      <c r="C1699" t="s">
        <v>5716</v>
      </c>
      <c r="D1699" t="s">
        <v>4868</v>
      </c>
      <c r="E1699" t="s">
        <v>5717</v>
      </c>
      <c r="F1699" t="s">
        <v>5718</v>
      </c>
      <c r="J1699" t="s">
        <v>5717</v>
      </c>
      <c r="K1699" t="s">
        <v>4966</v>
      </c>
      <c r="L1699" t="s">
        <v>4967</v>
      </c>
    </row>
    <row r="1700" spans="1:12">
      <c r="A1700" t="s">
        <v>4865</v>
      </c>
      <c r="B1700" t="s">
        <v>4866</v>
      </c>
      <c r="C1700" t="s">
        <v>5719</v>
      </c>
      <c r="D1700" t="s">
        <v>4868</v>
      </c>
      <c r="E1700" t="s">
        <v>5720</v>
      </c>
      <c r="F1700" t="s">
        <v>5721</v>
      </c>
      <c r="J1700" t="s">
        <v>5720</v>
      </c>
      <c r="K1700" t="s">
        <v>4966</v>
      </c>
      <c r="L1700" t="s">
        <v>4967</v>
      </c>
    </row>
    <row r="1701" spans="1:12">
      <c r="A1701" t="s">
        <v>4865</v>
      </c>
      <c r="B1701" t="s">
        <v>4866</v>
      </c>
      <c r="C1701" t="s">
        <v>5722</v>
      </c>
      <c r="D1701" t="s">
        <v>4868</v>
      </c>
      <c r="E1701" t="s">
        <v>5723</v>
      </c>
      <c r="F1701" t="s">
        <v>5724</v>
      </c>
      <c r="J1701" t="s">
        <v>5723</v>
      </c>
      <c r="K1701" t="s">
        <v>4966</v>
      </c>
      <c r="L1701" t="s">
        <v>4967</v>
      </c>
    </row>
    <row r="1702" spans="1:12">
      <c r="A1702" t="s">
        <v>4865</v>
      </c>
      <c r="B1702" t="s">
        <v>4866</v>
      </c>
      <c r="C1702" t="s">
        <v>5725</v>
      </c>
      <c r="D1702" t="s">
        <v>4868</v>
      </c>
      <c r="E1702" t="s">
        <v>5726</v>
      </c>
      <c r="F1702" t="s">
        <v>5727</v>
      </c>
      <c r="J1702" t="s">
        <v>5726</v>
      </c>
      <c r="K1702" t="s">
        <v>4966</v>
      </c>
      <c r="L1702" t="s">
        <v>4967</v>
      </c>
    </row>
    <row r="1703" spans="1:12">
      <c r="A1703" t="s">
        <v>4865</v>
      </c>
      <c r="B1703" t="s">
        <v>4866</v>
      </c>
      <c r="C1703" t="s">
        <v>5728</v>
      </c>
      <c r="D1703" t="s">
        <v>4868</v>
      </c>
      <c r="E1703" t="s">
        <v>5729</v>
      </c>
      <c r="F1703" t="s">
        <v>5730</v>
      </c>
      <c r="J1703" t="s">
        <v>5729</v>
      </c>
      <c r="K1703" t="s">
        <v>4966</v>
      </c>
      <c r="L1703" t="s">
        <v>4967</v>
      </c>
    </row>
    <row r="1704" spans="1:12">
      <c r="A1704" t="s">
        <v>4865</v>
      </c>
      <c r="B1704" t="s">
        <v>4866</v>
      </c>
      <c r="C1704" t="s">
        <v>5731</v>
      </c>
      <c r="D1704" t="s">
        <v>4868</v>
      </c>
      <c r="E1704" t="s">
        <v>5732</v>
      </c>
      <c r="F1704" t="s">
        <v>5733</v>
      </c>
      <c r="J1704" t="s">
        <v>5732</v>
      </c>
      <c r="K1704" t="s">
        <v>4966</v>
      </c>
      <c r="L1704" t="s">
        <v>4967</v>
      </c>
    </row>
    <row r="1705" spans="1:12">
      <c r="A1705" t="s">
        <v>4865</v>
      </c>
      <c r="B1705" t="s">
        <v>4866</v>
      </c>
      <c r="C1705" t="s">
        <v>5734</v>
      </c>
      <c r="D1705" t="s">
        <v>4868</v>
      </c>
      <c r="E1705" t="s">
        <v>5735</v>
      </c>
      <c r="F1705" t="s">
        <v>5634</v>
      </c>
      <c r="J1705" t="s">
        <v>5735</v>
      </c>
      <c r="K1705" t="s">
        <v>4966</v>
      </c>
      <c r="L1705" t="s">
        <v>4967</v>
      </c>
    </row>
    <row r="1706" spans="1:12">
      <c r="A1706" t="s">
        <v>4865</v>
      </c>
      <c r="B1706" t="s">
        <v>4866</v>
      </c>
      <c r="C1706" t="s">
        <v>5736</v>
      </c>
      <c r="D1706" t="s">
        <v>4868</v>
      </c>
      <c r="E1706" t="s">
        <v>5737</v>
      </c>
      <c r="F1706" t="s">
        <v>5738</v>
      </c>
      <c r="J1706" t="s">
        <v>5737</v>
      </c>
      <c r="K1706" t="s">
        <v>4966</v>
      </c>
      <c r="L1706" t="s">
        <v>4967</v>
      </c>
    </row>
    <row r="1707" spans="1:12">
      <c r="A1707" t="s">
        <v>4865</v>
      </c>
      <c r="B1707" t="s">
        <v>4866</v>
      </c>
      <c r="C1707" t="s">
        <v>5739</v>
      </c>
      <c r="D1707" t="s">
        <v>4868</v>
      </c>
      <c r="E1707" t="s">
        <v>5740</v>
      </c>
      <c r="F1707" t="s">
        <v>5741</v>
      </c>
      <c r="J1707" t="s">
        <v>5740</v>
      </c>
      <c r="K1707" t="s">
        <v>4966</v>
      </c>
      <c r="L1707" t="s">
        <v>4967</v>
      </c>
    </row>
    <row r="1708" spans="1:12">
      <c r="A1708" t="s">
        <v>4865</v>
      </c>
      <c r="B1708" t="s">
        <v>4866</v>
      </c>
      <c r="C1708" t="s">
        <v>5742</v>
      </c>
      <c r="D1708" t="s">
        <v>4868</v>
      </c>
      <c r="E1708" t="s">
        <v>5743</v>
      </c>
      <c r="F1708" t="s">
        <v>5744</v>
      </c>
      <c r="J1708" t="s">
        <v>5743</v>
      </c>
      <c r="K1708" t="s">
        <v>4966</v>
      </c>
      <c r="L1708" t="s">
        <v>4967</v>
      </c>
    </row>
    <row r="1709" spans="1:12">
      <c r="A1709" t="s">
        <v>4865</v>
      </c>
      <c r="B1709" t="s">
        <v>4866</v>
      </c>
      <c r="C1709" t="s">
        <v>5745</v>
      </c>
      <c r="D1709" t="s">
        <v>4868</v>
      </c>
      <c r="E1709" t="s">
        <v>5746</v>
      </c>
      <c r="F1709" t="s">
        <v>5634</v>
      </c>
      <c r="J1709" t="s">
        <v>5746</v>
      </c>
      <c r="K1709" t="s">
        <v>4966</v>
      </c>
      <c r="L1709" t="s">
        <v>4967</v>
      </c>
    </row>
    <row r="1710" spans="1:12">
      <c r="A1710" t="s">
        <v>4865</v>
      </c>
      <c r="B1710" t="s">
        <v>4866</v>
      </c>
      <c r="C1710" t="s">
        <v>5747</v>
      </c>
      <c r="D1710" t="s">
        <v>4868</v>
      </c>
      <c r="E1710" t="s">
        <v>5748</v>
      </c>
      <c r="F1710" t="s">
        <v>5749</v>
      </c>
      <c r="J1710" t="s">
        <v>5748</v>
      </c>
      <c r="K1710" t="s">
        <v>4966</v>
      </c>
      <c r="L1710" t="s">
        <v>4967</v>
      </c>
    </row>
    <row r="1711" spans="1:12">
      <c r="A1711" t="s">
        <v>4865</v>
      </c>
      <c r="B1711" t="s">
        <v>4866</v>
      </c>
      <c r="C1711" t="s">
        <v>5750</v>
      </c>
      <c r="D1711" t="s">
        <v>4868</v>
      </c>
      <c r="E1711" t="s">
        <v>5751</v>
      </c>
      <c r="F1711" t="s">
        <v>5752</v>
      </c>
      <c r="J1711" t="s">
        <v>5751</v>
      </c>
      <c r="K1711" t="s">
        <v>4966</v>
      </c>
      <c r="L1711" t="s">
        <v>4967</v>
      </c>
    </row>
    <row r="1712" spans="1:12">
      <c r="A1712" t="s">
        <v>4865</v>
      </c>
      <c r="B1712" t="s">
        <v>4866</v>
      </c>
      <c r="C1712" t="s">
        <v>5753</v>
      </c>
      <c r="D1712" t="s">
        <v>4868</v>
      </c>
      <c r="E1712" t="s">
        <v>5754</v>
      </c>
      <c r="F1712" t="s">
        <v>5755</v>
      </c>
      <c r="J1712" t="s">
        <v>5754</v>
      </c>
      <c r="K1712" t="s">
        <v>4966</v>
      </c>
      <c r="L1712" t="s">
        <v>4967</v>
      </c>
    </row>
    <row r="1713" spans="1:12">
      <c r="A1713" t="s">
        <v>4865</v>
      </c>
      <c r="B1713" t="s">
        <v>4866</v>
      </c>
      <c r="C1713" t="s">
        <v>5756</v>
      </c>
      <c r="D1713" t="s">
        <v>4868</v>
      </c>
      <c r="E1713" t="s">
        <v>5757</v>
      </c>
      <c r="F1713" t="s">
        <v>5758</v>
      </c>
      <c r="J1713" t="s">
        <v>5757</v>
      </c>
      <c r="K1713" t="s">
        <v>4966</v>
      </c>
      <c r="L1713" t="s">
        <v>4967</v>
      </c>
    </row>
    <row r="1714" spans="1:12">
      <c r="A1714" t="s">
        <v>4865</v>
      </c>
      <c r="B1714" t="s">
        <v>4866</v>
      </c>
      <c r="C1714" t="s">
        <v>5759</v>
      </c>
      <c r="D1714" t="s">
        <v>4868</v>
      </c>
      <c r="E1714" t="s">
        <v>5760</v>
      </c>
      <c r="F1714" t="s">
        <v>5761</v>
      </c>
      <c r="J1714" t="s">
        <v>5760</v>
      </c>
      <c r="K1714" t="s">
        <v>4966</v>
      </c>
      <c r="L1714" t="s">
        <v>4967</v>
      </c>
    </row>
    <row r="1715" spans="1:12">
      <c r="A1715" t="s">
        <v>4865</v>
      </c>
      <c r="B1715" t="s">
        <v>4866</v>
      </c>
      <c r="C1715" t="s">
        <v>5762</v>
      </c>
      <c r="D1715" t="s">
        <v>4868</v>
      </c>
      <c r="E1715" t="s">
        <v>5763</v>
      </c>
      <c r="F1715" t="s">
        <v>5764</v>
      </c>
      <c r="J1715" t="s">
        <v>5763</v>
      </c>
      <c r="K1715" t="s">
        <v>4966</v>
      </c>
      <c r="L1715" t="s">
        <v>4967</v>
      </c>
    </row>
    <row r="1716" spans="1:12">
      <c r="A1716" t="s">
        <v>4865</v>
      </c>
      <c r="B1716" t="s">
        <v>4866</v>
      </c>
      <c r="C1716" t="s">
        <v>5765</v>
      </c>
      <c r="D1716" t="s">
        <v>4868</v>
      </c>
      <c r="E1716" t="s">
        <v>5766</v>
      </c>
      <c r="F1716" t="s">
        <v>5767</v>
      </c>
      <c r="J1716" t="s">
        <v>5766</v>
      </c>
      <c r="K1716" t="s">
        <v>4966</v>
      </c>
      <c r="L1716" t="s">
        <v>4967</v>
      </c>
    </row>
    <row r="1717" spans="1:12">
      <c r="A1717" t="s">
        <v>4865</v>
      </c>
      <c r="B1717" t="s">
        <v>4866</v>
      </c>
      <c r="C1717" t="s">
        <v>5768</v>
      </c>
      <c r="D1717" t="s">
        <v>4868</v>
      </c>
      <c r="E1717" t="s">
        <v>5769</v>
      </c>
      <c r="F1717" t="s">
        <v>5770</v>
      </c>
      <c r="J1717" t="s">
        <v>5769</v>
      </c>
      <c r="K1717" t="s">
        <v>4966</v>
      </c>
      <c r="L1717" t="s">
        <v>4967</v>
      </c>
    </row>
    <row r="1718" spans="1:12">
      <c r="A1718" t="s">
        <v>4865</v>
      </c>
      <c r="B1718" t="s">
        <v>4866</v>
      </c>
      <c r="C1718" t="s">
        <v>5771</v>
      </c>
      <c r="D1718" t="s">
        <v>4868</v>
      </c>
      <c r="E1718" t="s">
        <v>5772</v>
      </c>
      <c r="F1718" t="s">
        <v>5773</v>
      </c>
      <c r="J1718" t="s">
        <v>5772</v>
      </c>
      <c r="K1718" t="s">
        <v>4966</v>
      </c>
      <c r="L1718" t="s">
        <v>4967</v>
      </c>
    </row>
    <row r="1719" spans="1:12">
      <c r="A1719" t="s">
        <v>4865</v>
      </c>
      <c r="B1719" t="s">
        <v>4866</v>
      </c>
      <c r="C1719" t="s">
        <v>5774</v>
      </c>
      <c r="D1719" t="s">
        <v>4868</v>
      </c>
      <c r="E1719" t="s">
        <v>5775</v>
      </c>
      <c r="F1719" t="s">
        <v>5776</v>
      </c>
      <c r="J1719" t="s">
        <v>5775</v>
      </c>
      <c r="K1719" t="s">
        <v>4966</v>
      </c>
      <c r="L1719" t="s">
        <v>4967</v>
      </c>
    </row>
    <row r="1720" spans="1:12">
      <c r="A1720" t="s">
        <v>4865</v>
      </c>
      <c r="B1720" t="s">
        <v>4866</v>
      </c>
      <c r="C1720" t="s">
        <v>5777</v>
      </c>
      <c r="D1720" t="s">
        <v>4868</v>
      </c>
      <c r="E1720" t="s">
        <v>5778</v>
      </c>
      <c r="F1720" t="s">
        <v>5779</v>
      </c>
      <c r="J1720" t="s">
        <v>5778</v>
      </c>
      <c r="K1720" t="s">
        <v>4966</v>
      </c>
      <c r="L1720" t="s">
        <v>4967</v>
      </c>
    </row>
    <row r="1721" spans="1:12">
      <c r="A1721" t="s">
        <v>4865</v>
      </c>
      <c r="B1721" t="s">
        <v>4866</v>
      </c>
      <c r="C1721" t="s">
        <v>5780</v>
      </c>
      <c r="D1721" t="s">
        <v>4868</v>
      </c>
      <c r="E1721" t="s">
        <v>5781</v>
      </c>
      <c r="F1721" t="s">
        <v>5782</v>
      </c>
      <c r="J1721" t="s">
        <v>5781</v>
      </c>
      <c r="K1721" t="s">
        <v>4966</v>
      </c>
      <c r="L1721" t="s">
        <v>4967</v>
      </c>
    </row>
    <row r="1722" spans="1:12">
      <c r="A1722" t="s">
        <v>4865</v>
      </c>
      <c r="B1722" t="s">
        <v>4866</v>
      </c>
      <c r="C1722" t="s">
        <v>5783</v>
      </c>
      <c r="D1722" t="s">
        <v>4868</v>
      </c>
      <c r="E1722" t="s">
        <v>5784</v>
      </c>
      <c r="F1722" t="s">
        <v>5785</v>
      </c>
      <c r="J1722" t="s">
        <v>5784</v>
      </c>
      <c r="K1722" t="s">
        <v>4966</v>
      </c>
      <c r="L1722" t="s">
        <v>4967</v>
      </c>
    </row>
    <row r="1723" spans="1:12">
      <c r="A1723" t="s">
        <v>4865</v>
      </c>
      <c r="B1723" t="s">
        <v>4866</v>
      </c>
      <c r="C1723" t="s">
        <v>5786</v>
      </c>
      <c r="D1723" t="s">
        <v>4868</v>
      </c>
      <c r="E1723" t="s">
        <v>5787</v>
      </c>
      <c r="F1723" t="s">
        <v>5788</v>
      </c>
      <c r="J1723" t="s">
        <v>5787</v>
      </c>
      <c r="K1723" t="s">
        <v>4966</v>
      </c>
      <c r="L1723" t="s">
        <v>4967</v>
      </c>
    </row>
    <row r="1724" spans="1:12">
      <c r="A1724" t="s">
        <v>4865</v>
      </c>
      <c r="B1724" t="s">
        <v>4866</v>
      </c>
      <c r="C1724" t="s">
        <v>5789</v>
      </c>
      <c r="D1724" t="s">
        <v>4868</v>
      </c>
      <c r="E1724" t="s">
        <v>5790</v>
      </c>
      <c r="F1724" t="s">
        <v>5791</v>
      </c>
      <c r="J1724" t="s">
        <v>5790</v>
      </c>
      <c r="K1724" t="s">
        <v>4966</v>
      </c>
      <c r="L1724" t="s">
        <v>4967</v>
      </c>
    </row>
    <row r="1725" spans="1:12">
      <c r="A1725" t="s">
        <v>4865</v>
      </c>
      <c r="B1725" t="s">
        <v>4866</v>
      </c>
      <c r="C1725" t="s">
        <v>5792</v>
      </c>
      <c r="D1725" t="s">
        <v>4868</v>
      </c>
      <c r="E1725" t="s">
        <v>5793</v>
      </c>
      <c r="F1725" t="s">
        <v>5794</v>
      </c>
      <c r="J1725" t="s">
        <v>5793</v>
      </c>
      <c r="K1725" t="s">
        <v>4966</v>
      </c>
      <c r="L1725" t="s">
        <v>4967</v>
      </c>
    </row>
    <row r="1726" spans="1:12">
      <c r="A1726" t="s">
        <v>4865</v>
      </c>
      <c r="B1726" t="s">
        <v>4866</v>
      </c>
      <c r="C1726" t="s">
        <v>5795</v>
      </c>
      <c r="D1726" t="s">
        <v>4868</v>
      </c>
      <c r="E1726" t="s">
        <v>5796</v>
      </c>
      <c r="F1726" t="s">
        <v>5797</v>
      </c>
      <c r="J1726" t="s">
        <v>5796</v>
      </c>
      <c r="K1726" t="s">
        <v>4966</v>
      </c>
      <c r="L1726" t="s">
        <v>4967</v>
      </c>
    </row>
    <row r="1727" spans="1:12">
      <c r="A1727" t="s">
        <v>4865</v>
      </c>
      <c r="B1727" t="s">
        <v>4866</v>
      </c>
      <c r="C1727" t="s">
        <v>5798</v>
      </c>
      <c r="D1727" t="s">
        <v>4868</v>
      </c>
      <c r="E1727" t="s">
        <v>5799</v>
      </c>
      <c r="F1727" t="s">
        <v>5800</v>
      </c>
    </row>
    <row r="1728" spans="1:12">
      <c r="A1728" t="s">
        <v>4865</v>
      </c>
      <c r="B1728" t="s">
        <v>4866</v>
      </c>
      <c r="C1728" t="s">
        <v>5801</v>
      </c>
      <c r="D1728" t="s">
        <v>4868</v>
      </c>
      <c r="E1728" t="s">
        <v>5802</v>
      </c>
      <c r="F1728" t="s">
        <v>5803</v>
      </c>
      <c r="J1728" t="s">
        <v>5802</v>
      </c>
      <c r="K1728" t="s">
        <v>4966</v>
      </c>
      <c r="L1728" t="s">
        <v>4967</v>
      </c>
    </row>
    <row r="1729" spans="1:12">
      <c r="A1729" t="s">
        <v>4865</v>
      </c>
      <c r="B1729" t="s">
        <v>4866</v>
      </c>
      <c r="C1729" t="s">
        <v>5804</v>
      </c>
      <c r="D1729" t="s">
        <v>4868</v>
      </c>
      <c r="E1729" t="s">
        <v>5805</v>
      </c>
      <c r="F1729" t="s">
        <v>5806</v>
      </c>
      <c r="J1729" t="s">
        <v>5805</v>
      </c>
      <c r="K1729" t="s">
        <v>4966</v>
      </c>
      <c r="L1729" t="s">
        <v>4967</v>
      </c>
    </row>
    <row r="1730" spans="1:12">
      <c r="A1730" t="s">
        <v>4865</v>
      </c>
      <c r="B1730" t="s">
        <v>4866</v>
      </c>
      <c r="C1730" t="s">
        <v>5807</v>
      </c>
      <c r="D1730" t="s">
        <v>4868</v>
      </c>
      <c r="E1730" t="s">
        <v>5808</v>
      </c>
      <c r="F1730" t="s">
        <v>5809</v>
      </c>
      <c r="J1730" t="s">
        <v>5808</v>
      </c>
      <c r="K1730" t="s">
        <v>4966</v>
      </c>
      <c r="L1730" t="s">
        <v>4967</v>
      </c>
    </row>
    <row r="1731" spans="1:12">
      <c r="A1731" t="s">
        <v>4865</v>
      </c>
      <c r="B1731" t="s">
        <v>4866</v>
      </c>
      <c r="C1731" t="s">
        <v>5810</v>
      </c>
      <c r="D1731" t="s">
        <v>4868</v>
      </c>
      <c r="E1731" t="s">
        <v>5811</v>
      </c>
      <c r="F1731" t="s">
        <v>5812</v>
      </c>
    </row>
    <row r="1732" spans="1:12">
      <c r="A1732" t="s">
        <v>4865</v>
      </c>
      <c r="B1732" t="s">
        <v>4866</v>
      </c>
      <c r="C1732" t="s">
        <v>5813</v>
      </c>
      <c r="D1732" t="s">
        <v>4868</v>
      </c>
      <c r="E1732" t="s">
        <v>5814</v>
      </c>
      <c r="F1732" t="s">
        <v>5815</v>
      </c>
    </row>
    <row r="1733" spans="1:12">
      <c r="A1733" t="s">
        <v>4865</v>
      </c>
      <c r="B1733" t="s">
        <v>4866</v>
      </c>
      <c r="C1733" t="s">
        <v>5816</v>
      </c>
      <c r="D1733" t="s">
        <v>4868</v>
      </c>
      <c r="E1733" t="s">
        <v>5817</v>
      </c>
      <c r="F1733" t="s">
        <v>5818</v>
      </c>
      <c r="J1733" t="s">
        <v>5817</v>
      </c>
      <c r="K1733" t="s">
        <v>4966</v>
      </c>
      <c r="L1733" t="s">
        <v>4967</v>
      </c>
    </row>
    <row r="1734" spans="1:12">
      <c r="A1734" t="s">
        <v>4865</v>
      </c>
      <c r="B1734" t="s">
        <v>4866</v>
      </c>
      <c r="C1734" t="s">
        <v>5819</v>
      </c>
      <c r="D1734" t="s">
        <v>4868</v>
      </c>
      <c r="E1734" t="s">
        <v>5820</v>
      </c>
      <c r="F1734" t="s">
        <v>5821</v>
      </c>
    </row>
    <row r="1735" spans="1:12">
      <c r="A1735" t="s">
        <v>4865</v>
      </c>
      <c r="B1735" t="s">
        <v>4866</v>
      </c>
      <c r="C1735" t="s">
        <v>5822</v>
      </c>
      <c r="D1735" t="s">
        <v>4868</v>
      </c>
      <c r="E1735" t="s">
        <v>5823</v>
      </c>
      <c r="F1735" t="s">
        <v>5824</v>
      </c>
      <c r="J1735" t="s">
        <v>5823</v>
      </c>
      <c r="K1735" t="s">
        <v>4966</v>
      </c>
      <c r="L1735" t="s">
        <v>4967</v>
      </c>
    </row>
    <row r="1736" spans="1:12">
      <c r="A1736" t="s">
        <v>4865</v>
      </c>
      <c r="B1736" t="s">
        <v>4866</v>
      </c>
      <c r="C1736" t="s">
        <v>5825</v>
      </c>
      <c r="D1736" t="s">
        <v>4868</v>
      </c>
      <c r="E1736" t="s">
        <v>5826</v>
      </c>
      <c r="F1736" t="s">
        <v>5827</v>
      </c>
      <c r="J1736" t="s">
        <v>5826</v>
      </c>
      <c r="K1736" t="s">
        <v>4966</v>
      </c>
      <c r="L1736" t="s">
        <v>4967</v>
      </c>
    </row>
    <row r="1737" spans="1:12">
      <c r="A1737" t="s">
        <v>4865</v>
      </c>
      <c r="B1737" t="s">
        <v>4866</v>
      </c>
      <c r="C1737" t="s">
        <v>5828</v>
      </c>
      <c r="D1737" t="s">
        <v>4868</v>
      </c>
      <c r="E1737" t="s">
        <v>5829</v>
      </c>
      <c r="F1737" t="s">
        <v>5830</v>
      </c>
      <c r="J1737" t="s">
        <v>5829</v>
      </c>
      <c r="K1737" t="s">
        <v>4966</v>
      </c>
      <c r="L1737" t="s">
        <v>4967</v>
      </c>
    </row>
    <row r="1738" spans="1:12">
      <c r="A1738" t="s">
        <v>4865</v>
      </c>
      <c r="B1738" t="s">
        <v>4866</v>
      </c>
      <c r="C1738" t="s">
        <v>5831</v>
      </c>
      <c r="D1738" t="s">
        <v>4868</v>
      </c>
      <c r="E1738" t="s">
        <v>5832</v>
      </c>
      <c r="F1738" t="s">
        <v>5833</v>
      </c>
      <c r="J1738" t="s">
        <v>5832</v>
      </c>
      <c r="K1738" t="s">
        <v>4966</v>
      </c>
      <c r="L1738" t="s">
        <v>4967</v>
      </c>
    </row>
    <row r="1739" spans="1:12">
      <c r="A1739" t="s">
        <v>4865</v>
      </c>
      <c r="B1739" t="s">
        <v>4866</v>
      </c>
      <c r="C1739" t="s">
        <v>5834</v>
      </c>
      <c r="D1739" t="s">
        <v>4868</v>
      </c>
      <c r="E1739" t="s">
        <v>5835</v>
      </c>
      <c r="F1739" t="s">
        <v>5836</v>
      </c>
      <c r="J1739" t="s">
        <v>5835</v>
      </c>
      <c r="K1739" t="s">
        <v>4966</v>
      </c>
      <c r="L1739" t="s">
        <v>4967</v>
      </c>
    </row>
    <row r="1740" spans="1:12">
      <c r="A1740" t="s">
        <v>4865</v>
      </c>
      <c r="B1740" t="s">
        <v>4866</v>
      </c>
      <c r="C1740" t="s">
        <v>5837</v>
      </c>
      <c r="D1740" t="s">
        <v>4868</v>
      </c>
      <c r="E1740" t="s">
        <v>5838</v>
      </c>
      <c r="F1740" t="s">
        <v>5839</v>
      </c>
      <c r="J1740" t="s">
        <v>5838</v>
      </c>
      <c r="K1740" t="s">
        <v>4966</v>
      </c>
      <c r="L1740" t="s">
        <v>4967</v>
      </c>
    </row>
    <row r="1741" spans="1:12">
      <c r="A1741" t="s">
        <v>4865</v>
      </c>
      <c r="B1741" t="s">
        <v>4866</v>
      </c>
      <c r="C1741" t="s">
        <v>5840</v>
      </c>
      <c r="D1741" t="s">
        <v>4868</v>
      </c>
      <c r="E1741" t="s">
        <v>5841</v>
      </c>
      <c r="F1741" t="s">
        <v>5842</v>
      </c>
      <c r="J1741" t="s">
        <v>5841</v>
      </c>
      <c r="K1741" t="s">
        <v>4966</v>
      </c>
      <c r="L1741" t="s">
        <v>4967</v>
      </c>
    </row>
    <row r="1742" spans="1:12">
      <c r="A1742" t="s">
        <v>4865</v>
      </c>
      <c r="B1742" t="s">
        <v>4866</v>
      </c>
      <c r="C1742" t="s">
        <v>5843</v>
      </c>
      <c r="D1742" t="s">
        <v>4868</v>
      </c>
      <c r="E1742" t="s">
        <v>5844</v>
      </c>
      <c r="F1742" t="s">
        <v>5845</v>
      </c>
      <c r="J1742" t="s">
        <v>5844</v>
      </c>
      <c r="K1742" t="s">
        <v>4966</v>
      </c>
      <c r="L1742" t="s">
        <v>4967</v>
      </c>
    </row>
    <row r="1743" spans="1:12">
      <c r="A1743" t="s">
        <v>4865</v>
      </c>
      <c r="B1743" t="s">
        <v>4866</v>
      </c>
      <c r="C1743" t="s">
        <v>5846</v>
      </c>
      <c r="D1743" t="s">
        <v>4868</v>
      </c>
      <c r="E1743" t="s">
        <v>5847</v>
      </c>
      <c r="F1743" t="s">
        <v>5848</v>
      </c>
      <c r="J1743" t="s">
        <v>5847</v>
      </c>
      <c r="K1743" t="s">
        <v>4966</v>
      </c>
      <c r="L1743" t="s">
        <v>4967</v>
      </c>
    </row>
    <row r="1744" spans="1:12">
      <c r="A1744" t="s">
        <v>4865</v>
      </c>
      <c r="B1744" t="s">
        <v>4866</v>
      </c>
      <c r="C1744" t="s">
        <v>5849</v>
      </c>
      <c r="D1744" t="s">
        <v>4868</v>
      </c>
      <c r="E1744" t="s">
        <v>5850</v>
      </c>
      <c r="F1744" t="s">
        <v>5851</v>
      </c>
      <c r="J1744" t="s">
        <v>5850</v>
      </c>
      <c r="K1744" t="s">
        <v>4966</v>
      </c>
      <c r="L1744" t="s">
        <v>4967</v>
      </c>
    </row>
    <row r="1745" spans="1:12">
      <c r="A1745" t="s">
        <v>4865</v>
      </c>
      <c r="B1745" t="s">
        <v>4866</v>
      </c>
      <c r="C1745" t="s">
        <v>5852</v>
      </c>
      <c r="D1745" t="s">
        <v>4868</v>
      </c>
      <c r="E1745" t="s">
        <v>5853</v>
      </c>
      <c r="F1745" t="s">
        <v>5854</v>
      </c>
      <c r="J1745" t="s">
        <v>5853</v>
      </c>
      <c r="K1745" t="s">
        <v>4966</v>
      </c>
      <c r="L1745" t="s">
        <v>4967</v>
      </c>
    </row>
    <row r="1746" spans="1:12">
      <c r="A1746" t="s">
        <v>4865</v>
      </c>
      <c r="B1746" t="s">
        <v>4866</v>
      </c>
      <c r="C1746" t="s">
        <v>5855</v>
      </c>
      <c r="D1746" t="s">
        <v>4868</v>
      </c>
      <c r="E1746" t="s">
        <v>5856</v>
      </c>
      <c r="F1746" t="s">
        <v>5857</v>
      </c>
      <c r="J1746" t="s">
        <v>5856</v>
      </c>
      <c r="K1746" t="s">
        <v>4966</v>
      </c>
      <c r="L1746" t="s">
        <v>4967</v>
      </c>
    </row>
    <row r="1747" spans="1:12">
      <c r="A1747" t="s">
        <v>4865</v>
      </c>
      <c r="B1747" t="s">
        <v>4866</v>
      </c>
      <c r="C1747" t="s">
        <v>5858</v>
      </c>
      <c r="D1747" t="s">
        <v>4868</v>
      </c>
      <c r="E1747" t="s">
        <v>5859</v>
      </c>
      <c r="F1747" t="s">
        <v>5860</v>
      </c>
      <c r="J1747" t="s">
        <v>5859</v>
      </c>
      <c r="K1747" t="s">
        <v>4966</v>
      </c>
      <c r="L1747" t="s">
        <v>4967</v>
      </c>
    </row>
    <row r="1748" spans="1:12">
      <c r="A1748" t="s">
        <v>4865</v>
      </c>
      <c r="B1748" t="s">
        <v>4866</v>
      </c>
      <c r="C1748" t="s">
        <v>5861</v>
      </c>
      <c r="D1748" t="s">
        <v>4868</v>
      </c>
      <c r="E1748" t="s">
        <v>5862</v>
      </c>
      <c r="F1748" t="s">
        <v>5863</v>
      </c>
      <c r="J1748" t="s">
        <v>5862</v>
      </c>
      <c r="K1748" t="s">
        <v>4966</v>
      </c>
      <c r="L1748" t="s">
        <v>4967</v>
      </c>
    </row>
    <row r="1749" spans="1:12">
      <c r="A1749" t="s">
        <v>4865</v>
      </c>
      <c r="B1749" t="s">
        <v>4866</v>
      </c>
      <c r="C1749" t="s">
        <v>5864</v>
      </c>
      <c r="D1749" t="s">
        <v>4868</v>
      </c>
      <c r="E1749" t="s">
        <v>5865</v>
      </c>
      <c r="F1749" t="s">
        <v>5866</v>
      </c>
      <c r="J1749" t="s">
        <v>5865</v>
      </c>
      <c r="K1749" t="s">
        <v>4966</v>
      </c>
      <c r="L1749" t="s">
        <v>4967</v>
      </c>
    </row>
    <row r="1750" spans="1:12">
      <c r="A1750" t="s">
        <v>4865</v>
      </c>
      <c r="B1750" t="s">
        <v>4866</v>
      </c>
      <c r="C1750" t="s">
        <v>5867</v>
      </c>
      <c r="D1750" t="s">
        <v>4868</v>
      </c>
      <c r="E1750" t="s">
        <v>5868</v>
      </c>
      <c r="F1750" t="s">
        <v>5869</v>
      </c>
      <c r="J1750" t="s">
        <v>5868</v>
      </c>
      <c r="K1750" t="s">
        <v>4966</v>
      </c>
      <c r="L1750" t="s">
        <v>4967</v>
      </c>
    </row>
    <row r="1751" spans="1:12">
      <c r="A1751" t="s">
        <v>4865</v>
      </c>
      <c r="B1751" t="s">
        <v>4866</v>
      </c>
      <c r="C1751" t="s">
        <v>5870</v>
      </c>
      <c r="D1751" t="s">
        <v>4868</v>
      </c>
      <c r="E1751" t="s">
        <v>5871</v>
      </c>
      <c r="F1751" t="s">
        <v>5872</v>
      </c>
      <c r="J1751" t="s">
        <v>5871</v>
      </c>
      <c r="K1751" t="s">
        <v>4966</v>
      </c>
      <c r="L1751" t="s">
        <v>4967</v>
      </c>
    </row>
    <row r="1752" spans="1:12">
      <c r="A1752" t="s">
        <v>4865</v>
      </c>
      <c r="B1752" t="s">
        <v>4866</v>
      </c>
      <c r="C1752" t="s">
        <v>5873</v>
      </c>
      <c r="D1752" t="s">
        <v>4868</v>
      </c>
      <c r="E1752" t="s">
        <v>5874</v>
      </c>
      <c r="F1752" t="s">
        <v>5875</v>
      </c>
      <c r="J1752" t="s">
        <v>5874</v>
      </c>
      <c r="K1752" t="s">
        <v>4966</v>
      </c>
      <c r="L1752" t="s">
        <v>4967</v>
      </c>
    </row>
    <row r="1753" spans="1:12">
      <c r="A1753" t="s">
        <v>4865</v>
      </c>
      <c r="B1753" t="s">
        <v>4866</v>
      </c>
      <c r="C1753" t="s">
        <v>5876</v>
      </c>
      <c r="D1753" t="s">
        <v>4868</v>
      </c>
      <c r="E1753" t="s">
        <v>5877</v>
      </c>
      <c r="F1753" t="s">
        <v>5878</v>
      </c>
      <c r="J1753" t="s">
        <v>5877</v>
      </c>
      <c r="K1753" t="s">
        <v>4966</v>
      </c>
      <c r="L1753" t="s">
        <v>4967</v>
      </c>
    </row>
    <row r="1754" spans="1:12">
      <c r="A1754" t="s">
        <v>4865</v>
      </c>
      <c r="B1754" t="s">
        <v>4866</v>
      </c>
      <c r="C1754" t="s">
        <v>5879</v>
      </c>
      <c r="D1754" t="s">
        <v>4868</v>
      </c>
      <c r="E1754" t="s">
        <v>5880</v>
      </c>
      <c r="F1754" t="s">
        <v>5881</v>
      </c>
      <c r="J1754" t="s">
        <v>5880</v>
      </c>
      <c r="K1754" t="s">
        <v>4966</v>
      </c>
      <c r="L1754" t="s">
        <v>4967</v>
      </c>
    </row>
    <row r="1755" spans="1:12">
      <c r="A1755" t="s">
        <v>4865</v>
      </c>
      <c r="B1755" t="s">
        <v>4866</v>
      </c>
      <c r="C1755" t="s">
        <v>5882</v>
      </c>
      <c r="D1755" t="s">
        <v>4868</v>
      </c>
      <c r="E1755" t="s">
        <v>5883</v>
      </c>
      <c r="F1755" t="s">
        <v>5884</v>
      </c>
      <c r="J1755" t="s">
        <v>5883</v>
      </c>
      <c r="K1755" t="s">
        <v>4966</v>
      </c>
      <c r="L1755" t="s">
        <v>4967</v>
      </c>
    </row>
    <row r="1756" spans="1:12">
      <c r="A1756" t="s">
        <v>4865</v>
      </c>
      <c r="B1756" t="s">
        <v>4866</v>
      </c>
      <c r="C1756" t="s">
        <v>5885</v>
      </c>
      <c r="D1756" t="s">
        <v>4868</v>
      </c>
      <c r="E1756" t="s">
        <v>5886</v>
      </c>
      <c r="F1756" t="s">
        <v>5887</v>
      </c>
      <c r="J1756" t="s">
        <v>5886</v>
      </c>
      <c r="K1756" t="s">
        <v>4966</v>
      </c>
      <c r="L1756" t="s">
        <v>4967</v>
      </c>
    </row>
    <row r="1757" spans="1:12">
      <c r="A1757" t="s">
        <v>4865</v>
      </c>
      <c r="B1757" t="s">
        <v>4866</v>
      </c>
      <c r="C1757" t="s">
        <v>5888</v>
      </c>
      <c r="D1757" t="s">
        <v>4868</v>
      </c>
      <c r="E1757" t="s">
        <v>5889</v>
      </c>
      <c r="F1757" t="s">
        <v>5890</v>
      </c>
      <c r="J1757" t="s">
        <v>5889</v>
      </c>
      <c r="K1757" t="s">
        <v>4966</v>
      </c>
      <c r="L1757" t="s">
        <v>4967</v>
      </c>
    </row>
    <row r="1758" spans="1:12">
      <c r="A1758" t="s">
        <v>4865</v>
      </c>
      <c r="B1758" t="s">
        <v>4866</v>
      </c>
      <c r="C1758" t="s">
        <v>5891</v>
      </c>
      <c r="D1758" t="s">
        <v>4868</v>
      </c>
      <c r="E1758" t="s">
        <v>5892</v>
      </c>
      <c r="F1758" t="s">
        <v>5893</v>
      </c>
    </row>
    <row r="1759" spans="1:12">
      <c r="A1759" t="s">
        <v>4865</v>
      </c>
      <c r="B1759" t="s">
        <v>4866</v>
      </c>
      <c r="C1759" t="s">
        <v>5894</v>
      </c>
      <c r="D1759" t="s">
        <v>4868</v>
      </c>
      <c r="E1759" t="s">
        <v>5895</v>
      </c>
      <c r="F1759" t="s">
        <v>5896</v>
      </c>
      <c r="J1759" t="s">
        <v>5895</v>
      </c>
      <c r="K1759" t="s">
        <v>4966</v>
      </c>
      <c r="L1759" t="s">
        <v>4967</v>
      </c>
    </row>
    <row r="1760" spans="1:12">
      <c r="A1760" t="s">
        <v>4865</v>
      </c>
      <c r="B1760" t="s">
        <v>4866</v>
      </c>
      <c r="C1760" t="s">
        <v>5897</v>
      </c>
      <c r="D1760" t="s">
        <v>4868</v>
      </c>
      <c r="E1760" t="s">
        <v>5898</v>
      </c>
      <c r="F1760" t="s">
        <v>5899</v>
      </c>
      <c r="J1760" t="s">
        <v>5898</v>
      </c>
      <c r="K1760" t="s">
        <v>4966</v>
      </c>
      <c r="L1760" t="s">
        <v>4967</v>
      </c>
    </row>
    <row r="1761" spans="1:12">
      <c r="A1761" t="s">
        <v>4865</v>
      </c>
      <c r="B1761" t="s">
        <v>4866</v>
      </c>
      <c r="C1761" t="s">
        <v>5900</v>
      </c>
      <c r="D1761" t="s">
        <v>4868</v>
      </c>
      <c r="E1761" t="s">
        <v>5901</v>
      </c>
      <c r="F1761" t="s">
        <v>5788</v>
      </c>
      <c r="J1761" t="s">
        <v>5901</v>
      </c>
      <c r="K1761" t="s">
        <v>4966</v>
      </c>
      <c r="L1761" t="s">
        <v>4967</v>
      </c>
    </row>
    <row r="1762" spans="1:12">
      <c r="A1762" t="s">
        <v>4865</v>
      </c>
      <c r="B1762" t="s">
        <v>4866</v>
      </c>
      <c r="C1762" t="s">
        <v>5902</v>
      </c>
      <c r="D1762" t="s">
        <v>4868</v>
      </c>
      <c r="E1762" t="s">
        <v>5903</v>
      </c>
      <c r="F1762" t="s">
        <v>5904</v>
      </c>
      <c r="J1762" t="s">
        <v>5903</v>
      </c>
      <c r="K1762" t="s">
        <v>4966</v>
      </c>
      <c r="L1762" t="s">
        <v>4967</v>
      </c>
    </row>
    <row r="1763" spans="1:12">
      <c r="A1763" t="s">
        <v>4865</v>
      </c>
      <c r="B1763" t="s">
        <v>4866</v>
      </c>
      <c r="C1763" t="s">
        <v>5905</v>
      </c>
      <c r="D1763" t="s">
        <v>4868</v>
      </c>
      <c r="E1763" t="s">
        <v>5906</v>
      </c>
      <c r="F1763" t="s">
        <v>5907</v>
      </c>
      <c r="J1763" t="s">
        <v>5906</v>
      </c>
      <c r="K1763" t="s">
        <v>4966</v>
      </c>
      <c r="L1763" t="s">
        <v>4967</v>
      </c>
    </row>
    <row r="1764" spans="1:12">
      <c r="A1764" t="s">
        <v>4865</v>
      </c>
      <c r="B1764" t="s">
        <v>4866</v>
      </c>
      <c r="C1764" t="s">
        <v>5908</v>
      </c>
      <c r="D1764" t="s">
        <v>4868</v>
      </c>
      <c r="E1764" t="s">
        <v>5909</v>
      </c>
      <c r="F1764" t="s">
        <v>5910</v>
      </c>
      <c r="J1764" t="s">
        <v>5909</v>
      </c>
      <c r="K1764" t="s">
        <v>4966</v>
      </c>
      <c r="L1764" t="s">
        <v>4967</v>
      </c>
    </row>
    <row r="1765" spans="1:12">
      <c r="A1765" t="s">
        <v>4865</v>
      </c>
      <c r="B1765" t="s">
        <v>4866</v>
      </c>
      <c r="C1765" t="s">
        <v>5911</v>
      </c>
      <c r="D1765" t="s">
        <v>4868</v>
      </c>
      <c r="E1765" t="s">
        <v>5912</v>
      </c>
      <c r="F1765" t="s">
        <v>5913</v>
      </c>
      <c r="J1765" t="s">
        <v>5912</v>
      </c>
      <c r="K1765" t="s">
        <v>4966</v>
      </c>
      <c r="L1765" t="s">
        <v>4967</v>
      </c>
    </row>
    <row r="1766" spans="1:12">
      <c r="A1766" t="s">
        <v>4865</v>
      </c>
      <c r="B1766" t="s">
        <v>4866</v>
      </c>
      <c r="C1766" t="s">
        <v>5914</v>
      </c>
      <c r="D1766" t="s">
        <v>4868</v>
      </c>
      <c r="E1766" t="s">
        <v>5915</v>
      </c>
      <c r="F1766" t="s">
        <v>5916</v>
      </c>
      <c r="J1766" t="s">
        <v>5915</v>
      </c>
      <c r="K1766" t="s">
        <v>4966</v>
      </c>
      <c r="L1766" t="s">
        <v>4967</v>
      </c>
    </row>
    <row r="1767" spans="1:12">
      <c r="A1767" t="s">
        <v>4865</v>
      </c>
      <c r="B1767" t="s">
        <v>4866</v>
      </c>
      <c r="C1767" t="s">
        <v>5917</v>
      </c>
      <c r="D1767" t="s">
        <v>4868</v>
      </c>
      <c r="E1767" t="s">
        <v>5918</v>
      </c>
      <c r="F1767" t="s">
        <v>5919</v>
      </c>
      <c r="J1767" t="s">
        <v>5918</v>
      </c>
      <c r="K1767" t="s">
        <v>4966</v>
      </c>
      <c r="L1767" t="s">
        <v>4967</v>
      </c>
    </row>
    <row r="1768" spans="1:12">
      <c r="A1768" t="s">
        <v>4865</v>
      </c>
      <c r="B1768" t="s">
        <v>4866</v>
      </c>
      <c r="C1768" t="s">
        <v>5920</v>
      </c>
      <c r="D1768" t="s">
        <v>4868</v>
      </c>
      <c r="E1768" t="s">
        <v>5921</v>
      </c>
      <c r="F1768" t="s">
        <v>5922</v>
      </c>
      <c r="J1768" t="s">
        <v>5921</v>
      </c>
      <c r="K1768" t="s">
        <v>4966</v>
      </c>
      <c r="L1768" t="s">
        <v>4967</v>
      </c>
    </row>
    <row r="1769" spans="1:12">
      <c r="A1769" t="s">
        <v>4865</v>
      </c>
      <c r="B1769" t="s">
        <v>4866</v>
      </c>
      <c r="C1769" t="s">
        <v>5923</v>
      </c>
      <c r="D1769" t="s">
        <v>4868</v>
      </c>
      <c r="E1769" t="s">
        <v>5924</v>
      </c>
      <c r="F1769" t="s">
        <v>5925</v>
      </c>
      <c r="J1769" t="s">
        <v>5924</v>
      </c>
      <c r="K1769" t="s">
        <v>4966</v>
      </c>
      <c r="L1769" t="s">
        <v>4967</v>
      </c>
    </row>
    <row r="1770" spans="1:12">
      <c r="A1770" t="s">
        <v>4865</v>
      </c>
      <c r="B1770" t="s">
        <v>4866</v>
      </c>
      <c r="C1770" t="s">
        <v>5926</v>
      </c>
      <c r="D1770" t="s">
        <v>4868</v>
      </c>
      <c r="E1770" t="s">
        <v>5927</v>
      </c>
      <c r="F1770" t="s">
        <v>5928</v>
      </c>
      <c r="J1770" t="s">
        <v>5927</v>
      </c>
      <c r="K1770" t="s">
        <v>4966</v>
      </c>
      <c r="L1770" t="s">
        <v>4967</v>
      </c>
    </row>
    <row r="1771" spans="1:12">
      <c r="A1771" t="s">
        <v>4865</v>
      </c>
      <c r="B1771" t="s">
        <v>4866</v>
      </c>
      <c r="C1771" t="s">
        <v>5929</v>
      </c>
      <c r="D1771" t="s">
        <v>4868</v>
      </c>
      <c r="E1771" t="s">
        <v>5930</v>
      </c>
      <c r="F1771" t="s">
        <v>5931</v>
      </c>
      <c r="J1771" t="s">
        <v>5930</v>
      </c>
      <c r="K1771" t="s">
        <v>4966</v>
      </c>
      <c r="L1771" t="s">
        <v>4967</v>
      </c>
    </row>
    <row r="1772" spans="1:12">
      <c r="A1772" t="s">
        <v>4865</v>
      </c>
      <c r="B1772" t="s">
        <v>4866</v>
      </c>
      <c r="C1772" t="s">
        <v>5932</v>
      </c>
      <c r="D1772" t="s">
        <v>4868</v>
      </c>
      <c r="E1772" t="s">
        <v>5933</v>
      </c>
      <c r="F1772" t="s">
        <v>5934</v>
      </c>
      <c r="J1772" t="s">
        <v>5933</v>
      </c>
      <c r="K1772" t="s">
        <v>4966</v>
      </c>
      <c r="L1772" t="s">
        <v>4967</v>
      </c>
    </row>
    <row r="1773" spans="1:12">
      <c r="A1773" t="s">
        <v>4865</v>
      </c>
      <c r="B1773" t="s">
        <v>4866</v>
      </c>
      <c r="C1773" t="s">
        <v>5935</v>
      </c>
      <c r="D1773" t="s">
        <v>4868</v>
      </c>
      <c r="E1773" t="s">
        <v>5936</v>
      </c>
      <c r="F1773" t="s">
        <v>5937</v>
      </c>
    </row>
    <row r="1774" spans="1:12">
      <c r="A1774" t="s">
        <v>4865</v>
      </c>
      <c r="B1774" t="s">
        <v>4866</v>
      </c>
      <c r="C1774" t="s">
        <v>5938</v>
      </c>
      <c r="D1774" t="s">
        <v>4868</v>
      </c>
      <c r="E1774" t="s">
        <v>5939</v>
      </c>
      <c r="F1774" t="s">
        <v>5940</v>
      </c>
      <c r="J1774" t="s">
        <v>5939</v>
      </c>
      <c r="K1774" t="s">
        <v>4966</v>
      </c>
      <c r="L1774" t="s">
        <v>4967</v>
      </c>
    </row>
    <row r="1775" spans="1:12">
      <c r="A1775" t="s">
        <v>4865</v>
      </c>
      <c r="B1775" t="s">
        <v>4866</v>
      </c>
      <c r="C1775" t="s">
        <v>5941</v>
      </c>
      <c r="D1775" t="s">
        <v>4868</v>
      </c>
      <c r="E1775" t="s">
        <v>5942</v>
      </c>
      <c r="F1775" t="s">
        <v>5943</v>
      </c>
      <c r="J1775" t="s">
        <v>5942</v>
      </c>
      <c r="K1775" t="s">
        <v>4966</v>
      </c>
      <c r="L1775" t="s">
        <v>4967</v>
      </c>
    </row>
    <row r="1776" spans="1:12">
      <c r="A1776" t="s">
        <v>4865</v>
      </c>
      <c r="B1776" t="s">
        <v>4866</v>
      </c>
      <c r="C1776" t="s">
        <v>5944</v>
      </c>
      <c r="D1776" t="s">
        <v>4868</v>
      </c>
      <c r="E1776" t="s">
        <v>5945</v>
      </c>
      <c r="F1776" t="s">
        <v>5946</v>
      </c>
      <c r="J1776" t="s">
        <v>5945</v>
      </c>
      <c r="K1776" t="s">
        <v>4966</v>
      </c>
      <c r="L1776" t="s">
        <v>4967</v>
      </c>
    </row>
    <row r="1777" spans="1:12">
      <c r="A1777" t="s">
        <v>4865</v>
      </c>
      <c r="B1777" t="s">
        <v>4866</v>
      </c>
      <c r="C1777" t="s">
        <v>5947</v>
      </c>
      <c r="D1777" t="s">
        <v>4868</v>
      </c>
      <c r="E1777" t="s">
        <v>5948</v>
      </c>
      <c r="F1777" t="s">
        <v>5949</v>
      </c>
    </row>
    <row r="1778" spans="1:12">
      <c r="A1778" t="s">
        <v>4865</v>
      </c>
      <c r="B1778" t="s">
        <v>4866</v>
      </c>
      <c r="C1778" t="s">
        <v>5950</v>
      </c>
      <c r="D1778" t="s">
        <v>4868</v>
      </c>
      <c r="E1778" t="s">
        <v>5951</v>
      </c>
      <c r="F1778" t="s">
        <v>5952</v>
      </c>
      <c r="J1778" t="s">
        <v>5951</v>
      </c>
      <c r="K1778" t="s">
        <v>4966</v>
      </c>
      <c r="L1778" t="s">
        <v>4967</v>
      </c>
    </row>
    <row r="1779" spans="1:12">
      <c r="A1779" t="s">
        <v>4865</v>
      </c>
      <c r="B1779" t="s">
        <v>4866</v>
      </c>
      <c r="C1779" t="s">
        <v>5953</v>
      </c>
      <c r="D1779" t="s">
        <v>4868</v>
      </c>
      <c r="E1779" t="s">
        <v>5954</v>
      </c>
      <c r="F1779" t="s">
        <v>5955</v>
      </c>
      <c r="J1779" t="s">
        <v>5954</v>
      </c>
      <c r="K1779" t="s">
        <v>4966</v>
      </c>
      <c r="L1779" t="s">
        <v>4967</v>
      </c>
    </row>
    <row r="1780" spans="1:12">
      <c r="A1780" t="s">
        <v>4865</v>
      </c>
      <c r="B1780" t="s">
        <v>4866</v>
      </c>
      <c r="C1780" t="s">
        <v>5956</v>
      </c>
      <c r="D1780" t="s">
        <v>4868</v>
      </c>
      <c r="E1780" t="s">
        <v>5957</v>
      </c>
      <c r="F1780" t="s">
        <v>5958</v>
      </c>
      <c r="J1780" t="s">
        <v>5957</v>
      </c>
      <c r="K1780" t="s">
        <v>4966</v>
      </c>
      <c r="L1780" t="s">
        <v>4967</v>
      </c>
    </row>
    <row r="1781" spans="1:12">
      <c r="A1781" t="s">
        <v>4865</v>
      </c>
      <c r="B1781" t="s">
        <v>4866</v>
      </c>
      <c r="C1781" t="s">
        <v>5959</v>
      </c>
      <c r="D1781" t="s">
        <v>4868</v>
      </c>
      <c r="E1781" t="s">
        <v>5960</v>
      </c>
      <c r="F1781" t="s">
        <v>5961</v>
      </c>
      <c r="J1781" t="s">
        <v>5960</v>
      </c>
      <c r="K1781" t="s">
        <v>4966</v>
      </c>
      <c r="L1781" t="s">
        <v>4967</v>
      </c>
    </row>
    <row r="1782" spans="1:12">
      <c r="A1782" t="s">
        <v>4865</v>
      </c>
      <c r="B1782" t="s">
        <v>4866</v>
      </c>
      <c r="C1782" t="s">
        <v>5962</v>
      </c>
      <c r="D1782" t="s">
        <v>4868</v>
      </c>
      <c r="E1782" t="s">
        <v>5963</v>
      </c>
      <c r="F1782" t="s">
        <v>5964</v>
      </c>
      <c r="J1782" t="s">
        <v>5963</v>
      </c>
      <c r="K1782" t="s">
        <v>4966</v>
      </c>
      <c r="L1782" t="s">
        <v>4967</v>
      </c>
    </row>
    <row r="1783" spans="1:12">
      <c r="A1783" t="s">
        <v>4865</v>
      </c>
      <c r="B1783" t="s">
        <v>4866</v>
      </c>
      <c r="C1783" t="s">
        <v>5965</v>
      </c>
      <c r="D1783" t="s">
        <v>4868</v>
      </c>
      <c r="E1783" t="s">
        <v>5966</v>
      </c>
      <c r="F1783" t="s">
        <v>5967</v>
      </c>
      <c r="J1783" t="s">
        <v>5966</v>
      </c>
      <c r="K1783" t="s">
        <v>4966</v>
      </c>
      <c r="L1783" t="s">
        <v>4967</v>
      </c>
    </row>
    <row r="1784" spans="1:12">
      <c r="A1784" t="s">
        <v>4865</v>
      </c>
      <c r="B1784" t="s">
        <v>4866</v>
      </c>
      <c r="C1784" t="s">
        <v>5968</v>
      </c>
      <c r="D1784" t="s">
        <v>4868</v>
      </c>
      <c r="E1784" t="s">
        <v>5969</v>
      </c>
      <c r="F1784" t="s">
        <v>5970</v>
      </c>
      <c r="J1784" t="s">
        <v>5969</v>
      </c>
      <c r="K1784" t="s">
        <v>4966</v>
      </c>
      <c r="L1784" t="s">
        <v>4967</v>
      </c>
    </row>
    <row r="1785" spans="1:12">
      <c r="A1785" t="s">
        <v>4865</v>
      </c>
      <c r="B1785" t="s">
        <v>4866</v>
      </c>
      <c r="C1785" t="s">
        <v>5971</v>
      </c>
      <c r="D1785" t="s">
        <v>4868</v>
      </c>
      <c r="E1785" t="s">
        <v>5972</v>
      </c>
      <c r="F1785" t="s">
        <v>5973</v>
      </c>
      <c r="J1785" t="s">
        <v>5972</v>
      </c>
      <c r="K1785" t="s">
        <v>4966</v>
      </c>
      <c r="L1785" t="s">
        <v>4967</v>
      </c>
    </row>
    <row r="1786" spans="1:12">
      <c r="A1786" t="s">
        <v>4865</v>
      </c>
      <c r="B1786" t="s">
        <v>4866</v>
      </c>
      <c r="C1786" t="s">
        <v>5974</v>
      </c>
      <c r="D1786" t="s">
        <v>4868</v>
      </c>
      <c r="E1786" t="s">
        <v>5975</v>
      </c>
      <c r="F1786" t="s">
        <v>5976</v>
      </c>
      <c r="J1786" t="s">
        <v>5975</v>
      </c>
      <c r="K1786" t="s">
        <v>4966</v>
      </c>
      <c r="L1786" t="s">
        <v>4967</v>
      </c>
    </row>
    <row r="1787" spans="1:12">
      <c r="A1787" t="s">
        <v>4865</v>
      </c>
      <c r="B1787" t="s">
        <v>4866</v>
      </c>
      <c r="C1787" t="s">
        <v>5977</v>
      </c>
      <c r="D1787" t="s">
        <v>4868</v>
      </c>
      <c r="E1787" t="s">
        <v>5978</v>
      </c>
      <c r="F1787" t="s">
        <v>5979</v>
      </c>
      <c r="J1787" t="s">
        <v>5978</v>
      </c>
      <c r="K1787" t="s">
        <v>4966</v>
      </c>
      <c r="L1787" t="s">
        <v>4967</v>
      </c>
    </row>
    <row r="1788" spans="1:12">
      <c r="A1788" t="s">
        <v>4865</v>
      </c>
      <c r="B1788" t="s">
        <v>4866</v>
      </c>
      <c r="C1788" t="s">
        <v>5980</v>
      </c>
      <c r="D1788" t="s">
        <v>4868</v>
      </c>
      <c r="E1788" t="s">
        <v>5981</v>
      </c>
      <c r="F1788" t="s">
        <v>5679</v>
      </c>
      <c r="J1788" t="s">
        <v>5981</v>
      </c>
      <c r="K1788" t="s">
        <v>4966</v>
      </c>
      <c r="L1788" t="s">
        <v>4967</v>
      </c>
    </row>
    <row r="1789" spans="1:12">
      <c r="A1789" t="s">
        <v>4865</v>
      </c>
      <c r="B1789" t="s">
        <v>4866</v>
      </c>
      <c r="C1789" t="s">
        <v>5982</v>
      </c>
      <c r="D1789" t="s">
        <v>4868</v>
      </c>
      <c r="E1789" t="s">
        <v>5983</v>
      </c>
      <c r="F1789" t="s">
        <v>5984</v>
      </c>
      <c r="J1789" t="s">
        <v>5983</v>
      </c>
      <c r="K1789" t="s">
        <v>4966</v>
      </c>
      <c r="L1789" t="s">
        <v>4967</v>
      </c>
    </row>
    <row r="1790" spans="1:12">
      <c r="A1790" t="s">
        <v>4865</v>
      </c>
      <c r="B1790" t="s">
        <v>4866</v>
      </c>
      <c r="C1790" t="s">
        <v>5985</v>
      </c>
      <c r="D1790" t="s">
        <v>4868</v>
      </c>
      <c r="E1790" t="s">
        <v>5986</v>
      </c>
      <c r="F1790" t="s">
        <v>5987</v>
      </c>
    </row>
    <row r="1791" spans="1:12">
      <c r="A1791" t="s">
        <v>4865</v>
      </c>
      <c r="B1791" t="s">
        <v>4866</v>
      </c>
      <c r="C1791" t="s">
        <v>5988</v>
      </c>
      <c r="D1791" t="s">
        <v>4868</v>
      </c>
      <c r="E1791" t="s">
        <v>5989</v>
      </c>
      <c r="F1791" t="s">
        <v>5990</v>
      </c>
      <c r="J1791" t="s">
        <v>5989</v>
      </c>
      <c r="K1791" t="s">
        <v>4966</v>
      </c>
      <c r="L1791" t="s">
        <v>4967</v>
      </c>
    </row>
    <row r="1792" spans="1:12">
      <c r="A1792" t="s">
        <v>4865</v>
      </c>
      <c r="B1792" t="s">
        <v>4866</v>
      </c>
      <c r="C1792" t="s">
        <v>5991</v>
      </c>
      <c r="D1792" t="s">
        <v>4868</v>
      </c>
      <c r="E1792" t="s">
        <v>5992</v>
      </c>
      <c r="F1792" t="s">
        <v>5993</v>
      </c>
      <c r="J1792" t="s">
        <v>5992</v>
      </c>
      <c r="K1792" t="s">
        <v>4966</v>
      </c>
      <c r="L1792" t="s">
        <v>4967</v>
      </c>
    </row>
    <row r="1793" spans="1:12">
      <c r="A1793" t="s">
        <v>4865</v>
      </c>
      <c r="B1793" t="s">
        <v>4866</v>
      </c>
      <c r="C1793" t="s">
        <v>5994</v>
      </c>
      <c r="D1793" t="s">
        <v>4868</v>
      </c>
      <c r="E1793" t="s">
        <v>5995</v>
      </c>
      <c r="F1793" t="s">
        <v>5996</v>
      </c>
      <c r="J1793" t="s">
        <v>5995</v>
      </c>
      <c r="K1793" t="s">
        <v>4966</v>
      </c>
      <c r="L1793" t="s">
        <v>4967</v>
      </c>
    </row>
    <row r="1794" spans="1:12">
      <c r="A1794" t="s">
        <v>4865</v>
      </c>
      <c r="B1794" t="s">
        <v>4866</v>
      </c>
      <c r="C1794" t="s">
        <v>5997</v>
      </c>
      <c r="D1794" t="s">
        <v>4868</v>
      </c>
      <c r="E1794" t="s">
        <v>5998</v>
      </c>
      <c r="F1794" t="s">
        <v>5999</v>
      </c>
      <c r="J1794" t="s">
        <v>5998</v>
      </c>
      <c r="K1794" t="s">
        <v>4966</v>
      </c>
      <c r="L1794" t="s">
        <v>4967</v>
      </c>
    </row>
    <row r="1795" spans="1:12">
      <c r="A1795" t="s">
        <v>4865</v>
      </c>
      <c r="B1795" t="s">
        <v>4866</v>
      </c>
      <c r="C1795" t="s">
        <v>6000</v>
      </c>
      <c r="D1795" t="s">
        <v>4868</v>
      </c>
      <c r="E1795" t="s">
        <v>6001</v>
      </c>
      <c r="F1795" t="s">
        <v>6002</v>
      </c>
      <c r="J1795" t="s">
        <v>6001</v>
      </c>
      <c r="K1795" t="s">
        <v>4966</v>
      </c>
      <c r="L1795" t="s">
        <v>4967</v>
      </c>
    </row>
    <row r="1796" spans="1:12">
      <c r="A1796" t="s">
        <v>4865</v>
      </c>
      <c r="B1796" t="s">
        <v>4866</v>
      </c>
      <c r="C1796" t="s">
        <v>6003</v>
      </c>
      <c r="D1796" t="s">
        <v>4868</v>
      </c>
      <c r="E1796" t="s">
        <v>6004</v>
      </c>
      <c r="F1796" t="s">
        <v>6005</v>
      </c>
      <c r="J1796" t="s">
        <v>6004</v>
      </c>
      <c r="K1796" t="s">
        <v>4966</v>
      </c>
      <c r="L1796" t="s">
        <v>4967</v>
      </c>
    </row>
    <row r="1797" spans="1:12">
      <c r="A1797" t="s">
        <v>4865</v>
      </c>
      <c r="B1797" t="s">
        <v>4866</v>
      </c>
      <c r="C1797" t="s">
        <v>6006</v>
      </c>
      <c r="D1797" t="s">
        <v>4868</v>
      </c>
      <c r="E1797" t="s">
        <v>6007</v>
      </c>
      <c r="F1797" t="s">
        <v>6008</v>
      </c>
      <c r="J1797" t="s">
        <v>6007</v>
      </c>
      <c r="K1797" t="s">
        <v>4966</v>
      </c>
      <c r="L1797" t="s">
        <v>4967</v>
      </c>
    </row>
    <row r="1798" spans="1:12">
      <c r="A1798" t="s">
        <v>4865</v>
      </c>
      <c r="B1798" t="s">
        <v>4866</v>
      </c>
      <c r="C1798" t="s">
        <v>6009</v>
      </c>
      <c r="D1798" t="s">
        <v>4868</v>
      </c>
      <c r="E1798" t="s">
        <v>6010</v>
      </c>
      <c r="F1798" t="s">
        <v>6011</v>
      </c>
    </row>
    <row r="1799" spans="1:12">
      <c r="A1799" t="s">
        <v>4865</v>
      </c>
      <c r="B1799" t="s">
        <v>4866</v>
      </c>
      <c r="C1799" t="s">
        <v>6012</v>
      </c>
      <c r="D1799" t="s">
        <v>4868</v>
      </c>
      <c r="E1799" t="s">
        <v>6013</v>
      </c>
      <c r="F1799" t="s">
        <v>6014</v>
      </c>
      <c r="J1799" t="s">
        <v>6013</v>
      </c>
      <c r="K1799" t="s">
        <v>4966</v>
      </c>
      <c r="L1799" t="s">
        <v>4967</v>
      </c>
    </row>
    <row r="1800" spans="1:12">
      <c r="A1800" t="s">
        <v>4865</v>
      </c>
      <c r="B1800" t="s">
        <v>4866</v>
      </c>
      <c r="C1800" t="s">
        <v>6015</v>
      </c>
      <c r="D1800" t="s">
        <v>4868</v>
      </c>
      <c r="E1800" t="s">
        <v>6016</v>
      </c>
      <c r="F1800" t="s">
        <v>6017</v>
      </c>
      <c r="J1800" t="s">
        <v>6016</v>
      </c>
      <c r="K1800" t="s">
        <v>4966</v>
      </c>
      <c r="L1800" t="s">
        <v>4967</v>
      </c>
    </row>
    <row r="1801" spans="1:12">
      <c r="A1801" t="s">
        <v>4865</v>
      </c>
      <c r="B1801" t="s">
        <v>4866</v>
      </c>
      <c r="C1801" t="s">
        <v>6018</v>
      </c>
      <c r="D1801" t="s">
        <v>4868</v>
      </c>
      <c r="E1801" t="s">
        <v>6019</v>
      </c>
      <c r="F1801" t="s">
        <v>6020</v>
      </c>
      <c r="J1801" t="s">
        <v>6019</v>
      </c>
      <c r="K1801" t="s">
        <v>4966</v>
      </c>
      <c r="L1801" t="s">
        <v>4967</v>
      </c>
    </row>
    <row r="1802" spans="1:12">
      <c r="A1802" t="s">
        <v>4865</v>
      </c>
      <c r="B1802" t="s">
        <v>4866</v>
      </c>
      <c r="C1802" t="s">
        <v>6021</v>
      </c>
      <c r="D1802" t="s">
        <v>4868</v>
      </c>
      <c r="E1802" t="s">
        <v>6022</v>
      </c>
      <c r="F1802" t="s">
        <v>6023</v>
      </c>
      <c r="J1802" t="s">
        <v>6022</v>
      </c>
      <c r="K1802" t="s">
        <v>4966</v>
      </c>
      <c r="L1802" t="s">
        <v>4967</v>
      </c>
    </row>
    <row r="1803" spans="1:12">
      <c r="A1803" t="s">
        <v>4865</v>
      </c>
      <c r="B1803" t="s">
        <v>4866</v>
      </c>
      <c r="C1803" t="s">
        <v>6024</v>
      </c>
      <c r="D1803" t="s">
        <v>4868</v>
      </c>
      <c r="E1803" t="s">
        <v>6025</v>
      </c>
      <c r="F1803" t="s">
        <v>6026</v>
      </c>
      <c r="J1803" t="s">
        <v>6025</v>
      </c>
      <c r="K1803" t="s">
        <v>4966</v>
      </c>
      <c r="L1803" t="s">
        <v>4967</v>
      </c>
    </row>
    <row r="1804" spans="1:12">
      <c r="A1804" t="s">
        <v>4865</v>
      </c>
      <c r="B1804" t="s">
        <v>4866</v>
      </c>
      <c r="C1804" t="s">
        <v>6027</v>
      </c>
      <c r="D1804" t="s">
        <v>4868</v>
      </c>
      <c r="E1804" t="s">
        <v>6028</v>
      </c>
      <c r="F1804" t="s">
        <v>6029</v>
      </c>
      <c r="J1804" t="s">
        <v>6028</v>
      </c>
      <c r="K1804" t="s">
        <v>4966</v>
      </c>
      <c r="L1804" t="s">
        <v>4967</v>
      </c>
    </row>
    <row r="1805" spans="1:12">
      <c r="A1805" t="s">
        <v>4865</v>
      </c>
      <c r="B1805" t="s">
        <v>4866</v>
      </c>
      <c r="C1805" t="s">
        <v>6030</v>
      </c>
      <c r="D1805" t="s">
        <v>4868</v>
      </c>
      <c r="E1805" t="s">
        <v>6031</v>
      </c>
      <c r="F1805" t="s">
        <v>6032</v>
      </c>
      <c r="J1805" t="s">
        <v>6031</v>
      </c>
      <c r="K1805" t="s">
        <v>4966</v>
      </c>
      <c r="L1805" t="s">
        <v>4967</v>
      </c>
    </row>
    <row r="1806" spans="1:12">
      <c r="A1806" t="s">
        <v>4865</v>
      </c>
      <c r="B1806" t="s">
        <v>4866</v>
      </c>
      <c r="C1806" t="s">
        <v>6033</v>
      </c>
      <c r="D1806" t="s">
        <v>4868</v>
      </c>
      <c r="E1806" t="s">
        <v>6034</v>
      </c>
      <c r="F1806" t="s">
        <v>6035</v>
      </c>
      <c r="J1806" t="s">
        <v>6034</v>
      </c>
      <c r="K1806" t="s">
        <v>4966</v>
      </c>
      <c r="L1806" t="s">
        <v>4967</v>
      </c>
    </row>
    <row r="1807" spans="1:12">
      <c r="A1807" t="s">
        <v>4865</v>
      </c>
      <c r="B1807" t="s">
        <v>4866</v>
      </c>
      <c r="C1807" t="s">
        <v>6036</v>
      </c>
      <c r="D1807" t="s">
        <v>4868</v>
      </c>
      <c r="E1807" t="s">
        <v>6037</v>
      </c>
      <c r="F1807" t="s">
        <v>6038</v>
      </c>
      <c r="J1807" t="s">
        <v>6037</v>
      </c>
      <c r="K1807" t="s">
        <v>4966</v>
      </c>
      <c r="L1807" t="s">
        <v>4967</v>
      </c>
    </row>
    <row r="1808" spans="1:12">
      <c r="A1808" t="s">
        <v>4865</v>
      </c>
      <c r="B1808" t="s">
        <v>4866</v>
      </c>
      <c r="C1808" t="s">
        <v>6039</v>
      </c>
      <c r="D1808" t="s">
        <v>4868</v>
      </c>
      <c r="E1808" t="s">
        <v>6040</v>
      </c>
      <c r="F1808" t="s">
        <v>6041</v>
      </c>
      <c r="J1808" t="s">
        <v>6040</v>
      </c>
      <c r="K1808" t="s">
        <v>4966</v>
      </c>
      <c r="L1808" t="s">
        <v>4967</v>
      </c>
    </row>
    <row r="1809" spans="1:12">
      <c r="A1809" t="s">
        <v>4865</v>
      </c>
      <c r="B1809" t="s">
        <v>4866</v>
      </c>
      <c r="C1809" t="s">
        <v>6042</v>
      </c>
      <c r="D1809" t="s">
        <v>4868</v>
      </c>
      <c r="E1809" t="s">
        <v>6043</v>
      </c>
      <c r="F1809" t="s">
        <v>6044</v>
      </c>
      <c r="J1809" t="s">
        <v>6043</v>
      </c>
      <c r="K1809" t="s">
        <v>4966</v>
      </c>
      <c r="L1809" t="s">
        <v>4967</v>
      </c>
    </row>
    <row r="1810" spans="1:12">
      <c r="A1810" t="s">
        <v>4865</v>
      </c>
      <c r="B1810" t="s">
        <v>4866</v>
      </c>
      <c r="C1810" t="s">
        <v>6045</v>
      </c>
      <c r="D1810" t="s">
        <v>4868</v>
      </c>
      <c r="E1810" t="s">
        <v>6046</v>
      </c>
      <c r="F1810" t="s">
        <v>6047</v>
      </c>
      <c r="J1810" t="s">
        <v>6046</v>
      </c>
      <c r="K1810" t="s">
        <v>4966</v>
      </c>
      <c r="L1810" t="s">
        <v>4967</v>
      </c>
    </row>
    <row r="1811" spans="1:12">
      <c r="A1811" t="s">
        <v>4865</v>
      </c>
      <c r="B1811" t="s">
        <v>4866</v>
      </c>
      <c r="C1811" t="s">
        <v>6048</v>
      </c>
      <c r="D1811" t="s">
        <v>4868</v>
      </c>
      <c r="E1811" t="s">
        <v>6049</v>
      </c>
      <c r="F1811" t="s">
        <v>6050</v>
      </c>
      <c r="J1811" t="s">
        <v>6049</v>
      </c>
      <c r="K1811" t="s">
        <v>4966</v>
      </c>
      <c r="L1811" t="s">
        <v>4967</v>
      </c>
    </row>
    <row r="1812" spans="1:12">
      <c r="A1812" t="s">
        <v>4865</v>
      </c>
      <c r="B1812" t="s">
        <v>4866</v>
      </c>
      <c r="C1812" t="s">
        <v>6051</v>
      </c>
      <c r="D1812" t="s">
        <v>4868</v>
      </c>
      <c r="E1812" t="s">
        <v>6052</v>
      </c>
      <c r="F1812" t="s">
        <v>6053</v>
      </c>
      <c r="J1812" t="s">
        <v>6052</v>
      </c>
      <c r="K1812" t="s">
        <v>4966</v>
      </c>
      <c r="L1812" t="s">
        <v>4967</v>
      </c>
    </row>
    <row r="1813" spans="1:12">
      <c r="A1813" t="s">
        <v>4865</v>
      </c>
      <c r="B1813" t="s">
        <v>4866</v>
      </c>
      <c r="C1813" t="s">
        <v>6054</v>
      </c>
      <c r="D1813" t="s">
        <v>4868</v>
      </c>
      <c r="E1813" t="s">
        <v>6055</v>
      </c>
      <c r="F1813" t="s">
        <v>6056</v>
      </c>
      <c r="J1813" t="s">
        <v>6055</v>
      </c>
      <c r="K1813" t="s">
        <v>4966</v>
      </c>
      <c r="L1813" t="s">
        <v>4967</v>
      </c>
    </row>
    <row r="1814" spans="1:12">
      <c r="A1814" t="s">
        <v>4865</v>
      </c>
      <c r="B1814" t="s">
        <v>4866</v>
      </c>
      <c r="C1814" t="s">
        <v>6057</v>
      </c>
      <c r="D1814" t="s">
        <v>4868</v>
      </c>
      <c r="E1814" t="s">
        <v>6058</v>
      </c>
      <c r="F1814" t="s">
        <v>6059</v>
      </c>
      <c r="J1814" t="s">
        <v>6058</v>
      </c>
      <c r="K1814" t="s">
        <v>4966</v>
      </c>
      <c r="L1814" t="s">
        <v>4967</v>
      </c>
    </row>
    <row r="1815" spans="1:12">
      <c r="A1815" t="s">
        <v>4865</v>
      </c>
      <c r="B1815" t="s">
        <v>4866</v>
      </c>
      <c r="C1815" t="s">
        <v>6060</v>
      </c>
      <c r="D1815" t="s">
        <v>4868</v>
      </c>
      <c r="E1815" t="s">
        <v>6061</v>
      </c>
      <c r="F1815" t="s">
        <v>6062</v>
      </c>
      <c r="J1815" t="s">
        <v>6061</v>
      </c>
      <c r="K1815" t="s">
        <v>4966</v>
      </c>
      <c r="L1815" t="s">
        <v>4967</v>
      </c>
    </row>
    <row r="1816" spans="1:12">
      <c r="A1816" t="s">
        <v>4865</v>
      </c>
      <c r="B1816" t="s">
        <v>4866</v>
      </c>
      <c r="C1816" t="s">
        <v>6063</v>
      </c>
      <c r="D1816" t="s">
        <v>4868</v>
      </c>
      <c r="E1816" t="s">
        <v>6064</v>
      </c>
      <c r="F1816" t="s">
        <v>6065</v>
      </c>
      <c r="J1816" t="s">
        <v>6064</v>
      </c>
      <c r="K1816" t="s">
        <v>4966</v>
      </c>
      <c r="L1816" t="s">
        <v>4967</v>
      </c>
    </row>
    <row r="1817" spans="1:12">
      <c r="A1817" t="s">
        <v>4865</v>
      </c>
      <c r="B1817" t="s">
        <v>4866</v>
      </c>
      <c r="C1817" t="s">
        <v>6066</v>
      </c>
      <c r="D1817" t="s">
        <v>4868</v>
      </c>
      <c r="E1817" t="s">
        <v>6067</v>
      </c>
      <c r="F1817" t="s">
        <v>6068</v>
      </c>
    </row>
    <row r="1818" spans="1:12">
      <c r="A1818" t="s">
        <v>4865</v>
      </c>
      <c r="B1818" t="s">
        <v>4866</v>
      </c>
      <c r="C1818" t="s">
        <v>6069</v>
      </c>
      <c r="D1818" t="s">
        <v>4868</v>
      </c>
      <c r="E1818" t="s">
        <v>6070</v>
      </c>
      <c r="F1818" t="s">
        <v>6071</v>
      </c>
      <c r="J1818" t="s">
        <v>6070</v>
      </c>
      <c r="K1818" t="s">
        <v>4966</v>
      </c>
      <c r="L1818" t="s">
        <v>4967</v>
      </c>
    </row>
    <row r="1819" spans="1:12">
      <c r="A1819" t="s">
        <v>4865</v>
      </c>
      <c r="B1819" t="s">
        <v>4866</v>
      </c>
      <c r="C1819" t="s">
        <v>6072</v>
      </c>
      <c r="D1819" t="s">
        <v>4868</v>
      </c>
      <c r="E1819" t="s">
        <v>6073</v>
      </c>
      <c r="F1819" t="s">
        <v>6074</v>
      </c>
      <c r="J1819" t="s">
        <v>6073</v>
      </c>
      <c r="K1819" t="s">
        <v>4966</v>
      </c>
      <c r="L1819" t="s">
        <v>4967</v>
      </c>
    </row>
    <row r="1820" spans="1:12">
      <c r="A1820" t="s">
        <v>4865</v>
      </c>
      <c r="B1820" t="s">
        <v>4866</v>
      </c>
      <c r="C1820" t="s">
        <v>6075</v>
      </c>
      <c r="D1820" t="s">
        <v>4868</v>
      </c>
      <c r="E1820" t="s">
        <v>6076</v>
      </c>
      <c r="F1820" t="s">
        <v>6077</v>
      </c>
      <c r="J1820" t="s">
        <v>6076</v>
      </c>
      <c r="K1820" t="s">
        <v>4966</v>
      </c>
      <c r="L1820" t="s">
        <v>4967</v>
      </c>
    </row>
    <row r="1821" spans="1:12">
      <c r="A1821" t="s">
        <v>4865</v>
      </c>
      <c r="B1821" t="s">
        <v>4866</v>
      </c>
      <c r="C1821" t="s">
        <v>6078</v>
      </c>
      <c r="D1821" t="s">
        <v>4868</v>
      </c>
      <c r="E1821" t="s">
        <v>6079</v>
      </c>
      <c r="F1821" t="s">
        <v>6080</v>
      </c>
      <c r="J1821" t="s">
        <v>6079</v>
      </c>
      <c r="K1821" t="s">
        <v>4966</v>
      </c>
      <c r="L1821" t="s">
        <v>4967</v>
      </c>
    </row>
    <row r="1822" spans="1:12">
      <c r="A1822" t="s">
        <v>4865</v>
      </c>
      <c r="B1822" t="s">
        <v>4866</v>
      </c>
      <c r="C1822" t="s">
        <v>6081</v>
      </c>
      <c r="D1822" t="s">
        <v>4868</v>
      </c>
      <c r="E1822" t="s">
        <v>6082</v>
      </c>
      <c r="F1822" t="s">
        <v>6083</v>
      </c>
      <c r="J1822" t="s">
        <v>6082</v>
      </c>
      <c r="K1822" t="s">
        <v>4966</v>
      </c>
      <c r="L1822" t="s">
        <v>4967</v>
      </c>
    </row>
    <row r="1823" spans="1:12">
      <c r="A1823" t="s">
        <v>4865</v>
      </c>
      <c r="B1823" t="s">
        <v>4866</v>
      </c>
      <c r="C1823" t="s">
        <v>6084</v>
      </c>
      <c r="D1823" t="s">
        <v>4868</v>
      </c>
      <c r="E1823" t="s">
        <v>6085</v>
      </c>
      <c r="F1823" t="s">
        <v>6086</v>
      </c>
      <c r="J1823" t="s">
        <v>6085</v>
      </c>
      <c r="K1823" t="s">
        <v>4966</v>
      </c>
      <c r="L1823" t="s">
        <v>4967</v>
      </c>
    </row>
    <row r="1824" spans="1:12">
      <c r="A1824" t="s">
        <v>4865</v>
      </c>
      <c r="B1824" t="s">
        <v>4866</v>
      </c>
      <c r="C1824" t="s">
        <v>6087</v>
      </c>
      <c r="D1824" t="s">
        <v>4868</v>
      </c>
      <c r="E1824" t="s">
        <v>6088</v>
      </c>
      <c r="F1824" t="s">
        <v>6089</v>
      </c>
      <c r="J1824" t="s">
        <v>6088</v>
      </c>
      <c r="K1824" t="s">
        <v>4966</v>
      </c>
      <c r="L1824" t="s">
        <v>4967</v>
      </c>
    </row>
    <row r="1825" spans="1:12">
      <c r="A1825" t="s">
        <v>4865</v>
      </c>
      <c r="B1825" t="s">
        <v>4866</v>
      </c>
      <c r="C1825" t="s">
        <v>6090</v>
      </c>
      <c r="D1825" t="s">
        <v>4868</v>
      </c>
      <c r="E1825" t="s">
        <v>6091</v>
      </c>
      <c r="F1825" t="s">
        <v>6092</v>
      </c>
    </row>
    <row r="1826" spans="1:12">
      <c r="A1826" t="s">
        <v>4865</v>
      </c>
      <c r="B1826" t="s">
        <v>4866</v>
      </c>
      <c r="C1826" t="s">
        <v>6093</v>
      </c>
      <c r="D1826" t="s">
        <v>4868</v>
      </c>
      <c r="E1826" t="s">
        <v>6094</v>
      </c>
      <c r="F1826" t="s">
        <v>6095</v>
      </c>
      <c r="J1826" t="s">
        <v>6094</v>
      </c>
      <c r="K1826" t="s">
        <v>4966</v>
      </c>
      <c r="L1826" t="s">
        <v>4967</v>
      </c>
    </row>
    <row r="1827" spans="1:12">
      <c r="A1827" t="s">
        <v>4865</v>
      </c>
      <c r="B1827" t="s">
        <v>4866</v>
      </c>
      <c r="C1827" t="s">
        <v>6096</v>
      </c>
      <c r="D1827" t="s">
        <v>4868</v>
      </c>
      <c r="E1827" t="s">
        <v>6097</v>
      </c>
      <c r="F1827" t="s">
        <v>6098</v>
      </c>
      <c r="J1827" t="s">
        <v>6097</v>
      </c>
      <c r="K1827" t="s">
        <v>4966</v>
      </c>
      <c r="L1827" t="s">
        <v>4967</v>
      </c>
    </row>
    <row r="1828" spans="1:12">
      <c r="A1828" t="s">
        <v>4865</v>
      </c>
      <c r="B1828" t="s">
        <v>4866</v>
      </c>
      <c r="C1828" t="s">
        <v>6099</v>
      </c>
      <c r="D1828" t="s">
        <v>4868</v>
      </c>
      <c r="E1828" t="s">
        <v>6100</v>
      </c>
      <c r="F1828" t="s">
        <v>6101</v>
      </c>
      <c r="J1828" t="s">
        <v>6100</v>
      </c>
      <c r="K1828" t="s">
        <v>4966</v>
      </c>
      <c r="L1828" t="s">
        <v>4967</v>
      </c>
    </row>
    <row r="1829" spans="1:12">
      <c r="A1829" t="s">
        <v>4865</v>
      </c>
      <c r="B1829" t="s">
        <v>4866</v>
      </c>
      <c r="C1829" t="s">
        <v>6102</v>
      </c>
      <c r="D1829" t="s">
        <v>4868</v>
      </c>
      <c r="E1829" t="s">
        <v>6103</v>
      </c>
      <c r="F1829" t="s">
        <v>6104</v>
      </c>
      <c r="J1829" t="s">
        <v>6103</v>
      </c>
      <c r="K1829" t="s">
        <v>4966</v>
      </c>
      <c r="L1829" t="s">
        <v>4967</v>
      </c>
    </row>
    <row r="1830" spans="1:12">
      <c r="A1830" t="s">
        <v>4865</v>
      </c>
      <c r="B1830" t="s">
        <v>4866</v>
      </c>
      <c r="C1830" t="s">
        <v>6105</v>
      </c>
      <c r="D1830" t="s">
        <v>4868</v>
      </c>
      <c r="E1830" t="s">
        <v>6106</v>
      </c>
      <c r="F1830" t="s">
        <v>6107</v>
      </c>
      <c r="J1830" t="s">
        <v>6106</v>
      </c>
      <c r="K1830" t="s">
        <v>4966</v>
      </c>
      <c r="L1830" t="s">
        <v>4967</v>
      </c>
    </row>
    <row r="1831" spans="1:12">
      <c r="A1831" t="s">
        <v>4865</v>
      </c>
      <c r="B1831" t="s">
        <v>4866</v>
      </c>
      <c r="C1831" t="s">
        <v>6108</v>
      </c>
      <c r="D1831" t="s">
        <v>4868</v>
      </c>
      <c r="E1831" t="s">
        <v>6109</v>
      </c>
      <c r="F1831" t="s">
        <v>6110</v>
      </c>
      <c r="J1831" t="s">
        <v>6109</v>
      </c>
      <c r="K1831" t="s">
        <v>4966</v>
      </c>
      <c r="L1831" t="s">
        <v>4967</v>
      </c>
    </row>
    <row r="1832" spans="1:12">
      <c r="A1832" t="s">
        <v>4865</v>
      </c>
      <c r="B1832" t="s">
        <v>4866</v>
      </c>
      <c r="C1832" t="s">
        <v>6111</v>
      </c>
      <c r="D1832" t="s">
        <v>4868</v>
      </c>
      <c r="E1832" t="s">
        <v>6112</v>
      </c>
      <c r="F1832" t="s">
        <v>6113</v>
      </c>
      <c r="J1832" t="s">
        <v>6112</v>
      </c>
      <c r="K1832" t="s">
        <v>4966</v>
      </c>
      <c r="L1832" t="s">
        <v>4967</v>
      </c>
    </row>
    <row r="1833" spans="1:12">
      <c r="A1833" t="s">
        <v>4865</v>
      </c>
      <c r="B1833" t="s">
        <v>4866</v>
      </c>
      <c r="C1833" t="s">
        <v>6114</v>
      </c>
      <c r="D1833" t="s">
        <v>4868</v>
      </c>
      <c r="E1833" t="s">
        <v>6115</v>
      </c>
      <c r="F1833" t="s">
        <v>6116</v>
      </c>
      <c r="J1833" t="s">
        <v>6115</v>
      </c>
      <c r="K1833" t="s">
        <v>4966</v>
      </c>
      <c r="L1833" t="s">
        <v>4967</v>
      </c>
    </row>
    <row r="1834" spans="1:12">
      <c r="A1834" t="s">
        <v>4865</v>
      </c>
      <c r="B1834" t="s">
        <v>4866</v>
      </c>
      <c r="C1834" t="s">
        <v>6117</v>
      </c>
      <c r="D1834" t="s">
        <v>4868</v>
      </c>
      <c r="E1834" t="s">
        <v>6118</v>
      </c>
      <c r="F1834" t="s">
        <v>6119</v>
      </c>
      <c r="J1834" t="s">
        <v>6118</v>
      </c>
      <c r="K1834" t="s">
        <v>4966</v>
      </c>
      <c r="L1834" t="s">
        <v>4967</v>
      </c>
    </row>
    <row r="1835" spans="1:12">
      <c r="A1835" t="s">
        <v>4865</v>
      </c>
      <c r="B1835" t="s">
        <v>4866</v>
      </c>
      <c r="C1835" t="s">
        <v>6120</v>
      </c>
      <c r="D1835" t="s">
        <v>4868</v>
      </c>
      <c r="E1835" t="s">
        <v>6121</v>
      </c>
      <c r="F1835" t="s">
        <v>6122</v>
      </c>
      <c r="J1835" t="s">
        <v>6121</v>
      </c>
      <c r="K1835" t="s">
        <v>4966</v>
      </c>
      <c r="L1835" t="s">
        <v>4967</v>
      </c>
    </row>
    <row r="1836" spans="1:12">
      <c r="A1836" t="s">
        <v>4865</v>
      </c>
      <c r="B1836" t="s">
        <v>4866</v>
      </c>
      <c r="C1836" t="s">
        <v>6123</v>
      </c>
      <c r="D1836" t="s">
        <v>4868</v>
      </c>
      <c r="E1836" t="s">
        <v>6124</v>
      </c>
      <c r="F1836" t="s">
        <v>6125</v>
      </c>
    </row>
    <row r="1837" spans="1:12">
      <c r="A1837" t="s">
        <v>4865</v>
      </c>
      <c r="B1837" t="s">
        <v>4866</v>
      </c>
      <c r="C1837" t="s">
        <v>6126</v>
      </c>
      <c r="D1837" t="s">
        <v>4868</v>
      </c>
      <c r="E1837" t="s">
        <v>6127</v>
      </c>
      <c r="F1837" t="s">
        <v>6128</v>
      </c>
      <c r="J1837" t="s">
        <v>6127</v>
      </c>
      <c r="K1837" t="s">
        <v>4966</v>
      </c>
      <c r="L1837" t="s">
        <v>4967</v>
      </c>
    </row>
    <row r="1838" spans="1:12">
      <c r="A1838" t="s">
        <v>4865</v>
      </c>
      <c r="B1838" t="s">
        <v>4866</v>
      </c>
      <c r="C1838" t="s">
        <v>6129</v>
      </c>
      <c r="D1838" t="s">
        <v>4868</v>
      </c>
      <c r="E1838" t="s">
        <v>6130</v>
      </c>
      <c r="F1838" t="s">
        <v>6131</v>
      </c>
      <c r="J1838" t="s">
        <v>6130</v>
      </c>
      <c r="K1838" t="s">
        <v>4966</v>
      </c>
      <c r="L1838" t="s">
        <v>4967</v>
      </c>
    </row>
    <row r="1839" spans="1:12">
      <c r="A1839" t="s">
        <v>4865</v>
      </c>
      <c r="B1839" t="s">
        <v>4866</v>
      </c>
      <c r="C1839" t="s">
        <v>6132</v>
      </c>
      <c r="D1839" t="s">
        <v>4868</v>
      </c>
      <c r="E1839" t="s">
        <v>6133</v>
      </c>
      <c r="F1839" t="s">
        <v>6134</v>
      </c>
      <c r="J1839" t="s">
        <v>6133</v>
      </c>
      <c r="K1839" t="s">
        <v>4966</v>
      </c>
      <c r="L1839" t="s">
        <v>4967</v>
      </c>
    </row>
    <row r="1840" spans="1:12">
      <c r="A1840" t="s">
        <v>4865</v>
      </c>
      <c r="B1840" t="s">
        <v>4866</v>
      </c>
      <c r="C1840" t="s">
        <v>6135</v>
      </c>
      <c r="D1840" t="s">
        <v>4868</v>
      </c>
      <c r="E1840" t="s">
        <v>6136</v>
      </c>
      <c r="F1840" t="s">
        <v>6137</v>
      </c>
      <c r="J1840" t="s">
        <v>6136</v>
      </c>
      <c r="K1840" t="s">
        <v>4966</v>
      </c>
      <c r="L1840" t="s">
        <v>4967</v>
      </c>
    </row>
    <row r="1841" spans="1:12">
      <c r="A1841" t="s">
        <v>4865</v>
      </c>
      <c r="B1841" t="s">
        <v>4866</v>
      </c>
      <c r="C1841" t="s">
        <v>6138</v>
      </c>
      <c r="D1841" t="s">
        <v>4868</v>
      </c>
      <c r="E1841" t="s">
        <v>6139</v>
      </c>
      <c r="F1841" t="s">
        <v>6140</v>
      </c>
      <c r="J1841" t="s">
        <v>6139</v>
      </c>
      <c r="K1841" t="s">
        <v>4966</v>
      </c>
      <c r="L1841" t="s">
        <v>4967</v>
      </c>
    </row>
    <row r="1842" spans="1:12">
      <c r="A1842" t="s">
        <v>4865</v>
      </c>
      <c r="B1842" t="s">
        <v>4866</v>
      </c>
      <c r="C1842" t="s">
        <v>6141</v>
      </c>
      <c r="D1842" t="s">
        <v>4868</v>
      </c>
      <c r="E1842" t="s">
        <v>6142</v>
      </c>
      <c r="F1842" t="s">
        <v>6143</v>
      </c>
      <c r="J1842" t="s">
        <v>6142</v>
      </c>
      <c r="K1842" t="s">
        <v>4966</v>
      </c>
      <c r="L1842" t="s">
        <v>4967</v>
      </c>
    </row>
    <row r="1843" spans="1:12">
      <c r="A1843" t="s">
        <v>4865</v>
      </c>
      <c r="B1843" t="s">
        <v>4866</v>
      </c>
      <c r="C1843" t="s">
        <v>6144</v>
      </c>
      <c r="D1843" t="s">
        <v>4868</v>
      </c>
      <c r="E1843" t="s">
        <v>6145</v>
      </c>
      <c r="F1843" t="s">
        <v>6146</v>
      </c>
      <c r="J1843" t="s">
        <v>6145</v>
      </c>
      <c r="K1843" t="s">
        <v>4966</v>
      </c>
      <c r="L1843" t="s">
        <v>4967</v>
      </c>
    </row>
    <row r="1844" spans="1:12">
      <c r="A1844" t="s">
        <v>4865</v>
      </c>
      <c r="B1844" t="s">
        <v>4866</v>
      </c>
      <c r="C1844" t="s">
        <v>6147</v>
      </c>
      <c r="D1844" t="s">
        <v>4868</v>
      </c>
      <c r="E1844" t="s">
        <v>6148</v>
      </c>
      <c r="F1844" t="s">
        <v>6149</v>
      </c>
      <c r="J1844" t="s">
        <v>6148</v>
      </c>
      <c r="K1844" t="s">
        <v>4966</v>
      </c>
      <c r="L1844" t="s">
        <v>4967</v>
      </c>
    </row>
    <row r="1845" spans="1:12">
      <c r="A1845" t="s">
        <v>4865</v>
      </c>
      <c r="B1845" t="s">
        <v>4866</v>
      </c>
      <c r="C1845" t="s">
        <v>6150</v>
      </c>
      <c r="D1845" t="s">
        <v>4868</v>
      </c>
      <c r="E1845" t="s">
        <v>6151</v>
      </c>
      <c r="F1845" t="s">
        <v>6152</v>
      </c>
      <c r="J1845" t="s">
        <v>6151</v>
      </c>
      <c r="K1845" t="s">
        <v>4966</v>
      </c>
      <c r="L1845" t="s">
        <v>4967</v>
      </c>
    </row>
    <row r="1846" spans="1:12">
      <c r="A1846" t="s">
        <v>4865</v>
      </c>
      <c r="B1846" t="s">
        <v>4866</v>
      </c>
      <c r="C1846" t="s">
        <v>6153</v>
      </c>
      <c r="D1846" t="s">
        <v>4868</v>
      </c>
      <c r="E1846" t="s">
        <v>6154</v>
      </c>
      <c r="F1846" t="s">
        <v>6155</v>
      </c>
      <c r="J1846" t="s">
        <v>6154</v>
      </c>
      <c r="K1846" t="s">
        <v>4966</v>
      </c>
      <c r="L1846" t="s">
        <v>4967</v>
      </c>
    </row>
    <row r="1847" spans="1:12">
      <c r="A1847" t="s">
        <v>4865</v>
      </c>
      <c r="B1847" t="s">
        <v>4866</v>
      </c>
      <c r="C1847" t="s">
        <v>6156</v>
      </c>
      <c r="D1847" t="s">
        <v>4868</v>
      </c>
      <c r="E1847" t="s">
        <v>6157</v>
      </c>
      <c r="F1847" t="s">
        <v>6158</v>
      </c>
      <c r="J1847" t="s">
        <v>6157</v>
      </c>
      <c r="K1847" t="s">
        <v>4966</v>
      </c>
      <c r="L1847" t="s">
        <v>4967</v>
      </c>
    </row>
    <row r="1848" spans="1:12">
      <c r="A1848" t="s">
        <v>4865</v>
      </c>
      <c r="B1848" t="s">
        <v>4866</v>
      </c>
      <c r="C1848" t="s">
        <v>6159</v>
      </c>
      <c r="D1848" t="s">
        <v>4868</v>
      </c>
      <c r="E1848" t="s">
        <v>6160</v>
      </c>
      <c r="F1848" t="s">
        <v>6161</v>
      </c>
      <c r="J1848" t="s">
        <v>6160</v>
      </c>
      <c r="K1848" t="s">
        <v>4966</v>
      </c>
      <c r="L1848" t="s">
        <v>4967</v>
      </c>
    </row>
    <row r="1849" spans="1:12">
      <c r="A1849" t="s">
        <v>4865</v>
      </c>
      <c r="B1849" t="s">
        <v>4866</v>
      </c>
      <c r="C1849" t="s">
        <v>6162</v>
      </c>
      <c r="D1849" t="s">
        <v>4868</v>
      </c>
      <c r="E1849" t="s">
        <v>6163</v>
      </c>
      <c r="F1849" t="s">
        <v>6164</v>
      </c>
      <c r="J1849" t="s">
        <v>6163</v>
      </c>
      <c r="K1849" t="s">
        <v>4966</v>
      </c>
      <c r="L1849" t="s">
        <v>4967</v>
      </c>
    </row>
    <row r="1850" spans="1:12">
      <c r="A1850" t="s">
        <v>4865</v>
      </c>
      <c r="B1850" t="s">
        <v>4866</v>
      </c>
      <c r="C1850" t="s">
        <v>6165</v>
      </c>
      <c r="D1850" t="s">
        <v>4868</v>
      </c>
      <c r="E1850" t="s">
        <v>6166</v>
      </c>
      <c r="F1850" t="s">
        <v>6167</v>
      </c>
    </row>
    <row r="1851" spans="1:12">
      <c r="A1851" t="s">
        <v>4865</v>
      </c>
      <c r="B1851" t="s">
        <v>4866</v>
      </c>
      <c r="C1851" t="s">
        <v>6168</v>
      </c>
      <c r="D1851" t="s">
        <v>4868</v>
      </c>
      <c r="E1851" t="s">
        <v>6169</v>
      </c>
      <c r="F1851" t="s">
        <v>6170</v>
      </c>
      <c r="J1851" t="s">
        <v>6169</v>
      </c>
      <c r="K1851" t="s">
        <v>4966</v>
      </c>
      <c r="L1851" t="s">
        <v>4967</v>
      </c>
    </row>
    <row r="1852" spans="1:12">
      <c r="A1852" t="s">
        <v>4865</v>
      </c>
      <c r="B1852" t="s">
        <v>4866</v>
      </c>
      <c r="C1852" t="s">
        <v>6171</v>
      </c>
      <c r="D1852" t="s">
        <v>4868</v>
      </c>
      <c r="E1852" t="s">
        <v>6172</v>
      </c>
      <c r="F1852" t="s">
        <v>6173</v>
      </c>
      <c r="J1852" t="s">
        <v>6172</v>
      </c>
      <c r="K1852" t="s">
        <v>4966</v>
      </c>
      <c r="L1852" t="s">
        <v>4967</v>
      </c>
    </row>
    <row r="1853" spans="1:12">
      <c r="A1853" t="s">
        <v>4865</v>
      </c>
      <c r="B1853" t="s">
        <v>4866</v>
      </c>
      <c r="C1853" t="s">
        <v>6174</v>
      </c>
      <c r="D1853" t="s">
        <v>4868</v>
      </c>
      <c r="E1853" t="s">
        <v>6175</v>
      </c>
      <c r="F1853" t="s">
        <v>6176</v>
      </c>
      <c r="J1853" t="s">
        <v>6175</v>
      </c>
      <c r="K1853" t="s">
        <v>4966</v>
      </c>
      <c r="L1853" t="s">
        <v>4967</v>
      </c>
    </row>
    <row r="1854" spans="1:12">
      <c r="A1854" t="s">
        <v>4865</v>
      </c>
      <c r="B1854" t="s">
        <v>4866</v>
      </c>
      <c r="C1854" t="s">
        <v>6177</v>
      </c>
      <c r="D1854" t="s">
        <v>4868</v>
      </c>
      <c r="E1854" t="s">
        <v>6178</v>
      </c>
      <c r="F1854" t="s">
        <v>6179</v>
      </c>
      <c r="J1854" t="s">
        <v>6178</v>
      </c>
      <c r="K1854" t="s">
        <v>4966</v>
      </c>
      <c r="L1854" t="s">
        <v>4967</v>
      </c>
    </row>
    <row r="1855" spans="1:12">
      <c r="A1855" t="s">
        <v>4865</v>
      </c>
      <c r="B1855" t="s">
        <v>4866</v>
      </c>
      <c r="C1855" t="s">
        <v>6180</v>
      </c>
      <c r="D1855" t="s">
        <v>4868</v>
      </c>
      <c r="E1855" t="s">
        <v>6181</v>
      </c>
      <c r="F1855" t="s">
        <v>6182</v>
      </c>
      <c r="J1855" t="s">
        <v>6181</v>
      </c>
      <c r="K1855" t="s">
        <v>4966</v>
      </c>
      <c r="L1855" t="s">
        <v>4967</v>
      </c>
    </row>
    <row r="1856" spans="1:12">
      <c r="A1856" t="s">
        <v>4865</v>
      </c>
      <c r="B1856" t="s">
        <v>4866</v>
      </c>
      <c r="C1856" t="s">
        <v>6183</v>
      </c>
      <c r="D1856" t="s">
        <v>4868</v>
      </c>
      <c r="E1856" t="s">
        <v>6184</v>
      </c>
      <c r="F1856" t="s">
        <v>6185</v>
      </c>
    </row>
    <row r="1857" spans="1:12">
      <c r="A1857" t="s">
        <v>4865</v>
      </c>
      <c r="B1857" t="s">
        <v>4866</v>
      </c>
      <c r="C1857" t="s">
        <v>6186</v>
      </c>
      <c r="D1857" t="s">
        <v>4868</v>
      </c>
      <c r="E1857" t="s">
        <v>6187</v>
      </c>
      <c r="F1857" t="s">
        <v>6188</v>
      </c>
      <c r="J1857" t="s">
        <v>6187</v>
      </c>
      <c r="K1857" t="s">
        <v>4966</v>
      </c>
      <c r="L1857" t="s">
        <v>4967</v>
      </c>
    </row>
    <row r="1858" spans="1:12">
      <c r="A1858" t="s">
        <v>4865</v>
      </c>
      <c r="B1858" t="s">
        <v>4866</v>
      </c>
      <c r="C1858" t="s">
        <v>6189</v>
      </c>
      <c r="D1858" t="s">
        <v>4868</v>
      </c>
      <c r="E1858" t="s">
        <v>6190</v>
      </c>
      <c r="F1858" t="s">
        <v>6191</v>
      </c>
      <c r="J1858" t="s">
        <v>6190</v>
      </c>
      <c r="K1858" t="s">
        <v>4966</v>
      </c>
      <c r="L1858" t="s">
        <v>4967</v>
      </c>
    </row>
    <row r="1859" spans="1:12">
      <c r="A1859" t="s">
        <v>4865</v>
      </c>
      <c r="B1859" t="s">
        <v>4866</v>
      </c>
      <c r="C1859" t="s">
        <v>6192</v>
      </c>
      <c r="D1859" t="s">
        <v>4868</v>
      </c>
      <c r="E1859" t="s">
        <v>6193</v>
      </c>
      <c r="F1859" t="s">
        <v>6194</v>
      </c>
      <c r="J1859" t="s">
        <v>6193</v>
      </c>
      <c r="K1859" t="s">
        <v>4966</v>
      </c>
      <c r="L1859" t="s">
        <v>4967</v>
      </c>
    </row>
    <row r="1860" spans="1:12">
      <c r="A1860" t="s">
        <v>4865</v>
      </c>
      <c r="B1860" t="s">
        <v>4866</v>
      </c>
      <c r="C1860" t="s">
        <v>6195</v>
      </c>
      <c r="D1860" t="s">
        <v>4868</v>
      </c>
      <c r="E1860" t="s">
        <v>6196</v>
      </c>
      <c r="F1860" t="s">
        <v>6197</v>
      </c>
      <c r="J1860" t="s">
        <v>6196</v>
      </c>
      <c r="K1860" t="s">
        <v>4966</v>
      </c>
      <c r="L1860" t="s">
        <v>4967</v>
      </c>
    </row>
    <row r="1861" spans="1:12">
      <c r="A1861" t="s">
        <v>4865</v>
      </c>
      <c r="B1861" t="s">
        <v>4866</v>
      </c>
      <c r="C1861" t="s">
        <v>6198</v>
      </c>
      <c r="D1861" t="s">
        <v>4868</v>
      </c>
      <c r="E1861" t="s">
        <v>6199</v>
      </c>
      <c r="F1861" t="s">
        <v>6200</v>
      </c>
      <c r="J1861" t="s">
        <v>6199</v>
      </c>
      <c r="K1861" t="s">
        <v>4966</v>
      </c>
      <c r="L1861" t="s">
        <v>4967</v>
      </c>
    </row>
    <row r="1862" spans="1:12">
      <c r="A1862" t="s">
        <v>4865</v>
      </c>
      <c r="B1862" t="s">
        <v>4866</v>
      </c>
      <c r="C1862" t="s">
        <v>6201</v>
      </c>
      <c r="D1862" t="s">
        <v>4868</v>
      </c>
      <c r="E1862" t="s">
        <v>6202</v>
      </c>
      <c r="F1862" t="s">
        <v>6203</v>
      </c>
      <c r="J1862" t="s">
        <v>6202</v>
      </c>
      <c r="K1862" t="s">
        <v>4966</v>
      </c>
      <c r="L1862" t="s">
        <v>4967</v>
      </c>
    </row>
    <row r="1863" spans="1:12">
      <c r="A1863" t="s">
        <v>4865</v>
      </c>
      <c r="B1863" t="s">
        <v>4866</v>
      </c>
      <c r="C1863" t="s">
        <v>6204</v>
      </c>
      <c r="D1863" t="s">
        <v>4868</v>
      </c>
      <c r="E1863" t="s">
        <v>6205</v>
      </c>
      <c r="F1863" t="s">
        <v>6206</v>
      </c>
      <c r="J1863" t="s">
        <v>6205</v>
      </c>
      <c r="K1863" t="s">
        <v>4966</v>
      </c>
      <c r="L1863" t="s">
        <v>4967</v>
      </c>
    </row>
    <row r="1864" spans="1:12">
      <c r="A1864" t="s">
        <v>4865</v>
      </c>
      <c r="B1864" t="s">
        <v>4866</v>
      </c>
      <c r="C1864" t="s">
        <v>6207</v>
      </c>
      <c r="D1864" t="s">
        <v>4868</v>
      </c>
      <c r="E1864" t="s">
        <v>6208</v>
      </c>
      <c r="F1864" t="s">
        <v>6209</v>
      </c>
      <c r="J1864" t="s">
        <v>6208</v>
      </c>
      <c r="K1864" t="s">
        <v>4966</v>
      </c>
      <c r="L1864" t="s">
        <v>4967</v>
      </c>
    </row>
    <row r="1865" spans="1:12">
      <c r="A1865" t="s">
        <v>4865</v>
      </c>
      <c r="B1865" t="s">
        <v>4866</v>
      </c>
      <c r="C1865" t="s">
        <v>6210</v>
      </c>
      <c r="D1865" t="s">
        <v>4868</v>
      </c>
      <c r="E1865" t="s">
        <v>6211</v>
      </c>
      <c r="F1865" t="s">
        <v>6212</v>
      </c>
      <c r="J1865" t="s">
        <v>6211</v>
      </c>
      <c r="K1865" t="s">
        <v>4966</v>
      </c>
      <c r="L1865" t="s">
        <v>4967</v>
      </c>
    </row>
    <row r="1866" spans="1:12">
      <c r="A1866" t="s">
        <v>4865</v>
      </c>
      <c r="B1866" t="s">
        <v>4866</v>
      </c>
      <c r="C1866" t="s">
        <v>6213</v>
      </c>
      <c r="D1866" t="s">
        <v>4868</v>
      </c>
      <c r="E1866" t="s">
        <v>6214</v>
      </c>
      <c r="F1866" t="s">
        <v>6215</v>
      </c>
      <c r="J1866" t="s">
        <v>6214</v>
      </c>
      <c r="K1866" t="s">
        <v>4966</v>
      </c>
      <c r="L1866" t="s">
        <v>4967</v>
      </c>
    </row>
    <row r="1867" spans="1:12">
      <c r="A1867" t="s">
        <v>4865</v>
      </c>
      <c r="B1867" t="s">
        <v>4866</v>
      </c>
      <c r="C1867" t="s">
        <v>6216</v>
      </c>
      <c r="D1867" t="s">
        <v>4868</v>
      </c>
      <c r="E1867" t="s">
        <v>6217</v>
      </c>
      <c r="F1867" t="s">
        <v>6218</v>
      </c>
      <c r="J1867" t="s">
        <v>6217</v>
      </c>
      <c r="K1867" t="s">
        <v>4966</v>
      </c>
      <c r="L1867" t="s">
        <v>4967</v>
      </c>
    </row>
    <row r="1868" spans="1:12">
      <c r="A1868" t="s">
        <v>4865</v>
      </c>
      <c r="B1868" t="s">
        <v>4866</v>
      </c>
      <c r="C1868" t="s">
        <v>6219</v>
      </c>
      <c r="D1868" t="s">
        <v>4868</v>
      </c>
      <c r="E1868" t="s">
        <v>6220</v>
      </c>
      <c r="F1868" t="s">
        <v>6221</v>
      </c>
      <c r="J1868" t="s">
        <v>6220</v>
      </c>
      <c r="K1868" t="s">
        <v>4966</v>
      </c>
      <c r="L1868" t="s">
        <v>4967</v>
      </c>
    </row>
    <row r="1869" spans="1:12">
      <c r="A1869" t="s">
        <v>4865</v>
      </c>
      <c r="B1869" t="s">
        <v>4866</v>
      </c>
      <c r="C1869" t="s">
        <v>6222</v>
      </c>
      <c r="D1869" t="s">
        <v>4868</v>
      </c>
      <c r="E1869" t="s">
        <v>6223</v>
      </c>
      <c r="F1869" t="s">
        <v>6224</v>
      </c>
      <c r="J1869" t="s">
        <v>6223</v>
      </c>
      <c r="K1869" t="s">
        <v>4966</v>
      </c>
      <c r="L1869" t="s">
        <v>4967</v>
      </c>
    </row>
    <row r="1870" spans="1:12">
      <c r="A1870" t="s">
        <v>4865</v>
      </c>
      <c r="B1870" t="s">
        <v>4866</v>
      </c>
      <c r="C1870" t="s">
        <v>6225</v>
      </c>
      <c r="D1870" t="s">
        <v>4868</v>
      </c>
      <c r="E1870" t="s">
        <v>6226</v>
      </c>
      <c r="F1870" t="s">
        <v>6227</v>
      </c>
      <c r="J1870" t="s">
        <v>6226</v>
      </c>
      <c r="K1870" t="s">
        <v>4966</v>
      </c>
      <c r="L1870" t="s">
        <v>4967</v>
      </c>
    </row>
    <row r="1871" spans="1:12">
      <c r="A1871" t="s">
        <v>4865</v>
      </c>
      <c r="B1871" t="s">
        <v>4866</v>
      </c>
      <c r="C1871" t="s">
        <v>6228</v>
      </c>
      <c r="D1871" t="s">
        <v>4868</v>
      </c>
      <c r="E1871" t="s">
        <v>6229</v>
      </c>
      <c r="F1871" t="s">
        <v>6230</v>
      </c>
      <c r="J1871" t="s">
        <v>6229</v>
      </c>
      <c r="K1871" t="s">
        <v>4966</v>
      </c>
      <c r="L1871" t="s">
        <v>4967</v>
      </c>
    </row>
    <row r="1872" spans="1:12">
      <c r="A1872" t="s">
        <v>4865</v>
      </c>
      <c r="B1872" t="s">
        <v>4866</v>
      </c>
      <c r="C1872" t="s">
        <v>6231</v>
      </c>
      <c r="D1872" t="s">
        <v>4868</v>
      </c>
      <c r="E1872" t="s">
        <v>6232</v>
      </c>
      <c r="F1872" t="s">
        <v>6233</v>
      </c>
      <c r="J1872" t="s">
        <v>6232</v>
      </c>
      <c r="K1872" t="s">
        <v>4966</v>
      </c>
      <c r="L1872" t="s">
        <v>4967</v>
      </c>
    </row>
    <row r="1873" spans="1:12">
      <c r="A1873" t="s">
        <v>4865</v>
      </c>
      <c r="B1873" t="s">
        <v>4866</v>
      </c>
      <c r="C1873" t="s">
        <v>6234</v>
      </c>
      <c r="D1873" t="s">
        <v>4868</v>
      </c>
      <c r="E1873" t="s">
        <v>6235</v>
      </c>
      <c r="F1873" t="s">
        <v>6236</v>
      </c>
      <c r="J1873" t="s">
        <v>6235</v>
      </c>
      <c r="K1873" t="s">
        <v>4966</v>
      </c>
      <c r="L1873" t="s">
        <v>4967</v>
      </c>
    </row>
    <row r="1874" spans="1:12">
      <c r="A1874" t="s">
        <v>4865</v>
      </c>
      <c r="B1874" t="s">
        <v>4866</v>
      </c>
      <c r="C1874" t="s">
        <v>6237</v>
      </c>
      <c r="D1874" t="s">
        <v>4868</v>
      </c>
      <c r="E1874" t="s">
        <v>6238</v>
      </c>
      <c r="F1874" t="s">
        <v>6239</v>
      </c>
      <c r="J1874" t="s">
        <v>6238</v>
      </c>
      <c r="K1874" t="s">
        <v>4966</v>
      </c>
      <c r="L1874" t="s">
        <v>4967</v>
      </c>
    </row>
    <row r="1875" spans="1:12">
      <c r="A1875" t="s">
        <v>4865</v>
      </c>
      <c r="B1875" t="s">
        <v>4866</v>
      </c>
      <c r="C1875" t="s">
        <v>6240</v>
      </c>
      <c r="D1875" t="s">
        <v>4868</v>
      </c>
      <c r="E1875" t="s">
        <v>6241</v>
      </c>
      <c r="F1875" t="s">
        <v>6242</v>
      </c>
    </row>
    <row r="1876" spans="1:12">
      <c r="A1876" t="s">
        <v>4865</v>
      </c>
      <c r="B1876" t="s">
        <v>4866</v>
      </c>
      <c r="C1876" t="s">
        <v>6243</v>
      </c>
      <c r="D1876" t="s">
        <v>4868</v>
      </c>
      <c r="E1876" t="s">
        <v>6244</v>
      </c>
      <c r="F1876" t="s">
        <v>6245</v>
      </c>
      <c r="J1876" t="s">
        <v>6244</v>
      </c>
      <c r="K1876" t="s">
        <v>4966</v>
      </c>
      <c r="L1876" t="s">
        <v>4967</v>
      </c>
    </row>
    <row r="1877" spans="1:12">
      <c r="A1877" t="s">
        <v>4865</v>
      </c>
      <c r="B1877" t="s">
        <v>4866</v>
      </c>
      <c r="C1877" t="s">
        <v>6246</v>
      </c>
      <c r="D1877" t="s">
        <v>4868</v>
      </c>
      <c r="E1877" t="s">
        <v>6247</v>
      </c>
      <c r="F1877" t="s">
        <v>6248</v>
      </c>
      <c r="J1877" t="s">
        <v>6247</v>
      </c>
      <c r="K1877" t="s">
        <v>4966</v>
      </c>
      <c r="L1877" t="s">
        <v>4967</v>
      </c>
    </row>
    <row r="1878" spans="1:12">
      <c r="A1878" t="s">
        <v>4865</v>
      </c>
      <c r="B1878" t="s">
        <v>4866</v>
      </c>
      <c r="C1878" t="s">
        <v>6249</v>
      </c>
      <c r="D1878" t="s">
        <v>4868</v>
      </c>
      <c r="E1878" t="s">
        <v>6250</v>
      </c>
      <c r="F1878" t="s">
        <v>6251</v>
      </c>
      <c r="J1878" t="s">
        <v>6250</v>
      </c>
      <c r="K1878" t="s">
        <v>4966</v>
      </c>
      <c r="L1878" t="s">
        <v>4967</v>
      </c>
    </row>
    <row r="1879" spans="1:12">
      <c r="A1879" t="s">
        <v>4865</v>
      </c>
      <c r="B1879" t="s">
        <v>4866</v>
      </c>
      <c r="C1879" t="s">
        <v>6252</v>
      </c>
      <c r="D1879" t="s">
        <v>4868</v>
      </c>
      <c r="E1879" t="s">
        <v>6253</v>
      </c>
      <c r="F1879" t="s">
        <v>6254</v>
      </c>
      <c r="J1879" t="s">
        <v>6253</v>
      </c>
      <c r="K1879" t="s">
        <v>4966</v>
      </c>
      <c r="L1879" t="s">
        <v>4967</v>
      </c>
    </row>
    <row r="1880" spans="1:12">
      <c r="A1880" t="s">
        <v>4865</v>
      </c>
      <c r="B1880" t="s">
        <v>4866</v>
      </c>
      <c r="C1880" t="s">
        <v>6255</v>
      </c>
      <c r="D1880" t="s">
        <v>4868</v>
      </c>
      <c r="E1880" t="s">
        <v>6256</v>
      </c>
      <c r="F1880" t="s">
        <v>6257</v>
      </c>
      <c r="J1880" t="s">
        <v>6256</v>
      </c>
      <c r="K1880" t="s">
        <v>4966</v>
      </c>
      <c r="L1880" t="s">
        <v>4967</v>
      </c>
    </row>
    <row r="1881" spans="1:12">
      <c r="A1881" t="s">
        <v>4865</v>
      </c>
      <c r="B1881" t="s">
        <v>4866</v>
      </c>
      <c r="C1881" t="s">
        <v>6258</v>
      </c>
      <c r="D1881" t="s">
        <v>4868</v>
      </c>
      <c r="E1881" t="s">
        <v>6259</v>
      </c>
      <c r="F1881" t="s">
        <v>6260</v>
      </c>
      <c r="J1881" t="s">
        <v>6259</v>
      </c>
      <c r="K1881" t="s">
        <v>4966</v>
      </c>
      <c r="L1881" t="s">
        <v>4967</v>
      </c>
    </row>
    <row r="1882" spans="1:12">
      <c r="A1882" t="s">
        <v>4865</v>
      </c>
      <c r="B1882" t="s">
        <v>4866</v>
      </c>
      <c r="C1882" t="s">
        <v>6261</v>
      </c>
      <c r="D1882" t="s">
        <v>4868</v>
      </c>
      <c r="E1882" t="s">
        <v>6262</v>
      </c>
      <c r="F1882" t="s">
        <v>6263</v>
      </c>
      <c r="J1882" t="s">
        <v>6262</v>
      </c>
      <c r="K1882" t="s">
        <v>4966</v>
      </c>
      <c r="L1882" t="s">
        <v>4967</v>
      </c>
    </row>
    <row r="1883" spans="1:12">
      <c r="A1883" t="s">
        <v>4865</v>
      </c>
      <c r="B1883" t="s">
        <v>4866</v>
      </c>
      <c r="C1883" t="s">
        <v>6264</v>
      </c>
      <c r="D1883" t="s">
        <v>4868</v>
      </c>
      <c r="E1883" t="s">
        <v>6265</v>
      </c>
      <c r="F1883" t="s">
        <v>6266</v>
      </c>
      <c r="J1883" t="s">
        <v>6265</v>
      </c>
      <c r="K1883" t="s">
        <v>4966</v>
      </c>
      <c r="L1883" t="s">
        <v>4967</v>
      </c>
    </row>
    <row r="1884" spans="1:12">
      <c r="A1884" t="s">
        <v>4865</v>
      </c>
      <c r="B1884" t="s">
        <v>4866</v>
      </c>
      <c r="C1884" t="s">
        <v>6267</v>
      </c>
      <c r="D1884" t="s">
        <v>4868</v>
      </c>
      <c r="E1884" t="s">
        <v>655</v>
      </c>
      <c r="F1884" t="s">
        <v>656</v>
      </c>
    </row>
    <row r="1885" spans="1:12">
      <c r="A1885" t="s">
        <v>4865</v>
      </c>
      <c r="B1885" t="s">
        <v>4866</v>
      </c>
      <c r="D1885" t="s">
        <v>4868</v>
      </c>
      <c r="G1885" t="s">
        <v>6268</v>
      </c>
      <c r="J1885" t="s">
        <v>6269</v>
      </c>
      <c r="K1885" t="s">
        <v>4966</v>
      </c>
      <c r="L1885" t="s">
        <v>4967</v>
      </c>
    </row>
    <row r="1886" spans="1:12">
      <c r="A1886" t="s">
        <v>4865</v>
      </c>
      <c r="B1886" t="s">
        <v>4866</v>
      </c>
      <c r="D1886" t="s">
        <v>4868</v>
      </c>
      <c r="G1886" t="s">
        <v>6270</v>
      </c>
      <c r="J1886" t="s">
        <v>6271</v>
      </c>
      <c r="K1886" t="s">
        <v>4966</v>
      </c>
      <c r="L1886" t="s">
        <v>4967</v>
      </c>
    </row>
    <row r="1887" spans="1:12">
      <c r="A1887" t="s">
        <v>4865</v>
      </c>
      <c r="B1887" t="s">
        <v>4866</v>
      </c>
      <c r="D1887" t="s">
        <v>4868</v>
      </c>
      <c r="G1887" t="s">
        <v>6272</v>
      </c>
      <c r="J1887" t="s">
        <v>6273</v>
      </c>
      <c r="K1887" t="s">
        <v>4966</v>
      </c>
      <c r="L1887" t="s">
        <v>4967</v>
      </c>
    </row>
    <row r="1888" spans="1:12">
      <c r="A1888" t="s">
        <v>4865</v>
      </c>
      <c r="B1888" t="s">
        <v>4866</v>
      </c>
      <c r="D1888" t="s">
        <v>4868</v>
      </c>
      <c r="G1888" t="s">
        <v>6274</v>
      </c>
      <c r="J1888" t="s">
        <v>6275</v>
      </c>
      <c r="K1888" t="s">
        <v>4966</v>
      </c>
      <c r="L1888" t="s">
        <v>4967</v>
      </c>
    </row>
    <row r="1889" spans="1:12">
      <c r="A1889" t="s">
        <v>4865</v>
      </c>
      <c r="B1889" t="s">
        <v>4866</v>
      </c>
      <c r="D1889" t="s">
        <v>4868</v>
      </c>
      <c r="G1889" t="s">
        <v>6276</v>
      </c>
      <c r="J1889" t="s">
        <v>6277</v>
      </c>
      <c r="K1889" t="s">
        <v>4966</v>
      </c>
      <c r="L1889" t="s">
        <v>4967</v>
      </c>
    </row>
    <row r="1890" spans="1:12">
      <c r="A1890" t="s">
        <v>4865</v>
      </c>
      <c r="B1890" t="s">
        <v>4866</v>
      </c>
      <c r="D1890" t="s">
        <v>4868</v>
      </c>
      <c r="G1890" t="s">
        <v>6278</v>
      </c>
      <c r="J1890" t="s">
        <v>6279</v>
      </c>
      <c r="K1890" t="s">
        <v>4966</v>
      </c>
      <c r="L1890" t="s">
        <v>4967</v>
      </c>
    </row>
    <row r="1891" spans="1:12">
      <c r="A1891" t="s">
        <v>4865</v>
      </c>
      <c r="B1891" t="s">
        <v>4866</v>
      </c>
      <c r="D1891" t="s">
        <v>4868</v>
      </c>
      <c r="G1891" t="s">
        <v>6280</v>
      </c>
      <c r="J1891" t="s">
        <v>6281</v>
      </c>
      <c r="K1891" t="s">
        <v>4966</v>
      </c>
      <c r="L1891" t="s">
        <v>4967</v>
      </c>
    </row>
    <row r="1892" spans="1:12">
      <c r="A1892" t="s">
        <v>4865</v>
      </c>
      <c r="B1892" t="s">
        <v>4866</v>
      </c>
      <c r="D1892" t="s">
        <v>4868</v>
      </c>
      <c r="G1892" t="s">
        <v>6282</v>
      </c>
      <c r="J1892" t="s">
        <v>6283</v>
      </c>
      <c r="K1892" t="s">
        <v>4966</v>
      </c>
      <c r="L1892" t="s">
        <v>4967</v>
      </c>
    </row>
    <row r="1893" spans="1:12">
      <c r="A1893" t="s">
        <v>4865</v>
      </c>
      <c r="B1893" t="s">
        <v>4866</v>
      </c>
      <c r="D1893" t="s">
        <v>4868</v>
      </c>
      <c r="G1893" t="s">
        <v>6284</v>
      </c>
      <c r="J1893" t="s">
        <v>6285</v>
      </c>
      <c r="K1893" t="s">
        <v>4966</v>
      </c>
      <c r="L1893" t="s">
        <v>4967</v>
      </c>
    </row>
    <row r="1894" spans="1:12">
      <c r="A1894" t="s">
        <v>4865</v>
      </c>
      <c r="B1894" t="s">
        <v>4866</v>
      </c>
      <c r="D1894" t="s">
        <v>4868</v>
      </c>
      <c r="G1894" t="s">
        <v>6286</v>
      </c>
      <c r="J1894" t="s">
        <v>6287</v>
      </c>
      <c r="K1894" t="s">
        <v>4966</v>
      </c>
      <c r="L1894" t="s">
        <v>4967</v>
      </c>
    </row>
    <row r="1895" spans="1:12">
      <c r="A1895" t="s">
        <v>4865</v>
      </c>
      <c r="B1895" t="s">
        <v>4866</v>
      </c>
      <c r="D1895" t="s">
        <v>4868</v>
      </c>
      <c r="G1895" t="s">
        <v>6288</v>
      </c>
      <c r="J1895" t="s">
        <v>6289</v>
      </c>
      <c r="K1895" t="s">
        <v>4966</v>
      </c>
      <c r="L1895" t="s">
        <v>4967</v>
      </c>
    </row>
    <row r="1896" spans="1:12">
      <c r="A1896" t="s">
        <v>4865</v>
      </c>
      <c r="B1896" t="s">
        <v>4866</v>
      </c>
      <c r="D1896" t="s">
        <v>4868</v>
      </c>
      <c r="G1896" t="s">
        <v>6290</v>
      </c>
      <c r="J1896" t="s">
        <v>6291</v>
      </c>
      <c r="K1896" t="s">
        <v>4966</v>
      </c>
      <c r="L1896" t="s">
        <v>4967</v>
      </c>
    </row>
    <row r="1897" spans="1:12">
      <c r="A1897" t="s">
        <v>4865</v>
      </c>
      <c r="B1897" t="s">
        <v>4866</v>
      </c>
      <c r="D1897" t="s">
        <v>4868</v>
      </c>
      <c r="G1897" t="s">
        <v>6292</v>
      </c>
      <c r="J1897" t="s">
        <v>6293</v>
      </c>
      <c r="K1897" t="s">
        <v>4966</v>
      </c>
      <c r="L1897" t="s">
        <v>4967</v>
      </c>
    </row>
    <row r="1898" spans="1:12">
      <c r="A1898" t="s">
        <v>4865</v>
      </c>
      <c r="B1898" t="s">
        <v>4866</v>
      </c>
      <c r="D1898" t="s">
        <v>4868</v>
      </c>
      <c r="G1898" t="s">
        <v>6294</v>
      </c>
      <c r="J1898" t="s">
        <v>6295</v>
      </c>
      <c r="K1898" t="s">
        <v>4966</v>
      </c>
      <c r="L1898" t="s">
        <v>4967</v>
      </c>
    </row>
    <row r="1899" spans="1:12">
      <c r="A1899" t="s">
        <v>4865</v>
      </c>
      <c r="B1899" t="s">
        <v>4866</v>
      </c>
      <c r="D1899" t="s">
        <v>4868</v>
      </c>
      <c r="G1899" t="s">
        <v>6296</v>
      </c>
      <c r="J1899" t="s">
        <v>6297</v>
      </c>
      <c r="K1899" t="s">
        <v>4966</v>
      </c>
      <c r="L1899" t="s">
        <v>4967</v>
      </c>
    </row>
    <row r="1900" spans="1:12">
      <c r="A1900" t="s">
        <v>4865</v>
      </c>
      <c r="B1900" t="s">
        <v>4866</v>
      </c>
      <c r="D1900" t="s">
        <v>4868</v>
      </c>
      <c r="G1900" t="s">
        <v>6298</v>
      </c>
      <c r="J1900" t="s">
        <v>6299</v>
      </c>
      <c r="K1900" t="s">
        <v>4966</v>
      </c>
      <c r="L1900" t="s">
        <v>4967</v>
      </c>
    </row>
    <row r="1901" spans="1:12">
      <c r="A1901" t="s">
        <v>4865</v>
      </c>
      <c r="B1901" t="s">
        <v>4866</v>
      </c>
      <c r="D1901" t="s">
        <v>4868</v>
      </c>
      <c r="G1901" t="s">
        <v>6300</v>
      </c>
      <c r="J1901" t="s">
        <v>6301</v>
      </c>
      <c r="K1901" t="s">
        <v>4966</v>
      </c>
      <c r="L1901" t="s">
        <v>4967</v>
      </c>
    </row>
    <row r="1902" spans="1:12">
      <c r="A1902" t="s">
        <v>4865</v>
      </c>
      <c r="B1902" t="s">
        <v>4866</v>
      </c>
      <c r="D1902" t="s">
        <v>4868</v>
      </c>
      <c r="G1902" t="s">
        <v>6302</v>
      </c>
      <c r="J1902" t="s">
        <v>6303</v>
      </c>
      <c r="K1902" t="s">
        <v>4966</v>
      </c>
      <c r="L1902" t="s">
        <v>4967</v>
      </c>
    </row>
    <row r="1903" spans="1:12">
      <c r="A1903" t="s">
        <v>4865</v>
      </c>
      <c r="B1903" t="s">
        <v>4866</v>
      </c>
      <c r="D1903" t="s">
        <v>4868</v>
      </c>
      <c r="G1903" t="s">
        <v>6304</v>
      </c>
      <c r="J1903" t="s">
        <v>6305</v>
      </c>
      <c r="K1903" t="s">
        <v>4966</v>
      </c>
      <c r="L1903" t="s">
        <v>4967</v>
      </c>
    </row>
    <row r="1904" spans="1:12">
      <c r="A1904" t="s">
        <v>4865</v>
      </c>
      <c r="B1904" t="s">
        <v>4866</v>
      </c>
      <c r="D1904" t="s">
        <v>4868</v>
      </c>
      <c r="G1904" t="s">
        <v>6306</v>
      </c>
      <c r="J1904" t="s">
        <v>6307</v>
      </c>
      <c r="K1904" t="s">
        <v>4966</v>
      </c>
      <c r="L1904" t="s">
        <v>4967</v>
      </c>
    </row>
    <row r="1905" spans="1:12">
      <c r="A1905" t="s">
        <v>4865</v>
      </c>
      <c r="B1905" t="s">
        <v>4866</v>
      </c>
      <c r="D1905" t="s">
        <v>4868</v>
      </c>
      <c r="G1905" t="s">
        <v>6308</v>
      </c>
      <c r="J1905" t="s">
        <v>6309</v>
      </c>
      <c r="K1905" t="s">
        <v>4966</v>
      </c>
      <c r="L1905" t="s">
        <v>4967</v>
      </c>
    </row>
    <row r="1906" spans="1:12">
      <c r="A1906" t="s">
        <v>4865</v>
      </c>
      <c r="B1906" t="s">
        <v>4866</v>
      </c>
      <c r="D1906" t="s">
        <v>4868</v>
      </c>
      <c r="G1906" t="s">
        <v>6310</v>
      </c>
      <c r="J1906" t="s">
        <v>6311</v>
      </c>
      <c r="K1906" t="s">
        <v>4966</v>
      </c>
      <c r="L1906" t="s">
        <v>4967</v>
      </c>
    </row>
    <row r="1907" spans="1:12">
      <c r="A1907" t="s">
        <v>4865</v>
      </c>
      <c r="B1907" t="s">
        <v>4866</v>
      </c>
      <c r="D1907" t="s">
        <v>4868</v>
      </c>
      <c r="G1907" t="s">
        <v>6312</v>
      </c>
      <c r="J1907" t="s">
        <v>6313</v>
      </c>
      <c r="K1907" t="s">
        <v>4966</v>
      </c>
      <c r="L1907" t="s">
        <v>4967</v>
      </c>
    </row>
    <row r="1908" spans="1:12">
      <c r="A1908" t="s">
        <v>4865</v>
      </c>
      <c r="B1908" t="s">
        <v>4866</v>
      </c>
      <c r="D1908" t="s">
        <v>4868</v>
      </c>
      <c r="G1908" t="s">
        <v>6314</v>
      </c>
      <c r="J1908" t="s">
        <v>6315</v>
      </c>
      <c r="K1908" t="s">
        <v>4966</v>
      </c>
      <c r="L1908" t="s">
        <v>4967</v>
      </c>
    </row>
    <row r="1909" spans="1:12">
      <c r="A1909" t="s">
        <v>4865</v>
      </c>
      <c r="B1909" t="s">
        <v>4866</v>
      </c>
      <c r="D1909" t="s">
        <v>4868</v>
      </c>
      <c r="G1909" t="s">
        <v>6316</v>
      </c>
      <c r="J1909" t="s">
        <v>6317</v>
      </c>
      <c r="K1909" t="s">
        <v>4966</v>
      </c>
      <c r="L1909" t="s">
        <v>4967</v>
      </c>
    </row>
    <row r="1910" spans="1:12">
      <c r="A1910" t="s">
        <v>4865</v>
      </c>
      <c r="B1910" t="s">
        <v>4866</v>
      </c>
      <c r="D1910" t="s">
        <v>4868</v>
      </c>
      <c r="G1910" t="s">
        <v>6318</v>
      </c>
      <c r="J1910" t="s">
        <v>6319</v>
      </c>
      <c r="K1910" t="s">
        <v>4966</v>
      </c>
      <c r="L1910" t="s">
        <v>4967</v>
      </c>
    </row>
    <row r="1911" spans="1:12">
      <c r="A1911" t="s">
        <v>4865</v>
      </c>
      <c r="B1911" t="s">
        <v>4866</v>
      </c>
      <c r="D1911" t="s">
        <v>4868</v>
      </c>
      <c r="G1911" t="s">
        <v>6320</v>
      </c>
      <c r="J1911" t="s">
        <v>3369</v>
      </c>
      <c r="K1911" t="s">
        <v>4966</v>
      </c>
      <c r="L1911" t="s">
        <v>4967</v>
      </c>
    </row>
    <row r="1912" spans="1:12">
      <c r="A1912" t="s">
        <v>4865</v>
      </c>
      <c r="B1912" t="s">
        <v>4866</v>
      </c>
      <c r="D1912" t="s">
        <v>4868</v>
      </c>
      <c r="G1912" t="s">
        <v>6321</v>
      </c>
      <c r="J1912" t="s">
        <v>6322</v>
      </c>
      <c r="K1912" t="s">
        <v>4966</v>
      </c>
      <c r="L1912" t="s">
        <v>4967</v>
      </c>
    </row>
    <row r="1913" spans="1:12">
      <c r="A1913" t="s">
        <v>4865</v>
      </c>
      <c r="B1913" t="s">
        <v>4866</v>
      </c>
      <c r="D1913" t="s">
        <v>4868</v>
      </c>
      <c r="G1913" t="s">
        <v>6323</v>
      </c>
      <c r="J1913" t="s">
        <v>6324</v>
      </c>
      <c r="K1913" t="s">
        <v>4966</v>
      </c>
      <c r="L1913" t="s">
        <v>4967</v>
      </c>
    </row>
    <row r="1914" spans="1:12">
      <c r="A1914" t="s">
        <v>4865</v>
      </c>
      <c r="B1914" t="s">
        <v>4866</v>
      </c>
      <c r="D1914" t="s">
        <v>4868</v>
      </c>
      <c r="G1914" t="s">
        <v>6325</v>
      </c>
      <c r="J1914" t="s">
        <v>6326</v>
      </c>
      <c r="K1914" t="s">
        <v>4966</v>
      </c>
      <c r="L1914" t="s">
        <v>4967</v>
      </c>
    </row>
    <row r="1915" spans="1:12">
      <c r="A1915" t="s">
        <v>4865</v>
      </c>
      <c r="B1915" t="s">
        <v>4866</v>
      </c>
      <c r="D1915" t="s">
        <v>4868</v>
      </c>
      <c r="G1915" t="s">
        <v>6327</v>
      </c>
      <c r="J1915" t="s">
        <v>6328</v>
      </c>
      <c r="K1915" t="s">
        <v>4966</v>
      </c>
      <c r="L1915" t="s">
        <v>4967</v>
      </c>
    </row>
    <row r="1916" spans="1:12">
      <c r="A1916" t="s">
        <v>4865</v>
      </c>
      <c r="B1916" t="s">
        <v>4866</v>
      </c>
      <c r="D1916" t="s">
        <v>4868</v>
      </c>
      <c r="G1916" t="s">
        <v>6329</v>
      </c>
      <c r="J1916" t="s">
        <v>6330</v>
      </c>
      <c r="K1916" t="s">
        <v>4966</v>
      </c>
      <c r="L1916" t="s">
        <v>4967</v>
      </c>
    </row>
    <row r="1917" spans="1:12">
      <c r="A1917" t="s">
        <v>4865</v>
      </c>
      <c r="B1917" t="s">
        <v>4866</v>
      </c>
      <c r="D1917" t="s">
        <v>4868</v>
      </c>
      <c r="G1917" t="s">
        <v>6331</v>
      </c>
      <c r="J1917" t="s">
        <v>6332</v>
      </c>
      <c r="K1917" t="s">
        <v>4966</v>
      </c>
      <c r="L1917" t="s">
        <v>4967</v>
      </c>
    </row>
    <row r="1918" spans="1:12">
      <c r="A1918" t="s">
        <v>4865</v>
      </c>
      <c r="B1918" t="s">
        <v>4866</v>
      </c>
      <c r="D1918" t="s">
        <v>4868</v>
      </c>
      <c r="G1918" t="s">
        <v>6333</v>
      </c>
      <c r="J1918" t="s">
        <v>6334</v>
      </c>
      <c r="K1918" t="s">
        <v>4966</v>
      </c>
      <c r="L1918" t="s">
        <v>4967</v>
      </c>
    </row>
    <row r="1919" spans="1:12">
      <c r="A1919" t="s">
        <v>6335</v>
      </c>
      <c r="B1919" t="s">
        <v>6336</v>
      </c>
      <c r="C1919" t="s">
        <v>6337</v>
      </c>
      <c r="D1919" t="s">
        <v>6338</v>
      </c>
      <c r="E1919" t="s">
        <v>6339</v>
      </c>
      <c r="F1919" t="s">
        <v>6335</v>
      </c>
      <c r="J1919" t="s">
        <v>6339</v>
      </c>
      <c r="K1919" t="s">
        <v>6340</v>
      </c>
      <c r="L1919" t="s">
        <v>1389</v>
      </c>
    </row>
    <row r="1920" spans="1:12">
      <c r="A1920" t="s">
        <v>6335</v>
      </c>
      <c r="B1920" t="s">
        <v>6336</v>
      </c>
      <c r="C1920" t="s">
        <v>6341</v>
      </c>
      <c r="D1920" t="s">
        <v>6338</v>
      </c>
      <c r="E1920" t="s">
        <v>655</v>
      </c>
      <c r="F1920" t="s">
        <v>656</v>
      </c>
    </row>
    <row r="1921" spans="1:12">
      <c r="A1921" t="s">
        <v>6342</v>
      </c>
      <c r="B1921" t="s">
        <v>6343</v>
      </c>
      <c r="C1921" t="s">
        <v>6344</v>
      </c>
      <c r="D1921" t="s">
        <v>6345</v>
      </c>
      <c r="E1921" t="s">
        <v>915</v>
      </c>
      <c r="F1921" t="s">
        <v>6346</v>
      </c>
    </row>
    <row r="1922" spans="1:12">
      <c r="A1922" t="s">
        <v>6342</v>
      </c>
      <c r="B1922" t="s">
        <v>6343</v>
      </c>
      <c r="C1922" t="s">
        <v>6347</v>
      </c>
      <c r="D1922" t="s">
        <v>6345</v>
      </c>
      <c r="E1922" t="s">
        <v>6348</v>
      </c>
      <c r="F1922" t="s">
        <v>6349</v>
      </c>
      <c r="J1922" t="s">
        <v>6348</v>
      </c>
      <c r="K1922" t="s">
        <v>6350</v>
      </c>
      <c r="L1922" t="s">
        <v>916</v>
      </c>
    </row>
    <row r="1923" spans="1:12">
      <c r="A1923" t="s">
        <v>6342</v>
      </c>
      <c r="B1923" t="s">
        <v>6343</v>
      </c>
      <c r="C1923" t="s">
        <v>6351</v>
      </c>
      <c r="D1923" t="s">
        <v>6345</v>
      </c>
      <c r="E1923" t="s">
        <v>927</v>
      </c>
      <c r="F1923" t="s">
        <v>6352</v>
      </c>
      <c r="J1923" t="s">
        <v>927</v>
      </c>
      <c r="K1923" t="s">
        <v>6350</v>
      </c>
      <c r="L1923" t="s">
        <v>916</v>
      </c>
    </row>
    <row r="1924" spans="1:12">
      <c r="A1924" t="s">
        <v>6342</v>
      </c>
      <c r="B1924" t="s">
        <v>6343</v>
      </c>
      <c r="C1924" t="s">
        <v>6353</v>
      </c>
      <c r="D1924" t="s">
        <v>6345</v>
      </c>
      <c r="E1924" t="s">
        <v>6354</v>
      </c>
      <c r="F1924" t="s">
        <v>6355</v>
      </c>
      <c r="J1924" t="s">
        <v>6354</v>
      </c>
      <c r="K1924" t="s">
        <v>6350</v>
      </c>
      <c r="L1924" t="s">
        <v>916</v>
      </c>
    </row>
    <row r="1925" spans="1:12">
      <c r="A1925" t="s">
        <v>6342</v>
      </c>
      <c r="B1925" t="s">
        <v>6343</v>
      </c>
      <c r="C1925" t="s">
        <v>6356</v>
      </c>
      <c r="D1925" t="s">
        <v>6345</v>
      </c>
      <c r="E1925" t="s">
        <v>6357</v>
      </c>
      <c r="F1925" t="s">
        <v>6358</v>
      </c>
      <c r="J1925" t="s">
        <v>6357</v>
      </c>
      <c r="K1925" t="s">
        <v>6350</v>
      </c>
      <c r="L1925" t="s">
        <v>916</v>
      </c>
    </row>
    <row r="1926" spans="1:12">
      <c r="A1926" t="s">
        <v>6342</v>
      </c>
      <c r="B1926" t="s">
        <v>6343</v>
      </c>
      <c r="C1926" t="s">
        <v>6359</v>
      </c>
      <c r="D1926" t="s">
        <v>6345</v>
      </c>
      <c r="E1926" t="s">
        <v>6360</v>
      </c>
      <c r="F1926" t="s">
        <v>6361</v>
      </c>
      <c r="J1926" t="s">
        <v>6360</v>
      </c>
      <c r="K1926" t="s">
        <v>6350</v>
      </c>
      <c r="L1926" t="s">
        <v>916</v>
      </c>
    </row>
    <row r="1927" spans="1:12">
      <c r="A1927" t="s">
        <v>6342</v>
      </c>
      <c r="B1927" t="s">
        <v>6343</v>
      </c>
      <c r="C1927" t="s">
        <v>6362</v>
      </c>
      <c r="D1927" t="s">
        <v>6345</v>
      </c>
      <c r="E1927" t="s">
        <v>6363</v>
      </c>
      <c r="F1927" t="s">
        <v>6364</v>
      </c>
      <c r="J1927" t="s">
        <v>6363</v>
      </c>
      <c r="K1927" t="s">
        <v>6350</v>
      </c>
      <c r="L1927" t="s">
        <v>916</v>
      </c>
    </row>
    <row r="1928" spans="1:12">
      <c r="A1928" t="s">
        <v>6342</v>
      </c>
      <c r="B1928" t="s">
        <v>6343</v>
      </c>
      <c r="C1928" t="s">
        <v>6365</v>
      </c>
      <c r="D1928" t="s">
        <v>6345</v>
      </c>
      <c r="E1928" t="s">
        <v>6366</v>
      </c>
      <c r="F1928" t="s">
        <v>6367</v>
      </c>
      <c r="J1928" t="s">
        <v>6366</v>
      </c>
      <c r="K1928" t="s">
        <v>6350</v>
      </c>
      <c r="L1928" t="s">
        <v>916</v>
      </c>
    </row>
    <row r="1929" spans="1:12">
      <c r="A1929" t="s">
        <v>6342</v>
      </c>
      <c r="B1929" t="s">
        <v>6343</v>
      </c>
      <c r="C1929" t="s">
        <v>6368</v>
      </c>
      <c r="D1929" t="s">
        <v>6345</v>
      </c>
      <c r="E1929" t="s">
        <v>6369</v>
      </c>
      <c r="F1929" t="s">
        <v>6370</v>
      </c>
    </row>
    <row r="1930" spans="1:12">
      <c r="A1930" t="s">
        <v>6342</v>
      </c>
      <c r="B1930" t="s">
        <v>6343</v>
      </c>
      <c r="C1930" t="s">
        <v>6371</v>
      </c>
      <c r="D1930" t="s">
        <v>6345</v>
      </c>
      <c r="E1930" t="s">
        <v>6372</v>
      </c>
      <c r="F1930" t="s">
        <v>6373</v>
      </c>
      <c r="J1930" t="s">
        <v>6372</v>
      </c>
      <c r="K1930" t="s">
        <v>6350</v>
      </c>
      <c r="L1930" t="s">
        <v>916</v>
      </c>
    </row>
    <row r="1931" spans="1:12">
      <c r="A1931" t="s">
        <v>6342</v>
      </c>
      <c r="B1931" t="s">
        <v>6343</v>
      </c>
      <c r="C1931" t="s">
        <v>6374</v>
      </c>
      <c r="D1931" t="s">
        <v>6345</v>
      </c>
      <c r="E1931" t="s">
        <v>6375</v>
      </c>
      <c r="F1931" t="s">
        <v>6376</v>
      </c>
      <c r="J1931" t="s">
        <v>6375</v>
      </c>
      <c r="K1931" t="s">
        <v>6350</v>
      </c>
      <c r="L1931" t="s">
        <v>916</v>
      </c>
    </row>
    <row r="1932" spans="1:12">
      <c r="A1932" t="s">
        <v>6342</v>
      </c>
      <c r="B1932" t="s">
        <v>6343</v>
      </c>
      <c r="C1932" t="s">
        <v>6377</v>
      </c>
      <c r="D1932" t="s">
        <v>6345</v>
      </c>
      <c r="E1932" t="s">
        <v>6378</v>
      </c>
      <c r="F1932" t="s">
        <v>6379</v>
      </c>
      <c r="J1932" t="s">
        <v>6378</v>
      </c>
      <c r="K1932" t="s">
        <v>6350</v>
      </c>
      <c r="L1932" t="s">
        <v>916</v>
      </c>
    </row>
    <row r="1933" spans="1:12">
      <c r="A1933" t="s">
        <v>6342</v>
      </c>
      <c r="B1933" t="s">
        <v>6343</v>
      </c>
      <c r="C1933" t="s">
        <v>6380</v>
      </c>
      <c r="D1933" t="s">
        <v>6345</v>
      </c>
      <c r="E1933" t="s">
        <v>6381</v>
      </c>
      <c r="F1933" t="s">
        <v>6382</v>
      </c>
      <c r="J1933" t="s">
        <v>6381</v>
      </c>
      <c r="K1933" t="s">
        <v>6350</v>
      </c>
      <c r="L1933" t="s">
        <v>916</v>
      </c>
    </row>
    <row r="1934" spans="1:12">
      <c r="A1934" t="s">
        <v>6342</v>
      </c>
      <c r="B1934" t="s">
        <v>6343</v>
      </c>
      <c r="C1934" t="s">
        <v>6383</v>
      </c>
      <c r="D1934" t="s">
        <v>6345</v>
      </c>
      <c r="E1934" t="s">
        <v>6384</v>
      </c>
      <c r="F1934" t="s">
        <v>6385</v>
      </c>
      <c r="J1934" t="s">
        <v>6384</v>
      </c>
      <c r="K1934" t="s">
        <v>6350</v>
      </c>
      <c r="L1934" t="s">
        <v>916</v>
      </c>
    </row>
    <row r="1935" spans="1:12">
      <c r="A1935" t="s">
        <v>6342</v>
      </c>
      <c r="B1935" t="s">
        <v>6343</v>
      </c>
      <c r="C1935" t="s">
        <v>6386</v>
      </c>
      <c r="D1935" t="s">
        <v>6345</v>
      </c>
      <c r="E1935" t="s">
        <v>6387</v>
      </c>
      <c r="F1935" t="s">
        <v>6388</v>
      </c>
      <c r="J1935" t="s">
        <v>6387</v>
      </c>
      <c r="K1935" t="s">
        <v>6350</v>
      </c>
      <c r="L1935" t="s">
        <v>916</v>
      </c>
    </row>
    <row r="1936" spans="1:12">
      <c r="A1936" t="s">
        <v>6342</v>
      </c>
      <c r="B1936" t="s">
        <v>6343</v>
      </c>
      <c r="C1936" t="s">
        <v>6389</v>
      </c>
      <c r="D1936" t="s">
        <v>6345</v>
      </c>
      <c r="E1936" t="s">
        <v>6390</v>
      </c>
      <c r="F1936" t="s">
        <v>6391</v>
      </c>
      <c r="J1936" t="s">
        <v>6390</v>
      </c>
      <c r="K1936" t="s">
        <v>6350</v>
      </c>
      <c r="L1936" t="s">
        <v>916</v>
      </c>
    </row>
    <row r="1937" spans="1:12">
      <c r="A1937" t="s">
        <v>6342</v>
      </c>
      <c r="B1937" t="s">
        <v>6343</v>
      </c>
      <c r="C1937" t="s">
        <v>6392</v>
      </c>
      <c r="D1937" t="s">
        <v>6345</v>
      </c>
      <c r="E1937" t="s">
        <v>6393</v>
      </c>
      <c r="F1937" t="s">
        <v>6394</v>
      </c>
      <c r="J1937" t="s">
        <v>6393</v>
      </c>
      <c r="K1937" t="s">
        <v>6350</v>
      </c>
      <c r="L1937" t="s">
        <v>916</v>
      </c>
    </row>
    <row r="1938" spans="1:12">
      <c r="A1938" t="s">
        <v>6342</v>
      </c>
      <c r="B1938" t="s">
        <v>6343</v>
      </c>
      <c r="C1938" t="s">
        <v>6395</v>
      </c>
      <c r="D1938" t="s">
        <v>6345</v>
      </c>
      <c r="E1938" t="s">
        <v>6396</v>
      </c>
      <c r="F1938" t="s">
        <v>6397</v>
      </c>
      <c r="J1938" t="s">
        <v>6396</v>
      </c>
      <c r="K1938" t="s">
        <v>6350</v>
      </c>
      <c r="L1938" t="s">
        <v>916</v>
      </c>
    </row>
    <row r="1939" spans="1:12">
      <c r="A1939" t="s">
        <v>6342</v>
      </c>
      <c r="B1939" t="s">
        <v>6343</v>
      </c>
      <c r="C1939" t="s">
        <v>6398</v>
      </c>
      <c r="D1939" t="s">
        <v>6345</v>
      </c>
      <c r="E1939" t="s">
        <v>6399</v>
      </c>
      <c r="F1939" t="s">
        <v>6400</v>
      </c>
      <c r="J1939" t="s">
        <v>6399</v>
      </c>
      <c r="K1939" t="s">
        <v>6350</v>
      </c>
      <c r="L1939" t="s">
        <v>916</v>
      </c>
    </row>
    <row r="1940" spans="1:12">
      <c r="A1940" t="s">
        <v>6342</v>
      </c>
      <c r="B1940" t="s">
        <v>6343</v>
      </c>
      <c r="C1940" t="s">
        <v>6401</v>
      </c>
      <c r="D1940" t="s">
        <v>6345</v>
      </c>
      <c r="E1940" t="s">
        <v>6402</v>
      </c>
      <c r="F1940" t="s">
        <v>6403</v>
      </c>
      <c r="J1940" t="s">
        <v>6402</v>
      </c>
      <c r="K1940" t="s">
        <v>6350</v>
      </c>
      <c r="L1940" t="s">
        <v>916</v>
      </c>
    </row>
    <row r="1941" spans="1:12">
      <c r="A1941" t="s">
        <v>6342</v>
      </c>
      <c r="B1941" t="s">
        <v>6343</v>
      </c>
      <c r="C1941" t="s">
        <v>6404</v>
      </c>
      <c r="D1941" t="s">
        <v>6345</v>
      </c>
      <c r="E1941" t="s">
        <v>6405</v>
      </c>
      <c r="F1941" t="s">
        <v>6406</v>
      </c>
      <c r="J1941" t="s">
        <v>6405</v>
      </c>
      <c r="K1941" t="s">
        <v>6350</v>
      </c>
      <c r="L1941" t="s">
        <v>916</v>
      </c>
    </row>
    <row r="1942" spans="1:12">
      <c r="A1942" t="s">
        <v>6342</v>
      </c>
      <c r="B1942" t="s">
        <v>6343</v>
      </c>
      <c r="C1942" t="s">
        <v>6407</v>
      </c>
      <c r="D1942" t="s">
        <v>6345</v>
      </c>
      <c r="E1942" t="s">
        <v>6408</v>
      </c>
      <c r="F1942" t="s">
        <v>6409</v>
      </c>
      <c r="J1942" t="s">
        <v>6408</v>
      </c>
      <c r="K1942" t="s">
        <v>6350</v>
      </c>
      <c r="L1942" t="s">
        <v>916</v>
      </c>
    </row>
    <row r="1943" spans="1:12">
      <c r="A1943" t="s">
        <v>6342</v>
      </c>
      <c r="B1943" t="s">
        <v>6343</v>
      </c>
      <c r="C1943" t="s">
        <v>6410</v>
      </c>
      <c r="D1943" t="s">
        <v>6345</v>
      </c>
      <c r="E1943" t="s">
        <v>6411</v>
      </c>
      <c r="F1943" t="s">
        <v>6412</v>
      </c>
      <c r="J1943" t="s">
        <v>6411</v>
      </c>
      <c r="K1943" t="s">
        <v>6350</v>
      </c>
      <c r="L1943" t="s">
        <v>916</v>
      </c>
    </row>
    <row r="1944" spans="1:12">
      <c r="A1944" t="s">
        <v>6342</v>
      </c>
      <c r="B1944" t="s">
        <v>6343</v>
      </c>
      <c r="C1944" t="s">
        <v>6413</v>
      </c>
      <c r="D1944" t="s">
        <v>6345</v>
      </c>
      <c r="E1944" t="s">
        <v>6414</v>
      </c>
      <c r="F1944" t="s">
        <v>6415</v>
      </c>
      <c r="J1944" t="s">
        <v>6414</v>
      </c>
      <c r="K1944" t="s">
        <v>6350</v>
      </c>
      <c r="L1944" t="s">
        <v>916</v>
      </c>
    </row>
    <row r="1945" spans="1:12">
      <c r="A1945" t="s">
        <v>6342</v>
      </c>
      <c r="B1945" t="s">
        <v>6343</v>
      </c>
      <c r="C1945" t="s">
        <v>6416</v>
      </c>
      <c r="D1945" t="s">
        <v>6345</v>
      </c>
      <c r="E1945" t="s">
        <v>6417</v>
      </c>
      <c r="F1945" t="s">
        <v>6418</v>
      </c>
      <c r="J1945" t="s">
        <v>6417</v>
      </c>
      <c r="K1945" t="s">
        <v>6350</v>
      </c>
      <c r="L1945" t="s">
        <v>916</v>
      </c>
    </row>
    <row r="1946" spans="1:12">
      <c r="A1946" t="s">
        <v>6342</v>
      </c>
      <c r="B1946" t="s">
        <v>6343</v>
      </c>
      <c r="C1946" t="s">
        <v>6419</v>
      </c>
      <c r="D1946" t="s">
        <v>6345</v>
      </c>
      <c r="E1946" t="s">
        <v>6420</v>
      </c>
      <c r="F1946" t="s">
        <v>6421</v>
      </c>
      <c r="J1946" t="s">
        <v>6420</v>
      </c>
      <c r="K1946" t="s">
        <v>6350</v>
      </c>
      <c r="L1946" t="s">
        <v>916</v>
      </c>
    </row>
    <row r="1947" spans="1:12">
      <c r="A1947" t="s">
        <v>6342</v>
      </c>
      <c r="B1947" t="s">
        <v>6343</v>
      </c>
      <c r="C1947" t="s">
        <v>6422</v>
      </c>
      <c r="D1947" t="s">
        <v>6345</v>
      </c>
      <c r="E1947" t="s">
        <v>6423</v>
      </c>
      <c r="F1947" t="s">
        <v>6424</v>
      </c>
      <c r="J1947" t="s">
        <v>6423</v>
      </c>
      <c r="K1947" t="s">
        <v>6350</v>
      </c>
      <c r="L1947" t="s">
        <v>916</v>
      </c>
    </row>
    <row r="1948" spans="1:12">
      <c r="A1948" t="s">
        <v>6342</v>
      </c>
      <c r="B1948" t="s">
        <v>6343</v>
      </c>
      <c r="C1948" t="s">
        <v>6425</v>
      </c>
      <c r="D1948" t="s">
        <v>6345</v>
      </c>
      <c r="E1948" t="s">
        <v>6426</v>
      </c>
      <c r="F1948" t="s">
        <v>6427</v>
      </c>
      <c r="J1948" t="s">
        <v>6426</v>
      </c>
      <c r="K1948" t="s">
        <v>6350</v>
      </c>
      <c r="L1948" t="s">
        <v>916</v>
      </c>
    </row>
    <row r="1949" spans="1:12">
      <c r="A1949" t="s">
        <v>6342</v>
      </c>
      <c r="B1949" t="s">
        <v>6343</v>
      </c>
      <c r="C1949" t="s">
        <v>6428</v>
      </c>
      <c r="D1949" t="s">
        <v>6345</v>
      </c>
      <c r="E1949" t="s">
        <v>6429</v>
      </c>
      <c r="F1949" t="s">
        <v>6430</v>
      </c>
      <c r="J1949" t="s">
        <v>6429</v>
      </c>
      <c r="K1949" t="s">
        <v>6350</v>
      </c>
      <c r="L1949" t="s">
        <v>916</v>
      </c>
    </row>
    <row r="1950" spans="1:12">
      <c r="A1950" t="s">
        <v>6342</v>
      </c>
      <c r="B1950" t="s">
        <v>6343</v>
      </c>
      <c r="C1950" t="s">
        <v>6431</v>
      </c>
      <c r="D1950" t="s">
        <v>6345</v>
      </c>
      <c r="E1950" t="s">
        <v>6432</v>
      </c>
      <c r="F1950" t="s">
        <v>6433</v>
      </c>
      <c r="J1950" t="s">
        <v>6432</v>
      </c>
      <c r="K1950" t="s">
        <v>6350</v>
      </c>
      <c r="L1950" t="s">
        <v>916</v>
      </c>
    </row>
    <row r="1951" spans="1:12">
      <c r="A1951" t="s">
        <v>6342</v>
      </c>
      <c r="B1951" t="s">
        <v>6343</v>
      </c>
      <c r="C1951" t="s">
        <v>6434</v>
      </c>
      <c r="D1951" t="s">
        <v>6345</v>
      </c>
      <c r="E1951" t="s">
        <v>6435</v>
      </c>
      <c r="F1951" t="s">
        <v>6436</v>
      </c>
      <c r="J1951" t="s">
        <v>6435</v>
      </c>
      <c r="K1951" t="s">
        <v>6350</v>
      </c>
      <c r="L1951" t="s">
        <v>916</v>
      </c>
    </row>
    <row r="1952" spans="1:12">
      <c r="A1952" t="s">
        <v>6342</v>
      </c>
      <c r="B1952" t="s">
        <v>6343</v>
      </c>
      <c r="C1952" t="s">
        <v>6437</v>
      </c>
      <c r="D1952" t="s">
        <v>6345</v>
      </c>
      <c r="E1952" t="s">
        <v>6438</v>
      </c>
      <c r="F1952" t="s">
        <v>6439</v>
      </c>
      <c r="J1952" t="s">
        <v>6438</v>
      </c>
      <c r="K1952" t="s">
        <v>6350</v>
      </c>
      <c r="L1952" t="s">
        <v>916</v>
      </c>
    </row>
    <row r="1953" spans="1:12">
      <c r="A1953" t="s">
        <v>6342</v>
      </c>
      <c r="B1953" t="s">
        <v>6343</v>
      </c>
      <c r="C1953" t="s">
        <v>6440</v>
      </c>
      <c r="D1953" t="s">
        <v>6345</v>
      </c>
      <c r="E1953" t="s">
        <v>6441</v>
      </c>
      <c r="F1953" t="s">
        <v>6442</v>
      </c>
      <c r="J1953" t="s">
        <v>6441</v>
      </c>
      <c r="K1953" t="s">
        <v>6350</v>
      </c>
      <c r="L1953" t="s">
        <v>916</v>
      </c>
    </row>
    <row r="1954" spans="1:12">
      <c r="A1954" t="s">
        <v>6342</v>
      </c>
      <c r="B1954" t="s">
        <v>6343</v>
      </c>
      <c r="C1954" t="s">
        <v>6443</v>
      </c>
      <c r="D1954" t="s">
        <v>6345</v>
      </c>
      <c r="E1954" t="s">
        <v>6444</v>
      </c>
      <c r="F1954" t="s">
        <v>6445</v>
      </c>
      <c r="J1954" t="s">
        <v>6444</v>
      </c>
      <c r="K1954" t="s">
        <v>6350</v>
      </c>
      <c r="L1954" t="s">
        <v>916</v>
      </c>
    </row>
    <row r="1955" spans="1:12">
      <c r="A1955" t="s">
        <v>6342</v>
      </c>
      <c r="B1955" t="s">
        <v>6343</v>
      </c>
      <c r="C1955" t="s">
        <v>6446</v>
      </c>
      <c r="D1955" t="s">
        <v>6345</v>
      </c>
      <c r="E1955" t="s">
        <v>6447</v>
      </c>
      <c r="F1955" t="s">
        <v>6448</v>
      </c>
      <c r="J1955" t="s">
        <v>6447</v>
      </c>
      <c r="K1955" t="s">
        <v>6350</v>
      </c>
      <c r="L1955" t="s">
        <v>916</v>
      </c>
    </row>
    <row r="1956" spans="1:12">
      <c r="A1956" t="s">
        <v>6342</v>
      </c>
      <c r="B1956" t="s">
        <v>6343</v>
      </c>
      <c r="C1956" t="s">
        <v>6449</v>
      </c>
      <c r="D1956" t="s">
        <v>6345</v>
      </c>
      <c r="E1956" t="s">
        <v>6450</v>
      </c>
      <c r="F1956" t="s">
        <v>6451</v>
      </c>
      <c r="J1956" t="s">
        <v>6450</v>
      </c>
      <c r="K1956" t="s">
        <v>6350</v>
      </c>
      <c r="L1956" t="s">
        <v>916</v>
      </c>
    </row>
    <row r="1957" spans="1:12">
      <c r="A1957" t="s">
        <v>6342</v>
      </c>
      <c r="B1957" t="s">
        <v>6343</v>
      </c>
      <c r="C1957" t="s">
        <v>6452</v>
      </c>
      <c r="D1957" t="s">
        <v>6345</v>
      </c>
      <c r="E1957" t="s">
        <v>6453</v>
      </c>
      <c r="F1957" t="s">
        <v>6454</v>
      </c>
      <c r="J1957" t="s">
        <v>6453</v>
      </c>
      <c r="K1957" t="s">
        <v>6350</v>
      </c>
      <c r="L1957" t="s">
        <v>916</v>
      </c>
    </row>
    <row r="1958" spans="1:12">
      <c r="A1958" t="s">
        <v>6342</v>
      </c>
      <c r="B1958" t="s">
        <v>6343</v>
      </c>
      <c r="C1958" t="s">
        <v>6455</v>
      </c>
      <c r="D1958" t="s">
        <v>6345</v>
      </c>
      <c r="E1958" t="s">
        <v>6456</v>
      </c>
      <c r="F1958" t="s">
        <v>6457</v>
      </c>
      <c r="J1958" t="s">
        <v>6456</v>
      </c>
      <c r="K1958" t="s">
        <v>6350</v>
      </c>
      <c r="L1958" t="s">
        <v>916</v>
      </c>
    </row>
    <row r="1959" spans="1:12">
      <c r="A1959" t="s">
        <v>6342</v>
      </c>
      <c r="B1959" t="s">
        <v>6343</v>
      </c>
      <c r="C1959" t="s">
        <v>6458</v>
      </c>
      <c r="D1959" t="s">
        <v>6345</v>
      </c>
      <c r="E1959" t="s">
        <v>6459</v>
      </c>
      <c r="F1959" t="s">
        <v>6460</v>
      </c>
      <c r="J1959" t="s">
        <v>6459</v>
      </c>
      <c r="K1959" t="s">
        <v>6350</v>
      </c>
      <c r="L1959" t="s">
        <v>916</v>
      </c>
    </row>
    <row r="1960" spans="1:12">
      <c r="A1960" t="s">
        <v>6342</v>
      </c>
      <c r="B1960" t="s">
        <v>6343</v>
      </c>
      <c r="C1960" t="s">
        <v>6461</v>
      </c>
      <c r="D1960" t="s">
        <v>6345</v>
      </c>
      <c r="E1960" t="s">
        <v>6462</v>
      </c>
      <c r="F1960" t="s">
        <v>6463</v>
      </c>
      <c r="J1960" t="s">
        <v>6462</v>
      </c>
      <c r="K1960" t="s">
        <v>6350</v>
      </c>
      <c r="L1960" t="s">
        <v>916</v>
      </c>
    </row>
    <row r="1961" spans="1:12">
      <c r="A1961" t="s">
        <v>6342</v>
      </c>
      <c r="B1961" t="s">
        <v>6343</v>
      </c>
      <c r="C1961" t="s">
        <v>6464</v>
      </c>
      <c r="D1961" t="s">
        <v>6345</v>
      </c>
      <c r="E1961" t="s">
        <v>6465</v>
      </c>
      <c r="F1961" t="s">
        <v>6466</v>
      </c>
      <c r="J1961" t="s">
        <v>6465</v>
      </c>
      <c r="K1961" t="s">
        <v>6350</v>
      </c>
      <c r="L1961" t="s">
        <v>916</v>
      </c>
    </row>
    <row r="1962" spans="1:12">
      <c r="A1962" t="s">
        <v>6342</v>
      </c>
      <c r="B1962" t="s">
        <v>6343</v>
      </c>
      <c r="C1962" t="s">
        <v>6467</v>
      </c>
      <c r="D1962" t="s">
        <v>6345</v>
      </c>
      <c r="E1962" t="s">
        <v>6468</v>
      </c>
      <c r="F1962" t="s">
        <v>6469</v>
      </c>
      <c r="J1962" t="s">
        <v>6468</v>
      </c>
      <c r="K1962" t="s">
        <v>6350</v>
      </c>
      <c r="L1962" t="s">
        <v>916</v>
      </c>
    </row>
    <row r="1963" spans="1:12">
      <c r="A1963" t="s">
        <v>6342</v>
      </c>
      <c r="B1963" t="s">
        <v>6343</v>
      </c>
      <c r="C1963" t="s">
        <v>6470</v>
      </c>
      <c r="D1963" t="s">
        <v>6345</v>
      </c>
      <c r="E1963" t="s">
        <v>6471</v>
      </c>
      <c r="F1963" t="s">
        <v>6472</v>
      </c>
      <c r="J1963" t="s">
        <v>6471</v>
      </c>
      <c r="K1963" t="s">
        <v>6350</v>
      </c>
      <c r="L1963" t="s">
        <v>916</v>
      </c>
    </row>
    <row r="1964" spans="1:12">
      <c r="A1964" t="s">
        <v>6342</v>
      </c>
      <c r="B1964" t="s">
        <v>6343</v>
      </c>
      <c r="C1964" t="s">
        <v>6473</v>
      </c>
      <c r="D1964" t="s">
        <v>6345</v>
      </c>
      <c r="E1964" t="s">
        <v>972</v>
      </c>
      <c r="F1964" t="s">
        <v>6474</v>
      </c>
      <c r="J1964" t="s">
        <v>972</v>
      </c>
      <c r="K1964" t="s">
        <v>6350</v>
      </c>
      <c r="L1964" t="s">
        <v>916</v>
      </c>
    </row>
    <row r="1965" spans="1:12">
      <c r="A1965" t="s">
        <v>6342</v>
      </c>
      <c r="B1965" t="s">
        <v>6343</v>
      </c>
      <c r="C1965" t="s">
        <v>6475</v>
      </c>
      <c r="D1965" t="s">
        <v>6345</v>
      </c>
      <c r="E1965" t="s">
        <v>6476</v>
      </c>
      <c r="F1965" t="s">
        <v>6477</v>
      </c>
      <c r="J1965" t="s">
        <v>6476</v>
      </c>
      <c r="K1965" t="s">
        <v>6350</v>
      </c>
      <c r="L1965" t="s">
        <v>916</v>
      </c>
    </row>
    <row r="1966" spans="1:12">
      <c r="A1966" t="s">
        <v>6342</v>
      </c>
      <c r="B1966" t="s">
        <v>6343</v>
      </c>
      <c r="C1966" t="s">
        <v>6478</v>
      </c>
      <c r="D1966" t="s">
        <v>6345</v>
      </c>
      <c r="E1966" t="s">
        <v>6479</v>
      </c>
      <c r="F1966" t="s">
        <v>6480</v>
      </c>
      <c r="J1966" t="s">
        <v>6479</v>
      </c>
      <c r="K1966" t="s">
        <v>6350</v>
      </c>
      <c r="L1966" t="s">
        <v>916</v>
      </c>
    </row>
    <row r="1967" spans="1:12">
      <c r="A1967" t="s">
        <v>6342</v>
      </c>
      <c r="B1967" t="s">
        <v>6343</v>
      </c>
      <c r="C1967" t="s">
        <v>6481</v>
      </c>
      <c r="D1967" t="s">
        <v>6345</v>
      </c>
      <c r="E1967" t="s">
        <v>6482</v>
      </c>
      <c r="F1967" t="s">
        <v>6483</v>
      </c>
      <c r="J1967" t="s">
        <v>6482</v>
      </c>
      <c r="K1967" t="s">
        <v>6350</v>
      </c>
      <c r="L1967" t="s">
        <v>916</v>
      </c>
    </row>
    <row r="1968" spans="1:12">
      <c r="A1968" t="s">
        <v>6342</v>
      </c>
      <c r="B1968" t="s">
        <v>6343</v>
      </c>
      <c r="C1968" t="s">
        <v>6484</v>
      </c>
      <c r="D1968" t="s">
        <v>6345</v>
      </c>
      <c r="E1968" t="s">
        <v>6485</v>
      </c>
      <c r="F1968" t="s">
        <v>6486</v>
      </c>
      <c r="J1968" t="s">
        <v>6485</v>
      </c>
      <c r="K1968" t="s">
        <v>6350</v>
      </c>
      <c r="L1968" t="s">
        <v>916</v>
      </c>
    </row>
    <row r="1969" spans="1:12">
      <c r="A1969" t="s">
        <v>6342</v>
      </c>
      <c r="B1969" t="s">
        <v>6343</v>
      </c>
      <c r="C1969" t="s">
        <v>6487</v>
      </c>
      <c r="D1969" t="s">
        <v>6345</v>
      </c>
      <c r="E1969" t="s">
        <v>6488</v>
      </c>
      <c r="F1969" t="s">
        <v>6489</v>
      </c>
      <c r="J1969" t="s">
        <v>6488</v>
      </c>
      <c r="K1969" t="s">
        <v>6350</v>
      </c>
      <c r="L1969" t="s">
        <v>916</v>
      </c>
    </row>
    <row r="1970" spans="1:12">
      <c r="A1970" t="s">
        <v>6342</v>
      </c>
      <c r="B1970" t="s">
        <v>6343</v>
      </c>
      <c r="C1970" t="s">
        <v>6490</v>
      </c>
      <c r="D1970" t="s">
        <v>6345</v>
      </c>
      <c r="E1970" t="s">
        <v>6491</v>
      </c>
      <c r="F1970" t="s">
        <v>6492</v>
      </c>
      <c r="J1970" t="s">
        <v>6491</v>
      </c>
      <c r="K1970" t="s">
        <v>6350</v>
      </c>
      <c r="L1970" t="s">
        <v>916</v>
      </c>
    </row>
    <row r="1971" spans="1:12">
      <c r="A1971" t="s">
        <v>6342</v>
      </c>
      <c r="B1971" t="s">
        <v>6343</v>
      </c>
      <c r="C1971" t="s">
        <v>6493</v>
      </c>
      <c r="D1971" t="s">
        <v>6345</v>
      </c>
      <c r="E1971" t="s">
        <v>6494</v>
      </c>
      <c r="F1971" t="s">
        <v>6495</v>
      </c>
      <c r="J1971" t="s">
        <v>6494</v>
      </c>
      <c r="K1971" t="s">
        <v>6350</v>
      </c>
      <c r="L1971" t="s">
        <v>916</v>
      </c>
    </row>
    <row r="1972" spans="1:12">
      <c r="A1972" t="s">
        <v>6342</v>
      </c>
      <c r="B1972" t="s">
        <v>6343</v>
      </c>
      <c r="C1972" t="s">
        <v>6496</v>
      </c>
      <c r="D1972" t="s">
        <v>6345</v>
      </c>
      <c r="E1972" t="s">
        <v>6497</v>
      </c>
      <c r="F1972" t="s">
        <v>6498</v>
      </c>
      <c r="J1972" t="s">
        <v>6497</v>
      </c>
      <c r="K1972" t="s">
        <v>6350</v>
      </c>
      <c r="L1972" t="s">
        <v>916</v>
      </c>
    </row>
    <row r="1973" spans="1:12">
      <c r="A1973" t="s">
        <v>6342</v>
      </c>
      <c r="B1973" t="s">
        <v>6343</v>
      </c>
      <c r="C1973" t="s">
        <v>6499</v>
      </c>
      <c r="D1973" t="s">
        <v>6345</v>
      </c>
      <c r="E1973" t="s">
        <v>6500</v>
      </c>
      <c r="F1973" t="s">
        <v>6501</v>
      </c>
      <c r="J1973" t="s">
        <v>6500</v>
      </c>
      <c r="K1973" t="s">
        <v>6350</v>
      </c>
      <c r="L1973" t="s">
        <v>916</v>
      </c>
    </row>
    <row r="1974" spans="1:12">
      <c r="A1974" t="s">
        <v>6342</v>
      </c>
      <c r="B1974" t="s">
        <v>6343</v>
      </c>
      <c r="C1974" t="s">
        <v>6502</v>
      </c>
      <c r="D1974" t="s">
        <v>6345</v>
      </c>
      <c r="E1974" t="s">
        <v>6503</v>
      </c>
      <c r="F1974" t="s">
        <v>6504</v>
      </c>
    </row>
    <row r="1975" spans="1:12">
      <c r="A1975" t="s">
        <v>6342</v>
      </c>
      <c r="B1975" t="s">
        <v>6343</v>
      </c>
      <c r="C1975" t="s">
        <v>6505</v>
      </c>
      <c r="D1975" t="s">
        <v>6345</v>
      </c>
      <c r="E1975" t="s">
        <v>6506</v>
      </c>
      <c r="F1975" t="s">
        <v>6507</v>
      </c>
      <c r="J1975" t="s">
        <v>6506</v>
      </c>
      <c r="K1975" t="s">
        <v>6350</v>
      </c>
      <c r="L1975" t="s">
        <v>916</v>
      </c>
    </row>
    <row r="1976" spans="1:12">
      <c r="A1976" t="s">
        <v>6342</v>
      </c>
      <c r="B1976" t="s">
        <v>6343</v>
      </c>
      <c r="C1976" t="s">
        <v>6508</v>
      </c>
      <c r="D1976" t="s">
        <v>6345</v>
      </c>
      <c r="E1976" t="s">
        <v>6509</v>
      </c>
      <c r="F1976" t="s">
        <v>6510</v>
      </c>
      <c r="J1976" t="s">
        <v>6509</v>
      </c>
      <c r="K1976" t="s">
        <v>6350</v>
      </c>
      <c r="L1976" t="s">
        <v>916</v>
      </c>
    </row>
    <row r="1977" spans="1:12">
      <c r="A1977" t="s">
        <v>6342</v>
      </c>
      <c r="B1977" t="s">
        <v>6343</v>
      </c>
      <c r="C1977" t="s">
        <v>6511</v>
      </c>
      <c r="D1977" t="s">
        <v>6345</v>
      </c>
      <c r="E1977" t="s">
        <v>6512</v>
      </c>
      <c r="F1977" t="s">
        <v>6513</v>
      </c>
      <c r="J1977" t="s">
        <v>6512</v>
      </c>
      <c r="K1977" t="s">
        <v>6350</v>
      </c>
      <c r="L1977" t="s">
        <v>916</v>
      </c>
    </row>
    <row r="1978" spans="1:12">
      <c r="A1978" t="s">
        <v>6342</v>
      </c>
      <c r="B1978" t="s">
        <v>6343</v>
      </c>
      <c r="C1978" t="s">
        <v>6514</v>
      </c>
      <c r="D1978" t="s">
        <v>6345</v>
      </c>
      <c r="E1978" t="s">
        <v>6515</v>
      </c>
      <c r="F1978" t="s">
        <v>6516</v>
      </c>
      <c r="J1978" t="s">
        <v>6515</v>
      </c>
      <c r="K1978" t="s">
        <v>6350</v>
      </c>
      <c r="L1978" t="s">
        <v>916</v>
      </c>
    </row>
    <row r="1979" spans="1:12">
      <c r="A1979" t="s">
        <v>6342</v>
      </c>
      <c r="B1979" t="s">
        <v>6343</v>
      </c>
      <c r="C1979" t="s">
        <v>6517</v>
      </c>
      <c r="D1979" t="s">
        <v>6345</v>
      </c>
      <c r="E1979" t="s">
        <v>6518</v>
      </c>
      <c r="F1979" t="s">
        <v>6519</v>
      </c>
      <c r="J1979" t="s">
        <v>6518</v>
      </c>
      <c r="K1979" t="s">
        <v>6350</v>
      </c>
      <c r="L1979" t="s">
        <v>916</v>
      </c>
    </row>
    <row r="1980" spans="1:12">
      <c r="A1980" t="s">
        <v>6342</v>
      </c>
      <c r="B1980" t="s">
        <v>6343</v>
      </c>
      <c r="C1980" t="s">
        <v>6520</v>
      </c>
      <c r="D1980" t="s">
        <v>6345</v>
      </c>
      <c r="E1980" t="s">
        <v>6521</v>
      </c>
      <c r="F1980" t="s">
        <v>6394</v>
      </c>
      <c r="J1980" t="s">
        <v>6521</v>
      </c>
      <c r="K1980" t="s">
        <v>6350</v>
      </c>
      <c r="L1980" t="s">
        <v>916</v>
      </c>
    </row>
    <row r="1981" spans="1:12">
      <c r="A1981" t="s">
        <v>6342</v>
      </c>
      <c r="B1981" t="s">
        <v>6343</v>
      </c>
      <c r="C1981" t="s">
        <v>6522</v>
      </c>
      <c r="D1981" t="s">
        <v>6345</v>
      </c>
      <c r="E1981" t="s">
        <v>6523</v>
      </c>
      <c r="F1981" t="s">
        <v>6524</v>
      </c>
      <c r="J1981" t="s">
        <v>6523</v>
      </c>
      <c r="K1981" t="s">
        <v>6350</v>
      </c>
      <c r="L1981" t="s">
        <v>916</v>
      </c>
    </row>
    <row r="1982" spans="1:12">
      <c r="A1982" t="s">
        <v>6342</v>
      </c>
      <c r="B1982" t="s">
        <v>6343</v>
      </c>
      <c r="C1982" t="s">
        <v>6525</v>
      </c>
      <c r="D1982" t="s">
        <v>6345</v>
      </c>
      <c r="E1982" t="s">
        <v>6526</v>
      </c>
      <c r="F1982" t="s">
        <v>6527</v>
      </c>
      <c r="J1982" t="s">
        <v>6526</v>
      </c>
      <c r="K1982" t="s">
        <v>6350</v>
      </c>
      <c r="L1982" t="s">
        <v>916</v>
      </c>
    </row>
    <row r="1983" spans="1:12">
      <c r="A1983" t="s">
        <v>6342</v>
      </c>
      <c r="B1983" t="s">
        <v>6343</v>
      </c>
      <c r="C1983" t="s">
        <v>6528</v>
      </c>
      <c r="D1983" t="s">
        <v>6345</v>
      </c>
      <c r="E1983" t="s">
        <v>6529</v>
      </c>
      <c r="F1983" t="s">
        <v>6530</v>
      </c>
      <c r="J1983" t="s">
        <v>6529</v>
      </c>
      <c r="K1983" t="s">
        <v>6350</v>
      </c>
      <c r="L1983" t="s">
        <v>916</v>
      </c>
    </row>
    <row r="1984" spans="1:12">
      <c r="A1984" t="s">
        <v>6342</v>
      </c>
      <c r="B1984" t="s">
        <v>6343</v>
      </c>
      <c r="C1984" t="s">
        <v>6531</v>
      </c>
      <c r="D1984" t="s">
        <v>6345</v>
      </c>
      <c r="E1984" t="s">
        <v>6532</v>
      </c>
      <c r="F1984" t="s">
        <v>6533</v>
      </c>
      <c r="J1984" t="s">
        <v>6532</v>
      </c>
      <c r="K1984" t="s">
        <v>6350</v>
      </c>
      <c r="L1984" t="s">
        <v>916</v>
      </c>
    </row>
    <row r="1985" spans="1:12">
      <c r="A1985" t="s">
        <v>6342</v>
      </c>
      <c r="B1985" t="s">
        <v>6343</v>
      </c>
      <c r="C1985" t="s">
        <v>6534</v>
      </c>
      <c r="D1985" t="s">
        <v>6345</v>
      </c>
      <c r="E1985" t="s">
        <v>6535</v>
      </c>
      <c r="F1985" t="s">
        <v>6536</v>
      </c>
      <c r="J1985" t="s">
        <v>6535</v>
      </c>
      <c r="K1985" t="s">
        <v>6350</v>
      </c>
      <c r="L1985" t="s">
        <v>916</v>
      </c>
    </row>
    <row r="1986" spans="1:12">
      <c r="A1986" t="s">
        <v>6342</v>
      </c>
      <c r="B1986" t="s">
        <v>6343</v>
      </c>
      <c r="C1986" t="s">
        <v>6537</v>
      </c>
      <c r="D1986" t="s">
        <v>6345</v>
      </c>
      <c r="E1986" t="s">
        <v>655</v>
      </c>
      <c r="F1986" t="s">
        <v>656</v>
      </c>
    </row>
    <row r="1987" spans="1:12">
      <c r="A1987" t="s">
        <v>6538</v>
      </c>
      <c r="B1987" t="s">
        <v>6539</v>
      </c>
      <c r="C1987" t="s">
        <v>6540</v>
      </c>
      <c r="D1987" t="s">
        <v>6541</v>
      </c>
      <c r="E1987" t="s">
        <v>6542</v>
      </c>
      <c r="F1987" t="s">
        <v>6543</v>
      </c>
    </row>
    <row r="1988" spans="1:12">
      <c r="A1988" t="s">
        <v>6538</v>
      </c>
      <c r="B1988" t="s">
        <v>6539</v>
      </c>
      <c r="C1988" t="s">
        <v>6544</v>
      </c>
      <c r="D1988" t="s">
        <v>6541</v>
      </c>
      <c r="E1988" t="s">
        <v>6545</v>
      </c>
      <c r="F1988" t="s">
        <v>6546</v>
      </c>
      <c r="J1988" t="s">
        <v>6545</v>
      </c>
      <c r="K1988" t="s">
        <v>6547</v>
      </c>
      <c r="L1988" t="s">
        <v>851</v>
      </c>
    </row>
    <row r="1989" spans="1:12">
      <c r="A1989" t="s">
        <v>6538</v>
      </c>
      <c r="B1989" t="s">
        <v>6539</v>
      </c>
      <c r="C1989" t="s">
        <v>6548</v>
      </c>
      <c r="D1989" t="s">
        <v>6541</v>
      </c>
      <c r="E1989" t="s">
        <v>655</v>
      </c>
      <c r="F1989" t="s">
        <v>656</v>
      </c>
    </row>
    <row r="1990" spans="1:12">
      <c r="A1990" t="s">
        <v>6549</v>
      </c>
      <c r="B1990" t="s">
        <v>6550</v>
      </c>
      <c r="C1990" t="s">
        <v>6551</v>
      </c>
      <c r="D1990" t="s">
        <v>6552</v>
      </c>
      <c r="E1990" t="s">
        <v>6553</v>
      </c>
      <c r="F1990" t="s">
        <v>6554</v>
      </c>
      <c r="J1990" t="s">
        <v>6553</v>
      </c>
      <c r="K1990" t="s">
        <v>6555</v>
      </c>
      <c r="L1990" t="s">
        <v>916</v>
      </c>
    </row>
    <row r="1991" spans="1:12">
      <c r="A1991" t="s">
        <v>6549</v>
      </c>
      <c r="B1991" t="s">
        <v>6550</v>
      </c>
      <c r="C1991" t="s">
        <v>6556</v>
      </c>
      <c r="D1991" t="s">
        <v>6552</v>
      </c>
      <c r="E1991" t="s">
        <v>6557</v>
      </c>
      <c r="F1991" t="s">
        <v>6558</v>
      </c>
      <c r="J1991" t="s">
        <v>6557</v>
      </c>
      <c r="K1991" t="s">
        <v>6555</v>
      </c>
      <c r="L1991" t="s">
        <v>916</v>
      </c>
    </row>
    <row r="1992" spans="1:12">
      <c r="A1992" t="s">
        <v>6549</v>
      </c>
      <c r="B1992" t="s">
        <v>6550</v>
      </c>
      <c r="C1992" t="s">
        <v>6559</v>
      </c>
      <c r="D1992" t="s">
        <v>6552</v>
      </c>
      <c r="E1992" t="s">
        <v>6560</v>
      </c>
      <c r="F1992" t="s">
        <v>6561</v>
      </c>
      <c r="J1992" t="s">
        <v>6560</v>
      </c>
      <c r="K1992" t="s">
        <v>6555</v>
      </c>
      <c r="L1992" t="s">
        <v>916</v>
      </c>
    </row>
    <row r="1993" spans="1:12">
      <c r="A1993" t="s">
        <v>6549</v>
      </c>
      <c r="B1993" t="s">
        <v>6550</v>
      </c>
      <c r="C1993" t="s">
        <v>6562</v>
      </c>
      <c r="D1993" t="s">
        <v>6552</v>
      </c>
      <c r="E1993" t="s">
        <v>6563</v>
      </c>
      <c r="F1993" t="s">
        <v>6564</v>
      </c>
      <c r="J1993" t="s">
        <v>6563</v>
      </c>
      <c r="K1993" t="s">
        <v>6555</v>
      </c>
      <c r="L1993" t="s">
        <v>916</v>
      </c>
    </row>
    <row r="1994" spans="1:12">
      <c r="A1994" t="s">
        <v>6549</v>
      </c>
      <c r="B1994" t="s">
        <v>6550</v>
      </c>
      <c r="C1994" t="s">
        <v>6565</v>
      </c>
      <c r="D1994" t="s">
        <v>6552</v>
      </c>
      <c r="E1994" t="s">
        <v>6566</v>
      </c>
      <c r="F1994" t="s">
        <v>6567</v>
      </c>
      <c r="J1994" t="s">
        <v>6566</v>
      </c>
      <c r="K1994" t="s">
        <v>6555</v>
      </c>
      <c r="L1994" t="s">
        <v>916</v>
      </c>
    </row>
    <row r="1995" spans="1:12">
      <c r="A1995" t="s">
        <v>6549</v>
      </c>
      <c r="B1995" t="s">
        <v>6550</v>
      </c>
      <c r="C1995" t="s">
        <v>6568</v>
      </c>
      <c r="D1995" t="s">
        <v>6552</v>
      </c>
      <c r="E1995" t="s">
        <v>6569</v>
      </c>
      <c r="F1995" t="s">
        <v>6570</v>
      </c>
      <c r="J1995" t="s">
        <v>6569</v>
      </c>
      <c r="K1995" t="s">
        <v>6555</v>
      </c>
      <c r="L1995" t="s">
        <v>916</v>
      </c>
    </row>
    <row r="1996" spans="1:12">
      <c r="A1996" t="s">
        <v>6549</v>
      </c>
      <c r="B1996" t="s">
        <v>6550</v>
      </c>
      <c r="C1996" t="s">
        <v>6571</v>
      </c>
      <c r="D1996" t="s">
        <v>6552</v>
      </c>
      <c r="E1996" t="s">
        <v>6572</v>
      </c>
      <c r="F1996" t="s">
        <v>6573</v>
      </c>
      <c r="J1996" t="s">
        <v>6572</v>
      </c>
      <c r="K1996" t="s">
        <v>6555</v>
      </c>
      <c r="L1996" t="s">
        <v>916</v>
      </c>
    </row>
    <row r="1997" spans="1:12">
      <c r="A1997" t="s">
        <v>6549</v>
      </c>
      <c r="B1997" t="s">
        <v>6550</v>
      </c>
      <c r="C1997" t="s">
        <v>6574</v>
      </c>
      <c r="D1997" t="s">
        <v>6552</v>
      </c>
      <c r="E1997" t="s">
        <v>6575</v>
      </c>
      <c r="F1997" t="s">
        <v>6576</v>
      </c>
      <c r="J1997" t="s">
        <v>6575</v>
      </c>
      <c r="K1997" t="s">
        <v>6555</v>
      </c>
      <c r="L1997" t="s">
        <v>916</v>
      </c>
    </row>
    <row r="1998" spans="1:12">
      <c r="A1998" t="s">
        <v>6549</v>
      </c>
      <c r="B1998" t="s">
        <v>6550</v>
      </c>
      <c r="C1998" t="s">
        <v>6577</v>
      </c>
      <c r="D1998" t="s">
        <v>6552</v>
      </c>
      <c r="E1998" t="s">
        <v>6578</v>
      </c>
      <c r="F1998" t="s">
        <v>6579</v>
      </c>
      <c r="J1998" t="s">
        <v>6578</v>
      </c>
      <c r="K1998" t="s">
        <v>6555</v>
      </c>
      <c r="L1998" t="s">
        <v>916</v>
      </c>
    </row>
    <row r="1999" spans="1:12">
      <c r="A1999" t="s">
        <v>6549</v>
      </c>
      <c r="B1999" t="s">
        <v>6550</v>
      </c>
      <c r="C1999" t="s">
        <v>6580</v>
      </c>
      <c r="D1999" t="s">
        <v>6552</v>
      </c>
      <c r="E1999" t="s">
        <v>6581</v>
      </c>
      <c r="F1999" t="s">
        <v>6582</v>
      </c>
      <c r="J1999" t="s">
        <v>6581</v>
      </c>
      <c r="K1999" t="s">
        <v>6555</v>
      </c>
      <c r="L1999" t="s">
        <v>916</v>
      </c>
    </row>
    <row r="2000" spans="1:12">
      <c r="A2000" t="s">
        <v>6549</v>
      </c>
      <c r="B2000" t="s">
        <v>6550</v>
      </c>
      <c r="C2000" t="s">
        <v>6583</v>
      </c>
      <c r="D2000" t="s">
        <v>6552</v>
      </c>
      <c r="E2000" t="s">
        <v>6584</v>
      </c>
      <c r="F2000" t="s">
        <v>6585</v>
      </c>
      <c r="J2000" t="s">
        <v>6584</v>
      </c>
      <c r="K2000" t="s">
        <v>6555</v>
      </c>
      <c r="L2000" t="s">
        <v>916</v>
      </c>
    </row>
    <row r="2001" spans="1:12">
      <c r="A2001" t="s">
        <v>6549</v>
      </c>
      <c r="B2001" t="s">
        <v>6550</v>
      </c>
      <c r="C2001" t="s">
        <v>6586</v>
      </c>
      <c r="D2001" t="s">
        <v>6552</v>
      </c>
      <c r="E2001" t="s">
        <v>6587</v>
      </c>
      <c r="F2001" t="s">
        <v>6588</v>
      </c>
      <c r="J2001" t="s">
        <v>6587</v>
      </c>
      <c r="K2001" t="s">
        <v>6555</v>
      </c>
      <c r="L2001" t="s">
        <v>916</v>
      </c>
    </row>
    <row r="2002" spans="1:12">
      <c r="A2002" t="s">
        <v>6549</v>
      </c>
      <c r="B2002" t="s">
        <v>6550</v>
      </c>
      <c r="C2002" t="s">
        <v>6589</v>
      </c>
      <c r="D2002" t="s">
        <v>6552</v>
      </c>
      <c r="E2002" t="s">
        <v>6590</v>
      </c>
      <c r="F2002" t="s">
        <v>6591</v>
      </c>
      <c r="J2002" t="s">
        <v>6590</v>
      </c>
      <c r="K2002" t="s">
        <v>6555</v>
      </c>
      <c r="L2002" t="s">
        <v>916</v>
      </c>
    </row>
    <row r="2003" spans="1:12">
      <c r="A2003" t="s">
        <v>6549</v>
      </c>
      <c r="B2003" t="s">
        <v>6550</v>
      </c>
      <c r="C2003" t="s">
        <v>6592</v>
      </c>
      <c r="D2003" t="s">
        <v>6552</v>
      </c>
      <c r="E2003" t="s">
        <v>6593</v>
      </c>
      <c r="F2003" t="s">
        <v>6594</v>
      </c>
      <c r="J2003" t="s">
        <v>6593</v>
      </c>
      <c r="K2003" t="s">
        <v>6555</v>
      </c>
      <c r="L2003" t="s">
        <v>916</v>
      </c>
    </row>
    <row r="2004" spans="1:12">
      <c r="A2004" t="s">
        <v>6549</v>
      </c>
      <c r="B2004" t="s">
        <v>6550</v>
      </c>
      <c r="C2004" t="s">
        <v>6595</v>
      </c>
      <c r="D2004" t="s">
        <v>6552</v>
      </c>
      <c r="E2004" t="s">
        <v>6596</v>
      </c>
      <c r="F2004" t="s">
        <v>6597</v>
      </c>
      <c r="J2004" t="s">
        <v>6596</v>
      </c>
      <c r="K2004" t="s">
        <v>6555</v>
      </c>
      <c r="L2004" t="s">
        <v>916</v>
      </c>
    </row>
    <row r="2005" spans="1:12">
      <c r="A2005" t="s">
        <v>6549</v>
      </c>
      <c r="B2005" t="s">
        <v>6550</v>
      </c>
      <c r="C2005" t="s">
        <v>6598</v>
      </c>
      <c r="D2005" t="s">
        <v>6552</v>
      </c>
      <c r="E2005" t="s">
        <v>6599</v>
      </c>
      <c r="F2005" t="s">
        <v>6600</v>
      </c>
      <c r="J2005" t="s">
        <v>6599</v>
      </c>
      <c r="K2005" t="s">
        <v>6555</v>
      </c>
      <c r="L2005" t="s">
        <v>916</v>
      </c>
    </row>
    <row r="2006" spans="1:12">
      <c r="A2006" t="s">
        <v>6549</v>
      </c>
      <c r="B2006" t="s">
        <v>6550</v>
      </c>
      <c r="C2006" t="s">
        <v>6601</v>
      </c>
      <c r="D2006" t="s">
        <v>6552</v>
      </c>
      <c r="E2006" t="s">
        <v>6602</v>
      </c>
      <c r="F2006" t="s">
        <v>6603</v>
      </c>
      <c r="J2006" t="s">
        <v>6602</v>
      </c>
      <c r="K2006" t="s">
        <v>6555</v>
      </c>
      <c r="L2006" t="s">
        <v>916</v>
      </c>
    </row>
    <row r="2007" spans="1:12">
      <c r="A2007" t="s">
        <v>6549</v>
      </c>
      <c r="B2007" t="s">
        <v>6550</v>
      </c>
      <c r="C2007" t="s">
        <v>6604</v>
      </c>
      <c r="D2007" t="s">
        <v>6552</v>
      </c>
      <c r="E2007" t="s">
        <v>6605</v>
      </c>
      <c r="F2007" t="s">
        <v>6606</v>
      </c>
      <c r="J2007" t="s">
        <v>6605</v>
      </c>
      <c r="K2007" t="s">
        <v>6555</v>
      </c>
      <c r="L2007" t="s">
        <v>916</v>
      </c>
    </row>
    <row r="2008" spans="1:12">
      <c r="A2008" t="s">
        <v>6549</v>
      </c>
      <c r="B2008" t="s">
        <v>6550</v>
      </c>
      <c r="C2008" t="s">
        <v>6607</v>
      </c>
      <c r="D2008" t="s">
        <v>6552</v>
      </c>
      <c r="E2008" t="s">
        <v>3492</v>
      </c>
      <c r="F2008" t="s">
        <v>6608</v>
      </c>
      <c r="J2008" t="s">
        <v>3492</v>
      </c>
      <c r="K2008" t="s">
        <v>6555</v>
      </c>
      <c r="L2008" t="s">
        <v>916</v>
      </c>
    </row>
    <row r="2009" spans="1:12">
      <c r="A2009" t="s">
        <v>6549</v>
      </c>
      <c r="B2009" t="s">
        <v>6550</v>
      </c>
      <c r="C2009" t="s">
        <v>6609</v>
      </c>
      <c r="D2009" t="s">
        <v>6552</v>
      </c>
      <c r="E2009" t="s">
        <v>6610</v>
      </c>
      <c r="F2009" t="s">
        <v>6611</v>
      </c>
      <c r="J2009" t="s">
        <v>6610</v>
      </c>
      <c r="K2009" t="s">
        <v>6555</v>
      </c>
      <c r="L2009" t="s">
        <v>916</v>
      </c>
    </row>
    <row r="2010" spans="1:12">
      <c r="A2010" t="s">
        <v>6549</v>
      </c>
      <c r="B2010" t="s">
        <v>6550</v>
      </c>
      <c r="C2010" t="s">
        <v>6612</v>
      </c>
      <c r="D2010" t="s">
        <v>6552</v>
      </c>
      <c r="E2010" t="s">
        <v>6613</v>
      </c>
      <c r="F2010" t="s">
        <v>6614</v>
      </c>
      <c r="J2010" t="s">
        <v>6613</v>
      </c>
      <c r="K2010" t="s">
        <v>6555</v>
      </c>
      <c r="L2010" t="s">
        <v>916</v>
      </c>
    </row>
    <row r="2011" spans="1:12">
      <c r="A2011" t="s">
        <v>6549</v>
      </c>
      <c r="B2011" t="s">
        <v>6550</v>
      </c>
      <c r="C2011" t="s">
        <v>6615</v>
      </c>
      <c r="D2011" t="s">
        <v>6552</v>
      </c>
      <c r="E2011" t="s">
        <v>6616</v>
      </c>
      <c r="F2011" t="s">
        <v>6617</v>
      </c>
      <c r="J2011" t="s">
        <v>6616</v>
      </c>
      <c r="K2011" t="s">
        <v>6555</v>
      </c>
      <c r="L2011" t="s">
        <v>916</v>
      </c>
    </row>
    <row r="2012" spans="1:12">
      <c r="A2012" t="s">
        <v>6549</v>
      </c>
      <c r="B2012" t="s">
        <v>6550</v>
      </c>
      <c r="C2012" t="s">
        <v>6618</v>
      </c>
      <c r="D2012" t="s">
        <v>6552</v>
      </c>
      <c r="E2012" t="s">
        <v>6619</v>
      </c>
      <c r="F2012" t="s">
        <v>6620</v>
      </c>
      <c r="J2012" t="s">
        <v>6619</v>
      </c>
      <c r="K2012" t="s">
        <v>6555</v>
      </c>
      <c r="L2012" t="s">
        <v>916</v>
      </c>
    </row>
    <row r="2013" spans="1:12">
      <c r="A2013" t="s">
        <v>6549</v>
      </c>
      <c r="B2013" t="s">
        <v>6550</v>
      </c>
      <c r="C2013" t="s">
        <v>6621</v>
      </c>
      <c r="D2013" t="s">
        <v>6552</v>
      </c>
      <c r="E2013" t="s">
        <v>6622</v>
      </c>
      <c r="F2013" t="s">
        <v>6623</v>
      </c>
      <c r="J2013" t="s">
        <v>6622</v>
      </c>
      <c r="K2013" t="s">
        <v>6555</v>
      </c>
      <c r="L2013" t="s">
        <v>916</v>
      </c>
    </row>
    <row r="2014" spans="1:12">
      <c r="A2014" t="s">
        <v>6549</v>
      </c>
      <c r="B2014" t="s">
        <v>6550</v>
      </c>
      <c r="C2014" t="s">
        <v>6624</v>
      </c>
      <c r="D2014" t="s">
        <v>6552</v>
      </c>
      <c r="E2014" t="s">
        <v>655</v>
      </c>
      <c r="F2014" t="s">
        <v>656</v>
      </c>
    </row>
    <row r="2015" spans="1:12">
      <c r="A2015" t="s">
        <v>6625</v>
      </c>
      <c r="B2015" t="s">
        <v>6626</v>
      </c>
      <c r="C2015" t="s">
        <v>6627</v>
      </c>
      <c r="D2015" t="s">
        <v>6628</v>
      </c>
      <c r="E2015" t="s">
        <v>6629</v>
      </c>
      <c r="F2015" t="s">
        <v>6630</v>
      </c>
      <c r="J2015" t="s">
        <v>6629</v>
      </c>
      <c r="K2015" t="s">
        <v>6625</v>
      </c>
      <c r="L2015" t="s">
        <v>916</v>
      </c>
    </row>
    <row r="2016" spans="1:12">
      <c r="A2016" t="s">
        <v>6625</v>
      </c>
      <c r="B2016" t="s">
        <v>6626</v>
      </c>
      <c r="C2016" t="s">
        <v>6631</v>
      </c>
      <c r="D2016" t="s">
        <v>6628</v>
      </c>
      <c r="E2016" t="s">
        <v>6632</v>
      </c>
      <c r="F2016" t="s">
        <v>6633</v>
      </c>
      <c r="J2016" t="s">
        <v>6632</v>
      </c>
      <c r="K2016" t="s">
        <v>6625</v>
      </c>
      <c r="L2016" t="s">
        <v>916</v>
      </c>
    </row>
    <row r="2017" spans="1:12">
      <c r="A2017" t="s">
        <v>6625</v>
      </c>
      <c r="B2017" t="s">
        <v>6626</v>
      </c>
      <c r="C2017" t="s">
        <v>6634</v>
      </c>
      <c r="D2017" t="s">
        <v>6628</v>
      </c>
      <c r="E2017" t="s">
        <v>1633</v>
      </c>
      <c r="F2017" t="s">
        <v>6635</v>
      </c>
      <c r="J2017" t="s">
        <v>1633</v>
      </c>
      <c r="K2017" t="s">
        <v>6625</v>
      </c>
      <c r="L2017" t="s">
        <v>916</v>
      </c>
    </row>
    <row r="2018" spans="1:12">
      <c r="A2018" t="s">
        <v>6625</v>
      </c>
      <c r="B2018" t="s">
        <v>6626</v>
      </c>
      <c r="C2018" t="s">
        <v>6636</v>
      </c>
      <c r="D2018" t="s">
        <v>6628</v>
      </c>
      <c r="E2018" t="s">
        <v>6637</v>
      </c>
      <c r="F2018" t="s">
        <v>6638</v>
      </c>
      <c r="J2018" t="s">
        <v>6637</v>
      </c>
      <c r="K2018" t="s">
        <v>6625</v>
      </c>
      <c r="L2018" t="s">
        <v>916</v>
      </c>
    </row>
    <row r="2019" spans="1:12">
      <c r="A2019" t="s">
        <v>6625</v>
      </c>
      <c r="B2019" t="s">
        <v>6626</v>
      </c>
      <c r="C2019" t="s">
        <v>6639</v>
      </c>
      <c r="D2019" t="s">
        <v>6628</v>
      </c>
      <c r="E2019" t="s">
        <v>6640</v>
      </c>
      <c r="F2019" t="s">
        <v>6641</v>
      </c>
      <c r="J2019" t="s">
        <v>6640</v>
      </c>
      <c r="K2019" t="s">
        <v>6625</v>
      </c>
      <c r="L2019" t="s">
        <v>916</v>
      </c>
    </row>
    <row r="2020" spans="1:12">
      <c r="A2020" t="s">
        <v>6625</v>
      </c>
      <c r="B2020" t="s">
        <v>6626</v>
      </c>
      <c r="C2020" t="s">
        <v>6642</v>
      </c>
      <c r="D2020" t="s">
        <v>6628</v>
      </c>
      <c r="E2020" t="s">
        <v>6643</v>
      </c>
      <c r="F2020" t="s">
        <v>6644</v>
      </c>
      <c r="J2020" t="s">
        <v>6643</v>
      </c>
      <c r="K2020" t="s">
        <v>6625</v>
      </c>
      <c r="L2020" t="s">
        <v>916</v>
      </c>
    </row>
    <row r="2021" spans="1:12">
      <c r="A2021" t="s">
        <v>6625</v>
      </c>
      <c r="B2021" t="s">
        <v>6626</v>
      </c>
      <c r="C2021" t="s">
        <v>6645</v>
      </c>
      <c r="D2021" t="s">
        <v>6628</v>
      </c>
      <c r="E2021" t="s">
        <v>6646</v>
      </c>
      <c r="F2021" t="s">
        <v>6647</v>
      </c>
      <c r="J2021" t="s">
        <v>6646</v>
      </c>
      <c r="K2021" t="s">
        <v>6625</v>
      </c>
      <c r="L2021" t="s">
        <v>916</v>
      </c>
    </row>
    <row r="2022" spans="1:12">
      <c r="A2022" t="s">
        <v>6625</v>
      </c>
      <c r="B2022" t="s">
        <v>6626</v>
      </c>
      <c r="C2022" t="s">
        <v>6648</v>
      </c>
      <c r="D2022" t="s">
        <v>6628</v>
      </c>
      <c r="E2022" t="s">
        <v>6649</v>
      </c>
      <c r="F2022" t="s">
        <v>6649</v>
      </c>
      <c r="J2022" t="s">
        <v>6649</v>
      </c>
      <c r="K2022" t="s">
        <v>6625</v>
      </c>
      <c r="L2022" t="s">
        <v>916</v>
      </c>
    </row>
    <row r="2023" spans="1:12">
      <c r="A2023" t="s">
        <v>6625</v>
      </c>
      <c r="B2023" t="s">
        <v>6626</v>
      </c>
      <c r="C2023" t="s">
        <v>6650</v>
      </c>
      <c r="D2023" t="s">
        <v>6628</v>
      </c>
      <c r="E2023" t="s">
        <v>6651</v>
      </c>
      <c r="F2023" t="s">
        <v>6652</v>
      </c>
      <c r="J2023" t="s">
        <v>6651</v>
      </c>
      <c r="K2023" t="s">
        <v>6625</v>
      </c>
      <c r="L2023" t="s">
        <v>916</v>
      </c>
    </row>
    <row r="2024" spans="1:12">
      <c r="A2024" t="s">
        <v>6625</v>
      </c>
      <c r="B2024" t="s">
        <v>6626</v>
      </c>
      <c r="C2024" t="s">
        <v>6653</v>
      </c>
      <c r="D2024" t="s">
        <v>6628</v>
      </c>
      <c r="E2024" t="s">
        <v>6654</v>
      </c>
      <c r="F2024" t="s">
        <v>6655</v>
      </c>
      <c r="J2024" t="s">
        <v>6654</v>
      </c>
      <c r="K2024" t="s">
        <v>6625</v>
      </c>
      <c r="L2024" t="s">
        <v>916</v>
      </c>
    </row>
    <row r="2025" spans="1:12">
      <c r="A2025" t="s">
        <v>6625</v>
      </c>
      <c r="B2025" t="s">
        <v>6626</v>
      </c>
      <c r="C2025" t="s">
        <v>6656</v>
      </c>
      <c r="D2025" t="s">
        <v>6628</v>
      </c>
      <c r="E2025" t="s">
        <v>6657</v>
      </c>
      <c r="F2025" t="s">
        <v>6658</v>
      </c>
      <c r="J2025" t="s">
        <v>6657</v>
      </c>
      <c r="K2025" t="s">
        <v>6625</v>
      </c>
      <c r="L2025" t="s">
        <v>916</v>
      </c>
    </row>
    <row r="2026" spans="1:12">
      <c r="A2026" t="s">
        <v>6625</v>
      </c>
      <c r="B2026" t="s">
        <v>6626</v>
      </c>
      <c r="C2026" t="s">
        <v>6659</v>
      </c>
      <c r="D2026" t="s">
        <v>6628</v>
      </c>
      <c r="E2026" t="s">
        <v>6660</v>
      </c>
      <c r="F2026" t="s">
        <v>6661</v>
      </c>
      <c r="J2026" t="s">
        <v>6660</v>
      </c>
      <c r="K2026" t="s">
        <v>6625</v>
      </c>
      <c r="L2026" t="s">
        <v>916</v>
      </c>
    </row>
    <row r="2027" spans="1:12">
      <c r="A2027" t="s">
        <v>6625</v>
      </c>
      <c r="B2027" t="s">
        <v>6626</v>
      </c>
      <c r="C2027" t="s">
        <v>6662</v>
      </c>
      <c r="D2027" t="s">
        <v>6628</v>
      </c>
      <c r="E2027" t="s">
        <v>6663</v>
      </c>
      <c r="F2027" t="s">
        <v>6664</v>
      </c>
      <c r="J2027" t="s">
        <v>6663</v>
      </c>
      <c r="K2027" t="s">
        <v>6625</v>
      </c>
      <c r="L2027" t="s">
        <v>916</v>
      </c>
    </row>
    <row r="2028" spans="1:12">
      <c r="A2028" t="s">
        <v>6625</v>
      </c>
      <c r="B2028" t="s">
        <v>6626</v>
      </c>
      <c r="C2028" t="s">
        <v>6665</v>
      </c>
      <c r="D2028" t="s">
        <v>6628</v>
      </c>
      <c r="E2028" t="s">
        <v>6666</v>
      </c>
      <c r="F2028" t="s">
        <v>6667</v>
      </c>
      <c r="J2028" t="s">
        <v>6666</v>
      </c>
      <c r="K2028" t="s">
        <v>6625</v>
      </c>
      <c r="L2028" t="s">
        <v>916</v>
      </c>
    </row>
    <row r="2029" spans="1:12">
      <c r="A2029" t="s">
        <v>6625</v>
      </c>
      <c r="B2029" t="s">
        <v>6626</v>
      </c>
      <c r="C2029" t="s">
        <v>6668</v>
      </c>
      <c r="D2029" t="s">
        <v>6628</v>
      </c>
      <c r="E2029" t="s">
        <v>6669</v>
      </c>
      <c r="F2029" t="s">
        <v>6670</v>
      </c>
      <c r="J2029" t="s">
        <v>6669</v>
      </c>
      <c r="K2029" t="s">
        <v>6625</v>
      </c>
      <c r="L2029" t="s">
        <v>916</v>
      </c>
    </row>
    <row r="2030" spans="1:12">
      <c r="A2030" t="s">
        <v>6625</v>
      </c>
      <c r="B2030" t="s">
        <v>6626</v>
      </c>
      <c r="C2030" t="s">
        <v>6671</v>
      </c>
      <c r="D2030" t="s">
        <v>6628</v>
      </c>
      <c r="E2030" t="s">
        <v>6672</v>
      </c>
      <c r="F2030" t="s">
        <v>6673</v>
      </c>
    </row>
    <row r="2031" spans="1:12">
      <c r="A2031" t="s">
        <v>6625</v>
      </c>
      <c r="B2031" t="s">
        <v>6626</v>
      </c>
      <c r="C2031" t="s">
        <v>6674</v>
      </c>
      <c r="D2031" t="s">
        <v>6628</v>
      </c>
      <c r="E2031" t="s">
        <v>6675</v>
      </c>
      <c r="F2031" t="s">
        <v>6676</v>
      </c>
      <c r="J2031" t="s">
        <v>6675</v>
      </c>
      <c r="K2031" t="s">
        <v>6625</v>
      </c>
      <c r="L2031" t="s">
        <v>916</v>
      </c>
    </row>
    <row r="2032" spans="1:12">
      <c r="A2032" t="s">
        <v>6625</v>
      </c>
      <c r="B2032" t="s">
        <v>6626</v>
      </c>
      <c r="C2032" t="s">
        <v>6677</v>
      </c>
      <c r="D2032" t="s">
        <v>6628</v>
      </c>
      <c r="E2032" t="s">
        <v>6678</v>
      </c>
      <c r="F2032" t="s">
        <v>6679</v>
      </c>
    </row>
    <row r="2033" spans="1:12">
      <c r="A2033" t="s">
        <v>6625</v>
      </c>
      <c r="B2033" t="s">
        <v>6626</v>
      </c>
      <c r="C2033" t="s">
        <v>6680</v>
      </c>
      <c r="D2033" t="s">
        <v>6628</v>
      </c>
      <c r="E2033" t="s">
        <v>6681</v>
      </c>
      <c r="F2033" t="s">
        <v>6682</v>
      </c>
      <c r="J2033" t="s">
        <v>6681</v>
      </c>
      <c r="K2033" t="s">
        <v>6625</v>
      </c>
      <c r="L2033" t="s">
        <v>916</v>
      </c>
    </row>
    <row r="2034" spans="1:12">
      <c r="A2034" t="s">
        <v>6625</v>
      </c>
      <c r="B2034" t="s">
        <v>6626</v>
      </c>
      <c r="C2034" t="s">
        <v>6683</v>
      </c>
      <c r="D2034" t="s">
        <v>6628</v>
      </c>
      <c r="E2034" t="s">
        <v>6684</v>
      </c>
      <c r="F2034" t="s">
        <v>6685</v>
      </c>
      <c r="J2034" t="s">
        <v>6684</v>
      </c>
      <c r="K2034" t="s">
        <v>6625</v>
      </c>
      <c r="L2034" t="s">
        <v>916</v>
      </c>
    </row>
    <row r="2035" spans="1:12">
      <c r="A2035" t="s">
        <v>6625</v>
      </c>
      <c r="B2035" t="s">
        <v>6626</v>
      </c>
      <c r="C2035" t="s">
        <v>6686</v>
      </c>
      <c r="D2035" t="s">
        <v>6628</v>
      </c>
      <c r="E2035" t="s">
        <v>6687</v>
      </c>
      <c r="F2035" t="s">
        <v>6688</v>
      </c>
      <c r="J2035" t="s">
        <v>6687</v>
      </c>
      <c r="K2035" t="s">
        <v>6625</v>
      </c>
      <c r="L2035" t="s">
        <v>916</v>
      </c>
    </row>
    <row r="2036" spans="1:12">
      <c r="A2036" t="s">
        <v>6625</v>
      </c>
      <c r="B2036" t="s">
        <v>6626</v>
      </c>
      <c r="C2036" t="s">
        <v>6689</v>
      </c>
      <c r="D2036" t="s">
        <v>6628</v>
      </c>
      <c r="E2036" t="s">
        <v>6690</v>
      </c>
      <c r="F2036" t="s">
        <v>6691</v>
      </c>
      <c r="J2036" t="s">
        <v>6690</v>
      </c>
      <c r="K2036" t="s">
        <v>6625</v>
      </c>
      <c r="L2036" t="s">
        <v>916</v>
      </c>
    </row>
    <row r="2037" spans="1:12">
      <c r="A2037" t="s">
        <v>6625</v>
      </c>
      <c r="B2037" t="s">
        <v>6626</v>
      </c>
      <c r="C2037" t="s">
        <v>6692</v>
      </c>
      <c r="D2037" t="s">
        <v>6628</v>
      </c>
      <c r="E2037" t="s">
        <v>6693</v>
      </c>
      <c r="F2037" t="s">
        <v>6694</v>
      </c>
      <c r="J2037" t="s">
        <v>6693</v>
      </c>
      <c r="K2037" t="s">
        <v>6625</v>
      </c>
      <c r="L2037" t="s">
        <v>916</v>
      </c>
    </row>
    <row r="2038" spans="1:12">
      <c r="A2038" t="s">
        <v>6625</v>
      </c>
      <c r="B2038" t="s">
        <v>6626</v>
      </c>
      <c r="C2038" t="s">
        <v>6695</v>
      </c>
      <c r="D2038" t="s">
        <v>6628</v>
      </c>
      <c r="E2038" t="s">
        <v>1243</v>
      </c>
      <c r="F2038" t="s">
        <v>1243</v>
      </c>
    </row>
    <row r="2039" spans="1:12">
      <c r="A2039" t="s">
        <v>6625</v>
      </c>
      <c r="B2039" t="s">
        <v>6626</v>
      </c>
      <c r="C2039" t="s">
        <v>6696</v>
      </c>
      <c r="D2039" t="s">
        <v>6628</v>
      </c>
      <c r="E2039" t="s">
        <v>6697</v>
      </c>
      <c r="F2039" t="s">
        <v>6698</v>
      </c>
      <c r="J2039" t="s">
        <v>6697</v>
      </c>
      <c r="K2039" t="s">
        <v>6625</v>
      </c>
      <c r="L2039" t="s">
        <v>916</v>
      </c>
    </row>
    <row r="2040" spans="1:12">
      <c r="A2040" t="s">
        <v>6625</v>
      </c>
      <c r="B2040" t="s">
        <v>6626</v>
      </c>
      <c r="C2040" t="s">
        <v>6699</v>
      </c>
      <c r="D2040" t="s">
        <v>6628</v>
      </c>
      <c r="E2040" t="s">
        <v>6700</v>
      </c>
      <c r="F2040" t="s">
        <v>6701</v>
      </c>
      <c r="J2040" t="s">
        <v>6700</v>
      </c>
      <c r="K2040" t="s">
        <v>6625</v>
      </c>
      <c r="L2040" t="s">
        <v>916</v>
      </c>
    </row>
    <row r="2041" spans="1:12">
      <c r="A2041" t="s">
        <v>6625</v>
      </c>
      <c r="B2041" t="s">
        <v>6626</v>
      </c>
      <c r="C2041" t="s">
        <v>6702</v>
      </c>
      <c r="D2041" t="s">
        <v>6628</v>
      </c>
      <c r="E2041" t="s">
        <v>6703</v>
      </c>
      <c r="F2041" t="s">
        <v>6704</v>
      </c>
      <c r="J2041" t="s">
        <v>6703</v>
      </c>
      <c r="K2041" t="s">
        <v>6625</v>
      </c>
      <c r="L2041" t="s">
        <v>916</v>
      </c>
    </row>
    <row r="2042" spans="1:12">
      <c r="A2042" t="s">
        <v>6625</v>
      </c>
      <c r="B2042" t="s">
        <v>6626</v>
      </c>
      <c r="C2042" t="s">
        <v>6705</v>
      </c>
      <c r="D2042" t="s">
        <v>6628</v>
      </c>
      <c r="E2042" t="s">
        <v>655</v>
      </c>
      <c r="F2042" t="s">
        <v>656</v>
      </c>
    </row>
    <row r="2043" spans="1:12">
      <c r="A2043" t="s">
        <v>6625</v>
      </c>
      <c r="B2043" t="s">
        <v>6626</v>
      </c>
      <c r="D2043" t="s">
        <v>6628</v>
      </c>
      <c r="F2043" t="s">
        <v>6706</v>
      </c>
      <c r="J2043" t="s">
        <v>6707</v>
      </c>
      <c r="K2043" t="s">
        <v>6625</v>
      </c>
      <c r="L2043" t="s">
        <v>916</v>
      </c>
    </row>
    <row r="2044" spans="1:12">
      <c r="A2044" t="s">
        <v>6708</v>
      </c>
      <c r="B2044" t="s">
        <v>6709</v>
      </c>
      <c r="C2044" t="s">
        <v>6710</v>
      </c>
      <c r="D2044" t="s">
        <v>6711</v>
      </c>
      <c r="E2044" t="s">
        <v>6712</v>
      </c>
      <c r="F2044" t="s">
        <v>6713</v>
      </c>
      <c r="J2044" t="s">
        <v>6712</v>
      </c>
      <c r="K2044" t="s">
        <v>6714</v>
      </c>
      <c r="L2044" t="s">
        <v>851</v>
      </c>
    </row>
    <row r="2045" spans="1:12">
      <c r="A2045" t="s">
        <v>6708</v>
      </c>
      <c r="B2045" t="s">
        <v>6709</v>
      </c>
      <c r="C2045" t="s">
        <v>6715</v>
      </c>
      <c r="D2045" t="s">
        <v>6711</v>
      </c>
      <c r="E2045" t="s">
        <v>6716</v>
      </c>
      <c r="F2045" t="s">
        <v>6717</v>
      </c>
      <c r="J2045" t="s">
        <v>6716</v>
      </c>
      <c r="K2045" t="s">
        <v>6714</v>
      </c>
      <c r="L2045" t="s">
        <v>851</v>
      </c>
    </row>
    <row r="2046" spans="1:12">
      <c r="A2046" t="s">
        <v>6708</v>
      </c>
      <c r="B2046" t="s">
        <v>6709</v>
      </c>
      <c r="C2046" t="s">
        <v>6718</v>
      </c>
      <c r="D2046" t="s">
        <v>6711</v>
      </c>
      <c r="E2046" t="s">
        <v>6719</v>
      </c>
      <c r="F2046" t="s">
        <v>6720</v>
      </c>
      <c r="J2046" t="s">
        <v>6719</v>
      </c>
      <c r="K2046" t="s">
        <v>6714</v>
      </c>
      <c r="L2046" t="s">
        <v>851</v>
      </c>
    </row>
    <row r="2047" spans="1:12">
      <c r="A2047" t="s">
        <v>6708</v>
      </c>
      <c r="B2047" t="s">
        <v>6709</v>
      </c>
      <c r="C2047" t="s">
        <v>6721</v>
      </c>
      <c r="D2047" t="s">
        <v>6711</v>
      </c>
      <c r="E2047" t="s">
        <v>6722</v>
      </c>
      <c r="F2047" t="s">
        <v>6723</v>
      </c>
      <c r="J2047" t="s">
        <v>6722</v>
      </c>
      <c r="K2047" t="s">
        <v>6714</v>
      </c>
      <c r="L2047" t="s">
        <v>851</v>
      </c>
    </row>
    <row r="2048" spans="1:12">
      <c r="A2048" t="s">
        <v>6708</v>
      </c>
      <c r="B2048" t="s">
        <v>6709</v>
      </c>
      <c r="C2048" t="s">
        <v>6724</v>
      </c>
      <c r="D2048" t="s">
        <v>6711</v>
      </c>
      <c r="E2048" t="s">
        <v>6725</v>
      </c>
      <c r="F2048" t="s">
        <v>6726</v>
      </c>
      <c r="J2048" t="s">
        <v>6725</v>
      </c>
      <c r="K2048" t="s">
        <v>6714</v>
      </c>
      <c r="L2048" t="s">
        <v>851</v>
      </c>
    </row>
    <row r="2049" spans="1:12">
      <c r="A2049" t="s">
        <v>6708</v>
      </c>
      <c r="B2049" t="s">
        <v>6709</v>
      </c>
      <c r="C2049" t="s">
        <v>6727</v>
      </c>
      <c r="D2049" t="s">
        <v>6711</v>
      </c>
      <c r="E2049" t="s">
        <v>6728</v>
      </c>
      <c r="F2049" t="s">
        <v>6729</v>
      </c>
      <c r="J2049" t="s">
        <v>6728</v>
      </c>
      <c r="K2049" t="s">
        <v>6714</v>
      </c>
      <c r="L2049" t="s">
        <v>851</v>
      </c>
    </row>
    <row r="2050" spans="1:12">
      <c r="A2050" t="s">
        <v>6708</v>
      </c>
      <c r="B2050" t="s">
        <v>6709</v>
      </c>
      <c r="C2050" t="s">
        <v>6730</v>
      </c>
      <c r="D2050" t="s">
        <v>6711</v>
      </c>
      <c r="E2050" t="s">
        <v>906</v>
      </c>
      <c r="F2050" t="s">
        <v>906</v>
      </c>
    </row>
    <row r="2051" spans="1:12">
      <c r="A2051" t="s">
        <v>6708</v>
      </c>
      <c r="B2051" t="s">
        <v>6709</v>
      </c>
      <c r="C2051" t="s">
        <v>6731</v>
      </c>
      <c r="D2051" t="s">
        <v>6711</v>
      </c>
      <c r="E2051" t="s">
        <v>6732</v>
      </c>
      <c r="F2051" t="s">
        <v>6733</v>
      </c>
      <c r="J2051" t="s">
        <v>6732</v>
      </c>
      <c r="K2051" t="s">
        <v>6714</v>
      </c>
      <c r="L2051" t="s">
        <v>851</v>
      </c>
    </row>
    <row r="2052" spans="1:12">
      <c r="A2052" t="s">
        <v>6708</v>
      </c>
      <c r="B2052" t="s">
        <v>6709</v>
      </c>
      <c r="C2052" t="s">
        <v>6734</v>
      </c>
      <c r="D2052" t="s">
        <v>6711</v>
      </c>
      <c r="E2052" t="s">
        <v>655</v>
      </c>
      <c r="F2052" t="s">
        <v>656</v>
      </c>
    </row>
    <row r="2053" spans="1:12">
      <c r="A2053" t="s">
        <v>6708</v>
      </c>
      <c r="B2053" t="s">
        <v>6709</v>
      </c>
      <c r="D2053" t="s">
        <v>6711</v>
      </c>
      <c r="F2053" t="s">
        <v>6735</v>
      </c>
      <c r="J2053" t="s">
        <v>6736</v>
      </c>
      <c r="K2053" t="s">
        <v>6714</v>
      </c>
      <c r="L2053" t="s">
        <v>851</v>
      </c>
    </row>
    <row r="2054" spans="1:12">
      <c r="A2054" t="s">
        <v>6737</v>
      </c>
      <c r="B2054" t="s">
        <v>6738</v>
      </c>
      <c r="C2054" t="s">
        <v>6739</v>
      </c>
      <c r="D2054" t="s">
        <v>6740</v>
      </c>
      <c r="E2054" t="s">
        <v>6741</v>
      </c>
      <c r="F2054" t="s">
        <v>6742</v>
      </c>
      <c r="J2054" t="s">
        <v>6741</v>
      </c>
      <c r="K2054" t="s">
        <v>6743</v>
      </c>
      <c r="L2054" t="s">
        <v>916</v>
      </c>
    </row>
    <row r="2055" spans="1:12">
      <c r="A2055" t="s">
        <v>6737</v>
      </c>
      <c r="B2055" t="s">
        <v>6738</v>
      </c>
      <c r="C2055" t="s">
        <v>6744</v>
      </c>
      <c r="D2055" t="s">
        <v>6740</v>
      </c>
      <c r="E2055" t="s">
        <v>6745</v>
      </c>
      <c r="F2055" t="s">
        <v>6746</v>
      </c>
      <c r="J2055" t="s">
        <v>6745</v>
      </c>
      <c r="K2055" t="s">
        <v>6743</v>
      </c>
      <c r="L2055" t="s">
        <v>916</v>
      </c>
    </row>
    <row r="2056" spans="1:12">
      <c r="A2056" t="s">
        <v>6737</v>
      </c>
      <c r="B2056" t="s">
        <v>6738</v>
      </c>
      <c r="C2056" t="s">
        <v>6747</v>
      </c>
      <c r="D2056" t="s">
        <v>6740</v>
      </c>
      <c r="E2056" t="s">
        <v>6748</v>
      </c>
      <c r="F2056" t="s">
        <v>6749</v>
      </c>
    </row>
    <row r="2057" spans="1:12">
      <c r="A2057" t="s">
        <v>6737</v>
      </c>
      <c r="B2057" t="s">
        <v>6738</v>
      </c>
      <c r="C2057" t="s">
        <v>6750</v>
      </c>
      <c r="D2057" t="s">
        <v>6740</v>
      </c>
      <c r="E2057" t="s">
        <v>1538</v>
      </c>
      <c r="F2057" t="s">
        <v>6751</v>
      </c>
    </row>
    <row r="2058" spans="1:12">
      <c r="A2058" t="s">
        <v>6737</v>
      </c>
      <c r="B2058" t="s">
        <v>6738</v>
      </c>
      <c r="C2058" t="s">
        <v>6752</v>
      </c>
      <c r="D2058" t="s">
        <v>6740</v>
      </c>
      <c r="E2058" t="s">
        <v>6753</v>
      </c>
      <c r="F2058" t="s">
        <v>6754</v>
      </c>
      <c r="J2058" t="s">
        <v>6753</v>
      </c>
      <c r="K2058" t="s">
        <v>6743</v>
      </c>
      <c r="L2058" t="s">
        <v>916</v>
      </c>
    </row>
    <row r="2059" spans="1:12">
      <c r="A2059" t="s">
        <v>6737</v>
      </c>
      <c r="B2059" t="s">
        <v>6738</v>
      </c>
      <c r="C2059" t="s">
        <v>6755</v>
      </c>
      <c r="D2059" t="s">
        <v>6740</v>
      </c>
      <c r="E2059" t="s">
        <v>6756</v>
      </c>
      <c r="F2059" t="s">
        <v>6757</v>
      </c>
      <c r="J2059" t="s">
        <v>6756</v>
      </c>
      <c r="K2059" t="s">
        <v>6743</v>
      </c>
      <c r="L2059" t="s">
        <v>916</v>
      </c>
    </row>
    <row r="2060" spans="1:12">
      <c r="A2060" t="s">
        <v>6737</v>
      </c>
      <c r="B2060" t="s">
        <v>6738</v>
      </c>
      <c r="C2060" t="s">
        <v>6758</v>
      </c>
      <c r="D2060" t="s">
        <v>6740</v>
      </c>
      <c r="E2060" t="s">
        <v>6759</v>
      </c>
      <c r="F2060" t="s">
        <v>6760</v>
      </c>
      <c r="J2060" t="s">
        <v>6759</v>
      </c>
      <c r="K2060" t="s">
        <v>6743</v>
      </c>
      <c r="L2060" t="s">
        <v>916</v>
      </c>
    </row>
    <row r="2061" spans="1:12">
      <c r="A2061" t="s">
        <v>6737</v>
      </c>
      <c r="B2061" t="s">
        <v>6738</v>
      </c>
      <c r="C2061" t="s">
        <v>6761</v>
      </c>
      <c r="D2061" t="s">
        <v>6740</v>
      </c>
      <c r="E2061" t="s">
        <v>6762</v>
      </c>
      <c r="F2061" t="s">
        <v>6763</v>
      </c>
      <c r="J2061" t="s">
        <v>6762</v>
      </c>
      <c r="K2061" t="s">
        <v>6743</v>
      </c>
      <c r="L2061" t="s">
        <v>916</v>
      </c>
    </row>
    <row r="2062" spans="1:12">
      <c r="A2062" t="s">
        <v>6737</v>
      </c>
      <c r="B2062" t="s">
        <v>6738</v>
      </c>
      <c r="C2062" t="s">
        <v>6764</v>
      </c>
      <c r="D2062" t="s">
        <v>6740</v>
      </c>
      <c r="E2062" t="s">
        <v>6765</v>
      </c>
      <c r="F2062" t="s">
        <v>6766</v>
      </c>
      <c r="J2062" t="s">
        <v>6765</v>
      </c>
      <c r="K2062" t="s">
        <v>6743</v>
      </c>
      <c r="L2062" t="s">
        <v>916</v>
      </c>
    </row>
    <row r="2063" spans="1:12">
      <c r="A2063" t="s">
        <v>6737</v>
      </c>
      <c r="B2063" t="s">
        <v>6738</v>
      </c>
      <c r="C2063" t="s">
        <v>6767</v>
      </c>
      <c r="D2063" t="s">
        <v>6740</v>
      </c>
      <c r="E2063" t="s">
        <v>6768</v>
      </c>
      <c r="F2063" t="s">
        <v>6769</v>
      </c>
      <c r="J2063" t="s">
        <v>6768</v>
      </c>
      <c r="K2063" t="s">
        <v>6743</v>
      </c>
      <c r="L2063" t="s">
        <v>916</v>
      </c>
    </row>
    <row r="2064" spans="1:12">
      <c r="A2064" t="s">
        <v>6737</v>
      </c>
      <c r="B2064" t="s">
        <v>6738</v>
      </c>
      <c r="C2064" t="s">
        <v>6770</v>
      </c>
      <c r="D2064" t="s">
        <v>6740</v>
      </c>
      <c r="E2064" t="s">
        <v>2001</v>
      </c>
      <c r="F2064" t="s">
        <v>6771</v>
      </c>
    </row>
    <row r="2065" spans="1:12">
      <c r="A2065" t="s">
        <v>6737</v>
      </c>
      <c r="B2065" t="s">
        <v>6738</v>
      </c>
      <c r="C2065" t="s">
        <v>6772</v>
      </c>
      <c r="D2065" t="s">
        <v>6740</v>
      </c>
      <c r="E2065" t="s">
        <v>6773</v>
      </c>
      <c r="F2065" t="s">
        <v>6774</v>
      </c>
    </row>
    <row r="2066" spans="1:12">
      <c r="A2066" t="s">
        <v>6737</v>
      </c>
      <c r="B2066" t="s">
        <v>6738</v>
      </c>
      <c r="C2066" t="s">
        <v>6775</v>
      </c>
      <c r="D2066" t="s">
        <v>6740</v>
      </c>
      <c r="E2066" t="s">
        <v>6776</v>
      </c>
      <c r="F2066" t="s">
        <v>6777</v>
      </c>
    </row>
    <row r="2067" spans="1:12">
      <c r="A2067" t="s">
        <v>6737</v>
      </c>
      <c r="B2067" t="s">
        <v>6738</v>
      </c>
      <c r="C2067" t="s">
        <v>6778</v>
      </c>
      <c r="D2067" t="s">
        <v>6740</v>
      </c>
      <c r="E2067" t="s">
        <v>6779</v>
      </c>
      <c r="F2067" t="s">
        <v>6780</v>
      </c>
      <c r="J2067" t="s">
        <v>6779</v>
      </c>
      <c r="K2067" t="s">
        <v>6743</v>
      </c>
      <c r="L2067" t="s">
        <v>916</v>
      </c>
    </row>
    <row r="2068" spans="1:12">
      <c r="A2068" t="s">
        <v>6737</v>
      </c>
      <c r="B2068" t="s">
        <v>6738</v>
      </c>
      <c r="C2068" t="s">
        <v>6781</v>
      </c>
      <c r="D2068" t="s">
        <v>6740</v>
      </c>
      <c r="E2068" t="s">
        <v>2205</v>
      </c>
      <c r="F2068" t="s">
        <v>6782</v>
      </c>
    </row>
    <row r="2069" spans="1:12">
      <c r="A2069" t="s">
        <v>6737</v>
      </c>
      <c r="B2069" t="s">
        <v>6738</v>
      </c>
      <c r="C2069" t="s">
        <v>6783</v>
      </c>
      <c r="D2069" t="s">
        <v>6740</v>
      </c>
      <c r="E2069" t="s">
        <v>6784</v>
      </c>
      <c r="F2069" t="s">
        <v>6785</v>
      </c>
    </row>
    <row r="2070" spans="1:12">
      <c r="A2070" t="s">
        <v>6737</v>
      </c>
      <c r="B2070" t="s">
        <v>6738</v>
      </c>
      <c r="C2070" t="s">
        <v>6786</v>
      </c>
      <c r="D2070" t="s">
        <v>6740</v>
      </c>
      <c r="E2070" t="s">
        <v>6787</v>
      </c>
      <c r="F2070" t="s">
        <v>6788</v>
      </c>
      <c r="J2070" t="s">
        <v>6787</v>
      </c>
      <c r="K2070" t="s">
        <v>6743</v>
      </c>
      <c r="L2070" t="s">
        <v>916</v>
      </c>
    </row>
    <row r="2071" spans="1:12">
      <c r="A2071" t="s">
        <v>6737</v>
      </c>
      <c r="B2071" t="s">
        <v>6738</v>
      </c>
      <c r="C2071" t="s">
        <v>6789</v>
      </c>
      <c r="D2071" t="s">
        <v>6740</v>
      </c>
      <c r="E2071" t="s">
        <v>6790</v>
      </c>
      <c r="F2071" t="s">
        <v>6791</v>
      </c>
    </row>
    <row r="2072" spans="1:12">
      <c r="A2072" t="s">
        <v>6737</v>
      </c>
      <c r="B2072" t="s">
        <v>6738</v>
      </c>
      <c r="C2072" t="s">
        <v>6792</v>
      </c>
      <c r="D2072" t="s">
        <v>6740</v>
      </c>
      <c r="E2072" t="s">
        <v>6793</v>
      </c>
      <c r="F2072" t="s">
        <v>3566</v>
      </c>
      <c r="J2072" t="s">
        <v>6793</v>
      </c>
      <c r="K2072" t="s">
        <v>6743</v>
      </c>
      <c r="L2072" t="s">
        <v>916</v>
      </c>
    </row>
    <row r="2073" spans="1:12">
      <c r="A2073" t="s">
        <v>6737</v>
      </c>
      <c r="B2073" t="s">
        <v>6738</v>
      </c>
      <c r="C2073" t="s">
        <v>6794</v>
      </c>
      <c r="D2073" t="s">
        <v>6740</v>
      </c>
      <c r="E2073" t="s">
        <v>6795</v>
      </c>
      <c r="F2073" t="s">
        <v>6796</v>
      </c>
      <c r="J2073" t="s">
        <v>6795</v>
      </c>
      <c r="K2073" t="s">
        <v>6743</v>
      </c>
      <c r="L2073" t="s">
        <v>916</v>
      </c>
    </row>
    <row r="2074" spans="1:12">
      <c r="A2074" t="s">
        <v>6737</v>
      </c>
      <c r="B2074" t="s">
        <v>6738</v>
      </c>
      <c r="C2074" t="s">
        <v>6797</v>
      </c>
      <c r="D2074" t="s">
        <v>6740</v>
      </c>
      <c r="E2074" t="s">
        <v>2724</v>
      </c>
      <c r="F2074" t="s">
        <v>6798</v>
      </c>
    </row>
    <row r="2075" spans="1:12">
      <c r="A2075" t="s">
        <v>6737</v>
      </c>
      <c r="B2075" t="s">
        <v>6738</v>
      </c>
      <c r="C2075" t="s">
        <v>6799</v>
      </c>
      <c r="D2075" t="s">
        <v>6740</v>
      </c>
      <c r="E2075" t="s">
        <v>6800</v>
      </c>
      <c r="F2075" t="s">
        <v>6801</v>
      </c>
      <c r="J2075" t="s">
        <v>6800</v>
      </c>
      <c r="K2075" t="s">
        <v>6743</v>
      </c>
      <c r="L2075" t="s">
        <v>916</v>
      </c>
    </row>
    <row r="2076" spans="1:12">
      <c r="A2076" t="s">
        <v>6737</v>
      </c>
      <c r="B2076" t="s">
        <v>6738</v>
      </c>
      <c r="C2076" t="s">
        <v>6802</v>
      </c>
      <c r="D2076" t="s">
        <v>6740</v>
      </c>
      <c r="E2076" t="s">
        <v>6803</v>
      </c>
      <c r="F2076" t="s">
        <v>1330</v>
      </c>
      <c r="J2076" t="s">
        <v>6803</v>
      </c>
      <c r="K2076" t="s">
        <v>6743</v>
      </c>
      <c r="L2076" t="s">
        <v>916</v>
      </c>
    </row>
    <row r="2077" spans="1:12">
      <c r="A2077" t="s">
        <v>6737</v>
      </c>
      <c r="B2077" t="s">
        <v>6738</v>
      </c>
      <c r="C2077" t="s">
        <v>6804</v>
      </c>
      <c r="D2077" t="s">
        <v>6740</v>
      </c>
      <c r="E2077" t="s">
        <v>6805</v>
      </c>
      <c r="F2077" t="s">
        <v>6806</v>
      </c>
      <c r="J2077" t="s">
        <v>6805</v>
      </c>
      <c r="K2077" t="s">
        <v>6743</v>
      </c>
      <c r="L2077" t="s">
        <v>916</v>
      </c>
    </row>
    <row r="2078" spans="1:12">
      <c r="A2078" t="s">
        <v>6737</v>
      </c>
      <c r="B2078" t="s">
        <v>6738</v>
      </c>
      <c r="C2078" t="s">
        <v>6807</v>
      </c>
      <c r="D2078" t="s">
        <v>6740</v>
      </c>
      <c r="E2078" t="s">
        <v>6808</v>
      </c>
      <c r="F2078" t="s">
        <v>6809</v>
      </c>
      <c r="J2078" t="s">
        <v>6808</v>
      </c>
      <c r="K2078" t="s">
        <v>6743</v>
      </c>
      <c r="L2078" t="s">
        <v>916</v>
      </c>
    </row>
    <row r="2079" spans="1:12">
      <c r="A2079" t="s">
        <v>6737</v>
      </c>
      <c r="B2079" t="s">
        <v>6738</v>
      </c>
      <c r="C2079" t="s">
        <v>6810</v>
      </c>
      <c r="D2079" t="s">
        <v>6740</v>
      </c>
      <c r="E2079" t="s">
        <v>655</v>
      </c>
      <c r="F2079" t="s">
        <v>656</v>
      </c>
    </row>
    <row r="2080" spans="1:12">
      <c r="A2080" t="s">
        <v>6737</v>
      </c>
      <c r="B2080" t="s">
        <v>6738</v>
      </c>
      <c r="D2080" t="s">
        <v>6740</v>
      </c>
      <c r="F2080" t="s">
        <v>6811</v>
      </c>
      <c r="J2080" t="s">
        <v>6812</v>
      </c>
      <c r="K2080" t="s">
        <v>6743</v>
      </c>
      <c r="L2080" t="s">
        <v>916</v>
      </c>
    </row>
    <row r="2081" spans="1:12">
      <c r="A2081" t="s">
        <v>6737</v>
      </c>
      <c r="B2081" t="s">
        <v>6738</v>
      </c>
      <c r="D2081" t="s">
        <v>6740</v>
      </c>
      <c r="F2081" t="s">
        <v>6813</v>
      </c>
      <c r="J2081" t="s">
        <v>6814</v>
      </c>
      <c r="K2081" t="s">
        <v>6743</v>
      </c>
      <c r="L2081" t="s">
        <v>916</v>
      </c>
    </row>
    <row r="2082" spans="1:12">
      <c r="A2082" t="s">
        <v>6737</v>
      </c>
      <c r="B2082" t="s">
        <v>6738</v>
      </c>
      <c r="D2082" t="s">
        <v>6740</v>
      </c>
      <c r="F2082" t="s">
        <v>6815</v>
      </c>
      <c r="J2082" t="s">
        <v>6816</v>
      </c>
      <c r="K2082" t="s">
        <v>6743</v>
      </c>
      <c r="L2082" t="s">
        <v>916</v>
      </c>
    </row>
    <row r="2083" spans="1:12">
      <c r="A2083" t="s">
        <v>6737</v>
      </c>
      <c r="B2083" t="s">
        <v>6738</v>
      </c>
      <c r="D2083" t="s">
        <v>6740</v>
      </c>
      <c r="F2083" t="s">
        <v>6817</v>
      </c>
      <c r="J2083" t="s">
        <v>6818</v>
      </c>
      <c r="K2083" t="s">
        <v>6743</v>
      </c>
      <c r="L2083" t="s">
        <v>916</v>
      </c>
    </row>
    <row r="2084" spans="1:12">
      <c r="A2084" t="s">
        <v>6737</v>
      </c>
      <c r="B2084" t="s">
        <v>6738</v>
      </c>
      <c r="D2084" t="s">
        <v>6740</v>
      </c>
      <c r="F2084" t="s">
        <v>6819</v>
      </c>
      <c r="J2084" t="s">
        <v>6820</v>
      </c>
      <c r="K2084" t="s">
        <v>6743</v>
      </c>
      <c r="L2084" t="s">
        <v>916</v>
      </c>
    </row>
    <row r="2085" spans="1:12">
      <c r="A2085" t="s">
        <v>6737</v>
      </c>
      <c r="B2085" t="s">
        <v>6738</v>
      </c>
      <c r="D2085" t="s">
        <v>6740</v>
      </c>
      <c r="F2085" t="s">
        <v>6821</v>
      </c>
      <c r="J2085" t="s">
        <v>6822</v>
      </c>
      <c r="K2085" t="s">
        <v>6743</v>
      </c>
      <c r="L2085" t="s">
        <v>916</v>
      </c>
    </row>
    <row r="2086" spans="1:12">
      <c r="A2086" t="s">
        <v>6737</v>
      </c>
      <c r="B2086" t="s">
        <v>6738</v>
      </c>
      <c r="D2086" t="s">
        <v>6740</v>
      </c>
      <c r="F2086" t="s">
        <v>6823</v>
      </c>
      <c r="J2086" t="s">
        <v>6824</v>
      </c>
      <c r="K2086" t="s">
        <v>6743</v>
      </c>
      <c r="L2086" t="s">
        <v>916</v>
      </c>
    </row>
    <row r="2087" spans="1:12">
      <c r="A2087" t="s">
        <v>6737</v>
      </c>
      <c r="B2087" t="s">
        <v>6738</v>
      </c>
      <c r="D2087" t="s">
        <v>6740</v>
      </c>
      <c r="F2087" t="s">
        <v>6825</v>
      </c>
      <c r="J2087" t="s">
        <v>6826</v>
      </c>
      <c r="K2087" t="s">
        <v>6743</v>
      </c>
      <c r="L2087" t="s">
        <v>916</v>
      </c>
    </row>
    <row r="2088" spans="1:12">
      <c r="A2088" t="s">
        <v>6737</v>
      </c>
      <c r="B2088" t="s">
        <v>6738</v>
      </c>
      <c r="D2088" t="s">
        <v>6740</v>
      </c>
      <c r="F2088" t="s">
        <v>6827</v>
      </c>
      <c r="J2088" t="s">
        <v>6828</v>
      </c>
      <c r="K2088" t="s">
        <v>6743</v>
      </c>
      <c r="L2088" t="s">
        <v>916</v>
      </c>
    </row>
    <row r="2089" spans="1:12">
      <c r="A2089" t="s">
        <v>6737</v>
      </c>
      <c r="B2089" t="s">
        <v>6738</v>
      </c>
      <c r="D2089" t="s">
        <v>6740</v>
      </c>
      <c r="F2089" t="s">
        <v>6829</v>
      </c>
      <c r="J2089" t="s">
        <v>6830</v>
      </c>
      <c r="K2089" t="s">
        <v>6743</v>
      </c>
      <c r="L2089" t="s">
        <v>916</v>
      </c>
    </row>
    <row r="2090" spans="1:12">
      <c r="A2090" t="s">
        <v>6737</v>
      </c>
      <c r="B2090" t="s">
        <v>6738</v>
      </c>
      <c r="D2090" t="s">
        <v>6740</v>
      </c>
      <c r="F2090" t="s">
        <v>6831</v>
      </c>
      <c r="J2090" t="s">
        <v>5069</v>
      </c>
      <c r="K2090" t="s">
        <v>6743</v>
      </c>
      <c r="L2090" t="s">
        <v>916</v>
      </c>
    </row>
    <row r="2091" spans="1:12">
      <c r="A2091" t="s">
        <v>6737</v>
      </c>
      <c r="B2091" t="s">
        <v>6738</v>
      </c>
      <c r="D2091" t="s">
        <v>6740</v>
      </c>
      <c r="F2091" t="s">
        <v>6832</v>
      </c>
      <c r="J2091" t="s">
        <v>6833</v>
      </c>
      <c r="K2091" t="s">
        <v>6743</v>
      </c>
      <c r="L2091" t="s">
        <v>916</v>
      </c>
    </row>
    <row r="2092" spans="1:12">
      <c r="A2092" t="s">
        <v>6737</v>
      </c>
      <c r="B2092" t="s">
        <v>6738</v>
      </c>
      <c r="D2092" t="s">
        <v>6740</v>
      </c>
      <c r="F2092" t="s">
        <v>6834</v>
      </c>
      <c r="J2092" t="s">
        <v>6835</v>
      </c>
      <c r="K2092" t="s">
        <v>6743</v>
      </c>
      <c r="L2092" t="s">
        <v>916</v>
      </c>
    </row>
    <row r="2093" spans="1:12">
      <c r="A2093" t="s">
        <v>6737</v>
      </c>
      <c r="B2093" t="s">
        <v>6738</v>
      </c>
      <c r="D2093" t="s">
        <v>6740</v>
      </c>
      <c r="F2093" t="s">
        <v>6836</v>
      </c>
      <c r="J2093" t="s">
        <v>6837</v>
      </c>
      <c r="K2093" t="s">
        <v>6743</v>
      </c>
      <c r="L2093" t="s">
        <v>916</v>
      </c>
    </row>
    <row r="2094" spans="1:12">
      <c r="A2094" t="s">
        <v>6737</v>
      </c>
      <c r="B2094" t="s">
        <v>6738</v>
      </c>
      <c r="D2094" t="s">
        <v>6740</v>
      </c>
      <c r="F2094" t="s">
        <v>6838</v>
      </c>
      <c r="J2094" t="s">
        <v>6839</v>
      </c>
      <c r="K2094" t="s">
        <v>6743</v>
      </c>
      <c r="L2094" t="s">
        <v>916</v>
      </c>
    </row>
    <row r="2095" spans="1:12">
      <c r="A2095" t="s">
        <v>6737</v>
      </c>
      <c r="B2095" t="s">
        <v>6738</v>
      </c>
      <c r="D2095" t="s">
        <v>6740</v>
      </c>
      <c r="F2095" t="s">
        <v>6840</v>
      </c>
      <c r="J2095" t="s">
        <v>6841</v>
      </c>
      <c r="K2095" t="s">
        <v>6743</v>
      </c>
      <c r="L2095" t="s">
        <v>916</v>
      </c>
    </row>
    <row r="2096" spans="1:12">
      <c r="A2096" t="s">
        <v>6737</v>
      </c>
      <c r="B2096" t="s">
        <v>6738</v>
      </c>
      <c r="D2096" t="s">
        <v>6740</v>
      </c>
      <c r="F2096" t="s">
        <v>6842</v>
      </c>
      <c r="J2096" t="s">
        <v>6843</v>
      </c>
      <c r="K2096" t="s">
        <v>6743</v>
      </c>
      <c r="L2096" t="s">
        <v>916</v>
      </c>
    </row>
    <row r="2097" spans="1:12">
      <c r="A2097" t="s">
        <v>6737</v>
      </c>
      <c r="B2097" t="s">
        <v>6738</v>
      </c>
      <c r="D2097" t="s">
        <v>6740</v>
      </c>
      <c r="F2097" t="s">
        <v>6844</v>
      </c>
      <c r="J2097" t="s">
        <v>6845</v>
      </c>
      <c r="K2097" t="s">
        <v>6743</v>
      </c>
      <c r="L2097" t="s">
        <v>916</v>
      </c>
    </row>
    <row r="2098" spans="1:12">
      <c r="A2098" t="s">
        <v>6737</v>
      </c>
      <c r="B2098" t="s">
        <v>6738</v>
      </c>
      <c r="D2098" t="s">
        <v>6740</v>
      </c>
      <c r="F2098" t="s">
        <v>6846</v>
      </c>
      <c r="J2098" t="s">
        <v>6847</v>
      </c>
      <c r="K2098" t="s">
        <v>6743</v>
      </c>
      <c r="L2098" t="s">
        <v>916</v>
      </c>
    </row>
    <row r="2099" spans="1:12">
      <c r="A2099" t="s">
        <v>6848</v>
      </c>
      <c r="B2099" t="s">
        <v>6849</v>
      </c>
      <c r="C2099" t="s">
        <v>6850</v>
      </c>
      <c r="D2099" t="s">
        <v>6851</v>
      </c>
      <c r="E2099" t="s">
        <v>6852</v>
      </c>
      <c r="F2099" t="s">
        <v>6853</v>
      </c>
      <c r="J2099" t="s">
        <v>6852</v>
      </c>
      <c r="K2099" t="s">
        <v>6848</v>
      </c>
      <c r="L2099" t="s">
        <v>1389</v>
      </c>
    </row>
    <row r="2100" spans="1:12">
      <c r="A2100" t="s">
        <v>6848</v>
      </c>
      <c r="B2100" t="s">
        <v>6849</v>
      </c>
      <c r="C2100" t="s">
        <v>6854</v>
      </c>
      <c r="D2100" t="s">
        <v>6851</v>
      </c>
      <c r="E2100" t="s">
        <v>6855</v>
      </c>
      <c r="F2100" t="s">
        <v>6856</v>
      </c>
      <c r="J2100" t="s">
        <v>6855</v>
      </c>
      <c r="K2100" t="s">
        <v>6848</v>
      </c>
      <c r="L2100" t="s">
        <v>1389</v>
      </c>
    </row>
    <row r="2101" spans="1:12">
      <c r="A2101" t="s">
        <v>6848</v>
      </c>
      <c r="B2101" t="s">
        <v>6849</v>
      </c>
      <c r="C2101" t="s">
        <v>6857</v>
      </c>
      <c r="D2101" t="s">
        <v>6851</v>
      </c>
      <c r="E2101" t="s">
        <v>6858</v>
      </c>
      <c r="F2101" t="s">
        <v>6859</v>
      </c>
      <c r="J2101" t="s">
        <v>6858</v>
      </c>
      <c r="K2101" t="s">
        <v>6848</v>
      </c>
      <c r="L2101" t="s">
        <v>1389</v>
      </c>
    </row>
    <row r="2102" spans="1:12">
      <c r="A2102" t="s">
        <v>6848</v>
      </c>
      <c r="B2102" t="s">
        <v>6849</v>
      </c>
      <c r="C2102" t="s">
        <v>6860</v>
      </c>
      <c r="D2102" t="s">
        <v>6851</v>
      </c>
      <c r="E2102" t="s">
        <v>6861</v>
      </c>
      <c r="F2102" t="s">
        <v>6862</v>
      </c>
      <c r="J2102" t="s">
        <v>6861</v>
      </c>
      <c r="K2102" t="s">
        <v>6848</v>
      </c>
      <c r="L2102" t="s">
        <v>1389</v>
      </c>
    </row>
    <row r="2103" spans="1:12">
      <c r="A2103" t="s">
        <v>6848</v>
      </c>
      <c r="B2103" t="s">
        <v>6849</v>
      </c>
      <c r="C2103" t="s">
        <v>6863</v>
      </c>
      <c r="D2103" t="s">
        <v>6851</v>
      </c>
      <c r="E2103" t="s">
        <v>6864</v>
      </c>
      <c r="F2103" t="s">
        <v>6865</v>
      </c>
      <c r="J2103" t="s">
        <v>6864</v>
      </c>
      <c r="K2103" t="s">
        <v>6848</v>
      </c>
      <c r="L2103" t="s">
        <v>1389</v>
      </c>
    </row>
    <row r="2104" spans="1:12">
      <c r="A2104" t="s">
        <v>6848</v>
      </c>
      <c r="B2104" t="s">
        <v>6849</v>
      </c>
      <c r="C2104" t="s">
        <v>6866</v>
      </c>
      <c r="D2104" t="s">
        <v>6851</v>
      </c>
      <c r="E2104" t="s">
        <v>6867</v>
      </c>
      <c r="F2104" t="s">
        <v>6868</v>
      </c>
    </row>
    <row r="2105" spans="1:12">
      <c r="A2105" t="s">
        <v>6848</v>
      </c>
      <c r="B2105" t="s">
        <v>6849</v>
      </c>
      <c r="C2105" t="s">
        <v>6869</v>
      </c>
      <c r="D2105" t="s">
        <v>6851</v>
      </c>
      <c r="E2105" t="s">
        <v>6870</v>
      </c>
      <c r="F2105" t="s">
        <v>6871</v>
      </c>
    </row>
    <row r="2106" spans="1:12">
      <c r="A2106" t="s">
        <v>6848</v>
      </c>
      <c r="B2106" t="s">
        <v>6849</v>
      </c>
      <c r="C2106" t="s">
        <v>6872</v>
      </c>
      <c r="D2106" t="s">
        <v>6851</v>
      </c>
      <c r="E2106" t="s">
        <v>6873</v>
      </c>
      <c r="F2106" t="s">
        <v>6874</v>
      </c>
      <c r="J2106" t="s">
        <v>6873</v>
      </c>
      <c r="K2106" t="s">
        <v>6848</v>
      </c>
      <c r="L2106" t="s">
        <v>1389</v>
      </c>
    </row>
    <row r="2107" spans="1:12">
      <c r="A2107" t="s">
        <v>6848</v>
      </c>
      <c r="B2107" t="s">
        <v>6849</v>
      </c>
      <c r="C2107" t="s">
        <v>6875</v>
      </c>
      <c r="D2107" t="s">
        <v>6851</v>
      </c>
      <c r="E2107" t="s">
        <v>655</v>
      </c>
      <c r="F2107" t="s">
        <v>656</v>
      </c>
    </row>
    <row r="2108" spans="1:12">
      <c r="A2108" t="s">
        <v>6876</v>
      </c>
      <c r="B2108" t="s">
        <v>6877</v>
      </c>
      <c r="C2108" t="s">
        <v>6878</v>
      </c>
      <c r="D2108" t="s">
        <v>6879</v>
      </c>
      <c r="E2108" t="s">
        <v>6880</v>
      </c>
      <c r="F2108" t="s">
        <v>6881</v>
      </c>
      <c r="J2108" t="s">
        <v>6880</v>
      </c>
      <c r="K2108" t="s">
        <v>6876</v>
      </c>
      <c r="L2108" t="s">
        <v>814</v>
      </c>
    </row>
    <row r="2109" spans="1:12">
      <c r="A2109" t="s">
        <v>6876</v>
      </c>
      <c r="B2109" t="s">
        <v>6877</v>
      </c>
      <c r="C2109" t="s">
        <v>6882</v>
      </c>
      <c r="D2109" t="s">
        <v>6879</v>
      </c>
      <c r="E2109" t="s">
        <v>6883</v>
      </c>
      <c r="F2109" t="s">
        <v>6884</v>
      </c>
      <c r="J2109" t="s">
        <v>6883</v>
      </c>
      <c r="K2109" t="s">
        <v>6876</v>
      </c>
      <c r="L2109" t="s">
        <v>814</v>
      </c>
    </row>
    <row r="2110" spans="1:12">
      <c r="A2110" t="s">
        <v>6876</v>
      </c>
      <c r="B2110" t="s">
        <v>6877</v>
      </c>
      <c r="C2110" t="s">
        <v>6885</v>
      </c>
      <c r="D2110" t="s">
        <v>6879</v>
      </c>
      <c r="E2110" t="s">
        <v>6886</v>
      </c>
      <c r="F2110" t="s">
        <v>6887</v>
      </c>
    </row>
    <row r="2111" spans="1:12">
      <c r="A2111" t="s">
        <v>6876</v>
      </c>
      <c r="B2111" t="s">
        <v>6877</v>
      </c>
      <c r="C2111" t="s">
        <v>6888</v>
      </c>
      <c r="D2111" t="s">
        <v>6879</v>
      </c>
      <c r="E2111" t="s">
        <v>3227</v>
      </c>
      <c r="F2111" t="s">
        <v>6889</v>
      </c>
    </row>
    <row r="2112" spans="1:12">
      <c r="A2112" t="s">
        <v>6876</v>
      </c>
      <c r="B2112" t="s">
        <v>6877</v>
      </c>
      <c r="C2112" t="s">
        <v>6890</v>
      </c>
      <c r="D2112" t="s">
        <v>6879</v>
      </c>
      <c r="E2112" t="s">
        <v>6891</v>
      </c>
      <c r="F2112" t="s">
        <v>6892</v>
      </c>
      <c r="J2112" t="s">
        <v>6891</v>
      </c>
      <c r="K2112" t="s">
        <v>6876</v>
      </c>
      <c r="L2112" t="s">
        <v>814</v>
      </c>
    </row>
    <row r="2113" spans="1:12">
      <c r="A2113" t="s">
        <v>6876</v>
      </c>
      <c r="B2113" t="s">
        <v>6877</v>
      </c>
      <c r="C2113" t="s">
        <v>6893</v>
      </c>
      <c r="D2113" t="s">
        <v>6879</v>
      </c>
      <c r="E2113" t="s">
        <v>4908</v>
      </c>
      <c r="F2113" t="s">
        <v>6894</v>
      </c>
    </row>
    <row r="2114" spans="1:12">
      <c r="A2114" t="s">
        <v>6876</v>
      </c>
      <c r="B2114" t="s">
        <v>6877</v>
      </c>
      <c r="C2114" t="s">
        <v>6895</v>
      </c>
      <c r="D2114" t="s">
        <v>6879</v>
      </c>
      <c r="E2114" t="s">
        <v>6896</v>
      </c>
      <c r="F2114" t="s">
        <v>3676</v>
      </c>
      <c r="J2114" t="s">
        <v>6896</v>
      </c>
      <c r="K2114" t="s">
        <v>6876</v>
      </c>
      <c r="L2114" t="s">
        <v>814</v>
      </c>
    </row>
    <row r="2115" spans="1:12">
      <c r="A2115" t="s">
        <v>6876</v>
      </c>
      <c r="B2115" t="s">
        <v>6877</v>
      </c>
      <c r="C2115" t="s">
        <v>6897</v>
      </c>
      <c r="D2115" t="s">
        <v>6879</v>
      </c>
      <c r="E2115" t="s">
        <v>6898</v>
      </c>
      <c r="F2115" t="s">
        <v>6899</v>
      </c>
      <c r="J2115" t="s">
        <v>6898</v>
      </c>
      <c r="K2115" t="s">
        <v>6876</v>
      </c>
      <c r="L2115" t="s">
        <v>814</v>
      </c>
    </row>
    <row r="2116" spans="1:12">
      <c r="A2116" t="s">
        <v>6876</v>
      </c>
      <c r="B2116" t="s">
        <v>6877</v>
      </c>
      <c r="C2116" t="s">
        <v>6900</v>
      </c>
      <c r="D2116" t="s">
        <v>6879</v>
      </c>
      <c r="E2116" t="s">
        <v>6901</v>
      </c>
      <c r="F2116" t="s">
        <v>6902</v>
      </c>
    </row>
    <row r="2117" spans="1:12">
      <c r="A2117" t="s">
        <v>6876</v>
      </c>
      <c r="B2117" t="s">
        <v>6877</v>
      </c>
      <c r="C2117" t="s">
        <v>6903</v>
      </c>
      <c r="D2117" t="s">
        <v>6879</v>
      </c>
      <c r="E2117" t="s">
        <v>1747</v>
      </c>
      <c r="F2117" t="s">
        <v>6904</v>
      </c>
    </row>
    <row r="2118" spans="1:12">
      <c r="A2118" t="s">
        <v>6876</v>
      </c>
      <c r="B2118" t="s">
        <v>6877</v>
      </c>
      <c r="C2118" t="s">
        <v>6905</v>
      </c>
      <c r="D2118" t="s">
        <v>6879</v>
      </c>
      <c r="E2118" t="s">
        <v>6906</v>
      </c>
      <c r="F2118" t="s">
        <v>6907</v>
      </c>
    </row>
    <row r="2119" spans="1:12">
      <c r="A2119" t="s">
        <v>6876</v>
      </c>
      <c r="B2119" t="s">
        <v>6877</v>
      </c>
      <c r="C2119" t="s">
        <v>6908</v>
      </c>
      <c r="D2119" t="s">
        <v>6879</v>
      </c>
      <c r="E2119" t="s">
        <v>6909</v>
      </c>
      <c r="F2119" t="s">
        <v>6910</v>
      </c>
      <c r="J2119" t="s">
        <v>6909</v>
      </c>
      <c r="K2119" t="s">
        <v>6876</v>
      </c>
      <c r="L2119" t="s">
        <v>814</v>
      </c>
    </row>
    <row r="2120" spans="1:12">
      <c r="A2120" t="s">
        <v>6876</v>
      </c>
      <c r="B2120" t="s">
        <v>6877</v>
      </c>
      <c r="C2120" t="s">
        <v>6911</v>
      </c>
      <c r="D2120" t="s">
        <v>6879</v>
      </c>
      <c r="E2120" t="s">
        <v>6912</v>
      </c>
      <c r="F2120" t="s">
        <v>6913</v>
      </c>
    </row>
    <row r="2121" spans="1:12">
      <c r="A2121" t="s">
        <v>6876</v>
      </c>
      <c r="B2121" t="s">
        <v>6877</v>
      </c>
      <c r="C2121" t="s">
        <v>6914</v>
      </c>
      <c r="D2121" t="s">
        <v>6879</v>
      </c>
      <c r="E2121" t="s">
        <v>6915</v>
      </c>
      <c r="F2121" t="s">
        <v>6916</v>
      </c>
      <c r="J2121" t="s">
        <v>6915</v>
      </c>
      <c r="K2121" t="s">
        <v>6876</v>
      </c>
      <c r="L2121" t="s">
        <v>814</v>
      </c>
    </row>
    <row r="2122" spans="1:12">
      <c r="A2122" t="s">
        <v>6876</v>
      </c>
      <c r="B2122" t="s">
        <v>6877</v>
      </c>
      <c r="C2122" t="s">
        <v>6917</v>
      </c>
      <c r="D2122" t="s">
        <v>6879</v>
      </c>
      <c r="E2122" t="s">
        <v>6918</v>
      </c>
      <c r="F2122" t="s">
        <v>6919</v>
      </c>
    </row>
    <row r="2123" spans="1:12">
      <c r="A2123" t="s">
        <v>6876</v>
      </c>
      <c r="B2123" t="s">
        <v>6877</v>
      </c>
      <c r="C2123" t="s">
        <v>6920</v>
      </c>
      <c r="D2123" t="s">
        <v>6879</v>
      </c>
      <c r="E2123" t="s">
        <v>1123</v>
      </c>
      <c r="F2123" t="s">
        <v>6921</v>
      </c>
    </row>
    <row r="2124" spans="1:12">
      <c r="A2124" t="s">
        <v>6876</v>
      </c>
      <c r="B2124" t="s">
        <v>6877</v>
      </c>
      <c r="C2124" t="s">
        <v>6922</v>
      </c>
      <c r="D2124" t="s">
        <v>6879</v>
      </c>
      <c r="E2124" t="s">
        <v>1842</v>
      </c>
      <c r="F2124" t="s">
        <v>6923</v>
      </c>
    </row>
    <row r="2125" spans="1:12">
      <c r="A2125" t="s">
        <v>6876</v>
      </c>
      <c r="B2125" t="s">
        <v>6877</v>
      </c>
      <c r="C2125" t="s">
        <v>6924</v>
      </c>
      <c r="D2125" t="s">
        <v>6879</v>
      </c>
      <c r="E2125" t="s">
        <v>6925</v>
      </c>
      <c r="F2125" t="s">
        <v>6926</v>
      </c>
      <c r="J2125" t="s">
        <v>6925</v>
      </c>
      <c r="K2125" t="s">
        <v>6876</v>
      </c>
      <c r="L2125" t="s">
        <v>814</v>
      </c>
    </row>
    <row r="2126" spans="1:12">
      <c r="A2126" t="s">
        <v>6876</v>
      </c>
      <c r="B2126" t="s">
        <v>6877</v>
      </c>
      <c r="C2126" t="s">
        <v>6927</v>
      </c>
      <c r="D2126" t="s">
        <v>6879</v>
      </c>
      <c r="E2126" t="s">
        <v>6928</v>
      </c>
      <c r="F2126" t="s">
        <v>6929</v>
      </c>
    </row>
    <row r="2127" spans="1:12">
      <c r="A2127" t="s">
        <v>6876</v>
      </c>
      <c r="B2127" t="s">
        <v>6877</v>
      </c>
      <c r="C2127" t="s">
        <v>6930</v>
      </c>
      <c r="D2127" t="s">
        <v>6879</v>
      </c>
      <c r="E2127" t="s">
        <v>6931</v>
      </c>
      <c r="F2127" t="s">
        <v>6932</v>
      </c>
    </row>
    <row r="2128" spans="1:12">
      <c r="A2128" t="s">
        <v>6876</v>
      </c>
      <c r="B2128" t="s">
        <v>6877</v>
      </c>
      <c r="C2128" t="s">
        <v>6933</v>
      </c>
      <c r="D2128" t="s">
        <v>6879</v>
      </c>
      <c r="E2128" t="s">
        <v>6934</v>
      </c>
      <c r="F2128" t="s">
        <v>6935</v>
      </c>
      <c r="J2128" t="s">
        <v>6934</v>
      </c>
      <c r="K2128" t="s">
        <v>6876</v>
      </c>
      <c r="L2128" t="s">
        <v>814</v>
      </c>
    </row>
    <row r="2129" spans="1:12">
      <c r="A2129" t="s">
        <v>6876</v>
      </c>
      <c r="B2129" t="s">
        <v>6877</v>
      </c>
      <c r="C2129" t="s">
        <v>6936</v>
      </c>
      <c r="D2129" t="s">
        <v>6879</v>
      </c>
      <c r="E2129" t="s">
        <v>6937</v>
      </c>
      <c r="F2129" t="s">
        <v>6938</v>
      </c>
      <c r="J2129" t="s">
        <v>6937</v>
      </c>
      <c r="K2129" t="s">
        <v>6876</v>
      </c>
      <c r="L2129" t="s">
        <v>814</v>
      </c>
    </row>
    <row r="2130" spans="1:12">
      <c r="A2130" t="s">
        <v>6876</v>
      </c>
      <c r="B2130" t="s">
        <v>6877</v>
      </c>
      <c r="C2130" t="s">
        <v>6939</v>
      </c>
      <c r="D2130" t="s">
        <v>6879</v>
      </c>
      <c r="E2130" t="s">
        <v>6940</v>
      </c>
      <c r="F2130" t="s">
        <v>6941</v>
      </c>
    </row>
    <row r="2131" spans="1:12">
      <c r="A2131" t="s">
        <v>6876</v>
      </c>
      <c r="B2131" t="s">
        <v>6877</v>
      </c>
      <c r="C2131" t="s">
        <v>6942</v>
      </c>
      <c r="D2131" t="s">
        <v>6879</v>
      </c>
      <c r="E2131" t="s">
        <v>6943</v>
      </c>
      <c r="F2131" t="s">
        <v>6944</v>
      </c>
    </row>
    <row r="2132" spans="1:12">
      <c r="A2132" t="s">
        <v>6876</v>
      </c>
      <c r="B2132" t="s">
        <v>6877</v>
      </c>
      <c r="C2132" t="s">
        <v>6945</v>
      </c>
      <c r="D2132" t="s">
        <v>6879</v>
      </c>
      <c r="E2132" t="s">
        <v>6946</v>
      </c>
      <c r="F2132" t="s">
        <v>6947</v>
      </c>
    </row>
    <row r="2133" spans="1:12">
      <c r="A2133" t="s">
        <v>6876</v>
      </c>
      <c r="B2133" t="s">
        <v>6877</v>
      </c>
      <c r="C2133" t="s">
        <v>6948</v>
      </c>
      <c r="D2133" t="s">
        <v>6879</v>
      </c>
      <c r="E2133" t="s">
        <v>6949</v>
      </c>
      <c r="F2133" t="s">
        <v>6950</v>
      </c>
    </row>
    <row r="2134" spans="1:12">
      <c r="A2134" t="s">
        <v>6876</v>
      </c>
      <c r="B2134" t="s">
        <v>6877</v>
      </c>
      <c r="C2134" t="s">
        <v>6951</v>
      </c>
      <c r="D2134" t="s">
        <v>6879</v>
      </c>
      <c r="E2134" t="s">
        <v>772</v>
      </c>
      <c r="F2134" t="s">
        <v>6952</v>
      </c>
    </row>
    <row r="2135" spans="1:12">
      <c r="A2135" t="s">
        <v>6876</v>
      </c>
      <c r="B2135" t="s">
        <v>6877</v>
      </c>
      <c r="C2135" t="s">
        <v>6953</v>
      </c>
      <c r="D2135" t="s">
        <v>6879</v>
      </c>
      <c r="E2135" t="s">
        <v>6954</v>
      </c>
      <c r="F2135" t="s">
        <v>6955</v>
      </c>
      <c r="J2135" t="s">
        <v>6954</v>
      </c>
      <c r="K2135" t="s">
        <v>6876</v>
      </c>
      <c r="L2135" t="s">
        <v>814</v>
      </c>
    </row>
    <row r="2136" spans="1:12">
      <c r="A2136" t="s">
        <v>6876</v>
      </c>
      <c r="B2136" t="s">
        <v>6877</v>
      </c>
      <c r="C2136" t="s">
        <v>6956</v>
      </c>
      <c r="D2136" t="s">
        <v>6879</v>
      </c>
      <c r="E2136" t="s">
        <v>6957</v>
      </c>
      <c r="F2136" t="s">
        <v>6958</v>
      </c>
      <c r="J2136" t="s">
        <v>6957</v>
      </c>
      <c r="K2136" t="s">
        <v>6876</v>
      </c>
      <c r="L2136" t="s">
        <v>814</v>
      </c>
    </row>
    <row r="2137" spans="1:12">
      <c r="A2137" t="s">
        <v>6876</v>
      </c>
      <c r="B2137" t="s">
        <v>6877</v>
      </c>
      <c r="C2137" t="s">
        <v>6959</v>
      </c>
      <c r="D2137" t="s">
        <v>6879</v>
      </c>
      <c r="E2137" t="s">
        <v>6960</v>
      </c>
      <c r="F2137" t="s">
        <v>6961</v>
      </c>
    </row>
    <row r="2138" spans="1:12">
      <c r="A2138" t="s">
        <v>6876</v>
      </c>
      <c r="B2138" t="s">
        <v>6877</v>
      </c>
      <c r="C2138" t="s">
        <v>6962</v>
      </c>
      <c r="D2138" t="s">
        <v>6879</v>
      </c>
      <c r="E2138" t="s">
        <v>6963</v>
      </c>
      <c r="F2138" t="s">
        <v>6964</v>
      </c>
    </row>
    <row r="2139" spans="1:12">
      <c r="A2139" t="s">
        <v>6876</v>
      </c>
      <c r="B2139" t="s">
        <v>6877</v>
      </c>
      <c r="C2139" t="s">
        <v>6965</v>
      </c>
      <c r="D2139" t="s">
        <v>6879</v>
      </c>
      <c r="E2139" t="s">
        <v>6966</v>
      </c>
      <c r="F2139" t="s">
        <v>6967</v>
      </c>
      <c r="J2139" t="s">
        <v>6966</v>
      </c>
      <c r="K2139" t="s">
        <v>6876</v>
      </c>
      <c r="L2139" t="s">
        <v>814</v>
      </c>
    </row>
    <row r="2140" spans="1:12">
      <c r="A2140" t="s">
        <v>6876</v>
      </c>
      <c r="B2140" t="s">
        <v>6877</v>
      </c>
      <c r="C2140" t="s">
        <v>6968</v>
      </c>
      <c r="D2140" t="s">
        <v>6879</v>
      </c>
      <c r="E2140" t="s">
        <v>6969</v>
      </c>
      <c r="F2140" t="s">
        <v>6970</v>
      </c>
    </row>
    <row r="2141" spans="1:12">
      <c r="A2141" t="s">
        <v>6876</v>
      </c>
      <c r="B2141" t="s">
        <v>6877</v>
      </c>
      <c r="C2141" t="s">
        <v>6971</v>
      </c>
      <c r="D2141" t="s">
        <v>6879</v>
      </c>
      <c r="E2141" t="s">
        <v>6972</v>
      </c>
      <c r="F2141" t="s">
        <v>6973</v>
      </c>
    </row>
    <row r="2142" spans="1:12">
      <c r="A2142" t="s">
        <v>6876</v>
      </c>
      <c r="B2142" t="s">
        <v>6877</v>
      </c>
      <c r="C2142" t="s">
        <v>6974</v>
      </c>
      <c r="D2142" t="s">
        <v>6879</v>
      </c>
      <c r="E2142" t="s">
        <v>6975</v>
      </c>
      <c r="F2142" t="s">
        <v>6976</v>
      </c>
      <c r="J2142" t="s">
        <v>6975</v>
      </c>
      <c r="K2142" t="s">
        <v>6876</v>
      </c>
      <c r="L2142" t="s">
        <v>814</v>
      </c>
    </row>
    <row r="2143" spans="1:12">
      <c r="A2143" t="s">
        <v>6876</v>
      </c>
      <c r="B2143" t="s">
        <v>6877</v>
      </c>
      <c r="C2143" t="s">
        <v>6977</v>
      </c>
      <c r="D2143" t="s">
        <v>6879</v>
      </c>
      <c r="E2143" t="s">
        <v>6978</v>
      </c>
      <c r="F2143" t="s">
        <v>6979</v>
      </c>
    </row>
    <row r="2144" spans="1:12">
      <c r="A2144" t="s">
        <v>6876</v>
      </c>
      <c r="B2144" t="s">
        <v>6877</v>
      </c>
      <c r="C2144" t="s">
        <v>6980</v>
      </c>
      <c r="D2144" t="s">
        <v>6879</v>
      </c>
      <c r="E2144" t="s">
        <v>4289</v>
      </c>
      <c r="F2144" t="s">
        <v>6981</v>
      </c>
    </row>
    <row r="2145" spans="1:12">
      <c r="A2145" t="s">
        <v>6876</v>
      </c>
      <c r="B2145" t="s">
        <v>6877</v>
      </c>
      <c r="C2145" t="s">
        <v>6982</v>
      </c>
      <c r="D2145" t="s">
        <v>6879</v>
      </c>
      <c r="E2145" t="s">
        <v>2798</v>
      </c>
      <c r="F2145" t="s">
        <v>6983</v>
      </c>
    </row>
    <row r="2146" spans="1:12">
      <c r="A2146" t="s">
        <v>6876</v>
      </c>
      <c r="B2146" t="s">
        <v>6877</v>
      </c>
      <c r="C2146" t="s">
        <v>6984</v>
      </c>
      <c r="D2146" t="s">
        <v>6879</v>
      </c>
      <c r="E2146" t="s">
        <v>6985</v>
      </c>
      <c r="F2146" t="s">
        <v>6986</v>
      </c>
      <c r="J2146" t="s">
        <v>6985</v>
      </c>
      <c r="K2146" t="s">
        <v>6876</v>
      </c>
      <c r="L2146" t="s">
        <v>814</v>
      </c>
    </row>
    <row r="2147" spans="1:12">
      <c r="A2147" t="s">
        <v>6876</v>
      </c>
      <c r="B2147" t="s">
        <v>6877</v>
      </c>
      <c r="C2147" t="s">
        <v>6987</v>
      </c>
      <c r="D2147" t="s">
        <v>6879</v>
      </c>
      <c r="E2147" t="s">
        <v>6988</v>
      </c>
      <c r="F2147" t="s">
        <v>6989</v>
      </c>
    </row>
    <row r="2148" spans="1:12">
      <c r="A2148" t="s">
        <v>6876</v>
      </c>
      <c r="B2148" t="s">
        <v>6877</v>
      </c>
      <c r="C2148" t="s">
        <v>6990</v>
      </c>
      <c r="D2148" t="s">
        <v>6879</v>
      </c>
      <c r="E2148" t="s">
        <v>6991</v>
      </c>
      <c r="F2148" t="s">
        <v>6992</v>
      </c>
    </row>
    <row r="2149" spans="1:12">
      <c r="A2149" t="s">
        <v>6876</v>
      </c>
      <c r="B2149" t="s">
        <v>6877</v>
      </c>
      <c r="C2149" t="s">
        <v>6993</v>
      </c>
      <c r="D2149" t="s">
        <v>6879</v>
      </c>
      <c r="E2149" t="s">
        <v>6994</v>
      </c>
      <c r="F2149" t="s">
        <v>6995</v>
      </c>
    </row>
    <row r="2150" spans="1:12">
      <c r="A2150" t="s">
        <v>6876</v>
      </c>
      <c r="B2150" t="s">
        <v>6877</v>
      </c>
      <c r="C2150" t="s">
        <v>6996</v>
      </c>
      <c r="D2150" t="s">
        <v>6879</v>
      </c>
      <c r="E2150" t="s">
        <v>6997</v>
      </c>
      <c r="F2150" t="s">
        <v>6998</v>
      </c>
      <c r="J2150" t="s">
        <v>6997</v>
      </c>
      <c r="K2150" t="s">
        <v>6876</v>
      </c>
      <c r="L2150" t="s">
        <v>814</v>
      </c>
    </row>
    <row r="2151" spans="1:12">
      <c r="A2151" t="s">
        <v>6876</v>
      </c>
      <c r="B2151" t="s">
        <v>6877</v>
      </c>
      <c r="C2151" t="s">
        <v>6999</v>
      </c>
      <c r="D2151" t="s">
        <v>6879</v>
      </c>
      <c r="E2151" t="s">
        <v>7000</v>
      </c>
      <c r="F2151" t="s">
        <v>7001</v>
      </c>
    </row>
    <row r="2152" spans="1:12">
      <c r="A2152" t="s">
        <v>6876</v>
      </c>
      <c r="B2152" t="s">
        <v>6877</v>
      </c>
      <c r="C2152" t="s">
        <v>7002</v>
      </c>
      <c r="D2152" t="s">
        <v>6879</v>
      </c>
      <c r="E2152" t="s">
        <v>7003</v>
      </c>
      <c r="F2152" t="s">
        <v>7004</v>
      </c>
    </row>
    <row r="2153" spans="1:12">
      <c r="A2153" t="s">
        <v>6876</v>
      </c>
      <c r="B2153" t="s">
        <v>6877</v>
      </c>
      <c r="C2153" t="s">
        <v>7005</v>
      </c>
      <c r="D2153" t="s">
        <v>6879</v>
      </c>
      <c r="E2153" t="s">
        <v>7006</v>
      </c>
      <c r="F2153" t="s">
        <v>7007</v>
      </c>
      <c r="J2153" t="s">
        <v>7006</v>
      </c>
      <c r="K2153" t="s">
        <v>6876</v>
      </c>
      <c r="L2153" t="s">
        <v>814</v>
      </c>
    </row>
    <row r="2154" spans="1:12">
      <c r="A2154" t="s">
        <v>6876</v>
      </c>
      <c r="B2154" t="s">
        <v>6877</v>
      </c>
      <c r="C2154" t="s">
        <v>7008</v>
      </c>
      <c r="D2154" t="s">
        <v>6879</v>
      </c>
      <c r="E2154" t="s">
        <v>7009</v>
      </c>
      <c r="F2154" t="s">
        <v>7010</v>
      </c>
    </row>
    <row r="2155" spans="1:12">
      <c r="A2155" t="s">
        <v>6876</v>
      </c>
      <c r="B2155" t="s">
        <v>6877</v>
      </c>
      <c r="C2155" t="s">
        <v>7011</v>
      </c>
      <c r="D2155" t="s">
        <v>6879</v>
      </c>
      <c r="E2155" t="s">
        <v>5320</v>
      </c>
      <c r="F2155" t="s">
        <v>7012</v>
      </c>
      <c r="J2155" t="s">
        <v>5320</v>
      </c>
      <c r="K2155" t="s">
        <v>6876</v>
      </c>
      <c r="L2155" t="s">
        <v>814</v>
      </c>
    </row>
    <row r="2156" spans="1:12">
      <c r="A2156" t="s">
        <v>6876</v>
      </c>
      <c r="B2156" t="s">
        <v>6877</v>
      </c>
      <c r="C2156" t="s">
        <v>7013</v>
      </c>
      <c r="D2156" t="s">
        <v>6879</v>
      </c>
      <c r="E2156" t="s">
        <v>7014</v>
      </c>
      <c r="F2156" t="s">
        <v>7015</v>
      </c>
      <c r="J2156" t="s">
        <v>7014</v>
      </c>
      <c r="K2156" t="s">
        <v>6876</v>
      </c>
      <c r="L2156" t="s">
        <v>814</v>
      </c>
    </row>
    <row r="2157" spans="1:12">
      <c r="A2157" t="s">
        <v>6876</v>
      </c>
      <c r="B2157" t="s">
        <v>6877</v>
      </c>
      <c r="C2157" t="s">
        <v>7016</v>
      </c>
      <c r="D2157" t="s">
        <v>6879</v>
      </c>
      <c r="E2157" t="s">
        <v>7017</v>
      </c>
      <c r="F2157" t="s">
        <v>7018</v>
      </c>
      <c r="J2157" t="s">
        <v>7017</v>
      </c>
      <c r="K2157" t="s">
        <v>6876</v>
      </c>
      <c r="L2157" t="s">
        <v>814</v>
      </c>
    </row>
    <row r="2158" spans="1:12">
      <c r="A2158" t="s">
        <v>6876</v>
      </c>
      <c r="B2158" t="s">
        <v>6877</v>
      </c>
      <c r="C2158" t="s">
        <v>7019</v>
      </c>
      <c r="D2158" t="s">
        <v>6879</v>
      </c>
      <c r="E2158" t="s">
        <v>7020</v>
      </c>
      <c r="F2158" t="s">
        <v>7021</v>
      </c>
      <c r="J2158" t="s">
        <v>7020</v>
      </c>
      <c r="K2158" t="s">
        <v>6876</v>
      </c>
      <c r="L2158" t="s">
        <v>814</v>
      </c>
    </row>
    <row r="2159" spans="1:12">
      <c r="A2159" t="s">
        <v>6876</v>
      </c>
      <c r="B2159" t="s">
        <v>6877</v>
      </c>
      <c r="C2159" t="s">
        <v>7022</v>
      </c>
      <c r="D2159" t="s">
        <v>6879</v>
      </c>
      <c r="E2159" t="s">
        <v>7023</v>
      </c>
      <c r="F2159" t="s">
        <v>7024</v>
      </c>
      <c r="J2159" t="s">
        <v>7023</v>
      </c>
      <c r="K2159" t="s">
        <v>6876</v>
      </c>
      <c r="L2159" t="s">
        <v>814</v>
      </c>
    </row>
    <row r="2160" spans="1:12">
      <c r="A2160" t="s">
        <v>6876</v>
      </c>
      <c r="B2160" t="s">
        <v>6877</v>
      </c>
      <c r="C2160" t="s">
        <v>7025</v>
      </c>
      <c r="D2160" t="s">
        <v>6879</v>
      </c>
      <c r="E2160" t="s">
        <v>7026</v>
      </c>
      <c r="F2160" t="s">
        <v>7027</v>
      </c>
      <c r="J2160" t="s">
        <v>7026</v>
      </c>
      <c r="K2160" t="s">
        <v>6876</v>
      </c>
      <c r="L2160" t="s">
        <v>814</v>
      </c>
    </row>
    <row r="2161" spans="1:12">
      <c r="A2161" t="s">
        <v>6876</v>
      </c>
      <c r="B2161" t="s">
        <v>6877</v>
      </c>
      <c r="C2161" t="s">
        <v>7028</v>
      </c>
      <c r="D2161" t="s">
        <v>6879</v>
      </c>
      <c r="E2161" t="s">
        <v>7029</v>
      </c>
      <c r="F2161" t="s">
        <v>7030</v>
      </c>
      <c r="J2161" t="s">
        <v>7029</v>
      </c>
      <c r="K2161" t="s">
        <v>6876</v>
      </c>
      <c r="L2161" t="s">
        <v>814</v>
      </c>
    </row>
    <row r="2162" spans="1:12">
      <c r="A2162" t="s">
        <v>6876</v>
      </c>
      <c r="B2162" t="s">
        <v>6877</v>
      </c>
      <c r="C2162" t="s">
        <v>7031</v>
      </c>
      <c r="D2162" t="s">
        <v>6879</v>
      </c>
      <c r="E2162" t="s">
        <v>7032</v>
      </c>
      <c r="F2162" t="s">
        <v>7033</v>
      </c>
      <c r="J2162" t="s">
        <v>7032</v>
      </c>
      <c r="K2162" t="s">
        <v>6876</v>
      </c>
      <c r="L2162" t="s">
        <v>814</v>
      </c>
    </row>
    <row r="2163" spans="1:12">
      <c r="A2163" t="s">
        <v>6876</v>
      </c>
      <c r="B2163" t="s">
        <v>6877</v>
      </c>
      <c r="C2163" t="s">
        <v>7034</v>
      </c>
      <c r="D2163" t="s">
        <v>6879</v>
      </c>
      <c r="E2163" t="s">
        <v>7035</v>
      </c>
      <c r="F2163" t="s">
        <v>7036</v>
      </c>
      <c r="J2163" t="s">
        <v>7035</v>
      </c>
      <c r="K2163" t="s">
        <v>6876</v>
      </c>
      <c r="L2163" t="s">
        <v>814</v>
      </c>
    </row>
    <row r="2164" spans="1:12">
      <c r="A2164" t="s">
        <v>6876</v>
      </c>
      <c r="B2164" t="s">
        <v>6877</v>
      </c>
      <c r="C2164" t="s">
        <v>7037</v>
      </c>
      <c r="D2164" t="s">
        <v>6879</v>
      </c>
      <c r="E2164" t="s">
        <v>7038</v>
      </c>
      <c r="F2164" t="s">
        <v>7039</v>
      </c>
      <c r="J2164" t="s">
        <v>7038</v>
      </c>
      <c r="K2164" t="s">
        <v>6876</v>
      </c>
      <c r="L2164" t="s">
        <v>814</v>
      </c>
    </row>
    <row r="2165" spans="1:12">
      <c r="A2165" t="s">
        <v>6876</v>
      </c>
      <c r="B2165" t="s">
        <v>6877</v>
      </c>
      <c r="C2165" t="s">
        <v>7040</v>
      </c>
      <c r="D2165" t="s">
        <v>6879</v>
      </c>
      <c r="E2165" t="s">
        <v>7041</v>
      </c>
      <c r="F2165" t="s">
        <v>7042</v>
      </c>
      <c r="J2165" t="s">
        <v>7041</v>
      </c>
      <c r="K2165" t="s">
        <v>6876</v>
      </c>
      <c r="L2165" t="s">
        <v>814</v>
      </c>
    </row>
    <row r="2166" spans="1:12">
      <c r="A2166" t="s">
        <v>6876</v>
      </c>
      <c r="B2166" t="s">
        <v>6877</v>
      </c>
      <c r="C2166" t="s">
        <v>7043</v>
      </c>
      <c r="D2166" t="s">
        <v>6879</v>
      </c>
      <c r="E2166" t="s">
        <v>7044</v>
      </c>
      <c r="F2166" t="s">
        <v>7045</v>
      </c>
      <c r="J2166" t="s">
        <v>7044</v>
      </c>
      <c r="K2166" t="s">
        <v>6876</v>
      </c>
      <c r="L2166" t="s">
        <v>814</v>
      </c>
    </row>
    <row r="2167" spans="1:12">
      <c r="A2167" t="s">
        <v>6876</v>
      </c>
      <c r="B2167" t="s">
        <v>6877</v>
      </c>
      <c r="C2167" t="s">
        <v>7046</v>
      </c>
      <c r="D2167" t="s">
        <v>6879</v>
      </c>
      <c r="E2167" t="s">
        <v>7047</v>
      </c>
      <c r="F2167" t="s">
        <v>7048</v>
      </c>
      <c r="J2167" t="s">
        <v>7047</v>
      </c>
      <c r="K2167" t="s">
        <v>6876</v>
      </c>
      <c r="L2167" t="s">
        <v>814</v>
      </c>
    </row>
    <row r="2168" spans="1:12">
      <c r="A2168" t="s">
        <v>6876</v>
      </c>
      <c r="B2168" t="s">
        <v>6877</v>
      </c>
      <c r="C2168" t="s">
        <v>7049</v>
      </c>
      <c r="D2168" t="s">
        <v>6879</v>
      </c>
      <c r="E2168" t="s">
        <v>7050</v>
      </c>
      <c r="F2168" t="s">
        <v>7051</v>
      </c>
      <c r="J2168" t="s">
        <v>7050</v>
      </c>
      <c r="K2168" t="s">
        <v>6876</v>
      </c>
      <c r="L2168" t="s">
        <v>814</v>
      </c>
    </row>
    <row r="2169" spans="1:12">
      <c r="A2169" t="s">
        <v>6876</v>
      </c>
      <c r="B2169" t="s">
        <v>6877</v>
      </c>
      <c r="C2169" t="s">
        <v>7052</v>
      </c>
      <c r="D2169" t="s">
        <v>6879</v>
      </c>
      <c r="E2169" t="s">
        <v>655</v>
      </c>
      <c r="F2169" t="s">
        <v>656</v>
      </c>
    </row>
    <row r="2170" spans="1:12">
      <c r="A2170" t="s">
        <v>6876</v>
      </c>
      <c r="B2170" t="s">
        <v>6877</v>
      </c>
      <c r="D2170" t="s">
        <v>6879</v>
      </c>
      <c r="F2170" t="s">
        <v>7053</v>
      </c>
      <c r="J2170" t="s">
        <v>7054</v>
      </c>
      <c r="K2170" t="s">
        <v>6876</v>
      </c>
      <c r="L2170" t="s">
        <v>814</v>
      </c>
    </row>
    <row r="2171" spans="1:12">
      <c r="A2171" t="s">
        <v>6876</v>
      </c>
      <c r="B2171" t="s">
        <v>6877</v>
      </c>
      <c r="D2171" t="s">
        <v>6879</v>
      </c>
      <c r="F2171" t="s">
        <v>7055</v>
      </c>
      <c r="J2171" t="s">
        <v>7056</v>
      </c>
      <c r="K2171" t="s">
        <v>6876</v>
      </c>
      <c r="L2171" t="s">
        <v>814</v>
      </c>
    </row>
    <row r="2172" spans="1:12">
      <c r="A2172" t="s">
        <v>6876</v>
      </c>
      <c r="B2172" t="s">
        <v>6877</v>
      </c>
      <c r="D2172" t="s">
        <v>6879</v>
      </c>
      <c r="F2172" t="s">
        <v>7057</v>
      </c>
      <c r="J2172" t="s">
        <v>7058</v>
      </c>
      <c r="K2172" t="s">
        <v>6876</v>
      </c>
      <c r="L2172" t="s">
        <v>814</v>
      </c>
    </row>
    <row r="2173" spans="1:12">
      <c r="A2173" t="s">
        <v>6876</v>
      </c>
      <c r="B2173" t="s">
        <v>6877</v>
      </c>
      <c r="D2173" t="s">
        <v>6879</v>
      </c>
      <c r="F2173" t="s">
        <v>7059</v>
      </c>
      <c r="J2173" t="s">
        <v>900</v>
      </c>
      <c r="K2173" t="s">
        <v>6876</v>
      </c>
      <c r="L2173" t="s">
        <v>814</v>
      </c>
    </row>
    <row r="2174" spans="1:12">
      <c r="A2174" t="s">
        <v>6876</v>
      </c>
      <c r="B2174" t="s">
        <v>6877</v>
      </c>
      <c r="D2174" t="s">
        <v>6879</v>
      </c>
      <c r="F2174" t="s">
        <v>7060</v>
      </c>
      <c r="J2174" t="s">
        <v>7061</v>
      </c>
      <c r="K2174" t="s">
        <v>6876</v>
      </c>
      <c r="L2174" t="s">
        <v>814</v>
      </c>
    </row>
    <row r="2175" spans="1:12">
      <c r="A2175" t="s">
        <v>6876</v>
      </c>
      <c r="B2175" t="s">
        <v>6877</v>
      </c>
      <c r="D2175" t="s">
        <v>6879</v>
      </c>
      <c r="F2175" t="s">
        <v>7062</v>
      </c>
      <c r="J2175" t="s">
        <v>7063</v>
      </c>
      <c r="K2175" t="s">
        <v>6876</v>
      </c>
      <c r="L2175" t="s">
        <v>814</v>
      </c>
    </row>
    <row r="2176" spans="1:12">
      <c r="A2176" t="s">
        <v>6876</v>
      </c>
      <c r="B2176" t="s">
        <v>6877</v>
      </c>
      <c r="D2176" t="s">
        <v>6879</v>
      </c>
      <c r="F2176" t="s">
        <v>7064</v>
      </c>
      <c r="J2176" t="s">
        <v>7065</v>
      </c>
      <c r="K2176" t="s">
        <v>6876</v>
      </c>
      <c r="L2176" t="s">
        <v>814</v>
      </c>
    </row>
    <row r="2177" spans="1:12">
      <c r="A2177" t="s">
        <v>6876</v>
      </c>
      <c r="B2177" t="s">
        <v>6877</v>
      </c>
      <c r="D2177" t="s">
        <v>6879</v>
      </c>
      <c r="F2177" t="s">
        <v>7066</v>
      </c>
      <c r="J2177" t="s">
        <v>7067</v>
      </c>
      <c r="K2177" t="s">
        <v>6876</v>
      </c>
      <c r="L2177" t="s">
        <v>814</v>
      </c>
    </row>
    <row r="2178" spans="1:12">
      <c r="A2178" t="s">
        <v>7068</v>
      </c>
      <c r="B2178" t="s">
        <v>7069</v>
      </c>
      <c r="C2178" t="s">
        <v>7070</v>
      </c>
      <c r="D2178" t="s">
        <v>7071</v>
      </c>
      <c r="E2178" t="s">
        <v>7072</v>
      </c>
      <c r="F2178" t="s">
        <v>7073</v>
      </c>
      <c r="J2178" t="s">
        <v>7072</v>
      </c>
      <c r="K2178" t="s">
        <v>7074</v>
      </c>
      <c r="L2178" t="s">
        <v>916</v>
      </c>
    </row>
    <row r="2179" spans="1:12">
      <c r="A2179" t="s">
        <v>7068</v>
      </c>
      <c r="B2179" t="s">
        <v>7069</v>
      </c>
      <c r="C2179" t="s">
        <v>7075</v>
      </c>
      <c r="D2179" t="s">
        <v>7071</v>
      </c>
      <c r="E2179" t="s">
        <v>4894</v>
      </c>
      <c r="F2179" t="s">
        <v>7076</v>
      </c>
      <c r="J2179" t="s">
        <v>4894</v>
      </c>
      <c r="K2179" t="s">
        <v>7074</v>
      </c>
      <c r="L2179" t="s">
        <v>916</v>
      </c>
    </row>
    <row r="2180" spans="1:12">
      <c r="A2180" t="s">
        <v>7068</v>
      </c>
      <c r="B2180" t="s">
        <v>7069</v>
      </c>
      <c r="C2180" t="s">
        <v>7077</v>
      </c>
      <c r="D2180" t="s">
        <v>7071</v>
      </c>
      <c r="E2180" t="s">
        <v>7078</v>
      </c>
      <c r="F2180" t="s">
        <v>7079</v>
      </c>
      <c r="J2180" t="s">
        <v>7078</v>
      </c>
      <c r="K2180" t="s">
        <v>7074</v>
      </c>
      <c r="L2180" t="s">
        <v>916</v>
      </c>
    </row>
    <row r="2181" spans="1:12">
      <c r="A2181" t="s">
        <v>7068</v>
      </c>
      <c r="B2181" t="s">
        <v>7069</v>
      </c>
      <c r="C2181" t="s">
        <v>7080</v>
      </c>
      <c r="D2181" t="s">
        <v>7071</v>
      </c>
      <c r="E2181" t="s">
        <v>7081</v>
      </c>
      <c r="F2181" t="s">
        <v>7082</v>
      </c>
      <c r="J2181" t="s">
        <v>7081</v>
      </c>
      <c r="K2181" t="s">
        <v>7074</v>
      </c>
      <c r="L2181" t="s">
        <v>916</v>
      </c>
    </row>
    <row r="2182" spans="1:12">
      <c r="A2182" t="s">
        <v>7068</v>
      </c>
      <c r="B2182" t="s">
        <v>7069</v>
      </c>
      <c r="C2182" t="s">
        <v>7083</v>
      </c>
      <c r="D2182" t="s">
        <v>7071</v>
      </c>
      <c r="E2182" t="s">
        <v>7084</v>
      </c>
      <c r="F2182" t="s">
        <v>7085</v>
      </c>
      <c r="J2182" t="s">
        <v>7084</v>
      </c>
      <c r="K2182" t="s">
        <v>7074</v>
      </c>
      <c r="L2182" t="s">
        <v>916</v>
      </c>
    </row>
    <row r="2183" spans="1:12">
      <c r="A2183" t="s">
        <v>7068</v>
      </c>
      <c r="B2183" t="s">
        <v>7069</v>
      </c>
      <c r="C2183" t="s">
        <v>7086</v>
      </c>
      <c r="D2183" t="s">
        <v>7071</v>
      </c>
      <c r="E2183" t="s">
        <v>7087</v>
      </c>
      <c r="F2183" t="s">
        <v>7088</v>
      </c>
      <c r="J2183" t="s">
        <v>7087</v>
      </c>
      <c r="K2183" t="s">
        <v>7074</v>
      </c>
      <c r="L2183" t="s">
        <v>916</v>
      </c>
    </row>
    <row r="2184" spans="1:12">
      <c r="A2184" t="s">
        <v>7068</v>
      </c>
      <c r="B2184" t="s">
        <v>7069</v>
      </c>
      <c r="C2184" t="s">
        <v>7089</v>
      </c>
      <c r="D2184" t="s">
        <v>7071</v>
      </c>
      <c r="E2184" t="s">
        <v>7090</v>
      </c>
      <c r="F2184" t="s">
        <v>7091</v>
      </c>
      <c r="J2184" t="s">
        <v>7090</v>
      </c>
      <c r="K2184" t="s">
        <v>7074</v>
      </c>
      <c r="L2184" t="s">
        <v>916</v>
      </c>
    </row>
    <row r="2185" spans="1:12">
      <c r="A2185" t="s">
        <v>7068</v>
      </c>
      <c r="B2185" t="s">
        <v>7069</v>
      </c>
      <c r="C2185" t="s">
        <v>7092</v>
      </c>
      <c r="D2185" t="s">
        <v>7071</v>
      </c>
      <c r="E2185" t="s">
        <v>7093</v>
      </c>
      <c r="F2185" t="s">
        <v>7094</v>
      </c>
      <c r="J2185" t="s">
        <v>7093</v>
      </c>
      <c r="K2185" t="s">
        <v>7074</v>
      </c>
      <c r="L2185" t="s">
        <v>916</v>
      </c>
    </row>
    <row r="2186" spans="1:12">
      <c r="A2186" t="s">
        <v>7068</v>
      </c>
      <c r="B2186" t="s">
        <v>7069</v>
      </c>
      <c r="C2186" t="s">
        <v>7095</v>
      </c>
      <c r="D2186" t="s">
        <v>7071</v>
      </c>
      <c r="E2186" t="s">
        <v>7096</v>
      </c>
      <c r="F2186" t="s">
        <v>7097</v>
      </c>
      <c r="J2186" t="s">
        <v>7096</v>
      </c>
      <c r="K2186" t="s">
        <v>7074</v>
      </c>
      <c r="L2186" t="s">
        <v>916</v>
      </c>
    </row>
    <row r="2187" spans="1:12">
      <c r="A2187" t="s">
        <v>7068</v>
      </c>
      <c r="B2187" t="s">
        <v>7069</v>
      </c>
      <c r="C2187" t="s">
        <v>7098</v>
      </c>
      <c r="D2187" t="s">
        <v>7071</v>
      </c>
      <c r="E2187" t="s">
        <v>7099</v>
      </c>
      <c r="F2187" t="s">
        <v>7100</v>
      </c>
      <c r="J2187" t="s">
        <v>7099</v>
      </c>
      <c r="K2187" t="s">
        <v>7074</v>
      </c>
      <c r="L2187" t="s">
        <v>916</v>
      </c>
    </row>
    <row r="2188" spans="1:12">
      <c r="A2188" t="s">
        <v>7068</v>
      </c>
      <c r="B2188" t="s">
        <v>7069</v>
      </c>
      <c r="C2188" t="s">
        <v>7101</v>
      </c>
      <c r="D2188" t="s">
        <v>7071</v>
      </c>
      <c r="E2188" t="s">
        <v>7102</v>
      </c>
      <c r="F2188" t="s">
        <v>7103</v>
      </c>
      <c r="J2188" t="s">
        <v>7102</v>
      </c>
      <c r="K2188" t="s">
        <v>7074</v>
      </c>
      <c r="L2188" t="s">
        <v>916</v>
      </c>
    </row>
    <row r="2189" spans="1:12">
      <c r="A2189" t="s">
        <v>7068</v>
      </c>
      <c r="B2189" t="s">
        <v>7069</v>
      </c>
      <c r="C2189" t="s">
        <v>7104</v>
      </c>
      <c r="D2189" t="s">
        <v>7071</v>
      </c>
      <c r="E2189" t="s">
        <v>7105</v>
      </c>
      <c r="F2189" t="s">
        <v>7106</v>
      </c>
      <c r="J2189" t="s">
        <v>7105</v>
      </c>
      <c r="K2189" t="s">
        <v>7074</v>
      </c>
      <c r="L2189" t="s">
        <v>916</v>
      </c>
    </row>
    <row r="2190" spans="1:12">
      <c r="A2190" t="s">
        <v>7068</v>
      </c>
      <c r="B2190" t="s">
        <v>7069</v>
      </c>
      <c r="C2190" t="s">
        <v>7107</v>
      </c>
      <c r="D2190" t="s">
        <v>7071</v>
      </c>
      <c r="E2190" t="s">
        <v>7108</v>
      </c>
      <c r="F2190" t="s">
        <v>7109</v>
      </c>
      <c r="J2190" t="s">
        <v>7108</v>
      </c>
      <c r="K2190" t="s">
        <v>7074</v>
      </c>
      <c r="L2190" t="s">
        <v>916</v>
      </c>
    </row>
    <row r="2191" spans="1:12">
      <c r="A2191" t="s">
        <v>7068</v>
      </c>
      <c r="B2191" t="s">
        <v>7069</v>
      </c>
      <c r="C2191" t="s">
        <v>7110</v>
      </c>
      <c r="D2191" t="s">
        <v>7071</v>
      </c>
      <c r="E2191" t="s">
        <v>7111</v>
      </c>
      <c r="F2191" t="s">
        <v>7112</v>
      </c>
      <c r="J2191" t="s">
        <v>7111</v>
      </c>
      <c r="K2191" t="s">
        <v>7074</v>
      </c>
      <c r="L2191" t="s">
        <v>916</v>
      </c>
    </row>
    <row r="2192" spans="1:12">
      <c r="A2192" t="s">
        <v>7068</v>
      </c>
      <c r="B2192" t="s">
        <v>7069</v>
      </c>
      <c r="C2192" t="s">
        <v>7113</v>
      </c>
      <c r="D2192" t="s">
        <v>7071</v>
      </c>
      <c r="E2192" t="s">
        <v>7114</v>
      </c>
      <c r="F2192" t="s">
        <v>7045</v>
      </c>
      <c r="J2192" t="s">
        <v>7114</v>
      </c>
      <c r="K2192" t="s">
        <v>7074</v>
      </c>
      <c r="L2192" t="s">
        <v>916</v>
      </c>
    </row>
    <row r="2193" spans="1:12">
      <c r="A2193" t="s">
        <v>7068</v>
      </c>
      <c r="B2193" t="s">
        <v>7069</v>
      </c>
      <c r="C2193" t="s">
        <v>7115</v>
      </c>
      <c r="D2193" t="s">
        <v>7071</v>
      </c>
      <c r="E2193" t="s">
        <v>7116</v>
      </c>
      <c r="F2193" t="s">
        <v>7117</v>
      </c>
      <c r="J2193" t="s">
        <v>7116</v>
      </c>
      <c r="K2193" t="s">
        <v>7074</v>
      </c>
      <c r="L2193" t="s">
        <v>916</v>
      </c>
    </row>
    <row r="2194" spans="1:12">
      <c r="A2194" t="s">
        <v>7068</v>
      </c>
      <c r="B2194" t="s">
        <v>7069</v>
      </c>
      <c r="C2194" t="s">
        <v>7118</v>
      </c>
      <c r="D2194" t="s">
        <v>7071</v>
      </c>
      <c r="E2194" t="s">
        <v>655</v>
      </c>
      <c r="F2194" t="s">
        <v>656</v>
      </c>
    </row>
    <row r="2195" spans="1:12">
      <c r="A2195" t="s">
        <v>7068</v>
      </c>
      <c r="B2195" t="s">
        <v>7069</v>
      </c>
      <c r="D2195" t="s">
        <v>7071</v>
      </c>
      <c r="F2195" t="s">
        <v>7119</v>
      </c>
      <c r="J2195" t="s">
        <v>7120</v>
      </c>
      <c r="K2195" t="s">
        <v>7074</v>
      </c>
      <c r="L2195" t="s">
        <v>916</v>
      </c>
    </row>
    <row r="2196" spans="1:12">
      <c r="A2196" t="s">
        <v>7068</v>
      </c>
      <c r="B2196" t="s">
        <v>7069</v>
      </c>
      <c r="D2196" t="s">
        <v>7071</v>
      </c>
      <c r="F2196" t="s">
        <v>7121</v>
      </c>
      <c r="J2196" t="s">
        <v>7122</v>
      </c>
      <c r="K2196" t="s">
        <v>7074</v>
      </c>
      <c r="L2196" t="s">
        <v>916</v>
      </c>
    </row>
    <row r="2197" spans="1:12">
      <c r="A2197" t="s">
        <v>7068</v>
      </c>
      <c r="B2197" t="s">
        <v>7069</v>
      </c>
      <c r="D2197" t="s">
        <v>7071</v>
      </c>
      <c r="F2197" t="s">
        <v>7123</v>
      </c>
      <c r="J2197" t="s">
        <v>7124</v>
      </c>
      <c r="K2197" t="s">
        <v>7074</v>
      </c>
      <c r="L2197" t="s">
        <v>916</v>
      </c>
    </row>
    <row r="2198" spans="1:12">
      <c r="A2198" t="s">
        <v>7068</v>
      </c>
      <c r="B2198" t="s">
        <v>7069</v>
      </c>
      <c r="D2198" t="s">
        <v>7071</v>
      </c>
      <c r="F2198" t="s">
        <v>7125</v>
      </c>
      <c r="J2198" t="s">
        <v>7126</v>
      </c>
      <c r="K2198" t="s">
        <v>7074</v>
      </c>
      <c r="L2198" t="s">
        <v>916</v>
      </c>
    </row>
    <row r="2199" spans="1:12">
      <c r="A2199" t="s">
        <v>7068</v>
      </c>
      <c r="B2199" t="s">
        <v>7069</v>
      </c>
      <c r="D2199" t="s">
        <v>7071</v>
      </c>
      <c r="F2199" t="s">
        <v>7127</v>
      </c>
      <c r="J2199" t="s">
        <v>7128</v>
      </c>
      <c r="K2199" t="s">
        <v>7074</v>
      </c>
      <c r="L2199" t="s">
        <v>916</v>
      </c>
    </row>
    <row r="2200" spans="1:12">
      <c r="A2200" t="s">
        <v>628</v>
      </c>
      <c r="B2200" t="s">
        <v>7129</v>
      </c>
      <c r="C2200" t="s">
        <v>7130</v>
      </c>
      <c r="D2200" t="s">
        <v>7131</v>
      </c>
      <c r="E2200" t="s">
        <v>7132</v>
      </c>
      <c r="F2200" t="s">
        <v>7133</v>
      </c>
      <c r="J2200" t="s">
        <v>7132</v>
      </c>
      <c r="K2200" t="s">
        <v>628</v>
      </c>
      <c r="L2200" t="s">
        <v>7134</v>
      </c>
    </row>
    <row r="2201" spans="1:12">
      <c r="A2201" t="s">
        <v>628</v>
      </c>
      <c r="B2201" t="s">
        <v>7129</v>
      </c>
      <c r="C2201" t="s">
        <v>7135</v>
      </c>
      <c r="D2201" t="s">
        <v>7131</v>
      </c>
      <c r="E2201" t="s">
        <v>7136</v>
      </c>
      <c r="F2201" t="s">
        <v>7137</v>
      </c>
    </row>
    <row r="2202" spans="1:12">
      <c r="A2202" t="s">
        <v>628</v>
      </c>
      <c r="B2202" t="s">
        <v>7129</v>
      </c>
      <c r="C2202" t="s">
        <v>7138</v>
      </c>
      <c r="D2202" t="s">
        <v>7131</v>
      </c>
      <c r="E2202" t="s">
        <v>7139</v>
      </c>
      <c r="F2202" t="s">
        <v>7140</v>
      </c>
      <c r="J2202" t="s">
        <v>7139</v>
      </c>
      <c r="K2202" t="s">
        <v>628</v>
      </c>
      <c r="L2202" t="s">
        <v>7134</v>
      </c>
    </row>
    <row r="2203" spans="1:12">
      <c r="A2203" t="s">
        <v>628</v>
      </c>
      <c r="B2203" t="s">
        <v>7129</v>
      </c>
      <c r="C2203" t="s">
        <v>7141</v>
      </c>
      <c r="D2203" t="s">
        <v>7131</v>
      </c>
      <c r="E2203" t="s">
        <v>7142</v>
      </c>
      <c r="F2203" t="s">
        <v>7143</v>
      </c>
    </row>
    <row r="2204" spans="1:12">
      <c r="A2204" t="s">
        <v>628</v>
      </c>
      <c r="B2204" t="s">
        <v>7129</v>
      </c>
      <c r="C2204" t="s">
        <v>7144</v>
      </c>
      <c r="D2204" t="s">
        <v>7131</v>
      </c>
      <c r="E2204" t="s">
        <v>7145</v>
      </c>
      <c r="F2204" t="s">
        <v>7146</v>
      </c>
      <c r="J2204" t="s">
        <v>7145</v>
      </c>
      <c r="K2204" t="s">
        <v>628</v>
      </c>
      <c r="L2204" t="s">
        <v>7134</v>
      </c>
    </row>
    <row r="2205" spans="1:12">
      <c r="A2205" t="s">
        <v>628</v>
      </c>
      <c r="B2205" t="s">
        <v>7129</v>
      </c>
      <c r="C2205" t="s">
        <v>7147</v>
      </c>
      <c r="D2205" t="s">
        <v>7131</v>
      </c>
      <c r="E2205" t="s">
        <v>7148</v>
      </c>
      <c r="F2205" t="s">
        <v>7149</v>
      </c>
      <c r="J2205" t="s">
        <v>7148</v>
      </c>
      <c r="K2205" t="s">
        <v>628</v>
      </c>
      <c r="L2205" t="s">
        <v>7134</v>
      </c>
    </row>
    <row r="2206" spans="1:12">
      <c r="A2206" t="s">
        <v>628</v>
      </c>
      <c r="B2206" t="s">
        <v>7129</v>
      </c>
      <c r="C2206" t="s">
        <v>7150</v>
      </c>
      <c r="D2206" t="s">
        <v>7131</v>
      </c>
      <c r="E2206" t="s">
        <v>4966</v>
      </c>
      <c r="F2206" t="s">
        <v>7151</v>
      </c>
      <c r="J2206" t="s">
        <v>4966</v>
      </c>
      <c r="K2206" t="s">
        <v>628</v>
      </c>
      <c r="L2206" t="s">
        <v>7134</v>
      </c>
    </row>
    <row r="2207" spans="1:12">
      <c r="A2207" t="s">
        <v>628</v>
      </c>
      <c r="B2207" t="s">
        <v>7129</v>
      </c>
      <c r="C2207" t="s">
        <v>7152</v>
      </c>
      <c r="D2207" t="s">
        <v>7131</v>
      </c>
      <c r="E2207" t="s">
        <v>7153</v>
      </c>
      <c r="F2207" t="s">
        <v>7154</v>
      </c>
    </row>
    <row r="2208" spans="1:12">
      <c r="A2208" t="s">
        <v>628</v>
      </c>
      <c r="B2208" t="s">
        <v>7129</v>
      </c>
      <c r="C2208" t="s">
        <v>7155</v>
      </c>
      <c r="D2208" t="s">
        <v>7131</v>
      </c>
      <c r="E2208" t="s">
        <v>7156</v>
      </c>
      <c r="F2208" t="s">
        <v>7157</v>
      </c>
      <c r="J2208" t="s">
        <v>7156</v>
      </c>
      <c r="K2208" t="s">
        <v>628</v>
      </c>
      <c r="L2208" t="s">
        <v>7134</v>
      </c>
    </row>
    <row r="2209" spans="1:12">
      <c r="A2209" t="s">
        <v>628</v>
      </c>
      <c r="B2209" t="s">
        <v>7129</v>
      </c>
      <c r="C2209" t="s">
        <v>7158</v>
      </c>
      <c r="D2209" t="s">
        <v>7131</v>
      </c>
      <c r="E2209" t="s">
        <v>7159</v>
      </c>
      <c r="F2209" t="s">
        <v>7160</v>
      </c>
      <c r="J2209" t="s">
        <v>7159</v>
      </c>
      <c r="K2209" t="s">
        <v>628</v>
      </c>
      <c r="L2209" t="s">
        <v>7134</v>
      </c>
    </row>
    <row r="2210" spans="1:12">
      <c r="A2210" t="s">
        <v>628</v>
      </c>
      <c r="B2210" t="s">
        <v>7129</v>
      </c>
      <c r="C2210" t="s">
        <v>7161</v>
      </c>
      <c r="D2210" t="s">
        <v>7131</v>
      </c>
      <c r="E2210" t="s">
        <v>7162</v>
      </c>
      <c r="F2210" t="s">
        <v>7163</v>
      </c>
      <c r="J2210" t="s">
        <v>7162</v>
      </c>
      <c r="K2210" t="s">
        <v>628</v>
      </c>
      <c r="L2210" t="s">
        <v>7134</v>
      </c>
    </row>
    <row r="2211" spans="1:12">
      <c r="A2211" t="s">
        <v>628</v>
      </c>
      <c r="B2211" t="s">
        <v>7129</v>
      </c>
      <c r="C2211" t="s">
        <v>7164</v>
      </c>
      <c r="D2211" t="s">
        <v>7131</v>
      </c>
      <c r="E2211" t="s">
        <v>7165</v>
      </c>
      <c r="F2211" t="s">
        <v>7166</v>
      </c>
    </row>
    <row r="2212" spans="1:12">
      <c r="A2212" t="s">
        <v>628</v>
      </c>
      <c r="B2212" t="s">
        <v>7129</v>
      </c>
      <c r="C2212" t="s">
        <v>7167</v>
      </c>
      <c r="D2212" t="s">
        <v>7131</v>
      </c>
      <c r="E2212" t="s">
        <v>7168</v>
      </c>
      <c r="F2212" t="s">
        <v>7169</v>
      </c>
      <c r="J2212" t="s">
        <v>7168</v>
      </c>
      <c r="K2212" t="s">
        <v>628</v>
      </c>
      <c r="L2212" t="s">
        <v>7134</v>
      </c>
    </row>
    <row r="2213" spans="1:12">
      <c r="A2213" t="s">
        <v>628</v>
      </c>
      <c r="B2213" t="s">
        <v>7129</v>
      </c>
      <c r="C2213" t="s">
        <v>7170</v>
      </c>
      <c r="D2213" t="s">
        <v>7131</v>
      </c>
      <c r="E2213" t="s">
        <v>7171</v>
      </c>
      <c r="F2213" t="s">
        <v>7172</v>
      </c>
    </row>
    <row r="2214" spans="1:12">
      <c r="A2214" t="s">
        <v>628</v>
      </c>
      <c r="B2214" t="s">
        <v>7129</v>
      </c>
      <c r="C2214" t="s">
        <v>7173</v>
      </c>
      <c r="D2214" t="s">
        <v>7131</v>
      </c>
      <c r="E2214" t="s">
        <v>7174</v>
      </c>
      <c r="F2214" t="s">
        <v>7175</v>
      </c>
      <c r="J2214" t="s">
        <v>7174</v>
      </c>
      <c r="K2214" t="s">
        <v>628</v>
      </c>
      <c r="L2214" t="s">
        <v>7134</v>
      </c>
    </row>
    <row r="2215" spans="1:12">
      <c r="A2215" t="s">
        <v>628</v>
      </c>
      <c r="B2215" t="s">
        <v>7129</v>
      </c>
      <c r="C2215" t="s">
        <v>7176</v>
      </c>
      <c r="D2215" t="s">
        <v>7131</v>
      </c>
      <c r="E2215" t="s">
        <v>7177</v>
      </c>
      <c r="F2215" t="s">
        <v>7178</v>
      </c>
    </row>
    <row r="2216" spans="1:12">
      <c r="A2216" t="s">
        <v>628</v>
      </c>
      <c r="B2216" t="s">
        <v>7129</v>
      </c>
      <c r="C2216" t="s">
        <v>7179</v>
      </c>
      <c r="D2216" t="s">
        <v>7131</v>
      </c>
      <c r="E2216" t="s">
        <v>7180</v>
      </c>
      <c r="F2216" t="s">
        <v>7181</v>
      </c>
    </row>
    <row r="2217" spans="1:12">
      <c r="A2217" t="s">
        <v>628</v>
      </c>
      <c r="B2217" t="s">
        <v>7129</v>
      </c>
      <c r="C2217" t="s">
        <v>7182</v>
      </c>
      <c r="D2217" t="s">
        <v>7131</v>
      </c>
      <c r="E2217" t="s">
        <v>7183</v>
      </c>
      <c r="F2217" t="s">
        <v>7181</v>
      </c>
      <c r="J2217" t="s">
        <v>7183</v>
      </c>
      <c r="K2217" t="s">
        <v>628</v>
      </c>
      <c r="L2217" t="s">
        <v>7134</v>
      </c>
    </row>
    <row r="2218" spans="1:12">
      <c r="A2218" t="s">
        <v>628</v>
      </c>
      <c r="B2218" t="s">
        <v>7129</v>
      </c>
      <c r="C2218" t="s">
        <v>7184</v>
      </c>
      <c r="D2218" t="s">
        <v>7131</v>
      </c>
      <c r="E2218" t="s">
        <v>7185</v>
      </c>
      <c r="F2218" t="s">
        <v>7186</v>
      </c>
      <c r="J2218" t="s">
        <v>7185</v>
      </c>
      <c r="K2218" t="s">
        <v>628</v>
      </c>
      <c r="L2218" t="s">
        <v>7134</v>
      </c>
    </row>
    <row r="2219" spans="1:12">
      <c r="A2219" t="s">
        <v>628</v>
      </c>
      <c r="B2219" t="s">
        <v>7129</v>
      </c>
      <c r="C2219" t="s">
        <v>7187</v>
      </c>
      <c r="D2219" t="s">
        <v>7131</v>
      </c>
      <c r="E2219" t="s">
        <v>7188</v>
      </c>
      <c r="F2219" t="s">
        <v>7189</v>
      </c>
    </row>
    <row r="2220" spans="1:12">
      <c r="A2220" t="s">
        <v>628</v>
      </c>
      <c r="B2220" t="s">
        <v>7129</v>
      </c>
      <c r="C2220" t="s">
        <v>7190</v>
      </c>
      <c r="D2220" t="s">
        <v>7131</v>
      </c>
      <c r="E2220" t="s">
        <v>7191</v>
      </c>
      <c r="F2220" t="s">
        <v>7192</v>
      </c>
      <c r="J2220" t="s">
        <v>7191</v>
      </c>
      <c r="K2220" t="s">
        <v>628</v>
      </c>
      <c r="L2220" t="s">
        <v>7134</v>
      </c>
    </row>
    <row r="2221" spans="1:12">
      <c r="A2221" t="s">
        <v>628</v>
      </c>
      <c r="B2221" t="s">
        <v>7129</v>
      </c>
      <c r="C2221" t="s">
        <v>7193</v>
      </c>
      <c r="D2221" t="s">
        <v>7131</v>
      </c>
      <c r="E2221" t="s">
        <v>1851</v>
      </c>
      <c r="F2221" t="s">
        <v>7194</v>
      </c>
    </row>
    <row r="2222" spans="1:12">
      <c r="A2222" t="s">
        <v>628</v>
      </c>
      <c r="B2222" t="s">
        <v>7129</v>
      </c>
      <c r="C2222" t="s">
        <v>7195</v>
      </c>
      <c r="D2222" t="s">
        <v>7131</v>
      </c>
      <c r="E2222" t="s">
        <v>7196</v>
      </c>
      <c r="F2222" t="s">
        <v>7197</v>
      </c>
      <c r="J2222" t="s">
        <v>7196</v>
      </c>
      <c r="K2222" t="s">
        <v>628</v>
      </c>
      <c r="L2222" t="s">
        <v>7134</v>
      </c>
    </row>
    <row r="2223" spans="1:12">
      <c r="A2223" t="s">
        <v>628</v>
      </c>
      <c r="B2223" t="s">
        <v>7129</v>
      </c>
      <c r="C2223" t="s">
        <v>7198</v>
      </c>
      <c r="D2223" t="s">
        <v>7131</v>
      </c>
      <c r="E2223" t="s">
        <v>7199</v>
      </c>
      <c r="F2223" t="s">
        <v>7200</v>
      </c>
    </row>
    <row r="2224" spans="1:12">
      <c r="A2224" t="s">
        <v>628</v>
      </c>
      <c r="B2224" t="s">
        <v>7129</v>
      </c>
      <c r="C2224" t="s">
        <v>7201</v>
      </c>
      <c r="D2224" t="s">
        <v>7131</v>
      </c>
      <c r="E2224" t="s">
        <v>7202</v>
      </c>
      <c r="F2224" t="s">
        <v>7203</v>
      </c>
    </row>
    <row r="2225" spans="1:12">
      <c r="A2225" t="s">
        <v>628</v>
      </c>
      <c r="B2225" t="s">
        <v>7129</v>
      </c>
      <c r="C2225" t="s">
        <v>7204</v>
      </c>
      <c r="D2225" t="s">
        <v>7131</v>
      </c>
      <c r="F2225" t="s">
        <v>7205</v>
      </c>
    </row>
    <row r="2226" spans="1:12">
      <c r="A2226" t="s">
        <v>628</v>
      </c>
      <c r="B2226" t="s">
        <v>7129</v>
      </c>
      <c r="C2226" t="s">
        <v>7206</v>
      </c>
      <c r="D2226" t="s">
        <v>7131</v>
      </c>
      <c r="E2226" t="s">
        <v>7207</v>
      </c>
      <c r="F2226" t="s">
        <v>7208</v>
      </c>
    </row>
    <row r="2227" spans="1:12">
      <c r="A2227" t="s">
        <v>628</v>
      </c>
      <c r="B2227" t="s">
        <v>7129</v>
      </c>
      <c r="C2227" t="s">
        <v>7209</v>
      </c>
      <c r="D2227" t="s">
        <v>7131</v>
      </c>
      <c r="E2227" t="s">
        <v>7210</v>
      </c>
      <c r="F2227" t="s">
        <v>7211</v>
      </c>
      <c r="J2227" t="s">
        <v>7210</v>
      </c>
      <c r="K2227" t="s">
        <v>628</v>
      </c>
      <c r="L2227" t="s">
        <v>7134</v>
      </c>
    </row>
    <row r="2228" spans="1:12">
      <c r="A2228" t="s">
        <v>628</v>
      </c>
      <c r="B2228" t="s">
        <v>7129</v>
      </c>
      <c r="C2228" t="s">
        <v>7212</v>
      </c>
      <c r="D2228" t="s">
        <v>7131</v>
      </c>
      <c r="E2228" t="s">
        <v>7213</v>
      </c>
      <c r="F2228" t="s">
        <v>7214</v>
      </c>
    </row>
    <row r="2229" spans="1:12">
      <c r="A2229" t="s">
        <v>628</v>
      </c>
      <c r="B2229" t="s">
        <v>7129</v>
      </c>
      <c r="C2229" t="s">
        <v>7215</v>
      </c>
      <c r="D2229" t="s">
        <v>7131</v>
      </c>
      <c r="E2229" t="s">
        <v>7216</v>
      </c>
      <c r="F2229" t="s">
        <v>7217</v>
      </c>
    </row>
    <row r="2230" spans="1:12">
      <c r="A2230" t="s">
        <v>628</v>
      </c>
      <c r="B2230" t="s">
        <v>7129</v>
      </c>
      <c r="C2230" t="s">
        <v>7218</v>
      </c>
      <c r="D2230" t="s">
        <v>7131</v>
      </c>
      <c r="E2230" t="s">
        <v>7219</v>
      </c>
      <c r="F2230" t="s">
        <v>7220</v>
      </c>
      <c r="J2230" t="s">
        <v>7219</v>
      </c>
      <c r="K2230" t="s">
        <v>628</v>
      </c>
      <c r="L2230" t="s">
        <v>7134</v>
      </c>
    </row>
    <row r="2231" spans="1:12">
      <c r="A2231" t="s">
        <v>628</v>
      </c>
      <c r="B2231" t="s">
        <v>7129</v>
      </c>
      <c r="C2231" t="s">
        <v>7221</v>
      </c>
      <c r="D2231" t="s">
        <v>7131</v>
      </c>
      <c r="E2231" t="s">
        <v>1992</v>
      </c>
      <c r="F2231" t="s">
        <v>7222</v>
      </c>
    </row>
    <row r="2232" spans="1:12">
      <c r="A2232" t="s">
        <v>628</v>
      </c>
      <c r="B2232" t="s">
        <v>7129</v>
      </c>
      <c r="C2232" t="s">
        <v>7223</v>
      </c>
      <c r="D2232" t="s">
        <v>7131</v>
      </c>
      <c r="E2232" t="s">
        <v>7224</v>
      </c>
      <c r="F2232" t="s">
        <v>7225</v>
      </c>
      <c r="J2232" t="s">
        <v>7224</v>
      </c>
      <c r="K2232" t="s">
        <v>628</v>
      </c>
      <c r="L2232" t="s">
        <v>7134</v>
      </c>
    </row>
    <row r="2233" spans="1:12">
      <c r="A2233" t="s">
        <v>628</v>
      </c>
      <c r="B2233" t="s">
        <v>7129</v>
      </c>
      <c r="C2233" t="s">
        <v>7226</v>
      </c>
      <c r="D2233" t="s">
        <v>7131</v>
      </c>
      <c r="E2233" t="s">
        <v>2013</v>
      </c>
      <c r="F2233" t="s">
        <v>7227</v>
      </c>
    </row>
    <row r="2234" spans="1:12">
      <c r="A2234" t="s">
        <v>628</v>
      </c>
      <c r="B2234" t="s">
        <v>7129</v>
      </c>
      <c r="C2234" t="s">
        <v>7228</v>
      </c>
      <c r="D2234" t="s">
        <v>7131</v>
      </c>
      <c r="E2234" t="s">
        <v>7229</v>
      </c>
      <c r="F2234" t="s">
        <v>7230</v>
      </c>
      <c r="J2234" t="s">
        <v>7229</v>
      </c>
      <c r="K2234" t="s">
        <v>628</v>
      </c>
      <c r="L2234" t="s">
        <v>7134</v>
      </c>
    </row>
    <row r="2235" spans="1:12">
      <c r="A2235" t="s">
        <v>628</v>
      </c>
      <c r="B2235" t="s">
        <v>7129</v>
      </c>
      <c r="C2235" t="s">
        <v>7231</v>
      </c>
      <c r="D2235" t="s">
        <v>7131</v>
      </c>
      <c r="E2235" t="s">
        <v>7232</v>
      </c>
      <c r="F2235" t="s">
        <v>7233</v>
      </c>
      <c r="J2235" t="s">
        <v>7232</v>
      </c>
      <c r="K2235" t="s">
        <v>628</v>
      </c>
      <c r="L2235" t="s">
        <v>7134</v>
      </c>
    </row>
    <row r="2236" spans="1:12">
      <c r="A2236" t="s">
        <v>628</v>
      </c>
      <c r="B2236" t="s">
        <v>7129</v>
      </c>
      <c r="C2236" t="s">
        <v>7234</v>
      </c>
      <c r="D2236" t="s">
        <v>7131</v>
      </c>
      <c r="E2236" t="s">
        <v>7235</v>
      </c>
      <c r="F2236" t="s">
        <v>7236</v>
      </c>
      <c r="J2236" t="s">
        <v>7235</v>
      </c>
      <c r="K2236" t="s">
        <v>628</v>
      </c>
      <c r="L2236" t="s">
        <v>7134</v>
      </c>
    </row>
    <row r="2237" spans="1:12">
      <c r="A2237" t="s">
        <v>628</v>
      </c>
      <c r="B2237" t="s">
        <v>7129</v>
      </c>
      <c r="C2237" t="s">
        <v>7237</v>
      </c>
      <c r="D2237" t="s">
        <v>7131</v>
      </c>
      <c r="E2237" t="s">
        <v>7238</v>
      </c>
      <c r="F2237" t="s">
        <v>7239</v>
      </c>
      <c r="J2237" t="s">
        <v>7238</v>
      </c>
      <c r="K2237" t="s">
        <v>628</v>
      </c>
      <c r="L2237" t="s">
        <v>7134</v>
      </c>
    </row>
    <row r="2238" spans="1:12">
      <c r="A2238" t="s">
        <v>628</v>
      </c>
      <c r="B2238" t="s">
        <v>7129</v>
      </c>
      <c r="C2238" t="s">
        <v>7240</v>
      </c>
      <c r="D2238" t="s">
        <v>7131</v>
      </c>
      <c r="E2238" t="s">
        <v>7241</v>
      </c>
      <c r="F2238" t="s">
        <v>7242</v>
      </c>
      <c r="J2238" t="s">
        <v>7241</v>
      </c>
      <c r="K2238" t="s">
        <v>628</v>
      </c>
      <c r="L2238" t="s">
        <v>7134</v>
      </c>
    </row>
    <row r="2239" spans="1:12">
      <c r="A2239" t="s">
        <v>628</v>
      </c>
      <c r="B2239" t="s">
        <v>7129</v>
      </c>
      <c r="C2239" t="s">
        <v>7243</v>
      </c>
      <c r="D2239" t="s">
        <v>7131</v>
      </c>
      <c r="E2239" t="s">
        <v>7244</v>
      </c>
      <c r="F2239" t="s">
        <v>7245</v>
      </c>
      <c r="J2239" t="s">
        <v>7244</v>
      </c>
      <c r="K2239" t="s">
        <v>628</v>
      </c>
      <c r="L2239" t="s">
        <v>7134</v>
      </c>
    </row>
    <row r="2240" spans="1:12">
      <c r="A2240" t="s">
        <v>628</v>
      </c>
      <c r="B2240" t="s">
        <v>7129</v>
      </c>
      <c r="C2240" t="s">
        <v>7246</v>
      </c>
      <c r="D2240" t="s">
        <v>7131</v>
      </c>
      <c r="E2240" t="s">
        <v>7247</v>
      </c>
      <c r="F2240" t="s">
        <v>7248</v>
      </c>
    </row>
    <row r="2241" spans="1:12">
      <c r="A2241" t="s">
        <v>628</v>
      </c>
      <c r="B2241" t="s">
        <v>7129</v>
      </c>
      <c r="C2241" t="s">
        <v>7249</v>
      </c>
      <c r="D2241" t="s">
        <v>7131</v>
      </c>
      <c r="E2241" t="s">
        <v>7250</v>
      </c>
      <c r="F2241" t="s">
        <v>7251</v>
      </c>
    </row>
    <row r="2242" spans="1:12">
      <c r="A2242" t="s">
        <v>628</v>
      </c>
      <c r="B2242" t="s">
        <v>7129</v>
      </c>
      <c r="C2242" t="s">
        <v>7252</v>
      </c>
      <c r="D2242" t="s">
        <v>7131</v>
      </c>
      <c r="E2242" t="s">
        <v>7253</v>
      </c>
      <c r="F2242" t="s">
        <v>7254</v>
      </c>
      <c r="J2242" t="s">
        <v>7253</v>
      </c>
      <c r="K2242" t="s">
        <v>628</v>
      </c>
      <c r="L2242" t="s">
        <v>7134</v>
      </c>
    </row>
    <row r="2243" spans="1:12">
      <c r="A2243" t="s">
        <v>628</v>
      </c>
      <c r="B2243" t="s">
        <v>7129</v>
      </c>
      <c r="C2243" t="s">
        <v>7255</v>
      </c>
      <c r="D2243" t="s">
        <v>7131</v>
      </c>
      <c r="E2243" t="s">
        <v>7256</v>
      </c>
      <c r="F2243" t="s">
        <v>7257</v>
      </c>
      <c r="J2243" t="s">
        <v>7256</v>
      </c>
      <c r="K2243" t="s">
        <v>628</v>
      </c>
      <c r="L2243" t="s">
        <v>7134</v>
      </c>
    </row>
    <row r="2244" spans="1:12">
      <c r="A2244" t="s">
        <v>628</v>
      </c>
      <c r="B2244" t="s">
        <v>7129</v>
      </c>
      <c r="C2244" t="s">
        <v>7258</v>
      </c>
      <c r="D2244" t="s">
        <v>7131</v>
      </c>
      <c r="E2244" t="s">
        <v>7259</v>
      </c>
      <c r="F2244" t="s">
        <v>7260</v>
      </c>
    </row>
    <row r="2245" spans="1:12">
      <c r="A2245" t="s">
        <v>628</v>
      </c>
      <c r="B2245" t="s">
        <v>7129</v>
      </c>
      <c r="C2245" t="s">
        <v>7261</v>
      </c>
      <c r="D2245" t="s">
        <v>7131</v>
      </c>
      <c r="E2245" t="s">
        <v>7262</v>
      </c>
      <c r="F2245" t="s">
        <v>7263</v>
      </c>
    </row>
    <row r="2246" spans="1:12">
      <c r="A2246" t="s">
        <v>628</v>
      </c>
      <c r="B2246" t="s">
        <v>7129</v>
      </c>
      <c r="C2246" t="s">
        <v>7264</v>
      </c>
      <c r="D2246" t="s">
        <v>7131</v>
      </c>
      <c r="E2246" t="s">
        <v>7265</v>
      </c>
      <c r="F2246" t="s">
        <v>7266</v>
      </c>
      <c r="J2246" t="s">
        <v>7265</v>
      </c>
      <c r="K2246" t="s">
        <v>628</v>
      </c>
      <c r="L2246" t="s">
        <v>7134</v>
      </c>
    </row>
    <row r="2247" spans="1:12">
      <c r="A2247" t="s">
        <v>628</v>
      </c>
      <c r="B2247" t="s">
        <v>7129</v>
      </c>
      <c r="C2247" t="s">
        <v>7267</v>
      </c>
      <c r="D2247" t="s">
        <v>7131</v>
      </c>
      <c r="E2247" t="s">
        <v>7268</v>
      </c>
      <c r="F2247" t="s">
        <v>7269</v>
      </c>
      <c r="J2247" t="s">
        <v>7268</v>
      </c>
      <c r="K2247" t="s">
        <v>628</v>
      </c>
      <c r="L2247" t="s">
        <v>7134</v>
      </c>
    </row>
    <row r="2248" spans="1:12">
      <c r="A2248" t="s">
        <v>628</v>
      </c>
      <c r="B2248" t="s">
        <v>7129</v>
      </c>
      <c r="C2248" t="s">
        <v>7270</v>
      </c>
      <c r="D2248" t="s">
        <v>7131</v>
      </c>
      <c r="E2248" t="s">
        <v>7271</v>
      </c>
      <c r="F2248" t="s">
        <v>7272</v>
      </c>
    </row>
    <row r="2249" spans="1:12">
      <c r="A2249" t="s">
        <v>628</v>
      </c>
      <c r="B2249" t="s">
        <v>7129</v>
      </c>
      <c r="C2249" t="s">
        <v>7273</v>
      </c>
      <c r="D2249" t="s">
        <v>7131</v>
      </c>
      <c r="E2249" t="s">
        <v>7274</v>
      </c>
      <c r="F2249" t="s">
        <v>7275</v>
      </c>
      <c r="J2249" t="s">
        <v>7274</v>
      </c>
      <c r="K2249" t="s">
        <v>628</v>
      </c>
      <c r="L2249" t="s">
        <v>7134</v>
      </c>
    </row>
    <row r="2250" spans="1:12">
      <c r="A2250" t="s">
        <v>628</v>
      </c>
      <c r="B2250" t="s">
        <v>7129</v>
      </c>
      <c r="C2250" t="s">
        <v>7276</v>
      </c>
      <c r="D2250" t="s">
        <v>7131</v>
      </c>
      <c r="E2250" t="s">
        <v>7277</v>
      </c>
      <c r="F2250" t="s">
        <v>7278</v>
      </c>
    </row>
    <row r="2251" spans="1:12">
      <c r="A2251" t="s">
        <v>628</v>
      </c>
      <c r="B2251" t="s">
        <v>7129</v>
      </c>
      <c r="C2251" t="s">
        <v>7279</v>
      </c>
      <c r="D2251" t="s">
        <v>7131</v>
      </c>
      <c r="E2251" t="s">
        <v>7280</v>
      </c>
      <c r="F2251" t="s">
        <v>7281</v>
      </c>
      <c r="J2251" t="s">
        <v>7280</v>
      </c>
      <c r="K2251" t="s">
        <v>628</v>
      </c>
      <c r="L2251" t="s">
        <v>7134</v>
      </c>
    </row>
    <row r="2252" spans="1:12">
      <c r="A2252" t="s">
        <v>628</v>
      </c>
      <c r="B2252" t="s">
        <v>7129</v>
      </c>
      <c r="C2252" t="s">
        <v>7282</v>
      </c>
      <c r="D2252" t="s">
        <v>7131</v>
      </c>
      <c r="E2252" t="s">
        <v>7283</v>
      </c>
      <c r="F2252" t="s">
        <v>7284</v>
      </c>
    </row>
    <row r="2253" spans="1:12">
      <c r="A2253" t="s">
        <v>628</v>
      </c>
      <c r="B2253" t="s">
        <v>7129</v>
      </c>
      <c r="C2253" t="s">
        <v>7285</v>
      </c>
      <c r="D2253" t="s">
        <v>7131</v>
      </c>
      <c r="E2253" t="s">
        <v>7286</v>
      </c>
      <c r="F2253" t="s">
        <v>7287</v>
      </c>
      <c r="J2253" t="s">
        <v>7286</v>
      </c>
      <c r="K2253" t="s">
        <v>628</v>
      </c>
      <c r="L2253" t="s">
        <v>7134</v>
      </c>
    </row>
    <row r="2254" spans="1:12">
      <c r="A2254" t="s">
        <v>628</v>
      </c>
      <c r="B2254" t="s">
        <v>7129</v>
      </c>
      <c r="C2254" t="s">
        <v>7288</v>
      </c>
      <c r="D2254" t="s">
        <v>7131</v>
      </c>
      <c r="E2254" t="s">
        <v>7289</v>
      </c>
      <c r="F2254" t="s">
        <v>7290</v>
      </c>
    </row>
    <row r="2255" spans="1:12">
      <c r="A2255" t="s">
        <v>628</v>
      </c>
      <c r="B2255" t="s">
        <v>7129</v>
      </c>
      <c r="C2255" t="s">
        <v>7291</v>
      </c>
      <c r="D2255" t="s">
        <v>7131</v>
      </c>
      <c r="E2255" t="s">
        <v>7292</v>
      </c>
      <c r="F2255" t="s">
        <v>7293</v>
      </c>
    </row>
    <row r="2256" spans="1:12">
      <c r="A2256" t="s">
        <v>628</v>
      </c>
      <c r="B2256" t="s">
        <v>7129</v>
      </c>
      <c r="C2256" t="s">
        <v>7294</v>
      </c>
      <c r="D2256" t="s">
        <v>7131</v>
      </c>
      <c r="E2256" t="s">
        <v>7295</v>
      </c>
      <c r="F2256" t="s">
        <v>7296</v>
      </c>
      <c r="J2256" t="s">
        <v>7295</v>
      </c>
      <c r="K2256" t="s">
        <v>628</v>
      </c>
      <c r="L2256" t="s">
        <v>7134</v>
      </c>
    </row>
    <row r="2257" spans="1:12">
      <c r="A2257" t="s">
        <v>628</v>
      </c>
      <c r="B2257" t="s">
        <v>7129</v>
      </c>
      <c r="C2257" t="s">
        <v>7297</v>
      </c>
      <c r="D2257" t="s">
        <v>7131</v>
      </c>
      <c r="E2257" t="s">
        <v>7298</v>
      </c>
      <c r="F2257" t="s">
        <v>7299</v>
      </c>
      <c r="J2257" t="s">
        <v>7298</v>
      </c>
      <c r="K2257" t="s">
        <v>628</v>
      </c>
      <c r="L2257" t="s">
        <v>7134</v>
      </c>
    </row>
    <row r="2258" spans="1:12">
      <c r="A2258" t="s">
        <v>628</v>
      </c>
      <c r="B2258" t="s">
        <v>7129</v>
      </c>
      <c r="C2258" t="s">
        <v>7300</v>
      </c>
      <c r="D2258" t="s">
        <v>7131</v>
      </c>
      <c r="E2258" t="s">
        <v>7301</v>
      </c>
      <c r="F2258" t="s">
        <v>7302</v>
      </c>
      <c r="J2258" t="s">
        <v>7301</v>
      </c>
      <c r="K2258" t="s">
        <v>628</v>
      </c>
      <c r="L2258" t="s">
        <v>7134</v>
      </c>
    </row>
    <row r="2259" spans="1:12">
      <c r="A2259" t="s">
        <v>628</v>
      </c>
      <c r="B2259" t="s">
        <v>7129</v>
      </c>
      <c r="C2259" t="s">
        <v>7303</v>
      </c>
      <c r="D2259" t="s">
        <v>7131</v>
      </c>
      <c r="E2259" t="s">
        <v>7304</v>
      </c>
      <c r="F2259" t="s">
        <v>7305</v>
      </c>
      <c r="J2259" t="s">
        <v>7304</v>
      </c>
      <c r="K2259" t="s">
        <v>628</v>
      </c>
      <c r="L2259" t="s">
        <v>7134</v>
      </c>
    </row>
    <row r="2260" spans="1:12">
      <c r="A2260" t="s">
        <v>628</v>
      </c>
      <c r="B2260" t="s">
        <v>7129</v>
      </c>
      <c r="C2260" t="s">
        <v>7306</v>
      </c>
      <c r="D2260" t="s">
        <v>7131</v>
      </c>
      <c r="E2260" t="s">
        <v>7307</v>
      </c>
      <c r="F2260" t="s">
        <v>7308</v>
      </c>
      <c r="J2260" t="s">
        <v>7307</v>
      </c>
      <c r="K2260" t="s">
        <v>628</v>
      </c>
      <c r="L2260" t="s">
        <v>7134</v>
      </c>
    </row>
    <row r="2261" spans="1:12">
      <c r="A2261" t="s">
        <v>628</v>
      </c>
      <c r="B2261" t="s">
        <v>7129</v>
      </c>
      <c r="C2261" t="s">
        <v>7309</v>
      </c>
      <c r="D2261" t="s">
        <v>7131</v>
      </c>
      <c r="E2261" t="s">
        <v>5075</v>
      </c>
      <c r="F2261" t="s">
        <v>7310</v>
      </c>
      <c r="J2261" t="s">
        <v>5075</v>
      </c>
      <c r="K2261" t="s">
        <v>628</v>
      </c>
      <c r="L2261" t="s">
        <v>7134</v>
      </c>
    </row>
    <row r="2262" spans="1:12">
      <c r="A2262" t="s">
        <v>628</v>
      </c>
      <c r="B2262" t="s">
        <v>7129</v>
      </c>
      <c r="C2262" t="s">
        <v>7311</v>
      </c>
      <c r="D2262" t="s">
        <v>7131</v>
      </c>
      <c r="E2262" t="s">
        <v>7312</v>
      </c>
      <c r="F2262" t="s">
        <v>7313</v>
      </c>
      <c r="J2262" t="s">
        <v>7312</v>
      </c>
      <c r="K2262" t="s">
        <v>628</v>
      </c>
      <c r="L2262" t="s">
        <v>7134</v>
      </c>
    </row>
    <row r="2263" spans="1:12">
      <c r="A2263" t="s">
        <v>628</v>
      </c>
      <c r="B2263" t="s">
        <v>7129</v>
      </c>
      <c r="C2263" t="s">
        <v>7314</v>
      </c>
      <c r="D2263" t="s">
        <v>7131</v>
      </c>
      <c r="E2263" t="s">
        <v>7315</v>
      </c>
      <c r="F2263" t="s">
        <v>7316</v>
      </c>
    </row>
    <row r="2264" spans="1:12">
      <c r="A2264" t="s">
        <v>628</v>
      </c>
      <c r="B2264" t="s">
        <v>7129</v>
      </c>
      <c r="C2264" t="s">
        <v>7317</v>
      </c>
      <c r="D2264" t="s">
        <v>7131</v>
      </c>
      <c r="E2264" t="s">
        <v>7318</v>
      </c>
      <c r="F2264" t="s">
        <v>7319</v>
      </c>
    </row>
    <row r="2265" spans="1:12">
      <c r="A2265" t="s">
        <v>628</v>
      </c>
      <c r="B2265" t="s">
        <v>7129</v>
      </c>
      <c r="C2265" t="s">
        <v>7320</v>
      </c>
      <c r="D2265" t="s">
        <v>7131</v>
      </c>
      <c r="E2265" t="s">
        <v>7321</v>
      </c>
      <c r="F2265" t="s">
        <v>7322</v>
      </c>
    </row>
    <row r="2266" spans="1:12">
      <c r="A2266" t="s">
        <v>628</v>
      </c>
      <c r="B2266" t="s">
        <v>7129</v>
      </c>
      <c r="C2266" t="s">
        <v>7323</v>
      </c>
      <c r="D2266" t="s">
        <v>7131</v>
      </c>
      <c r="E2266" t="s">
        <v>7324</v>
      </c>
      <c r="F2266" t="s">
        <v>7325</v>
      </c>
      <c r="J2266" t="s">
        <v>7324</v>
      </c>
      <c r="K2266" t="s">
        <v>628</v>
      </c>
      <c r="L2266" t="s">
        <v>7134</v>
      </c>
    </row>
    <row r="2267" spans="1:12">
      <c r="A2267" t="s">
        <v>628</v>
      </c>
      <c r="B2267" t="s">
        <v>7129</v>
      </c>
      <c r="C2267" t="s">
        <v>7326</v>
      </c>
      <c r="D2267" t="s">
        <v>7131</v>
      </c>
      <c r="E2267" t="s">
        <v>7327</v>
      </c>
      <c r="F2267" t="s">
        <v>7328</v>
      </c>
      <c r="J2267" t="s">
        <v>7327</v>
      </c>
      <c r="K2267" t="s">
        <v>628</v>
      </c>
      <c r="L2267" t="s">
        <v>7134</v>
      </c>
    </row>
    <row r="2268" spans="1:12">
      <c r="A2268" t="s">
        <v>628</v>
      </c>
      <c r="B2268" t="s">
        <v>7129</v>
      </c>
      <c r="C2268" t="s">
        <v>7329</v>
      </c>
      <c r="D2268" t="s">
        <v>7131</v>
      </c>
      <c r="E2268" t="s">
        <v>7330</v>
      </c>
      <c r="F2268" t="s">
        <v>7331</v>
      </c>
      <c r="J2268" t="s">
        <v>7330</v>
      </c>
      <c r="K2268" t="s">
        <v>628</v>
      </c>
      <c r="L2268" t="s">
        <v>7134</v>
      </c>
    </row>
    <row r="2269" spans="1:12">
      <c r="A2269" t="s">
        <v>628</v>
      </c>
      <c r="B2269" t="s">
        <v>7129</v>
      </c>
      <c r="C2269" t="s">
        <v>7332</v>
      </c>
      <c r="D2269" t="s">
        <v>7131</v>
      </c>
      <c r="E2269" t="s">
        <v>7333</v>
      </c>
      <c r="F2269" t="s">
        <v>7334</v>
      </c>
      <c r="J2269" t="s">
        <v>7333</v>
      </c>
      <c r="K2269" t="s">
        <v>628</v>
      </c>
      <c r="L2269" t="s">
        <v>7134</v>
      </c>
    </row>
    <row r="2270" spans="1:12">
      <c r="A2270" t="s">
        <v>628</v>
      </c>
      <c r="B2270" t="s">
        <v>7129</v>
      </c>
      <c r="C2270" t="s">
        <v>7335</v>
      </c>
      <c r="D2270" t="s">
        <v>7131</v>
      </c>
      <c r="E2270" t="s">
        <v>7336</v>
      </c>
      <c r="F2270" t="s">
        <v>7337</v>
      </c>
    </row>
    <row r="2271" spans="1:12">
      <c r="A2271" t="s">
        <v>628</v>
      </c>
      <c r="B2271" t="s">
        <v>7129</v>
      </c>
      <c r="C2271" t="s">
        <v>7338</v>
      </c>
      <c r="D2271" t="s">
        <v>7131</v>
      </c>
      <c r="E2271" t="s">
        <v>7339</v>
      </c>
      <c r="F2271" t="s">
        <v>7340</v>
      </c>
    </row>
    <row r="2272" spans="1:12">
      <c r="A2272" t="s">
        <v>628</v>
      </c>
      <c r="B2272" t="s">
        <v>7129</v>
      </c>
      <c r="C2272" t="s">
        <v>7341</v>
      </c>
      <c r="D2272" t="s">
        <v>7131</v>
      </c>
      <c r="E2272" t="s">
        <v>7342</v>
      </c>
      <c r="F2272" t="s">
        <v>7343</v>
      </c>
      <c r="J2272" t="s">
        <v>7342</v>
      </c>
      <c r="K2272" t="s">
        <v>628</v>
      </c>
      <c r="L2272" t="s">
        <v>7134</v>
      </c>
    </row>
    <row r="2273" spans="1:12">
      <c r="A2273" t="s">
        <v>628</v>
      </c>
      <c r="B2273" t="s">
        <v>7129</v>
      </c>
      <c r="C2273" t="s">
        <v>7344</v>
      </c>
      <c r="D2273" t="s">
        <v>7131</v>
      </c>
      <c r="E2273" t="s">
        <v>7345</v>
      </c>
      <c r="F2273" t="s">
        <v>7346</v>
      </c>
    </row>
    <row r="2274" spans="1:12">
      <c r="A2274" t="s">
        <v>628</v>
      </c>
      <c r="B2274" t="s">
        <v>7129</v>
      </c>
      <c r="C2274" t="s">
        <v>7347</v>
      </c>
      <c r="D2274" t="s">
        <v>7131</v>
      </c>
      <c r="E2274" t="s">
        <v>7348</v>
      </c>
      <c r="F2274" t="s">
        <v>7349</v>
      </c>
    </row>
    <row r="2275" spans="1:12">
      <c r="A2275" t="s">
        <v>628</v>
      </c>
      <c r="B2275" t="s">
        <v>7129</v>
      </c>
      <c r="C2275" t="s">
        <v>7350</v>
      </c>
      <c r="D2275" t="s">
        <v>7131</v>
      </c>
      <c r="E2275" t="s">
        <v>7351</v>
      </c>
      <c r="F2275" t="s">
        <v>7352</v>
      </c>
    </row>
    <row r="2276" spans="1:12">
      <c r="A2276" t="s">
        <v>628</v>
      </c>
      <c r="B2276" t="s">
        <v>7129</v>
      </c>
      <c r="C2276" t="s">
        <v>7353</v>
      </c>
      <c r="D2276" t="s">
        <v>7131</v>
      </c>
      <c r="E2276" t="s">
        <v>7354</v>
      </c>
      <c r="F2276" t="s">
        <v>7355</v>
      </c>
      <c r="J2276" t="s">
        <v>7354</v>
      </c>
      <c r="K2276" t="s">
        <v>628</v>
      </c>
      <c r="L2276" t="s">
        <v>7134</v>
      </c>
    </row>
    <row r="2277" spans="1:12">
      <c r="A2277" t="s">
        <v>628</v>
      </c>
      <c r="B2277" t="s">
        <v>7129</v>
      </c>
      <c r="C2277" t="s">
        <v>7356</v>
      </c>
      <c r="D2277" t="s">
        <v>7131</v>
      </c>
      <c r="E2277" t="s">
        <v>7357</v>
      </c>
      <c r="F2277" t="s">
        <v>7358</v>
      </c>
      <c r="J2277" t="s">
        <v>7357</v>
      </c>
      <c r="K2277" t="s">
        <v>628</v>
      </c>
      <c r="L2277" t="s">
        <v>7134</v>
      </c>
    </row>
    <row r="2278" spans="1:12">
      <c r="A2278" t="s">
        <v>628</v>
      </c>
      <c r="B2278" t="s">
        <v>7129</v>
      </c>
      <c r="C2278" t="s">
        <v>7359</v>
      </c>
      <c r="D2278" t="s">
        <v>7131</v>
      </c>
      <c r="E2278" t="s">
        <v>7360</v>
      </c>
      <c r="F2278" t="s">
        <v>7361</v>
      </c>
      <c r="J2278" t="s">
        <v>7360</v>
      </c>
      <c r="K2278" t="s">
        <v>628</v>
      </c>
      <c r="L2278" t="s">
        <v>7134</v>
      </c>
    </row>
    <row r="2279" spans="1:12">
      <c r="A2279" t="s">
        <v>628</v>
      </c>
      <c r="B2279" t="s">
        <v>7129</v>
      </c>
      <c r="C2279" t="s">
        <v>7362</v>
      </c>
      <c r="D2279" t="s">
        <v>7131</v>
      </c>
      <c r="E2279" t="s">
        <v>7363</v>
      </c>
      <c r="F2279" t="s">
        <v>7364</v>
      </c>
      <c r="J2279" t="s">
        <v>7363</v>
      </c>
      <c r="K2279" t="s">
        <v>628</v>
      </c>
      <c r="L2279" t="s">
        <v>7134</v>
      </c>
    </row>
    <row r="2280" spans="1:12">
      <c r="A2280" t="s">
        <v>628</v>
      </c>
      <c r="B2280" t="s">
        <v>7129</v>
      </c>
      <c r="C2280" t="s">
        <v>7365</v>
      </c>
      <c r="D2280" t="s">
        <v>7131</v>
      </c>
      <c r="E2280" t="s">
        <v>7366</v>
      </c>
      <c r="F2280" t="s">
        <v>7367</v>
      </c>
      <c r="J2280" t="s">
        <v>7366</v>
      </c>
      <c r="K2280" t="s">
        <v>628</v>
      </c>
      <c r="L2280" t="s">
        <v>7134</v>
      </c>
    </row>
    <row r="2281" spans="1:12">
      <c r="A2281" t="s">
        <v>628</v>
      </c>
      <c r="B2281" t="s">
        <v>7129</v>
      </c>
      <c r="C2281" t="s">
        <v>7368</v>
      </c>
      <c r="D2281" t="s">
        <v>7131</v>
      </c>
      <c r="E2281" t="s">
        <v>2634</v>
      </c>
      <c r="F2281" t="s">
        <v>7369</v>
      </c>
    </row>
    <row r="2282" spans="1:12">
      <c r="A2282" t="s">
        <v>628</v>
      </c>
      <c r="B2282" t="s">
        <v>7129</v>
      </c>
      <c r="C2282" t="s">
        <v>7370</v>
      </c>
      <c r="D2282" t="s">
        <v>7131</v>
      </c>
      <c r="E2282" t="s">
        <v>7371</v>
      </c>
      <c r="F2282" t="s">
        <v>7372</v>
      </c>
      <c r="J2282" t="s">
        <v>7371</v>
      </c>
      <c r="K2282" t="s">
        <v>628</v>
      </c>
      <c r="L2282" t="s">
        <v>7134</v>
      </c>
    </row>
    <row r="2283" spans="1:12">
      <c r="A2283" t="s">
        <v>628</v>
      </c>
      <c r="B2283" t="s">
        <v>7129</v>
      </c>
      <c r="C2283" t="s">
        <v>7373</v>
      </c>
      <c r="D2283" t="s">
        <v>7131</v>
      </c>
      <c r="E2283" t="s">
        <v>7374</v>
      </c>
      <c r="F2283" t="s">
        <v>7375</v>
      </c>
      <c r="J2283" t="s">
        <v>7374</v>
      </c>
      <c r="K2283" t="s">
        <v>628</v>
      </c>
      <c r="L2283" t="s">
        <v>7134</v>
      </c>
    </row>
    <row r="2284" spans="1:12">
      <c r="A2284" t="s">
        <v>628</v>
      </c>
      <c r="B2284" t="s">
        <v>7129</v>
      </c>
      <c r="C2284" t="s">
        <v>7376</v>
      </c>
      <c r="D2284" t="s">
        <v>7131</v>
      </c>
      <c r="E2284" t="s">
        <v>4256</v>
      </c>
      <c r="F2284" t="s">
        <v>7377</v>
      </c>
    </row>
    <row r="2285" spans="1:12">
      <c r="A2285" t="s">
        <v>628</v>
      </c>
      <c r="B2285" t="s">
        <v>7129</v>
      </c>
      <c r="C2285" t="s">
        <v>7378</v>
      </c>
      <c r="D2285" t="s">
        <v>7131</v>
      </c>
      <c r="E2285" t="s">
        <v>7379</v>
      </c>
      <c r="F2285" t="s">
        <v>7380</v>
      </c>
      <c r="J2285" t="s">
        <v>7379</v>
      </c>
      <c r="K2285" t="s">
        <v>628</v>
      </c>
      <c r="L2285" t="s">
        <v>7134</v>
      </c>
    </row>
    <row r="2286" spans="1:12">
      <c r="A2286" t="s">
        <v>628</v>
      </c>
      <c r="B2286" t="s">
        <v>7129</v>
      </c>
      <c r="C2286" t="s">
        <v>7381</v>
      </c>
      <c r="D2286" t="s">
        <v>7131</v>
      </c>
      <c r="E2286" t="s">
        <v>7382</v>
      </c>
      <c r="F2286" t="s">
        <v>7383</v>
      </c>
    </row>
    <row r="2287" spans="1:12">
      <c r="A2287" t="s">
        <v>628</v>
      </c>
      <c r="B2287" t="s">
        <v>7129</v>
      </c>
      <c r="C2287" t="s">
        <v>7384</v>
      </c>
      <c r="D2287" t="s">
        <v>7131</v>
      </c>
      <c r="E2287" t="s">
        <v>7385</v>
      </c>
      <c r="F2287" t="s">
        <v>7386</v>
      </c>
    </row>
    <row r="2288" spans="1:12">
      <c r="A2288" t="s">
        <v>628</v>
      </c>
      <c r="B2288" t="s">
        <v>7129</v>
      </c>
      <c r="C2288" t="s">
        <v>7387</v>
      </c>
      <c r="D2288" t="s">
        <v>7131</v>
      </c>
      <c r="E2288" t="s">
        <v>7388</v>
      </c>
      <c r="F2288" t="s">
        <v>7389</v>
      </c>
    </row>
    <row r="2289" spans="1:12">
      <c r="A2289" t="s">
        <v>628</v>
      </c>
      <c r="B2289" t="s">
        <v>7129</v>
      </c>
      <c r="C2289" t="s">
        <v>7390</v>
      </c>
      <c r="D2289" t="s">
        <v>7131</v>
      </c>
      <c r="E2289" t="s">
        <v>7391</v>
      </c>
      <c r="F2289" t="s">
        <v>7392</v>
      </c>
    </row>
    <row r="2290" spans="1:12">
      <c r="A2290" t="s">
        <v>628</v>
      </c>
      <c r="B2290" t="s">
        <v>7129</v>
      </c>
      <c r="C2290" t="s">
        <v>7393</v>
      </c>
      <c r="D2290" t="s">
        <v>7131</v>
      </c>
      <c r="E2290" t="s">
        <v>7394</v>
      </c>
      <c r="F2290" t="s">
        <v>7395</v>
      </c>
    </row>
    <row r="2291" spans="1:12">
      <c r="A2291" t="s">
        <v>628</v>
      </c>
      <c r="B2291" t="s">
        <v>7129</v>
      </c>
      <c r="C2291" t="s">
        <v>7396</v>
      </c>
      <c r="D2291" t="s">
        <v>7131</v>
      </c>
      <c r="E2291" t="s">
        <v>7397</v>
      </c>
      <c r="F2291" t="s">
        <v>7398</v>
      </c>
    </row>
    <row r="2292" spans="1:12">
      <c r="A2292" t="s">
        <v>628</v>
      </c>
      <c r="B2292" t="s">
        <v>7129</v>
      </c>
      <c r="C2292" t="s">
        <v>7399</v>
      </c>
      <c r="D2292" t="s">
        <v>7131</v>
      </c>
      <c r="E2292" t="s">
        <v>7400</v>
      </c>
      <c r="F2292" t="s">
        <v>7401</v>
      </c>
    </row>
    <row r="2293" spans="1:12">
      <c r="A2293" t="s">
        <v>628</v>
      </c>
      <c r="B2293" t="s">
        <v>7129</v>
      </c>
      <c r="C2293" t="s">
        <v>7402</v>
      </c>
      <c r="D2293" t="s">
        <v>7131</v>
      </c>
      <c r="E2293" t="s">
        <v>7403</v>
      </c>
      <c r="F2293" t="s">
        <v>7404</v>
      </c>
    </row>
    <row r="2294" spans="1:12">
      <c r="A2294" t="s">
        <v>628</v>
      </c>
      <c r="B2294" t="s">
        <v>7129</v>
      </c>
      <c r="C2294" t="s">
        <v>7405</v>
      </c>
      <c r="D2294" t="s">
        <v>7131</v>
      </c>
      <c r="E2294" t="s">
        <v>7406</v>
      </c>
      <c r="F2294" t="s">
        <v>7407</v>
      </c>
      <c r="J2294" t="s">
        <v>7406</v>
      </c>
      <c r="K2294" t="s">
        <v>628</v>
      </c>
      <c r="L2294" t="s">
        <v>7134</v>
      </c>
    </row>
    <row r="2295" spans="1:12">
      <c r="A2295" t="s">
        <v>628</v>
      </c>
      <c r="B2295" t="s">
        <v>7129</v>
      </c>
      <c r="C2295" t="s">
        <v>7408</v>
      </c>
      <c r="D2295" t="s">
        <v>7131</v>
      </c>
      <c r="E2295" t="s">
        <v>7409</v>
      </c>
      <c r="F2295" t="s">
        <v>7410</v>
      </c>
    </row>
    <row r="2296" spans="1:12">
      <c r="A2296" t="s">
        <v>628</v>
      </c>
      <c r="B2296" t="s">
        <v>7129</v>
      </c>
      <c r="C2296" t="s">
        <v>7411</v>
      </c>
      <c r="D2296" t="s">
        <v>7131</v>
      </c>
      <c r="E2296" t="s">
        <v>7412</v>
      </c>
      <c r="F2296" t="s">
        <v>7413</v>
      </c>
      <c r="J2296" t="s">
        <v>7412</v>
      </c>
      <c r="K2296" t="s">
        <v>628</v>
      </c>
      <c r="L2296" t="s">
        <v>7134</v>
      </c>
    </row>
    <row r="2297" spans="1:12">
      <c r="A2297" t="s">
        <v>628</v>
      </c>
      <c r="B2297" t="s">
        <v>7129</v>
      </c>
      <c r="C2297" t="s">
        <v>7414</v>
      </c>
      <c r="D2297" t="s">
        <v>7131</v>
      </c>
      <c r="E2297" t="s">
        <v>845</v>
      </c>
      <c r="F2297" t="s">
        <v>7415</v>
      </c>
    </row>
    <row r="2298" spans="1:12">
      <c r="A2298" t="s">
        <v>628</v>
      </c>
      <c r="B2298" t="s">
        <v>7129</v>
      </c>
      <c r="C2298" t="s">
        <v>7416</v>
      </c>
      <c r="D2298" t="s">
        <v>7131</v>
      </c>
      <c r="E2298" t="s">
        <v>7417</v>
      </c>
      <c r="F2298" t="s">
        <v>7418</v>
      </c>
    </row>
    <row r="2299" spans="1:12">
      <c r="A2299" t="s">
        <v>628</v>
      </c>
      <c r="B2299" t="s">
        <v>7129</v>
      </c>
      <c r="C2299" t="s">
        <v>7419</v>
      </c>
      <c r="D2299" t="s">
        <v>7131</v>
      </c>
      <c r="E2299" t="s">
        <v>7420</v>
      </c>
      <c r="F2299" t="s">
        <v>7421</v>
      </c>
    </row>
    <row r="2300" spans="1:12">
      <c r="A2300" t="s">
        <v>628</v>
      </c>
      <c r="B2300" t="s">
        <v>7129</v>
      </c>
      <c r="C2300" t="s">
        <v>7422</v>
      </c>
      <c r="D2300" t="s">
        <v>7131</v>
      </c>
      <c r="E2300" t="s">
        <v>7423</v>
      </c>
      <c r="F2300" t="s">
        <v>7424</v>
      </c>
      <c r="J2300" t="s">
        <v>7423</v>
      </c>
      <c r="K2300" t="s">
        <v>628</v>
      </c>
      <c r="L2300" t="s">
        <v>7134</v>
      </c>
    </row>
    <row r="2301" spans="1:12">
      <c r="A2301" t="s">
        <v>628</v>
      </c>
      <c r="B2301" t="s">
        <v>7129</v>
      </c>
      <c r="C2301" t="s">
        <v>7425</v>
      </c>
      <c r="D2301" t="s">
        <v>7131</v>
      </c>
      <c r="E2301" t="s">
        <v>7426</v>
      </c>
      <c r="F2301" t="s">
        <v>7427</v>
      </c>
      <c r="J2301" t="s">
        <v>7426</v>
      </c>
      <c r="K2301" t="s">
        <v>628</v>
      </c>
      <c r="L2301" t="s">
        <v>7134</v>
      </c>
    </row>
    <row r="2302" spans="1:12">
      <c r="A2302" t="s">
        <v>628</v>
      </c>
      <c r="B2302" t="s">
        <v>7129</v>
      </c>
      <c r="C2302" t="s">
        <v>7428</v>
      </c>
      <c r="D2302" t="s">
        <v>7131</v>
      </c>
      <c r="E2302" t="s">
        <v>7429</v>
      </c>
      <c r="F2302" t="s">
        <v>7430</v>
      </c>
    </row>
    <row r="2303" spans="1:12">
      <c r="A2303" t="s">
        <v>628</v>
      </c>
      <c r="B2303" t="s">
        <v>7129</v>
      </c>
      <c r="C2303" t="s">
        <v>7431</v>
      </c>
      <c r="D2303" t="s">
        <v>7131</v>
      </c>
      <c r="E2303" t="s">
        <v>7432</v>
      </c>
      <c r="F2303" t="s">
        <v>7433</v>
      </c>
      <c r="J2303" t="s">
        <v>7432</v>
      </c>
      <c r="K2303" t="s">
        <v>628</v>
      </c>
      <c r="L2303" t="s">
        <v>7134</v>
      </c>
    </row>
    <row r="2304" spans="1:12">
      <c r="A2304" t="s">
        <v>628</v>
      </c>
      <c r="B2304" t="s">
        <v>7129</v>
      </c>
      <c r="C2304" t="s">
        <v>7434</v>
      </c>
      <c r="D2304" t="s">
        <v>7131</v>
      </c>
      <c r="E2304" t="s">
        <v>7435</v>
      </c>
      <c r="F2304" t="s">
        <v>7436</v>
      </c>
    </row>
    <row r="2305" spans="1:12">
      <c r="A2305" t="s">
        <v>628</v>
      </c>
      <c r="B2305" t="s">
        <v>7129</v>
      </c>
      <c r="C2305" t="s">
        <v>7437</v>
      </c>
      <c r="D2305" t="s">
        <v>7131</v>
      </c>
      <c r="E2305" t="s">
        <v>7438</v>
      </c>
      <c r="F2305" t="s">
        <v>7439</v>
      </c>
    </row>
    <row r="2306" spans="1:12">
      <c r="A2306" t="s">
        <v>628</v>
      </c>
      <c r="B2306" t="s">
        <v>7129</v>
      </c>
      <c r="C2306" t="s">
        <v>7440</v>
      </c>
      <c r="D2306" t="s">
        <v>7131</v>
      </c>
      <c r="E2306" t="s">
        <v>7441</v>
      </c>
      <c r="F2306" t="s">
        <v>7442</v>
      </c>
    </row>
    <row r="2307" spans="1:12">
      <c r="A2307" t="s">
        <v>628</v>
      </c>
      <c r="B2307" t="s">
        <v>7129</v>
      </c>
      <c r="C2307" t="s">
        <v>7443</v>
      </c>
      <c r="D2307" t="s">
        <v>7131</v>
      </c>
      <c r="E2307" t="s">
        <v>7444</v>
      </c>
      <c r="F2307" t="s">
        <v>7445</v>
      </c>
      <c r="J2307" t="s">
        <v>7444</v>
      </c>
      <c r="K2307" t="s">
        <v>628</v>
      </c>
      <c r="L2307" t="s">
        <v>7134</v>
      </c>
    </row>
    <row r="2308" spans="1:12">
      <c r="A2308" t="s">
        <v>628</v>
      </c>
      <c r="B2308" t="s">
        <v>7129</v>
      </c>
      <c r="C2308" t="s">
        <v>7446</v>
      </c>
      <c r="D2308" t="s">
        <v>7131</v>
      </c>
      <c r="E2308" t="s">
        <v>7447</v>
      </c>
      <c r="F2308" t="s">
        <v>7448</v>
      </c>
    </row>
    <row r="2309" spans="1:12">
      <c r="A2309" t="s">
        <v>628</v>
      </c>
      <c r="B2309" t="s">
        <v>7129</v>
      </c>
      <c r="C2309" t="s">
        <v>7449</v>
      </c>
      <c r="D2309" t="s">
        <v>7131</v>
      </c>
      <c r="E2309" t="s">
        <v>7450</v>
      </c>
      <c r="F2309" t="s">
        <v>7451</v>
      </c>
      <c r="J2309" t="s">
        <v>7450</v>
      </c>
      <c r="K2309" t="s">
        <v>628</v>
      </c>
      <c r="L2309" t="s">
        <v>7134</v>
      </c>
    </row>
    <row r="2310" spans="1:12">
      <c r="A2310" t="s">
        <v>628</v>
      </c>
      <c r="B2310" t="s">
        <v>7129</v>
      </c>
      <c r="C2310" t="s">
        <v>7452</v>
      </c>
      <c r="D2310" t="s">
        <v>7131</v>
      </c>
      <c r="E2310" t="s">
        <v>7453</v>
      </c>
      <c r="F2310" t="s">
        <v>7454</v>
      </c>
      <c r="J2310" t="s">
        <v>7453</v>
      </c>
      <c r="K2310" t="s">
        <v>628</v>
      </c>
      <c r="L2310" t="s">
        <v>7134</v>
      </c>
    </row>
    <row r="2311" spans="1:12">
      <c r="A2311" t="s">
        <v>628</v>
      </c>
      <c r="B2311" t="s">
        <v>7129</v>
      </c>
      <c r="C2311" t="s">
        <v>7455</v>
      </c>
      <c r="D2311" t="s">
        <v>7131</v>
      </c>
      <c r="E2311" t="s">
        <v>7456</v>
      </c>
      <c r="F2311" t="s">
        <v>7457</v>
      </c>
      <c r="J2311" t="s">
        <v>7458</v>
      </c>
      <c r="K2311" t="s">
        <v>628</v>
      </c>
      <c r="L2311" t="s">
        <v>7134</v>
      </c>
    </row>
    <row r="2312" spans="1:12">
      <c r="A2312" t="s">
        <v>628</v>
      </c>
      <c r="B2312" t="s">
        <v>7129</v>
      </c>
      <c r="C2312" t="s">
        <v>7459</v>
      </c>
      <c r="D2312" t="s">
        <v>7131</v>
      </c>
      <c r="E2312" t="s">
        <v>7460</v>
      </c>
      <c r="F2312" t="s">
        <v>7461</v>
      </c>
      <c r="J2312" t="s">
        <v>7460</v>
      </c>
      <c r="K2312" t="s">
        <v>628</v>
      </c>
      <c r="L2312" t="s">
        <v>7134</v>
      </c>
    </row>
    <row r="2313" spans="1:12">
      <c r="A2313" t="s">
        <v>628</v>
      </c>
      <c r="B2313" t="s">
        <v>7129</v>
      </c>
      <c r="C2313" t="s">
        <v>7462</v>
      </c>
      <c r="D2313" t="s">
        <v>7131</v>
      </c>
      <c r="E2313" t="s">
        <v>7463</v>
      </c>
      <c r="F2313" t="s">
        <v>7464</v>
      </c>
    </row>
    <row r="2314" spans="1:12">
      <c r="A2314" t="s">
        <v>628</v>
      </c>
      <c r="B2314" t="s">
        <v>7129</v>
      </c>
      <c r="C2314" t="s">
        <v>7465</v>
      </c>
      <c r="D2314" t="s">
        <v>7131</v>
      </c>
      <c r="E2314" t="s">
        <v>7466</v>
      </c>
      <c r="F2314" t="s">
        <v>7467</v>
      </c>
      <c r="J2314" t="s">
        <v>7466</v>
      </c>
      <c r="K2314" t="s">
        <v>628</v>
      </c>
      <c r="L2314" t="s">
        <v>7134</v>
      </c>
    </row>
    <row r="2315" spans="1:12">
      <c r="A2315" t="s">
        <v>628</v>
      </c>
      <c r="B2315" t="s">
        <v>7129</v>
      </c>
      <c r="C2315" t="s">
        <v>7468</v>
      </c>
      <c r="D2315" t="s">
        <v>7131</v>
      </c>
      <c r="E2315" t="s">
        <v>7469</v>
      </c>
      <c r="F2315" t="s">
        <v>7470</v>
      </c>
    </row>
    <row r="2316" spans="1:12">
      <c r="A2316" t="s">
        <v>628</v>
      </c>
      <c r="B2316" t="s">
        <v>7129</v>
      </c>
      <c r="C2316" t="s">
        <v>7471</v>
      </c>
      <c r="D2316" t="s">
        <v>7131</v>
      </c>
      <c r="E2316" t="s">
        <v>3652</v>
      </c>
      <c r="F2316" t="s">
        <v>7472</v>
      </c>
    </row>
    <row r="2317" spans="1:12">
      <c r="A2317" t="s">
        <v>628</v>
      </c>
      <c r="B2317" t="s">
        <v>7129</v>
      </c>
      <c r="C2317" t="s">
        <v>7473</v>
      </c>
      <c r="D2317" t="s">
        <v>7131</v>
      </c>
      <c r="E2317" t="s">
        <v>7474</v>
      </c>
      <c r="F2317" t="s">
        <v>7475</v>
      </c>
      <c r="J2317" t="s">
        <v>7474</v>
      </c>
      <c r="K2317" t="s">
        <v>628</v>
      </c>
      <c r="L2317" t="s">
        <v>7134</v>
      </c>
    </row>
    <row r="2318" spans="1:12">
      <c r="A2318" t="s">
        <v>628</v>
      </c>
      <c r="B2318" t="s">
        <v>7129</v>
      </c>
      <c r="C2318" t="s">
        <v>7476</v>
      </c>
      <c r="D2318" t="s">
        <v>7131</v>
      </c>
      <c r="E2318" t="s">
        <v>7477</v>
      </c>
      <c r="F2318" t="s">
        <v>7478</v>
      </c>
    </row>
    <row r="2319" spans="1:12">
      <c r="A2319" t="s">
        <v>628</v>
      </c>
      <c r="B2319" t="s">
        <v>7129</v>
      </c>
      <c r="C2319" t="s">
        <v>7479</v>
      </c>
      <c r="D2319" t="s">
        <v>7131</v>
      </c>
      <c r="E2319" t="s">
        <v>7480</v>
      </c>
      <c r="F2319" t="s">
        <v>7481</v>
      </c>
    </row>
    <row r="2320" spans="1:12">
      <c r="A2320" t="s">
        <v>628</v>
      </c>
      <c r="B2320" t="s">
        <v>7129</v>
      </c>
      <c r="C2320" t="s">
        <v>7482</v>
      </c>
      <c r="D2320" t="s">
        <v>7131</v>
      </c>
      <c r="E2320" t="s">
        <v>7483</v>
      </c>
      <c r="F2320" t="s">
        <v>7484</v>
      </c>
      <c r="J2320" t="s">
        <v>7483</v>
      </c>
      <c r="K2320" t="s">
        <v>628</v>
      </c>
      <c r="L2320" t="s">
        <v>7134</v>
      </c>
    </row>
    <row r="2321" spans="1:12">
      <c r="A2321" t="s">
        <v>628</v>
      </c>
      <c r="B2321" t="s">
        <v>7129</v>
      </c>
      <c r="C2321" t="s">
        <v>7485</v>
      </c>
      <c r="D2321" t="s">
        <v>7131</v>
      </c>
      <c r="E2321" t="s">
        <v>3542</v>
      </c>
      <c r="F2321" t="s">
        <v>7486</v>
      </c>
    </row>
    <row r="2322" spans="1:12">
      <c r="A2322" t="s">
        <v>628</v>
      </c>
      <c r="B2322" t="s">
        <v>7129</v>
      </c>
      <c r="C2322" t="s">
        <v>7487</v>
      </c>
      <c r="D2322" t="s">
        <v>7131</v>
      </c>
      <c r="E2322" t="s">
        <v>7488</v>
      </c>
      <c r="F2322" t="s">
        <v>7489</v>
      </c>
      <c r="J2322" t="s">
        <v>7488</v>
      </c>
      <c r="K2322" t="s">
        <v>628</v>
      </c>
      <c r="L2322" t="s">
        <v>7134</v>
      </c>
    </row>
    <row r="2323" spans="1:12">
      <c r="A2323" t="s">
        <v>628</v>
      </c>
      <c r="B2323" t="s">
        <v>7129</v>
      </c>
      <c r="C2323" t="s">
        <v>7490</v>
      </c>
      <c r="D2323" t="s">
        <v>7131</v>
      </c>
      <c r="E2323" t="s">
        <v>7491</v>
      </c>
      <c r="F2323" t="s">
        <v>7492</v>
      </c>
    </row>
    <row r="2324" spans="1:12">
      <c r="A2324" t="s">
        <v>628</v>
      </c>
      <c r="B2324" t="s">
        <v>7129</v>
      </c>
      <c r="C2324" t="s">
        <v>7493</v>
      </c>
      <c r="D2324" t="s">
        <v>7131</v>
      </c>
      <c r="E2324" t="s">
        <v>7494</v>
      </c>
      <c r="F2324" t="s">
        <v>7495</v>
      </c>
      <c r="J2324" t="s">
        <v>7494</v>
      </c>
      <c r="K2324" t="s">
        <v>628</v>
      </c>
      <c r="L2324" t="s">
        <v>7134</v>
      </c>
    </row>
    <row r="2325" spans="1:12">
      <c r="A2325" t="s">
        <v>628</v>
      </c>
      <c r="B2325" t="s">
        <v>7129</v>
      </c>
      <c r="C2325" t="s">
        <v>7496</v>
      </c>
      <c r="D2325" t="s">
        <v>7131</v>
      </c>
      <c r="E2325" t="s">
        <v>7497</v>
      </c>
      <c r="F2325" t="s">
        <v>7498</v>
      </c>
      <c r="J2325" t="s">
        <v>7497</v>
      </c>
      <c r="K2325" t="s">
        <v>628</v>
      </c>
      <c r="L2325" t="s">
        <v>7134</v>
      </c>
    </row>
    <row r="2326" spans="1:12">
      <c r="A2326" t="s">
        <v>628</v>
      </c>
      <c r="B2326" t="s">
        <v>7129</v>
      </c>
      <c r="C2326" t="s">
        <v>7499</v>
      </c>
      <c r="D2326" t="s">
        <v>7131</v>
      </c>
      <c r="E2326" t="s">
        <v>7500</v>
      </c>
      <c r="F2326" t="s">
        <v>7501</v>
      </c>
      <c r="J2326" t="s">
        <v>7500</v>
      </c>
      <c r="K2326" t="s">
        <v>628</v>
      </c>
      <c r="L2326" t="s">
        <v>7134</v>
      </c>
    </row>
    <row r="2327" spans="1:12">
      <c r="A2327" t="s">
        <v>628</v>
      </c>
      <c r="B2327" t="s">
        <v>7129</v>
      </c>
      <c r="C2327" t="s">
        <v>7502</v>
      </c>
      <c r="D2327" t="s">
        <v>7131</v>
      </c>
      <c r="E2327" t="s">
        <v>7503</v>
      </c>
      <c r="F2327" t="s">
        <v>7504</v>
      </c>
      <c r="J2327" t="s">
        <v>7503</v>
      </c>
      <c r="K2327" t="s">
        <v>628</v>
      </c>
      <c r="L2327" t="s">
        <v>7134</v>
      </c>
    </row>
    <row r="2328" spans="1:12">
      <c r="A2328" t="s">
        <v>628</v>
      </c>
      <c r="B2328" t="s">
        <v>7129</v>
      </c>
      <c r="C2328" t="s">
        <v>7505</v>
      </c>
      <c r="D2328" t="s">
        <v>7131</v>
      </c>
      <c r="E2328" t="s">
        <v>7506</v>
      </c>
      <c r="F2328" t="s">
        <v>7507</v>
      </c>
    </row>
    <row r="2329" spans="1:12">
      <c r="A2329" t="s">
        <v>628</v>
      </c>
      <c r="B2329" t="s">
        <v>7129</v>
      </c>
      <c r="C2329" t="s">
        <v>7508</v>
      </c>
      <c r="D2329" t="s">
        <v>7131</v>
      </c>
      <c r="E2329" t="s">
        <v>7509</v>
      </c>
      <c r="F2329" t="s">
        <v>7510</v>
      </c>
      <c r="J2329" t="s">
        <v>7509</v>
      </c>
      <c r="K2329" t="s">
        <v>628</v>
      </c>
      <c r="L2329" t="s">
        <v>7134</v>
      </c>
    </row>
    <row r="2330" spans="1:12">
      <c r="A2330" t="s">
        <v>628</v>
      </c>
      <c r="B2330" t="s">
        <v>7129</v>
      </c>
      <c r="C2330" t="s">
        <v>7511</v>
      </c>
      <c r="D2330" t="s">
        <v>7131</v>
      </c>
      <c r="E2330" t="s">
        <v>3091</v>
      </c>
      <c r="F2330" t="s">
        <v>7512</v>
      </c>
    </row>
    <row r="2331" spans="1:12">
      <c r="A2331" t="s">
        <v>628</v>
      </c>
      <c r="B2331" t="s">
        <v>7129</v>
      </c>
      <c r="C2331" t="s">
        <v>7513</v>
      </c>
      <c r="D2331" t="s">
        <v>7131</v>
      </c>
      <c r="E2331" t="s">
        <v>5347</v>
      </c>
      <c r="F2331" t="s">
        <v>7514</v>
      </c>
    </row>
    <row r="2332" spans="1:12">
      <c r="A2332" t="s">
        <v>628</v>
      </c>
      <c r="B2332" t="s">
        <v>7129</v>
      </c>
      <c r="C2332" t="s">
        <v>7515</v>
      </c>
      <c r="D2332" t="s">
        <v>7131</v>
      </c>
      <c r="E2332" t="s">
        <v>7516</v>
      </c>
      <c r="F2332" t="s">
        <v>7517</v>
      </c>
      <c r="J2332" t="s">
        <v>7516</v>
      </c>
      <c r="K2332" t="s">
        <v>628</v>
      </c>
      <c r="L2332" t="s">
        <v>7134</v>
      </c>
    </row>
    <row r="2333" spans="1:12">
      <c r="A2333" t="s">
        <v>628</v>
      </c>
      <c r="B2333" t="s">
        <v>7129</v>
      </c>
      <c r="C2333" t="s">
        <v>7518</v>
      </c>
      <c r="D2333" t="s">
        <v>7131</v>
      </c>
      <c r="E2333" t="s">
        <v>7519</v>
      </c>
      <c r="F2333" t="s">
        <v>7520</v>
      </c>
      <c r="J2333" t="s">
        <v>7519</v>
      </c>
      <c r="K2333" t="s">
        <v>628</v>
      </c>
      <c r="L2333" t="s">
        <v>7134</v>
      </c>
    </row>
    <row r="2334" spans="1:12">
      <c r="A2334" t="s">
        <v>628</v>
      </c>
      <c r="B2334" t="s">
        <v>7129</v>
      </c>
      <c r="C2334" t="s">
        <v>7521</v>
      </c>
      <c r="D2334" t="s">
        <v>7131</v>
      </c>
      <c r="F2334" t="s">
        <v>7522</v>
      </c>
      <c r="J2334" t="s">
        <v>7523</v>
      </c>
      <c r="K2334" t="s">
        <v>628</v>
      </c>
      <c r="L2334" t="s">
        <v>7134</v>
      </c>
    </row>
    <row r="2335" spans="1:12">
      <c r="A2335" t="s">
        <v>628</v>
      </c>
      <c r="B2335" t="s">
        <v>7129</v>
      </c>
      <c r="C2335" t="s">
        <v>7524</v>
      </c>
      <c r="D2335" t="s">
        <v>7131</v>
      </c>
      <c r="E2335" t="s">
        <v>7525</v>
      </c>
      <c r="F2335" t="s">
        <v>7526</v>
      </c>
      <c r="J2335" t="s">
        <v>7525</v>
      </c>
      <c r="K2335" t="s">
        <v>628</v>
      </c>
      <c r="L2335" t="s">
        <v>7134</v>
      </c>
    </row>
    <row r="2336" spans="1:12">
      <c r="A2336" t="s">
        <v>628</v>
      </c>
      <c r="B2336" t="s">
        <v>7129</v>
      </c>
      <c r="C2336" t="s">
        <v>7527</v>
      </c>
      <c r="D2336" t="s">
        <v>7131</v>
      </c>
      <c r="E2336" t="s">
        <v>7528</v>
      </c>
      <c r="F2336" t="s">
        <v>7529</v>
      </c>
    </row>
    <row r="2337" spans="1:12">
      <c r="A2337" t="s">
        <v>628</v>
      </c>
      <c r="B2337" t="s">
        <v>7129</v>
      </c>
      <c r="C2337" t="s">
        <v>7530</v>
      </c>
      <c r="D2337" t="s">
        <v>7131</v>
      </c>
      <c r="E2337" t="s">
        <v>7531</v>
      </c>
      <c r="F2337" t="s">
        <v>7532</v>
      </c>
    </row>
    <row r="2338" spans="1:12">
      <c r="A2338" t="s">
        <v>628</v>
      </c>
      <c r="B2338" t="s">
        <v>7129</v>
      </c>
      <c r="C2338" t="s">
        <v>7533</v>
      </c>
      <c r="D2338" t="s">
        <v>7131</v>
      </c>
      <c r="E2338" t="s">
        <v>7534</v>
      </c>
      <c r="F2338" t="s">
        <v>7535</v>
      </c>
    </row>
    <row r="2339" spans="1:12">
      <c r="A2339" t="s">
        <v>628</v>
      </c>
      <c r="B2339" t="s">
        <v>7129</v>
      </c>
      <c r="C2339" t="s">
        <v>7536</v>
      </c>
      <c r="D2339" t="s">
        <v>7131</v>
      </c>
      <c r="E2339" t="s">
        <v>7537</v>
      </c>
      <c r="F2339" t="s">
        <v>7538</v>
      </c>
      <c r="J2339" t="s">
        <v>7537</v>
      </c>
      <c r="K2339" t="s">
        <v>628</v>
      </c>
      <c r="L2339" t="s">
        <v>7134</v>
      </c>
    </row>
    <row r="2340" spans="1:12">
      <c r="A2340" t="s">
        <v>628</v>
      </c>
      <c r="B2340" t="s">
        <v>7129</v>
      </c>
      <c r="C2340" t="s">
        <v>7539</v>
      </c>
      <c r="D2340" t="s">
        <v>7131</v>
      </c>
      <c r="E2340" t="s">
        <v>7540</v>
      </c>
      <c r="F2340" t="s">
        <v>7541</v>
      </c>
      <c r="J2340" t="s">
        <v>7540</v>
      </c>
      <c r="K2340" t="s">
        <v>628</v>
      </c>
      <c r="L2340" t="s">
        <v>7134</v>
      </c>
    </row>
    <row r="2341" spans="1:12">
      <c r="A2341" t="s">
        <v>628</v>
      </c>
      <c r="B2341" t="s">
        <v>7129</v>
      </c>
      <c r="C2341" t="s">
        <v>7542</v>
      </c>
      <c r="D2341" t="s">
        <v>7131</v>
      </c>
      <c r="E2341" t="s">
        <v>7543</v>
      </c>
      <c r="F2341" t="s">
        <v>7544</v>
      </c>
      <c r="J2341" t="s">
        <v>7543</v>
      </c>
      <c r="K2341" t="s">
        <v>628</v>
      </c>
      <c r="L2341" t="s">
        <v>7134</v>
      </c>
    </row>
    <row r="2342" spans="1:12">
      <c r="A2342" t="s">
        <v>628</v>
      </c>
      <c r="B2342" t="s">
        <v>7129</v>
      </c>
      <c r="C2342" t="s">
        <v>7545</v>
      </c>
      <c r="D2342" t="s">
        <v>7131</v>
      </c>
      <c r="E2342" t="s">
        <v>6535</v>
      </c>
      <c r="F2342" t="s">
        <v>7546</v>
      </c>
    </row>
    <row r="2343" spans="1:12">
      <c r="A2343" t="s">
        <v>628</v>
      </c>
      <c r="B2343" t="s">
        <v>7129</v>
      </c>
      <c r="C2343" t="s">
        <v>7547</v>
      </c>
      <c r="D2343" t="s">
        <v>7131</v>
      </c>
      <c r="E2343" t="s">
        <v>7548</v>
      </c>
      <c r="F2343" t="s">
        <v>7549</v>
      </c>
    </row>
    <row r="2344" spans="1:12">
      <c r="A2344" t="s">
        <v>628</v>
      </c>
      <c r="B2344" t="s">
        <v>7129</v>
      </c>
      <c r="C2344" t="s">
        <v>7550</v>
      </c>
      <c r="D2344" t="s">
        <v>7131</v>
      </c>
      <c r="E2344" t="s">
        <v>5645</v>
      </c>
      <c r="F2344" t="s">
        <v>7551</v>
      </c>
    </row>
    <row r="2345" spans="1:12">
      <c r="A2345" t="s">
        <v>628</v>
      </c>
      <c r="B2345" t="s">
        <v>7129</v>
      </c>
      <c r="C2345" t="s">
        <v>7552</v>
      </c>
      <c r="D2345" t="s">
        <v>7131</v>
      </c>
      <c r="E2345" t="s">
        <v>7553</v>
      </c>
      <c r="F2345" t="s">
        <v>7554</v>
      </c>
      <c r="J2345" t="s">
        <v>7553</v>
      </c>
      <c r="K2345" t="s">
        <v>628</v>
      </c>
      <c r="L2345" t="s">
        <v>7134</v>
      </c>
    </row>
    <row r="2346" spans="1:12">
      <c r="A2346" t="s">
        <v>628</v>
      </c>
      <c r="B2346" t="s">
        <v>7129</v>
      </c>
      <c r="C2346" t="s">
        <v>7555</v>
      </c>
      <c r="D2346" t="s">
        <v>7131</v>
      </c>
      <c r="E2346" t="s">
        <v>7556</v>
      </c>
      <c r="F2346" t="s">
        <v>7557</v>
      </c>
    </row>
    <row r="2347" spans="1:12">
      <c r="A2347" t="s">
        <v>628</v>
      </c>
      <c r="B2347" t="s">
        <v>7129</v>
      </c>
      <c r="C2347" t="s">
        <v>7558</v>
      </c>
      <c r="D2347" t="s">
        <v>7131</v>
      </c>
      <c r="E2347" t="s">
        <v>7559</v>
      </c>
      <c r="F2347" t="s">
        <v>7560</v>
      </c>
      <c r="J2347" t="s">
        <v>7559</v>
      </c>
      <c r="K2347" t="s">
        <v>628</v>
      </c>
      <c r="L2347" t="s">
        <v>7134</v>
      </c>
    </row>
    <row r="2348" spans="1:12">
      <c r="A2348" t="s">
        <v>628</v>
      </c>
      <c r="B2348" t="s">
        <v>7129</v>
      </c>
      <c r="C2348" t="s">
        <v>7561</v>
      </c>
      <c r="D2348" t="s">
        <v>7131</v>
      </c>
      <c r="E2348" t="s">
        <v>7562</v>
      </c>
      <c r="F2348" t="s">
        <v>7563</v>
      </c>
      <c r="J2348" t="s">
        <v>7562</v>
      </c>
      <c r="K2348" t="s">
        <v>628</v>
      </c>
      <c r="L2348" t="s">
        <v>7134</v>
      </c>
    </row>
    <row r="2349" spans="1:12">
      <c r="A2349" t="s">
        <v>628</v>
      </c>
      <c r="B2349" t="s">
        <v>7129</v>
      </c>
      <c r="C2349" t="s">
        <v>7564</v>
      </c>
      <c r="D2349" t="s">
        <v>7131</v>
      </c>
      <c r="E2349" t="s">
        <v>7565</v>
      </c>
      <c r="F2349" t="s">
        <v>7566</v>
      </c>
      <c r="J2349" t="s">
        <v>7565</v>
      </c>
      <c r="K2349" t="s">
        <v>628</v>
      </c>
      <c r="L2349" t="s">
        <v>7134</v>
      </c>
    </row>
    <row r="2350" spans="1:12">
      <c r="A2350" t="s">
        <v>628</v>
      </c>
      <c r="B2350" t="s">
        <v>7129</v>
      </c>
      <c r="C2350" t="s">
        <v>7567</v>
      </c>
      <c r="D2350" t="s">
        <v>7131</v>
      </c>
      <c r="E2350" t="s">
        <v>7568</v>
      </c>
      <c r="F2350" t="s">
        <v>7569</v>
      </c>
    </row>
    <row r="2351" spans="1:12">
      <c r="A2351" t="s">
        <v>628</v>
      </c>
      <c r="B2351" t="s">
        <v>7129</v>
      </c>
      <c r="C2351" t="s">
        <v>7570</v>
      </c>
      <c r="D2351" t="s">
        <v>7131</v>
      </c>
      <c r="E2351" t="s">
        <v>5978</v>
      </c>
      <c r="F2351" t="s">
        <v>7571</v>
      </c>
    </row>
    <row r="2352" spans="1:12">
      <c r="A2352" t="s">
        <v>628</v>
      </c>
      <c r="B2352" t="s">
        <v>7129</v>
      </c>
      <c r="C2352" t="s">
        <v>7572</v>
      </c>
      <c r="D2352" t="s">
        <v>7131</v>
      </c>
      <c r="E2352" t="s">
        <v>5995</v>
      </c>
      <c r="F2352" t="s">
        <v>7573</v>
      </c>
    </row>
    <row r="2353" spans="1:12">
      <c r="A2353" t="s">
        <v>628</v>
      </c>
      <c r="B2353" t="s">
        <v>7129</v>
      </c>
      <c r="C2353" t="s">
        <v>7574</v>
      </c>
      <c r="D2353" t="s">
        <v>7131</v>
      </c>
      <c r="E2353" t="s">
        <v>6154</v>
      </c>
      <c r="F2353" t="s">
        <v>7575</v>
      </c>
    </row>
    <row r="2354" spans="1:12">
      <c r="A2354" t="s">
        <v>628</v>
      </c>
      <c r="B2354" t="s">
        <v>7129</v>
      </c>
      <c r="C2354" t="s">
        <v>7576</v>
      </c>
      <c r="D2354" t="s">
        <v>7131</v>
      </c>
      <c r="E2354" t="s">
        <v>7577</v>
      </c>
      <c r="F2354" t="s">
        <v>7578</v>
      </c>
    </row>
    <row r="2355" spans="1:12">
      <c r="A2355" t="s">
        <v>628</v>
      </c>
      <c r="B2355" t="s">
        <v>7129</v>
      </c>
      <c r="C2355" t="s">
        <v>7579</v>
      </c>
      <c r="D2355" t="s">
        <v>7131</v>
      </c>
      <c r="E2355" t="s">
        <v>7580</v>
      </c>
      <c r="F2355" t="s">
        <v>7581</v>
      </c>
      <c r="J2355" t="s">
        <v>7580</v>
      </c>
      <c r="K2355" t="s">
        <v>628</v>
      </c>
      <c r="L2355" t="s">
        <v>7134</v>
      </c>
    </row>
    <row r="2356" spans="1:12">
      <c r="A2356" t="s">
        <v>628</v>
      </c>
      <c r="B2356" t="s">
        <v>7129</v>
      </c>
      <c r="C2356" t="s">
        <v>7582</v>
      </c>
      <c r="D2356" t="s">
        <v>7131</v>
      </c>
      <c r="E2356" t="s">
        <v>7583</v>
      </c>
      <c r="F2356" t="s">
        <v>7584</v>
      </c>
    </row>
    <row r="2357" spans="1:12">
      <c r="A2357" t="s">
        <v>628</v>
      </c>
      <c r="B2357" t="s">
        <v>7129</v>
      </c>
      <c r="C2357" t="s">
        <v>7585</v>
      </c>
      <c r="D2357" t="s">
        <v>7131</v>
      </c>
      <c r="E2357" t="s">
        <v>7586</v>
      </c>
      <c r="F2357" t="s">
        <v>7587</v>
      </c>
    </row>
    <row r="2358" spans="1:12">
      <c r="A2358" t="s">
        <v>628</v>
      </c>
      <c r="B2358" t="s">
        <v>7129</v>
      </c>
      <c r="C2358" t="s">
        <v>7588</v>
      </c>
      <c r="D2358" t="s">
        <v>7131</v>
      </c>
      <c r="E2358" t="s">
        <v>6223</v>
      </c>
      <c r="F2358" t="s">
        <v>7589</v>
      </c>
    </row>
    <row r="2359" spans="1:12">
      <c r="A2359" t="s">
        <v>628</v>
      </c>
      <c r="B2359" t="s">
        <v>7129</v>
      </c>
      <c r="C2359" t="s">
        <v>7590</v>
      </c>
      <c r="D2359" t="s">
        <v>7131</v>
      </c>
      <c r="E2359" t="s">
        <v>7047</v>
      </c>
      <c r="F2359" t="s">
        <v>7591</v>
      </c>
    </row>
    <row r="2360" spans="1:12">
      <c r="A2360" t="s">
        <v>628</v>
      </c>
      <c r="B2360" t="s">
        <v>7129</v>
      </c>
      <c r="C2360" t="s">
        <v>7592</v>
      </c>
      <c r="D2360" t="s">
        <v>7131</v>
      </c>
      <c r="E2360" t="s">
        <v>7593</v>
      </c>
      <c r="F2360" t="s">
        <v>7594</v>
      </c>
    </row>
    <row r="2361" spans="1:12">
      <c r="A2361" t="s">
        <v>628</v>
      </c>
      <c r="B2361" t="s">
        <v>7129</v>
      </c>
      <c r="C2361" t="s">
        <v>7595</v>
      </c>
      <c r="D2361" t="s">
        <v>7131</v>
      </c>
      <c r="E2361" t="s">
        <v>7596</v>
      </c>
      <c r="F2361" t="s">
        <v>7597</v>
      </c>
    </row>
    <row r="2362" spans="1:12">
      <c r="A2362" t="s">
        <v>628</v>
      </c>
      <c r="B2362" t="s">
        <v>7129</v>
      </c>
      <c r="C2362" t="s">
        <v>7598</v>
      </c>
      <c r="D2362" t="s">
        <v>7131</v>
      </c>
      <c r="E2362" t="s">
        <v>7599</v>
      </c>
      <c r="F2362" t="s">
        <v>7600</v>
      </c>
      <c r="J2362" t="s">
        <v>7599</v>
      </c>
      <c r="K2362" t="s">
        <v>628</v>
      </c>
      <c r="L2362" t="s">
        <v>7134</v>
      </c>
    </row>
    <row r="2363" spans="1:12">
      <c r="A2363" t="s">
        <v>628</v>
      </c>
      <c r="B2363" t="s">
        <v>7129</v>
      </c>
      <c r="C2363" t="s">
        <v>7601</v>
      </c>
      <c r="D2363" t="s">
        <v>7131</v>
      </c>
      <c r="E2363" t="s">
        <v>7602</v>
      </c>
      <c r="F2363" t="s">
        <v>7603</v>
      </c>
    </row>
    <row r="2364" spans="1:12">
      <c r="A2364" t="s">
        <v>628</v>
      </c>
      <c r="B2364" t="s">
        <v>7129</v>
      </c>
      <c r="C2364" t="s">
        <v>7604</v>
      </c>
      <c r="D2364" t="s">
        <v>7131</v>
      </c>
      <c r="E2364" t="s">
        <v>655</v>
      </c>
      <c r="F2364" t="s">
        <v>656</v>
      </c>
    </row>
    <row r="2365" spans="1:12">
      <c r="A2365" t="s">
        <v>628</v>
      </c>
      <c r="B2365" t="s">
        <v>7129</v>
      </c>
      <c r="D2365" t="s">
        <v>7131</v>
      </c>
      <c r="F2365" t="s">
        <v>7605</v>
      </c>
      <c r="J2365" t="s">
        <v>7606</v>
      </c>
      <c r="K2365" t="s">
        <v>628</v>
      </c>
      <c r="L2365" t="s">
        <v>7134</v>
      </c>
    </row>
    <row r="2366" spans="1:12">
      <c r="A2366" t="s">
        <v>628</v>
      </c>
      <c r="B2366" t="s">
        <v>7129</v>
      </c>
      <c r="D2366" t="s">
        <v>7131</v>
      </c>
      <c r="F2366" t="s">
        <v>7607</v>
      </c>
      <c r="J2366" t="s">
        <v>7608</v>
      </c>
      <c r="K2366" t="s">
        <v>628</v>
      </c>
      <c r="L2366" t="s">
        <v>7134</v>
      </c>
    </row>
    <row r="2367" spans="1:12">
      <c r="A2367" t="s">
        <v>628</v>
      </c>
      <c r="B2367" t="s">
        <v>7129</v>
      </c>
      <c r="D2367" t="s">
        <v>7131</v>
      </c>
      <c r="F2367" t="s">
        <v>7609</v>
      </c>
      <c r="J2367" t="s">
        <v>7610</v>
      </c>
      <c r="K2367" t="s">
        <v>628</v>
      </c>
      <c r="L2367" t="s">
        <v>7134</v>
      </c>
    </row>
    <row r="2368" spans="1:12">
      <c r="A2368" t="s">
        <v>628</v>
      </c>
      <c r="B2368" t="s">
        <v>7129</v>
      </c>
      <c r="D2368" t="s">
        <v>7131</v>
      </c>
      <c r="F2368" t="s">
        <v>7611</v>
      </c>
      <c r="J2368" t="s">
        <v>7612</v>
      </c>
      <c r="K2368" t="s">
        <v>628</v>
      </c>
      <c r="L2368" t="s">
        <v>7134</v>
      </c>
    </row>
    <row r="2369" spans="1:12">
      <c r="A2369" t="s">
        <v>628</v>
      </c>
      <c r="B2369" t="s">
        <v>7129</v>
      </c>
      <c r="D2369" t="s">
        <v>7131</v>
      </c>
      <c r="F2369" t="s">
        <v>7613</v>
      </c>
      <c r="J2369" t="s">
        <v>7614</v>
      </c>
      <c r="K2369" t="s">
        <v>628</v>
      </c>
      <c r="L2369" t="s">
        <v>7134</v>
      </c>
    </row>
    <row r="2370" spans="1:12">
      <c r="A2370" t="s">
        <v>628</v>
      </c>
      <c r="B2370" t="s">
        <v>7129</v>
      </c>
      <c r="D2370" t="s">
        <v>7131</v>
      </c>
      <c r="F2370" t="s">
        <v>7615</v>
      </c>
      <c r="J2370" t="s">
        <v>7616</v>
      </c>
      <c r="K2370" t="s">
        <v>628</v>
      </c>
      <c r="L2370" t="s">
        <v>7134</v>
      </c>
    </row>
    <row r="2371" spans="1:12">
      <c r="A2371" t="s">
        <v>628</v>
      </c>
      <c r="B2371" t="s">
        <v>7129</v>
      </c>
      <c r="D2371" t="s">
        <v>7131</v>
      </c>
      <c r="F2371" t="s">
        <v>7617</v>
      </c>
      <c r="J2371" t="s">
        <v>7618</v>
      </c>
      <c r="K2371" t="s">
        <v>628</v>
      </c>
      <c r="L2371" t="s">
        <v>7134</v>
      </c>
    </row>
    <row r="2372" spans="1:12">
      <c r="A2372" t="s">
        <v>628</v>
      </c>
      <c r="B2372" t="s">
        <v>7129</v>
      </c>
      <c r="D2372" t="s">
        <v>7131</v>
      </c>
      <c r="F2372" t="s">
        <v>7619</v>
      </c>
      <c r="J2372" t="s">
        <v>7620</v>
      </c>
      <c r="K2372" t="s">
        <v>628</v>
      </c>
      <c r="L2372" t="s">
        <v>7134</v>
      </c>
    </row>
    <row r="2373" spans="1:12">
      <c r="A2373" t="s">
        <v>628</v>
      </c>
      <c r="B2373" t="s">
        <v>7129</v>
      </c>
      <c r="D2373" t="s">
        <v>7131</v>
      </c>
      <c r="F2373" t="s">
        <v>7621</v>
      </c>
      <c r="J2373" t="s">
        <v>7622</v>
      </c>
      <c r="K2373" t="s">
        <v>628</v>
      </c>
      <c r="L2373" t="s">
        <v>7134</v>
      </c>
    </row>
    <row r="2374" spans="1:12">
      <c r="A2374" t="s">
        <v>628</v>
      </c>
      <c r="B2374" t="s">
        <v>7129</v>
      </c>
      <c r="D2374" t="s">
        <v>7131</v>
      </c>
      <c r="F2374" t="s">
        <v>7623</v>
      </c>
      <c r="J2374" t="s">
        <v>7624</v>
      </c>
      <c r="K2374" t="s">
        <v>628</v>
      </c>
      <c r="L2374" t="s">
        <v>7134</v>
      </c>
    </row>
    <row r="2375" spans="1:12">
      <c r="A2375" t="s">
        <v>628</v>
      </c>
      <c r="B2375" t="s">
        <v>7129</v>
      </c>
      <c r="D2375" t="s">
        <v>7131</v>
      </c>
      <c r="F2375" t="s">
        <v>7625</v>
      </c>
      <c r="J2375" t="s">
        <v>7626</v>
      </c>
      <c r="K2375" t="s">
        <v>628</v>
      </c>
      <c r="L2375" t="s">
        <v>7134</v>
      </c>
    </row>
    <row r="2376" spans="1:12">
      <c r="A2376" t="s">
        <v>628</v>
      </c>
      <c r="B2376" t="s">
        <v>7129</v>
      </c>
      <c r="D2376" t="s">
        <v>7131</v>
      </c>
      <c r="F2376" t="s">
        <v>7627</v>
      </c>
      <c r="J2376" t="s">
        <v>7628</v>
      </c>
      <c r="K2376" t="s">
        <v>628</v>
      </c>
      <c r="L2376" t="s">
        <v>7134</v>
      </c>
    </row>
    <row r="2377" spans="1:12">
      <c r="A2377" t="s">
        <v>628</v>
      </c>
      <c r="B2377" t="s">
        <v>7129</v>
      </c>
      <c r="D2377" t="s">
        <v>7131</v>
      </c>
      <c r="F2377" t="s">
        <v>7629</v>
      </c>
      <c r="J2377" t="s">
        <v>7630</v>
      </c>
      <c r="K2377" t="s">
        <v>628</v>
      </c>
      <c r="L2377" t="s">
        <v>7134</v>
      </c>
    </row>
    <row r="2378" spans="1:12">
      <c r="A2378" t="s">
        <v>628</v>
      </c>
      <c r="B2378" t="s">
        <v>7129</v>
      </c>
      <c r="D2378" t="s">
        <v>7131</v>
      </c>
      <c r="F2378" t="s">
        <v>7631</v>
      </c>
      <c r="J2378" t="s">
        <v>7632</v>
      </c>
      <c r="K2378" t="s">
        <v>628</v>
      </c>
      <c r="L2378" t="s">
        <v>7134</v>
      </c>
    </row>
    <row r="2379" spans="1:12">
      <c r="A2379" t="s">
        <v>628</v>
      </c>
      <c r="B2379" t="s">
        <v>7129</v>
      </c>
      <c r="D2379" t="s">
        <v>7131</v>
      </c>
      <c r="F2379" t="s">
        <v>7633</v>
      </c>
      <c r="J2379" t="s">
        <v>7634</v>
      </c>
      <c r="K2379" t="s">
        <v>628</v>
      </c>
      <c r="L2379" t="s">
        <v>7134</v>
      </c>
    </row>
    <row r="2380" spans="1:12">
      <c r="A2380" t="s">
        <v>628</v>
      </c>
      <c r="B2380" t="s">
        <v>7129</v>
      </c>
      <c r="D2380" t="s">
        <v>7131</v>
      </c>
      <c r="F2380" t="s">
        <v>7635</v>
      </c>
      <c r="J2380" t="s">
        <v>7636</v>
      </c>
      <c r="K2380" t="s">
        <v>628</v>
      </c>
      <c r="L2380" t="s">
        <v>7134</v>
      </c>
    </row>
    <row r="2381" spans="1:12">
      <c r="A2381" t="s">
        <v>628</v>
      </c>
      <c r="B2381" t="s">
        <v>7129</v>
      </c>
      <c r="D2381" t="s">
        <v>7131</v>
      </c>
      <c r="F2381" t="s">
        <v>7637</v>
      </c>
      <c r="J2381" t="s">
        <v>7638</v>
      </c>
      <c r="K2381" t="s">
        <v>628</v>
      </c>
      <c r="L2381" t="s">
        <v>7134</v>
      </c>
    </row>
    <row r="2382" spans="1:12">
      <c r="A2382" t="s">
        <v>628</v>
      </c>
      <c r="B2382" t="s">
        <v>7129</v>
      </c>
      <c r="D2382" t="s">
        <v>7131</v>
      </c>
      <c r="F2382" t="s">
        <v>7591</v>
      </c>
      <c r="J2382" t="s">
        <v>7639</v>
      </c>
      <c r="K2382" t="s">
        <v>628</v>
      </c>
      <c r="L2382" t="s">
        <v>7134</v>
      </c>
    </row>
    <row r="2383" spans="1:12">
      <c r="A2383" t="s">
        <v>628</v>
      </c>
      <c r="B2383" t="s">
        <v>7129</v>
      </c>
      <c r="D2383" t="s">
        <v>7131</v>
      </c>
      <c r="F2383" t="s">
        <v>7640</v>
      </c>
      <c r="J2383" t="s">
        <v>7641</v>
      </c>
      <c r="K2383" t="s">
        <v>628</v>
      </c>
      <c r="L2383" t="s">
        <v>7134</v>
      </c>
    </row>
    <row r="2384" spans="1:12">
      <c r="A2384" t="s">
        <v>628</v>
      </c>
      <c r="B2384" t="s">
        <v>7129</v>
      </c>
      <c r="D2384" t="s">
        <v>7131</v>
      </c>
      <c r="F2384" t="s">
        <v>7642</v>
      </c>
      <c r="J2384" t="s">
        <v>7643</v>
      </c>
      <c r="K2384" t="s">
        <v>628</v>
      </c>
      <c r="L2384" t="s">
        <v>7134</v>
      </c>
    </row>
    <row r="2385" spans="1:12">
      <c r="A2385" t="s">
        <v>628</v>
      </c>
      <c r="B2385" t="s">
        <v>7129</v>
      </c>
      <c r="D2385" t="s">
        <v>7131</v>
      </c>
      <c r="F2385" t="s">
        <v>7644</v>
      </c>
      <c r="J2385" t="s">
        <v>7645</v>
      </c>
      <c r="K2385" t="s">
        <v>628</v>
      </c>
      <c r="L2385" t="s">
        <v>7134</v>
      </c>
    </row>
    <row r="2386" spans="1:12">
      <c r="A2386" t="s">
        <v>628</v>
      </c>
      <c r="B2386" t="s">
        <v>7129</v>
      </c>
      <c r="D2386" t="s">
        <v>7131</v>
      </c>
      <c r="F2386" t="s">
        <v>7646</v>
      </c>
      <c r="J2386" t="s">
        <v>7647</v>
      </c>
      <c r="K2386" t="s">
        <v>628</v>
      </c>
      <c r="L2386" t="s">
        <v>7134</v>
      </c>
    </row>
    <row r="2387" spans="1:12">
      <c r="A2387" t="s">
        <v>628</v>
      </c>
      <c r="B2387" t="s">
        <v>7129</v>
      </c>
      <c r="D2387" t="s">
        <v>7131</v>
      </c>
      <c r="F2387" t="s">
        <v>7648</v>
      </c>
      <c r="J2387" t="s">
        <v>7649</v>
      </c>
      <c r="K2387" t="s">
        <v>628</v>
      </c>
      <c r="L2387" t="s">
        <v>7134</v>
      </c>
    </row>
    <row r="2388" spans="1:12">
      <c r="A2388" t="s">
        <v>628</v>
      </c>
      <c r="B2388" t="s">
        <v>7129</v>
      </c>
      <c r="D2388" t="s">
        <v>7131</v>
      </c>
      <c r="F2388" t="s">
        <v>7650</v>
      </c>
      <c r="J2388" t="s">
        <v>7651</v>
      </c>
      <c r="K2388" t="s">
        <v>628</v>
      </c>
      <c r="L2388" t="s">
        <v>7134</v>
      </c>
    </row>
    <row r="2389" spans="1:12">
      <c r="A2389" t="s">
        <v>628</v>
      </c>
      <c r="B2389" t="s">
        <v>7129</v>
      </c>
      <c r="D2389" t="s">
        <v>7131</v>
      </c>
      <c r="F2389" t="s">
        <v>7652</v>
      </c>
      <c r="J2389" t="s">
        <v>7653</v>
      </c>
      <c r="K2389" t="s">
        <v>628</v>
      </c>
      <c r="L2389" t="s">
        <v>7134</v>
      </c>
    </row>
    <row r="2390" spans="1:12">
      <c r="A2390" t="s">
        <v>628</v>
      </c>
      <c r="B2390" t="s">
        <v>7129</v>
      </c>
      <c r="D2390" t="s">
        <v>7131</v>
      </c>
      <c r="F2390" t="s">
        <v>7654</v>
      </c>
      <c r="J2390" t="s">
        <v>7655</v>
      </c>
      <c r="K2390" t="s">
        <v>628</v>
      </c>
      <c r="L2390" t="s">
        <v>7134</v>
      </c>
    </row>
    <row r="2391" spans="1:12">
      <c r="A2391" t="s">
        <v>628</v>
      </c>
      <c r="B2391" t="s">
        <v>7129</v>
      </c>
      <c r="D2391" t="s">
        <v>7131</v>
      </c>
      <c r="F2391" t="s">
        <v>7656</v>
      </c>
      <c r="J2391" t="s">
        <v>7657</v>
      </c>
      <c r="K2391" t="s">
        <v>628</v>
      </c>
      <c r="L2391" t="s">
        <v>7134</v>
      </c>
    </row>
    <row r="2392" spans="1:12">
      <c r="A2392" t="s">
        <v>628</v>
      </c>
      <c r="B2392" t="s">
        <v>7129</v>
      </c>
      <c r="D2392" t="s">
        <v>7131</v>
      </c>
      <c r="F2392" t="s">
        <v>7658</v>
      </c>
      <c r="J2392" t="s">
        <v>7659</v>
      </c>
      <c r="K2392" t="s">
        <v>628</v>
      </c>
      <c r="L2392" t="s">
        <v>7134</v>
      </c>
    </row>
    <row r="2393" spans="1:12">
      <c r="A2393" t="s">
        <v>628</v>
      </c>
      <c r="B2393" t="s">
        <v>7129</v>
      </c>
      <c r="D2393" t="s">
        <v>7131</v>
      </c>
      <c r="F2393" t="s">
        <v>7660</v>
      </c>
      <c r="J2393" t="s">
        <v>7661</v>
      </c>
      <c r="K2393" t="s">
        <v>628</v>
      </c>
      <c r="L2393" t="s">
        <v>7134</v>
      </c>
    </row>
    <row r="2394" spans="1:12">
      <c r="A2394" t="s">
        <v>628</v>
      </c>
      <c r="B2394" t="s">
        <v>7129</v>
      </c>
      <c r="D2394" t="s">
        <v>7131</v>
      </c>
      <c r="F2394" t="s">
        <v>7662</v>
      </c>
      <c r="J2394" t="s">
        <v>7663</v>
      </c>
      <c r="K2394" t="s">
        <v>628</v>
      </c>
      <c r="L2394" t="s">
        <v>7134</v>
      </c>
    </row>
    <row r="2395" spans="1:12">
      <c r="A2395" t="s">
        <v>628</v>
      </c>
      <c r="B2395" t="s">
        <v>7129</v>
      </c>
      <c r="D2395" t="s">
        <v>7131</v>
      </c>
      <c r="F2395" t="s">
        <v>7664</v>
      </c>
      <c r="J2395" t="s">
        <v>7665</v>
      </c>
      <c r="K2395" t="s">
        <v>628</v>
      </c>
      <c r="L2395" t="s">
        <v>7134</v>
      </c>
    </row>
    <row r="2396" spans="1:12">
      <c r="A2396" t="s">
        <v>628</v>
      </c>
      <c r="B2396" t="s">
        <v>7129</v>
      </c>
      <c r="D2396" t="s">
        <v>7131</v>
      </c>
      <c r="F2396" t="s">
        <v>7313</v>
      </c>
      <c r="J2396" t="s">
        <v>7666</v>
      </c>
      <c r="K2396" t="s">
        <v>628</v>
      </c>
      <c r="L2396" t="s">
        <v>7134</v>
      </c>
    </row>
    <row r="2397" spans="1:12">
      <c r="A2397" t="s">
        <v>628</v>
      </c>
      <c r="B2397" t="s">
        <v>7129</v>
      </c>
      <c r="D2397" t="s">
        <v>7131</v>
      </c>
      <c r="F2397" t="s">
        <v>7667</v>
      </c>
      <c r="J2397" t="s">
        <v>7668</v>
      </c>
      <c r="K2397" t="s">
        <v>628</v>
      </c>
      <c r="L2397" t="s">
        <v>7134</v>
      </c>
    </row>
    <row r="2398" spans="1:12">
      <c r="A2398" t="s">
        <v>628</v>
      </c>
      <c r="B2398" t="s">
        <v>7129</v>
      </c>
      <c r="D2398" t="s">
        <v>7131</v>
      </c>
      <c r="F2398" t="s">
        <v>7669</v>
      </c>
      <c r="J2398" t="s">
        <v>7670</v>
      </c>
      <c r="K2398" t="s">
        <v>628</v>
      </c>
      <c r="L2398" t="s">
        <v>7134</v>
      </c>
    </row>
    <row r="2399" spans="1:12">
      <c r="A2399" t="s">
        <v>628</v>
      </c>
      <c r="B2399" t="s">
        <v>7129</v>
      </c>
      <c r="D2399" t="s">
        <v>7131</v>
      </c>
      <c r="F2399" t="s">
        <v>7671</v>
      </c>
      <c r="J2399" t="s">
        <v>7672</v>
      </c>
      <c r="K2399" t="s">
        <v>628</v>
      </c>
      <c r="L2399" t="s">
        <v>7134</v>
      </c>
    </row>
    <row r="2400" spans="1:12">
      <c r="A2400" t="s">
        <v>628</v>
      </c>
      <c r="B2400" t="s">
        <v>7129</v>
      </c>
      <c r="D2400" t="s">
        <v>7131</v>
      </c>
      <c r="F2400" t="s">
        <v>7673</v>
      </c>
      <c r="J2400" t="s">
        <v>7674</v>
      </c>
      <c r="K2400" t="s">
        <v>628</v>
      </c>
      <c r="L2400" t="s">
        <v>7134</v>
      </c>
    </row>
    <row r="2401" spans="1:12">
      <c r="A2401" t="s">
        <v>628</v>
      </c>
      <c r="B2401" t="s">
        <v>7129</v>
      </c>
      <c r="D2401" t="s">
        <v>7131</v>
      </c>
      <c r="F2401" t="s">
        <v>7675</v>
      </c>
      <c r="J2401" t="s">
        <v>7534</v>
      </c>
      <c r="K2401" t="s">
        <v>628</v>
      </c>
      <c r="L2401" t="s">
        <v>7134</v>
      </c>
    </row>
    <row r="2402" spans="1:12">
      <c r="A2402" t="s">
        <v>628</v>
      </c>
      <c r="B2402" t="s">
        <v>7129</v>
      </c>
      <c r="D2402" t="s">
        <v>7131</v>
      </c>
      <c r="F2402" t="s">
        <v>7676</v>
      </c>
      <c r="J2402" t="s">
        <v>7677</v>
      </c>
      <c r="K2402" t="s">
        <v>628</v>
      </c>
      <c r="L2402" t="s">
        <v>7134</v>
      </c>
    </row>
    <row r="2403" spans="1:12">
      <c r="A2403" t="s">
        <v>628</v>
      </c>
      <c r="B2403" t="s">
        <v>7129</v>
      </c>
      <c r="D2403" t="s">
        <v>7131</v>
      </c>
      <c r="F2403" t="s">
        <v>7678</v>
      </c>
      <c r="J2403" t="s">
        <v>7679</v>
      </c>
      <c r="K2403" t="s">
        <v>628</v>
      </c>
      <c r="L2403" t="s">
        <v>7134</v>
      </c>
    </row>
    <row r="2404" spans="1:12">
      <c r="A2404" t="s">
        <v>628</v>
      </c>
      <c r="B2404" t="s">
        <v>7129</v>
      </c>
      <c r="D2404" t="s">
        <v>7131</v>
      </c>
      <c r="F2404" t="s">
        <v>7680</v>
      </c>
      <c r="J2404" t="s">
        <v>7681</v>
      </c>
      <c r="K2404" t="s">
        <v>628</v>
      </c>
      <c r="L2404" t="s">
        <v>7134</v>
      </c>
    </row>
    <row r="2405" spans="1:12">
      <c r="A2405" t="s">
        <v>628</v>
      </c>
      <c r="B2405" t="s">
        <v>7129</v>
      </c>
      <c r="D2405" t="s">
        <v>7131</v>
      </c>
      <c r="F2405" t="s">
        <v>7682</v>
      </c>
      <c r="J2405" t="s">
        <v>7683</v>
      </c>
      <c r="K2405" t="s">
        <v>628</v>
      </c>
      <c r="L2405" t="s">
        <v>7134</v>
      </c>
    </row>
    <row r="2406" spans="1:12">
      <c r="A2406" t="s">
        <v>628</v>
      </c>
      <c r="B2406" t="s">
        <v>7129</v>
      </c>
      <c r="D2406" t="s">
        <v>7131</v>
      </c>
      <c r="F2406" t="s">
        <v>7575</v>
      </c>
      <c r="J2406" t="s">
        <v>7684</v>
      </c>
      <c r="K2406" t="s">
        <v>628</v>
      </c>
      <c r="L2406" t="s">
        <v>7134</v>
      </c>
    </row>
    <row r="2407" spans="1:12">
      <c r="A2407" t="s">
        <v>628</v>
      </c>
      <c r="B2407" t="s">
        <v>7129</v>
      </c>
      <c r="D2407" t="s">
        <v>7131</v>
      </c>
      <c r="F2407" t="s">
        <v>7685</v>
      </c>
      <c r="J2407" t="s">
        <v>7686</v>
      </c>
      <c r="K2407" t="s">
        <v>628</v>
      </c>
      <c r="L2407" t="s">
        <v>7134</v>
      </c>
    </row>
    <row r="2408" spans="1:12">
      <c r="A2408" t="s">
        <v>628</v>
      </c>
      <c r="B2408" t="s">
        <v>7129</v>
      </c>
      <c r="D2408" t="s">
        <v>7131</v>
      </c>
      <c r="F2408" t="s">
        <v>7313</v>
      </c>
      <c r="J2408" t="s">
        <v>7687</v>
      </c>
      <c r="K2408" t="s">
        <v>628</v>
      </c>
      <c r="L2408" t="s">
        <v>7134</v>
      </c>
    </row>
    <row r="2409" spans="1:12">
      <c r="A2409" t="s">
        <v>628</v>
      </c>
      <c r="B2409" t="s">
        <v>7129</v>
      </c>
      <c r="D2409" t="s">
        <v>7131</v>
      </c>
      <c r="F2409" t="s">
        <v>7260</v>
      </c>
      <c r="J2409" t="s">
        <v>7688</v>
      </c>
      <c r="K2409" t="s">
        <v>628</v>
      </c>
      <c r="L2409" t="s">
        <v>7134</v>
      </c>
    </row>
    <row r="2410" spans="1:12">
      <c r="A2410" t="s">
        <v>7689</v>
      </c>
      <c r="B2410" t="s">
        <v>7690</v>
      </c>
      <c r="C2410" t="s">
        <v>7691</v>
      </c>
      <c r="D2410" t="s">
        <v>7692</v>
      </c>
      <c r="E2410" t="s">
        <v>7693</v>
      </c>
      <c r="F2410" t="s">
        <v>7694</v>
      </c>
      <c r="J2410" t="s">
        <v>7693</v>
      </c>
      <c r="K2410" t="s">
        <v>1108</v>
      </c>
      <c r="L2410" t="s">
        <v>814</v>
      </c>
    </row>
    <row r="2411" spans="1:12">
      <c r="A2411" t="s">
        <v>7689</v>
      </c>
      <c r="B2411" t="s">
        <v>7690</v>
      </c>
      <c r="C2411" t="s">
        <v>7695</v>
      </c>
      <c r="D2411" t="s">
        <v>7692</v>
      </c>
      <c r="E2411" t="s">
        <v>7696</v>
      </c>
      <c r="F2411" t="s">
        <v>7697</v>
      </c>
      <c r="J2411" t="s">
        <v>7696</v>
      </c>
      <c r="K2411" t="s">
        <v>1108</v>
      </c>
      <c r="L2411" t="s">
        <v>814</v>
      </c>
    </row>
    <row r="2412" spans="1:12">
      <c r="A2412" t="s">
        <v>7689</v>
      </c>
      <c r="B2412" t="s">
        <v>7690</v>
      </c>
      <c r="C2412" t="s">
        <v>7698</v>
      </c>
      <c r="D2412" t="s">
        <v>7692</v>
      </c>
      <c r="E2412" t="s">
        <v>7699</v>
      </c>
      <c r="F2412" t="s">
        <v>7700</v>
      </c>
      <c r="J2412" t="s">
        <v>7699</v>
      </c>
      <c r="K2412" t="s">
        <v>1108</v>
      </c>
      <c r="L2412" t="s">
        <v>814</v>
      </c>
    </row>
    <row r="2413" spans="1:12">
      <c r="A2413" t="s">
        <v>7689</v>
      </c>
      <c r="B2413" t="s">
        <v>7690</v>
      </c>
      <c r="C2413" t="s">
        <v>7701</v>
      </c>
      <c r="D2413" t="s">
        <v>7692</v>
      </c>
      <c r="E2413" t="s">
        <v>7702</v>
      </c>
      <c r="F2413" t="s">
        <v>7703</v>
      </c>
      <c r="J2413" t="s">
        <v>7702</v>
      </c>
      <c r="K2413" t="s">
        <v>1108</v>
      </c>
      <c r="L2413" t="s">
        <v>814</v>
      </c>
    </row>
    <row r="2414" spans="1:12">
      <c r="A2414" t="s">
        <v>7689</v>
      </c>
      <c r="B2414" t="s">
        <v>7690</v>
      </c>
      <c r="C2414" t="s">
        <v>7704</v>
      </c>
      <c r="D2414" t="s">
        <v>7692</v>
      </c>
      <c r="E2414" t="s">
        <v>7705</v>
      </c>
      <c r="F2414" t="s">
        <v>7706</v>
      </c>
      <c r="J2414" t="s">
        <v>7705</v>
      </c>
      <c r="K2414" t="s">
        <v>1108</v>
      </c>
      <c r="L2414" t="s">
        <v>814</v>
      </c>
    </row>
    <row r="2415" spans="1:12">
      <c r="A2415" t="s">
        <v>7689</v>
      </c>
      <c r="B2415" t="s">
        <v>7690</v>
      </c>
      <c r="C2415" t="s">
        <v>7707</v>
      </c>
      <c r="D2415" t="s">
        <v>7692</v>
      </c>
      <c r="E2415" t="s">
        <v>7708</v>
      </c>
      <c r="F2415" t="s">
        <v>7709</v>
      </c>
      <c r="J2415" t="s">
        <v>7708</v>
      </c>
      <c r="K2415" t="s">
        <v>1108</v>
      </c>
      <c r="L2415" t="s">
        <v>814</v>
      </c>
    </row>
    <row r="2416" spans="1:12">
      <c r="A2416" t="s">
        <v>7689</v>
      </c>
      <c r="B2416" t="s">
        <v>7690</v>
      </c>
      <c r="C2416" t="s">
        <v>7710</v>
      </c>
      <c r="D2416" t="s">
        <v>7692</v>
      </c>
      <c r="E2416" t="s">
        <v>7711</v>
      </c>
      <c r="F2416" t="s">
        <v>7712</v>
      </c>
      <c r="J2416" t="s">
        <v>7711</v>
      </c>
      <c r="K2416" t="s">
        <v>1108</v>
      </c>
      <c r="L2416" t="s">
        <v>814</v>
      </c>
    </row>
    <row r="2417" spans="1:12">
      <c r="A2417" t="s">
        <v>7689</v>
      </c>
      <c r="B2417" t="s">
        <v>7690</v>
      </c>
      <c r="C2417" t="s">
        <v>7713</v>
      </c>
      <c r="D2417" t="s">
        <v>7692</v>
      </c>
      <c r="E2417" t="s">
        <v>7714</v>
      </c>
      <c r="F2417" t="s">
        <v>7715</v>
      </c>
      <c r="J2417" t="s">
        <v>7714</v>
      </c>
      <c r="K2417" t="s">
        <v>1108</v>
      </c>
      <c r="L2417" t="s">
        <v>814</v>
      </c>
    </row>
    <row r="2418" spans="1:12">
      <c r="A2418" t="s">
        <v>7689</v>
      </c>
      <c r="B2418" t="s">
        <v>7690</v>
      </c>
      <c r="C2418" t="s">
        <v>7716</v>
      </c>
      <c r="D2418" t="s">
        <v>7692</v>
      </c>
      <c r="E2418" t="s">
        <v>7717</v>
      </c>
      <c r="F2418" t="s">
        <v>7718</v>
      </c>
      <c r="J2418" t="s">
        <v>7717</v>
      </c>
      <c r="K2418" t="s">
        <v>1108</v>
      </c>
      <c r="L2418" t="s">
        <v>814</v>
      </c>
    </row>
    <row r="2419" spans="1:12">
      <c r="A2419" t="s">
        <v>7689</v>
      </c>
      <c r="B2419" t="s">
        <v>7690</v>
      </c>
      <c r="C2419" t="s">
        <v>7719</v>
      </c>
      <c r="D2419" t="s">
        <v>7692</v>
      </c>
      <c r="E2419" t="s">
        <v>7720</v>
      </c>
      <c r="F2419" t="s">
        <v>7721</v>
      </c>
      <c r="J2419" t="s">
        <v>7720</v>
      </c>
      <c r="K2419" t="s">
        <v>1108</v>
      </c>
      <c r="L2419" t="s">
        <v>814</v>
      </c>
    </row>
    <row r="2420" spans="1:12">
      <c r="A2420" t="s">
        <v>7689</v>
      </c>
      <c r="B2420" t="s">
        <v>7690</v>
      </c>
      <c r="C2420" t="s">
        <v>7722</v>
      </c>
      <c r="D2420" t="s">
        <v>7692</v>
      </c>
      <c r="E2420" t="s">
        <v>7723</v>
      </c>
      <c r="F2420" t="s">
        <v>7724</v>
      </c>
      <c r="J2420" t="s">
        <v>7723</v>
      </c>
      <c r="K2420" t="s">
        <v>1108</v>
      </c>
      <c r="L2420" t="s">
        <v>814</v>
      </c>
    </row>
    <row r="2421" spans="1:12">
      <c r="A2421" t="s">
        <v>7689</v>
      </c>
      <c r="B2421" t="s">
        <v>7690</v>
      </c>
      <c r="C2421" t="s">
        <v>7725</v>
      </c>
      <c r="D2421" t="s">
        <v>7692</v>
      </c>
      <c r="E2421" t="s">
        <v>7726</v>
      </c>
      <c r="F2421" t="s">
        <v>7727</v>
      </c>
      <c r="J2421" t="s">
        <v>7726</v>
      </c>
      <c r="K2421" t="s">
        <v>1108</v>
      </c>
      <c r="L2421" t="s">
        <v>814</v>
      </c>
    </row>
    <row r="2422" spans="1:12">
      <c r="A2422" t="s">
        <v>7689</v>
      </c>
      <c r="B2422" t="s">
        <v>7690</v>
      </c>
      <c r="C2422" t="s">
        <v>7728</v>
      </c>
      <c r="D2422" t="s">
        <v>7692</v>
      </c>
      <c r="E2422" t="s">
        <v>7729</v>
      </c>
      <c r="F2422" t="s">
        <v>7730</v>
      </c>
      <c r="J2422" t="s">
        <v>7729</v>
      </c>
      <c r="K2422" t="s">
        <v>1108</v>
      </c>
      <c r="L2422" t="s">
        <v>814</v>
      </c>
    </row>
    <row r="2423" spans="1:12">
      <c r="A2423" t="s">
        <v>7689</v>
      </c>
      <c r="B2423" t="s">
        <v>7690</v>
      </c>
      <c r="C2423" t="s">
        <v>7731</v>
      </c>
      <c r="D2423" t="s">
        <v>7692</v>
      </c>
      <c r="E2423" t="s">
        <v>7732</v>
      </c>
      <c r="F2423" t="s">
        <v>7733</v>
      </c>
      <c r="J2423" t="s">
        <v>7732</v>
      </c>
      <c r="K2423" t="s">
        <v>1108</v>
      </c>
      <c r="L2423" t="s">
        <v>814</v>
      </c>
    </row>
    <row r="2424" spans="1:12">
      <c r="A2424" t="s">
        <v>7689</v>
      </c>
      <c r="B2424" t="s">
        <v>7690</v>
      </c>
      <c r="C2424" t="s">
        <v>7734</v>
      </c>
      <c r="D2424" t="s">
        <v>7692</v>
      </c>
      <c r="E2424" t="s">
        <v>7735</v>
      </c>
      <c r="F2424" t="s">
        <v>7736</v>
      </c>
      <c r="J2424" t="s">
        <v>7735</v>
      </c>
      <c r="K2424" t="s">
        <v>1108</v>
      </c>
      <c r="L2424" t="s">
        <v>814</v>
      </c>
    </row>
    <row r="2425" spans="1:12">
      <c r="A2425" t="s">
        <v>7689</v>
      </c>
      <c r="B2425" t="s">
        <v>7690</v>
      </c>
      <c r="C2425" t="s">
        <v>7737</v>
      </c>
      <c r="D2425" t="s">
        <v>7692</v>
      </c>
      <c r="E2425" t="s">
        <v>7738</v>
      </c>
      <c r="F2425" t="s">
        <v>7739</v>
      </c>
      <c r="J2425" t="s">
        <v>7738</v>
      </c>
      <c r="K2425" t="s">
        <v>1108</v>
      </c>
      <c r="L2425" t="s">
        <v>814</v>
      </c>
    </row>
    <row r="2426" spans="1:12">
      <c r="A2426" t="s">
        <v>7689</v>
      </c>
      <c r="B2426" t="s">
        <v>7690</v>
      </c>
      <c r="C2426" t="s">
        <v>7740</v>
      </c>
      <c r="D2426" t="s">
        <v>7692</v>
      </c>
      <c r="E2426" t="s">
        <v>7741</v>
      </c>
      <c r="F2426" t="s">
        <v>7742</v>
      </c>
      <c r="J2426" t="s">
        <v>7741</v>
      </c>
      <c r="K2426" t="s">
        <v>1108</v>
      </c>
      <c r="L2426" t="s">
        <v>814</v>
      </c>
    </row>
    <row r="2427" spans="1:12">
      <c r="A2427" t="s">
        <v>7689</v>
      </c>
      <c r="B2427" t="s">
        <v>7690</v>
      </c>
      <c r="C2427" t="s">
        <v>7743</v>
      </c>
      <c r="D2427" t="s">
        <v>7692</v>
      </c>
      <c r="E2427" t="s">
        <v>7744</v>
      </c>
      <c r="F2427" t="s">
        <v>7745</v>
      </c>
      <c r="J2427" t="s">
        <v>7744</v>
      </c>
      <c r="K2427" t="s">
        <v>1108</v>
      </c>
      <c r="L2427" t="s">
        <v>814</v>
      </c>
    </row>
    <row r="2428" spans="1:12">
      <c r="A2428" t="s">
        <v>7689</v>
      </c>
      <c r="B2428" t="s">
        <v>7690</v>
      </c>
      <c r="C2428" t="s">
        <v>7746</v>
      </c>
      <c r="D2428" t="s">
        <v>7692</v>
      </c>
      <c r="E2428" t="s">
        <v>7747</v>
      </c>
      <c r="F2428" t="s">
        <v>7748</v>
      </c>
      <c r="J2428" t="s">
        <v>7747</v>
      </c>
      <c r="K2428" t="s">
        <v>1108</v>
      </c>
      <c r="L2428" t="s">
        <v>814</v>
      </c>
    </row>
    <row r="2429" spans="1:12">
      <c r="A2429" t="s">
        <v>7689</v>
      </c>
      <c r="B2429" t="s">
        <v>7690</v>
      </c>
      <c r="C2429" t="s">
        <v>7749</v>
      </c>
      <c r="D2429" t="s">
        <v>7692</v>
      </c>
      <c r="E2429" t="s">
        <v>7750</v>
      </c>
      <c r="F2429" t="s">
        <v>7751</v>
      </c>
      <c r="J2429" t="s">
        <v>7750</v>
      </c>
      <c r="K2429" t="s">
        <v>1108</v>
      </c>
      <c r="L2429" t="s">
        <v>814</v>
      </c>
    </row>
    <row r="2430" spans="1:12">
      <c r="A2430" t="s">
        <v>7689</v>
      </c>
      <c r="B2430" t="s">
        <v>7690</v>
      </c>
      <c r="C2430" t="s">
        <v>7752</v>
      </c>
      <c r="D2430" t="s">
        <v>7692</v>
      </c>
      <c r="E2430" t="s">
        <v>7753</v>
      </c>
      <c r="F2430" t="s">
        <v>7754</v>
      </c>
      <c r="J2430" t="s">
        <v>7753</v>
      </c>
      <c r="K2430" t="s">
        <v>1108</v>
      </c>
      <c r="L2430" t="s">
        <v>814</v>
      </c>
    </row>
    <row r="2431" spans="1:12">
      <c r="A2431" t="s">
        <v>7689</v>
      </c>
      <c r="B2431" t="s">
        <v>7690</v>
      </c>
      <c r="C2431" t="s">
        <v>7755</v>
      </c>
      <c r="D2431" t="s">
        <v>7692</v>
      </c>
      <c r="E2431" t="s">
        <v>7756</v>
      </c>
      <c r="F2431" t="s">
        <v>7757</v>
      </c>
      <c r="J2431" t="s">
        <v>7756</v>
      </c>
      <c r="K2431" t="s">
        <v>1108</v>
      </c>
      <c r="L2431" t="s">
        <v>814</v>
      </c>
    </row>
    <row r="2432" spans="1:12">
      <c r="A2432" t="s">
        <v>7689</v>
      </c>
      <c r="B2432" t="s">
        <v>7690</v>
      </c>
      <c r="C2432" t="s">
        <v>7758</v>
      </c>
      <c r="D2432" t="s">
        <v>7692</v>
      </c>
      <c r="E2432" t="s">
        <v>5117</v>
      </c>
      <c r="F2432" t="s">
        <v>7759</v>
      </c>
      <c r="J2432" t="s">
        <v>5117</v>
      </c>
      <c r="K2432" t="s">
        <v>1108</v>
      </c>
      <c r="L2432" t="s">
        <v>814</v>
      </c>
    </row>
    <row r="2433" spans="1:12">
      <c r="A2433" t="s">
        <v>7689</v>
      </c>
      <c r="B2433" t="s">
        <v>7690</v>
      </c>
      <c r="C2433" t="s">
        <v>7760</v>
      </c>
      <c r="D2433" t="s">
        <v>7692</v>
      </c>
      <c r="E2433" t="s">
        <v>7761</v>
      </c>
      <c r="F2433" t="s">
        <v>7762</v>
      </c>
      <c r="J2433" t="s">
        <v>7761</v>
      </c>
      <c r="K2433" t="s">
        <v>1108</v>
      </c>
      <c r="L2433" t="s">
        <v>814</v>
      </c>
    </row>
    <row r="2434" spans="1:12">
      <c r="A2434" t="s">
        <v>7689</v>
      </c>
      <c r="B2434" t="s">
        <v>7690</v>
      </c>
      <c r="C2434" t="s">
        <v>7763</v>
      </c>
      <c r="D2434" t="s">
        <v>7692</v>
      </c>
      <c r="E2434" t="s">
        <v>7764</v>
      </c>
      <c r="F2434" t="s">
        <v>7765</v>
      </c>
      <c r="J2434" t="s">
        <v>7764</v>
      </c>
      <c r="K2434" t="s">
        <v>1108</v>
      </c>
      <c r="L2434" t="s">
        <v>814</v>
      </c>
    </row>
    <row r="2435" spans="1:12">
      <c r="A2435" t="s">
        <v>7689</v>
      </c>
      <c r="B2435" t="s">
        <v>7690</v>
      </c>
      <c r="C2435" t="s">
        <v>7766</v>
      </c>
      <c r="D2435" t="s">
        <v>7692</v>
      </c>
      <c r="E2435" t="s">
        <v>7767</v>
      </c>
      <c r="F2435" t="s">
        <v>7768</v>
      </c>
      <c r="J2435" t="s">
        <v>7767</v>
      </c>
      <c r="K2435" t="s">
        <v>1108</v>
      </c>
      <c r="L2435" t="s">
        <v>814</v>
      </c>
    </row>
    <row r="2436" spans="1:12">
      <c r="A2436" t="s">
        <v>7689</v>
      </c>
      <c r="B2436" t="s">
        <v>7690</v>
      </c>
      <c r="C2436" t="s">
        <v>7769</v>
      </c>
      <c r="D2436" t="s">
        <v>7692</v>
      </c>
      <c r="E2436" t="s">
        <v>7770</v>
      </c>
      <c r="F2436" t="s">
        <v>7771</v>
      </c>
      <c r="J2436" t="s">
        <v>7770</v>
      </c>
      <c r="K2436" t="s">
        <v>1108</v>
      </c>
      <c r="L2436" t="s">
        <v>814</v>
      </c>
    </row>
    <row r="2437" spans="1:12">
      <c r="A2437" t="s">
        <v>7689</v>
      </c>
      <c r="B2437" t="s">
        <v>7690</v>
      </c>
      <c r="C2437" t="s">
        <v>7772</v>
      </c>
      <c r="D2437" t="s">
        <v>7692</v>
      </c>
      <c r="E2437" t="s">
        <v>2721</v>
      </c>
      <c r="F2437" t="s">
        <v>7773</v>
      </c>
    </row>
    <row r="2438" spans="1:12">
      <c r="A2438" t="s">
        <v>7689</v>
      </c>
      <c r="B2438" t="s">
        <v>7690</v>
      </c>
      <c r="C2438" t="s">
        <v>7774</v>
      </c>
      <c r="D2438" t="s">
        <v>7692</v>
      </c>
      <c r="E2438" t="s">
        <v>5181</v>
      </c>
      <c r="F2438" t="s">
        <v>7775</v>
      </c>
      <c r="J2438" t="s">
        <v>5181</v>
      </c>
      <c r="K2438" t="s">
        <v>1108</v>
      </c>
      <c r="L2438" t="s">
        <v>814</v>
      </c>
    </row>
    <row r="2439" spans="1:12">
      <c r="A2439" t="s">
        <v>7689</v>
      </c>
      <c r="B2439" t="s">
        <v>7690</v>
      </c>
      <c r="C2439" t="s">
        <v>7776</v>
      </c>
      <c r="D2439" t="s">
        <v>7692</v>
      </c>
      <c r="E2439" t="s">
        <v>7777</v>
      </c>
      <c r="F2439" t="s">
        <v>7778</v>
      </c>
      <c r="J2439" t="s">
        <v>7777</v>
      </c>
      <c r="K2439" t="s">
        <v>1108</v>
      </c>
      <c r="L2439" t="s">
        <v>814</v>
      </c>
    </row>
    <row r="2440" spans="1:12">
      <c r="A2440" t="s">
        <v>7689</v>
      </c>
      <c r="B2440" t="s">
        <v>7690</v>
      </c>
      <c r="C2440" t="s">
        <v>7779</v>
      </c>
      <c r="D2440" t="s">
        <v>7692</v>
      </c>
      <c r="E2440" t="s">
        <v>7780</v>
      </c>
      <c r="F2440" t="s">
        <v>7781</v>
      </c>
      <c r="J2440" t="s">
        <v>7780</v>
      </c>
      <c r="K2440" t="s">
        <v>1108</v>
      </c>
      <c r="L2440" t="s">
        <v>814</v>
      </c>
    </row>
    <row r="2441" spans="1:12">
      <c r="A2441" t="s">
        <v>7689</v>
      </c>
      <c r="B2441" t="s">
        <v>7690</v>
      </c>
      <c r="C2441" t="s">
        <v>7782</v>
      </c>
      <c r="D2441" t="s">
        <v>7692</v>
      </c>
      <c r="E2441" t="s">
        <v>7783</v>
      </c>
      <c r="F2441" t="s">
        <v>7784</v>
      </c>
      <c r="J2441" t="s">
        <v>7783</v>
      </c>
      <c r="K2441" t="s">
        <v>1108</v>
      </c>
      <c r="L2441" t="s">
        <v>814</v>
      </c>
    </row>
    <row r="2442" spans="1:12">
      <c r="A2442" t="s">
        <v>7689</v>
      </c>
      <c r="B2442" t="s">
        <v>7690</v>
      </c>
      <c r="C2442" t="s">
        <v>7785</v>
      </c>
      <c r="D2442" t="s">
        <v>7692</v>
      </c>
      <c r="E2442" t="s">
        <v>7786</v>
      </c>
      <c r="F2442" t="s">
        <v>7787</v>
      </c>
      <c r="J2442" t="s">
        <v>7786</v>
      </c>
      <c r="K2442" t="s">
        <v>1108</v>
      </c>
      <c r="L2442" t="s">
        <v>814</v>
      </c>
    </row>
    <row r="2443" spans="1:12">
      <c r="A2443" t="s">
        <v>7689</v>
      </c>
      <c r="B2443" t="s">
        <v>7690</v>
      </c>
      <c r="C2443" t="s">
        <v>7788</v>
      </c>
      <c r="D2443" t="s">
        <v>7692</v>
      </c>
      <c r="E2443" t="s">
        <v>7789</v>
      </c>
      <c r="F2443" t="s">
        <v>7790</v>
      </c>
    </row>
    <row r="2444" spans="1:12">
      <c r="A2444" t="s">
        <v>7689</v>
      </c>
      <c r="B2444" t="s">
        <v>7690</v>
      </c>
      <c r="C2444" t="s">
        <v>7791</v>
      </c>
      <c r="D2444" t="s">
        <v>7692</v>
      </c>
      <c r="E2444" t="s">
        <v>7792</v>
      </c>
      <c r="F2444" t="s">
        <v>7793</v>
      </c>
      <c r="J2444" t="s">
        <v>7792</v>
      </c>
      <c r="K2444" t="s">
        <v>1108</v>
      </c>
      <c r="L2444" t="s">
        <v>814</v>
      </c>
    </row>
    <row r="2445" spans="1:12">
      <c r="A2445" t="s">
        <v>7689</v>
      </c>
      <c r="B2445" t="s">
        <v>7690</v>
      </c>
      <c r="C2445" t="s">
        <v>7794</v>
      </c>
      <c r="D2445" t="s">
        <v>7692</v>
      </c>
      <c r="E2445" t="s">
        <v>7795</v>
      </c>
      <c r="F2445" t="s">
        <v>7796</v>
      </c>
      <c r="J2445" t="s">
        <v>7795</v>
      </c>
      <c r="K2445" t="s">
        <v>1108</v>
      </c>
      <c r="L2445" t="s">
        <v>814</v>
      </c>
    </row>
    <row r="2446" spans="1:12">
      <c r="A2446" t="s">
        <v>7689</v>
      </c>
      <c r="B2446" t="s">
        <v>7690</v>
      </c>
      <c r="C2446" t="s">
        <v>7797</v>
      </c>
      <c r="D2446" t="s">
        <v>7692</v>
      </c>
      <c r="E2446" t="s">
        <v>7798</v>
      </c>
      <c r="F2446" t="s">
        <v>7799</v>
      </c>
      <c r="J2446" t="s">
        <v>7798</v>
      </c>
      <c r="K2446" t="s">
        <v>1108</v>
      </c>
      <c r="L2446" t="s">
        <v>814</v>
      </c>
    </row>
    <row r="2447" spans="1:12">
      <c r="A2447" t="s">
        <v>7689</v>
      </c>
      <c r="B2447" t="s">
        <v>7690</v>
      </c>
      <c r="C2447" t="s">
        <v>7800</v>
      </c>
      <c r="D2447" t="s">
        <v>7692</v>
      </c>
      <c r="E2447" t="s">
        <v>7801</v>
      </c>
      <c r="F2447" t="s">
        <v>7802</v>
      </c>
      <c r="J2447" t="s">
        <v>7801</v>
      </c>
      <c r="K2447" t="s">
        <v>1108</v>
      </c>
      <c r="L2447" t="s">
        <v>814</v>
      </c>
    </row>
    <row r="2448" spans="1:12">
      <c r="A2448" t="s">
        <v>7689</v>
      </c>
      <c r="B2448" t="s">
        <v>7690</v>
      </c>
      <c r="C2448" t="s">
        <v>7803</v>
      </c>
      <c r="D2448" t="s">
        <v>7692</v>
      </c>
      <c r="E2448" t="s">
        <v>7804</v>
      </c>
      <c r="F2448" t="s">
        <v>7805</v>
      </c>
      <c r="J2448" t="s">
        <v>7804</v>
      </c>
      <c r="K2448" t="s">
        <v>1108</v>
      </c>
      <c r="L2448" t="s">
        <v>814</v>
      </c>
    </row>
    <row r="2449" spans="1:12">
      <c r="A2449" t="s">
        <v>7689</v>
      </c>
      <c r="B2449" t="s">
        <v>7690</v>
      </c>
      <c r="C2449" t="s">
        <v>7806</v>
      </c>
      <c r="D2449" t="s">
        <v>7692</v>
      </c>
      <c r="E2449" t="s">
        <v>3014</v>
      </c>
      <c r="F2449" t="s">
        <v>7807</v>
      </c>
      <c r="J2449" t="s">
        <v>3014</v>
      </c>
      <c r="K2449" t="s">
        <v>1108</v>
      </c>
      <c r="L2449" t="s">
        <v>814</v>
      </c>
    </row>
    <row r="2450" spans="1:12">
      <c r="A2450" t="s">
        <v>7689</v>
      </c>
      <c r="B2450" t="s">
        <v>7690</v>
      </c>
      <c r="C2450" t="s">
        <v>7808</v>
      </c>
      <c r="D2450" t="s">
        <v>7692</v>
      </c>
      <c r="E2450" t="s">
        <v>7809</v>
      </c>
      <c r="F2450" t="s">
        <v>7810</v>
      </c>
      <c r="J2450" t="s">
        <v>7809</v>
      </c>
      <c r="K2450" t="s">
        <v>1108</v>
      </c>
      <c r="L2450" t="s">
        <v>814</v>
      </c>
    </row>
    <row r="2451" spans="1:12">
      <c r="A2451" t="s">
        <v>7689</v>
      </c>
      <c r="B2451" t="s">
        <v>7690</v>
      </c>
      <c r="C2451" t="s">
        <v>7811</v>
      </c>
      <c r="D2451" t="s">
        <v>7692</v>
      </c>
      <c r="E2451" t="s">
        <v>7812</v>
      </c>
      <c r="F2451" t="s">
        <v>7813</v>
      </c>
      <c r="J2451" t="s">
        <v>7812</v>
      </c>
      <c r="K2451" t="s">
        <v>1108</v>
      </c>
      <c r="L2451" t="s">
        <v>814</v>
      </c>
    </row>
    <row r="2452" spans="1:12">
      <c r="A2452" t="s">
        <v>7689</v>
      </c>
      <c r="B2452" t="s">
        <v>7690</v>
      </c>
      <c r="C2452" t="s">
        <v>7814</v>
      </c>
      <c r="D2452" t="s">
        <v>7692</v>
      </c>
      <c r="E2452" t="s">
        <v>7815</v>
      </c>
      <c r="F2452" t="s">
        <v>7816</v>
      </c>
      <c r="J2452" t="s">
        <v>7815</v>
      </c>
      <c r="K2452" t="s">
        <v>1108</v>
      </c>
      <c r="L2452" t="s">
        <v>814</v>
      </c>
    </row>
    <row r="2453" spans="1:12">
      <c r="A2453" t="s">
        <v>7689</v>
      </c>
      <c r="B2453" t="s">
        <v>7690</v>
      </c>
      <c r="C2453" t="s">
        <v>7817</v>
      </c>
      <c r="D2453" t="s">
        <v>7692</v>
      </c>
      <c r="E2453" t="s">
        <v>655</v>
      </c>
      <c r="F2453" t="s">
        <v>656</v>
      </c>
    </row>
    <row r="2454" spans="1:12">
      <c r="A2454" t="s">
        <v>7689</v>
      </c>
      <c r="B2454" t="s">
        <v>7690</v>
      </c>
      <c r="D2454" t="s">
        <v>7692</v>
      </c>
      <c r="F2454" t="s">
        <v>7818</v>
      </c>
      <c r="J2454" t="s">
        <v>7819</v>
      </c>
      <c r="K2454" t="s">
        <v>1108</v>
      </c>
      <c r="L2454" t="s">
        <v>814</v>
      </c>
    </row>
    <row r="2455" spans="1:12">
      <c r="A2455" t="s">
        <v>7689</v>
      </c>
      <c r="B2455" t="s">
        <v>7690</v>
      </c>
      <c r="D2455" t="s">
        <v>7692</v>
      </c>
      <c r="F2455" t="s">
        <v>7820</v>
      </c>
      <c r="J2455" t="s">
        <v>4654</v>
      </c>
      <c r="K2455" t="s">
        <v>1108</v>
      </c>
      <c r="L2455" t="s">
        <v>814</v>
      </c>
    </row>
    <row r="2456" spans="1:12">
      <c r="A2456" t="s">
        <v>7689</v>
      </c>
      <c r="B2456" t="s">
        <v>7690</v>
      </c>
      <c r="D2456" t="s">
        <v>7692</v>
      </c>
      <c r="F2456" t="s">
        <v>7821</v>
      </c>
      <c r="J2456" t="s">
        <v>7822</v>
      </c>
      <c r="K2456" t="s">
        <v>1108</v>
      </c>
      <c r="L2456" t="s">
        <v>814</v>
      </c>
    </row>
    <row r="2457" spans="1:12">
      <c r="A2457" t="s">
        <v>7689</v>
      </c>
      <c r="B2457" t="s">
        <v>7690</v>
      </c>
      <c r="D2457" t="s">
        <v>7692</v>
      </c>
      <c r="F2457" t="s">
        <v>7823</v>
      </c>
      <c r="J2457" t="s">
        <v>7824</v>
      </c>
      <c r="K2457" t="s">
        <v>1108</v>
      </c>
      <c r="L2457" t="s">
        <v>814</v>
      </c>
    </row>
    <row r="2458" spans="1:12">
      <c r="A2458" t="s">
        <v>7689</v>
      </c>
      <c r="B2458" t="s">
        <v>7690</v>
      </c>
      <c r="D2458" t="s">
        <v>7692</v>
      </c>
      <c r="F2458" t="s">
        <v>7825</v>
      </c>
      <c r="J2458" t="s">
        <v>7826</v>
      </c>
      <c r="K2458" t="s">
        <v>1108</v>
      </c>
      <c r="L2458" t="s">
        <v>814</v>
      </c>
    </row>
    <row r="2459" spans="1:12">
      <c r="A2459" t="s">
        <v>7689</v>
      </c>
      <c r="B2459" t="s">
        <v>7690</v>
      </c>
      <c r="D2459" t="s">
        <v>7692</v>
      </c>
      <c r="F2459" t="s">
        <v>7827</v>
      </c>
      <c r="J2459" t="s">
        <v>7828</v>
      </c>
      <c r="K2459" t="s">
        <v>1108</v>
      </c>
      <c r="L2459" t="s">
        <v>814</v>
      </c>
    </row>
    <row r="2460" spans="1:12">
      <c r="A2460" t="s">
        <v>7689</v>
      </c>
      <c r="B2460" t="s">
        <v>7690</v>
      </c>
      <c r="D2460" t="s">
        <v>7692</v>
      </c>
      <c r="F2460" t="s">
        <v>7829</v>
      </c>
      <c r="J2460" t="s">
        <v>7830</v>
      </c>
      <c r="K2460" t="s">
        <v>1108</v>
      </c>
      <c r="L2460" t="s">
        <v>814</v>
      </c>
    </row>
    <row r="2461" spans="1:12">
      <c r="A2461" t="s">
        <v>7689</v>
      </c>
      <c r="B2461" t="s">
        <v>7690</v>
      </c>
      <c r="D2461" t="s">
        <v>7692</v>
      </c>
      <c r="F2461" t="s">
        <v>7831</v>
      </c>
      <c r="J2461" t="s">
        <v>7832</v>
      </c>
      <c r="K2461" t="s">
        <v>1108</v>
      </c>
      <c r="L2461" t="s">
        <v>814</v>
      </c>
    </row>
    <row r="2462" spans="1:12">
      <c r="A2462" t="s">
        <v>7689</v>
      </c>
      <c r="B2462" t="s">
        <v>7690</v>
      </c>
      <c r="D2462" t="s">
        <v>7692</v>
      </c>
      <c r="F2462" t="s">
        <v>7833</v>
      </c>
      <c r="J2462" t="s">
        <v>7834</v>
      </c>
      <c r="K2462" t="s">
        <v>1108</v>
      </c>
      <c r="L2462" t="s">
        <v>814</v>
      </c>
    </row>
    <row r="2463" spans="1:12">
      <c r="A2463" t="s">
        <v>7689</v>
      </c>
      <c r="B2463" t="s">
        <v>7690</v>
      </c>
      <c r="D2463" t="s">
        <v>7692</v>
      </c>
      <c r="F2463" t="s">
        <v>7835</v>
      </c>
      <c r="J2463" t="s">
        <v>7836</v>
      </c>
      <c r="K2463" t="s">
        <v>1108</v>
      </c>
      <c r="L2463" t="s">
        <v>814</v>
      </c>
    </row>
    <row r="2464" spans="1:12">
      <c r="A2464" t="s">
        <v>7689</v>
      </c>
      <c r="B2464" t="s">
        <v>7690</v>
      </c>
      <c r="D2464" t="s">
        <v>7692</v>
      </c>
      <c r="F2464" t="s">
        <v>7837</v>
      </c>
      <c r="J2464" t="s">
        <v>7838</v>
      </c>
      <c r="K2464" t="s">
        <v>1108</v>
      </c>
      <c r="L2464" t="s">
        <v>814</v>
      </c>
    </row>
    <row r="2465" spans="1:12">
      <c r="A2465" t="s">
        <v>7689</v>
      </c>
      <c r="B2465" t="s">
        <v>7690</v>
      </c>
      <c r="D2465" t="s">
        <v>7692</v>
      </c>
      <c r="F2465" t="s">
        <v>7839</v>
      </c>
      <c r="J2465" t="s">
        <v>7840</v>
      </c>
      <c r="K2465" t="s">
        <v>1108</v>
      </c>
      <c r="L2465" t="s">
        <v>814</v>
      </c>
    </row>
    <row r="2466" spans="1:12">
      <c r="A2466" t="s">
        <v>7689</v>
      </c>
      <c r="B2466" t="s">
        <v>7690</v>
      </c>
      <c r="D2466" t="s">
        <v>7692</v>
      </c>
      <c r="F2466" t="s">
        <v>7841</v>
      </c>
      <c r="J2466" t="s">
        <v>7842</v>
      </c>
      <c r="K2466" t="s">
        <v>1108</v>
      </c>
      <c r="L2466" t="s">
        <v>814</v>
      </c>
    </row>
    <row r="2467" spans="1:12">
      <c r="A2467" t="s">
        <v>7689</v>
      </c>
      <c r="B2467" t="s">
        <v>7690</v>
      </c>
      <c r="D2467" t="s">
        <v>7692</v>
      </c>
      <c r="F2467" t="s">
        <v>7843</v>
      </c>
      <c r="J2467" t="s">
        <v>7844</v>
      </c>
      <c r="K2467" t="s">
        <v>1108</v>
      </c>
      <c r="L2467" t="s">
        <v>814</v>
      </c>
    </row>
    <row r="2468" spans="1:12">
      <c r="A2468" t="s">
        <v>7689</v>
      </c>
      <c r="B2468" t="s">
        <v>7690</v>
      </c>
      <c r="D2468" t="s">
        <v>7692</v>
      </c>
      <c r="F2468" t="s">
        <v>7845</v>
      </c>
      <c r="J2468" t="s">
        <v>4913</v>
      </c>
      <c r="K2468" t="s">
        <v>1108</v>
      </c>
      <c r="L2468" t="s">
        <v>814</v>
      </c>
    </row>
    <row r="2469" spans="1:12">
      <c r="A2469" t="s">
        <v>7689</v>
      </c>
      <c r="B2469" t="s">
        <v>7690</v>
      </c>
      <c r="D2469" t="s">
        <v>7692</v>
      </c>
      <c r="F2469" t="s">
        <v>7846</v>
      </c>
      <c r="J2469" t="s">
        <v>7847</v>
      </c>
      <c r="K2469" t="s">
        <v>1108</v>
      </c>
      <c r="L2469" t="s">
        <v>814</v>
      </c>
    </row>
    <row r="2470" spans="1:12">
      <c r="A2470" t="s">
        <v>7689</v>
      </c>
      <c r="B2470" t="s">
        <v>7690</v>
      </c>
      <c r="D2470" t="s">
        <v>7692</v>
      </c>
      <c r="F2470" t="s">
        <v>7848</v>
      </c>
      <c r="J2470" t="s">
        <v>7849</v>
      </c>
      <c r="K2470" t="s">
        <v>1108</v>
      </c>
      <c r="L2470" t="s">
        <v>814</v>
      </c>
    </row>
    <row r="2471" spans="1:12">
      <c r="A2471" t="s">
        <v>7689</v>
      </c>
      <c r="B2471" t="s">
        <v>7690</v>
      </c>
      <c r="D2471" t="s">
        <v>7692</v>
      </c>
      <c r="F2471" t="s">
        <v>7850</v>
      </c>
      <c r="J2471" t="s">
        <v>7851</v>
      </c>
      <c r="K2471" t="s">
        <v>1108</v>
      </c>
      <c r="L2471" t="s">
        <v>814</v>
      </c>
    </row>
    <row r="2472" spans="1:12">
      <c r="A2472" t="s">
        <v>7689</v>
      </c>
      <c r="B2472" t="s">
        <v>7690</v>
      </c>
      <c r="D2472" t="s">
        <v>7692</v>
      </c>
      <c r="F2472" t="s">
        <v>7852</v>
      </c>
      <c r="J2472" t="s">
        <v>7853</v>
      </c>
      <c r="K2472" t="s">
        <v>1108</v>
      </c>
      <c r="L2472" t="s">
        <v>814</v>
      </c>
    </row>
    <row r="2473" spans="1:12">
      <c r="A2473" t="s">
        <v>7689</v>
      </c>
      <c r="B2473" t="s">
        <v>7690</v>
      </c>
      <c r="D2473" t="s">
        <v>7692</v>
      </c>
      <c r="F2473" t="s">
        <v>7854</v>
      </c>
      <c r="J2473" t="s">
        <v>7855</v>
      </c>
      <c r="K2473" t="s">
        <v>1108</v>
      </c>
      <c r="L2473" t="s">
        <v>814</v>
      </c>
    </row>
    <row r="2474" spans="1:12">
      <c r="A2474" t="s">
        <v>7689</v>
      </c>
      <c r="B2474" t="s">
        <v>7690</v>
      </c>
      <c r="D2474" t="s">
        <v>7692</v>
      </c>
      <c r="F2474" t="s">
        <v>7856</v>
      </c>
      <c r="J2474" t="s">
        <v>7857</v>
      </c>
      <c r="K2474" t="s">
        <v>1108</v>
      </c>
      <c r="L2474" t="s">
        <v>814</v>
      </c>
    </row>
    <row r="2475" spans="1:12">
      <c r="A2475" t="s">
        <v>7689</v>
      </c>
      <c r="B2475" t="s">
        <v>7690</v>
      </c>
      <c r="D2475" t="s">
        <v>7692</v>
      </c>
      <c r="F2475" t="s">
        <v>7858</v>
      </c>
      <c r="J2475" t="s">
        <v>7859</v>
      </c>
      <c r="K2475" t="s">
        <v>1108</v>
      </c>
      <c r="L2475" t="s">
        <v>814</v>
      </c>
    </row>
    <row r="2476" spans="1:12">
      <c r="A2476" t="s">
        <v>7689</v>
      </c>
      <c r="B2476" t="s">
        <v>7690</v>
      </c>
      <c r="D2476" t="s">
        <v>7692</v>
      </c>
      <c r="F2476" t="s">
        <v>4836</v>
      </c>
      <c r="J2476" t="s">
        <v>7860</v>
      </c>
      <c r="K2476" t="s">
        <v>1108</v>
      </c>
      <c r="L2476" t="s">
        <v>814</v>
      </c>
    </row>
    <row r="2477" spans="1:12">
      <c r="A2477" t="s">
        <v>7689</v>
      </c>
      <c r="B2477" t="s">
        <v>7690</v>
      </c>
      <c r="D2477" t="s">
        <v>7692</v>
      </c>
      <c r="F2477" t="s">
        <v>7861</v>
      </c>
      <c r="J2477" t="s">
        <v>7862</v>
      </c>
      <c r="K2477" t="s">
        <v>1108</v>
      </c>
      <c r="L2477" t="s">
        <v>814</v>
      </c>
    </row>
    <row r="2478" spans="1:12">
      <c r="A2478" t="s">
        <v>7689</v>
      </c>
      <c r="B2478" t="s">
        <v>7690</v>
      </c>
      <c r="D2478" t="s">
        <v>7692</v>
      </c>
      <c r="F2478" t="s">
        <v>7863</v>
      </c>
      <c r="J2478" t="s">
        <v>7864</v>
      </c>
      <c r="K2478" t="s">
        <v>1108</v>
      </c>
      <c r="L2478" t="s">
        <v>814</v>
      </c>
    </row>
    <row r="2479" spans="1:12">
      <c r="A2479" t="s">
        <v>7689</v>
      </c>
      <c r="B2479" t="s">
        <v>7690</v>
      </c>
      <c r="D2479" t="s">
        <v>7692</v>
      </c>
      <c r="F2479" t="s">
        <v>7865</v>
      </c>
      <c r="J2479" t="s">
        <v>7866</v>
      </c>
      <c r="K2479" t="s">
        <v>1108</v>
      </c>
      <c r="L2479" t="s">
        <v>814</v>
      </c>
    </row>
    <row r="2480" spans="1:12">
      <c r="A2480" t="s">
        <v>7689</v>
      </c>
      <c r="B2480" t="s">
        <v>7690</v>
      </c>
      <c r="D2480" t="s">
        <v>7692</v>
      </c>
      <c r="F2480" t="s">
        <v>7867</v>
      </c>
      <c r="J2480" t="s">
        <v>7868</v>
      </c>
      <c r="K2480" t="s">
        <v>1108</v>
      </c>
      <c r="L2480" t="s">
        <v>814</v>
      </c>
    </row>
    <row r="2481" spans="1:12">
      <c r="A2481" t="s">
        <v>7689</v>
      </c>
      <c r="B2481" t="s">
        <v>7690</v>
      </c>
      <c r="D2481" t="s">
        <v>7692</v>
      </c>
      <c r="F2481" t="s">
        <v>7869</v>
      </c>
      <c r="J2481" t="s">
        <v>7870</v>
      </c>
      <c r="K2481" t="s">
        <v>1108</v>
      </c>
      <c r="L2481" t="s">
        <v>814</v>
      </c>
    </row>
    <row r="2482" spans="1:12">
      <c r="A2482" t="s">
        <v>7689</v>
      </c>
      <c r="B2482" t="s">
        <v>7690</v>
      </c>
      <c r="D2482" t="s">
        <v>7692</v>
      </c>
      <c r="F2482" t="s">
        <v>7871</v>
      </c>
      <c r="J2482" t="s">
        <v>7872</v>
      </c>
      <c r="K2482" t="s">
        <v>1108</v>
      </c>
      <c r="L2482" t="s">
        <v>814</v>
      </c>
    </row>
    <row r="2483" spans="1:12">
      <c r="A2483" t="s">
        <v>7689</v>
      </c>
      <c r="B2483" t="s">
        <v>7690</v>
      </c>
      <c r="D2483" t="s">
        <v>7692</v>
      </c>
      <c r="F2483" t="s">
        <v>7873</v>
      </c>
      <c r="J2483" t="s">
        <v>7874</v>
      </c>
      <c r="K2483" t="s">
        <v>1108</v>
      </c>
      <c r="L2483" t="s">
        <v>814</v>
      </c>
    </row>
    <row r="2484" spans="1:12">
      <c r="A2484" t="s">
        <v>7689</v>
      </c>
      <c r="B2484" t="s">
        <v>7690</v>
      </c>
      <c r="D2484" t="s">
        <v>7692</v>
      </c>
      <c r="F2484" t="s">
        <v>7875</v>
      </c>
      <c r="J2484" t="s">
        <v>7876</v>
      </c>
      <c r="K2484" t="s">
        <v>1108</v>
      </c>
      <c r="L2484" t="s">
        <v>814</v>
      </c>
    </row>
    <row r="2485" spans="1:12">
      <c r="A2485" t="s">
        <v>7689</v>
      </c>
      <c r="B2485" t="s">
        <v>7690</v>
      </c>
      <c r="D2485" t="s">
        <v>7692</v>
      </c>
      <c r="F2485" t="s">
        <v>7877</v>
      </c>
      <c r="J2485" t="s">
        <v>7878</v>
      </c>
      <c r="K2485" t="s">
        <v>1108</v>
      </c>
      <c r="L2485" t="s">
        <v>814</v>
      </c>
    </row>
    <row r="2486" spans="1:12">
      <c r="A2486" t="s">
        <v>7689</v>
      </c>
      <c r="B2486" t="s">
        <v>7690</v>
      </c>
      <c r="D2486" t="s">
        <v>7692</v>
      </c>
      <c r="F2486" t="s">
        <v>7879</v>
      </c>
      <c r="J2486" t="s">
        <v>7880</v>
      </c>
      <c r="K2486" t="s">
        <v>1108</v>
      </c>
      <c r="L2486" t="s">
        <v>814</v>
      </c>
    </row>
    <row r="2487" spans="1:12">
      <c r="A2487" t="s">
        <v>7689</v>
      </c>
      <c r="B2487" t="s">
        <v>7690</v>
      </c>
      <c r="D2487" t="s">
        <v>7692</v>
      </c>
      <c r="F2487" t="s">
        <v>7881</v>
      </c>
      <c r="J2487" t="s">
        <v>7882</v>
      </c>
      <c r="K2487" t="s">
        <v>1108</v>
      </c>
      <c r="L2487" t="s">
        <v>814</v>
      </c>
    </row>
    <row r="2488" spans="1:12">
      <c r="A2488" t="s">
        <v>7689</v>
      </c>
      <c r="B2488" t="s">
        <v>7690</v>
      </c>
      <c r="D2488" t="s">
        <v>7692</v>
      </c>
      <c r="F2488" t="s">
        <v>7883</v>
      </c>
      <c r="J2488" t="s">
        <v>7884</v>
      </c>
      <c r="K2488" t="s">
        <v>1108</v>
      </c>
      <c r="L2488" t="s">
        <v>814</v>
      </c>
    </row>
    <row r="2489" spans="1:12">
      <c r="A2489" t="s">
        <v>7689</v>
      </c>
      <c r="B2489" t="s">
        <v>7690</v>
      </c>
      <c r="D2489" t="s">
        <v>7692</v>
      </c>
      <c r="F2489" t="s">
        <v>7885</v>
      </c>
      <c r="J2489" t="s">
        <v>7886</v>
      </c>
      <c r="K2489" t="s">
        <v>1108</v>
      </c>
      <c r="L2489" t="s">
        <v>814</v>
      </c>
    </row>
    <row r="2490" spans="1:12">
      <c r="A2490" t="s">
        <v>7689</v>
      </c>
      <c r="B2490" t="s">
        <v>7690</v>
      </c>
      <c r="D2490" t="s">
        <v>7692</v>
      </c>
      <c r="F2490" t="s">
        <v>7887</v>
      </c>
      <c r="J2490" t="s">
        <v>7888</v>
      </c>
      <c r="K2490" t="s">
        <v>1108</v>
      </c>
      <c r="L2490" t="s">
        <v>814</v>
      </c>
    </row>
    <row r="2491" spans="1:12">
      <c r="A2491" t="s">
        <v>7689</v>
      </c>
      <c r="B2491" t="s">
        <v>7690</v>
      </c>
      <c r="D2491" t="s">
        <v>7692</v>
      </c>
      <c r="F2491" t="s">
        <v>7889</v>
      </c>
      <c r="J2491" t="s">
        <v>7890</v>
      </c>
      <c r="K2491" t="s">
        <v>1108</v>
      </c>
      <c r="L2491" t="s">
        <v>814</v>
      </c>
    </row>
    <row r="2492" spans="1:12">
      <c r="A2492" t="s">
        <v>7689</v>
      </c>
      <c r="B2492" t="s">
        <v>7690</v>
      </c>
      <c r="D2492" t="s">
        <v>7692</v>
      </c>
      <c r="F2492" t="s">
        <v>7891</v>
      </c>
      <c r="J2492" t="s">
        <v>7892</v>
      </c>
      <c r="K2492" t="s">
        <v>1108</v>
      </c>
      <c r="L2492" t="s">
        <v>814</v>
      </c>
    </row>
    <row r="2493" spans="1:12">
      <c r="A2493" t="s">
        <v>7689</v>
      </c>
      <c r="B2493" t="s">
        <v>7690</v>
      </c>
      <c r="D2493" t="s">
        <v>7692</v>
      </c>
      <c r="F2493" t="s">
        <v>7893</v>
      </c>
      <c r="J2493" t="s">
        <v>7894</v>
      </c>
      <c r="K2493" t="s">
        <v>1108</v>
      </c>
      <c r="L2493" t="s">
        <v>814</v>
      </c>
    </row>
    <row r="2494" spans="1:12">
      <c r="A2494" t="s">
        <v>7689</v>
      </c>
      <c r="B2494" t="s">
        <v>7690</v>
      </c>
      <c r="D2494" t="s">
        <v>7692</v>
      </c>
      <c r="F2494" t="s">
        <v>7895</v>
      </c>
      <c r="J2494" t="s">
        <v>7896</v>
      </c>
      <c r="K2494" t="s">
        <v>1108</v>
      </c>
      <c r="L2494" t="s">
        <v>814</v>
      </c>
    </row>
    <row r="2495" spans="1:12">
      <c r="A2495" t="s">
        <v>7689</v>
      </c>
      <c r="B2495" t="s">
        <v>7690</v>
      </c>
      <c r="D2495" t="s">
        <v>7692</v>
      </c>
      <c r="F2495" t="s">
        <v>7897</v>
      </c>
      <c r="J2495" t="s">
        <v>7898</v>
      </c>
      <c r="K2495" t="s">
        <v>1108</v>
      </c>
      <c r="L2495" t="s">
        <v>814</v>
      </c>
    </row>
    <row r="2496" spans="1:12">
      <c r="A2496" t="s">
        <v>7689</v>
      </c>
      <c r="B2496" t="s">
        <v>7690</v>
      </c>
      <c r="D2496" t="s">
        <v>7692</v>
      </c>
      <c r="F2496" t="s">
        <v>7899</v>
      </c>
      <c r="J2496" t="s">
        <v>7900</v>
      </c>
      <c r="K2496" t="s">
        <v>1108</v>
      </c>
      <c r="L2496" t="s">
        <v>814</v>
      </c>
    </row>
    <row r="2497" spans="1:12">
      <c r="A2497" t="s">
        <v>7689</v>
      </c>
      <c r="B2497" t="s">
        <v>7690</v>
      </c>
      <c r="D2497" t="s">
        <v>7692</v>
      </c>
      <c r="F2497" t="s">
        <v>7901</v>
      </c>
      <c r="J2497" t="s">
        <v>7902</v>
      </c>
      <c r="K2497" t="s">
        <v>1108</v>
      </c>
      <c r="L2497" t="s">
        <v>814</v>
      </c>
    </row>
    <row r="2498" spans="1:12">
      <c r="A2498" t="s">
        <v>7689</v>
      </c>
      <c r="B2498" t="s">
        <v>7690</v>
      </c>
      <c r="D2498" t="s">
        <v>7692</v>
      </c>
      <c r="F2498" t="s">
        <v>7903</v>
      </c>
      <c r="J2498" t="s">
        <v>7904</v>
      </c>
      <c r="K2498" t="s">
        <v>1108</v>
      </c>
      <c r="L2498" t="s">
        <v>814</v>
      </c>
    </row>
    <row r="2499" spans="1:12">
      <c r="A2499" t="s">
        <v>7689</v>
      </c>
      <c r="B2499" t="s">
        <v>7690</v>
      </c>
      <c r="D2499" t="s">
        <v>7692</v>
      </c>
      <c r="F2499" t="s">
        <v>7905</v>
      </c>
      <c r="J2499" t="s">
        <v>7906</v>
      </c>
      <c r="K2499" t="s">
        <v>1108</v>
      </c>
      <c r="L2499" t="s">
        <v>814</v>
      </c>
    </row>
    <row r="2500" spans="1:12">
      <c r="A2500" t="s">
        <v>7689</v>
      </c>
      <c r="B2500" t="s">
        <v>7690</v>
      </c>
      <c r="D2500" t="s">
        <v>7692</v>
      </c>
      <c r="F2500" t="s">
        <v>7907</v>
      </c>
      <c r="J2500" t="s">
        <v>7908</v>
      </c>
      <c r="K2500" t="s">
        <v>1108</v>
      </c>
      <c r="L2500" t="s">
        <v>814</v>
      </c>
    </row>
    <row r="2501" spans="1:12">
      <c r="A2501" t="s">
        <v>7689</v>
      </c>
      <c r="B2501" t="s">
        <v>7690</v>
      </c>
      <c r="D2501" t="s">
        <v>7692</v>
      </c>
      <c r="F2501" t="s">
        <v>7909</v>
      </c>
      <c r="J2501" t="s">
        <v>7910</v>
      </c>
      <c r="K2501" t="s">
        <v>1108</v>
      </c>
      <c r="L2501" t="s">
        <v>814</v>
      </c>
    </row>
    <row r="2502" spans="1:12">
      <c r="A2502" t="s">
        <v>7689</v>
      </c>
      <c r="B2502" t="s">
        <v>7690</v>
      </c>
      <c r="D2502" t="s">
        <v>7692</v>
      </c>
      <c r="F2502" t="s">
        <v>7911</v>
      </c>
      <c r="J2502" t="s">
        <v>7912</v>
      </c>
      <c r="K2502" t="s">
        <v>1108</v>
      </c>
      <c r="L2502" t="s">
        <v>814</v>
      </c>
    </row>
    <row r="2503" spans="1:12">
      <c r="A2503" t="s">
        <v>7689</v>
      </c>
      <c r="B2503" t="s">
        <v>7690</v>
      </c>
      <c r="D2503" t="s">
        <v>7692</v>
      </c>
      <c r="F2503" t="s">
        <v>7913</v>
      </c>
      <c r="J2503" t="s">
        <v>7914</v>
      </c>
      <c r="K2503" t="s">
        <v>1108</v>
      </c>
      <c r="L2503" t="s">
        <v>814</v>
      </c>
    </row>
    <row r="2504" spans="1:12">
      <c r="A2504" t="s">
        <v>7689</v>
      </c>
      <c r="B2504" t="s">
        <v>7690</v>
      </c>
      <c r="D2504" t="s">
        <v>7692</v>
      </c>
      <c r="F2504" t="s">
        <v>7915</v>
      </c>
      <c r="J2504" t="s">
        <v>7916</v>
      </c>
      <c r="K2504" t="s">
        <v>1108</v>
      </c>
      <c r="L2504" t="s">
        <v>814</v>
      </c>
    </row>
    <row r="2505" spans="1:12">
      <c r="A2505" t="s">
        <v>7689</v>
      </c>
      <c r="B2505" t="s">
        <v>7690</v>
      </c>
      <c r="D2505" t="s">
        <v>7692</v>
      </c>
      <c r="F2505" t="s">
        <v>7917</v>
      </c>
      <c r="J2505" t="s">
        <v>7918</v>
      </c>
      <c r="K2505" t="s">
        <v>1108</v>
      </c>
      <c r="L2505" t="s">
        <v>814</v>
      </c>
    </row>
    <row r="2506" spans="1:12">
      <c r="A2506" t="s">
        <v>7689</v>
      </c>
      <c r="B2506" t="s">
        <v>7690</v>
      </c>
      <c r="D2506" t="s">
        <v>7692</v>
      </c>
      <c r="F2506" t="s">
        <v>7919</v>
      </c>
      <c r="J2506" t="s">
        <v>7920</v>
      </c>
      <c r="K2506" t="s">
        <v>1108</v>
      </c>
      <c r="L2506" t="s">
        <v>814</v>
      </c>
    </row>
    <row r="2507" spans="1:12">
      <c r="A2507" t="s">
        <v>7689</v>
      </c>
      <c r="B2507" t="s">
        <v>7690</v>
      </c>
      <c r="D2507" t="s">
        <v>7692</v>
      </c>
      <c r="F2507" t="s">
        <v>7921</v>
      </c>
      <c r="J2507" t="s">
        <v>7922</v>
      </c>
      <c r="K2507" t="s">
        <v>1108</v>
      </c>
      <c r="L2507" t="s">
        <v>814</v>
      </c>
    </row>
    <row r="2508" spans="1:12">
      <c r="A2508" t="s">
        <v>7689</v>
      </c>
      <c r="B2508" t="s">
        <v>7690</v>
      </c>
      <c r="D2508" t="s">
        <v>7692</v>
      </c>
      <c r="F2508" t="s">
        <v>7923</v>
      </c>
      <c r="J2508" t="s">
        <v>3308</v>
      </c>
      <c r="K2508" t="s">
        <v>1108</v>
      </c>
      <c r="L2508" t="s">
        <v>814</v>
      </c>
    </row>
    <row r="2509" spans="1:12">
      <c r="A2509" t="s">
        <v>7689</v>
      </c>
      <c r="B2509" t="s">
        <v>7690</v>
      </c>
      <c r="D2509" t="s">
        <v>7692</v>
      </c>
      <c r="F2509" t="s">
        <v>7924</v>
      </c>
      <c r="J2509" t="s">
        <v>7925</v>
      </c>
      <c r="K2509" t="s">
        <v>1108</v>
      </c>
      <c r="L2509" t="s">
        <v>814</v>
      </c>
    </row>
    <row r="2510" spans="1:12">
      <c r="A2510" t="s">
        <v>7689</v>
      </c>
      <c r="B2510" t="s">
        <v>7690</v>
      </c>
      <c r="D2510" t="s">
        <v>7692</v>
      </c>
      <c r="F2510" t="s">
        <v>7926</v>
      </c>
      <c r="J2510" t="s">
        <v>7927</v>
      </c>
      <c r="K2510" t="s">
        <v>1108</v>
      </c>
      <c r="L2510" t="s">
        <v>814</v>
      </c>
    </row>
    <row r="2511" spans="1:12">
      <c r="A2511" t="s">
        <v>7689</v>
      </c>
      <c r="B2511" t="s">
        <v>7690</v>
      </c>
      <c r="D2511" t="s">
        <v>7692</v>
      </c>
      <c r="F2511" t="s">
        <v>7928</v>
      </c>
      <c r="J2511" t="s">
        <v>7929</v>
      </c>
      <c r="K2511" t="s">
        <v>1108</v>
      </c>
      <c r="L2511" t="s">
        <v>814</v>
      </c>
    </row>
    <row r="2512" spans="1:12">
      <c r="A2512" t="s">
        <v>7689</v>
      </c>
      <c r="B2512" t="s">
        <v>7690</v>
      </c>
      <c r="D2512" t="s">
        <v>7692</v>
      </c>
      <c r="F2512" t="s">
        <v>7930</v>
      </c>
      <c r="J2512" t="s">
        <v>7931</v>
      </c>
      <c r="K2512" t="s">
        <v>1108</v>
      </c>
      <c r="L2512" t="s">
        <v>814</v>
      </c>
    </row>
    <row r="2513" spans="1:12">
      <c r="A2513" t="s">
        <v>7689</v>
      </c>
      <c r="B2513" t="s">
        <v>7690</v>
      </c>
      <c r="D2513" t="s">
        <v>7692</v>
      </c>
      <c r="F2513" t="s">
        <v>7932</v>
      </c>
      <c r="J2513" t="s">
        <v>7933</v>
      </c>
      <c r="K2513" t="s">
        <v>1108</v>
      </c>
      <c r="L2513" t="s">
        <v>814</v>
      </c>
    </row>
    <row r="2514" spans="1:12">
      <c r="A2514" t="s">
        <v>7689</v>
      </c>
      <c r="B2514" t="s">
        <v>7690</v>
      </c>
      <c r="D2514" t="s">
        <v>7692</v>
      </c>
      <c r="F2514" t="s">
        <v>7934</v>
      </c>
      <c r="J2514" t="s">
        <v>7934</v>
      </c>
      <c r="K2514" t="s">
        <v>1108</v>
      </c>
      <c r="L2514" t="s">
        <v>814</v>
      </c>
    </row>
    <row r="2515" spans="1:12">
      <c r="A2515" t="s">
        <v>7689</v>
      </c>
      <c r="B2515" t="s">
        <v>7690</v>
      </c>
      <c r="D2515" t="s">
        <v>7692</v>
      </c>
      <c r="F2515" t="s">
        <v>3706</v>
      </c>
      <c r="J2515" t="s">
        <v>7935</v>
      </c>
      <c r="K2515" t="s">
        <v>1108</v>
      </c>
      <c r="L2515" t="s">
        <v>814</v>
      </c>
    </row>
    <row r="2516" spans="1:12">
      <c r="A2516" t="s">
        <v>7689</v>
      </c>
      <c r="B2516" t="s">
        <v>7690</v>
      </c>
      <c r="D2516" t="s">
        <v>7692</v>
      </c>
      <c r="F2516" t="s">
        <v>7936</v>
      </c>
      <c r="J2516" t="s">
        <v>7937</v>
      </c>
      <c r="K2516" t="s">
        <v>1108</v>
      </c>
      <c r="L2516" t="s">
        <v>814</v>
      </c>
    </row>
    <row r="2517" spans="1:12">
      <c r="A2517" t="s">
        <v>7689</v>
      </c>
      <c r="B2517" t="s">
        <v>7690</v>
      </c>
      <c r="D2517" t="s">
        <v>7692</v>
      </c>
      <c r="F2517" t="s">
        <v>7938</v>
      </c>
      <c r="J2517" t="s">
        <v>2765</v>
      </c>
      <c r="K2517" t="s">
        <v>1108</v>
      </c>
      <c r="L2517" t="s">
        <v>814</v>
      </c>
    </row>
    <row r="2518" spans="1:12">
      <c r="A2518" t="s">
        <v>7689</v>
      </c>
      <c r="B2518" t="s">
        <v>7690</v>
      </c>
      <c r="D2518" t="s">
        <v>7692</v>
      </c>
      <c r="F2518" t="s">
        <v>7939</v>
      </c>
      <c r="J2518" t="s">
        <v>7940</v>
      </c>
      <c r="K2518" t="s">
        <v>1108</v>
      </c>
      <c r="L2518" t="s">
        <v>814</v>
      </c>
    </row>
    <row r="2519" spans="1:12">
      <c r="A2519" t="s">
        <v>7689</v>
      </c>
      <c r="B2519" t="s">
        <v>7690</v>
      </c>
      <c r="D2519" t="s">
        <v>7692</v>
      </c>
      <c r="F2519" t="s">
        <v>7941</v>
      </c>
      <c r="J2519" t="s">
        <v>5217</v>
      </c>
      <c r="K2519" t="s">
        <v>1108</v>
      </c>
      <c r="L2519" t="s">
        <v>814</v>
      </c>
    </row>
    <row r="2520" spans="1:12">
      <c r="A2520" t="s">
        <v>7689</v>
      </c>
      <c r="B2520" t="s">
        <v>7690</v>
      </c>
      <c r="D2520" t="s">
        <v>7692</v>
      </c>
      <c r="F2520" t="s">
        <v>7942</v>
      </c>
      <c r="J2520" t="s">
        <v>7943</v>
      </c>
      <c r="K2520" t="s">
        <v>1108</v>
      </c>
      <c r="L2520" t="s">
        <v>814</v>
      </c>
    </row>
    <row r="2521" spans="1:12">
      <c r="A2521" t="s">
        <v>7689</v>
      </c>
      <c r="B2521" t="s">
        <v>7690</v>
      </c>
      <c r="D2521" t="s">
        <v>7692</v>
      </c>
      <c r="F2521" t="s">
        <v>7944</v>
      </c>
      <c r="J2521" t="s">
        <v>7945</v>
      </c>
      <c r="K2521" t="s">
        <v>1108</v>
      </c>
      <c r="L2521" t="s">
        <v>814</v>
      </c>
    </row>
    <row r="2522" spans="1:12">
      <c r="A2522" t="s">
        <v>7689</v>
      </c>
      <c r="B2522" t="s">
        <v>7690</v>
      </c>
      <c r="D2522" t="s">
        <v>7692</v>
      </c>
      <c r="F2522" t="s">
        <v>7946</v>
      </c>
      <c r="J2522" t="s">
        <v>7947</v>
      </c>
      <c r="K2522" t="s">
        <v>1108</v>
      </c>
      <c r="L2522" t="s">
        <v>814</v>
      </c>
    </row>
    <row r="2523" spans="1:12">
      <c r="A2523" t="s">
        <v>7689</v>
      </c>
      <c r="B2523" t="s">
        <v>7690</v>
      </c>
      <c r="D2523" t="s">
        <v>7692</v>
      </c>
      <c r="F2523" t="s">
        <v>7948</v>
      </c>
      <c r="J2523" t="s">
        <v>7949</v>
      </c>
      <c r="K2523" t="s">
        <v>1108</v>
      </c>
      <c r="L2523" t="s">
        <v>814</v>
      </c>
    </row>
    <row r="2524" spans="1:12">
      <c r="A2524" t="s">
        <v>7689</v>
      </c>
      <c r="B2524" t="s">
        <v>7690</v>
      </c>
      <c r="D2524" t="s">
        <v>7692</v>
      </c>
      <c r="F2524" t="s">
        <v>7950</v>
      </c>
      <c r="J2524" t="s">
        <v>7951</v>
      </c>
      <c r="K2524" t="s">
        <v>1108</v>
      </c>
      <c r="L2524" t="s">
        <v>814</v>
      </c>
    </row>
    <row r="2525" spans="1:12">
      <c r="A2525" t="s">
        <v>7689</v>
      </c>
      <c r="B2525" t="s">
        <v>7690</v>
      </c>
      <c r="D2525" t="s">
        <v>7692</v>
      </c>
      <c r="F2525" t="s">
        <v>7952</v>
      </c>
      <c r="J2525" t="s">
        <v>7953</v>
      </c>
      <c r="K2525" t="s">
        <v>1108</v>
      </c>
      <c r="L2525" t="s">
        <v>814</v>
      </c>
    </row>
    <row r="2526" spans="1:12">
      <c r="A2526" t="s">
        <v>7689</v>
      </c>
      <c r="B2526" t="s">
        <v>7690</v>
      </c>
      <c r="D2526" t="s">
        <v>7692</v>
      </c>
      <c r="F2526" t="s">
        <v>7954</v>
      </c>
      <c r="J2526" t="s">
        <v>7955</v>
      </c>
      <c r="K2526" t="s">
        <v>1108</v>
      </c>
      <c r="L2526" t="s">
        <v>814</v>
      </c>
    </row>
    <row r="2527" spans="1:12">
      <c r="A2527" t="s">
        <v>7689</v>
      </c>
      <c r="B2527" t="s">
        <v>7690</v>
      </c>
      <c r="D2527" t="s">
        <v>7692</v>
      </c>
      <c r="F2527" t="s">
        <v>7956</v>
      </c>
      <c r="J2527" t="s">
        <v>7957</v>
      </c>
      <c r="K2527" t="s">
        <v>1108</v>
      </c>
      <c r="L2527" t="s">
        <v>814</v>
      </c>
    </row>
    <row r="2528" spans="1:12">
      <c r="A2528" t="s">
        <v>7689</v>
      </c>
      <c r="B2528" t="s">
        <v>7690</v>
      </c>
      <c r="D2528" t="s">
        <v>7692</v>
      </c>
      <c r="F2528" t="s">
        <v>7958</v>
      </c>
      <c r="J2528" t="s">
        <v>7959</v>
      </c>
      <c r="K2528" t="s">
        <v>1108</v>
      </c>
      <c r="L2528" t="s">
        <v>814</v>
      </c>
    </row>
    <row r="2529" spans="1:12">
      <c r="A2529" t="s">
        <v>7689</v>
      </c>
      <c r="B2529" t="s">
        <v>7690</v>
      </c>
      <c r="D2529" t="s">
        <v>7692</v>
      </c>
      <c r="F2529" t="s">
        <v>7960</v>
      </c>
      <c r="J2529" t="s">
        <v>7961</v>
      </c>
      <c r="K2529" t="s">
        <v>1108</v>
      </c>
      <c r="L2529" t="s">
        <v>814</v>
      </c>
    </row>
    <row r="2530" spans="1:12">
      <c r="A2530" t="s">
        <v>7689</v>
      </c>
      <c r="B2530" t="s">
        <v>7690</v>
      </c>
      <c r="D2530" t="s">
        <v>7692</v>
      </c>
      <c r="F2530" t="s">
        <v>7962</v>
      </c>
      <c r="J2530" t="s">
        <v>7963</v>
      </c>
      <c r="K2530" t="s">
        <v>1108</v>
      </c>
      <c r="L2530" t="s">
        <v>814</v>
      </c>
    </row>
    <row r="2531" spans="1:12">
      <c r="A2531" t="s">
        <v>7689</v>
      </c>
      <c r="B2531" t="s">
        <v>7690</v>
      </c>
      <c r="D2531" t="s">
        <v>7692</v>
      </c>
      <c r="F2531" t="s">
        <v>1050</v>
      </c>
      <c r="J2531" t="s">
        <v>7964</v>
      </c>
      <c r="K2531" t="s">
        <v>1108</v>
      </c>
      <c r="L2531" t="s">
        <v>814</v>
      </c>
    </row>
    <row r="2532" spans="1:12">
      <c r="A2532" t="s">
        <v>7689</v>
      </c>
      <c r="B2532" t="s">
        <v>7690</v>
      </c>
      <c r="D2532" t="s">
        <v>7692</v>
      </c>
      <c r="F2532" t="s">
        <v>7965</v>
      </c>
      <c r="J2532" t="s">
        <v>7966</v>
      </c>
      <c r="K2532" t="s">
        <v>1108</v>
      </c>
      <c r="L2532" t="s">
        <v>814</v>
      </c>
    </row>
    <row r="2533" spans="1:12">
      <c r="A2533" t="s">
        <v>7689</v>
      </c>
      <c r="B2533" t="s">
        <v>7690</v>
      </c>
      <c r="D2533" t="s">
        <v>7692</v>
      </c>
      <c r="F2533" t="s">
        <v>7967</v>
      </c>
      <c r="J2533" t="s">
        <v>7968</v>
      </c>
      <c r="K2533" t="s">
        <v>1108</v>
      </c>
      <c r="L2533" t="s">
        <v>814</v>
      </c>
    </row>
    <row r="2534" spans="1:12">
      <c r="A2534" t="s">
        <v>7689</v>
      </c>
      <c r="B2534" t="s">
        <v>7690</v>
      </c>
      <c r="D2534" t="s">
        <v>7692</v>
      </c>
      <c r="F2534" t="s">
        <v>7969</v>
      </c>
      <c r="J2534" t="s">
        <v>7970</v>
      </c>
      <c r="K2534" t="s">
        <v>1108</v>
      </c>
      <c r="L2534" t="s">
        <v>814</v>
      </c>
    </row>
    <row r="2535" spans="1:12">
      <c r="A2535" t="s">
        <v>7689</v>
      </c>
      <c r="B2535" t="s">
        <v>7690</v>
      </c>
      <c r="D2535" t="s">
        <v>7692</v>
      </c>
      <c r="F2535" t="s">
        <v>3721</v>
      </c>
      <c r="J2535" t="s">
        <v>7971</v>
      </c>
      <c r="K2535" t="s">
        <v>1108</v>
      </c>
      <c r="L2535" t="s">
        <v>814</v>
      </c>
    </row>
    <row r="2536" spans="1:12">
      <c r="A2536" t="s">
        <v>7689</v>
      </c>
      <c r="B2536" t="s">
        <v>7690</v>
      </c>
      <c r="D2536" t="s">
        <v>7692</v>
      </c>
      <c r="F2536" t="s">
        <v>7972</v>
      </c>
      <c r="J2536" t="s">
        <v>7973</v>
      </c>
      <c r="K2536" t="s">
        <v>1108</v>
      </c>
      <c r="L2536" t="s">
        <v>814</v>
      </c>
    </row>
    <row r="2537" spans="1:12">
      <c r="A2537" t="s">
        <v>7689</v>
      </c>
      <c r="B2537" t="s">
        <v>7690</v>
      </c>
      <c r="D2537" t="s">
        <v>7692</v>
      </c>
      <c r="F2537" t="s">
        <v>7974</v>
      </c>
      <c r="J2537" t="s">
        <v>7975</v>
      </c>
      <c r="K2537" t="s">
        <v>1108</v>
      </c>
      <c r="L2537" t="s">
        <v>814</v>
      </c>
    </row>
    <row r="2538" spans="1:12">
      <c r="A2538" t="s">
        <v>7689</v>
      </c>
      <c r="B2538" t="s">
        <v>7690</v>
      </c>
      <c r="D2538" t="s">
        <v>7692</v>
      </c>
      <c r="F2538" t="s">
        <v>7001</v>
      </c>
      <c r="J2538" t="s">
        <v>3530</v>
      </c>
      <c r="K2538" t="s">
        <v>1108</v>
      </c>
      <c r="L2538" t="s">
        <v>814</v>
      </c>
    </row>
    <row r="2539" spans="1:12">
      <c r="A2539" t="s">
        <v>7689</v>
      </c>
      <c r="B2539" t="s">
        <v>7690</v>
      </c>
      <c r="D2539" t="s">
        <v>7692</v>
      </c>
      <c r="F2539" t="s">
        <v>7976</v>
      </c>
      <c r="J2539" t="s">
        <v>1397</v>
      </c>
      <c r="K2539" t="s">
        <v>1108</v>
      </c>
      <c r="L2539" t="s">
        <v>814</v>
      </c>
    </row>
    <row r="2540" spans="1:12">
      <c r="A2540" t="s">
        <v>7689</v>
      </c>
      <c r="B2540" t="s">
        <v>7690</v>
      </c>
      <c r="D2540" t="s">
        <v>7692</v>
      </c>
      <c r="F2540" t="s">
        <v>3751</v>
      </c>
      <c r="J2540" t="s">
        <v>7977</v>
      </c>
      <c r="K2540" t="s">
        <v>1108</v>
      </c>
      <c r="L2540" t="s">
        <v>814</v>
      </c>
    </row>
    <row r="2541" spans="1:12">
      <c r="A2541" t="s">
        <v>7689</v>
      </c>
      <c r="B2541" t="s">
        <v>7690</v>
      </c>
      <c r="D2541" t="s">
        <v>7692</v>
      </c>
      <c r="F2541" t="s">
        <v>7978</v>
      </c>
      <c r="J2541" t="s">
        <v>7480</v>
      </c>
      <c r="K2541" t="s">
        <v>1108</v>
      </c>
      <c r="L2541" t="s">
        <v>814</v>
      </c>
    </row>
    <row r="2542" spans="1:12">
      <c r="A2542" t="s">
        <v>7689</v>
      </c>
      <c r="B2542" t="s">
        <v>7690</v>
      </c>
      <c r="D2542" t="s">
        <v>7692</v>
      </c>
      <c r="F2542" t="s">
        <v>7979</v>
      </c>
      <c r="J2542" t="s">
        <v>7980</v>
      </c>
      <c r="K2542" t="s">
        <v>1108</v>
      </c>
      <c r="L2542" t="s">
        <v>814</v>
      </c>
    </row>
    <row r="2543" spans="1:12">
      <c r="A2543" t="s">
        <v>7689</v>
      </c>
      <c r="B2543" t="s">
        <v>7690</v>
      </c>
      <c r="D2543" t="s">
        <v>7692</v>
      </c>
      <c r="F2543" t="s">
        <v>7981</v>
      </c>
      <c r="J2543" t="s">
        <v>7982</v>
      </c>
      <c r="K2543" t="s">
        <v>1108</v>
      </c>
      <c r="L2543" t="s">
        <v>814</v>
      </c>
    </row>
    <row r="2544" spans="1:12">
      <c r="A2544" t="s">
        <v>7689</v>
      </c>
      <c r="B2544" t="s">
        <v>7690</v>
      </c>
      <c r="D2544" t="s">
        <v>7692</v>
      </c>
      <c r="F2544" t="s">
        <v>7983</v>
      </c>
      <c r="J2544" t="s">
        <v>7984</v>
      </c>
      <c r="K2544" t="s">
        <v>1108</v>
      </c>
      <c r="L2544" t="s">
        <v>814</v>
      </c>
    </row>
    <row r="2545" spans="1:12">
      <c r="A2545" t="s">
        <v>7689</v>
      </c>
      <c r="B2545" t="s">
        <v>7690</v>
      </c>
      <c r="D2545" t="s">
        <v>7692</v>
      </c>
      <c r="F2545" t="s">
        <v>7985</v>
      </c>
      <c r="J2545" t="s">
        <v>7986</v>
      </c>
      <c r="K2545" t="s">
        <v>1108</v>
      </c>
      <c r="L2545" t="s">
        <v>814</v>
      </c>
    </row>
    <row r="2546" spans="1:12">
      <c r="A2546" t="s">
        <v>7689</v>
      </c>
      <c r="B2546" t="s">
        <v>7690</v>
      </c>
      <c r="D2546" t="s">
        <v>7692</v>
      </c>
      <c r="F2546" t="s">
        <v>7987</v>
      </c>
      <c r="J2546" t="s">
        <v>7988</v>
      </c>
      <c r="K2546" t="s">
        <v>1108</v>
      </c>
      <c r="L2546" t="s">
        <v>814</v>
      </c>
    </row>
    <row r="2547" spans="1:12">
      <c r="A2547" t="s">
        <v>7689</v>
      </c>
      <c r="B2547" t="s">
        <v>7690</v>
      </c>
      <c r="D2547" t="s">
        <v>7692</v>
      </c>
      <c r="F2547" t="s">
        <v>7989</v>
      </c>
      <c r="J2547" t="s">
        <v>7990</v>
      </c>
      <c r="K2547" t="s">
        <v>1108</v>
      </c>
      <c r="L2547" t="s">
        <v>814</v>
      </c>
    </row>
    <row r="2548" spans="1:12">
      <c r="A2548" t="s">
        <v>7689</v>
      </c>
      <c r="B2548" t="s">
        <v>7690</v>
      </c>
      <c r="D2548" t="s">
        <v>7692</v>
      </c>
      <c r="F2548" t="s">
        <v>7991</v>
      </c>
      <c r="J2548" t="s">
        <v>7992</v>
      </c>
      <c r="K2548" t="s">
        <v>1108</v>
      </c>
      <c r="L2548" t="s">
        <v>814</v>
      </c>
    </row>
    <row r="2549" spans="1:12">
      <c r="A2549" t="s">
        <v>7993</v>
      </c>
      <c r="B2549" t="s">
        <v>7994</v>
      </c>
      <c r="C2549" t="s">
        <v>7995</v>
      </c>
      <c r="D2549" t="s">
        <v>7996</v>
      </c>
      <c r="E2549" t="s">
        <v>4908</v>
      </c>
      <c r="F2549" t="s">
        <v>6902</v>
      </c>
    </row>
    <row r="2550" spans="1:12">
      <c r="A2550" t="s">
        <v>7993</v>
      </c>
      <c r="B2550" t="s">
        <v>7994</v>
      </c>
      <c r="C2550" t="s">
        <v>7997</v>
      </c>
      <c r="D2550" t="s">
        <v>7996</v>
      </c>
      <c r="E2550" t="s">
        <v>7998</v>
      </c>
      <c r="F2550" t="s">
        <v>7999</v>
      </c>
      <c r="J2550" t="s">
        <v>7998</v>
      </c>
      <c r="K2550" t="s">
        <v>8000</v>
      </c>
      <c r="L2550" t="s">
        <v>814</v>
      </c>
    </row>
    <row r="2551" spans="1:12">
      <c r="A2551" t="s">
        <v>7993</v>
      </c>
      <c r="B2551" t="s">
        <v>7994</v>
      </c>
      <c r="C2551" t="s">
        <v>8001</v>
      </c>
      <c r="D2551" t="s">
        <v>7996</v>
      </c>
      <c r="E2551" t="s">
        <v>8002</v>
      </c>
      <c r="F2551" t="s">
        <v>8003</v>
      </c>
      <c r="J2551" t="s">
        <v>8002</v>
      </c>
      <c r="K2551" t="s">
        <v>8000</v>
      </c>
      <c r="L2551" t="s">
        <v>814</v>
      </c>
    </row>
    <row r="2552" spans="1:12">
      <c r="A2552" t="s">
        <v>7993</v>
      </c>
      <c r="B2552" t="s">
        <v>7994</v>
      </c>
      <c r="C2552" t="s">
        <v>8004</v>
      </c>
      <c r="D2552" t="s">
        <v>7996</v>
      </c>
      <c r="E2552" t="s">
        <v>8005</v>
      </c>
      <c r="F2552" t="s">
        <v>8006</v>
      </c>
      <c r="J2552" t="s">
        <v>8005</v>
      </c>
      <c r="K2552" t="s">
        <v>8000</v>
      </c>
      <c r="L2552" t="s">
        <v>814</v>
      </c>
    </row>
    <row r="2553" spans="1:12">
      <c r="A2553" t="s">
        <v>7993</v>
      </c>
      <c r="B2553" t="s">
        <v>7994</v>
      </c>
      <c r="C2553" t="s">
        <v>8007</v>
      </c>
      <c r="D2553" t="s">
        <v>7996</v>
      </c>
      <c r="E2553" t="s">
        <v>8008</v>
      </c>
      <c r="F2553" t="s">
        <v>8009</v>
      </c>
      <c r="J2553" t="s">
        <v>8008</v>
      </c>
      <c r="K2553" t="s">
        <v>8000</v>
      </c>
      <c r="L2553" t="s">
        <v>814</v>
      </c>
    </row>
    <row r="2554" spans="1:12">
      <c r="A2554" t="s">
        <v>7993</v>
      </c>
      <c r="B2554" t="s">
        <v>7994</v>
      </c>
      <c r="C2554" t="s">
        <v>8010</v>
      </c>
      <c r="D2554" t="s">
        <v>7996</v>
      </c>
      <c r="E2554" t="s">
        <v>8011</v>
      </c>
      <c r="F2554" t="s">
        <v>8012</v>
      </c>
    </row>
    <row r="2555" spans="1:12">
      <c r="A2555" t="s">
        <v>7993</v>
      </c>
      <c r="B2555" t="s">
        <v>7994</v>
      </c>
      <c r="C2555" t="s">
        <v>8013</v>
      </c>
      <c r="D2555" t="s">
        <v>7996</v>
      </c>
      <c r="E2555" t="s">
        <v>5123</v>
      </c>
      <c r="F2555" t="s">
        <v>8014</v>
      </c>
      <c r="J2555" t="s">
        <v>5123</v>
      </c>
      <c r="K2555" t="s">
        <v>8000</v>
      </c>
      <c r="L2555" t="s">
        <v>814</v>
      </c>
    </row>
    <row r="2556" spans="1:12">
      <c r="A2556" t="s">
        <v>7993</v>
      </c>
      <c r="B2556" t="s">
        <v>7994</v>
      </c>
      <c r="C2556" t="s">
        <v>8015</v>
      </c>
      <c r="D2556" t="s">
        <v>7996</v>
      </c>
      <c r="E2556" t="s">
        <v>8016</v>
      </c>
      <c r="F2556" t="s">
        <v>8017</v>
      </c>
    </row>
    <row r="2557" spans="1:12">
      <c r="A2557" t="s">
        <v>7993</v>
      </c>
      <c r="B2557" t="s">
        <v>7994</v>
      </c>
      <c r="C2557" t="s">
        <v>8018</v>
      </c>
      <c r="D2557" t="s">
        <v>7996</v>
      </c>
      <c r="E2557" t="s">
        <v>8019</v>
      </c>
      <c r="F2557" t="s">
        <v>8020</v>
      </c>
      <c r="J2557" t="s">
        <v>8019</v>
      </c>
      <c r="K2557" t="s">
        <v>8000</v>
      </c>
      <c r="L2557" t="s">
        <v>814</v>
      </c>
    </row>
    <row r="2558" spans="1:12">
      <c r="A2558" t="s">
        <v>7993</v>
      </c>
      <c r="B2558" t="s">
        <v>7994</v>
      </c>
      <c r="C2558" t="s">
        <v>8021</v>
      </c>
      <c r="D2558" t="s">
        <v>7996</v>
      </c>
      <c r="E2558" t="s">
        <v>8022</v>
      </c>
      <c r="F2558" t="s">
        <v>8023</v>
      </c>
    </row>
    <row r="2559" spans="1:12">
      <c r="A2559" t="s">
        <v>7993</v>
      </c>
      <c r="B2559" t="s">
        <v>7994</v>
      </c>
      <c r="C2559" t="s">
        <v>8024</v>
      </c>
      <c r="D2559" t="s">
        <v>7996</v>
      </c>
      <c r="E2559" t="s">
        <v>4453</v>
      </c>
      <c r="F2559" t="s">
        <v>8025</v>
      </c>
    </row>
    <row r="2560" spans="1:12">
      <c r="A2560" t="s">
        <v>7993</v>
      </c>
      <c r="B2560" t="s">
        <v>7994</v>
      </c>
      <c r="C2560" t="s">
        <v>8026</v>
      </c>
      <c r="D2560" t="s">
        <v>7996</v>
      </c>
      <c r="E2560" t="s">
        <v>8027</v>
      </c>
      <c r="F2560" t="s">
        <v>3727</v>
      </c>
      <c r="J2560" t="s">
        <v>8027</v>
      </c>
      <c r="K2560" t="s">
        <v>8000</v>
      </c>
      <c r="L2560" t="s">
        <v>814</v>
      </c>
    </row>
    <row r="2561" spans="1:12">
      <c r="A2561" t="s">
        <v>7993</v>
      </c>
      <c r="B2561" t="s">
        <v>7994</v>
      </c>
      <c r="C2561" t="s">
        <v>8028</v>
      </c>
      <c r="D2561" t="s">
        <v>7996</v>
      </c>
      <c r="E2561" t="s">
        <v>8029</v>
      </c>
      <c r="F2561" t="s">
        <v>8025</v>
      </c>
      <c r="J2561" t="s">
        <v>8029</v>
      </c>
      <c r="K2561" t="s">
        <v>8000</v>
      </c>
      <c r="L2561" t="s">
        <v>814</v>
      </c>
    </row>
    <row r="2562" spans="1:12">
      <c r="A2562" t="s">
        <v>7993</v>
      </c>
      <c r="B2562" t="s">
        <v>7994</v>
      </c>
      <c r="C2562" t="s">
        <v>8030</v>
      </c>
      <c r="D2562" t="s">
        <v>7996</v>
      </c>
      <c r="E2562" t="s">
        <v>655</v>
      </c>
      <c r="F2562" t="s">
        <v>656</v>
      </c>
    </row>
    <row r="2563" spans="1:12">
      <c r="A2563" t="s">
        <v>7993</v>
      </c>
      <c r="B2563" t="s">
        <v>7994</v>
      </c>
      <c r="D2563" t="s">
        <v>7996</v>
      </c>
      <c r="F2563" t="s">
        <v>1088</v>
      </c>
      <c r="J2563" t="s">
        <v>8031</v>
      </c>
      <c r="K2563" t="s">
        <v>8000</v>
      </c>
      <c r="L2563" t="s">
        <v>814</v>
      </c>
    </row>
    <row r="2564" spans="1:12">
      <c r="A2564" t="s">
        <v>7993</v>
      </c>
      <c r="B2564" t="s">
        <v>7994</v>
      </c>
      <c r="D2564" t="s">
        <v>7996</v>
      </c>
      <c r="F2564" t="s">
        <v>8032</v>
      </c>
      <c r="J2564" t="s">
        <v>8033</v>
      </c>
      <c r="K2564" t="s">
        <v>8000</v>
      </c>
      <c r="L2564" t="s">
        <v>814</v>
      </c>
    </row>
    <row r="2565" spans="1:12">
      <c r="A2565" t="s">
        <v>7993</v>
      </c>
      <c r="B2565" t="s">
        <v>7994</v>
      </c>
      <c r="D2565" t="s">
        <v>7996</v>
      </c>
      <c r="F2565" t="s">
        <v>8034</v>
      </c>
      <c r="J2565" t="s">
        <v>8035</v>
      </c>
      <c r="K2565" t="s">
        <v>8000</v>
      </c>
      <c r="L2565" t="s">
        <v>814</v>
      </c>
    </row>
    <row r="2566" spans="1:12">
      <c r="A2566" t="s">
        <v>7993</v>
      </c>
      <c r="B2566" t="s">
        <v>7994</v>
      </c>
      <c r="D2566" t="s">
        <v>7996</v>
      </c>
      <c r="F2566" t="s">
        <v>8036</v>
      </c>
      <c r="J2566" t="s">
        <v>8037</v>
      </c>
      <c r="K2566" t="s">
        <v>8000</v>
      </c>
      <c r="L2566" t="s">
        <v>814</v>
      </c>
    </row>
    <row r="2567" spans="1:12">
      <c r="A2567" t="s">
        <v>7993</v>
      </c>
      <c r="B2567" t="s">
        <v>7994</v>
      </c>
      <c r="D2567" t="s">
        <v>7996</v>
      </c>
      <c r="F2567" t="s">
        <v>8038</v>
      </c>
      <c r="J2567" t="s">
        <v>8039</v>
      </c>
      <c r="K2567" t="s">
        <v>8000</v>
      </c>
      <c r="L2567" t="s">
        <v>814</v>
      </c>
    </row>
    <row r="2568" spans="1:12">
      <c r="A2568" t="s">
        <v>7993</v>
      </c>
      <c r="B2568" t="s">
        <v>7994</v>
      </c>
      <c r="D2568" t="s">
        <v>7996</v>
      </c>
      <c r="F2568" t="s">
        <v>8040</v>
      </c>
      <c r="J2568" t="s">
        <v>8041</v>
      </c>
      <c r="K2568" t="s">
        <v>8000</v>
      </c>
      <c r="L2568" t="s">
        <v>814</v>
      </c>
    </row>
    <row r="2569" spans="1:12">
      <c r="A2569" t="s">
        <v>7993</v>
      </c>
      <c r="B2569" t="s">
        <v>7994</v>
      </c>
      <c r="D2569" t="s">
        <v>7996</v>
      </c>
      <c r="F2569" t="s">
        <v>8042</v>
      </c>
      <c r="J2569" t="s">
        <v>8043</v>
      </c>
      <c r="K2569" t="s">
        <v>8000</v>
      </c>
      <c r="L2569" t="s">
        <v>814</v>
      </c>
    </row>
    <row r="2570" spans="1:12">
      <c r="A2570" t="s">
        <v>7993</v>
      </c>
      <c r="B2570" t="s">
        <v>7994</v>
      </c>
      <c r="D2570" t="s">
        <v>7996</v>
      </c>
      <c r="F2570" t="s">
        <v>8044</v>
      </c>
      <c r="J2570" t="s">
        <v>8045</v>
      </c>
      <c r="K2570" t="s">
        <v>8000</v>
      </c>
      <c r="L2570" t="s">
        <v>814</v>
      </c>
    </row>
    <row r="2571" spans="1:12">
      <c r="A2571" t="s">
        <v>7993</v>
      </c>
      <c r="B2571" t="s">
        <v>7994</v>
      </c>
      <c r="D2571" t="s">
        <v>7996</v>
      </c>
      <c r="F2571" t="s">
        <v>1309</v>
      </c>
      <c r="J2571" t="s">
        <v>8046</v>
      </c>
      <c r="K2571" t="s">
        <v>8000</v>
      </c>
      <c r="L2571" t="s">
        <v>814</v>
      </c>
    </row>
    <row r="2572" spans="1:12">
      <c r="A2572" t="s">
        <v>7993</v>
      </c>
      <c r="B2572" t="s">
        <v>7994</v>
      </c>
      <c r="D2572" t="s">
        <v>7996</v>
      </c>
      <c r="F2572" t="s">
        <v>8047</v>
      </c>
      <c r="J2572" t="s">
        <v>8048</v>
      </c>
      <c r="K2572" t="s">
        <v>8000</v>
      </c>
      <c r="L2572" t="s">
        <v>814</v>
      </c>
    </row>
    <row r="2573" spans="1:12">
      <c r="A2573" t="s">
        <v>7993</v>
      </c>
      <c r="B2573" t="s">
        <v>7994</v>
      </c>
      <c r="D2573" t="s">
        <v>7996</v>
      </c>
      <c r="F2573" t="s">
        <v>8049</v>
      </c>
      <c r="J2573" t="s">
        <v>8050</v>
      </c>
      <c r="K2573" t="s">
        <v>8000</v>
      </c>
      <c r="L2573" t="s">
        <v>814</v>
      </c>
    </row>
    <row r="2574" spans="1:12">
      <c r="A2574" t="s">
        <v>8051</v>
      </c>
      <c r="B2574" t="s">
        <v>8052</v>
      </c>
      <c r="C2574" t="s">
        <v>8053</v>
      </c>
      <c r="D2574" t="s">
        <v>8054</v>
      </c>
      <c r="E2574" t="s">
        <v>8055</v>
      </c>
      <c r="F2574" t="s">
        <v>8056</v>
      </c>
    </row>
    <row r="2575" spans="1:12">
      <c r="A2575" t="s">
        <v>8051</v>
      </c>
      <c r="B2575" t="s">
        <v>8052</v>
      </c>
      <c r="C2575" t="s">
        <v>8057</v>
      </c>
      <c r="D2575" t="s">
        <v>8054</v>
      </c>
      <c r="E2575" t="s">
        <v>8058</v>
      </c>
      <c r="F2575" t="s">
        <v>8059</v>
      </c>
      <c r="J2575" t="s">
        <v>8058</v>
      </c>
      <c r="K2575" t="s">
        <v>8060</v>
      </c>
      <c r="L2575" t="s">
        <v>851</v>
      </c>
    </row>
    <row r="2576" spans="1:12">
      <c r="A2576" t="s">
        <v>8051</v>
      </c>
      <c r="B2576" t="s">
        <v>8052</v>
      </c>
      <c r="C2576" t="s">
        <v>8061</v>
      </c>
      <c r="D2576" t="s">
        <v>8054</v>
      </c>
      <c r="E2576" t="s">
        <v>8062</v>
      </c>
      <c r="F2576" t="s">
        <v>8063</v>
      </c>
      <c r="J2576" t="s">
        <v>8062</v>
      </c>
      <c r="K2576" t="s">
        <v>8060</v>
      </c>
      <c r="L2576" t="s">
        <v>851</v>
      </c>
    </row>
    <row r="2577" spans="1:12">
      <c r="A2577" t="s">
        <v>8051</v>
      </c>
      <c r="B2577" t="s">
        <v>8052</v>
      </c>
      <c r="C2577" t="s">
        <v>8064</v>
      </c>
      <c r="D2577" t="s">
        <v>8054</v>
      </c>
      <c r="E2577" t="s">
        <v>2765</v>
      </c>
      <c r="F2577" t="s">
        <v>8065</v>
      </c>
    </row>
    <row r="2578" spans="1:12">
      <c r="A2578" t="s">
        <v>8051</v>
      </c>
      <c r="B2578" t="s">
        <v>8052</v>
      </c>
      <c r="C2578" t="s">
        <v>8066</v>
      </c>
      <c r="D2578" t="s">
        <v>8054</v>
      </c>
      <c r="E2578" t="s">
        <v>8067</v>
      </c>
      <c r="F2578" t="s">
        <v>8068</v>
      </c>
    </row>
    <row r="2579" spans="1:12">
      <c r="A2579" t="s">
        <v>8051</v>
      </c>
      <c r="B2579" t="s">
        <v>8052</v>
      </c>
      <c r="C2579" t="s">
        <v>8069</v>
      </c>
      <c r="D2579" t="s">
        <v>8054</v>
      </c>
      <c r="E2579" t="s">
        <v>8070</v>
      </c>
      <c r="F2579" t="s">
        <v>1309</v>
      </c>
      <c r="J2579" t="s">
        <v>8070</v>
      </c>
      <c r="K2579" t="s">
        <v>8060</v>
      </c>
      <c r="L2579" t="s">
        <v>851</v>
      </c>
    </row>
    <row r="2580" spans="1:12">
      <c r="A2580" t="s">
        <v>8051</v>
      </c>
      <c r="B2580" t="s">
        <v>8052</v>
      </c>
      <c r="C2580" t="s">
        <v>8071</v>
      </c>
      <c r="D2580" t="s">
        <v>8054</v>
      </c>
      <c r="E2580" t="s">
        <v>8072</v>
      </c>
      <c r="F2580" t="s">
        <v>8073</v>
      </c>
      <c r="J2580" t="s">
        <v>8072</v>
      </c>
      <c r="K2580" t="s">
        <v>8060</v>
      </c>
      <c r="L2580" t="s">
        <v>851</v>
      </c>
    </row>
    <row r="2581" spans="1:12">
      <c r="A2581" t="s">
        <v>8051</v>
      </c>
      <c r="B2581" t="s">
        <v>8052</v>
      </c>
      <c r="C2581" t="s">
        <v>8074</v>
      </c>
      <c r="D2581" t="s">
        <v>8054</v>
      </c>
      <c r="E2581" t="s">
        <v>8075</v>
      </c>
      <c r="F2581" t="s">
        <v>8076</v>
      </c>
      <c r="J2581" t="s">
        <v>8075</v>
      </c>
      <c r="K2581" t="s">
        <v>8060</v>
      </c>
      <c r="L2581" t="s">
        <v>851</v>
      </c>
    </row>
    <row r="2582" spans="1:12">
      <c r="A2582" t="s">
        <v>8051</v>
      </c>
      <c r="B2582" t="s">
        <v>8052</v>
      </c>
      <c r="C2582" t="s">
        <v>8077</v>
      </c>
      <c r="D2582" t="s">
        <v>8054</v>
      </c>
      <c r="E2582" t="s">
        <v>655</v>
      </c>
      <c r="F2582" t="s">
        <v>656</v>
      </c>
    </row>
    <row r="2583" spans="1:12">
      <c r="A2583" t="s">
        <v>8078</v>
      </c>
      <c r="B2583" t="s">
        <v>8079</v>
      </c>
      <c r="C2583" t="s">
        <v>8080</v>
      </c>
      <c r="D2583" t="s">
        <v>8081</v>
      </c>
      <c r="E2583" t="s">
        <v>1403</v>
      </c>
      <c r="F2583" t="s">
        <v>8082</v>
      </c>
    </row>
    <row r="2584" spans="1:12">
      <c r="A2584" t="s">
        <v>8078</v>
      </c>
      <c r="B2584" t="s">
        <v>8079</v>
      </c>
      <c r="C2584" t="s">
        <v>8083</v>
      </c>
      <c r="D2584" t="s">
        <v>8081</v>
      </c>
      <c r="E2584" t="s">
        <v>6348</v>
      </c>
      <c r="F2584" t="s">
        <v>8084</v>
      </c>
    </row>
    <row r="2585" spans="1:12">
      <c r="A2585" t="s">
        <v>8078</v>
      </c>
      <c r="B2585" t="s">
        <v>8079</v>
      </c>
      <c r="C2585" t="s">
        <v>8085</v>
      </c>
      <c r="D2585" t="s">
        <v>8081</v>
      </c>
      <c r="E2585" t="s">
        <v>8086</v>
      </c>
      <c r="F2585" t="s">
        <v>8087</v>
      </c>
      <c r="J2585" t="s">
        <v>8086</v>
      </c>
      <c r="K2585" t="s">
        <v>8078</v>
      </c>
      <c r="L2585" t="s">
        <v>814</v>
      </c>
    </row>
    <row r="2586" spans="1:12">
      <c r="A2586" t="s">
        <v>8078</v>
      </c>
      <c r="B2586" t="s">
        <v>8079</v>
      </c>
      <c r="C2586" t="s">
        <v>8088</v>
      </c>
      <c r="D2586" t="s">
        <v>8081</v>
      </c>
      <c r="E2586" t="s">
        <v>8089</v>
      </c>
      <c r="F2586" t="s">
        <v>8090</v>
      </c>
    </row>
    <row r="2587" spans="1:12">
      <c r="A2587" t="s">
        <v>8078</v>
      </c>
      <c r="B2587" t="s">
        <v>8079</v>
      </c>
      <c r="C2587" t="s">
        <v>8091</v>
      </c>
      <c r="D2587" t="s">
        <v>8081</v>
      </c>
      <c r="E2587" t="s">
        <v>7711</v>
      </c>
      <c r="F2587" t="s">
        <v>8092</v>
      </c>
    </row>
    <row r="2588" spans="1:12">
      <c r="A2588" t="s">
        <v>8078</v>
      </c>
      <c r="B2588" t="s">
        <v>8079</v>
      </c>
      <c r="C2588" t="s">
        <v>8093</v>
      </c>
      <c r="D2588" t="s">
        <v>8081</v>
      </c>
      <c r="E2588" t="s">
        <v>8094</v>
      </c>
      <c r="F2588" t="s">
        <v>8095</v>
      </c>
    </row>
    <row r="2589" spans="1:12">
      <c r="A2589" t="s">
        <v>8078</v>
      </c>
      <c r="B2589" t="s">
        <v>8079</v>
      </c>
      <c r="C2589" t="s">
        <v>8096</v>
      </c>
      <c r="D2589" t="s">
        <v>8081</v>
      </c>
      <c r="E2589" t="s">
        <v>8097</v>
      </c>
      <c r="F2589" t="s">
        <v>8098</v>
      </c>
    </row>
    <row r="2590" spans="1:12">
      <c r="A2590" t="s">
        <v>8078</v>
      </c>
      <c r="B2590" t="s">
        <v>8079</v>
      </c>
      <c r="C2590" t="s">
        <v>8099</v>
      </c>
      <c r="D2590" t="s">
        <v>8081</v>
      </c>
      <c r="E2590" t="s">
        <v>8100</v>
      </c>
      <c r="F2590" t="s">
        <v>8101</v>
      </c>
      <c r="J2590" t="s">
        <v>8100</v>
      </c>
      <c r="K2590" t="s">
        <v>8078</v>
      </c>
      <c r="L2590" t="s">
        <v>814</v>
      </c>
    </row>
    <row r="2591" spans="1:12">
      <c r="A2591" t="s">
        <v>8078</v>
      </c>
      <c r="B2591" t="s">
        <v>8079</v>
      </c>
      <c r="C2591" t="s">
        <v>8102</v>
      </c>
      <c r="D2591" t="s">
        <v>8081</v>
      </c>
      <c r="E2591" t="s">
        <v>933</v>
      </c>
      <c r="F2591" t="s">
        <v>8103</v>
      </c>
    </row>
    <row r="2592" spans="1:12">
      <c r="A2592" t="s">
        <v>8078</v>
      </c>
      <c r="B2592" t="s">
        <v>8079</v>
      </c>
      <c r="C2592" t="s">
        <v>8104</v>
      </c>
      <c r="D2592" t="s">
        <v>8081</v>
      </c>
      <c r="E2592" t="s">
        <v>8105</v>
      </c>
      <c r="F2592" t="s">
        <v>8106</v>
      </c>
    </row>
    <row r="2593" spans="1:12">
      <c r="A2593" t="s">
        <v>8078</v>
      </c>
      <c r="B2593" t="s">
        <v>8079</v>
      </c>
      <c r="C2593" t="s">
        <v>8107</v>
      </c>
      <c r="D2593" t="s">
        <v>8081</v>
      </c>
      <c r="E2593" t="s">
        <v>8108</v>
      </c>
      <c r="F2593" t="s">
        <v>8109</v>
      </c>
    </row>
    <row r="2594" spans="1:12">
      <c r="A2594" t="s">
        <v>8078</v>
      </c>
      <c r="B2594" t="s">
        <v>8079</v>
      </c>
      <c r="C2594" t="s">
        <v>8110</v>
      </c>
      <c r="D2594" t="s">
        <v>8081</v>
      </c>
      <c r="E2594" t="s">
        <v>8111</v>
      </c>
      <c r="F2594" t="s">
        <v>8112</v>
      </c>
    </row>
    <row r="2595" spans="1:12">
      <c r="A2595" t="s">
        <v>8078</v>
      </c>
      <c r="B2595" t="s">
        <v>8079</v>
      </c>
      <c r="C2595" t="s">
        <v>8113</v>
      </c>
      <c r="D2595" t="s">
        <v>8081</v>
      </c>
      <c r="E2595" t="s">
        <v>8114</v>
      </c>
      <c r="F2595" t="s">
        <v>8115</v>
      </c>
    </row>
    <row r="2596" spans="1:12">
      <c r="A2596" t="s">
        <v>8078</v>
      </c>
      <c r="B2596" t="s">
        <v>8079</v>
      </c>
      <c r="C2596" t="s">
        <v>8116</v>
      </c>
      <c r="D2596" t="s">
        <v>8081</v>
      </c>
      <c r="E2596" t="s">
        <v>8117</v>
      </c>
      <c r="F2596" t="s">
        <v>8118</v>
      </c>
      <c r="J2596" t="s">
        <v>8117</v>
      </c>
      <c r="K2596" t="s">
        <v>8078</v>
      </c>
      <c r="L2596" t="s">
        <v>814</v>
      </c>
    </row>
    <row r="2597" spans="1:12">
      <c r="A2597" t="s">
        <v>8078</v>
      </c>
      <c r="B2597" t="s">
        <v>8079</v>
      </c>
      <c r="C2597" t="s">
        <v>8119</v>
      </c>
      <c r="D2597" t="s">
        <v>8081</v>
      </c>
      <c r="E2597" t="s">
        <v>8120</v>
      </c>
      <c r="F2597" t="s">
        <v>8121</v>
      </c>
      <c r="J2597" t="s">
        <v>8120</v>
      </c>
      <c r="K2597" t="s">
        <v>8078</v>
      </c>
      <c r="L2597" t="s">
        <v>814</v>
      </c>
    </row>
    <row r="2598" spans="1:12">
      <c r="A2598" t="s">
        <v>8078</v>
      </c>
      <c r="B2598" t="s">
        <v>8079</v>
      </c>
      <c r="C2598" t="s">
        <v>8122</v>
      </c>
      <c r="D2598" t="s">
        <v>8081</v>
      </c>
      <c r="E2598" t="s">
        <v>8123</v>
      </c>
      <c r="F2598" t="s">
        <v>8124</v>
      </c>
      <c r="J2598" t="s">
        <v>8123</v>
      </c>
      <c r="K2598" t="s">
        <v>8078</v>
      </c>
      <c r="L2598" t="s">
        <v>814</v>
      </c>
    </row>
    <row r="2599" spans="1:12">
      <c r="A2599" t="s">
        <v>8078</v>
      </c>
      <c r="B2599" t="s">
        <v>8079</v>
      </c>
      <c r="C2599" t="s">
        <v>8125</v>
      </c>
      <c r="D2599" t="s">
        <v>8081</v>
      </c>
      <c r="E2599" t="s">
        <v>8126</v>
      </c>
      <c r="F2599" t="s">
        <v>8127</v>
      </c>
      <c r="J2599" t="s">
        <v>8126</v>
      </c>
      <c r="K2599" t="s">
        <v>8078</v>
      </c>
      <c r="L2599" t="s">
        <v>814</v>
      </c>
    </row>
    <row r="2600" spans="1:12">
      <c r="A2600" t="s">
        <v>8078</v>
      </c>
      <c r="B2600" t="s">
        <v>8079</v>
      </c>
      <c r="C2600" t="s">
        <v>8128</v>
      </c>
      <c r="D2600" t="s">
        <v>8081</v>
      </c>
      <c r="E2600" t="s">
        <v>8129</v>
      </c>
      <c r="F2600" t="s">
        <v>8130</v>
      </c>
      <c r="J2600" t="s">
        <v>8129</v>
      </c>
      <c r="K2600" t="s">
        <v>8078</v>
      </c>
      <c r="L2600" t="s">
        <v>814</v>
      </c>
    </row>
    <row r="2601" spans="1:12">
      <c r="A2601" t="s">
        <v>8078</v>
      </c>
      <c r="B2601" t="s">
        <v>8079</v>
      </c>
      <c r="C2601" t="s">
        <v>8131</v>
      </c>
      <c r="D2601" t="s">
        <v>8081</v>
      </c>
      <c r="E2601" t="s">
        <v>8132</v>
      </c>
      <c r="F2601" t="s">
        <v>8133</v>
      </c>
      <c r="J2601" t="s">
        <v>8132</v>
      </c>
      <c r="K2601" t="s">
        <v>8078</v>
      </c>
      <c r="L2601" t="s">
        <v>814</v>
      </c>
    </row>
    <row r="2602" spans="1:12">
      <c r="A2602" t="s">
        <v>8078</v>
      </c>
      <c r="B2602" t="s">
        <v>8079</v>
      </c>
      <c r="C2602" t="s">
        <v>8134</v>
      </c>
      <c r="D2602" t="s">
        <v>8081</v>
      </c>
      <c r="E2602" t="s">
        <v>8135</v>
      </c>
      <c r="F2602" t="s">
        <v>8136</v>
      </c>
      <c r="J2602" t="s">
        <v>8135</v>
      </c>
      <c r="K2602" t="s">
        <v>8078</v>
      </c>
      <c r="L2602" t="s">
        <v>814</v>
      </c>
    </row>
    <row r="2603" spans="1:12">
      <c r="A2603" t="s">
        <v>8078</v>
      </c>
      <c r="B2603" t="s">
        <v>8079</v>
      </c>
      <c r="C2603" t="s">
        <v>8137</v>
      </c>
      <c r="D2603" t="s">
        <v>8081</v>
      </c>
      <c r="E2603" t="s">
        <v>8138</v>
      </c>
      <c r="F2603" t="s">
        <v>8139</v>
      </c>
    </row>
    <row r="2604" spans="1:12">
      <c r="A2604" t="s">
        <v>8078</v>
      </c>
      <c r="B2604" t="s">
        <v>8079</v>
      </c>
      <c r="C2604" t="s">
        <v>8140</v>
      </c>
      <c r="D2604" t="s">
        <v>8081</v>
      </c>
      <c r="E2604" t="s">
        <v>8141</v>
      </c>
      <c r="F2604" t="s">
        <v>8142</v>
      </c>
    </row>
    <row r="2605" spans="1:12">
      <c r="A2605" t="s">
        <v>8078</v>
      </c>
      <c r="B2605" t="s">
        <v>8079</v>
      </c>
      <c r="C2605" t="s">
        <v>8143</v>
      </c>
      <c r="D2605" t="s">
        <v>8081</v>
      </c>
      <c r="E2605" t="s">
        <v>2436</v>
      </c>
      <c r="F2605" t="s">
        <v>8144</v>
      </c>
    </row>
    <row r="2606" spans="1:12">
      <c r="A2606" t="s">
        <v>8078</v>
      </c>
      <c r="B2606" t="s">
        <v>8079</v>
      </c>
      <c r="C2606" t="s">
        <v>8145</v>
      </c>
      <c r="D2606" t="s">
        <v>8081</v>
      </c>
      <c r="E2606" t="s">
        <v>5108</v>
      </c>
      <c r="F2606" t="s">
        <v>8146</v>
      </c>
    </row>
    <row r="2607" spans="1:12">
      <c r="A2607" t="s">
        <v>8078</v>
      </c>
      <c r="B2607" t="s">
        <v>8079</v>
      </c>
      <c r="C2607" t="s">
        <v>8147</v>
      </c>
      <c r="D2607" t="s">
        <v>8081</v>
      </c>
      <c r="E2607" t="s">
        <v>8148</v>
      </c>
      <c r="F2607" t="s">
        <v>8148</v>
      </c>
      <c r="J2607" t="s">
        <v>8148</v>
      </c>
      <c r="K2607" t="s">
        <v>8078</v>
      </c>
      <c r="L2607" t="s">
        <v>814</v>
      </c>
    </row>
    <row r="2608" spans="1:12">
      <c r="A2608" t="s">
        <v>8078</v>
      </c>
      <c r="B2608" t="s">
        <v>8079</v>
      </c>
      <c r="C2608" t="s">
        <v>8149</v>
      </c>
      <c r="D2608" t="s">
        <v>8081</v>
      </c>
      <c r="E2608" t="s">
        <v>8150</v>
      </c>
      <c r="F2608" t="s">
        <v>8151</v>
      </c>
      <c r="J2608" t="s">
        <v>8150</v>
      </c>
      <c r="K2608" t="s">
        <v>8078</v>
      </c>
      <c r="L2608" t="s">
        <v>814</v>
      </c>
    </row>
    <row r="2609" spans="1:12">
      <c r="A2609" t="s">
        <v>8078</v>
      </c>
      <c r="B2609" t="s">
        <v>8079</v>
      </c>
      <c r="C2609" t="s">
        <v>8152</v>
      </c>
      <c r="D2609" t="s">
        <v>8081</v>
      </c>
      <c r="E2609" t="s">
        <v>8153</v>
      </c>
      <c r="F2609" t="s">
        <v>8154</v>
      </c>
      <c r="J2609" t="s">
        <v>8153</v>
      </c>
      <c r="K2609" t="s">
        <v>8078</v>
      </c>
      <c r="L2609" t="s">
        <v>814</v>
      </c>
    </row>
    <row r="2610" spans="1:12">
      <c r="A2610" t="s">
        <v>8078</v>
      </c>
      <c r="B2610" t="s">
        <v>8079</v>
      </c>
      <c r="C2610" t="s">
        <v>8155</v>
      </c>
      <c r="D2610" t="s">
        <v>8081</v>
      </c>
      <c r="E2610" t="s">
        <v>8156</v>
      </c>
      <c r="F2610" t="s">
        <v>8157</v>
      </c>
    </row>
    <row r="2611" spans="1:12">
      <c r="A2611" t="s">
        <v>8078</v>
      </c>
      <c r="B2611" t="s">
        <v>8079</v>
      </c>
      <c r="C2611" t="s">
        <v>8158</v>
      </c>
      <c r="D2611" t="s">
        <v>8081</v>
      </c>
      <c r="E2611" t="s">
        <v>4211</v>
      </c>
      <c r="F2611" t="s">
        <v>8159</v>
      </c>
    </row>
    <row r="2612" spans="1:12">
      <c r="A2612" t="s">
        <v>8078</v>
      </c>
      <c r="B2612" t="s">
        <v>8079</v>
      </c>
      <c r="C2612" t="s">
        <v>8160</v>
      </c>
      <c r="D2612" t="s">
        <v>8081</v>
      </c>
      <c r="E2612" t="s">
        <v>8016</v>
      </c>
      <c r="F2612" t="s">
        <v>8161</v>
      </c>
    </row>
    <row r="2613" spans="1:12">
      <c r="A2613" t="s">
        <v>8078</v>
      </c>
      <c r="B2613" t="s">
        <v>8079</v>
      </c>
      <c r="C2613" t="s">
        <v>8162</v>
      </c>
      <c r="D2613" t="s">
        <v>8081</v>
      </c>
      <c r="E2613" t="s">
        <v>8163</v>
      </c>
      <c r="F2613" t="s">
        <v>8164</v>
      </c>
    </row>
    <row r="2614" spans="1:12">
      <c r="A2614" t="s">
        <v>8078</v>
      </c>
      <c r="B2614" t="s">
        <v>8079</v>
      </c>
      <c r="C2614" t="s">
        <v>8165</v>
      </c>
      <c r="D2614" t="s">
        <v>8081</v>
      </c>
      <c r="E2614" t="s">
        <v>8166</v>
      </c>
      <c r="F2614" t="s">
        <v>8167</v>
      </c>
    </row>
    <row r="2615" spans="1:12">
      <c r="A2615" t="s">
        <v>8078</v>
      </c>
      <c r="B2615" t="s">
        <v>8079</v>
      </c>
      <c r="C2615" t="s">
        <v>8168</v>
      </c>
      <c r="D2615" t="s">
        <v>8081</v>
      </c>
      <c r="E2615" t="s">
        <v>5231</v>
      </c>
      <c r="F2615" t="s">
        <v>8169</v>
      </c>
    </row>
    <row r="2616" spans="1:12">
      <c r="A2616" t="s">
        <v>8078</v>
      </c>
      <c r="B2616" t="s">
        <v>8079</v>
      </c>
      <c r="C2616" t="s">
        <v>8170</v>
      </c>
      <c r="D2616" t="s">
        <v>8081</v>
      </c>
      <c r="E2616" t="s">
        <v>8171</v>
      </c>
      <c r="F2616" t="s">
        <v>8172</v>
      </c>
    </row>
    <row r="2617" spans="1:12">
      <c r="A2617" t="s">
        <v>8078</v>
      </c>
      <c r="B2617" t="s">
        <v>8079</v>
      </c>
      <c r="C2617" t="s">
        <v>8173</v>
      </c>
      <c r="D2617" t="s">
        <v>8081</v>
      </c>
      <c r="E2617" t="s">
        <v>8174</v>
      </c>
      <c r="F2617" t="s">
        <v>8175</v>
      </c>
    </row>
    <row r="2618" spans="1:12">
      <c r="A2618" t="s">
        <v>8078</v>
      </c>
      <c r="B2618" t="s">
        <v>8079</v>
      </c>
      <c r="C2618" t="s">
        <v>8176</v>
      </c>
      <c r="D2618" t="s">
        <v>8081</v>
      </c>
      <c r="E2618" t="s">
        <v>8177</v>
      </c>
      <c r="F2618" t="s">
        <v>8178</v>
      </c>
      <c r="J2618" t="s">
        <v>8177</v>
      </c>
      <c r="K2618" t="s">
        <v>8078</v>
      </c>
      <c r="L2618" t="s">
        <v>814</v>
      </c>
    </row>
    <row r="2619" spans="1:12">
      <c r="A2619" t="s">
        <v>8078</v>
      </c>
      <c r="B2619" t="s">
        <v>8079</v>
      </c>
      <c r="C2619" t="s">
        <v>8179</v>
      </c>
      <c r="D2619" t="s">
        <v>8081</v>
      </c>
      <c r="E2619" t="s">
        <v>8180</v>
      </c>
      <c r="F2619" t="s">
        <v>8181</v>
      </c>
    </row>
    <row r="2620" spans="1:12">
      <c r="A2620" t="s">
        <v>8078</v>
      </c>
      <c r="B2620" t="s">
        <v>8079</v>
      </c>
      <c r="C2620" t="s">
        <v>8182</v>
      </c>
      <c r="D2620" t="s">
        <v>8081</v>
      </c>
      <c r="E2620" t="s">
        <v>8183</v>
      </c>
      <c r="F2620" t="s">
        <v>8184</v>
      </c>
      <c r="J2620" t="s">
        <v>8183</v>
      </c>
      <c r="K2620" t="s">
        <v>8078</v>
      </c>
      <c r="L2620" t="s">
        <v>814</v>
      </c>
    </row>
    <row r="2621" spans="1:12">
      <c r="A2621" t="s">
        <v>8078</v>
      </c>
      <c r="B2621" t="s">
        <v>8079</v>
      </c>
      <c r="C2621" t="s">
        <v>8185</v>
      </c>
      <c r="D2621" t="s">
        <v>8081</v>
      </c>
      <c r="E2621" t="s">
        <v>8186</v>
      </c>
      <c r="F2621" t="s">
        <v>3751</v>
      </c>
      <c r="J2621" t="s">
        <v>8186</v>
      </c>
      <c r="K2621" t="s">
        <v>8078</v>
      </c>
      <c r="L2621" t="s">
        <v>814</v>
      </c>
    </row>
    <row r="2622" spans="1:12">
      <c r="A2622" t="s">
        <v>8078</v>
      </c>
      <c r="B2622" t="s">
        <v>8079</v>
      </c>
      <c r="C2622" t="s">
        <v>8187</v>
      </c>
      <c r="D2622" t="s">
        <v>8081</v>
      </c>
      <c r="E2622" t="s">
        <v>8188</v>
      </c>
      <c r="F2622" t="s">
        <v>8189</v>
      </c>
      <c r="J2622" t="s">
        <v>8188</v>
      </c>
      <c r="K2622" t="s">
        <v>8078</v>
      </c>
      <c r="L2622" t="s">
        <v>814</v>
      </c>
    </row>
    <row r="2623" spans="1:12">
      <c r="A2623" t="s">
        <v>8078</v>
      </c>
      <c r="B2623" t="s">
        <v>8079</v>
      </c>
      <c r="C2623" t="s">
        <v>8190</v>
      </c>
      <c r="D2623" t="s">
        <v>8081</v>
      </c>
      <c r="E2623" t="s">
        <v>655</v>
      </c>
      <c r="F2623" t="s">
        <v>656</v>
      </c>
    </row>
    <row r="2624" spans="1:12">
      <c r="A2624" t="s">
        <v>8078</v>
      </c>
      <c r="B2624" t="s">
        <v>8079</v>
      </c>
      <c r="D2624" t="s">
        <v>8081</v>
      </c>
      <c r="F2624" t="s">
        <v>8191</v>
      </c>
      <c r="J2624" t="s">
        <v>8192</v>
      </c>
      <c r="K2624" t="s">
        <v>8078</v>
      </c>
      <c r="L2624" t="s">
        <v>814</v>
      </c>
    </row>
    <row r="2625" spans="1:12">
      <c r="A2625" t="s">
        <v>8078</v>
      </c>
      <c r="B2625" t="s">
        <v>8079</v>
      </c>
      <c r="D2625" t="s">
        <v>8081</v>
      </c>
      <c r="F2625" t="s">
        <v>8193</v>
      </c>
      <c r="J2625" t="s">
        <v>8194</v>
      </c>
      <c r="K2625" t="s">
        <v>8078</v>
      </c>
      <c r="L2625" t="s">
        <v>814</v>
      </c>
    </row>
    <row r="2626" spans="1:12">
      <c r="A2626" t="s">
        <v>8078</v>
      </c>
      <c r="B2626" t="s">
        <v>8079</v>
      </c>
      <c r="D2626" t="s">
        <v>8081</v>
      </c>
      <c r="F2626" t="s">
        <v>8195</v>
      </c>
      <c r="J2626" t="s">
        <v>2792</v>
      </c>
      <c r="K2626" t="s">
        <v>8078</v>
      </c>
      <c r="L2626" t="s">
        <v>814</v>
      </c>
    </row>
    <row r="2627" spans="1:12">
      <c r="A2627" t="s">
        <v>8078</v>
      </c>
      <c r="B2627" t="s">
        <v>8079</v>
      </c>
      <c r="D2627" t="s">
        <v>8081</v>
      </c>
      <c r="F2627" t="s">
        <v>1354</v>
      </c>
      <c r="J2627" t="s">
        <v>8196</v>
      </c>
      <c r="K2627" t="s">
        <v>8078</v>
      </c>
      <c r="L2627" t="s">
        <v>814</v>
      </c>
    </row>
    <row r="2628" spans="1:12">
      <c r="A2628" t="s">
        <v>8078</v>
      </c>
      <c r="B2628" t="s">
        <v>8079</v>
      </c>
      <c r="D2628" t="s">
        <v>8081</v>
      </c>
      <c r="F2628" t="s">
        <v>8197</v>
      </c>
      <c r="J2628" t="s">
        <v>8198</v>
      </c>
      <c r="K2628" t="s">
        <v>8078</v>
      </c>
      <c r="L2628" t="s">
        <v>814</v>
      </c>
    </row>
    <row r="2629" spans="1:12">
      <c r="A2629" t="s">
        <v>8078</v>
      </c>
      <c r="B2629" t="s">
        <v>8079</v>
      </c>
      <c r="D2629" t="s">
        <v>8081</v>
      </c>
      <c r="F2629" t="s">
        <v>8199</v>
      </c>
      <c r="J2629" t="s">
        <v>8200</v>
      </c>
      <c r="K2629" t="s">
        <v>8078</v>
      </c>
      <c r="L2629" t="s">
        <v>814</v>
      </c>
    </row>
    <row r="2630" spans="1:12">
      <c r="A2630" t="s">
        <v>8201</v>
      </c>
      <c r="B2630" t="s">
        <v>8202</v>
      </c>
      <c r="C2630" t="s">
        <v>8203</v>
      </c>
      <c r="D2630" t="s">
        <v>8204</v>
      </c>
      <c r="F2630" t="s">
        <v>8205</v>
      </c>
    </row>
    <row r="2631" spans="1:12">
      <c r="A2631" t="s">
        <v>8201</v>
      </c>
      <c r="B2631" t="s">
        <v>8202</v>
      </c>
      <c r="C2631" t="s">
        <v>8206</v>
      </c>
      <c r="D2631" t="s">
        <v>8204</v>
      </c>
      <c r="E2631" t="s">
        <v>8207</v>
      </c>
      <c r="F2631" t="s">
        <v>8208</v>
      </c>
      <c r="J2631" t="s">
        <v>8207</v>
      </c>
      <c r="K2631" t="s">
        <v>8209</v>
      </c>
      <c r="L2631" t="s">
        <v>916</v>
      </c>
    </row>
    <row r="2632" spans="1:12">
      <c r="A2632" t="s">
        <v>8201</v>
      </c>
      <c r="B2632" t="s">
        <v>8202</v>
      </c>
      <c r="C2632" t="s">
        <v>8210</v>
      </c>
      <c r="D2632" t="s">
        <v>8204</v>
      </c>
      <c r="E2632" t="s">
        <v>3497</v>
      </c>
      <c r="F2632" t="s">
        <v>8211</v>
      </c>
      <c r="J2632" t="s">
        <v>3497</v>
      </c>
      <c r="K2632" t="s">
        <v>8209</v>
      </c>
      <c r="L2632" t="s">
        <v>916</v>
      </c>
    </row>
    <row r="2633" spans="1:12">
      <c r="A2633" t="s">
        <v>8201</v>
      </c>
      <c r="B2633" t="s">
        <v>8202</v>
      </c>
      <c r="C2633" t="s">
        <v>8212</v>
      </c>
      <c r="D2633" t="s">
        <v>8204</v>
      </c>
      <c r="E2633" t="s">
        <v>8213</v>
      </c>
      <c r="F2633" t="s">
        <v>8214</v>
      </c>
    </row>
    <row r="2634" spans="1:12">
      <c r="A2634" t="s">
        <v>8201</v>
      </c>
      <c r="B2634" t="s">
        <v>8202</v>
      </c>
      <c r="C2634" t="s">
        <v>8215</v>
      </c>
      <c r="D2634" t="s">
        <v>8204</v>
      </c>
      <c r="E2634" t="s">
        <v>8216</v>
      </c>
      <c r="F2634" t="s">
        <v>8217</v>
      </c>
      <c r="J2634" t="s">
        <v>8216</v>
      </c>
      <c r="K2634" t="s">
        <v>8209</v>
      </c>
      <c r="L2634" t="s">
        <v>916</v>
      </c>
    </row>
    <row r="2635" spans="1:12">
      <c r="A2635" t="s">
        <v>8201</v>
      </c>
      <c r="B2635" t="s">
        <v>8202</v>
      </c>
      <c r="C2635" t="s">
        <v>8218</v>
      </c>
      <c r="D2635" t="s">
        <v>8204</v>
      </c>
      <c r="E2635" t="s">
        <v>8219</v>
      </c>
      <c r="F2635" t="s">
        <v>8220</v>
      </c>
      <c r="J2635" t="s">
        <v>8219</v>
      </c>
      <c r="K2635" t="s">
        <v>8209</v>
      </c>
      <c r="L2635" t="s">
        <v>916</v>
      </c>
    </row>
    <row r="2636" spans="1:12">
      <c r="A2636" t="s">
        <v>8201</v>
      </c>
      <c r="B2636" t="s">
        <v>8202</v>
      </c>
      <c r="C2636" t="s">
        <v>8221</v>
      </c>
      <c r="D2636" t="s">
        <v>8204</v>
      </c>
      <c r="E2636" t="s">
        <v>8222</v>
      </c>
      <c r="F2636" t="s">
        <v>8223</v>
      </c>
      <c r="J2636" t="s">
        <v>8222</v>
      </c>
      <c r="K2636" t="s">
        <v>8209</v>
      </c>
      <c r="L2636" t="s">
        <v>916</v>
      </c>
    </row>
    <row r="2637" spans="1:12">
      <c r="A2637" t="s">
        <v>8201</v>
      </c>
      <c r="B2637" t="s">
        <v>8202</v>
      </c>
      <c r="C2637" t="s">
        <v>8224</v>
      </c>
      <c r="D2637" t="s">
        <v>8204</v>
      </c>
      <c r="E2637" t="s">
        <v>8225</v>
      </c>
      <c r="F2637" t="s">
        <v>8226</v>
      </c>
      <c r="J2637" t="s">
        <v>8225</v>
      </c>
      <c r="K2637" t="s">
        <v>8209</v>
      </c>
      <c r="L2637" t="s">
        <v>916</v>
      </c>
    </row>
    <row r="2638" spans="1:12">
      <c r="A2638" t="s">
        <v>8201</v>
      </c>
      <c r="B2638" t="s">
        <v>8202</v>
      </c>
      <c r="C2638" t="s">
        <v>8227</v>
      </c>
      <c r="D2638" t="s">
        <v>8204</v>
      </c>
      <c r="E2638" t="s">
        <v>3732</v>
      </c>
      <c r="F2638" t="s">
        <v>6998</v>
      </c>
    </row>
    <row r="2639" spans="1:12">
      <c r="A2639" t="s">
        <v>8201</v>
      </c>
      <c r="B2639" t="s">
        <v>8202</v>
      </c>
      <c r="C2639" t="s">
        <v>8228</v>
      </c>
      <c r="D2639" t="s">
        <v>8204</v>
      </c>
      <c r="E2639" t="s">
        <v>8229</v>
      </c>
      <c r="F2639" t="s">
        <v>8230</v>
      </c>
    </row>
    <row r="2640" spans="1:12">
      <c r="A2640" t="s">
        <v>8201</v>
      </c>
      <c r="B2640" t="s">
        <v>8202</v>
      </c>
      <c r="C2640" t="s">
        <v>8231</v>
      </c>
      <c r="D2640" t="s">
        <v>8204</v>
      </c>
      <c r="E2640" t="s">
        <v>8232</v>
      </c>
      <c r="F2640" t="s">
        <v>8233</v>
      </c>
      <c r="J2640" t="s">
        <v>8232</v>
      </c>
      <c r="K2640" t="s">
        <v>8209</v>
      </c>
      <c r="L2640" t="s">
        <v>916</v>
      </c>
    </row>
    <row r="2641" spans="1:12">
      <c r="A2641" t="s">
        <v>8201</v>
      </c>
      <c r="B2641" t="s">
        <v>8202</v>
      </c>
      <c r="C2641" t="s">
        <v>8234</v>
      </c>
      <c r="D2641" t="s">
        <v>8204</v>
      </c>
      <c r="E2641" t="s">
        <v>655</v>
      </c>
      <c r="F2641" t="s">
        <v>656</v>
      </c>
    </row>
    <row r="2642" spans="1:12">
      <c r="A2642" t="s">
        <v>8201</v>
      </c>
      <c r="B2642" t="s">
        <v>8202</v>
      </c>
      <c r="D2642" t="s">
        <v>8204</v>
      </c>
      <c r="F2642" t="s">
        <v>8235</v>
      </c>
      <c r="J2642" t="s">
        <v>8236</v>
      </c>
      <c r="K2642" t="s">
        <v>8209</v>
      </c>
      <c r="L2642" t="s">
        <v>916</v>
      </c>
    </row>
    <row r="2643" spans="1:12">
      <c r="A2643" t="s">
        <v>8201</v>
      </c>
      <c r="B2643" t="s">
        <v>8202</v>
      </c>
      <c r="D2643" t="s">
        <v>8204</v>
      </c>
      <c r="F2643" t="s">
        <v>8237</v>
      </c>
      <c r="J2643" t="s">
        <v>8238</v>
      </c>
      <c r="K2643" t="s">
        <v>8209</v>
      </c>
      <c r="L2643" t="s">
        <v>916</v>
      </c>
    </row>
    <row r="2644" spans="1:12">
      <c r="A2644" t="s">
        <v>8239</v>
      </c>
      <c r="B2644" t="s">
        <v>8240</v>
      </c>
      <c r="C2644" t="s">
        <v>8241</v>
      </c>
      <c r="D2644" t="s">
        <v>8242</v>
      </c>
      <c r="E2644" t="s">
        <v>8243</v>
      </c>
      <c r="F2644" t="s">
        <v>8239</v>
      </c>
      <c r="J2644" t="s">
        <v>8243</v>
      </c>
      <c r="K2644" t="s">
        <v>8244</v>
      </c>
      <c r="L2644" t="s">
        <v>1389</v>
      </c>
    </row>
    <row r="2645" spans="1:12">
      <c r="A2645" t="s">
        <v>8239</v>
      </c>
      <c r="B2645" t="s">
        <v>8240</v>
      </c>
      <c r="C2645" t="s">
        <v>8245</v>
      </c>
      <c r="D2645" t="s">
        <v>8242</v>
      </c>
      <c r="E2645" t="s">
        <v>655</v>
      </c>
      <c r="F2645" t="s">
        <v>656</v>
      </c>
    </row>
    <row r="2646" spans="1:12">
      <c r="A2646" t="s">
        <v>8246</v>
      </c>
      <c r="B2646" t="s">
        <v>8247</v>
      </c>
      <c r="C2646" t="s">
        <v>8248</v>
      </c>
      <c r="D2646" t="s">
        <v>8249</v>
      </c>
      <c r="E2646" t="s">
        <v>8250</v>
      </c>
      <c r="F2646" t="s">
        <v>8251</v>
      </c>
      <c r="J2646" t="s">
        <v>8250</v>
      </c>
      <c r="K2646" t="s">
        <v>8252</v>
      </c>
      <c r="L2646" t="s">
        <v>664</v>
      </c>
    </row>
    <row r="2647" spans="1:12">
      <c r="A2647" t="s">
        <v>8246</v>
      </c>
      <c r="B2647" t="s">
        <v>8247</v>
      </c>
      <c r="C2647" t="s">
        <v>8253</v>
      </c>
      <c r="D2647" t="s">
        <v>8249</v>
      </c>
      <c r="E2647" t="s">
        <v>8254</v>
      </c>
      <c r="F2647" t="s">
        <v>8255</v>
      </c>
      <c r="J2647" t="s">
        <v>8254</v>
      </c>
      <c r="K2647" t="s">
        <v>8252</v>
      </c>
      <c r="L2647" t="s">
        <v>664</v>
      </c>
    </row>
    <row r="2648" spans="1:12">
      <c r="A2648" t="s">
        <v>8246</v>
      </c>
      <c r="B2648" t="s">
        <v>8247</v>
      </c>
      <c r="C2648" t="s">
        <v>8256</v>
      </c>
      <c r="D2648" t="s">
        <v>8249</v>
      </c>
      <c r="E2648" t="s">
        <v>8257</v>
      </c>
      <c r="F2648" t="s">
        <v>8258</v>
      </c>
      <c r="J2648" t="s">
        <v>8257</v>
      </c>
      <c r="K2648" t="s">
        <v>8252</v>
      </c>
      <c r="L2648" t="s">
        <v>664</v>
      </c>
    </row>
    <row r="2649" spans="1:12">
      <c r="A2649" t="s">
        <v>8246</v>
      </c>
      <c r="B2649" t="s">
        <v>8247</v>
      </c>
      <c r="C2649" t="s">
        <v>8259</v>
      </c>
      <c r="D2649" t="s">
        <v>8249</v>
      </c>
      <c r="E2649" t="s">
        <v>8260</v>
      </c>
      <c r="F2649" t="s">
        <v>8261</v>
      </c>
    </row>
    <row r="2650" spans="1:12">
      <c r="A2650" t="s">
        <v>8246</v>
      </c>
      <c r="B2650" t="s">
        <v>8247</v>
      </c>
      <c r="C2650" t="s">
        <v>8262</v>
      </c>
      <c r="D2650" t="s">
        <v>8249</v>
      </c>
      <c r="E2650" t="s">
        <v>3486</v>
      </c>
      <c r="F2650" t="s">
        <v>8263</v>
      </c>
    </row>
    <row r="2651" spans="1:12">
      <c r="A2651" t="s">
        <v>8246</v>
      </c>
      <c r="B2651" t="s">
        <v>8247</v>
      </c>
      <c r="C2651" t="s">
        <v>8264</v>
      </c>
      <c r="D2651" t="s">
        <v>8249</v>
      </c>
      <c r="E2651" t="s">
        <v>8265</v>
      </c>
      <c r="F2651" t="s">
        <v>8266</v>
      </c>
    </row>
    <row r="2652" spans="1:12">
      <c r="A2652" t="s">
        <v>8246</v>
      </c>
      <c r="B2652" t="s">
        <v>8247</v>
      </c>
      <c r="C2652" t="s">
        <v>8267</v>
      </c>
      <c r="D2652" t="s">
        <v>8249</v>
      </c>
      <c r="E2652" t="s">
        <v>7894</v>
      </c>
      <c r="F2652" t="s">
        <v>8268</v>
      </c>
    </row>
    <row r="2653" spans="1:12">
      <c r="A2653" t="s">
        <v>8246</v>
      </c>
      <c r="B2653" t="s">
        <v>8247</v>
      </c>
      <c r="C2653" t="s">
        <v>8269</v>
      </c>
      <c r="D2653" t="s">
        <v>8249</v>
      </c>
      <c r="E2653" t="s">
        <v>8270</v>
      </c>
      <c r="F2653" t="s">
        <v>8271</v>
      </c>
      <c r="J2653" t="s">
        <v>8270</v>
      </c>
      <c r="K2653" t="s">
        <v>8252</v>
      </c>
      <c r="L2653" t="s">
        <v>664</v>
      </c>
    </row>
    <row r="2654" spans="1:12">
      <c r="A2654" t="s">
        <v>8246</v>
      </c>
      <c r="B2654" t="s">
        <v>8247</v>
      </c>
      <c r="C2654" t="s">
        <v>8272</v>
      </c>
      <c r="D2654" t="s">
        <v>8249</v>
      </c>
      <c r="E2654" t="s">
        <v>8273</v>
      </c>
      <c r="F2654" t="s">
        <v>8274</v>
      </c>
    </row>
    <row r="2655" spans="1:12">
      <c r="A2655" t="s">
        <v>8246</v>
      </c>
      <c r="B2655" t="s">
        <v>8247</v>
      </c>
      <c r="C2655" t="s">
        <v>8275</v>
      </c>
      <c r="D2655" t="s">
        <v>8249</v>
      </c>
      <c r="E2655" t="s">
        <v>8276</v>
      </c>
      <c r="F2655" t="s">
        <v>8277</v>
      </c>
    </row>
    <row r="2656" spans="1:12">
      <c r="A2656" t="s">
        <v>8246</v>
      </c>
      <c r="B2656" t="s">
        <v>8247</v>
      </c>
      <c r="C2656" t="s">
        <v>8278</v>
      </c>
      <c r="D2656" t="s">
        <v>8249</v>
      </c>
      <c r="E2656" t="s">
        <v>8279</v>
      </c>
      <c r="F2656" t="s">
        <v>8280</v>
      </c>
      <c r="J2656" t="s">
        <v>8279</v>
      </c>
      <c r="K2656" t="s">
        <v>8252</v>
      </c>
      <c r="L2656" t="s">
        <v>664</v>
      </c>
    </row>
    <row r="2657" spans="1:12">
      <c r="A2657" t="s">
        <v>8246</v>
      </c>
      <c r="B2657" t="s">
        <v>8247</v>
      </c>
      <c r="C2657" t="s">
        <v>8281</v>
      </c>
      <c r="D2657" t="s">
        <v>8249</v>
      </c>
      <c r="E2657" t="s">
        <v>8282</v>
      </c>
      <c r="F2657" t="s">
        <v>8283</v>
      </c>
    </row>
    <row r="2658" spans="1:12">
      <c r="A2658" t="s">
        <v>8246</v>
      </c>
      <c r="B2658" t="s">
        <v>8247</v>
      </c>
      <c r="C2658" t="s">
        <v>8284</v>
      </c>
      <c r="D2658" t="s">
        <v>8249</v>
      </c>
      <c r="E2658" t="s">
        <v>8285</v>
      </c>
      <c r="F2658" t="s">
        <v>8286</v>
      </c>
    </row>
    <row r="2659" spans="1:12">
      <c r="A2659" t="s">
        <v>8246</v>
      </c>
      <c r="B2659" t="s">
        <v>8247</v>
      </c>
      <c r="C2659" t="s">
        <v>8287</v>
      </c>
      <c r="D2659" t="s">
        <v>8249</v>
      </c>
      <c r="E2659" t="s">
        <v>8288</v>
      </c>
      <c r="F2659" t="s">
        <v>8289</v>
      </c>
    </row>
    <row r="2660" spans="1:12">
      <c r="A2660" t="s">
        <v>8246</v>
      </c>
      <c r="B2660" t="s">
        <v>8247</v>
      </c>
      <c r="C2660" t="s">
        <v>8290</v>
      </c>
      <c r="D2660" t="s">
        <v>8249</v>
      </c>
      <c r="E2660" t="s">
        <v>8291</v>
      </c>
      <c r="F2660" t="s">
        <v>8292</v>
      </c>
    </row>
    <row r="2661" spans="1:12">
      <c r="A2661" t="s">
        <v>8246</v>
      </c>
      <c r="B2661" t="s">
        <v>8247</v>
      </c>
      <c r="C2661" t="s">
        <v>8293</v>
      </c>
      <c r="D2661" t="s">
        <v>8249</v>
      </c>
      <c r="E2661" t="s">
        <v>655</v>
      </c>
      <c r="F2661" t="s">
        <v>656</v>
      </c>
    </row>
    <row r="2662" spans="1:12">
      <c r="A2662" t="s">
        <v>8294</v>
      </c>
      <c r="B2662" t="s">
        <v>8295</v>
      </c>
      <c r="C2662" t="s">
        <v>8296</v>
      </c>
      <c r="D2662" t="s">
        <v>8297</v>
      </c>
      <c r="E2662" t="s">
        <v>8298</v>
      </c>
      <c r="F2662" t="s">
        <v>1385</v>
      </c>
    </row>
    <row r="2663" spans="1:12">
      <c r="A2663" t="s">
        <v>8294</v>
      </c>
      <c r="B2663" t="s">
        <v>8295</v>
      </c>
      <c r="C2663" t="s">
        <v>8299</v>
      </c>
      <c r="D2663" t="s">
        <v>8297</v>
      </c>
      <c r="E2663" t="s">
        <v>3613</v>
      </c>
      <c r="F2663" t="s">
        <v>8300</v>
      </c>
    </row>
    <row r="2664" spans="1:12">
      <c r="A2664" t="s">
        <v>8294</v>
      </c>
      <c r="B2664" t="s">
        <v>8295</v>
      </c>
      <c r="C2664" t="s">
        <v>8301</v>
      </c>
      <c r="D2664" t="s">
        <v>8297</v>
      </c>
      <c r="E2664" t="s">
        <v>8302</v>
      </c>
      <c r="F2664" t="s">
        <v>8303</v>
      </c>
      <c r="J2664" t="s">
        <v>8302</v>
      </c>
      <c r="K2664" t="s">
        <v>8304</v>
      </c>
      <c r="L2664" t="s">
        <v>851</v>
      </c>
    </row>
    <row r="2665" spans="1:12">
      <c r="A2665" t="s">
        <v>8294</v>
      </c>
      <c r="B2665" t="s">
        <v>8295</v>
      </c>
      <c r="C2665" t="s">
        <v>8305</v>
      </c>
      <c r="D2665" t="s">
        <v>8297</v>
      </c>
      <c r="E2665" t="s">
        <v>8306</v>
      </c>
      <c r="F2665" t="s">
        <v>8307</v>
      </c>
    </row>
    <row r="2666" spans="1:12">
      <c r="A2666" t="s">
        <v>8294</v>
      </c>
      <c r="B2666" t="s">
        <v>8295</v>
      </c>
      <c r="C2666" t="s">
        <v>8308</v>
      </c>
      <c r="D2666" t="s">
        <v>8297</v>
      </c>
      <c r="E2666" t="s">
        <v>8309</v>
      </c>
      <c r="F2666" t="s">
        <v>8310</v>
      </c>
    </row>
    <row r="2667" spans="1:12">
      <c r="A2667" t="s">
        <v>8294</v>
      </c>
      <c r="B2667" t="s">
        <v>8295</v>
      </c>
      <c r="C2667" t="s">
        <v>8311</v>
      </c>
      <c r="D2667" t="s">
        <v>8297</v>
      </c>
      <c r="E2667" t="s">
        <v>8312</v>
      </c>
      <c r="F2667" t="s">
        <v>8313</v>
      </c>
    </row>
    <row r="2668" spans="1:12">
      <c r="A2668" t="s">
        <v>8294</v>
      </c>
      <c r="B2668" t="s">
        <v>8295</v>
      </c>
      <c r="C2668" t="s">
        <v>8314</v>
      </c>
      <c r="D2668" t="s">
        <v>8297</v>
      </c>
      <c r="E2668" t="s">
        <v>1732</v>
      </c>
      <c r="F2668" t="s">
        <v>8315</v>
      </c>
    </row>
    <row r="2669" spans="1:12">
      <c r="A2669" t="s">
        <v>8294</v>
      </c>
      <c r="B2669" t="s">
        <v>8295</v>
      </c>
      <c r="C2669" t="s">
        <v>8316</v>
      </c>
      <c r="D2669" t="s">
        <v>8297</v>
      </c>
      <c r="E2669" t="s">
        <v>7199</v>
      </c>
      <c r="F2669" t="s">
        <v>8317</v>
      </c>
    </row>
    <row r="2670" spans="1:12">
      <c r="A2670" t="s">
        <v>8294</v>
      </c>
      <c r="B2670" t="s">
        <v>8295</v>
      </c>
      <c r="C2670" t="s">
        <v>8318</v>
      </c>
      <c r="D2670" t="s">
        <v>8297</v>
      </c>
      <c r="E2670" t="s">
        <v>8319</v>
      </c>
      <c r="F2670" t="s">
        <v>8320</v>
      </c>
    </row>
    <row r="2671" spans="1:12">
      <c r="A2671" t="s">
        <v>8294</v>
      </c>
      <c r="B2671" t="s">
        <v>8295</v>
      </c>
      <c r="C2671" t="s">
        <v>8321</v>
      </c>
      <c r="D2671" t="s">
        <v>8297</v>
      </c>
      <c r="E2671" t="s">
        <v>8322</v>
      </c>
      <c r="F2671" t="s">
        <v>8323</v>
      </c>
    </row>
    <row r="2672" spans="1:12">
      <c r="A2672" t="s">
        <v>8294</v>
      </c>
      <c r="B2672" t="s">
        <v>8295</v>
      </c>
      <c r="C2672" t="s">
        <v>8324</v>
      </c>
      <c r="D2672" t="s">
        <v>8297</v>
      </c>
      <c r="E2672" t="s">
        <v>8325</v>
      </c>
      <c r="F2672" t="s">
        <v>8326</v>
      </c>
    </row>
    <row r="2673" spans="1:12">
      <c r="A2673" t="s">
        <v>8294</v>
      </c>
      <c r="B2673" t="s">
        <v>8295</v>
      </c>
      <c r="C2673" t="s">
        <v>8327</v>
      </c>
      <c r="D2673" t="s">
        <v>8297</v>
      </c>
      <c r="E2673" t="s">
        <v>7259</v>
      </c>
      <c r="F2673" t="s">
        <v>8328</v>
      </c>
    </row>
    <row r="2674" spans="1:12">
      <c r="A2674" t="s">
        <v>8294</v>
      </c>
      <c r="B2674" t="s">
        <v>8295</v>
      </c>
      <c r="C2674" t="s">
        <v>8329</v>
      </c>
      <c r="D2674" t="s">
        <v>8297</v>
      </c>
      <c r="E2674" t="s">
        <v>8330</v>
      </c>
      <c r="F2674" t="s">
        <v>8331</v>
      </c>
    </row>
    <row r="2675" spans="1:12">
      <c r="A2675" t="s">
        <v>8294</v>
      </c>
      <c r="B2675" t="s">
        <v>8295</v>
      </c>
      <c r="C2675" t="s">
        <v>8332</v>
      </c>
      <c r="D2675" t="s">
        <v>8297</v>
      </c>
      <c r="E2675" t="s">
        <v>8333</v>
      </c>
      <c r="F2675" t="s">
        <v>8334</v>
      </c>
    </row>
    <row r="2676" spans="1:12">
      <c r="A2676" t="s">
        <v>8294</v>
      </c>
      <c r="B2676" t="s">
        <v>8295</v>
      </c>
      <c r="C2676" t="s">
        <v>8335</v>
      </c>
      <c r="D2676" t="s">
        <v>8297</v>
      </c>
      <c r="E2676" t="s">
        <v>8336</v>
      </c>
      <c r="F2676" t="s">
        <v>8337</v>
      </c>
      <c r="J2676" t="s">
        <v>8336</v>
      </c>
      <c r="K2676" t="s">
        <v>8304</v>
      </c>
      <c r="L2676" t="s">
        <v>851</v>
      </c>
    </row>
    <row r="2677" spans="1:12">
      <c r="A2677" t="s">
        <v>8294</v>
      </c>
      <c r="B2677" t="s">
        <v>8295</v>
      </c>
      <c r="C2677" t="s">
        <v>8338</v>
      </c>
      <c r="D2677" t="s">
        <v>8297</v>
      </c>
      <c r="E2677" t="s">
        <v>8339</v>
      </c>
      <c r="F2677" t="s">
        <v>8340</v>
      </c>
    </row>
    <row r="2678" spans="1:12">
      <c r="A2678" t="s">
        <v>8294</v>
      </c>
      <c r="B2678" t="s">
        <v>8295</v>
      </c>
      <c r="C2678" t="s">
        <v>8341</v>
      </c>
      <c r="D2678" t="s">
        <v>8297</v>
      </c>
      <c r="E2678" t="s">
        <v>8342</v>
      </c>
      <c r="F2678" t="s">
        <v>8343</v>
      </c>
      <c r="J2678" t="s">
        <v>8342</v>
      </c>
      <c r="K2678" t="s">
        <v>8304</v>
      </c>
      <c r="L2678" t="s">
        <v>851</v>
      </c>
    </row>
    <row r="2679" spans="1:12">
      <c r="A2679" t="s">
        <v>8294</v>
      </c>
      <c r="B2679" t="s">
        <v>8295</v>
      </c>
      <c r="C2679" t="s">
        <v>8344</v>
      </c>
      <c r="D2679" t="s">
        <v>8297</v>
      </c>
      <c r="E2679" t="s">
        <v>6503</v>
      </c>
      <c r="F2679" t="s">
        <v>8345</v>
      </c>
    </row>
    <row r="2680" spans="1:12">
      <c r="A2680" t="s">
        <v>8294</v>
      </c>
      <c r="B2680" t="s">
        <v>8295</v>
      </c>
      <c r="C2680" t="s">
        <v>8346</v>
      </c>
      <c r="D2680" t="s">
        <v>8297</v>
      </c>
      <c r="E2680" t="s">
        <v>2592</v>
      </c>
      <c r="F2680" t="s">
        <v>8347</v>
      </c>
    </row>
    <row r="2681" spans="1:12">
      <c r="A2681" t="s">
        <v>8294</v>
      </c>
      <c r="B2681" t="s">
        <v>8295</v>
      </c>
      <c r="C2681" t="s">
        <v>8348</v>
      </c>
      <c r="D2681" t="s">
        <v>8297</v>
      </c>
      <c r="E2681" t="s">
        <v>8349</v>
      </c>
      <c r="F2681" t="s">
        <v>8350</v>
      </c>
    </row>
    <row r="2682" spans="1:12">
      <c r="A2682" t="s">
        <v>8294</v>
      </c>
      <c r="B2682" t="s">
        <v>8295</v>
      </c>
      <c r="C2682" t="s">
        <v>8351</v>
      </c>
      <c r="D2682" t="s">
        <v>8297</v>
      </c>
      <c r="E2682" t="s">
        <v>8352</v>
      </c>
      <c r="F2682" t="s">
        <v>8353</v>
      </c>
      <c r="J2682" t="s">
        <v>8352</v>
      </c>
      <c r="K2682" t="s">
        <v>8304</v>
      </c>
      <c r="L2682" t="s">
        <v>851</v>
      </c>
    </row>
    <row r="2683" spans="1:12">
      <c r="A2683" t="s">
        <v>8294</v>
      </c>
      <c r="B2683" t="s">
        <v>8295</v>
      </c>
      <c r="C2683" t="s">
        <v>8354</v>
      </c>
      <c r="D2683" t="s">
        <v>8297</v>
      </c>
      <c r="E2683" t="s">
        <v>8355</v>
      </c>
      <c r="F2683" t="s">
        <v>8356</v>
      </c>
      <c r="J2683" t="s">
        <v>8355</v>
      </c>
      <c r="K2683" t="s">
        <v>8304</v>
      </c>
      <c r="L2683" t="s">
        <v>851</v>
      </c>
    </row>
    <row r="2684" spans="1:12">
      <c r="A2684" t="s">
        <v>8294</v>
      </c>
      <c r="B2684" t="s">
        <v>8295</v>
      </c>
      <c r="C2684" t="s">
        <v>8357</v>
      </c>
      <c r="D2684" t="s">
        <v>8297</v>
      </c>
      <c r="E2684" t="s">
        <v>8358</v>
      </c>
      <c r="F2684" t="s">
        <v>8359</v>
      </c>
    </row>
    <row r="2685" spans="1:12">
      <c r="A2685" t="s">
        <v>8294</v>
      </c>
      <c r="B2685" t="s">
        <v>8295</v>
      </c>
      <c r="C2685" t="s">
        <v>8360</v>
      </c>
      <c r="D2685" t="s">
        <v>8297</v>
      </c>
      <c r="E2685" t="s">
        <v>8361</v>
      </c>
      <c r="F2685" t="s">
        <v>8362</v>
      </c>
      <c r="J2685" t="s">
        <v>8361</v>
      </c>
      <c r="K2685" t="s">
        <v>8304</v>
      </c>
      <c r="L2685" t="s">
        <v>851</v>
      </c>
    </row>
    <row r="2686" spans="1:12">
      <c r="A2686" t="s">
        <v>8294</v>
      </c>
      <c r="B2686" t="s">
        <v>8295</v>
      </c>
      <c r="C2686" t="s">
        <v>8363</v>
      </c>
      <c r="D2686" t="s">
        <v>8297</v>
      </c>
      <c r="E2686" t="s">
        <v>8364</v>
      </c>
      <c r="F2686" t="s">
        <v>8365</v>
      </c>
      <c r="J2686" t="s">
        <v>8364</v>
      </c>
      <c r="K2686" t="s">
        <v>8304</v>
      </c>
      <c r="L2686" t="s">
        <v>851</v>
      </c>
    </row>
    <row r="2687" spans="1:12">
      <c r="A2687" t="s">
        <v>8294</v>
      </c>
      <c r="B2687" t="s">
        <v>8295</v>
      </c>
      <c r="C2687" t="s">
        <v>8366</v>
      </c>
      <c r="D2687" t="s">
        <v>8297</v>
      </c>
      <c r="E2687" t="s">
        <v>2834</v>
      </c>
      <c r="F2687" t="s">
        <v>8367</v>
      </c>
    </row>
    <row r="2688" spans="1:12">
      <c r="A2688" t="s">
        <v>8294</v>
      </c>
      <c r="B2688" t="s">
        <v>8295</v>
      </c>
      <c r="C2688" t="s">
        <v>8368</v>
      </c>
      <c r="D2688" t="s">
        <v>8297</v>
      </c>
      <c r="E2688" t="s">
        <v>8369</v>
      </c>
      <c r="F2688" t="s">
        <v>8370</v>
      </c>
    </row>
    <row r="2689" spans="1:12">
      <c r="A2689" t="s">
        <v>8294</v>
      </c>
      <c r="B2689" t="s">
        <v>8295</v>
      </c>
      <c r="C2689" t="s">
        <v>8371</v>
      </c>
      <c r="D2689" t="s">
        <v>8297</v>
      </c>
      <c r="E2689" t="s">
        <v>1020</v>
      </c>
      <c r="F2689" t="s">
        <v>8372</v>
      </c>
    </row>
    <row r="2690" spans="1:12">
      <c r="A2690" t="s">
        <v>8294</v>
      </c>
      <c r="B2690" t="s">
        <v>8295</v>
      </c>
      <c r="C2690" t="s">
        <v>8373</v>
      </c>
      <c r="D2690" t="s">
        <v>8297</v>
      </c>
      <c r="E2690" t="s">
        <v>8374</v>
      </c>
      <c r="F2690" t="s">
        <v>8375</v>
      </c>
    </row>
    <row r="2691" spans="1:12">
      <c r="A2691" t="s">
        <v>8294</v>
      </c>
      <c r="B2691" t="s">
        <v>8295</v>
      </c>
      <c r="C2691" t="s">
        <v>8376</v>
      </c>
      <c r="D2691" t="s">
        <v>8297</v>
      </c>
      <c r="E2691" t="s">
        <v>8377</v>
      </c>
      <c r="F2691" t="s">
        <v>8378</v>
      </c>
      <c r="J2691" t="s">
        <v>8377</v>
      </c>
      <c r="K2691" t="s">
        <v>8304</v>
      </c>
      <c r="L2691" t="s">
        <v>851</v>
      </c>
    </row>
    <row r="2692" spans="1:12">
      <c r="A2692" t="s">
        <v>8294</v>
      </c>
      <c r="B2692" t="s">
        <v>8295</v>
      </c>
      <c r="C2692" t="s">
        <v>8379</v>
      </c>
      <c r="D2692" t="s">
        <v>8297</v>
      </c>
      <c r="E2692" t="s">
        <v>8380</v>
      </c>
      <c r="F2692" t="s">
        <v>8381</v>
      </c>
    </row>
    <row r="2693" spans="1:12">
      <c r="A2693" t="s">
        <v>8294</v>
      </c>
      <c r="B2693" t="s">
        <v>8295</v>
      </c>
      <c r="C2693" t="s">
        <v>8382</v>
      </c>
      <c r="D2693" t="s">
        <v>8297</v>
      </c>
      <c r="E2693" t="s">
        <v>8383</v>
      </c>
      <c r="F2693" t="s">
        <v>8384</v>
      </c>
    </row>
    <row r="2694" spans="1:12">
      <c r="A2694" t="s">
        <v>8294</v>
      </c>
      <c r="B2694" t="s">
        <v>8295</v>
      </c>
      <c r="C2694" t="s">
        <v>8385</v>
      </c>
      <c r="D2694" t="s">
        <v>8297</v>
      </c>
      <c r="E2694" t="s">
        <v>7686</v>
      </c>
      <c r="F2694" t="s">
        <v>8386</v>
      </c>
    </row>
    <row r="2695" spans="1:12">
      <c r="A2695" t="s">
        <v>8294</v>
      </c>
      <c r="B2695" t="s">
        <v>8295</v>
      </c>
      <c r="C2695" t="s">
        <v>8387</v>
      </c>
      <c r="D2695" t="s">
        <v>8297</v>
      </c>
      <c r="E2695" t="s">
        <v>655</v>
      </c>
      <c r="F2695" t="s">
        <v>656</v>
      </c>
    </row>
    <row r="2696" spans="1:12">
      <c r="A2696" t="s">
        <v>8388</v>
      </c>
      <c r="B2696" t="s">
        <v>8389</v>
      </c>
      <c r="C2696" t="s">
        <v>8390</v>
      </c>
      <c r="D2696" t="s">
        <v>8391</v>
      </c>
      <c r="E2696" t="s">
        <v>8392</v>
      </c>
      <c r="F2696" t="s">
        <v>8393</v>
      </c>
    </row>
    <row r="2697" spans="1:12">
      <c r="A2697" t="s">
        <v>8388</v>
      </c>
      <c r="B2697" t="s">
        <v>8389</v>
      </c>
      <c r="C2697" t="s">
        <v>8394</v>
      </c>
      <c r="D2697" t="s">
        <v>8391</v>
      </c>
      <c r="E2697" t="s">
        <v>4869</v>
      </c>
      <c r="F2697" t="s">
        <v>8395</v>
      </c>
    </row>
    <row r="2698" spans="1:12">
      <c r="A2698" t="s">
        <v>8388</v>
      </c>
      <c r="B2698" t="s">
        <v>8389</v>
      </c>
      <c r="C2698" t="s">
        <v>8396</v>
      </c>
      <c r="D2698" t="s">
        <v>8391</v>
      </c>
      <c r="E2698" t="s">
        <v>8397</v>
      </c>
      <c r="F2698" t="s">
        <v>8398</v>
      </c>
    </row>
    <row r="2699" spans="1:12">
      <c r="A2699" t="s">
        <v>8388</v>
      </c>
      <c r="B2699" t="s">
        <v>8389</v>
      </c>
      <c r="C2699" t="s">
        <v>8399</v>
      </c>
      <c r="D2699" t="s">
        <v>8391</v>
      </c>
      <c r="E2699" t="s">
        <v>1451</v>
      </c>
      <c r="F2699" t="s">
        <v>8400</v>
      </c>
    </row>
    <row r="2700" spans="1:12">
      <c r="A2700" t="s">
        <v>8388</v>
      </c>
      <c r="B2700" t="s">
        <v>8389</v>
      </c>
      <c r="C2700" t="s">
        <v>8401</v>
      </c>
      <c r="D2700" t="s">
        <v>8391</v>
      </c>
      <c r="E2700" t="s">
        <v>6736</v>
      </c>
      <c r="F2700" t="s">
        <v>8402</v>
      </c>
    </row>
    <row r="2701" spans="1:12">
      <c r="A2701" t="s">
        <v>8388</v>
      </c>
      <c r="B2701" t="s">
        <v>8389</v>
      </c>
      <c r="C2701" t="s">
        <v>8403</v>
      </c>
      <c r="D2701" t="s">
        <v>8391</v>
      </c>
      <c r="E2701" t="s">
        <v>8404</v>
      </c>
      <c r="F2701" t="s">
        <v>8405</v>
      </c>
    </row>
    <row r="2702" spans="1:12">
      <c r="A2702" t="s">
        <v>8388</v>
      </c>
      <c r="B2702" t="s">
        <v>8389</v>
      </c>
      <c r="C2702" t="s">
        <v>8406</v>
      </c>
      <c r="D2702" t="s">
        <v>8391</v>
      </c>
      <c r="E2702" t="s">
        <v>8407</v>
      </c>
      <c r="F2702" t="s">
        <v>8408</v>
      </c>
      <c r="J2702" t="s">
        <v>8407</v>
      </c>
      <c r="K2702" t="s">
        <v>8126</v>
      </c>
      <c r="L2702" t="s">
        <v>851</v>
      </c>
    </row>
    <row r="2703" spans="1:12">
      <c r="A2703" t="s">
        <v>8388</v>
      </c>
      <c r="B2703" t="s">
        <v>8389</v>
      </c>
      <c r="C2703" t="s">
        <v>8409</v>
      </c>
      <c r="D2703" t="s">
        <v>8391</v>
      </c>
      <c r="E2703" t="s">
        <v>8410</v>
      </c>
      <c r="F2703" t="s">
        <v>8411</v>
      </c>
    </row>
    <row r="2704" spans="1:12">
      <c r="A2704" t="s">
        <v>8388</v>
      </c>
      <c r="B2704" t="s">
        <v>8389</v>
      </c>
      <c r="C2704" t="s">
        <v>8412</v>
      </c>
      <c r="D2704" t="s">
        <v>8391</v>
      </c>
      <c r="E2704" t="s">
        <v>8413</v>
      </c>
      <c r="F2704" t="s">
        <v>8414</v>
      </c>
    </row>
    <row r="2705" spans="1:6">
      <c r="A2705" t="s">
        <v>8388</v>
      </c>
      <c r="B2705" t="s">
        <v>8389</v>
      </c>
      <c r="C2705" t="s">
        <v>8415</v>
      </c>
      <c r="D2705" t="s">
        <v>8391</v>
      </c>
      <c r="E2705" t="s">
        <v>8416</v>
      </c>
      <c r="F2705" t="s">
        <v>8417</v>
      </c>
    </row>
    <row r="2706" spans="1:6">
      <c r="A2706" t="s">
        <v>8388</v>
      </c>
      <c r="B2706" t="s">
        <v>8389</v>
      </c>
      <c r="C2706" t="s">
        <v>8418</v>
      </c>
      <c r="D2706" t="s">
        <v>8391</v>
      </c>
      <c r="E2706" t="s">
        <v>850</v>
      </c>
      <c r="F2706" t="s">
        <v>8419</v>
      </c>
    </row>
    <row r="2707" spans="1:6">
      <c r="A2707" t="s">
        <v>8388</v>
      </c>
      <c r="B2707" t="s">
        <v>8389</v>
      </c>
      <c r="C2707" t="s">
        <v>8420</v>
      </c>
      <c r="D2707" t="s">
        <v>8391</v>
      </c>
      <c r="E2707" t="s">
        <v>8421</v>
      </c>
      <c r="F2707" t="s">
        <v>8422</v>
      </c>
    </row>
    <row r="2708" spans="1:6">
      <c r="A2708" t="s">
        <v>8388</v>
      </c>
      <c r="B2708" t="s">
        <v>8389</v>
      </c>
      <c r="C2708" t="s">
        <v>8423</v>
      </c>
      <c r="D2708" t="s">
        <v>8391</v>
      </c>
      <c r="E2708" t="s">
        <v>8424</v>
      </c>
      <c r="F2708" t="s">
        <v>8425</v>
      </c>
    </row>
    <row r="2709" spans="1:6">
      <c r="A2709" t="s">
        <v>8388</v>
      </c>
      <c r="B2709" t="s">
        <v>8389</v>
      </c>
      <c r="C2709" t="s">
        <v>8426</v>
      </c>
      <c r="D2709" t="s">
        <v>8391</v>
      </c>
      <c r="E2709" t="s">
        <v>8427</v>
      </c>
      <c r="F2709" t="s">
        <v>8428</v>
      </c>
    </row>
    <row r="2710" spans="1:6">
      <c r="A2710" t="s">
        <v>8388</v>
      </c>
      <c r="B2710" t="s">
        <v>8389</v>
      </c>
      <c r="C2710" t="s">
        <v>8429</v>
      </c>
      <c r="D2710" t="s">
        <v>8391</v>
      </c>
      <c r="E2710" t="s">
        <v>8430</v>
      </c>
      <c r="F2710" t="s">
        <v>8431</v>
      </c>
    </row>
    <row r="2711" spans="1:6">
      <c r="A2711" t="s">
        <v>8388</v>
      </c>
      <c r="B2711" t="s">
        <v>8389</v>
      </c>
      <c r="C2711" t="s">
        <v>8432</v>
      </c>
      <c r="D2711" t="s">
        <v>8391</v>
      </c>
      <c r="E2711" t="s">
        <v>8433</v>
      </c>
      <c r="F2711" t="s">
        <v>8434</v>
      </c>
    </row>
    <row r="2712" spans="1:6">
      <c r="A2712" t="s">
        <v>8388</v>
      </c>
      <c r="B2712" t="s">
        <v>8389</v>
      </c>
      <c r="C2712" t="s">
        <v>8435</v>
      </c>
      <c r="D2712" t="s">
        <v>8391</v>
      </c>
      <c r="E2712" t="s">
        <v>8436</v>
      </c>
      <c r="F2712" t="s">
        <v>8437</v>
      </c>
    </row>
    <row r="2713" spans="1:6">
      <c r="A2713" t="s">
        <v>8388</v>
      </c>
      <c r="B2713" t="s">
        <v>8389</v>
      </c>
      <c r="C2713" t="s">
        <v>8438</v>
      </c>
      <c r="D2713" t="s">
        <v>8391</v>
      </c>
      <c r="E2713" t="s">
        <v>8439</v>
      </c>
      <c r="F2713" t="s">
        <v>8440</v>
      </c>
    </row>
    <row r="2714" spans="1:6">
      <c r="A2714" t="s">
        <v>8388</v>
      </c>
      <c r="B2714" t="s">
        <v>8389</v>
      </c>
      <c r="C2714" t="s">
        <v>8441</v>
      </c>
      <c r="D2714" t="s">
        <v>8391</v>
      </c>
      <c r="E2714" t="s">
        <v>8442</v>
      </c>
      <c r="F2714" t="s">
        <v>8443</v>
      </c>
    </row>
    <row r="2715" spans="1:6">
      <c r="A2715" t="s">
        <v>8388</v>
      </c>
      <c r="B2715" t="s">
        <v>8389</v>
      </c>
      <c r="C2715" t="s">
        <v>8444</v>
      </c>
      <c r="D2715" t="s">
        <v>8391</v>
      </c>
      <c r="E2715" t="s">
        <v>8445</v>
      </c>
      <c r="F2715" t="s">
        <v>8446</v>
      </c>
    </row>
    <row r="2716" spans="1:6">
      <c r="A2716" t="s">
        <v>8388</v>
      </c>
      <c r="B2716" t="s">
        <v>8389</v>
      </c>
      <c r="C2716" t="s">
        <v>8447</v>
      </c>
      <c r="D2716" t="s">
        <v>8391</v>
      </c>
      <c r="E2716" t="s">
        <v>8448</v>
      </c>
      <c r="F2716" t="s">
        <v>8449</v>
      </c>
    </row>
    <row r="2717" spans="1:6">
      <c r="A2717" t="s">
        <v>8388</v>
      </c>
      <c r="B2717" t="s">
        <v>8389</v>
      </c>
      <c r="C2717" t="s">
        <v>8450</v>
      </c>
      <c r="D2717" t="s">
        <v>8391</v>
      </c>
      <c r="E2717" t="s">
        <v>8451</v>
      </c>
      <c r="F2717" t="s">
        <v>8452</v>
      </c>
    </row>
    <row r="2718" spans="1:6">
      <c r="A2718" t="s">
        <v>8388</v>
      </c>
      <c r="B2718" t="s">
        <v>8389</v>
      </c>
      <c r="C2718" t="s">
        <v>8453</v>
      </c>
      <c r="D2718" t="s">
        <v>8391</v>
      </c>
      <c r="E2718" t="s">
        <v>3663</v>
      </c>
      <c r="F2718" t="s">
        <v>8454</v>
      </c>
    </row>
    <row r="2719" spans="1:6">
      <c r="A2719" t="s">
        <v>8388</v>
      </c>
      <c r="B2719" t="s">
        <v>8389</v>
      </c>
      <c r="C2719" t="s">
        <v>8455</v>
      </c>
      <c r="D2719" t="s">
        <v>8391</v>
      </c>
      <c r="E2719" t="s">
        <v>6748</v>
      </c>
      <c r="F2719" t="s">
        <v>8456</v>
      </c>
    </row>
    <row r="2720" spans="1:6">
      <c r="A2720" t="s">
        <v>8388</v>
      </c>
      <c r="B2720" t="s">
        <v>8389</v>
      </c>
      <c r="C2720" t="s">
        <v>8457</v>
      </c>
      <c r="D2720" t="s">
        <v>8391</v>
      </c>
      <c r="E2720" t="s">
        <v>8458</v>
      </c>
      <c r="F2720" t="s">
        <v>8459</v>
      </c>
    </row>
    <row r="2721" spans="1:6">
      <c r="A2721" t="s">
        <v>8388</v>
      </c>
      <c r="B2721" t="s">
        <v>8389</v>
      </c>
      <c r="C2721" t="s">
        <v>8460</v>
      </c>
      <c r="D2721" t="s">
        <v>8391</v>
      </c>
      <c r="E2721" t="s">
        <v>8461</v>
      </c>
      <c r="F2721" t="s">
        <v>8462</v>
      </c>
    </row>
    <row r="2722" spans="1:6">
      <c r="A2722" t="s">
        <v>8388</v>
      </c>
      <c r="B2722" t="s">
        <v>8389</v>
      </c>
      <c r="C2722" t="s">
        <v>8463</v>
      </c>
      <c r="D2722" t="s">
        <v>8391</v>
      </c>
      <c r="E2722" t="s">
        <v>8464</v>
      </c>
      <c r="F2722" t="s">
        <v>8465</v>
      </c>
    </row>
    <row r="2723" spans="1:6">
      <c r="A2723" t="s">
        <v>8388</v>
      </c>
      <c r="B2723" t="s">
        <v>8389</v>
      </c>
      <c r="C2723" t="s">
        <v>8466</v>
      </c>
      <c r="D2723" t="s">
        <v>8391</v>
      </c>
      <c r="E2723" t="s">
        <v>8467</v>
      </c>
      <c r="F2723" t="s">
        <v>8468</v>
      </c>
    </row>
    <row r="2724" spans="1:6">
      <c r="A2724" t="s">
        <v>8388</v>
      </c>
      <c r="B2724" t="s">
        <v>8389</v>
      </c>
      <c r="C2724" t="s">
        <v>8469</v>
      </c>
      <c r="D2724" t="s">
        <v>8391</v>
      </c>
      <c r="E2724" t="s">
        <v>8470</v>
      </c>
      <c r="F2724" t="s">
        <v>8471</v>
      </c>
    </row>
    <row r="2725" spans="1:6">
      <c r="A2725" t="s">
        <v>8388</v>
      </c>
      <c r="B2725" t="s">
        <v>8389</v>
      </c>
      <c r="C2725" t="s">
        <v>8472</v>
      </c>
      <c r="D2725" t="s">
        <v>8391</v>
      </c>
      <c r="E2725" t="s">
        <v>7842</v>
      </c>
      <c r="F2725" t="s">
        <v>8473</v>
      </c>
    </row>
    <row r="2726" spans="1:6">
      <c r="A2726" t="s">
        <v>8388</v>
      </c>
      <c r="B2726" t="s">
        <v>8389</v>
      </c>
      <c r="C2726" t="s">
        <v>8474</v>
      </c>
      <c r="D2726" t="s">
        <v>8391</v>
      </c>
      <c r="E2726" t="s">
        <v>3452</v>
      </c>
      <c r="F2726" t="s">
        <v>8475</v>
      </c>
    </row>
    <row r="2727" spans="1:6">
      <c r="A2727" t="s">
        <v>8388</v>
      </c>
      <c r="B2727" t="s">
        <v>8389</v>
      </c>
      <c r="C2727" t="s">
        <v>8476</v>
      </c>
      <c r="D2727" t="s">
        <v>8391</v>
      </c>
      <c r="E2727" t="s">
        <v>8477</v>
      </c>
      <c r="F2727" t="s">
        <v>8478</v>
      </c>
    </row>
    <row r="2728" spans="1:6">
      <c r="A2728" t="s">
        <v>8388</v>
      </c>
      <c r="B2728" t="s">
        <v>8389</v>
      </c>
      <c r="C2728" t="s">
        <v>8479</v>
      </c>
      <c r="D2728" t="s">
        <v>8391</v>
      </c>
      <c r="E2728" t="s">
        <v>7136</v>
      </c>
      <c r="F2728" t="s">
        <v>8480</v>
      </c>
    </row>
    <row r="2729" spans="1:6">
      <c r="A2729" t="s">
        <v>8388</v>
      </c>
      <c r="B2729" t="s">
        <v>8389</v>
      </c>
      <c r="C2729" t="s">
        <v>8481</v>
      </c>
      <c r="D2729" t="s">
        <v>8391</v>
      </c>
      <c r="E2729" t="s">
        <v>1538</v>
      </c>
      <c r="F2729" t="s">
        <v>8482</v>
      </c>
    </row>
    <row r="2730" spans="1:6">
      <c r="A2730" t="s">
        <v>8388</v>
      </c>
      <c r="B2730" t="s">
        <v>8389</v>
      </c>
      <c r="C2730" t="s">
        <v>8483</v>
      </c>
      <c r="D2730" t="s">
        <v>8391</v>
      </c>
      <c r="E2730" t="s">
        <v>8484</v>
      </c>
      <c r="F2730" t="s">
        <v>8485</v>
      </c>
    </row>
    <row r="2731" spans="1:6">
      <c r="A2731" t="s">
        <v>8388</v>
      </c>
      <c r="B2731" t="s">
        <v>8389</v>
      </c>
      <c r="C2731" t="s">
        <v>8486</v>
      </c>
      <c r="D2731" t="s">
        <v>8391</v>
      </c>
      <c r="E2731" t="s">
        <v>8487</v>
      </c>
      <c r="F2731" t="s">
        <v>8488</v>
      </c>
    </row>
    <row r="2732" spans="1:6">
      <c r="A2732" t="s">
        <v>8388</v>
      </c>
      <c r="B2732" t="s">
        <v>8389</v>
      </c>
      <c r="C2732" t="s">
        <v>8489</v>
      </c>
      <c r="D2732" t="s">
        <v>8391</v>
      </c>
      <c r="E2732" t="s">
        <v>8033</v>
      </c>
      <c r="F2732" t="s">
        <v>8490</v>
      </c>
    </row>
    <row r="2733" spans="1:6">
      <c r="A2733" t="s">
        <v>8388</v>
      </c>
      <c r="B2733" t="s">
        <v>8389</v>
      </c>
      <c r="C2733" t="s">
        <v>8491</v>
      </c>
      <c r="D2733" t="s">
        <v>8391</v>
      </c>
      <c r="E2733" t="s">
        <v>8492</v>
      </c>
      <c r="F2733" t="s">
        <v>8493</v>
      </c>
    </row>
    <row r="2734" spans="1:6">
      <c r="A2734" t="s">
        <v>8388</v>
      </c>
      <c r="B2734" t="s">
        <v>8389</v>
      </c>
      <c r="C2734" t="s">
        <v>8494</v>
      </c>
      <c r="D2734" t="s">
        <v>8391</v>
      </c>
      <c r="E2734" t="s">
        <v>8495</v>
      </c>
      <c r="F2734" t="s">
        <v>8496</v>
      </c>
    </row>
    <row r="2735" spans="1:6">
      <c r="A2735" t="s">
        <v>8388</v>
      </c>
      <c r="B2735" t="s">
        <v>8389</v>
      </c>
      <c r="C2735" t="s">
        <v>8497</v>
      </c>
      <c r="D2735" t="s">
        <v>8391</v>
      </c>
      <c r="E2735" t="s">
        <v>8498</v>
      </c>
      <c r="F2735" t="s">
        <v>8499</v>
      </c>
    </row>
    <row r="2736" spans="1:6">
      <c r="A2736" t="s">
        <v>8388</v>
      </c>
      <c r="B2736" t="s">
        <v>8389</v>
      </c>
      <c r="C2736" t="s">
        <v>8500</v>
      </c>
      <c r="D2736" t="s">
        <v>8391</v>
      </c>
      <c r="E2736" t="s">
        <v>8501</v>
      </c>
      <c r="F2736" t="s">
        <v>8502</v>
      </c>
    </row>
    <row r="2737" spans="1:12">
      <c r="A2737" t="s">
        <v>8388</v>
      </c>
      <c r="B2737" t="s">
        <v>8389</v>
      </c>
      <c r="C2737" t="s">
        <v>8503</v>
      </c>
      <c r="D2737" t="s">
        <v>8391</v>
      </c>
      <c r="E2737" t="s">
        <v>8504</v>
      </c>
      <c r="F2737" t="s">
        <v>8505</v>
      </c>
    </row>
    <row r="2738" spans="1:12">
      <c r="A2738" t="s">
        <v>8388</v>
      </c>
      <c r="B2738" t="s">
        <v>8389</v>
      </c>
      <c r="C2738" t="s">
        <v>8506</v>
      </c>
      <c r="D2738" t="s">
        <v>8391</v>
      </c>
      <c r="E2738" t="s">
        <v>8507</v>
      </c>
      <c r="F2738" t="s">
        <v>8508</v>
      </c>
    </row>
    <row r="2739" spans="1:12">
      <c r="A2739" t="s">
        <v>8388</v>
      </c>
      <c r="B2739" t="s">
        <v>8389</v>
      </c>
      <c r="C2739" t="s">
        <v>8509</v>
      </c>
      <c r="D2739" t="s">
        <v>8391</v>
      </c>
      <c r="E2739" t="s">
        <v>8510</v>
      </c>
      <c r="F2739" t="s">
        <v>8511</v>
      </c>
    </row>
    <row r="2740" spans="1:12">
      <c r="A2740" t="s">
        <v>8388</v>
      </c>
      <c r="B2740" t="s">
        <v>8389</v>
      </c>
      <c r="C2740" t="s">
        <v>8512</v>
      </c>
      <c r="D2740" t="s">
        <v>8391</v>
      </c>
      <c r="E2740" t="s">
        <v>8513</v>
      </c>
      <c r="F2740" t="s">
        <v>8514</v>
      </c>
    </row>
    <row r="2741" spans="1:12">
      <c r="A2741" t="s">
        <v>8388</v>
      </c>
      <c r="B2741" t="s">
        <v>8389</v>
      </c>
      <c r="C2741" t="s">
        <v>8515</v>
      </c>
      <c r="D2741" t="s">
        <v>8391</v>
      </c>
      <c r="E2741" t="s">
        <v>8516</v>
      </c>
      <c r="F2741" t="s">
        <v>8517</v>
      </c>
    </row>
    <row r="2742" spans="1:12">
      <c r="A2742" t="s">
        <v>8388</v>
      </c>
      <c r="B2742" t="s">
        <v>8389</v>
      </c>
      <c r="C2742" t="s">
        <v>8518</v>
      </c>
      <c r="D2742" t="s">
        <v>8391</v>
      </c>
      <c r="E2742" t="s">
        <v>3615</v>
      </c>
      <c r="F2742" t="s">
        <v>8519</v>
      </c>
      <c r="J2742" t="s">
        <v>3615</v>
      </c>
      <c r="K2742" t="s">
        <v>8126</v>
      </c>
      <c r="L2742" t="s">
        <v>851</v>
      </c>
    </row>
    <row r="2743" spans="1:12">
      <c r="A2743" t="s">
        <v>8388</v>
      </c>
      <c r="B2743" t="s">
        <v>8389</v>
      </c>
      <c r="C2743" t="s">
        <v>8520</v>
      </c>
      <c r="D2743" t="s">
        <v>8391</v>
      </c>
      <c r="E2743" t="s">
        <v>8521</v>
      </c>
      <c r="F2743" t="s">
        <v>8522</v>
      </c>
    </row>
    <row r="2744" spans="1:12">
      <c r="A2744" t="s">
        <v>8388</v>
      </c>
      <c r="B2744" t="s">
        <v>8389</v>
      </c>
      <c r="C2744" t="s">
        <v>8523</v>
      </c>
      <c r="D2744" t="s">
        <v>8391</v>
      </c>
      <c r="E2744" t="s">
        <v>8524</v>
      </c>
      <c r="F2744" t="s">
        <v>8525</v>
      </c>
    </row>
    <row r="2745" spans="1:12">
      <c r="A2745" t="s">
        <v>8388</v>
      </c>
      <c r="B2745" t="s">
        <v>8389</v>
      </c>
      <c r="C2745" t="s">
        <v>8526</v>
      </c>
      <c r="D2745" t="s">
        <v>8391</v>
      </c>
      <c r="E2745" t="s">
        <v>8527</v>
      </c>
      <c r="F2745" t="s">
        <v>8528</v>
      </c>
    </row>
    <row r="2746" spans="1:12">
      <c r="A2746" t="s">
        <v>8388</v>
      </c>
      <c r="B2746" t="s">
        <v>8389</v>
      </c>
      <c r="C2746" t="s">
        <v>8529</v>
      </c>
      <c r="D2746" t="s">
        <v>8391</v>
      </c>
      <c r="E2746" t="s">
        <v>8530</v>
      </c>
      <c r="F2746" t="s">
        <v>8531</v>
      </c>
    </row>
    <row r="2747" spans="1:12">
      <c r="A2747" t="s">
        <v>8388</v>
      </c>
      <c r="B2747" t="s">
        <v>8389</v>
      </c>
      <c r="C2747" t="s">
        <v>8532</v>
      </c>
      <c r="D2747" t="s">
        <v>8391</v>
      </c>
      <c r="E2747" t="s">
        <v>8533</v>
      </c>
      <c r="F2747" t="s">
        <v>8534</v>
      </c>
    </row>
    <row r="2748" spans="1:12">
      <c r="A2748" t="s">
        <v>8388</v>
      </c>
      <c r="B2748" t="s">
        <v>8389</v>
      </c>
      <c r="C2748" t="s">
        <v>8535</v>
      </c>
      <c r="D2748" t="s">
        <v>8391</v>
      </c>
      <c r="E2748" t="s">
        <v>8536</v>
      </c>
      <c r="F2748" t="s">
        <v>8537</v>
      </c>
    </row>
    <row r="2749" spans="1:12">
      <c r="A2749" t="s">
        <v>8388</v>
      </c>
      <c r="B2749" t="s">
        <v>8389</v>
      </c>
      <c r="C2749" t="s">
        <v>8538</v>
      </c>
      <c r="D2749" t="s">
        <v>8391</v>
      </c>
      <c r="E2749" t="s">
        <v>8539</v>
      </c>
      <c r="F2749" t="s">
        <v>8540</v>
      </c>
    </row>
    <row r="2750" spans="1:12">
      <c r="A2750" t="s">
        <v>8388</v>
      </c>
      <c r="B2750" t="s">
        <v>8389</v>
      </c>
      <c r="C2750" t="s">
        <v>8541</v>
      </c>
      <c r="D2750" t="s">
        <v>8391</v>
      </c>
      <c r="E2750" t="s">
        <v>8542</v>
      </c>
      <c r="F2750" t="s">
        <v>8543</v>
      </c>
    </row>
    <row r="2751" spans="1:12">
      <c r="A2751" t="s">
        <v>8388</v>
      </c>
      <c r="B2751" t="s">
        <v>8389</v>
      </c>
      <c r="C2751" t="s">
        <v>8544</v>
      </c>
      <c r="D2751" t="s">
        <v>8391</v>
      </c>
      <c r="E2751" t="s">
        <v>8545</v>
      </c>
      <c r="F2751" t="s">
        <v>8546</v>
      </c>
    </row>
    <row r="2752" spans="1:12">
      <c r="A2752" t="s">
        <v>8388</v>
      </c>
      <c r="B2752" t="s">
        <v>8389</v>
      </c>
      <c r="C2752" t="s">
        <v>8547</v>
      </c>
      <c r="D2752" t="s">
        <v>8391</v>
      </c>
      <c r="E2752" t="s">
        <v>8548</v>
      </c>
      <c r="F2752" t="s">
        <v>8549</v>
      </c>
    </row>
    <row r="2753" spans="1:12">
      <c r="A2753" t="s">
        <v>8388</v>
      </c>
      <c r="B2753" t="s">
        <v>8389</v>
      </c>
      <c r="C2753" t="s">
        <v>8550</v>
      </c>
      <c r="D2753" t="s">
        <v>8391</v>
      </c>
      <c r="E2753" t="s">
        <v>8089</v>
      </c>
      <c r="F2753" t="s">
        <v>8551</v>
      </c>
    </row>
    <row r="2754" spans="1:12">
      <c r="A2754" t="s">
        <v>8388</v>
      </c>
      <c r="B2754" t="s">
        <v>8389</v>
      </c>
      <c r="C2754" t="s">
        <v>8552</v>
      </c>
      <c r="D2754" t="s">
        <v>8391</v>
      </c>
      <c r="E2754" t="s">
        <v>1576</v>
      </c>
      <c r="F2754" t="s">
        <v>8553</v>
      </c>
    </row>
    <row r="2755" spans="1:12">
      <c r="A2755" t="s">
        <v>8388</v>
      </c>
      <c r="B2755" t="s">
        <v>8389</v>
      </c>
      <c r="C2755" t="s">
        <v>8554</v>
      </c>
      <c r="D2755" t="s">
        <v>8391</v>
      </c>
      <c r="E2755" t="s">
        <v>8555</v>
      </c>
      <c r="F2755" t="s">
        <v>8556</v>
      </c>
    </row>
    <row r="2756" spans="1:12">
      <c r="A2756" t="s">
        <v>8388</v>
      </c>
      <c r="B2756" t="s">
        <v>8389</v>
      </c>
      <c r="C2756" t="s">
        <v>8557</v>
      </c>
      <c r="D2756" t="s">
        <v>8391</v>
      </c>
      <c r="E2756" t="s">
        <v>8558</v>
      </c>
      <c r="F2756" t="s">
        <v>8559</v>
      </c>
    </row>
    <row r="2757" spans="1:12">
      <c r="A2757" t="s">
        <v>8388</v>
      </c>
      <c r="B2757" t="s">
        <v>8389</v>
      </c>
      <c r="C2757" t="s">
        <v>8560</v>
      </c>
      <c r="D2757" t="s">
        <v>8391</v>
      </c>
      <c r="E2757" t="s">
        <v>8561</v>
      </c>
      <c r="F2757" t="s">
        <v>8562</v>
      </c>
    </row>
    <row r="2758" spans="1:12">
      <c r="A2758" t="s">
        <v>8388</v>
      </c>
      <c r="B2758" t="s">
        <v>8389</v>
      </c>
      <c r="C2758" t="s">
        <v>8563</v>
      </c>
      <c r="D2758" t="s">
        <v>8391</v>
      </c>
      <c r="E2758" t="s">
        <v>722</v>
      </c>
      <c r="F2758" t="s">
        <v>8564</v>
      </c>
    </row>
    <row r="2759" spans="1:12">
      <c r="A2759" t="s">
        <v>8388</v>
      </c>
      <c r="B2759" t="s">
        <v>8389</v>
      </c>
      <c r="C2759" t="s">
        <v>8565</v>
      </c>
      <c r="D2759" t="s">
        <v>8391</v>
      </c>
      <c r="E2759" t="s">
        <v>8566</v>
      </c>
      <c r="F2759" t="s">
        <v>8567</v>
      </c>
    </row>
    <row r="2760" spans="1:12">
      <c r="A2760" t="s">
        <v>8388</v>
      </c>
      <c r="B2760" t="s">
        <v>8389</v>
      </c>
      <c r="C2760" t="s">
        <v>8568</v>
      </c>
      <c r="D2760" t="s">
        <v>8391</v>
      </c>
      <c r="E2760" t="s">
        <v>8569</v>
      </c>
      <c r="F2760" t="s">
        <v>8570</v>
      </c>
    </row>
    <row r="2761" spans="1:12">
      <c r="A2761" t="s">
        <v>8388</v>
      </c>
      <c r="B2761" t="s">
        <v>8389</v>
      </c>
      <c r="C2761" t="s">
        <v>8571</v>
      </c>
      <c r="D2761" t="s">
        <v>8391</v>
      </c>
      <c r="E2761" t="s">
        <v>8572</v>
      </c>
      <c r="F2761" t="s">
        <v>8573</v>
      </c>
    </row>
    <row r="2762" spans="1:12">
      <c r="A2762" t="s">
        <v>8388</v>
      </c>
      <c r="B2762" t="s">
        <v>8389</v>
      </c>
      <c r="C2762" t="s">
        <v>8574</v>
      </c>
      <c r="D2762" t="s">
        <v>8391</v>
      </c>
      <c r="E2762" t="s">
        <v>8575</v>
      </c>
      <c r="F2762" t="s">
        <v>8576</v>
      </c>
    </row>
    <row r="2763" spans="1:12">
      <c r="A2763" t="s">
        <v>8388</v>
      </c>
      <c r="B2763" t="s">
        <v>8389</v>
      </c>
      <c r="C2763" t="s">
        <v>8577</v>
      </c>
      <c r="D2763" t="s">
        <v>8391</v>
      </c>
      <c r="E2763" t="s">
        <v>8578</v>
      </c>
      <c r="F2763" t="s">
        <v>8579</v>
      </c>
    </row>
    <row r="2764" spans="1:12">
      <c r="A2764" t="s">
        <v>8388</v>
      </c>
      <c r="B2764" t="s">
        <v>8389</v>
      </c>
      <c r="C2764" t="s">
        <v>8580</v>
      </c>
      <c r="D2764" t="s">
        <v>8391</v>
      </c>
      <c r="E2764" t="s">
        <v>6360</v>
      </c>
      <c r="F2764" t="s">
        <v>8581</v>
      </c>
    </row>
    <row r="2765" spans="1:12">
      <c r="A2765" t="s">
        <v>8388</v>
      </c>
      <c r="B2765" t="s">
        <v>8389</v>
      </c>
      <c r="C2765" t="s">
        <v>8582</v>
      </c>
      <c r="D2765" t="s">
        <v>8391</v>
      </c>
      <c r="E2765" t="s">
        <v>1600</v>
      </c>
      <c r="F2765" t="s">
        <v>8583</v>
      </c>
    </row>
    <row r="2766" spans="1:12">
      <c r="A2766" t="s">
        <v>8388</v>
      </c>
      <c r="B2766" t="s">
        <v>8389</v>
      </c>
      <c r="C2766" t="s">
        <v>8584</v>
      </c>
      <c r="D2766" t="s">
        <v>8391</v>
      </c>
      <c r="E2766" t="s">
        <v>8585</v>
      </c>
      <c r="F2766" t="s">
        <v>8586</v>
      </c>
      <c r="J2766" t="s">
        <v>8585</v>
      </c>
      <c r="K2766" t="s">
        <v>8126</v>
      </c>
      <c r="L2766" t="s">
        <v>851</v>
      </c>
    </row>
    <row r="2767" spans="1:12">
      <c r="A2767" t="s">
        <v>8388</v>
      </c>
      <c r="B2767" t="s">
        <v>8389</v>
      </c>
      <c r="C2767" t="s">
        <v>8587</v>
      </c>
      <c r="D2767" t="s">
        <v>8391</v>
      </c>
      <c r="E2767" t="s">
        <v>8588</v>
      </c>
      <c r="F2767" t="s">
        <v>8589</v>
      </c>
      <c r="J2767" t="s">
        <v>8588</v>
      </c>
      <c r="K2767" t="s">
        <v>8126</v>
      </c>
      <c r="L2767" t="s">
        <v>851</v>
      </c>
    </row>
    <row r="2768" spans="1:12">
      <c r="A2768" t="s">
        <v>8388</v>
      </c>
      <c r="B2768" t="s">
        <v>8389</v>
      </c>
      <c r="C2768" t="s">
        <v>8590</v>
      </c>
      <c r="D2768" t="s">
        <v>8391</v>
      </c>
      <c r="E2768" t="s">
        <v>8591</v>
      </c>
      <c r="F2768" t="s">
        <v>8592</v>
      </c>
    </row>
    <row r="2769" spans="1:12">
      <c r="A2769" t="s">
        <v>8388</v>
      </c>
      <c r="B2769" t="s">
        <v>8389</v>
      </c>
      <c r="C2769" t="s">
        <v>8593</v>
      </c>
      <c r="D2769" t="s">
        <v>8391</v>
      </c>
      <c r="E2769" t="s">
        <v>8594</v>
      </c>
      <c r="F2769" t="s">
        <v>8595</v>
      </c>
    </row>
    <row r="2770" spans="1:12">
      <c r="A2770" t="s">
        <v>8388</v>
      </c>
      <c r="B2770" t="s">
        <v>8389</v>
      </c>
      <c r="C2770" t="s">
        <v>8596</v>
      </c>
      <c r="D2770" t="s">
        <v>8391</v>
      </c>
      <c r="E2770" t="s">
        <v>1609</v>
      </c>
      <c r="F2770" t="s">
        <v>8597</v>
      </c>
    </row>
    <row r="2771" spans="1:12">
      <c r="A2771" t="s">
        <v>8388</v>
      </c>
      <c r="B2771" t="s">
        <v>8389</v>
      </c>
      <c r="C2771" t="s">
        <v>8598</v>
      </c>
      <c r="D2771" t="s">
        <v>8391</v>
      </c>
      <c r="E2771" t="s">
        <v>8599</v>
      </c>
      <c r="F2771" t="s">
        <v>8600</v>
      </c>
    </row>
    <row r="2772" spans="1:12">
      <c r="A2772" t="s">
        <v>8388</v>
      </c>
      <c r="B2772" t="s">
        <v>8389</v>
      </c>
      <c r="C2772" t="s">
        <v>8601</v>
      </c>
      <c r="D2772" t="s">
        <v>8391</v>
      </c>
      <c r="E2772" t="s">
        <v>6632</v>
      </c>
      <c r="F2772" t="s">
        <v>8602</v>
      </c>
    </row>
    <row r="2773" spans="1:12">
      <c r="A2773" t="s">
        <v>8388</v>
      </c>
      <c r="B2773" t="s">
        <v>8389</v>
      </c>
      <c r="C2773" t="s">
        <v>8603</v>
      </c>
      <c r="D2773" t="s">
        <v>8391</v>
      </c>
      <c r="E2773" t="s">
        <v>8604</v>
      </c>
      <c r="F2773" t="s">
        <v>8605</v>
      </c>
    </row>
    <row r="2774" spans="1:12">
      <c r="A2774" t="s">
        <v>8388</v>
      </c>
      <c r="B2774" t="s">
        <v>8389</v>
      </c>
      <c r="C2774" t="s">
        <v>8606</v>
      </c>
      <c r="D2774" t="s">
        <v>8391</v>
      </c>
      <c r="E2774" t="s">
        <v>3661</v>
      </c>
      <c r="F2774" t="s">
        <v>8607</v>
      </c>
    </row>
    <row r="2775" spans="1:12">
      <c r="A2775" t="s">
        <v>8388</v>
      </c>
      <c r="B2775" t="s">
        <v>8389</v>
      </c>
      <c r="C2775" t="s">
        <v>8608</v>
      </c>
      <c r="D2775" t="s">
        <v>8391</v>
      </c>
      <c r="E2775" t="s">
        <v>8609</v>
      </c>
      <c r="F2775" t="s">
        <v>8610</v>
      </c>
    </row>
    <row r="2776" spans="1:12">
      <c r="A2776" t="s">
        <v>8388</v>
      </c>
      <c r="B2776" t="s">
        <v>8389</v>
      </c>
      <c r="C2776" t="s">
        <v>8611</v>
      </c>
      <c r="D2776" t="s">
        <v>8391</v>
      </c>
      <c r="E2776" t="s">
        <v>869</v>
      </c>
      <c r="F2776" t="s">
        <v>8612</v>
      </c>
    </row>
    <row r="2777" spans="1:12">
      <c r="A2777" t="s">
        <v>8388</v>
      </c>
      <c r="B2777" t="s">
        <v>8389</v>
      </c>
      <c r="C2777" t="s">
        <v>8613</v>
      </c>
      <c r="D2777" t="s">
        <v>8391</v>
      </c>
      <c r="E2777" t="s">
        <v>8614</v>
      </c>
      <c r="F2777" t="s">
        <v>8615</v>
      </c>
    </row>
    <row r="2778" spans="1:12">
      <c r="A2778" t="s">
        <v>8388</v>
      </c>
      <c r="B2778" t="s">
        <v>8389</v>
      </c>
      <c r="C2778" t="s">
        <v>8616</v>
      </c>
      <c r="D2778" t="s">
        <v>8391</v>
      </c>
      <c r="E2778" t="s">
        <v>8617</v>
      </c>
      <c r="F2778" t="s">
        <v>8618</v>
      </c>
    </row>
    <row r="2779" spans="1:12">
      <c r="A2779" t="s">
        <v>8388</v>
      </c>
      <c r="B2779" t="s">
        <v>8389</v>
      </c>
      <c r="C2779" t="s">
        <v>8619</v>
      </c>
      <c r="D2779" t="s">
        <v>8391</v>
      </c>
      <c r="E2779" t="s">
        <v>3383</v>
      </c>
      <c r="F2779" t="s">
        <v>8620</v>
      </c>
    </row>
    <row r="2780" spans="1:12">
      <c r="A2780" t="s">
        <v>8388</v>
      </c>
      <c r="B2780" t="s">
        <v>8389</v>
      </c>
      <c r="C2780" t="s">
        <v>8621</v>
      </c>
      <c r="D2780" t="s">
        <v>8391</v>
      </c>
      <c r="E2780" t="s">
        <v>8622</v>
      </c>
      <c r="F2780" t="s">
        <v>8623</v>
      </c>
    </row>
    <row r="2781" spans="1:12">
      <c r="A2781" t="s">
        <v>8388</v>
      </c>
      <c r="B2781" t="s">
        <v>8389</v>
      </c>
      <c r="C2781" t="s">
        <v>8624</v>
      </c>
      <c r="D2781" t="s">
        <v>8391</v>
      </c>
      <c r="E2781" t="s">
        <v>3864</v>
      </c>
      <c r="F2781" t="s">
        <v>8625</v>
      </c>
    </row>
    <row r="2782" spans="1:12">
      <c r="A2782" t="s">
        <v>8388</v>
      </c>
      <c r="B2782" t="s">
        <v>8389</v>
      </c>
      <c r="C2782" t="s">
        <v>8626</v>
      </c>
      <c r="D2782" t="s">
        <v>8391</v>
      </c>
      <c r="E2782" t="s">
        <v>3867</v>
      </c>
      <c r="F2782" t="s">
        <v>8627</v>
      </c>
    </row>
    <row r="2783" spans="1:12">
      <c r="A2783" t="s">
        <v>8388</v>
      </c>
      <c r="B2783" t="s">
        <v>8389</v>
      </c>
      <c r="C2783" t="s">
        <v>8628</v>
      </c>
      <c r="D2783" t="s">
        <v>8391</v>
      </c>
      <c r="E2783" t="s">
        <v>8629</v>
      </c>
      <c r="F2783" t="s">
        <v>8630</v>
      </c>
    </row>
    <row r="2784" spans="1:12">
      <c r="A2784" t="s">
        <v>8388</v>
      </c>
      <c r="B2784" t="s">
        <v>8389</v>
      </c>
      <c r="C2784" t="s">
        <v>8631</v>
      </c>
      <c r="D2784" t="s">
        <v>8391</v>
      </c>
      <c r="E2784" t="s">
        <v>3459</v>
      </c>
      <c r="F2784" t="s">
        <v>8632</v>
      </c>
      <c r="J2784" t="s">
        <v>3459</v>
      </c>
      <c r="K2784" t="s">
        <v>8126</v>
      </c>
      <c r="L2784" t="s">
        <v>851</v>
      </c>
    </row>
    <row r="2785" spans="1:12">
      <c r="A2785" t="s">
        <v>8388</v>
      </c>
      <c r="B2785" t="s">
        <v>8389</v>
      </c>
      <c r="C2785" t="s">
        <v>8633</v>
      </c>
      <c r="D2785" t="s">
        <v>8391</v>
      </c>
      <c r="E2785" t="s">
        <v>8634</v>
      </c>
      <c r="F2785" t="s">
        <v>8635</v>
      </c>
    </row>
    <row r="2786" spans="1:12">
      <c r="A2786" t="s">
        <v>8388</v>
      </c>
      <c r="B2786" t="s">
        <v>8389</v>
      </c>
      <c r="C2786" t="s">
        <v>8636</v>
      </c>
      <c r="D2786" t="s">
        <v>8391</v>
      </c>
      <c r="E2786" t="s">
        <v>8637</v>
      </c>
      <c r="F2786" t="s">
        <v>8638</v>
      </c>
    </row>
    <row r="2787" spans="1:12">
      <c r="A2787" t="s">
        <v>8388</v>
      </c>
      <c r="B2787" t="s">
        <v>8389</v>
      </c>
      <c r="C2787" t="s">
        <v>8639</v>
      </c>
      <c r="D2787" t="s">
        <v>8391</v>
      </c>
      <c r="E2787" t="s">
        <v>4897</v>
      </c>
      <c r="F2787" t="s">
        <v>8640</v>
      </c>
    </row>
    <row r="2788" spans="1:12">
      <c r="A2788" t="s">
        <v>8388</v>
      </c>
      <c r="B2788" t="s">
        <v>8389</v>
      </c>
      <c r="C2788" t="s">
        <v>8641</v>
      </c>
      <c r="D2788" t="s">
        <v>8391</v>
      </c>
      <c r="E2788" t="s">
        <v>1624</v>
      </c>
      <c r="F2788" t="s">
        <v>8642</v>
      </c>
    </row>
    <row r="2789" spans="1:12">
      <c r="A2789" t="s">
        <v>8388</v>
      </c>
      <c r="B2789" t="s">
        <v>8389</v>
      </c>
      <c r="C2789" t="s">
        <v>8643</v>
      </c>
      <c r="D2789" t="s">
        <v>8391</v>
      </c>
      <c r="E2789" t="s">
        <v>8644</v>
      </c>
      <c r="F2789" t="s">
        <v>8645</v>
      </c>
    </row>
    <row r="2790" spans="1:12">
      <c r="A2790" t="s">
        <v>8388</v>
      </c>
      <c r="B2790" t="s">
        <v>8389</v>
      </c>
      <c r="C2790" t="s">
        <v>8646</v>
      </c>
      <c r="D2790" t="s">
        <v>8391</v>
      </c>
      <c r="E2790" t="s">
        <v>6712</v>
      </c>
      <c r="F2790" t="s">
        <v>8647</v>
      </c>
    </row>
    <row r="2791" spans="1:12">
      <c r="A2791" t="s">
        <v>8388</v>
      </c>
      <c r="B2791" t="s">
        <v>8389</v>
      </c>
      <c r="C2791" t="s">
        <v>8648</v>
      </c>
      <c r="D2791" t="s">
        <v>8391</v>
      </c>
      <c r="E2791" t="s">
        <v>1627</v>
      </c>
      <c r="F2791" t="s">
        <v>8649</v>
      </c>
    </row>
    <row r="2792" spans="1:12">
      <c r="A2792" t="s">
        <v>8388</v>
      </c>
      <c r="B2792" t="s">
        <v>8389</v>
      </c>
      <c r="C2792" t="s">
        <v>8650</v>
      </c>
      <c r="D2792" t="s">
        <v>8391</v>
      </c>
      <c r="E2792" t="s">
        <v>3345</v>
      </c>
      <c r="F2792" t="s">
        <v>8651</v>
      </c>
    </row>
    <row r="2793" spans="1:12">
      <c r="A2793" t="s">
        <v>8388</v>
      </c>
      <c r="B2793" t="s">
        <v>8389</v>
      </c>
      <c r="C2793" t="s">
        <v>8652</v>
      </c>
      <c r="D2793" t="s">
        <v>8391</v>
      </c>
      <c r="E2793" t="s">
        <v>8653</v>
      </c>
      <c r="F2793" t="s">
        <v>8654</v>
      </c>
      <c r="J2793" t="s">
        <v>8653</v>
      </c>
      <c r="K2793" t="s">
        <v>8126</v>
      </c>
      <c r="L2793" t="s">
        <v>851</v>
      </c>
    </row>
    <row r="2794" spans="1:12">
      <c r="A2794" t="s">
        <v>8388</v>
      </c>
      <c r="B2794" t="s">
        <v>8389</v>
      </c>
      <c r="C2794" t="s">
        <v>8655</v>
      </c>
      <c r="D2794" t="s">
        <v>8391</v>
      </c>
      <c r="E2794" t="s">
        <v>8656</v>
      </c>
      <c r="F2794" t="s">
        <v>8657</v>
      </c>
    </row>
    <row r="2795" spans="1:12">
      <c r="A2795" t="s">
        <v>8388</v>
      </c>
      <c r="B2795" t="s">
        <v>8389</v>
      </c>
      <c r="C2795" t="s">
        <v>8658</v>
      </c>
      <c r="D2795" t="s">
        <v>8391</v>
      </c>
      <c r="E2795" t="s">
        <v>8659</v>
      </c>
      <c r="F2795" t="s">
        <v>8660</v>
      </c>
    </row>
    <row r="2796" spans="1:12">
      <c r="A2796" t="s">
        <v>8388</v>
      </c>
      <c r="B2796" t="s">
        <v>8389</v>
      </c>
      <c r="C2796" t="s">
        <v>8661</v>
      </c>
      <c r="D2796" t="s">
        <v>8391</v>
      </c>
      <c r="E2796" t="s">
        <v>8662</v>
      </c>
      <c r="F2796" t="s">
        <v>8663</v>
      </c>
    </row>
    <row r="2797" spans="1:12">
      <c r="A2797" t="s">
        <v>8388</v>
      </c>
      <c r="B2797" t="s">
        <v>8389</v>
      </c>
      <c r="C2797" t="s">
        <v>8664</v>
      </c>
      <c r="D2797" t="s">
        <v>8391</v>
      </c>
      <c r="E2797" t="s">
        <v>8665</v>
      </c>
      <c r="F2797" t="s">
        <v>8666</v>
      </c>
    </row>
    <row r="2798" spans="1:12">
      <c r="A2798" t="s">
        <v>8388</v>
      </c>
      <c r="B2798" t="s">
        <v>8389</v>
      </c>
      <c r="C2798" t="s">
        <v>8667</v>
      </c>
      <c r="D2798" t="s">
        <v>8391</v>
      </c>
      <c r="E2798" t="s">
        <v>727</v>
      </c>
      <c r="F2798" t="s">
        <v>8668</v>
      </c>
    </row>
    <row r="2799" spans="1:12">
      <c r="A2799" t="s">
        <v>8388</v>
      </c>
      <c r="B2799" t="s">
        <v>8389</v>
      </c>
      <c r="C2799" t="s">
        <v>8669</v>
      </c>
      <c r="D2799" t="s">
        <v>8391</v>
      </c>
      <c r="E2799" t="s">
        <v>8670</v>
      </c>
      <c r="F2799" t="s">
        <v>8671</v>
      </c>
    </row>
    <row r="2800" spans="1:12">
      <c r="A2800" t="s">
        <v>8388</v>
      </c>
      <c r="B2800" t="s">
        <v>8389</v>
      </c>
      <c r="C2800" t="s">
        <v>8672</v>
      </c>
      <c r="D2800" t="s">
        <v>8391</v>
      </c>
      <c r="E2800" t="s">
        <v>1087</v>
      </c>
      <c r="F2800" t="s">
        <v>8673</v>
      </c>
    </row>
    <row r="2801" spans="1:12">
      <c r="A2801" t="s">
        <v>8388</v>
      </c>
      <c r="B2801" t="s">
        <v>8389</v>
      </c>
      <c r="C2801" t="s">
        <v>8674</v>
      </c>
      <c r="D2801" t="s">
        <v>8391</v>
      </c>
      <c r="E2801" t="s">
        <v>8675</v>
      </c>
      <c r="F2801" t="s">
        <v>8676</v>
      </c>
    </row>
    <row r="2802" spans="1:12">
      <c r="A2802" t="s">
        <v>8388</v>
      </c>
      <c r="B2802" t="s">
        <v>8389</v>
      </c>
      <c r="C2802" t="s">
        <v>8677</v>
      </c>
      <c r="D2802" t="s">
        <v>8391</v>
      </c>
      <c r="E2802" t="s">
        <v>8678</v>
      </c>
      <c r="F2802" t="s">
        <v>8679</v>
      </c>
    </row>
    <row r="2803" spans="1:12">
      <c r="A2803" t="s">
        <v>8388</v>
      </c>
      <c r="B2803" t="s">
        <v>8389</v>
      </c>
      <c r="C2803" t="s">
        <v>8680</v>
      </c>
      <c r="D2803" t="s">
        <v>8391</v>
      </c>
      <c r="E2803" t="s">
        <v>8681</v>
      </c>
      <c r="F2803" t="s">
        <v>8682</v>
      </c>
    </row>
    <row r="2804" spans="1:12">
      <c r="A2804" t="s">
        <v>8388</v>
      </c>
      <c r="B2804" t="s">
        <v>8389</v>
      </c>
      <c r="C2804" t="s">
        <v>8683</v>
      </c>
      <c r="D2804" t="s">
        <v>8391</v>
      </c>
      <c r="E2804" t="s">
        <v>7714</v>
      </c>
      <c r="F2804" t="s">
        <v>8684</v>
      </c>
    </row>
    <row r="2805" spans="1:12">
      <c r="A2805" t="s">
        <v>8388</v>
      </c>
      <c r="B2805" t="s">
        <v>8389</v>
      </c>
      <c r="C2805" t="s">
        <v>8685</v>
      </c>
      <c r="D2805" t="s">
        <v>8391</v>
      </c>
      <c r="E2805" t="s">
        <v>8686</v>
      </c>
      <c r="F2805" t="s">
        <v>8687</v>
      </c>
    </row>
    <row r="2806" spans="1:12">
      <c r="A2806" t="s">
        <v>8388</v>
      </c>
      <c r="B2806" t="s">
        <v>8389</v>
      </c>
      <c r="C2806" t="s">
        <v>8688</v>
      </c>
      <c r="D2806" t="s">
        <v>8391</v>
      </c>
      <c r="E2806" t="s">
        <v>6378</v>
      </c>
      <c r="F2806" t="s">
        <v>8689</v>
      </c>
    </row>
    <row r="2807" spans="1:12">
      <c r="A2807" t="s">
        <v>8388</v>
      </c>
      <c r="B2807" t="s">
        <v>8389</v>
      </c>
      <c r="C2807" t="s">
        <v>8690</v>
      </c>
      <c r="D2807" t="s">
        <v>8391</v>
      </c>
      <c r="E2807" t="s">
        <v>8691</v>
      </c>
      <c r="F2807" t="s">
        <v>8692</v>
      </c>
    </row>
    <row r="2808" spans="1:12">
      <c r="A2808" t="s">
        <v>8388</v>
      </c>
      <c r="B2808" t="s">
        <v>8389</v>
      </c>
      <c r="C2808" t="s">
        <v>8693</v>
      </c>
      <c r="D2808" t="s">
        <v>8391</v>
      </c>
      <c r="E2808" t="s">
        <v>8694</v>
      </c>
      <c r="F2808" t="s">
        <v>8695</v>
      </c>
    </row>
    <row r="2809" spans="1:12">
      <c r="A2809" t="s">
        <v>8388</v>
      </c>
      <c r="B2809" t="s">
        <v>8389</v>
      </c>
      <c r="C2809" t="s">
        <v>8696</v>
      </c>
      <c r="D2809" t="s">
        <v>8391</v>
      </c>
      <c r="E2809" t="s">
        <v>8697</v>
      </c>
      <c r="F2809" t="s">
        <v>8698</v>
      </c>
      <c r="J2809" t="s">
        <v>8697</v>
      </c>
      <c r="K2809" t="s">
        <v>8126</v>
      </c>
      <c r="L2809" t="s">
        <v>851</v>
      </c>
    </row>
    <row r="2810" spans="1:12">
      <c r="A2810" t="s">
        <v>8388</v>
      </c>
      <c r="B2810" t="s">
        <v>8389</v>
      </c>
      <c r="C2810" t="s">
        <v>8699</v>
      </c>
      <c r="D2810" t="s">
        <v>8391</v>
      </c>
      <c r="E2810" t="s">
        <v>8700</v>
      </c>
      <c r="F2810" t="s">
        <v>8701</v>
      </c>
    </row>
    <row r="2811" spans="1:12">
      <c r="A2811" t="s">
        <v>8388</v>
      </c>
      <c r="B2811" t="s">
        <v>8389</v>
      </c>
      <c r="C2811" t="s">
        <v>8702</v>
      </c>
      <c r="D2811" t="s">
        <v>8391</v>
      </c>
      <c r="E2811" t="s">
        <v>8703</v>
      </c>
      <c r="F2811" t="s">
        <v>8704</v>
      </c>
    </row>
    <row r="2812" spans="1:12">
      <c r="A2812" t="s">
        <v>8388</v>
      </c>
      <c r="B2812" t="s">
        <v>8389</v>
      </c>
      <c r="C2812" t="s">
        <v>8705</v>
      </c>
      <c r="D2812" t="s">
        <v>8391</v>
      </c>
      <c r="E2812" t="s">
        <v>8706</v>
      </c>
      <c r="F2812" t="s">
        <v>8707</v>
      </c>
      <c r="J2812" t="s">
        <v>8706</v>
      </c>
      <c r="K2812" t="s">
        <v>8126</v>
      </c>
      <c r="L2812" t="s">
        <v>851</v>
      </c>
    </row>
    <row r="2813" spans="1:12">
      <c r="A2813" t="s">
        <v>8388</v>
      </c>
      <c r="B2813" t="s">
        <v>8389</v>
      </c>
      <c r="C2813" t="s">
        <v>8708</v>
      </c>
      <c r="D2813" t="s">
        <v>8391</v>
      </c>
      <c r="E2813" t="s">
        <v>4908</v>
      </c>
      <c r="F2813" t="s">
        <v>8709</v>
      </c>
    </row>
    <row r="2814" spans="1:12">
      <c r="A2814" t="s">
        <v>8388</v>
      </c>
      <c r="B2814" t="s">
        <v>8389</v>
      </c>
      <c r="C2814" t="s">
        <v>8710</v>
      </c>
      <c r="D2814" t="s">
        <v>8391</v>
      </c>
      <c r="E2814" t="s">
        <v>8108</v>
      </c>
      <c r="F2814" t="s">
        <v>8711</v>
      </c>
    </row>
    <row r="2815" spans="1:12">
      <c r="A2815" t="s">
        <v>8388</v>
      </c>
      <c r="B2815" t="s">
        <v>8389</v>
      </c>
      <c r="C2815" t="s">
        <v>8712</v>
      </c>
      <c r="D2815" t="s">
        <v>8391</v>
      </c>
      <c r="E2815" t="s">
        <v>4672</v>
      </c>
      <c r="F2815" t="s">
        <v>8713</v>
      </c>
    </row>
    <row r="2816" spans="1:12">
      <c r="A2816" t="s">
        <v>8388</v>
      </c>
      <c r="B2816" t="s">
        <v>8389</v>
      </c>
      <c r="C2816" t="s">
        <v>8714</v>
      </c>
      <c r="D2816" t="s">
        <v>8391</v>
      </c>
      <c r="E2816" t="s">
        <v>8715</v>
      </c>
      <c r="F2816" t="s">
        <v>8716</v>
      </c>
      <c r="J2816" t="s">
        <v>8715</v>
      </c>
      <c r="K2816" t="s">
        <v>8126</v>
      </c>
      <c r="L2816" t="s">
        <v>851</v>
      </c>
    </row>
    <row r="2817" spans="1:6">
      <c r="A2817" t="s">
        <v>8388</v>
      </c>
      <c r="B2817" t="s">
        <v>8389</v>
      </c>
      <c r="C2817" t="s">
        <v>8717</v>
      </c>
      <c r="D2817" t="s">
        <v>8391</v>
      </c>
      <c r="E2817" t="s">
        <v>4924</v>
      </c>
      <c r="F2817" t="s">
        <v>8718</v>
      </c>
    </row>
    <row r="2818" spans="1:6">
      <c r="A2818" t="s">
        <v>8388</v>
      </c>
      <c r="B2818" t="s">
        <v>8389</v>
      </c>
      <c r="C2818" t="s">
        <v>8719</v>
      </c>
      <c r="D2818" t="s">
        <v>8391</v>
      </c>
      <c r="E2818" t="s">
        <v>7717</v>
      </c>
      <c r="F2818" t="s">
        <v>8720</v>
      </c>
    </row>
    <row r="2819" spans="1:6">
      <c r="A2819" t="s">
        <v>8388</v>
      </c>
      <c r="B2819" t="s">
        <v>8389</v>
      </c>
      <c r="C2819" t="s">
        <v>8721</v>
      </c>
      <c r="D2819" t="s">
        <v>8391</v>
      </c>
      <c r="E2819" t="s">
        <v>3218</v>
      </c>
      <c r="F2819" t="s">
        <v>8722</v>
      </c>
    </row>
    <row r="2820" spans="1:6">
      <c r="A2820" t="s">
        <v>8388</v>
      </c>
      <c r="B2820" t="s">
        <v>8389</v>
      </c>
      <c r="C2820" t="s">
        <v>8723</v>
      </c>
      <c r="D2820" t="s">
        <v>8391</v>
      </c>
      <c r="E2820" t="s">
        <v>1105</v>
      </c>
      <c r="F2820" t="s">
        <v>8724</v>
      </c>
    </row>
    <row r="2821" spans="1:6">
      <c r="A2821" t="s">
        <v>8388</v>
      </c>
      <c r="B2821" t="s">
        <v>8389</v>
      </c>
      <c r="C2821" t="s">
        <v>8725</v>
      </c>
      <c r="D2821" t="s">
        <v>8391</v>
      </c>
      <c r="E2821" t="s">
        <v>8726</v>
      </c>
      <c r="F2821" t="s">
        <v>8727</v>
      </c>
    </row>
    <row r="2822" spans="1:6">
      <c r="A2822" t="s">
        <v>8388</v>
      </c>
      <c r="B2822" t="s">
        <v>8389</v>
      </c>
      <c r="C2822" t="s">
        <v>8728</v>
      </c>
      <c r="D2822" t="s">
        <v>8391</v>
      </c>
      <c r="E2822" t="s">
        <v>1794</v>
      </c>
      <c r="F2822" t="s">
        <v>8729</v>
      </c>
    </row>
    <row r="2823" spans="1:6">
      <c r="A2823" t="s">
        <v>8388</v>
      </c>
      <c r="B2823" t="s">
        <v>8389</v>
      </c>
      <c r="C2823" t="s">
        <v>8730</v>
      </c>
      <c r="D2823" t="s">
        <v>8391</v>
      </c>
      <c r="E2823" t="s">
        <v>3348</v>
      </c>
      <c r="F2823" t="s">
        <v>8731</v>
      </c>
    </row>
    <row r="2824" spans="1:6">
      <c r="A2824" t="s">
        <v>8388</v>
      </c>
      <c r="B2824" t="s">
        <v>8389</v>
      </c>
      <c r="C2824" t="s">
        <v>8732</v>
      </c>
      <c r="D2824" t="s">
        <v>8391</v>
      </c>
      <c r="E2824" t="s">
        <v>8733</v>
      </c>
      <c r="F2824" t="s">
        <v>8734</v>
      </c>
    </row>
    <row r="2825" spans="1:6">
      <c r="A2825" t="s">
        <v>8388</v>
      </c>
      <c r="B2825" t="s">
        <v>8389</v>
      </c>
      <c r="C2825" t="s">
        <v>8735</v>
      </c>
      <c r="D2825" t="s">
        <v>8391</v>
      </c>
      <c r="E2825" t="s">
        <v>3290</v>
      </c>
      <c r="F2825" t="s">
        <v>8736</v>
      </c>
    </row>
    <row r="2826" spans="1:6">
      <c r="A2826" t="s">
        <v>8388</v>
      </c>
      <c r="B2826" t="s">
        <v>8389</v>
      </c>
      <c r="C2826" t="s">
        <v>8737</v>
      </c>
      <c r="D2826" t="s">
        <v>8391</v>
      </c>
      <c r="E2826" t="s">
        <v>8738</v>
      </c>
      <c r="F2826" t="s">
        <v>8739</v>
      </c>
    </row>
    <row r="2827" spans="1:6">
      <c r="A2827" t="s">
        <v>8388</v>
      </c>
      <c r="B2827" t="s">
        <v>8389</v>
      </c>
      <c r="C2827" t="s">
        <v>8740</v>
      </c>
      <c r="D2827" t="s">
        <v>8391</v>
      </c>
      <c r="E2827" t="s">
        <v>8741</v>
      </c>
      <c r="F2827" t="s">
        <v>8742</v>
      </c>
    </row>
    <row r="2828" spans="1:6">
      <c r="A2828" t="s">
        <v>8388</v>
      </c>
      <c r="B2828" t="s">
        <v>8389</v>
      </c>
      <c r="C2828" t="s">
        <v>8743</v>
      </c>
      <c r="D2828" t="s">
        <v>8391</v>
      </c>
      <c r="E2828" t="s">
        <v>8744</v>
      </c>
      <c r="F2828" t="s">
        <v>8745</v>
      </c>
    </row>
    <row r="2829" spans="1:6">
      <c r="A2829" t="s">
        <v>8388</v>
      </c>
      <c r="B2829" t="s">
        <v>8389</v>
      </c>
      <c r="C2829" t="s">
        <v>8746</v>
      </c>
      <c r="D2829" t="s">
        <v>8391</v>
      </c>
      <c r="E2829" t="s">
        <v>8747</v>
      </c>
      <c r="F2829" t="s">
        <v>8748</v>
      </c>
    </row>
    <row r="2830" spans="1:6">
      <c r="A2830" t="s">
        <v>8388</v>
      </c>
      <c r="B2830" t="s">
        <v>8389</v>
      </c>
      <c r="C2830" t="s">
        <v>8749</v>
      </c>
      <c r="D2830" t="s">
        <v>8391</v>
      </c>
      <c r="E2830" t="s">
        <v>8750</v>
      </c>
      <c r="F2830" t="s">
        <v>8751</v>
      </c>
    </row>
    <row r="2831" spans="1:6">
      <c r="A2831" t="s">
        <v>8388</v>
      </c>
      <c r="B2831" t="s">
        <v>8389</v>
      </c>
      <c r="C2831" t="s">
        <v>8752</v>
      </c>
      <c r="D2831" t="s">
        <v>8391</v>
      </c>
      <c r="E2831" t="s">
        <v>8753</v>
      </c>
      <c r="F2831" t="s">
        <v>8754</v>
      </c>
    </row>
    <row r="2832" spans="1:6">
      <c r="A2832" t="s">
        <v>8388</v>
      </c>
      <c r="B2832" t="s">
        <v>8389</v>
      </c>
      <c r="C2832" t="s">
        <v>8755</v>
      </c>
      <c r="D2832" t="s">
        <v>8391</v>
      </c>
      <c r="E2832" t="s">
        <v>8756</v>
      </c>
      <c r="F2832" t="s">
        <v>8757</v>
      </c>
    </row>
    <row r="2833" spans="1:12">
      <c r="A2833" t="s">
        <v>8388</v>
      </c>
      <c r="B2833" t="s">
        <v>8389</v>
      </c>
      <c r="C2833" t="s">
        <v>8758</v>
      </c>
      <c r="D2833" t="s">
        <v>8391</v>
      </c>
      <c r="E2833" t="s">
        <v>8759</v>
      </c>
      <c r="F2833" t="s">
        <v>8760</v>
      </c>
    </row>
    <row r="2834" spans="1:12">
      <c r="A2834" t="s">
        <v>8388</v>
      </c>
      <c r="B2834" t="s">
        <v>8389</v>
      </c>
      <c r="C2834" t="s">
        <v>8761</v>
      </c>
      <c r="D2834" t="s">
        <v>8391</v>
      </c>
      <c r="E2834" t="s">
        <v>4961</v>
      </c>
      <c r="F2834" t="s">
        <v>8762</v>
      </c>
    </row>
    <row r="2835" spans="1:12">
      <c r="A2835" t="s">
        <v>8388</v>
      </c>
      <c r="B2835" t="s">
        <v>8389</v>
      </c>
      <c r="C2835" t="s">
        <v>8763</v>
      </c>
      <c r="D2835" t="s">
        <v>8391</v>
      </c>
      <c r="E2835" t="s">
        <v>8764</v>
      </c>
      <c r="F2835" t="s">
        <v>8765</v>
      </c>
    </row>
    <row r="2836" spans="1:12">
      <c r="A2836" t="s">
        <v>8388</v>
      </c>
      <c r="B2836" t="s">
        <v>8389</v>
      </c>
      <c r="C2836" t="s">
        <v>8766</v>
      </c>
      <c r="D2836" t="s">
        <v>8391</v>
      </c>
      <c r="E2836" t="s">
        <v>8767</v>
      </c>
      <c r="F2836" t="s">
        <v>8768</v>
      </c>
    </row>
    <row r="2837" spans="1:12">
      <c r="A2837" t="s">
        <v>8388</v>
      </c>
      <c r="B2837" t="s">
        <v>8389</v>
      </c>
      <c r="C2837" t="s">
        <v>8769</v>
      </c>
      <c r="D2837" t="s">
        <v>8391</v>
      </c>
      <c r="E2837" t="s">
        <v>8770</v>
      </c>
      <c r="F2837" t="s">
        <v>8771</v>
      </c>
    </row>
    <row r="2838" spans="1:12">
      <c r="A2838" t="s">
        <v>8388</v>
      </c>
      <c r="B2838" t="s">
        <v>8389</v>
      </c>
      <c r="C2838" t="s">
        <v>8772</v>
      </c>
      <c r="D2838" t="s">
        <v>8391</v>
      </c>
      <c r="E2838" t="s">
        <v>8773</v>
      </c>
      <c r="F2838" t="s">
        <v>8774</v>
      </c>
    </row>
    <row r="2839" spans="1:12">
      <c r="A2839" t="s">
        <v>8388</v>
      </c>
      <c r="B2839" t="s">
        <v>8389</v>
      </c>
      <c r="C2839" t="s">
        <v>8775</v>
      </c>
      <c r="D2839" t="s">
        <v>8391</v>
      </c>
      <c r="E2839" t="s">
        <v>8776</v>
      </c>
      <c r="F2839" t="s">
        <v>8777</v>
      </c>
    </row>
    <row r="2840" spans="1:12">
      <c r="A2840" t="s">
        <v>8388</v>
      </c>
      <c r="B2840" t="s">
        <v>8389</v>
      </c>
      <c r="C2840" t="s">
        <v>8778</v>
      </c>
      <c r="D2840" t="s">
        <v>8391</v>
      </c>
      <c r="E2840" t="s">
        <v>8779</v>
      </c>
      <c r="F2840" t="s">
        <v>8780</v>
      </c>
    </row>
    <row r="2841" spans="1:12">
      <c r="A2841" t="s">
        <v>8388</v>
      </c>
      <c r="B2841" t="s">
        <v>8389</v>
      </c>
      <c r="C2841" t="s">
        <v>8781</v>
      </c>
      <c r="D2841" t="s">
        <v>8391</v>
      </c>
      <c r="E2841" t="s">
        <v>8782</v>
      </c>
      <c r="F2841" t="s">
        <v>8783</v>
      </c>
    </row>
    <row r="2842" spans="1:12">
      <c r="A2842" t="s">
        <v>8388</v>
      </c>
      <c r="B2842" t="s">
        <v>8389</v>
      </c>
      <c r="C2842" t="s">
        <v>8784</v>
      </c>
      <c r="D2842" t="s">
        <v>8391</v>
      </c>
      <c r="E2842" t="s">
        <v>8785</v>
      </c>
      <c r="F2842" t="s">
        <v>8786</v>
      </c>
    </row>
    <row r="2843" spans="1:12">
      <c r="A2843" t="s">
        <v>8388</v>
      </c>
      <c r="B2843" t="s">
        <v>8389</v>
      </c>
      <c r="C2843" t="s">
        <v>8787</v>
      </c>
      <c r="D2843" t="s">
        <v>8391</v>
      </c>
      <c r="E2843" t="s">
        <v>8788</v>
      </c>
      <c r="F2843" t="s">
        <v>8789</v>
      </c>
    </row>
    <row r="2844" spans="1:12">
      <c r="A2844" t="s">
        <v>8388</v>
      </c>
      <c r="B2844" t="s">
        <v>8389</v>
      </c>
      <c r="C2844" t="s">
        <v>8790</v>
      </c>
      <c r="D2844" t="s">
        <v>8391</v>
      </c>
      <c r="E2844" t="s">
        <v>8791</v>
      </c>
      <c r="F2844" t="s">
        <v>8792</v>
      </c>
    </row>
    <row r="2845" spans="1:12">
      <c r="A2845" t="s">
        <v>8388</v>
      </c>
      <c r="B2845" t="s">
        <v>8389</v>
      </c>
      <c r="C2845" t="s">
        <v>8793</v>
      </c>
      <c r="D2845" t="s">
        <v>8391</v>
      </c>
      <c r="E2845" t="s">
        <v>8319</v>
      </c>
      <c r="F2845" t="s">
        <v>8794</v>
      </c>
      <c r="J2845" t="s">
        <v>8319</v>
      </c>
      <c r="K2845" t="s">
        <v>8126</v>
      </c>
      <c r="L2845" t="s">
        <v>851</v>
      </c>
    </row>
    <row r="2846" spans="1:12">
      <c r="A2846" t="s">
        <v>8388</v>
      </c>
      <c r="B2846" t="s">
        <v>8389</v>
      </c>
      <c r="C2846" t="s">
        <v>8795</v>
      </c>
      <c r="D2846" t="s">
        <v>8391</v>
      </c>
      <c r="E2846" t="s">
        <v>8796</v>
      </c>
      <c r="F2846" t="s">
        <v>8797</v>
      </c>
      <c r="J2846" t="s">
        <v>8796</v>
      </c>
      <c r="K2846" t="s">
        <v>8126</v>
      </c>
      <c r="L2846" t="s">
        <v>851</v>
      </c>
    </row>
    <row r="2847" spans="1:12">
      <c r="A2847" t="s">
        <v>8388</v>
      </c>
      <c r="B2847" t="s">
        <v>8389</v>
      </c>
      <c r="C2847" t="s">
        <v>8798</v>
      </c>
      <c r="D2847" t="s">
        <v>8391</v>
      </c>
      <c r="E2847" t="s">
        <v>954</v>
      </c>
      <c r="F2847" t="s">
        <v>8799</v>
      </c>
    </row>
    <row r="2848" spans="1:12">
      <c r="A2848" t="s">
        <v>8388</v>
      </c>
      <c r="B2848" t="s">
        <v>8389</v>
      </c>
      <c r="C2848" t="s">
        <v>8800</v>
      </c>
      <c r="D2848" t="s">
        <v>8391</v>
      </c>
      <c r="E2848" t="s">
        <v>8801</v>
      </c>
      <c r="F2848" t="s">
        <v>8802</v>
      </c>
      <c r="J2848" t="s">
        <v>8801</v>
      </c>
      <c r="K2848" t="s">
        <v>8126</v>
      </c>
      <c r="L2848" t="s">
        <v>851</v>
      </c>
    </row>
    <row r="2849" spans="1:12">
      <c r="A2849" t="s">
        <v>8388</v>
      </c>
      <c r="B2849" t="s">
        <v>8389</v>
      </c>
      <c r="C2849" t="s">
        <v>8803</v>
      </c>
      <c r="D2849" t="s">
        <v>8391</v>
      </c>
      <c r="E2849" t="s">
        <v>8804</v>
      </c>
      <c r="F2849" t="s">
        <v>8805</v>
      </c>
      <c r="J2849" t="s">
        <v>8804</v>
      </c>
      <c r="K2849" t="s">
        <v>8126</v>
      </c>
      <c r="L2849" t="s">
        <v>851</v>
      </c>
    </row>
    <row r="2850" spans="1:12">
      <c r="A2850" t="s">
        <v>8388</v>
      </c>
      <c r="B2850" t="s">
        <v>8389</v>
      </c>
      <c r="C2850" t="s">
        <v>8806</v>
      </c>
      <c r="D2850" t="s">
        <v>8391</v>
      </c>
      <c r="E2850" t="s">
        <v>8807</v>
      </c>
      <c r="F2850" t="s">
        <v>8808</v>
      </c>
    </row>
    <row r="2851" spans="1:12">
      <c r="A2851" t="s">
        <v>8388</v>
      </c>
      <c r="B2851" t="s">
        <v>8389</v>
      </c>
      <c r="C2851" t="s">
        <v>8809</v>
      </c>
      <c r="D2851" t="s">
        <v>8391</v>
      </c>
      <c r="E2851" t="s">
        <v>8810</v>
      </c>
      <c r="F2851" t="s">
        <v>8811</v>
      </c>
    </row>
    <row r="2852" spans="1:12">
      <c r="A2852" t="s">
        <v>8388</v>
      </c>
      <c r="B2852" t="s">
        <v>8389</v>
      </c>
      <c r="C2852" t="s">
        <v>8812</v>
      </c>
      <c r="D2852" t="s">
        <v>8391</v>
      </c>
      <c r="E2852" t="s">
        <v>8813</v>
      </c>
      <c r="F2852" t="s">
        <v>8814</v>
      </c>
    </row>
    <row r="2853" spans="1:12">
      <c r="A2853" t="s">
        <v>8388</v>
      </c>
      <c r="B2853" t="s">
        <v>8389</v>
      </c>
      <c r="C2853" t="s">
        <v>8815</v>
      </c>
      <c r="D2853" t="s">
        <v>8391</v>
      </c>
      <c r="E2853" t="s">
        <v>8816</v>
      </c>
      <c r="F2853" t="s">
        <v>8817</v>
      </c>
    </row>
    <row r="2854" spans="1:12">
      <c r="A2854" t="s">
        <v>8388</v>
      </c>
      <c r="B2854" t="s">
        <v>8389</v>
      </c>
      <c r="C2854" t="s">
        <v>8818</v>
      </c>
      <c r="D2854" t="s">
        <v>8391</v>
      </c>
      <c r="E2854" t="s">
        <v>8819</v>
      </c>
      <c r="F2854" t="s">
        <v>8820</v>
      </c>
    </row>
    <row r="2855" spans="1:12">
      <c r="A2855" t="s">
        <v>8388</v>
      </c>
      <c r="B2855" t="s">
        <v>8389</v>
      </c>
      <c r="C2855" t="s">
        <v>8821</v>
      </c>
      <c r="D2855" t="s">
        <v>8391</v>
      </c>
      <c r="E2855" t="s">
        <v>8822</v>
      </c>
      <c r="F2855" t="s">
        <v>8823</v>
      </c>
    </row>
    <row r="2856" spans="1:12">
      <c r="A2856" t="s">
        <v>8388</v>
      </c>
      <c r="B2856" t="s">
        <v>8389</v>
      </c>
      <c r="C2856" t="s">
        <v>8824</v>
      </c>
      <c r="D2856" t="s">
        <v>8391</v>
      </c>
      <c r="E2856" t="s">
        <v>8825</v>
      </c>
      <c r="F2856" t="s">
        <v>8826</v>
      </c>
    </row>
    <row r="2857" spans="1:12">
      <c r="A2857" t="s">
        <v>8388</v>
      </c>
      <c r="B2857" t="s">
        <v>8389</v>
      </c>
      <c r="C2857" t="s">
        <v>8827</v>
      </c>
      <c r="D2857" t="s">
        <v>8391</v>
      </c>
      <c r="E2857" t="s">
        <v>8828</v>
      </c>
      <c r="F2857" t="s">
        <v>8829</v>
      </c>
    </row>
    <row r="2858" spans="1:12">
      <c r="A2858" t="s">
        <v>8388</v>
      </c>
      <c r="B2858" t="s">
        <v>8389</v>
      </c>
      <c r="C2858" t="s">
        <v>8830</v>
      </c>
      <c r="D2858" t="s">
        <v>8391</v>
      </c>
      <c r="E2858" t="s">
        <v>8831</v>
      </c>
      <c r="F2858" t="s">
        <v>8832</v>
      </c>
    </row>
    <row r="2859" spans="1:12">
      <c r="A2859" t="s">
        <v>8388</v>
      </c>
      <c r="B2859" t="s">
        <v>8389</v>
      </c>
      <c r="C2859" t="s">
        <v>8833</v>
      </c>
      <c r="D2859" t="s">
        <v>8391</v>
      </c>
      <c r="E2859" t="s">
        <v>8834</v>
      </c>
      <c r="F2859" t="s">
        <v>8835</v>
      </c>
    </row>
    <row r="2860" spans="1:12">
      <c r="A2860" t="s">
        <v>8388</v>
      </c>
      <c r="B2860" t="s">
        <v>8389</v>
      </c>
      <c r="C2860" t="s">
        <v>8836</v>
      </c>
      <c r="D2860" t="s">
        <v>8391</v>
      </c>
      <c r="E2860" t="s">
        <v>8837</v>
      </c>
      <c r="F2860" t="s">
        <v>8838</v>
      </c>
    </row>
    <row r="2861" spans="1:12">
      <c r="A2861" t="s">
        <v>8388</v>
      </c>
      <c r="B2861" t="s">
        <v>8389</v>
      </c>
      <c r="C2861" t="s">
        <v>8839</v>
      </c>
      <c r="D2861" t="s">
        <v>8391</v>
      </c>
      <c r="E2861" t="s">
        <v>8840</v>
      </c>
      <c r="F2861" t="s">
        <v>8841</v>
      </c>
      <c r="J2861" t="s">
        <v>8840</v>
      </c>
      <c r="K2861" t="s">
        <v>8126</v>
      </c>
      <c r="L2861" t="s">
        <v>851</v>
      </c>
    </row>
    <row r="2862" spans="1:12">
      <c r="A2862" t="s">
        <v>8388</v>
      </c>
      <c r="B2862" t="s">
        <v>8389</v>
      </c>
      <c r="C2862" t="s">
        <v>8842</v>
      </c>
      <c r="D2862" t="s">
        <v>8391</v>
      </c>
      <c r="E2862" t="s">
        <v>882</v>
      </c>
      <c r="F2862" t="s">
        <v>8843</v>
      </c>
    </row>
    <row r="2863" spans="1:12">
      <c r="A2863" t="s">
        <v>8388</v>
      </c>
      <c r="B2863" t="s">
        <v>8389</v>
      </c>
      <c r="C2863" t="s">
        <v>8844</v>
      </c>
      <c r="D2863" t="s">
        <v>8391</v>
      </c>
      <c r="E2863" t="s">
        <v>8845</v>
      </c>
      <c r="F2863" t="s">
        <v>8846</v>
      </c>
    </row>
    <row r="2864" spans="1:12">
      <c r="A2864" t="s">
        <v>8388</v>
      </c>
      <c r="B2864" t="s">
        <v>8389</v>
      </c>
      <c r="C2864" t="s">
        <v>8847</v>
      </c>
      <c r="D2864" t="s">
        <v>8391</v>
      </c>
      <c r="E2864" t="s">
        <v>4972</v>
      </c>
      <c r="F2864" t="s">
        <v>8848</v>
      </c>
    </row>
    <row r="2865" spans="1:12">
      <c r="A2865" t="s">
        <v>8388</v>
      </c>
      <c r="B2865" t="s">
        <v>8389</v>
      </c>
      <c r="C2865" t="s">
        <v>8849</v>
      </c>
      <c r="D2865" t="s">
        <v>8391</v>
      </c>
      <c r="E2865" t="s">
        <v>1968</v>
      </c>
      <c r="F2865" t="s">
        <v>8850</v>
      </c>
    </row>
    <row r="2866" spans="1:12">
      <c r="A2866" t="s">
        <v>8388</v>
      </c>
      <c r="B2866" t="s">
        <v>8389</v>
      </c>
      <c r="C2866" t="s">
        <v>8851</v>
      </c>
      <c r="D2866" t="s">
        <v>8391</v>
      </c>
      <c r="E2866" t="s">
        <v>8852</v>
      </c>
      <c r="F2866" t="s">
        <v>8853</v>
      </c>
      <c r="J2866" t="s">
        <v>8852</v>
      </c>
      <c r="K2866" t="s">
        <v>8126</v>
      </c>
      <c r="L2866" t="s">
        <v>851</v>
      </c>
    </row>
    <row r="2867" spans="1:12">
      <c r="A2867" t="s">
        <v>8388</v>
      </c>
      <c r="B2867" t="s">
        <v>8389</v>
      </c>
      <c r="C2867" t="s">
        <v>8854</v>
      </c>
      <c r="D2867" t="s">
        <v>8391</v>
      </c>
      <c r="E2867" t="s">
        <v>8855</v>
      </c>
      <c r="F2867" t="s">
        <v>8856</v>
      </c>
    </row>
    <row r="2868" spans="1:12">
      <c r="A2868" t="s">
        <v>8388</v>
      </c>
      <c r="B2868" t="s">
        <v>8389</v>
      </c>
      <c r="C2868" t="s">
        <v>8857</v>
      </c>
      <c r="D2868" t="s">
        <v>8391</v>
      </c>
      <c r="E2868" t="s">
        <v>8858</v>
      </c>
      <c r="F2868" t="s">
        <v>8859</v>
      </c>
    </row>
    <row r="2869" spans="1:12">
      <c r="A2869" t="s">
        <v>8388</v>
      </c>
      <c r="B2869" t="s">
        <v>8389</v>
      </c>
      <c r="C2869" t="s">
        <v>8860</v>
      </c>
      <c r="D2869" t="s">
        <v>8391</v>
      </c>
      <c r="E2869" t="s">
        <v>8861</v>
      </c>
      <c r="F2869" t="s">
        <v>8862</v>
      </c>
    </row>
    <row r="2870" spans="1:12">
      <c r="A2870" t="s">
        <v>8388</v>
      </c>
      <c r="B2870" t="s">
        <v>8389</v>
      </c>
      <c r="C2870" t="s">
        <v>8863</v>
      </c>
      <c r="D2870" t="s">
        <v>8391</v>
      </c>
      <c r="E2870" t="s">
        <v>6925</v>
      </c>
      <c r="F2870" t="s">
        <v>8864</v>
      </c>
    </row>
    <row r="2871" spans="1:12">
      <c r="A2871" t="s">
        <v>8388</v>
      </c>
      <c r="B2871" t="s">
        <v>8389</v>
      </c>
      <c r="C2871" t="s">
        <v>8865</v>
      </c>
      <c r="D2871" t="s">
        <v>8391</v>
      </c>
      <c r="E2871" t="s">
        <v>8866</v>
      </c>
      <c r="F2871" t="s">
        <v>8867</v>
      </c>
      <c r="J2871" t="s">
        <v>8866</v>
      </c>
      <c r="K2871" t="s">
        <v>8126</v>
      </c>
      <c r="L2871" t="s">
        <v>851</v>
      </c>
    </row>
    <row r="2872" spans="1:12">
      <c r="A2872" t="s">
        <v>8388</v>
      </c>
      <c r="B2872" t="s">
        <v>8389</v>
      </c>
      <c r="C2872" t="s">
        <v>8868</v>
      </c>
      <c r="D2872" t="s">
        <v>8391</v>
      </c>
      <c r="E2872" t="s">
        <v>8869</v>
      </c>
      <c r="F2872" t="s">
        <v>8870</v>
      </c>
    </row>
    <row r="2873" spans="1:12">
      <c r="A2873" t="s">
        <v>8388</v>
      </c>
      <c r="B2873" t="s">
        <v>8389</v>
      </c>
      <c r="C2873" t="s">
        <v>8871</v>
      </c>
      <c r="D2873" t="s">
        <v>8391</v>
      </c>
      <c r="E2873" t="s">
        <v>8872</v>
      </c>
      <c r="F2873" t="s">
        <v>8873</v>
      </c>
      <c r="J2873" t="s">
        <v>8872</v>
      </c>
      <c r="K2873" t="s">
        <v>8126</v>
      </c>
      <c r="L2873" t="s">
        <v>851</v>
      </c>
    </row>
    <row r="2874" spans="1:12">
      <c r="A2874" t="s">
        <v>8388</v>
      </c>
      <c r="B2874" t="s">
        <v>8389</v>
      </c>
      <c r="C2874" t="s">
        <v>8874</v>
      </c>
      <c r="D2874" t="s">
        <v>8391</v>
      </c>
      <c r="E2874" t="s">
        <v>8875</v>
      </c>
      <c r="F2874" t="s">
        <v>8876</v>
      </c>
    </row>
    <row r="2875" spans="1:12">
      <c r="A2875" t="s">
        <v>8388</v>
      </c>
      <c r="B2875" t="s">
        <v>8389</v>
      </c>
      <c r="C2875" t="s">
        <v>8877</v>
      </c>
      <c r="D2875" t="s">
        <v>8391</v>
      </c>
      <c r="E2875" t="s">
        <v>8878</v>
      </c>
      <c r="F2875" t="s">
        <v>8879</v>
      </c>
    </row>
    <row r="2876" spans="1:12">
      <c r="A2876" t="s">
        <v>8388</v>
      </c>
      <c r="B2876" t="s">
        <v>8389</v>
      </c>
      <c r="C2876" t="s">
        <v>8880</v>
      </c>
      <c r="D2876" t="s">
        <v>8391</v>
      </c>
      <c r="E2876" t="s">
        <v>8881</v>
      </c>
      <c r="F2876" t="s">
        <v>8882</v>
      </c>
    </row>
    <row r="2877" spans="1:12">
      <c r="A2877" t="s">
        <v>8388</v>
      </c>
      <c r="B2877" t="s">
        <v>8389</v>
      </c>
      <c r="C2877" t="s">
        <v>8883</v>
      </c>
      <c r="D2877" t="s">
        <v>8391</v>
      </c>
      <c r="E2877" t="s">
        <v>8884</v>
      </c>
      <c r="F2877" t="s">
        <v>8885</v>
      </c>
    </row>
    <row r="2878" spans="1:12">
      <c r="A2878" t="s">
        <v>8388</v>
      </c>
      <c r="B2878" t="s">
        <v>8389</v>
      </c>
      <c r="C2878" t="s">
        <v>8886</v>
      </c>
      <c r="D2878" t="s">
        <v>8391</v>
      </c>
      <c r="E2878" t="s">
        <v>8887</v>
      </c>
      <c r="F2878" t="s">
        <v>8888</v>
      </c>
    </row>
    <row r="2879" spans="1:12">
      <c r="A2879" t="s">
        <v>8388</v>
      </c>
      <c r="B2879" t="s">
        <v>8389</v>
      </c>
      <c r="C2879" t="s">
        <v>8889</v>
      </c>
      <c r="D2879" t="s">
        <v>8391</v>
      </c>
      <c r="E2879" t="s">
        <v>8890</v>
      </c>
      <c r="F2879" t="s">
        <v>8891</v>
      </c>
      <c r="J2879" t="s">
        <v>8890</v>
      </c>
      <c r="K2879" t="s">
        <v>8126</v>
      </c>
      <c r="L2879" t="s">
        <v>851</v>
      </c>
    </row>
    <row r="2880" spans="1:12">
      <c r="A2880" t="s">
        <v>8388</v>
      </c>
      <c r="B2880" t="s">
        <v>8389</v>
      </c>
      <c r="C2880" t="s">
        <v>8892</v>
      </c>
      <c r="D2880" t="s">
        <v>8391</v>
      </c>
      <c r="E2880" t="s">
        <v>8893</v>
      </c>
      <c r="F2880" t="s">
        <v>8894</v>
      </c>
    </row>
    <row r="2881" spans="1:12">
      <c r="A2881" t="s">
        <v>8388</v>
      </c>
      <c r="B2881" t="s">
        <v>8389</v>
      </c>
      <c r="C2881" t="s">
        <v>8895</v>
      </c>
      <c r="D2881" t="s">
        <v>8391</v>
      </c>
      <c r="E2881" t="s">
        <v>8896</v>
      </c>
      <c r="F2881" t="s">
        <v>8897</v>
      </c>
    </row>
    <row r="2882" spans="1:12">
      <c r="A2882" t="s">
        <v>8388</v>
      </c>
      <c r="B2882" t="s">
        <v>8389</v>
      </c>
      <c r="C2882" t="s">
        <v>8898</v>
      </c>
      <c r="D2882" t="s">
        <v>8391</v>
      </c>
      <c r="E2882" t="s">
        <v>8899</v>
      </c>
      <c r="F2882" t="s">
        <v>8900</v>
      </c>
      <c r="J2882" t="s">
        <v>8899</v>
      </c>
      <c r="K2882" t="s">
        <v>8126</v>
      </c>
      <c r="L2882" t="s">
        <v>851</v>
      </c>
    </row>
    <row r="2883" spans="1:12">
      <c r="A2883" t="s">
        <v>8388</v>
      </c>
      <c r="B2883" t="s">
        <v>8389</v>
      </c>
      <c r="C2883" t="s">
        <v>8901</v>
      </c>
      <c r="D2883" t="s">
        <v>8391</v>
      </c>
      <c r="E2883" t="s">
        <v>8902</v>
      </c>
      <c r="F2883" t="s">
        <v>8903</v>
      </c>
    </row>
    <row r="2884" spans="1:12">
      <c r="A2884" t="s">
        <v>8388</v>
      </c>
      <c r="B2884" t="s">
        <v>8389</v>
      </c>
      <c r="C2884" t="s">
        <v>8904</v>
      </c>
      <c r="D2884" t="s">
        <v>8391</v>
      </c>
      <c r="E2884" t="s">
        <v>8905</v>
      </c>
      <c r="F2884" t="s">
        <v>8906</v>
      </c>
    </row>
    <row r="2885" spans="1:12">
      <c r="A2885" t="s">
        <v>8388</v>
      </c>
      <c r="B2885" t="s">
        <v>8389</v>
      </c>
      <c r="C2885" t="s">
        <v>8907</v>
      </c>
      <c r="D2885" t="s">
        <v>8391</v>
      </c>
      <c r="E2885" t="s">
        <v>8908</v>
      </c>
      <c r="F2885" t="s">
        <v>8909</v>
      </c>
    </row>
    <row r="2886" spans="1:12">
      <c r="A2886" t="s">
        <v>8388</v>
      </c>
      <c r="B2886" t="s">
        <v>8389</v>
      </c>
      <c r="C2886" t="s">
        <v>8910</v>
      </c>
      <c r="D2886" t="s">
        <v>8391</v>
      </c>
      <c r="E2886" t="s">
        <v>8911</v>
      </c>
      <c r="F2886" t="s">
        <v>8912</v>
      </c>
    </row>
    <row r="2887" spans="1:12">
      <c r="A2887" t="s">
        <v>8388</v>
      </c>
      <c r="B2887" t="s">
        <v>8389</v>
      </c>
      <c r="C2887" t="s">
        <v>8913</v>
      </c>
      <c r="D2887" t="s">
        <v>8391</v>
      </c>
      <c r="E2887" t="s">
        <v>8914</v>
      </c>
      <c r="F2887" t="s">
        <v>8915</v>
      </c>
      <c r="J2887" t="s">
        <v>8914</v>
      </c>
      <c r="K2887" t="s">
        <v>8126</v>
      </c>
      <c r="L2887" t="s">
        <v>851</v>
      </c>
    </row>
    <row r="2888" spans="1:12">
      <c r="A2888" t="s">
        <v>8388</v>
      </c>
      <c r="B2888" t="s">
        <v>8389</v>
      </c>
      <c r="C2888" t="s">
        <v>8916</v>
      </c>
      <c r="D2888" t="s">
        <v>8391</v>
      </c>
      <c r="E2888" t="s">
        <v>8917</v>
      </c>
      <c r="F2888" t="s">
        <v>8918</v>
      </c>
      <c r="J2888" t="s">
        <v>8917</v>
      </c>
      <c r="K2888" t="s">
        <v>8126</v>
      </c>
      <c r="L2888" t="s">
        <v>851</v>
      </c>
    </row>
    <row r="2889" spans="1:12">
      <c r="A2889" t="s">
        <v>8388</v>
      </c>
      <c r="B2889" t="s">
        <v>8389</v>
      </c>
      <c r="C2889" t="s">
        <v>8919</v>
      </c>
      <c r="D2889" t="s">
        <v>8391</v>
      </c>
      <c r="E2889" t="s">
        <v>8920</v>
      </c>
      <c r="F2889" t="s">
        <v>8921</v>
      </c>
    </row>
    <row r="2890" spans="1:12">
      <c r="A2890" t="s">
        <v>8388</v>
      </c>
      <c r="B2890" t="s">
        <v>8389</v>
      </c>
      <c r="C2890" t="s">
        <v>8922</v>
      </c>
      <c r="D2890" t="s">
        <v>8391</v>
      </c>
      <c r="E2890" t="s">
        <v>829</v>
      </c>
      <c r="F2890" t="s">
        <v>8923</v>
      </c>
    </row>
    <row r="2891" spans="1:12">
      <c r="A2891" t="s">
        <v>8388</v>
      </c>
      <c r="B2891" t="s">
        <v>8389</v>
      </c>
      <c r="C2891" t="s">
        <v>8924</v>
      </c>
      <c r="D2891" t="s">
        <v>8391</v>
      </c>
      <c r="E2891" t="s">
        <v>3607</v>
      </c>
      <c r="F2891" t="s">
        <v>8925</v>
      </c>
      <c r="J2891" t="s">
        <v>3607</v>
      </c>
      <c r="K2891" t="s">
        <v>8126</v>
      </c>
      <c r="L2891" t="s">
        <v>851</v>
      </c>
    </row>
    <row r="2892" spans="1:12">
      <c r="A2892" t="s">
        <v>8388</v>
      </c>
      <c r="B2892" t="s">
        <v>8389</v>
      </c>
      <c r="C2892" t="s">
        <v>8926</v>
      </c>
      <c r="D2892" t="s">
        <v>8391</v>
      </c>
      <c r="E2892" t="s">
        <v>1998</v>
      </c>
      <c r="F2892" t="s">
        <v>8927</v>
      </c>
    </row>
    <row r="2893" spans="1:12">
      <c r="A2893" t="s">
        <v>8388</v>
      </c>
      <c r="B2893" t="s">
        <v>8389</v>
      </c>
      <c r="C2893" t="s">
        <v>8928</v>
      </c>
      <c r="D2893" t="s">
        <v>8391</v>
      </c>
      <c r="E2893" t="s">
        <v>2001</v>
      </c>
      <c r="F2893" t="s">
        <v>8929</v>
      </c>
    </row>
    <row r="2894" spans="1:12">
      <c r="A2894" t="s">
        <v>8388</v>
      </c>
      <c r="B2894" t="s">
        <v>8389</v>
      </c>
      <c r="C2894" t="s">
        <v>8930</v>
      </c>
      <c r="D2894" t="s">
        <v>8391</v>
      </c>
      <c r="E2894" t="s">
        <v>8931</v>
      </c>
      <c r="F2894" t="s">
        <v>8925</v>
      </c>
      <c r="J2894" t="s">
        <v>8931</v>
      </c>
      <c r="K2894" t="s">
        <v>8126</v>
      </c>
      <c r="L2894" t="s">
        <v>851</v>
      </c>
    </row>
    <row r="2895" spans="1:12">
      <c r="A2895" t="s">
        <v>8388</v>
      </c>
      <c r="B2895" t="s">
        <v>8389</v>
      </c>
      <c r="C2895" t="s">
        <v>8932</v>
      </c>
      <c r="D2895" t="s">
        <v>8391</v>
      </c>
      <c r="E2895" t="s">
        <v>8933</v>
      </c>
      <c r="F2895" t="s">
        <v>8934</v>
      </c>
    </row>
    <row r="2896" spans="1:12">
      <c r="A2896" t="s">
        <v>8388</v>
      </c>
      <c r="B2896" t="s">
        <v>8389</v>
      </c>
      <c r="C2896" t="s">
        <v>8935</v>
      </c>
      <c r="D2896" t="s">
        <v>8391</v>
      </c>
      <c r="E2896" t="s">
        <v>8936</v>
      </c>
      <c r="F2896" t="s">
        <v>8937</v>
      </c>
    </row>
    <row r="2897" spans="1:12">
      <c r="A2897" t="s">
        <v>8388</v>
      </c>
      <c r="B2897" t="s">
        <v>8389</v>
      </c>
      <c r="C2897" t="s">
        <v>8938</v>
      </c>
      <c r="D2897" t="s">
        <v>8391</v>
      </c>
      <c r="E2897" t="s">
        <v>8939</v>
      </c>
      <c r="F2897" t="s">
        <v>8940</v>
      </c>
    </row>
    <row r="2898" spans="1:12">
      <c r="A2898" t="s">
        <v>8388</v>
      </c>
      <c r="B2898" t="s">
        <v>8389</v>
      </c>
      <c r="C2898" t="s">
        <v>8941</v>
      </c>
      <c r="D2898" t="s">
        <v>8391</v>
      </c>
      <c r="E2898" t="s">
        <v>8942</v>
      </c>
      <c r="F2898" t="s">
        <v>8943</v>
      </c>
    </row>
    <row r="2899" spans="1:12">
      <c r="A2899" t="s">
        <v>8388</v>
      </c>
      <c r="B2899" t="s">
        <v>8389</v>
      </c>
      <c r="C2899" t="s">
        <v>8944</v>
      </c>
      <c r="D2899" t="s">
        <v>8391</v>
      </c>
      <c r="E2899" t="s">
        <v>8945</v>
      </c>
      <c r="F2899" t="s">
        <v>8946</v>
      </c>
      <c r="J2899" t="s">
        <v>8945</v>
      </c>
      <c r="K2899" t="s">
        <v>8126</v>
      </c>
      <c r="L2899" t="s">
        <v>851</v>
      </c>
    </row>
    <row r="2900" spans="1:12">
      <c r="A2900" t="s">
        <v>8388</v>
      </c>
      <c r="B2900" t="s">
        <v>8389</v>
      </c>
      <c r="C2900" t="s">
        <v>8947</v>
      </c>
      <c r="D2900" t="s">
        <v>8391</v>
      </c>
      <c r="E2900" t="s">
        <v>8948</v>
      </c>
      <c r="F2900" t="s">
        <v>8943</v>
      </c>
    </row>
    <row r="2901" spans="1:12">
      <c r="A2901" t="s">
        <v>8388</v>
      </c>
      <c r="B2901" t="s">
        <v>8389</v>
      </c>
      <c r="C2901" t="s">
        <v>8949</v>
      </c>
      <c r="D2901" t="s">
        <v>8391</v>
      </c>
      <c r="E2901" t="s">
        <v>1381</v>
      </c>
      <c r="F2901" t="s">
        <v>8950</v>
      </c>
    </row>
    <row r="2902" spans="1:12">
      <c r="A2902" t="s">
        <v>8388</v>
      </c>
      <c r="B2902" t="s">
        <v>8389</v>
      </c>
      <c r="C2902" t="s">
        <v>8951</v>
      </c>
      <c r="D2902" t="s">
        <v>8391</v>
      </c>
      <c r="E2902" t="s">
        <v>8952</v>
      </c>
      <c r="F2902" t="s">
        <v>8953</v>
      </c>
    </row>
    <row r="2903" spans="1:12">
      <c r="A2903" t="s">
        <v>8388</v>
      </c>
      <c r="B2903" t="s">
        <v>8389</v>
      </c>
      <c r="C2903" t="s">
        <v>8954</v>
      </c>
      <c r="D2903" t="s">
        <v>8391</v>
      </c>
      <c r="E2903" t="s">
        <v>8058</v>
      </c>
      <c r="F2903" t="s">
        <v>8955</v>
      </c>
    </row>
    <row r="2904" spans="1:12">
      <c r="A2904" t="s">
        <v>8388</v>
      </c>
      <c r="B2904" t="s">
        <v>8389</v>
      </c>
      <c r="C2904" t="s">
        <v>8956</v>
      </c>
      <c r="D2904" t="s">
        <v>8391</v>
      </c>
      <c r="E2904" t="s">
        <v>8957</v>
      </c>
      <c r="F2904" t="s">
        <v>8958</v>
      </c>
    </row>
    <row r="2905" spans="1:12">
      <c r="A2905" t="s">
        <v>8388</v>
      </c>
      <c r="B2905" t="s">
        <v>8389</v>
      </c>
      <c r="C2905" t="s">
        <v>8959</v>
      </c>
      <c r="D2905" t="s">
        <v>8391</v>
      </c>
      <c r="E2905" t="s">
        <v>8960</v>
      </c>
      <c r="F2905" t="s">
        <v>8961</v>
      </c>
    </row>
    <row r="2906" spans="1:12">
      <c r="A2906" t="s">
        <v>8388</v>
      </c>
      <c r="B2906" t="s">
        <v>8389</v>
      </c>
      <c r="C2906" t="s">
        <v>8962</v>
      </c>
      <c r="D2906" t="s">
        <v>8391</v>
      </c>
      <c r="E2906" t="s">
        <v>8963</v>
      </c>
      <c r="F2906" t="s">
        <v>8964</v>
      </c>
    </row>
    <row r="2907" spans="1:12">
      <c r="A2907" t="s">
        <v>8388</v>
      </c>
      <c r="B2907" t="s">
        <v>8389</v>
      </c>
      <c r="C2907" t="s">
        <v>8965</v>
      </c>
      <c r="D2907" t="s">
        <v>8391</v>
      </c>
      <c r="E2907" t="s">
        <v>8966</v>
      </c>
      <c r="F2907" t="s">
        <v>8967</v>
      </c>
    </row>
    <row r="2908" spans="1:12">
      <c r="A2908" t="s">
        <v>8388</v>
      </c>
      <c r="B2908" t="s">
        <v>8389</v>
      </c>
      <c r="C2908" t="s">
        <v>8968</v>
      </c>
      <c r="D2908" t="s">
        <v>8391</v>
      </c>
      <c r="E2908" t="s">
        <v>8969</v>
      </c>
      <c r="F2908" t="s">
        <v>8970</v>
      </c>
    </row>
    <row r="2909" spans="1:12">
      <c r="A2909" t="s">
        <v>8388</v>
      </c>
      <c r="B2909" t="s">
        <v>8389</v>
      </c>
      <c r="C2909" t="s">
        <v>8971</v>
      </c>
      <c r="D2909" t="s">
        <v>8391</v>
      </c>
      <c r="E2909" t="s">
        <v>8972</v>
      </c>
      <c r="F2909" t="s">
        <v>8973</v>
      </c>
    </row>
    <row r="2910" spans="1:12">
      <c r="A2910" t="s">
        <v>8388</v>
      </c>
      <c r="B2910" t="s">
        <v>8389</v>
      </c>
      <c r="C2910" t="s">
        <v>8974</v>
      </c>
      <c r="D2910" t="s">
        <v>8391</v>
      </c>
      <c r="E2910" t="s">
        <v>8975</v>
      </c>
      <c r="F2910" t="s">
        <v>8976</v>
      </c>
    </row>
    <row r="2911" spans="1:12">
      <c r="A2911" t="s">
        <v>8388</v>
      </c>
      <c r="B2911" t="s">
        <v>8389</v>
      </c>
      <c r="C2911" t="s">
        <v>8977</v>
      </c>
      <c r="D2911" t="s">
        <v>8391</v>
      </c>
      <c r="E2911" t="s">
        <v>8978</v>
      </c>
      <c r="F2911" t="s">
        <v>8979</v>
      </c>
    </row>
    <row r="2912" spans="1:12">
      <c r="A2912" t="s">
        <v>8388</v>
      </c>
      <c r="B2912" t="s">
        <v>8389</v>
      </c>
      <c r="C2912" t="s">
        <v>8980</v>
      </c>
      <c r="D2912" t="s">
        <v>8391</v>
      </c>
      <c r="E2912" t="s">
        <v>8981</v>
      </c>
      <c r="F2912" t="s">
        <v>8982</v>
      </c>
    </row>
    <row r="2913" spans="1:6">
      <c r="A2913" t="s">
        <v>8388</v>
      </c>
      <c r="B2913" t="s">
        <v>8389</v>
      </c>
      <c r="C2913" t="s">
        <v>8983</v>
      </c>
      <c r="D2913" t="s">
        <v>8391</v>
      </c>
      <c r="E2913" t="s">
        <v>4019</v>
      </c>
      <c r="F2913" t="s">
        <v>8984</v>
      </c>
    </row>
    <row r="2914" spans="1:6">
      <c r="A2914" t="s">
        <v>8388</v>
      </c>
      <c r="B2914" t="s">
        <v>8389</v>
      </c>
      <c r="C2914" t="s">
        <v>8985</v>
      </c>
      <c r="D2914" t="s">
        <v>8391</v>
      </c>
      <c r="E2914" t="s">
        <v>8986</v>
      </c>
      <c r="F2914" t="s">
        <v>8987</v>
      </c>
    </row>
    <row r="2915" spans="1:6">
      <c r="A2915" t="s">
        <v>8388</v>
      </c>
      <c r="B2915" t="s">
        <v>8389</v>
      </c>
      <c r="C2915" t="s">
        <v>8988</v>
      </c>
      <c r="D2915" t="s">
        <v>8391</v>
      </c>
      <c r="E2915" t="s">
        <v>8989</v>
      </c>
      <c r="F2915" t="s">
        <v>8990</v>
      </c>
    </row>
    <row r="2916" spans="1:6">
      <c r="A2916" t="s">
        <v>8388</v>
      </c>
      <c r="B2916" t="s">
        <v>8389</v>
      </c>
      <c r="C2916" t="s">
        <v>8991</v>
      </c>
      <c r="D2916" t="s">
        <v>8391</v>
      </c>
      <c r="E2916" t="s">
        <v>8992</v>
      </c>
      <c r="F2916" t="s">
        <v>8993</v>
      </c>
    </row>
    <row r="2917" spans="1:6">
      <c r="A2917" t="s">
        <v>8388</v>
      </c>
      <c r="B2917" t="s">
        <v>8389</v>
      </c>
      <c r="C2917" t="s">
        <v>8994</v>
      </c>
      <c r="D2917" t="s">
        <v>8391</v>
      </c>
      <c r="E2917" t="s">
        <v>8995</v>
      </c>
      <c r="F2917" t="s">
        <v>8996</v>
      </c>
    </row>
    <row r="2918" spans="1:6">
      <c r="A2918" t="s">
        <v>8388</v>
      </c>
      <c r="B2918" t="s">
        <v>8389</v>
      </c>
      <c r="C2918" t="s">
        <v>8997</v>
      </c>
      <c r="D2918" t="s">
        <v>8391</v>
      </c>
      <c r="E2918" t="s">
        <v>8998</v>
      </c>
      <c r="F2918" t="s">
        <v>8999</v>
      </c>
    </row>
    <row r="2919" spans="1:6">
      <c r="A2919" t="s">
        <v>8388</v>
      </c>
      <c r="B2919" t="s">
        <v>8389</v>
      </c>
      <c r="C2919" t="s">
        <v>9000</v>
      </c>
      <c r="D2919" t="s">
        <v>8391</v>
      </c>
      <c r="E2919" t="s">
        <v>9001</v>
      </c>
      <c r="F2919" t="s">
        <v>9002</v>
      </c>
    </row>
    <row r="2920" spans="1:6">
      <c r="A2920" t="s">
        <v>8388</v>
      </c>
      <c r="B2920" t="s">
        <v>8389</v>
      </c>
      <c r="C2920" t="s">
        <v>9003</v>
      </c>
      <c r="D2920" t="s">
        <v>8391</v>
      </c>
      <c r="E2920" t="s">
        <v>9004</v>
      </c>
      <c r="F2920" t="s">
        <v>9005</v>
      </c>
    </row>
    <row r="2921" spans="1:6">
      <c r="A2921" t="s">
        <v>8388</v>
      </c>
      <c r="B2921" t="s">
        <v>8389</v>
      </c>
      <c r="C2921" t="s">
        <v>9006</v>
      </c>
      <c r="D2921" t="s">
        <v>8391</v>
      </c>
      <c r="E2921" t="s">
        <v>2046</v>
      </c>
      <c r="F2921" t="s">
        <v>9007</v>
      </c>
    </row>
    <row r="2922" spans="1:6">
      <c r="A2922" t="s">
        <v>8388</v>
      </c>
      <c r="B2922" t="s">
        <v>8389</v>
      </c>
      <c r="C2922" t="s">
        <v>9008</v>
      </c>
      <c r="D2922" t="s">
        <v>8391</v>
      </c>
      <c r="E2922" t="s">
        <v>6776</v>
      </c>
      <c r="F2922" t="s">
        <v>9009</v>
      </c>
    </row>
    <row r="2923" spans="1:6">
      <c r="A2923" t="s">
        <v>8388</v>
      </c>
      <c r="B2923" t="s">
        <v>8389</v>
      </c>
      <c r="C2923" t="s">
        <v>9010</v>
      </c>
      <c r="D2923" t="s">
        <v>8391</v>
      </c>
      <c r="E2923" t="s">
        <v>9011</v>
      </c>
      <c r="F2923" t="s">
        <v>9012</v>
      </c>
    </row>
    <row r="2924" spans="1:6">
      <c r="A2924" t="s">
        <v>8388</v>
      </c>
      <c r="B2924" t="s">
        <v>8389</v>
      </c>
      <c r="C2924" t="s">
        <v>9013</v>
      </c>
      <c r="D2924" t="s">
        <v>8391</v>
      </c>
      <c r="E2924" t="s">
        <v>9014</v>
      </c>
      <c r="F2924" t="s">
        <v>9015</v>
      </c>
    </row>
    <row r="2925" spans="1:6">
      <c r="A2925" t="s">
        <v>8388</v>
      </c>
      <c r="B2925" t="s">
        <v>8389</v>
      </c>
      <c r="C2925" t="s">
        <v>9016</v>
      </c>
      <c r="D2925" t="s">
        <v>8391</v>
      </c>
      <c r="E2925" t="s">
        <v>9017</v>
      </c>
      <c r="F2925" t="s">
        <v>9018</v>
      </c>
    </row>
    <row r="2926" spans="1:6">
      <c r="A2926" t="s">
        <v>8388</v>
      </c>
      <c r="B2926" t="s">
        <v>8389</v>
      </c>
      <c r="C2926" t="s">
        <v>9019</v>
      </c>
      <c r="D2926" t="s">
        <v>8391</v>
      </c>
      <c r="E2926" t="s">
        <v>9020</v>
      </c>
      <c r="F2926" t="s">
        <v>9021</v>
      </c>
    </row>
    <row r="2927" spans="1:6">
      <c r="A2927" t="s">
        <v>8388</v>
      </c>
      <c r="B2927" t="s">
        <v>8389</v>
      </c>
      <c r="C2927" t="s">
        <v>9022</v>
      </c>
      <c r="D2927" t="s">
        <v>8391</v>
      </c>
      <c r="E2927" t="s">
        <v>2061</v>
      </c>
      <c r="F2927" t="s">
        <v>9023</v>
      </c>
    </row>
    <row r="2928" spans="1:6">
      <c r="A2928" t="s">
        <v>8388</v>
      </c>
      <c r="B2928" t="s">
        <v>8389</v>
      </c>
      <c r="C2928" t="s">
        <v>9024</v>
      </c>
      <c r="D2928" t="s">
        <v>8391</v>
      </c>
      <c r="E2928" t="s">
        <v>7741</v>
      </c>
      <c r="F2928" t="s">
        <v>9025</v>
      </c>
    </row>
    <row r="2929" spans="1:12">
      <c r="A2929" t="s">
        <v>8388</v>
      </c>
      <c r="B2929" t="s">
        <v>8389</v>
      </c>
      <c r="C2929" t="s">
        <v>9026</v>
      </c>
      <c r="D2929" t="s">
        <v>8391</v>
      </c>
      <c r="E2929" t="s">
        <v>9027</v>
      </c>
      <c r="F2929" t="s">
        <v>9028</v>
      </c>
    </row>
    <row r="2930" spans="1:12">
      <c r="A2930" t="s">
        <v>8388</v>
      </c>
      <c r="B2930" t="s">
        <v>8389</v>
      </c>
      <c r="C2930" t="s">
        <v>9029</v>
      </c>
      <c r="D2930" t="s">
        <v>8391</v>
      </c>
      <c r="E2930" t="s">
        <v>742</v>
      </c>
      <c r="F2930" t="s">
        <v>9030</v>
      </c>
    </row>
    <row r="2931" spans="1:12">
      <c r="A2931" t="s">
        <v>8388</v>
      </c>
      <c r="B2931" t="s">
        <v>8389</v>
      </c>
      <c r="C2931" t="s">
        <v>9031</v>
      </c>
      <c r="D2931" t="s">
        <v>8391</v>
      </c>
      <c r="E2931" t="s">
        <v>1407</v>
      </c>
      <c r="F2931" t="s">
        <v>9032</v>
      </c>
    </row>
    <row r="2932" spans="1:12">
      <c r="A2932" t="s">
        <v>8388</v>
      </c>
      <c r="B2932" t="s">
        <v>8389</v>
      </c>
      <c r="C2932" t="s">
        <v>9033</v>
      </c>
      <c r="D2932" t="s">
        <v>8391</v>
      </c>
      <c r="E2932" t="s">
        <v>4037</v>
      </c>
      <c r="F2932" t="s">
        <v>9034</v>
      </c>
    </row>
    <row r="2933" spans="1:12">
      <c r="A2933" t="s">
        <v>8388</v>
      </c>
      <c r="B2933" t="s">
        <v>8389</v>
      </c>
      <c r="C2933" t="s">
        <v>9035</v>
      </c>
      <c r="D2933" t="s">
        <v>8391</v>
      </c>
      <c r="E2933" t="s">
        <v>1410</v>
      </c>
      <c r="F2933" t="s">
        <v>9036</v>
      </c>
    </row>
    <row r="2934" spans="1:12">
      <c r="A2934" t="s">
        <v>8388</v>
      </c>
      <c r="B2934" t="s">
        <v>8389</v>
      </c>
      <c r="C2934" t="s">
        <v>9037</v>
      </c>
      <c r="D2934" t="s">
        <v>8391</v>
      </c>
      <c r="E2934" t="s">
        <v>9038</v>
      </c>
      <c r="F2934" t="s">
        <v>9039</v>
      </c>
    </row>
    <row r="2935" spans="1:12">
      <c r="A2935" t="s">
        <v>8388</v>
      </c>
      <c r="B2935" t="s">
        <v>8389</v>
      </c>
      <c r="C2935" t="s">
        <v>9040</v>
      </c>
      <c r="D2935" t="s">
        <v>8391</v>
      </c>
      <c r="E2935" t="s">
        <v>9041</v>
      </c>
      <c r="F2935" t="s">
        <v>9042</v>
      </c>
    </row>
    <row r="2936" spans="1:12">
      <c r="A2936" t="s">
        <v>8388</v>
      </c>
      <c r="B2936" t="s">
        <v>8389</v>
      </c>
      <c r="C2936" t="s">
        <v>9043</v>
      </c>
      <c r="D2936" t="s">
        <v>8391</v>
      </c>
      <c r="E2936" t="s">
        <v>9044</v>
      </c>
      <c r="F2936" t="s">
        <v>9045</v>
      </c>
    </row>
    <row r="2937" spans="1:12">
      <c r="A2937" t="s">
        <v>8388</v>
      </c>
      <c r="B2937" t="s">
        <v>8389</v>
      </c>
      <c r="C2937" t="s">
        <v>9046</v>
      </c>
      <c r="D2937" t="s">
        <v>8391</v>
      </c>
      <c r="E2937" t="s">
        <v>2088</v>
      </c>
      <c r="F2937" t="s">
        <v>9047</v>
      </c>
    </row>
    <row r="2938" spans="1:12">
      <c r="A2938" t="s">
        <v>8388</v>
      </c>
      <c r="B2938" t="s">
        <v>8389</v>
      </c>
      <c r="C2938" t="s">
        <v>9048</v>
      </c>
      <c r="D2938" t="s">
        <v>8391</v>
      </c>
      <c r="E2938" t="s">
        <v>9049</v>
      </c>
      <c r="F2938" t="s">
        <v>9050</v>
      </c>
    </row>
    <row r="2939" spans="1:12">
      <c r="A2939" t="s">
        <v>8388</v>
      </c>
      <c r="B2939" t="s">
        <v>8389</v>
      </c>
      <c r="C2939" t="s">
        <v>9051</v>
      </c>
      <c r="D2939" t="s">
        <v>8391</v>
      </c>
      <c r="E2939" t="s">
        <v>9052</v>
      </c>
      <c r="F2939" t="s">
        <v>9053</v>
      </c>
      <c r="J2939" t="s">
        <v>9052</v>
      </c>
      <c r="K2939" t="s">
        <v>8126</v>
      </c>
      <c r="L2939" t="s">
        <v>851</v>
      </c>
    </row>
    <row r="2940" spans="1:12">
      <c r="A2940" t="s">
        <v>8388</v>
      </c>
      <c r="B2940" t="s">
        <v>8389</v>
      </c>
      <c r="C2940" t="s">
        <v>9054</v>
      </c>
      <c r="D2940" t="s">
        <v>8391</v>
      </c>
      <c r="E2940" t="s">
        <v>9055</v>
      </c>
      <c r="F2940" t="s">
        <v>9056</v>
      </c>
      <c r="J2940" t="s">
        <v>9055</v>
      </c>
      <c r="K2940" t="s">
        <v>8126</v>
      </c>
      <c r="L2940" t="s">
        <v>851</v>
      </c>
    </row>
    <row r="2941" spans="1:12">
      <c r="A2941" t="s">
        <v>8388</v>
      </c>
      <c r="B2941" t="s">
        <v>8389</v>
      </c>
      <c r="C2941" t="s">
        <v>9057</v>
      </c>
      <c r="D2941" t="s">
        <v>8391</v>
      </c>
      <c r="E2941" t="s">
        <v>9058</v>
      </c>
      <c r="F2941" t="s">
        <v>9059</v>
      </c>
      <c r="J2941" t="s">
        <v>9058</v>
      </c>
      <c r="K2941" t="s">
        <v>8126</v>
      </c>
      <c r="L2941" t="s">
        <v>851</v>
      </c>
    </row>
    <row r="2942" spans="1:12">
      <c r="A2942" t="s">
        <v>8388</v>
      </c>
      <c r="B2942" t="s">
        <v>8389</v>
      </c>
      <c r="C2942" t="s">
        <v>9060</v>
      </c>
      <c r="D2942" t="s">
        <v>8391</v>
      </c>
      <c r="E2942" t="s">
        <v>9061</v>
      </c>
      <c r="F2942" t="s">
        <v>9062</v>
      </c>
    </row>
    <row r="2943" spans="1:12">
      <c r="A2943" t="s">
        <v>8388</v>
      </c>
      <c r="B2943" t="s">
        <v>8389</v>
      </c>
      <c r="C2943" t="s">
        <v>9063</v>
      </c>
      <c r="D2943" t="s">
        <v>8391</v>
      </c>
      <c r="E2943" t="s">
        <v>9064</v>
      </c>
      <c r="F2943" t="s">
        <v>9065</v>
      </c>
      <c r="J2943" t="s">
        <v>9064</v>
      </c>
      <c r="K2943" t="s">
        <v>8126</v>
      </c>
      <c r="L2943" t="s">
        <v>851</v>
      </c>
    </row>
    <row r="2944" spans="1:12">
      <c r="A2944" t="s">
        <v>8388</v>
      </c>
      <c r="B2944" t="s">
        <v>8389</v>
      </c>
      <c r="C2944" t="s">
        <v>9066</v>
      </c>
      <c r="D2944" t="s">
        <v>8391</v>
      </c>
      <c r="E2944" t="s">
        <v>5026</v>
      </c>
      <c r="F2944" t="s">
        <v>9067</v>
      </c>
      <c r="J2944" t="s">
        <v>5026</v>
      </c>
      <c r="K2944" t="s">
        <v>8126</v>
      </c>
      <c r="L2944" t="s">
        <v>851</v>
      </c>
    </row>
    <row r="2945" spans="1:12">
      <c r="A2945" t="s">
        <v>8388</v>
      </c>
      <c r="B2945" t="s">
        <v>8389</v>
      </c>
      <c r="C2945" t="s">
        <v>9068</v>
      </c>
      <c r="D2945" t="s">
        <v>8391</v>
      </c>
      <c r="E2945" t="s">
        <v>9069</v>
      </c>
      <c r="F2945" t="s">
        <v>9070</v>
      </c>
    </row>
    <row r="2946" spans="1:12">
      <c r="A2946" t="s">
        <v>8388</v>
      </c>
      <c r="B2946" t="s">
        <v>8389</v>
      </c>
      <c r="C2946" t="s">
        <v>9071</v>
      </c>
      <c r="D2946" t="s">
        <v>8391</v>
      </c>
      <c r="E2946" t="s">
        <v>2103</v>
      </c>
      <c r="F2946" t="s">
        <v>9072</v>
      </c>
    </row>
    <row r="2947" spans="1:12">
      <c r="A2947" t="s">
        <v>8388</v>
      </c>
      <c r="B2947" t="s">
        <v>8389</v>
      </c>
      <c r="C2947" t="s">
        <v>9073</v>
      </c>
      <c r="D2947" t="s">
        <v>8391</v>
      </c>
      <c r="E2947" t="s">
        <v>9074</v>
      </c>
      <c r="F2947" t="s">
        <v>9075</v>
      </c>
    </row>
    <row r="2948" spans="1:12">
      <c r="A2948" t="s">
        <v>8388</v>
      </c>
      <c r="B2948" t="s">
        <v>8389</v>
      </c>
      <c r="C2948" t="s">
        <v>9076</v>
      </c>
      <c r="D2948" t="s">
        <v>8391</v>
      </c>
      <c r="E2948" t="s">
        <v>9077</v>
      </c>
      <c r="F2948" t="s">
        <v>9078</v>
      </c>
    </row>
    <row r="2949" spans="1:12">
      <c r="A2949" t="s">
        <v>8388</v>
      </c>
      <c r="B2949" t="s">
        <v>8389</v>
      </c>
      <c r="C2949" t="s">
        <v>9079</v>
      </c>
      <c r="D2949" t="s">
        <v>8391</v>
      </c>
      <c r="E2949" t="s">
        <v>9080</v>
      </c>
      <c r="F2949" t="s">
        <v>9081</v>
      </c>
    </row>
    <row r="2950" spans="1:12">
      <c r="A2950" t="s">
        <v>8388</v>
      </c>
      <c r="B2950" t="s">
        <v>8389</v>
      </c>
      <c r="C2950" t="s">
        <v>9082</v>
      </c>
      <c r="D2950" t="s">
        <v>8391</v>
      </c>
      <c r="E2950" t="s">
        <v>9083</v>
      </c>
      <c r="F2950" t="s">
        <v>9084</v>
      </c>
    </row>
    <row r="2951" spans="1:12">
      <c r="A2951" t="s">
        <v>8388</v>
      </c>
      <c r="B2951" t="s">
        <v>8389</v>
      </c>
      <c r="C2951" t="s">
        <v>9085</v>
      </c>
      <c r="D2951" t="s">
        <v>8391</v>
      </c>
      <c r="E2951" t="s">
        <v>9086</v>
      </c>
      <c r="F2951" t="s">
        <v>9087</v>
      </c>
    </row>
    <row r="2952" spans="1:12">
      <c r="A2952" t="s">
        <v>8388</v>
      </c>
      <c r="B2952" t="s">
        <v>8389</v>
      </c>
      <c r="C2952" t="s">
        <v>9088</v>
      </c>
      <c r="D2952" t="s">
        <v>8391</v>
      </c>
      <c r="E2952" t="s">
        <v>9089</v>
      </c>
      <c r="F2952" t="s">
        <v>9090</v>
      </c>
      <c r="J2952" t="s">
        <v>9089</v>
      </c>
      <c r="K2952" t="s">
        <v>8126</v>
      </c>
      <c r="L2952" t="s">
        <v>851</v>
      </c>
    </row>
    <row r="2953" spans="1:12">
      <c r="A2953" t="s">
        <v>8388</v>
      </c>
      <c r="B2953" t="s">
        <v>8389</v>
      </c>
      <c r="C2953" t="s">
        <v>9091</v>
      </c>
      <c r="D2953" t="s">
        <v>8391</v>
      </c>
      <c r="E2953" t="s">
        <v>9092</v>
      </c>
      <c r="F2953" t="s">
        <v>9093</v>
      </c>
    </row>
    <row r="2954" spans="1:12">
      <c r="A2954" t="s">
        <v>8388</v>
      </c>
      <c r="B2954" t="s">
        <v>8389</v>
      </c>
      <c r="C2954" t="s">
        <v>9094</v>
      </c>
      <c r="D2954" t="s">
        <v>8391</v>
      </c>
      <c r="E2954" t="s">
        <v>9095</v>
      </c>
      <c r="F2954" t="s">
        <v>9096</v>
      </c>
    </row>
    <row r="2955" spans="1:12">
      <c r="A2955" t="s">
        <v>8388</v>
      </c>
      <c r="B2955" t="s">
        <v>8389</v>
      </c>
      <c r="C2955" t="s">
        <v>9097</v>
      </c>
      <c r="D2955" t="s">
        <v>8391</v>
      </c>
      <c r="E2955" t="s">
        <v>9098</v>
      </c>
      <c r="F2955" t="s">
        <v>9099</v>
      </c>
    </row>
    <row r="2956" spans="1:12">
      <c r="A2956" t="s">
        <v>8388</v>
      </c>
      <c r="B2956" t="s">
        <v>8389</v>
      </c>
      <c r="C2956" t="s">
        <v>9100</v>
      </c>
      <c r="D2956" t="s">
        <v>8391</v>
      </c>
      <c r="E2956" t="s">
        <v>9101</v>
      </c>
      <c r="F2956" t="s">
        <v>9102</v>
      </c>
    </row>
    <row r="2957" spans="1:12">
      <c r="A2957" t="s">
        <v>8388</v>
      </c>
      <c r="B2957" t="s">
        <v>8389</v>
      </c>
      <c r="C2957" t="s">
        <v>9103</v>
      </c>
      <c r="D2957" t="s">
        <v>8391</v>
      </c>
      <c r="E2957" t="s">
        <v>9104</v>
      </c>
      <c r="F2957" t="s">
        <v>9105</v>
      </c>
    </row>
    <row r="2958" spans="1:12">
      <c r="A2958" t="s">
        <v>8388</v>
      </c>
      <c r="B2958" t="s">
        <v>8389</v>
      </c>
      <c r="C2958" t="s">
        <v>9106</v>
      </c>
      <c r="D2958" t="s">
        <v>8391</v>
      </c>
      <c r="E2958" t="s">
        <v>9107</v>
      </c>
      <c r="F2958" t="s">
        <v>9108</v>
      </c>
      <c r="J2958" t="s">
        <v>9107</v>
      </c>
      <c r="K2958" t="s">
        <v>8126</v>
      </c>
      <c r="L2958" t="s">
        <v>851</v>
      </c>
    </row>
    <row r="2959" spans="1:12">
      <c r="A2959" t="s">
        <v>8388</v>
      </c>
      <c r="B2959" t="s">
        <v>8389</v>
      </c>
      <c r="C2959" t="s">
        <v>9109</v>
      </c>
      <c r="D2959" t="s">
        <v>8391</v>
      </c>
      <c r="E2959" t="s">
        <v>9110</v>
      </c>
      <c r="F2959" t="s">
        <v>9111</v>
      </c>
    </row>
    <row r="2960" spans="1:12">
      <c r="A2960" t="s">
        <v>8388</v>
      </c>
      <c r="B2960" t="s">
        <v>8389</v>
      </c>
      <c r="C2960" t="s">
        <v>9112</v>
      </c>
      <c r="D2960" t="s">
        <v>8391</v>
      </c>
      <c r="E2960" t="s">
        <v>9113</v>
      </c>
      <c r="F2960" t="s">
        <v>9114</v>
      </c>
    </row>
    <row r="2961" spans="1:12">
      <c r="A2961" t="s">
        <v>8388</v>
      </c>
      <c r="B2961" t="s">
        <v>8389</v>
      </c>
      <c r="C2961" t="s">
        <v>9115</v>
      </c>
      <c r="D2961" t="s">
        <v>8391</v>
      </c>
      <c r="E2961" t="s">
        <v>9116</v>
      </c>
      <c r="F2961" t="s">
        <v>9117</v>
      </c>
    </row>
    <row r="2962" spans="1:12">
      <c r="A2962" t="s">
        <v>8388</v>
      </c>
      <c r="B2962" t="s">
        <v>8389</v>
      </c>
      <c r="C2962" t="s">
        <v>9118</v>
      </c>
      <c r="D2962" t="s">
        <v>8391</v>
      </c>
      <c r="E2962" t="s">
        <v>9119</v>
      </c>
      <c r="F2962" t="s">
        <v>9120</v>
      </c>
    </row>
    <row r="2963" spans="1:12">
      <c r="A2963" t="s">
        <v>8388</v>
      </c>
      <c r="B2963" t="s">
        <v>8389</v>
      </c>
      <c r="C2963" t="s">
        <v>9121</v>
      </c>
      <c r="D2963" t="s">
        <v>8391</v>
      </c>
      <c r="E2963" t="s">
        <v>9122</v>
      </c>
      <c r="F2963" t="s">
        <v>9123</v>
      </c>
      <c r="J2963" t="s">
        <v>9122</v>
      </c>
      <c r="K2963" t="s">
        <v>8126</v>
      </c>
      <c r="L2963" t="s">
        <v>851</v>
      </c>
    </row>
    <row r="2964" spans="1:12">
      <c r="A2964" t="s">
        <v>8388</v>
      </c>
      <c r="B2964" t="s">
        <v>8389</v>
      </c>
      <c r="C2964" t="s">
        <v>9124</v>
      </c>
      <c r="D2964" t="s">
        <v>8391</v>
      </c>
      <c r="E2964" t="s">
        <v>9125</v>
      </c>
      <c r="F2964" t="s">
        <v>9126</v>
      </c>
    </row>
    <row r="2965" spans="1:12">
      <c r="A2965" t="s">
        <v>8388</v>
      </c>
      <c r="B2965" t="s">
        <v>8389</v>
      </c>
      <c r="C2965" t="s">
        <v>9127</v>
      </c>
      <c r="D2965" t="s">
        <v>8391</v>
      </c>
      <c r="E2965" t="s">
        <v>9128</v>
      </c>
      <c r="F2965" t="s">
        <v>9129</v>
      </c>
    </row>
    <row r="2966" spans="1:12">
      <c r="A2966" t="s">
        <v>8388</v>
      </c>
      <c r="B2966" t="s">
        <v>8389</v>
      </c>
      <c r="C2966" t="s">
        <v>9130</v>
      </c>
      <c r="D2966" t="s">
        <v>8391</v>
      </c>
      <c r="E2966" t="s">
        <v>9131</v>
      </c>
      <c r="F2966" t="s">
        <v>9132</v>
      </c>
    </row>
    <row r="2967" spans="1:12">
      <c r="A2967" t="s">
        <v>8388</v>
      </c>
      <c r="B2967" t="s">
        <v>8389</v>
      </c>
      <c r="C2967" t="s">
        <v>9133</v>
      </c>
      <c r="D2967" t="s">
        <v>8391</v>
      </c>
      <c r="E2967" t="s">
        <v>9134</v>
      </c>
      <c r="F2967" t="s">
        <v>9135</v>
      </c>
    </row>
    <row r="2968" spans="1:12">
      <c r="A2968" t="s">
        <v>8388</v>
      </c>
      <c r="B2968" t="s">
        <v>8389</v>
      </c>
      <c r="C2968" t="s">
        <v>9136</v>
      </c>
      <c r="D2968" t="s">
        <v>8391</v>
      </c>
      <c r="E2968" t="s">
        <v>9137</v>
      </c>
      <c r="F2968" t="s">
        <v>9138</v>
      </c>
    </row>
    <row r="2969" spans="1:12">
      <c r="A2969" t="s">
        <v>8388</v>
      </c>
      <c r="B2969" t="s">
        <v>8389</v>
      </c>
      <c r="C2969" t="s">
        <v>9139</v>
      </c>
      <c r="D2969" t="s">
        <v>8391</v>
      </c>
      <c r="E2969" t="s">
        <v>9140</v>
      </c>
      <c r="F2969" t="s">
        <v>9141</v>
      </c>
    </row>
    <row r="2970" spans="1:12">
      <c r="A2970" t="s">
        <v>8388</v>
      </c>
      <c r="B2970" t="s">
        <v>8389</v>
      </c>
      <c r="C2970" t="s">
        <v>9142</v>
      </c>
      <c r="D2970" t="s">
        <v>8391</v>
      </c>
      <c r="E2970" t="s">
        <v>9143</v>
      </c>
      <c r="F2970" t="s">
        <v>9144</v>
      </c>
    </row>
    <row r="2971" spans="1:12">
      <c r="A2971" t="s">
        <v>8388</v>
      </c>
      <c r="B2971" t="s">
        <v>8389</v>
      </c>
      <c r="C2971" t="s">
        <v>9145</v>
      </c>
      <c r="D2971" t="s">
        <v>8391</v>
      </c>
      <c r="E2971" t="s">
        <v>9146</v>
      </c>
      <c r="F2971" t="s">
        <v>9147</v>
      </c>
    </row>
    <row r="2972" spans="1:12">
      <c r="A2972" t="s">
        <v>8388</v>
      </c>
      <c r="B2972" t="s">
        <v>8389</v>
      </c>
      <c r="C2972" t="s">
        <v>9148</v>
      </c>
      <c r="D2972" t="s">
        <v>8391</v>
      </c>
      <c r="E2972" t="s">
        <v>9149</v>
      </c>
      <c r="F2972" t="s">
        <v>9150</v>
      </c>
    </row>
    <row r="2973" spans="1:12">
      <c r="A2973" t="s">
        <v>8388</v>
      </c>
      <c r="B2973" t="s">
        <v>8389</v>
      </c>
      <c r="C2973" t="s">
        <v>9151</v>
      </c>
      <c r="D2973" t="s">
        <v>8391</v>
      </c>
      <c r="E2973" t="s">
        <v>9152</v>
      </c>
      <c r="F2973" t="s">
        <v>9153</v>
      </c>
    </row>
    <row r="2974" spans="1:12">
      <c r="A2974" t="s">
        <v>8388</v>
      </c>
      <c r="B2974" t="s">
        <v>8389</v>
      </c>
      <c r="C2974" t="s">
        <v>9154</v>
      </c>
      <c r="D2974" t="s">
        <v>8391</v>
      </c>
      <c r="E2974" t="s">
        <v>9155</v>
      </c>
      <c r="F2974" t="s">
        <v>9156</v>
      </c>
    </row>
    <row r="2975" spans="1:12">
      <c r="A2975" t="s">
        <v>8388</v>
      </c>
      <c r="B2975" t="s">
        <v>8389</v>
      </c>
      <c r="C2975" t="s">
        <v>9157</v>
      </c>
      <c r="D2975" t="s">
        <v>8391</v>
      </c>
      <c r="E2975" t="s">
        <v>9158</v>
      </c>
      <c r="F2975" t="s">
        <v>9159</v>
      </c>
    </row>
    <row r="2976" spans="1:12">
      <c r="A2976" t="s">
        <v>8388</v>
      </c>
      <c r="B2976" t="s">
        <v>8389</v>
      </c>
      <c r="C2976" t="s">
        <v>9160</v>
      </c>
      <c r="D2976" t="s">
        <v>8391</v>
      </c>
      <c r="E2976" t="s">
        <v>9161</v>
      </c>
      <c r="F2976" t="s">
        <v>9162</v>
      </c>
    </row>
    <row r="2977" spans="1:12">
      <c r="A2977" t="s">
        <v>8388</v>
      </c>
      <c r="B2977" t="s">
        <v>8389</v>
      </c>
      <c r="C2977" t="s">
        <v>9163</v>
      </c>
      <c r="D2977" t="s">
        <v>8391</v>
      </c>
      <c r="E2977" t="s">
        <v>9164</v>
      </c>
      <c r="F2977" t="s">
        <v>9165</v>
      </c>
      <c r="J2977" t="s">
        <v>9134</v>
      </c>
      <c r="K2977" t="s">
        <v>8126</v>
      </c>
      <c r="L2977" t="s">
        <v>851</v>
      </c>
    </row>
    <row r="2978" spans="1:12">
      <c r="A2978" t="s">
        <v>8388</v>
      </c>
      <c r="B2978" t="s">
        <v>8389</v>
      </c>
      <c r="C2978" t="s">
        <v>9166</v>
      </c>
      <c r="D2978" t="s">
        <v>8391</v>
      </c>
      <c r="E2978" t="s">
        <v>9167</v>
      </c>
      <c r="F2978" t="s">
        <v>9168</v>
      </c>
    </row>
    <row r="2979" spans="1:12">
      <c r="A2979" t="s">
        <v>8388</v>
      </c>
      <c r="B2979" t="s">
        <v>8389</v>
      </c>
      <c r="C2979" t="s">
        <v>9169</v>
      </c>
      <c r="D2979" t="s">
        <v>8391</v>
      </c>
      <c r="E2979" t="s">
        <v>9170</v>
      </c>
      <c r="F2979" t="s">
        <v>9171</v>
      </c>
    </row>
    <row r="2980" spans="1:12">
      <c r="A2980" t="s">
        <v>8388</v>
      </c>
      <c r="B2980" t="s">
        <v>8389</v>
      </c>
      <c r="C2980" t="s">
        <v>9172</v>
      </c>
      <c r="D2980" t="s">
        <v>8391</v>
      </c>
      <c r="E2980" t="s">
        <v>9173</v>
      </c>
      <c r="F2980" t="s">
        <v>9174</v>
      </c>
    </row>
    <row r="2981" spans="1:12">
      <c r="A2981" t="s">
        <v>8388</v>
      </c>
      <c r="B2981" t="s">
        <v>8389</v>
      </c>
      <c r="C2981" t="s">
        <v>9175</v>
      </c>
      <c r="D2981" t="s">
        <v>8391</v>
      </c>
      <c r="E2981" t="s">
        <v>9176</v>
      </c>
      <c r="F2981" t="s">
        <v>9177</v>
      </c>
    </row>
    <row r="2982" spans="1:12">
      <c r="A2982" t="s">
        <v>8388</v>
      </c>
      <c r="B2982" t="s">
        <v>8389</v>
      </c>
      <c r="C2982" t="s">
        <v>9178</v>
      </c>
      <c r="D2982" t="s">
        <v>8391</v>
      </c>
      <c r="E2982" t="s">
        <v>9179</v>
      </c>
      <c r="F2982" t="s">
        <v>9180</v>
      </c>
    </row>
    <row r="2983" spans="1:12">
      <c r="A2983" t="s">
        <v>8388</v>
      </c>
      <c r="B2983" t="s">
        <v>8389</v>
      </c>
      <c r="C2983" t="s">
        <v>9181</v>
      </c>
      <c r="D2983" t="s">
        <v>8391</v>
      </c>
      <c r="E2983" t="s">
        <v>9182</v>
      </c>
      <c r="F2983" t="s">
        <v>9183</v>
      </c>
      <c r="J2983" t="s">
        <v>9182</v>
      </c>
      <c r="K2983" t="s">
        <v>8126</v>
      </c>
      <c r="L2983" t="s">
        <v>851</v>
      </c>
    </row>
    <row r="2984" spans="1:12">
      <c r="A2984" t="s">
        <v>8388</v>
      </c>
      <c r="B2984" t="s">
        <v>8389</v>
      </c>
      <c r="C2984" t="s">
        <v>9184</v>
      </c>
      <c r="D2984" t="s">
        <v>8391</v>
      </c>
      <c r="E2984" t="s">
        <v>9185</v>
      </c>
      <c r="F2984" t="s">
        <v>9186</v>
      </c>
    </row>
    <row r="2985" spans="1:12">
      <c r="A2985" t="s">
        <v>8388</v>
      </c>
      <c r="B2985" t="s">
        <v>8389</v>
      </c>
      <c r="C2985" t="s">
        <v>9187</v>
      </c>
      <c r="D2985" t="s">
        <v>8391</v>
      </c>
      <c r="E2985" t="s">
        <v>9188</v>
      </c>
      <c r="F2985" t="s">
        <v>9189</v>
      </c>
    </row>
    <row r="2986" spans="1:12">
      <c r="A2986" t="s">
        <v>8388</v>
      </c>
      <c r="B2986" t="s">
        <v>8389</v>
      </c>
      <c r="C2986" t="s">
        <v>9190</v>
      </c>
      <c r="D2986" t="s">
        <v>8391</v>
      </c>
      <c r="E2986" t="s">
        <v>9191</v>
      </c>
      <c r="F2986" t="s">
        <v>9192</v>
      </c>
    </row>
    <row r="2987" spans="1:12">
      <c r="A2987" t="s">
        <v>8388</v>
      </c>
      <c r="B2987" t="s">
        <v>8389</v>
      </c>
      <c r="C2987" t="s">
        <v>9193</v>
      </c>
      <c r="D2987" t="s">
        <v>8391</v>
      </c>
      <c r="E2987" t="s">
        <v>7256</v>
      </c>
      <c r="F2987" t="s">
        <v>9194</v>
      </c>
    </row>
    <row r="2988" spans="1:12">
      <c r="A2988" t="s">
        <v>8388</v>
      </c>
      <c r="B2988" t="s">
        <v>8389</v>
      </c>
      <c r="C2988" t="s">
        <v>9195</v>
      </c>
      <c r="D2988" t="s">
        <v>8391</v>
      </c>
      <c r="E2988" t="s">
        <v>9196</v>
      </c>
      <c r="F2988" t="s">
        <v>9197</v>
      </c>
    </row>
    <row r="2989" spans="1:12">
      <c r="A2989" t="s">
        <v>8388</v>
      </c>
      <c r="B2989" t="s">
        <v>8389</v>
      </c>
      <c r="C2989" t="s">
        <v>9198</v>
      </c>
      <c r="D2989" t="s">
        <v>8391</v>
      </c>
      <c r="E2989" t="s">
        <v>9199</v>
      </c>
      <c r="F2989" t="s">
        <v>9200</v>
      </c>
    </row>
    <row r="2990" spans="1:12">
      <c r="A2990" t="s">
        <v>8388</v>
      </c>
      <c r="B2990" t="s">
        <v>8389</v>
      </c>
      <c r="C2990" t="s">
        <v>9201</v>
      </c>
      <c r="D2990" t="s">
        <v>8391</v>
      </c>
      <c r="E2990" t="s">
        <v>9202</v>
      </c>
      <c r="F2990" t="s">
        <v>9203</v>
      </c>
    </row>
    <row r="2991" spans="1:12">
      <c r="A2991" t="s">
        <v>8388</v>
      </c>
      <c r="B2991" t="s">
        <v>8389</v>
      </c>
      <c r="C2991" t="s">
        <v>9204</v>
      </c>
      <c r="D2991" t="s">
        <v>8391</v>
      </c>
      <c r="E2991" t="s">
        <v>9205</v>
      </c>
      <c r="F2991" t="s">
        <v>9206</v>
      </c>
    </row>
    <row r="2992" spans="1:12">
      <c r="A2992" t="s">
        <v>8388</v>
      </c>
      <c r="B2992" t="s">
        <v>8389</v>
      </c>
      <c r="C2992" t="s">
        <v>9207</v>
      </c>
      <c r="D2992" t="s">
        <v>8391</v>
      </c>
      <c r="E2992" t="s">
        <v>8325</v>
      </c>
      <c r="F2992" t="s">
        <v>9208</v>
      </c>
    </row>
    <row r="2993" spans="1:12">
      <c r="A2993" t="s">
        <v>8388</v>
      </c>
      <c r="B2993" t="s">
        <v>8389</v>
      </c>
      <c r="C2993" t="s">
        <v>9209</v>
      </c>
      <c r="D2993" t="s">
        <v>8391</v>
      </c>
      <c r="E2993" t="s">
        <v>9210</v>
      </c>
      <c r="F2993" t="s">
        <v>9211</v>
      </c>
    </row>
    <row r="2994" spans="1:12">
      <c r="A2994" t="s">
        <v>8388</v>
      </c>
      <c r="B2994" t="s">
        <v>8389</v>
      </c>
      <c r="C2994" t="s">
        <v>9212</v>
      </c>
      <c r="D2994" t="s">
        <v>8391</v>
      </c>
      <c r="E2994" t="s">
        <v>9213</v>
      </c>
      <c r="F2994" t="s">
        <v>9214</v>
      </c>
    </row>
    <row r="2995" spans="1:12">
      <c r="A2995" t="s">
        <v>8388</v>
      </c>
      <c r="B2995" t="s">
        <v>8389</v>
      </c>
      <c r="C2995" t="s">
        <v>9215</v>
      </c>
      <c r="D2995" t="s">
        <v>8391</v>
      </c>
      <c r="E2995" t="s">
        <v>9216</v>
      </c>
      <c r="F2995" t="s">
        <v>9217</v>
      </c>
    </row>
    <row r="2996" spans="1:12">
      <c r="A2996" t="s">
        <v>8388</v>
      </c>
      <c r="B2996" t="s">
        <v>8389</v>
      </c>
      <c r="C2996" t="s">
        <v>9218</v>
      </c>
      <c r="D2996" t="s">
        <v>8391</v>
      </c>
      <c r="E2996" t="s">
        <v>9219</v>
      </c>
      <c r="F2996" t="s">
        <v>9220</v>
      </c>
    </row>
    <row r="2997" spans="1:12">
      <c r="A2997" t="s">
        <v>8388</v>
      </c>
      <c r="B2997" t="s">
        <v>8389</v>
      </c>
      <c r="C2997" t="s">
        <v>9221</v>
      </c>
      <c r="D2997" t="s">
        <v>8391</v>
      </c>
      <c r="E2997" t="s">
        <v>9222</v>
      </c>
      <c r="F2997" t="s">
        <v>9223</v>
      </c>
    </row>
    <row r="2998" spans="1:12">
      <c r="A2998" t="s">
        <v>8388</v>
      </c>
      <c r="B2998" t="s">
        <v>8389</v>
      </c>
      <c r="C2998" t="s">
        <v>9224</v>
      </c>
      <c r="D2998" t="s">
        <v>8391</v>
      </c>
      <c r="E2998" t="s">
        <v>4049</v>
      </c>
      <c r="F2998" t="s">
        <v>9225</v>
      </c>
    </row>
    <row r="2999" spans="1:12">
      <c r="A2999" t="s">
        <v>8388</v>
      </c>
      <c r="B2999" t="s">
        <v>8389</v>
      </c>
      <c r="C2999" t="s">
        <v>9226</v>
      </c>
      <c r="D2999" t="s">
        <v>8391</v>
      </c>
      <c r="E2999" t="s">
        <v>9227</v>
      </c>
      <c r="F2999" t="s">
        <v>9228</v>
      </c>
    </row>
    <row r="3000" spans="1:12">
      <c r="A3000" t="s">
        <v>8388</v>
      </c>
      <c r="B3000" t="s">
        <v>8389</v>
      </c>
      <c r="C3000" t="s">
        <v>9229</v>
      </c>
      <c r="D3000" t="s">
        <v>8391</v>
      </c>
      <c r="E3000" t="s">
        <v>9230</v>
      </c>
      <c r="F3000" t="s">
        <v>9231</v>
      </c>
    </row>
    <row r="3001" spans="1:12">
      <c r="A3001" t="s">
        <v>8388</v>
      </c>
      <c r="B3001" t="s">
        <v>8389</v>
      </c>
      <c r="C3001" t="s">
        <v>9232</v>
      </c>
      <c r="D3001" t="s">
        <v>8391</v>
      </c>
      <c r="E3001" t="s">
        <v>1177</v>
      </c>
      <c r="F3001" t="s">
        <v>9233</v>
      </c>
    </row>
    <row r="3002" spans="1:12">
      <c r="A3002" t="s">
        <v>8388</v>
      </c>
      <c r="B3002" t="s">
        <v>8389</v>
      </c>
      <c r="C3002" t="s">
        <v>9234</v>
      </c>
      <c r="D3002" t="s">
        <v>8391</v>
      </c>
      <c r="E3002" t="s">
        <v>6654</v>
      </c>
      <c r="F3002" t="s">
        <v>9235</v>
      </c>
    </row>
    <row r="3003" spans="1:12">
      <c r="A3003" t="s">
        <v>8388</v>
      </c>
      <c r="B3003" t="s">
        <v>8389</v>
      </c>
      <c r="C3003" t="s">
        <v>9236</v>
      </c>
      <c r="D3003" t="s">
        <v>8391</v>
      </c>
      <c r="E3003" t="s">
        <v>9237</v>
      </c>
      <c r="F3003" t="s">
        <v>9238</v>
      </c>
    </row>
    <row r="3004" spans="1:12">
      <c r="A3004" t="s">
        <v>8388</v>
      </c>
      <c r="B3004" t="s">
        <v>8389</v>
      </c>
      <c r="C3004" t="s">
        <v>9239</v>
      </c>
      <c r="D3004" t="s">
        <v>8391</v>
      </c>
      <c r="E3004" t="s">
        <v>9240</v>
      </c>
      <c r="F3004" t="s">
        <v>9241</v>
      </c>
    </row>
    <row r="3005" spans="1:12">
      <c r="A3005" t="s">
        <v>8388</v>
      </c>
      <c r="B3005" t="s">
        <v>8389</v>
      </c>
      <c r="C3005" t="s">
        <v>9242</v>
      </c>
      <c r="D3005" t="s">
        <v>8391</v>
      </c>
      <c r="E3005" t="s">
        <v>9243</v>
      </c>
      <c r="F3005" t="s">
        <v>9244</v>
      </c>
    </row>
    <row r="3006" spans="1:12">
      <c r="A3006" t="s">
        <v>8388</v>
      </c>
      <c r="B3006" t="s">
        <v>8389</v>
      </c>
      <c r="C3006" t="s">
        <v>9245</v>
      </c>
      <c r="D3006" t="s">
        <v>8391</v>
      </c>
      <c r="E3006" t="s">
        <v>9246</v>
      </c>
      <c r="F3006" t="s">
        <v>9247</v>
      </c>
    </row>
    <row r="3007" spans="1:12">
      <c r="A3007" t="s">
        <v>8388</v>
      </c>
      <c r="B3007" t="s">
        <v>8389</v>
      </c>
      <c r="C3007" t="s">
        <v>9248</v>
      </c>
      <c r="D3007" t="s">
        <v>8391</v>
      </c>
      <c r="E3007" t="s">
        <v>9249</v>
      </c>
      <c r="F3007" t="s">
        <v>9250</v>
      </c>
      <c r="J3007" t="s">
        <v>9249</v>
      </c>
      <c r="K3007" t="s">
        <v>8126</v>
      </c>
      <c r="L3007" t="s">
        <v>851</v>
      </c>
    </row>
    <row r="3008" spans="1:12">
      <c r="A3008" t="s">
        <v>8388</v>
      </c>
      <c r="B3008" t="s">
        <v>8389</v>
      </c>
      <c r="C3008" t="s">
        <v>9251</v>
      </c>
      <c r="D3008" t="s">
        <v>8391</v>
      </c>
      <c r="E3008" t="s">
        <v>9252</v>
      </c>
      <c r="F3008" t="s">
        <v>9253</v>
      </c>
    </row>
    <row r="3009" spans="1:12">
      <c r="A3009" t="s">
        <v>8388</v>
      </c>
      <c r="B3009" t="s">
        <v>8389</v>
      </c>
      <c r="C3009" t="s">
        <v>9254</v>
      </c>
      <c r="D3009" t="s">
        <v>8391</v>
      </c>
      <c r="E3009" t="s">
        <v>9255</v>
      </c>
      <c r="F3009" t="s">
        <v>9256</v>
      </c>
    </row>
    <row r="3010" spans="1:12">
      <c r="A3010" t="s">
        <v>8388</v>
      </c>
      <c r="B3010" t="s">
        <v>8389</v>
      </c>
      <c r="C3010" t="s">
        <v>9257</v>
      </c>
      <c r="D3010" t="s">
        <v>8391</v>
      </c>
      <c r="E3010" t="s">
        <v>3480</v>
      </c>
      <c r="F3010" t="s">
        <v>9258</v>
      </c>
    </row>
    <row r="3011" spans="1:12">
      <c r="A3011" t="s">
        <v>8388</v>
      </c>
      <c r="B3011" t="s">
        <v>8389</v>
      </c>
      <c r="C3011" t="s">
        <v>9259</v>
      </c>
      <c r="D3011" t="s">
        <v>8391</v>
      </c>
      <c r="E3011" t="s">
        <v>3483</v>
      </c>
      <c r="F3011" t="s">
        <v>9260</v>
      </c>
    </row>
    <row r="3012" spans="1:12">
      <c r="A3012" t="s">
        <v>8388</v>
      </c>
      <c r="B3012" t="s">
        <v>8389</v>
      </c>
      <c r="C3012" t="s">
        <v>9261</v>
      </c>
      <c r="D3012" t="s">
        <v>8391</v>
      </c>
      <c r="E3012" t="s">
        <v>6423</v>
      </c>
      <c r="F3012" t="s">
        <v>9262</v>
      </c>
    </row>
    <row r="3013" spans="1:12">
      <c r="A3013" t="s">
        <v>8388</v>
      </c>
      <c r="B3013" t="s">
        <v>8389</v>
      </c>
      <c r="C3013" t="s">
        <v>9263</v>
      </c>
      <c r="D3013" t="s">
        <v>8391</v>
      </c>
      <c r="E3013" t="s">
        <v>3486</v>
      </c>
      <c r="F3013" t="s">
        <v>9264</v>
      </c>
    </row>
    <row r="3014" spans="1:12">
      <c r="A3014" t="s">
        <v>8388</v>
      </c>
      <c r="B3014" t="s">
        <v>8389</v>
      </c>
      <c r="C3014" t="s">
        <v>9265</v>
      </c>
      <c r="D3014" t="s">
        <v>8391</v>
      </c>
      <c r="E3014" t="s">
        <v>9266</v>
      </c>
      <c r="F3014" t="s">
        <v>9267</v>
      </c>
    </row>
    <row r="3015" spans="1:12">
      <c r="A3015" t="s">
        <v>8388</v>
      </c>
      <c r="B3015" t="s">
        <v>8389</v>
      </c>
      <c r="C3015" t="s">
        <v>9268</v>
      </c>
      <c r="D3015" t="s">
        <v>8391</v>
      </c>
      <c r="E3015" t="s">
        <v>9269</v>
      </c>
      <c r="F3015" t="s">
        <v>9270</v>
      </c>
    </row>
    <row r="3016" spans="1:12">
      <c r="A3016" t="s">
        <v>8388</v>
      </c>
      <c r="B3016" t="s">
        <v>8389</v>
      </c>
      <c r="C3016" t="s">
        <v>9271</v>
      </c>
      <c r="D3016" t="s">
        <v>8391</v>
      </c>
      <c r="E3016" t="s">
        <v>9272</v>
      </c>
      <c r="F3016" t="s">
        <v>9273</v>
      </c>
    </row>
    <row r="3017" spans="1:12">
      <c r="A3017" t="s">
        <v>8388</v>
      </c>
      <c r="B3017" t="s">
        <v>8389</v>
      </c>
      <c r="C3017" t="s">
        <v>9274</v>
      </c>
      <c r="D3017" t="s">
        <v>8391</v>
      </c>
      <c r="E3017" t="s">
        <v>9275</v>
      </c>
      <c r="F3017" t="s">
        <v>9276</v>
      </c>
    </row>
    <row r="3018" spans="1:12">
      <c r="A3018" t="s">
        <v>8388</v>
      </c>
      <c r="B3018" t="s">
        <v>8389</v>
      </c>
      <c r="C3018" t="s">
        <v>9277</v>
      </c>
      <c r="D3018" t="s">
        <v>8391</v>
      </c>
      <c r="E3018" t="s">
        <v>9278</v>
      </c>
      <c r="F3018" t="s">
        <v>9279</v>
      </c>
      <c r="J3018" t="s">
        <v>9278</v>
      </c>
      <c r="K3018" t="s">
        <v>8126</v>
      </c>
      <c r="L3018" t="s">
        <v>851</v>
      </c>
    </row>
    <row r="3019" spans="1:12">
      <c r="A3019" t="s">
        <v>8388</v>
      </c>
      <c r="B3019" t="s">
        <v>8389</v>
      </c>
      <c r="C3019" t="s">
        <v>9280</v>
      </c>
      <c r="D3019" t="s">
        <v>8391</v>
      </c>
      <c r="E3019" t="s">
        <v>9281</v>
      </c>
      <c r="F3019" t="s">
        <v>9282</v>
      </c>
    </row>
    <row r="3020" spans="1:12">
      <c r="A3020" t="s">
        <v>8388</v>
      </c>
      <c r="B3020" t="s">
        <v>8389</v>
      </c>
      <c r="C3020" t="s">
        <v>9283</v>
      </c>
      <c r="D3020" t="s">
        <v>8391</v>
      </c>
      <c r="E3020" t="s">
        <v>9284</v>
      </c>
      <c r="F3020" t="s">
        <v>9285</v>
      </c>
    </row>
    <row r="3021" spans="1:12">
      <c r="A3021" t="s">
        <v>8388</v>
      </c>
      <c r="B3021" t="s">
        <v>8389</v>
      </c>
      <c r="C3021" t="s">
        <v>9286</v>
      </c>
      <c r="D3021" t="s">
        <v>8391</v>
      </c>
      <c r="E3021" t="s">
        <v>7298</v>
      </c>
      <c r="F3021" t="s">
        <v>9287</v>
      </c>
    </row>
    <row r="3022" spans="1:12">
      <c r="A3022" t="s">
        <v>8388</v>
      </c>
      <c r="B3022" t="s">
        <v>8389</v>
      </c>
      <c r="C3022" t="s">
        <v>9288</v>
      </c>
      <c r="D3022" t="s">
        <v>8391</v>
      </c>
      <c r="E3022" t="s">
        <v>9289</v>
      </c>
      <c r="F3022" t="s">
        <v>9290</v>
      </c>
    </row>
    <row r="3023" spans="1:12">
      <c r="A3023" t="s">
        <v>8388</v>
      </c>
      <c r="B3023" t="s">
        <v>8389</v>
      </c>
      <c r="C3023" t="s">
        <v>9291</v>
      </c>
      <c r="D3023" t="s">
        <v>8391</v>
      </c>
      <c r="E3023" t="s">
        <v>5060</v>
      </c>
      <c r="F3023" t="s">
        <v>9292</v>
      </c>
    </row>
    <row r="3024" spans="1:12">
      <c r="A3024" t="s">
        <v>8388</v>
      </c>
      <c r="B3024" t="s">
        <v>8389</v>
      </c>
      <c r="C3024" t="s">
        <v>9293</v>
      </c>
      <c r="D3024" t="s">
        <v>8391</v>
      </c>
      <c r="E3024" t="s">
        <v>2250</v>
      </c>
      <c r="F3024" t="s">
        <v>9294</v>
      </c>
    </row>
    <row r="3025" spans="1:6">
      <c r="A3025" t="s">
        <v>8388</v>
      </c>
      <c r="B3025" t="s">
        <v>8389</v>
      </c>
      <c r="C3025" t="s">
        <v>9295</v>
      </c>
      <c r="D3025" t="s">
        <v>8391</v>
      </c>
      <c r="E3025" t="s">
        <v>7093</v>
      </c>
      <c r="F3025" t="s">
        <v>9296</v>
      </c>
    </row>
    <row r="3026" spans="1:6">
      <c r="A3026" t="s">
        <v>8388</v>
      </c>
      <c r="B3026" t="s">
        <v>8389</v>
      </c>
      <c r="C3026" t="s">
        <v>9297</v>
      </c>
      <c r="D3026" t="s">
        <v>8391</v>
      </c>
      <c r="E3026" t="s">
        <v>9298</v>
      </c>
      <c r="F3026" t="s">
        <v>9299</v>
      </c>
    </row>
    <row r="3027" spans="1:6">
      <c r="A3027" t="s">
        <v>8388</v>
      </c>
      <c r="B3027" t="s">
        <v>8389</v>
      </c>
      <c r="C3027" t="s">
        <v>9300</v>
      </c>
      <c r="D3027" t="s">
        <v>8391</v>
      </c>
      <c r="E3027" t="s">
        <v>7096</v>
      </c>
      <c r="F3027" t="s">
        <v>9301</v>
      </c>
    </row>
    <row r="3028" spans="1:6">
      <c r="A3028" t="s">
        <v>8388</v>
      </c>
      <c r="B3028" t="s">
        <v>8389</v>
      </c>
      <c r="C3028" t="s">
        <v>9302</v>
      </c>
      <c r="D3028" t="s">
        <v>8391</v>
      </c>
      <c r="E3028" t="s">
        <v>2271</v>
      </c>
      <c r="F3028" t="s">
        <v>9303</v>
      </c>
    </row>
    <row r="3029" spans="1:6">
      <c r="A3029" t="s">
        <v>8388</v>
      </c>
      <c r="B3029" t="s">
        <v>8389</v>
      </c>
      <c r="C3029" t="s">
        <v>9304</v>
      </c>
      <c r="D3029" t="s">
        <v>8391</v>
      </c>
      <c r="E3029" t="s">
        <v>3492</v>
      </c>
      <c r="F3029" t="s">
        <v>9305</v>
      </c>
    </row>
    <row r="3030" spans="1:6">
      <c r="A3030" t="s">
        <v>8388</v>
      </c>
      <c r="B3030" t="s">
        <v>8389</v>
      </c>
      <c r="C3030" t="s">
        <v>9306</v>
      </c>
      <c r="D3030" t="s">
        <v>8391</v>
      </c>
      <c r="E3030" t="s">
        <v>9307</v>
      </c>
      <c r="F3030" t="s">
        <v>9308</v>
      </c>
    </row>
    <row r="3031" spans="1:6">
      <c r="A3031" t="s">
        <v>8388</v>
      </c>
      <c r="B3031" t="s">
        <v>8389</v>
      </c>
      <c r="C3031" t="s">
        <v>9309</v>
      </c>
      <c r="D3031" t="s">
        <v>8391</v>
      </c>
      <c r="E3031" t="s">
        <v>6790</v>
      </c>
      <c r="F3031" t="s">
        <v>9310</v>
      </c>
    </row>
    <row r="3032" spans="1:6">
      <c r="A3032" t="s">
        <v>8388</v>
      </c>
      <c r="B3032" t="s">
        <v>8389</v>
      </c>
      <c r="C3032" t="s">
        <v>9311</v>
      </c>
      <c r="D3032" t="s">
        <v>8391</v>
      </c>
      <c r="E3032" t="s">
        <v>7655</v>
      </c>
      <c r="F3032" t="s">
        <v>9312</v>
      </c>
    </row>
    <row r="3033" spans="1:6">
      <c r="A3033" t="s">
        <v>8388</v>
      </c>
      <c r="B3033" t="s">
        <v>8389</v>
      </c>
      <c r="C3033" t="s">
        <v>9313</v>
      </c>
      <c r="D3033" t="s">
        <v>8391</v>
      </c>
      <c r="E3033" t="s">
        <v>891</v>
      </c>
      <c r="F3033" t="s">
        <v>9314</v>
      </c>
    </row>
    <row r="3034" spans="1:6">
      <c r="A3034" t="s">
        <v>8388</v>
      </c>
      <c r="B3034" t="s">
        <v>8389</v>
      </c>
      <c r="C3034" t="s">
        <v>9315</v>
      </c>
      <c r="D3034" t="s">
        <v>8391</v>
      </c>
      <c r="E3034" t="s">
        <v>9316</v>
      </c>
      <c r="F3034" t="s">
        <v>9317</v>
      </c>
    </row>
    <row r="3035" spans="1:6">
      <c r="A3035" t="s">
        <v>8388</v>
      </c>
      <c r="B3035" t="s">
        <v>8389</v>
      </c>
      <c r="C3035" t="s">
        <v>9318</v>
      </c>
      <c r="D3035" t="s">
        <v>8391</v>
      </c>
      <c r="E3035" t="s">
        <v>7657</v>
      </c>
      <c r="F3035" t="s">
        <v>9319</v>
      </c>
    </row>
    <row r="3036" spans="1:6">
      <c r="A3036" t="s">
        <v>8388</v>
      </c>
      <c r="B3036" t="s">
        <v>8389</v>
      </c>
      <c r="C3036" t="s">
        <v>9320</v>
      </c>
      <c r="D3036" t="s">
        <v>8391</v>
      </c>
      <c r="E3036" t="s">
        <v>8339</v>
      </c>
      <c r="F3036" t="s">
        <v>9321</v>
      </c>
    </row>
    <row r="3037" spans="1:6">
      <c r="A3037" t="s">
        <v>8388</v>
      </c>
      <c r="B3037" t="s">
        <v>8389</v>
      </c>
      <c r="C3037" t="s">
        <v>9322</v>
      </c>
      <c r="D3037" t="s">
        <v>8391</v>
      </c>
      <c r="E3037" t="s">
        <v>9323</v>
      </c>
      <c r="F3037" t="s">
        <v>9324</v>
      </c>
    </row>
    <row r="3038" spans="1:6">
      <c r="A3038" t="s">
        <v>8388</v>
      </c>
      <c r="B3038" t="s">
        <v>8389</v>
      </c>
      <c r="C3038" t="s">
        <v>9325</v>
      </c>
      <c r="D3038" t="s">
        <v>8391</v>
      </c>
      <c r="E3038" t="s">
        <v>9326</v>
      </c>
      <c r="F3038" t="s">
        <v>9327</v>
      </c>
    </row>
    <row r="3039" spans="1:6">
      <c r="A3039" t="s">
        <v>8388</v>
      </c>
      <c r="B3039" t="s">
        <v>8389</v>
      </c>
      <c r="C3039" t="s">
        <v>9328</v>
      </c>
      <c r="D3039" t="s">
        <v>8391</v>
      </c>
      <c r="E3039" t="s">
        <v>9329</v>
      </c>
      <c r="F3039" t="s">
        <v>9330</v>
      </c>
    </row>
    <row r="3040" spans="1:6">
      <c r="A3040" t="s">
        <v>8388</v>
      </c>
      <c r="B3040" t="s">
        <v>8389</v>
      </c>
      <c r="C3040" t="s">
        <v>9331</v>
      </c>
      <c r="D3040" t="s">
        <v>8391</v>
      </c>
      <c r="E3040" t="s">
        <v>2320</v>
      </c>
      <c r="F3040" t="s">
        <v>9332</v>
      </c>
    </row>
    <row r="3041" spans="1:12">
      <c r="A3041" t="s">
        <v>8388</v>
      </c>
      <c r="B3041" t="s">
        <v>8389</v>
      </c>
      <c r="C3041" t="s">
        <v>9333</v>
      </c>
      <c r="D3041" t="s">
        <v>8391</v>
      </c>
      <c r="E3041" t="s">
        <v>9334</v>
      </c>
      <c r="F3041" t="s">
        <v>9335</v>
      </c>
    </row>
    <row r="3042" spans="1:12">
      <c r="A3042" t="s">
        <v>8388</v>
      </c>
      <c r="B3042" t="s">
        <v>8389</v>
      </c>
      <c r="C3042" t="s">
        <v>9336</v>
      </c>
      <c r="D3042" t="s">
        <v>8391</v>
      </c>
      <c r="E3042" t="s">
        <v>9337</v>
      </c>
      <c r="F3042" t="s">
        <v>9338</v>
      </c>
    </row>
    <row r="3043" spans="1:12">
      <c r="A3043" t="s">
        <v>8388</v>
      </c>
      <c r="B3043" t="s">
        <v>8389</v>
      </c>
      <c r="C3043" t="s">
        <v>9339</v>
      </c>
      <c r="D3043" t="s">
        <v>8391</v>
      </c>
      <c r="E3043" t="s">
        <v>9340</v>
      </c>
      <c r="F3043" t="s">
        <v>9341</v>
      </c>
    </row>
    <row r="3044" spans="1:12">
      <c r="A3044" t="s">
        <v>8388</v>
      </c>
      <c r="B3044" t="s">
        <v>8389</v>
      </c>
      <c r="C3044" t="s">
        <v>9342</v>
      </c>
      <c r="D3044" t="s">
        <v>8391</v>
      </c>
      <c r="E3044" t="s">
        <v>9343</v>
      </c>
      <c r="F3044" t="s">
        <v>9344</v>
      </c>
    </row>
    <row r="3045" spans="1:12">
      <c r="A3045" t="s">
        <v>8388</v>
      </c>
      <c r="B3045" t="s">
        <v>8389</v>
      </c>
      <c r="C3045" t="s">
        <v>9345</v>
      </c>
      <c r="D3045" t="s">
        <v>8391</v>
      </c>
      <c r="E3045" t="s">
        <v>9346</v>
      </c>
      <c r="F3045" t="s">
        <v>9347</v>
      </c>
    </row>
    <row r="3046" spans="1:12">
      <c r="A3046" t="s">
        <v>8388</v>
      </c>
      <c r="B3046" t="s">
        <v>8389</v>
      </c>
      <c r="C3046" t="s">
        <v>9348</v>
      </c>
      <c r="D3046" t="s">
        <v>8391</v>
      </c>
      <c r="E3046" t="s">
        <v>9349</v>
      </c>
      <c r="F3046" t="s">
        <v>9350</v>
      </c>
    </row>
    <row r="3047" spans="1:12">
      <c r="A3047" t="s">
        <v>8388</v>
      </c>
      <c r="B3047" t="s">
        <v>8389</v>
      </c>
      <c r="C3047" t="s">
        <v>9351</v>
      </c>
      <c r="D3047" t="s">
        <v>8391</v>
      </c>
      <c r="E3047" t="s">
        <v>9352</v>
      </c>
      <c r="F3047" t="s">
        <v>9353</v>
      </c>
    </row>
    <row r="3048" spans="1:12">
      <c r="A3048" t="s">
        <v>8388</v>
      </c>
      <c r="B3048" t="s">
        <v>8389</v>
      </c>
      <c r="C3048" t="s">
        <v>9354</v>
      </c>
      <c r="D3048" t="s">
        <v>8391</v>
      </c>
      <c r="E3048" t="s">
        <v>7894</v>
      </c>
      <c r="F3048" t="s">
        <v>9355</v>
      </c>
    </row>
    <row r="3049" spans="1:12">
      <c r="A3049" t="s">
        <v>8388</v>
      </c>
      <c r="B3049" t="s">
        <v>8389</v>
      </c>
      <c r="C3049" t="s">
        <v>9356</v>
      </c>
      <c r="D3049" t="s">
        <v>8391</v>
      </c>
      <c r="E3049" t="s">
        <v>9357</v>
      </c>
      <c r="F3049" t="s">
        <v>9358</v>
      </c>
    </row>
    <row r="3050" spans="1:12">
      <c r="A3050" t="s">
        <v>8388</v>
      </c>
      <c r="B3050" t="s">
        <v>8389</v>
      </c>
      <c r="C3050" t="s">
        <v>9359</v>
      </c>
      <c r="D3050" t="s">
        <v>8391</v>
      </c>
      <c r="E3050" t="s">
        <v>9360</v>
      </c>
      <c r="F3050" t="s">
        <v>9361</v>
      </c>
      <c r="J3050" t="s">
        <v>9360</v>
      </c>
      <c r="K3050" t="s">
        <v>8126</v>
      </c>
      <c r="L3050" t="s">
        <v>851</v>
      </c>
    </row>
    <row r="3051" spans="1:12">
      <c r="A3051" t="s">
        <v>8388</v>
      </c>
      <c r="B3051" t="s">
        <v>8389</v>
      </c>
      <c r="C3051" t="s">
        <v>9362</v>
      </c>
      <c r="D3051" t="s">
        <v>8391</v>
      </c>
      <c r="E3051" t="s">
        <v>9363</v>
      </c>
      <c r="F3051" t="s">
        <v>9364</v>
      </c>
    </row>
    <row r="3052" spans="1:12">
      <c r="A3052" t="s">
        <v>8388</v>
      </c>
      <c r="B3052" t="s">
        <v>8389</v>
      </c>
      <c r="C3052" t="s">
        <v>9365</v>
      </c>
      <c r="D3052" t="s">
        <v>8391</v>
      </c>
      <c r="E3052" t="s">
        <v>9366</v>
      </c>
      <c r="F3052" t="s">
        <v>9367</v>
      </c>
    </row>
    <row r="3053" spans="1:12">
      <c r="A3053" t="s">
        <v>8388</v>
      </c>
      <c r="B3053" t="s">
        <v>8389</v>
      </c>
      <c r="C3053" t="s">
        <v>9368</v>
      </c>
      <c r="D3053" t="s">
        <v>8391</v>
      </c>
      <c r="E3053" t="s">
        <v>9369</v>
      </c>
      <c r="F3053" t="s">
        <v>9370</v>
      </c>
    </row>
    <row r="3054" spans="1:12">
      <c r="A3054" t="s">
        <v>8388</v>
      </c>
      <c r="B3054" t="s">
        <v>8389</v>
      </c>
      <c r="C3054" t="s">
        <v>9371</v>
      </c>
      <c r="D3054" t="s">
        <v>8391</v>
      </c>
      <c r="E3054" t="s">
        <v>2326</v>
      </c>
      <c r="F3054" t="s">
        <v>9372</v>
      </c>
    </row>
    <row r="3055" spans="1:12">
      <c r="A3055" t="s">
        <v>8388</v>
      </c>
      <c r="B3055" t="s">
        <v>8389</v>
      </c>
      <c r="C3055" t="s">
        <v>9373</v>
      </c>
      <c r="D3055" t="s">
        <v>8391</v>
      </c>
      <c r="E3055" t="s">
        <v>6946</v>
      </c>
      <c r="F3055" t="s">
        <v>9374</v>
      </c>
    </row>
    <row r="3056" spans="1:12">
      <c r="A3056" t="s">
        <v>8388</v>
      </c>
      <c r="B3056" t="s">
        <v>8389</v>
      </c>
      <c r="C3056" t="s">
        <v>9375</v>
      </c>
      <c r="D3056" t="s">
        <v>8391</v>
      </c>
      <c r="E3056" t="s">
        <v>9376</v>
      </c>
      <c r="F3056" t="s">
        <v>9377</v>
      </c>
    </row>
    <row r="3057" spans="1:12">
      <c r="A3057" t="s">
        <v>8388</v>
      </c>
      <c r="B3057" t="s">
        <v>8389</v>
      </c>
      <c r="C3057" t="s">
        <v>9378</v>
      </c>
      <c r="D3057" t="s">
        <v>8391</v>
      </c>
      <c r="E3057" t="s">
        <v>9379</v>
      </c>
      <c r="F3057" t="s">
        <v>9380</v>
      </c>
    </row>
    <row r="3058" spans="1:12">
      <c r="A3058" t="s">
        <v>8388</v>
      </c>
      <c r="B3058" t="s">
        <v>8389</v>
      </c>
      <c r="C3058" t="s">
        <v>9381</v>
      </c>
      <c r="D3058" t="s">
        <v>8391</v>
      </c>
      <c r="E3058" t="s">
        <v>9382</v>
      </c>
      <c r="F3058" t="s">
        <v>9383</v>
      </c>
      <c r="J3058" t="s">
        <v>9382</v>
      </c>
      <c r="K3058" t="s">
        <v>8126</v>
      </c>
      <c r="L3058" t="s">
        <v>851</v>
      </c>
    </row>
    <row r="3059" spans="1:12">
      <c r="A3059" t="s">
        <v>8388</v>
      </c>
      <c r="B3059" t="s">
        <v>8389</v>
      </c>
      <c r="C3059" t="s">
        <v>9384</v>
      </c>
      <c r="D3059" t="s">
        <v>8391</v>
      </c>
      <c r="E3059" t="s">
        <v>9385</v>
      </c>
      <c r="F3059" t="s">
        <v>9386</v>
      </c>
    </row>
    <row r="3060" spans="1:12">
      <c r="A3060" t="s">
        <v>8388</v>
      </c>
      <c r="B3060" t="s">
        <v>8389</v>
      </c>
      <c r="C3060" t="s">
        <v>9387</v>
      </c>
      <c r="D3060" t="s">
        <v>8391</v>
      </c>
      <c r="E3060" t="s">
        <v>3437</v>
      </c>
      <c r="F3060" t="s">
        <v>9388</v>
      </c>
    </row>
    <row r="3061" spans="1:12">
      <c r="A3061" t="s">
        <v>8388</v>
      </c>
      <c r="B3061" t="s">
        <v>8389</v>
      </c>
      <c r="C3061" t="s">
        <v>9389</v>
      </c>
      <c r="D3061" t="s">
        <v>8391</v>
      </c>
      <c r="E3061" t="s">
        <v>9390</v>
      </c>
      <c r="F3061" t="s">
        <v>9391</v>
      </c>
    </row>
    <row r="3062" spans="1:12">
      <c r="A3062" t="s">
        <v>8388</v>
      </c>
      <c r="B3062" t="s">
        <v>8389</v>
      </c>
      <c r="C3062" t="s">
        <v>9392</v>
      </c>
      <c r="D3062" t="s">
        <v>8391</v>
      </c>
      <c r="E3062" t="s">
        <v>5084</v>
      </c>
      <c r="F3062" t="s">
        <v>9393</v>
      </c>
    </row>
    <row r="3063" spans="1:12">
      <c r="A3063" t="s">
        <v>8388</v>
      </c>
      <c r="B3063" t="s">
        <v>8389</v>
      </c>
      <c r="C3063" t="s">
        <v>9394</v>
      </c>
      <c r="D3063" t="s">
        <v>8391</v>
      </c>
      <c r="E3063" t="s">
        <v>9395</v>
      </c>
      <c r="F3063" t="s">
        <v>9396</v>
      </c>
    </row>
    <row r="3064" spans="1:12">
      <c r="A3064" t="s">
        <v>8388</v>
      </c>
      <c r="B3064" t="s">
        <v>8389</v>
      </c>
      <c r="C3064" t="s">
        <v>9397</v>
      </c>
      <c r="D3064" t="s">
        <v>8391</v>
      </c>
      <c r="E3064" t="s">
        <v>9398</v>
      </c>
      <c r="F3064" t="s">
        <v>9399</v>
      </c>
      <c r="J3064" t="s">
        <v>9398</v>
      </c>
      <c r="K3064" t="s">
        <v>8126</v>
      </c>
      <c r="L3064" t="s">
        <v>851</v>
      </c>
    </row>
    <row r="3065" spans="1:12">
      <c r="A3065" t="s">
        <v>8388</v>
      </c>
      <c r="B3065" t="s">
        <v>8389</v>
      </c>
      <c r="C3065" t="s">
        <v>9400</v>
      </c>
      <c r="D3065" t="s">
        <v>8391</v>
      </c>
      <c r="E3065" t="s">
        <v>9401</v>
      </c>
      <c r="F3065" t="s">
        <v>9402</v>
      </c>
    </row>
    <row r="3066" spans="1:12">
      <c r="A3066" t="s">
        <v>8388</v>
      </c>
      <c r="B3066" t="s">
        <v>8389</v>
      </c>
      <c r="C3066" t="s">
        <v>9403</v>
      </c>
      <c r="D3066" t="s">
        <v>8391</v>
      </c>
      <c r="E3066" t="s">
        <v>9404</v>
      </c>
      <c r="F3066" t="s">
        <v>9405</v>
      </c>
    </row>
    <row r="3067" spans="1:12">
      <c r="A3067" t="s">
        <v>8388</v>
      </c>
      <c r="B3067" t="s">
        <v>8389</v>
      </c>
      <c r="C3067" t="s">
        <v>9406</v>
      </c>
      <c r="D3067" t="s">
        <v>8391</v>
      </c>
      <c r="E3067" t="s">
        <v>9407</v>
      </c>
      <c r="F3067" t="s">
        <v>9408</v>
      </c>
    </row>
    <row r="3068" spans="1:12">
      <c r="A3068" t="s">
        <v>8388</v>
      </c>
      <c r="B3068" t="s">
        <v>8389</v>
      </c>
      <c r="C3068" t="s">
        <v>9409</v>
      </c>
      <c r="D3068" t="s">
        <v>8391</v>
      </c>
      <c r="E3068" t="s">
        <v>9410</v>
      </c>
      <c r="F3068" t="s">
        <v>9411</v>
      </c>
    </row>
    <row r="3069" spans="1:12">
      <c r="A3069" t="s">
        <v>8388</v>
      </c>
      <c r="B3069" t="s">
        <v>8389</v>
      </c>
      <c r="C3069" t="s">
        <v>9412</v>
      </c>
      <c r="D3069" t="s">
        <v>8391</v>
      </c>
      <c r="E3069" t="s">
        <v>9413</v>
      </c>
      <c r="F3069" t="s">
        <v>9414</v>
      </c>
    </row>
    <row r="3070" spans="1:12">
      <c r="A3070" t="s">
        <v>8388</v>
      </c>
      <c r="B3070" t="s">
        <v>8389</v>
      </c>
      <c r="C3070" t="s">
        <v>9415</v>
      </c>
      <c r="D3070" t="s">
        <v>8391</v>
      </c>
      <c r="E3070" t="s">
        <v>9416</v>
      </c>
      <c r="F3070" t="s">
        <v>9417</v>
      </c>
    </row>
    <row r="3071" spans="1:12">
      <c r="A3071" t="s">
        <v>8388</v>
      </c>
      <c r="B3071" t="s">
        <v>8389</v>
      </c>
      <c r="C3071" t="s">
        <v>9418</v>
      </c>
      <c r="D3071" t="s">
        <v>8391</v>
      </c>
      <c r="E3071" t="s">
        <v>9419</v>
      </c>
      <c r="F3071" t="s">
        <v>9420</v>
      </c>
    </row>
    <row r="3072" spans="1:12">
      <c r="A3072" t="s">
        <v>8388</v>
      </c>
      <c r="B3072" t="s">
        <v>8389</v>
      </c>
      <c r="C3072" t="s">
        <v>9421</v>
      </c>
      <c r="D3072" t="s">
        <v>8391</v>
      </c>
      <c r="E3072" t="s">
        <v>9422</v>
      </c>
      <c r="F3072" t="s">
        <v>9423</v>
      </c>
    </row>
    <row r="3073" spans="1:6">
      <c r="A3073" t="s">
        <v>8388</v>
      </c>
      <c r="B3073" t="s">
        <v>8389</v>
      </c>
      <c r="C3073" t="s">
        <v>9424</v>
      </c>
      <c r="D3073" t="s">
        <v>8391</v>
      </c>
      <c r="E3073" t="s">
        <v>9425</v>
      </c>
      <c r="F3073" t="s">
        <v>9426</v>
      </c>
    </row>
    <row r="3074" spans="1:6">
      <c r="A3074" t="s">
        <v>8388</v>
      </c>
      <c r="B3074" t="s">
        <v>8389</v>
      </c>
      <c r="C3074" t="s">
        <v>9427</v>
      </c>
      <c r="D3074" t="s">
        <v>8391</v>
      </c>
      <c r="E3074" t="s">
        <v>9428</v>
      </c>
      <c r="F3074" t="s">
        <v>9429</v>
      </c>
    </row>
    <row r="3075" spans="1:6">
      <c r="A3075" t="s">
        <v>8388</v>
      </c>
      <c r="B3075" t="s">
        <v>8389</v>
      </c>
      <c r="C3075" t="s">
        <v>9430</v>
      </c>
      <c r="D3075" t="s">
        <v>8391</v>
      </c>
      <c r="E3075" t="s">
        <v>9431</v>
      </c>
      <c r="F3075" t="s">
        <v>9432</v>
      </c>
    </row>
    <row r="3076" spans="1:6">
      <c r="A3076" t="s">
        <v>8388</v>
      </c>
      <c r="B3076" t="s">
        <v>8389</v>
      </c>
      <c r="C3076" t="s">
        <v>9433</v>
      </c>
      <c r="D3076" t="s">
        <v>8391</v>
      </c>
      <c r="E3076" t="s">
        <v>9434</v>
      </c>
      <c r="F3076" t="s">
        <v>9435</v>
      </c>
    </row>
    <row r="3077" spans="1:6">
      <c r="A3077" t="s">
        <v>8388</v>
      </c>
      <c r="B3077" t="s">
        <v>8389</v>
      </c>
      <c r="C3077" t="s">
        <v>9436</v>
      </c>
      <c r="D3077" t="s">
        <v>8391</v>
      </c>
      <c r="E3077" t="s">
        <v>9437</v>
      </c>
      <c r="F3077" t="s">
        <v>9438</v>
      </c>
    </row>
    <row r="3078" spans="1:6">
      <c r="A3078" t="s">
        <v>8388</v>
      </c>
      <c r="B3078" t="s">
        <v>8389</v>
      </c>
      <c r="C3078" t="s">
        <v>9439</v>
      </c>
      <c r="D3078" t="s">
        <v>8391</v>
      </c>
      <c r="E3078" t="s">
        <v>9440</v>
      </c>
      <c r="F3078" t="s">
        <v>9441</v>
      </c>
    </row>
    <row r="3079" spans="1:6">
      <c r="A3079" t="s">
        <v>8388</v>
      </c>
      <c r="B3079" t="s">
        <v>8389</v>
      </c>
      <c r="C3079" t="s">
        <v>9442</v>
      </c>
      <c r="D3079" t="s">
        <v>8391</v>
      </c>
      <c r="E3079" t="s">
        <v>8008</v>
      </c>
      <c r="F3079" t="s">
        <v>9443</v>
      </c>
    </row>
    <row r="3080" spans="1:6">
      <c r="A3080" t="s">
        <v>8388</v>
      </c>
      <c r="B3080" t="s">
        <v>8389</v>
      </c>
      <c r="C3080" t="s">
        <v>9444</v>
      </c>
      <c r="D3080" t="s">
        <v>8391</v>
      </c>
      <c r="E3080" t="s">
        <v>2380</v>
      </c>
      <c r="F3080" t="s">
        <v>9445</v>
      </c>
    </row>
    <row r="3081" spans="1:6">
      <c r="A3081" t="s">
        <v>8388</v>
      </c>
      <c r="B3081" t="s">
        <v>8389</v>
      </c>
      <c r="C3081" t="s">
        <v>9446</v>
      </c>
      <c r="D3081" t="s">
        <v>8391</v>
      </c>
      <c r="E3081" t="s">
        <v>9447</v>
      </c>
      <c r="F3081" t="s">
        <v>9448</v>
      </c>
    </row>
    <row r="3082" spans="1:6">
      <c r="A3082" t="s">
        <v>8388</v>
      </c>
      <c r="B3082" t="s">
        <v>8389</v>
      </c>
      <c r="C3082" t="s">
        <v>9449</v>
      </c>
      <c r="D3082" t="s">
        <v>8391</v>
      </c>
      <c r="E3082" t="s">
        <v>9450</v>
      </c>
      <c r="F3082" t="s">
        <v>9451</v>
      </c>
    </row>
    <row r="3083" spans="1:6">
      <c r="A3083" t="s">
        <v>8388</v>
      </c>
      <c r="B3083" t="s">
        <v>8389</v>
      </c>
      <c r="C3083" t="s">
        <v>9452</v>
      </c>
      <c r="D3083" t="s">
        <v>8391</v>
      </c>
      <c r="E3083" t="s">
        <v>6722</v>
      </c>
      <c r="F3083" t="s">
        <v>9453</v>
      </c>
    </row>
    <row r="3084" spans="1:6">
      <c r="A3084" t="s">
        <v>8388</v>
      </c>
      <c r="B3084" t="s">
        <v>8389</v>
      </c>
      <c r="C3084" t="s">
        <v>9454</v>
      </c>
      <c r="D3084" t="s">
        <v>8391</v>
      </c>
      <c r="E3084" t="s">
        <v>9455</v>
      </c>
      <c r="F3084" t="s">
        <v>9456</v>
      </c>
    </row>
    <row r="3085" spans="1:6">
      <c r="A3085" t="s">
        <v>8388</v>
      </c>
      <c r="B3085" t="s">
        <v>8389</v>
      </c>
      <c r="C3085" t="s">
        <v>9457</v>
      </c>
      <c r="D3085" t="s">
        <v>8391</v>
      </c>
      <c r="E3085" t="s">
        <v>5099</v>
      </c>
      <c r="F3085" t="s">
        <v>9458</v>
      </c>
    </row>
    <row r="3086" spans="1:6">
      <c r="A3086" t="s">
        <v>8388</v>
      </c>
      <c r="B3086" t="s">
        <v>8389</v>
      </c>
      <c r="C3086" t="s">
        <v>9459</v>
      </c>
      <c r="D3086" t="s">
        <v>8391</v>
      </c>
      <c r="E3086" t="s">
        <v>9460</v>
      </c>
      <c r="F3086" t="s">
        <v>9461</v>
      </c>
    </row>
    <row r="3087" spans="1:6">
      <c r="A3087" t="s">
        <v>8388</v>
      </c>
      <c r="B3087" t="s">
        <v>8389</v>
      </c>
      <c r="C3087" t="s">
        <v>9462</v>
      </c>
      <c r="D3087" t="s">
        <v>8391</v>
      </c>
      <c r="E3087" t="s">
        <v>9463</v>
      </c>
      <c r="F3087" t="s">
        <v>9464</v>
      </c>
    </row>
    <row r="3088" spans="1:6">
      <c r="A3088" t="s">
        <v>8388</v>
      </c>
      <c r="B3088" t="s">
        <v>8389</v>
      </c>
      <c r="C3088" t="s">
        <v>9465</v>
      </c>
      <c r="D3088" t="s">
        <v>8391</v>
      </c>
      <c r="E3088" t="s">
        <v>9466</v>
      </c>
      <c r="F3088" t="s">
        <v>9467</v>
      </c>
    </row>
    <row r="3089" spans="1:12">
      <c r="A3089" t="s">
        <v>8388</v>
      </c>
      <c r="B3089" t="s">
        <v>8389</v>
      </c>
      <c r="C3089" t="s">
        <v>9468</v>
      </c>
      <c r="D3089" t="s">
        <v>8391</v>
      </c>
      <c r="E3089" t="s">
        <v>8141</v>
      </c>
      <c r="F3089" t="s">
        <v>9469</v>
      </c>
    </row>
    <row r="3090" spans="1:12">
      <c r="A3090" t="s">
        <v>8388</v>
      </c>
      <c r="B3090" t="s">
        <v>8389</v>
      </c>
      <c r="C3090" t="s">
        <v>9470</v>
      </c>
      <c r="D3090" t="s">
        <v>8391</v>
      </c>
      <c r="E3090" t="s">
        <v>4759</v>
      </c>
      <c r="F3090" t="s">
        <v>9471</v>
      </c>
    </row>
    <row r="3091" spans="1:12">
      <c r="A3091" t="s">
        <v>8388</v>
      </c>
      <c r="B3091" t="s">
        <v>8389</v>
      </c>
      <c r="C3091" t="s">
        <v>9472</v>
      </c>
      <c r="D3091" t="s">
        <v>8391</v>
      </c>
      <c r="E3091" t="s">
        <v>9473</v>
      </c>
      <c r="F3091" t="s">
        <v>9474</v>
      </c>
    </row>
    <row r="3092" spans="1:12">
      <c r="A3092" t="s">
        <v>8388</v>
      </c>
      <c r="B3092" t="s">
        <v>8389</v>
      </c>
      <c r="C3092" t="s">
        <v>9475</v>
      </c>
      <c r="D3092" t="s">
        <v>8391</v>
      </c>
      <c r="E3092" t="s">
        <v>9476</v>
      </c>
      <c r="F3092" t="s">
        <v>9477</v>
      </c>
    </row>
    <row r="3093" spans="1:12">
      <c r="A3093" t="s">
        <v>8388</v>
      </c>
      <c r="B3093" t="s">
        <v>8389</v>
      </c>
      <c r="C3093" t="s">
        <v>9478</v>
      </c>
      <c r="D3093" t="s">
        <v>8391</v>
      </c>
      <c r="E3093" t="s">
        <v>9479</v>
      </c>
      <c r="F3093" t="s">
        <v>9480</v>
      </c>
    </row>
    <row r="3094" spans="1:12">
      <c r="A3094" t="s">
        <v>8388</v>
      </c>
      <c r="B3094" t="s">
        <v>8389</v>
      </c>
      <c r="C3094" t="s">
        <v>9481</v>
      </c>
      <c r="D3094" t="s">
        <v>8391</v>
      </c>
      <c r="E3094" t="s">
        <v>2436</v>
      </c>
      <c r="F3094" t="s">
        <v>9482</v>
      </c>
    </row>
    <row r="3095" spans="1:12">
      <c r="A3095" t="s">
        <v>8388</v>
      </c>
      <c r="B3095" t="s">
        <v>8389</v>
      </c>
      <c r="C3095" t="s">
        <v>9483</v>
      </c>
      <c r="D3095" t="s">
        <v>8391</v>
      </c>
      <c r="E3095" t="s">
        <v>9484</v>
      </c>
      <c r="F3095" t="s">
        <v>9485</v>
      </c>
    </row>
    <row r="3096" spans="1:12">
      <c r="A3096" t="s">
        <v>8388</v>
      </c>
      <c r="B3096" t="s">
        <v>8389</v>
      </c>
      <c r="C3096" t="s">
        <v>9486</v>
      </c>
      <c r="D3096" t="s">
        <v>8391</v>
      </c>
      <c r="E3096" t="s">
        <v>9487</v>
      </c>
      <c r="F3096" t="s">
        <v>9488</v>
      </c>
    </row>
    <row r="3097" spans="1:12">
      <c r="A3097" t="s">
        <v>8388</v>
      </c>
      <c r="B3097" t="s">
        <v>8389</v>
      </c>
      <c r="C3097" t="s">
        <v>9489</v>
      </c>
      <c r="D3097" t="s">
        <v>8391</v>
      </c>
      <c r="E3097" t="s">
        <v>9490</v>
      </c>
      <c r="F3097" t="s">
        <v>9491</v>
      </c>
    </row>
    <row r="3098" spans="1:12">
      <c r="A3098" t="s">
        <v>8388</v>
      </c>
      <c r="B3098" t="s">
        <v>8389</v>
      </c>
      <c r="C3098" t="s">
        <v>9492</v>
      </c>
      <c r="D3098" t="s">
        <v>8391</v>
      </c>
      <c r="E3098" t="s">
        <v>9493</v>
      </c>
      <c r="F3098" t="s">
        <v>9494</v>
      </c>
    </row>
    <row r="3099" spans="1:12">
      <c r="A3099" t="s">
        <v>8388</v>
      </c>
      <c r="B3099" t="s">
        <v>8389</v>
      </c>
      <c r="C3099" t="s">
        <v>9495</v>
      </c>
      <c r="D3099" t="s">
        <v>8391</v>
      </c>
      <c r="E3099" t="s">
        <v>9496</v>
      </c>
      <c r="F3099" t="s">
        <v>9497</v>
      </c>
    </row>
    <row r="3100" spans="1:12">
      <c r="A3100" t="s">
        <v>8388</v>
      </c>
      <c r="B3100" t="s">
        <v>8389</v>
      </c>
      <c r="C3100" t="s">
        <v>9498</v>
      </c>
      <c r="D3100" t="s">
        <v>8391</v>
      </c>
      <c r="E3100" t="s">
        <v>2439</v>
      </c>
      <c r="F3100" t="s">
        <v>9499</v>
      </c>
    </row>
    <row r="3101" spans="1:12">
      <c r="A3101" t="s">
        <v>8388</v>
      </c>
      <c r="B3101" t="s">
        <v>8389</v>
      </c>
      <c r="C3101" t="s">
        <v>9500</v>
      </c>
      <c r="D3101" t="s">
        <v>8391</v>
      </c>
      <c r="E3101" t="s">
        <v>2448</v>
      </c>
      <c r="F3101" t="s">
        <v>9501</v>
      </c>
    </row>
    <row r="3102" spans="1:12">
      <c r="A3102" t="s">
        <v>8388</v>
      </c>
      <c r="B3102" t="s">
        <v>8389</v>
      </c>
      <c r="C3102" t="s">
        <v>9502</v>
      </c>
      <c r="D3102" t="s">
        <v>8391</v>
      </c>
      <c r="E3102" t="s">
        <v>3302</v>
      </c>
      <c r="F3102" t="s">
        <v>9503</v>
      </c>
    </row>
    <row r="3103" spans="1:12">
      <c r="A3103" t="s">
        <v>8388</v>
      </c>
      <c r="B3103" t="s">
        <v>8389</v>
      </c>
      <c r="C3103" t="s">
        <v>9504</v>
      </c>
      <c r="D3103" t="s">
        <v>8391</v>
      </c>
      <c r="E3103" t="s">
        <v>9505</v>
      </c>
      <c r="F3103" t="s">
        <v>9506</v>
      </c>
      <c r="J3103" t="s">
        <v>9505</v>
      </c>
      <c r="K3103" t="s">
        <v>8126</v>
      </c>
      <c r="L3103" t="s">
        <v>851</v>
      </c>
    </row>
    <row r="3104" spans="1:12">
      <c r="A3104" t="s">
        <v>8388</v>
      </c>
      <c r="B3104" t="s">
        <v>8389</v>
      </c>
      <c r="C3104" t="s">
        <v>9507</v>
      </c>
      <c r="D3104" t="s">
        <v>8391</v>
      </c>
      <c r="E3104" t="s">
        <v>9508</v>
      </c>
      <c r="F3104" t="s">
        <v>9509</v>
      </c>
    </row>
    <row r="3105" spans="1:12">
      <c r="A3105" t="s">
        <v>8388</v>
      </c>
      <c r="B3105" t="s">
        <v>8389</v>
      </c>
      <c r="C3105" t="s">
        <v>9510</v>
      </c>
      <c r="D3105" t="s">
        <v>8391</v>
      </c>
      <c r="E3105" t="s">
        <v>9511</v>
      </c>
      <c r="F3105" t="s">
        <v>9512</v>
      </c>
    </row>
    <row r="3106" spans="1:12">
      <c r="A3106" t="s">
        <v>8388</v>
      </c>
      <c r="B3106" t="s">
        <v>8389</v>
      </c>
      <c r="C3106" t="s">
        <v>9513</v>
      </c>
      <c r="D3106" t="s">
        <v>8391</v>
      </c>
      <c r="E3106" t="s">
        <v>7342</v>
      </c>
      <c r="F3106" t="s">
        <v>9514</v>
      </c>
    </row>
    <row r="3107" spans="1:12">
      <c r="A3107" t="s">
        <v>8388</v>
      </c>
      <c r="B3107" t="s">
        <v>8389</v>
      </c>
      <c r="C3107" t="s">
        <v>9515</v>
      </c>
      <c r="D3107" t="s">
        <v>8391</v>
      </c>
      <c r="E3107" t="s">
        <v>9516</v>
      </c>
      <c r="F3107" t="s">
        <v>9517</v>
      </c>
    </row>
    <row r="3108" spans="1:12">
      <c r="A3108" t="s">
        <v>8388</v>
      </c>
      <c r="B3108" t="s">
        <v>8389</v>
      </c>
      <c r="C3108" t="s">
        <v>9518</v>
      </c>
      <c r="D3108" t="s">
        <v>8391</v>
      </c>
      <c r="E3108" t="s">
        <v>2472</v>
      </c>
      <c r="F3108" t="s">
        <v>9519</v>
      </c>
    </row>
    <row r="3109" spans="1:12">
      <c r="A3109" t="s">
        <v>8388</v>
      </c>
      <c r="B3109" t="s">
        <v>8389</v>
      </c>
      <c r="C3109" t="s">
        <v>9520</v>
      </c>
      <c r="D3109" t="s">
        <v>8391</v>
      </c>
      <c r="E3109" t="s">
        <v>8011</v>
      </c>
      <c r="F3109" t="s">
        <v>9521</v>
      </c>
    </row>
    <row r="3110" spans="1:12">
      <c r="A3110" t="s">
        <v>8388</v>
      </c>
      <c r="B3110" t="s">
        <v>8389</v>
      </c>
      <c r="C3110" t="s">
        <v>9522</v>
      </c>
      <c r="D3110" t="s">
        <v>8391</v>
      </c>
      <c r="E3110" t="s">
        <v>9523</v>
      </c>
      <c r="F3110" t="s">
        <v>9524</v>
      </c>
    </row>
    <row r="3111" spans="1:12">
      <c r="A3111" t="s">
        <v>8388</v>
      </c>
      <c r="B3111" t="s">
        <v>8389</v>
      </c>
      <c r="C3111" t="s">
        <v>9525</v>
      </c>
      <c r="D3111" t="s">
        <v>8391</v>
      </c>
      <c r="E3111" t="s">
        <v>3305</v>
      </c>
      <c r="F3111" t="s">
        <v>9526</v>
      </c>
    </row>
    <row r="3112" spans="1:12">
      <c r="A3112" t="s">
        <v>8388</v>
      </c>
      <c r="B3112" t="s">
        <v>8389</v>
      </c>
      <c r="C3112" t="s">
        <v>9527</v>
      </c>
      <c r="D3112" t="s">
        <v>8391</v>
      </c>
      <c r="E3112" t="s">
        <v>9528</v>
      </c>
      <c r="F3112" t="s">
        <v>9529</v>
      </c>
    </row>
    <row r="3113" spans="1:12">
      <c r="A3113" t="s">
        <v>8388</v>
      </c>
      <c r="B3113" t="s">
        <v>8389</v>
      </c>
      <c r="C3113" t="s">
        <v>9530</v>
      </c>
      <c r="D3113" t="s">
        <v>8391</v>
      </c>
      <c r="E3113" t="s">
        <v>6678</v>
      </c>
      <c r="F3113" t="s">
        <v>9531</v>
      </c>
    </row>
    <row r="3114" spans="1:12">
      <c r="A3114" t="s">
        <v>8388</v>
      </c>
      <c r="B3114" t="s">
        <v>8389</v>
      </c>
      <c r="C3114" t="s">
        <v>9532</v>
      </c>
      <c r="D3114" t="s">
        <v>8391</v>
      </c>
      <c r="E3114" t="s">
        <v>9533</v>
      </c>
      <c r="F3114" t="s">
        <v>9534</v>
      </c>
    </row>
    <row r="3115" spans="1:12">
      <c r="A3115" t="s">
        <v>8388</v>
      </c>
      <c r="B3115" t="s">
        <v>8389</v>
      </c>
      <c r="C3115" t="s">
        <v>9535</v>
      </c>
      <c r="D3115" t="s">
        <v>8391</v>
      </c>
      <c r="E3115" t="s">
        <v>2535</v>
      </c>
      <c r="F3115" t="s">
        <v>9536</v>
      </c>
    </row>
    <row r="3116" spans="1:12">
      <c r="A3116" t="s">
        <v>8388</v>
      </c>
      <c r="B3116" t="s">
        <v>8389</v>
      </c>
      <c r="C3116" t="s">
        <v>9537</v>
      </c>
      <c r="D3116" t="s">
        <v>8391</v>
      </c>
      <c r="E3116" t="s">
        <v>9538</v>
      </c>
      <c r="F3116" t="s">
        <v>9539</v>
      </c>
    </row>
    <row r="3117" spans="1:12">
      <c r="A3117" t="s">
        <v>8388</v>
      </c>
      <c r="B3117" t="s">
        <v>8389</v>
      </c>
      <c r="C3117" t="s">
        <v>9540</v>
      </c>
      <c r="D3117" t="s">
        <v>8391</v>
      </c>
      <c r="E3117" t="s">
        <v>9541</v>
      </c>
      <c r="F3117" t="s">
        <v>9542</v>
      </c>
      <c r="J3117" t="s">
        <v>9541</v>
      </c>
      <c r="K3117" t="s">
        <v>8126</v>
      </c>
      <c r="L3117" t="s">
        <v>851</v>
      </c>
    </row>
    <row r="3118" spans="1:12">
      <c r="A3118" t="s">
        <v>8388</v>
      </c>
      <c r="B3118" t="s">
        <v>8389</v>
      </c>
      <c r="C3118" t="s">
        <v>9543</v>
      </c>
      <c r="D3118" t="s">
        <v>8391</v>
      </c>
      <c r="E3118" t="s">
        <v>9544</v>
      </c>
      <c r="F3118" t="s">
        <v>9545</v>
      </c>
      <c r="J3118" t="s">
        <v>9544</v>
      </c>
      <c r="K3118" t="s">
        <v>8126</v>
      </c>
      <c r="L3118" t="s">
        <v>851</v>
      </c>
    </row>
    <row r="3119" spans="1:12">
      <c r="A3119" t="s">
        <v>8388</v>
      </c>
      <c r="B3119" t="s">
        <v>8389</v>
      </c>
      <c r="C3119" t="s">
        <v>9546</v>
      </c>
      <c r="D3119" t="s">
        <v>8391</v>
      </c>
      <c r="E3119" t="s">
        <v>9547</v>
      </c>
      <c r="F3119" t="s">
        <v>9548</v>
      </c>
    </row>
    <row r="3120" spans="1:12">
      <c r="A3120" t="s">
        <v>8388</v>
      </c>
      <c r="B3120" t="s">
        <v>8389</v>
      </c>
      <c r="C3120" t="s">
        <v>9549</v>
      </c>
      <c r="D3120" t="s">
        <v>8391</v>
      </c>
      <c r="E3120" t="s">
        <v>9550</v>
      </c>
      <c r="F3120" t="s">
        <v>9551</v>
      </c>
    </row>
    <row r="3121" spans="1:6">
      <c r="A3121" t="s">
        <v>8388</v>
      </c>
      <c r="B3121" t="s">
        <v>8389</v>
      </c>
      <c r="C3121" t="s">
        <v>9552</v>
      </c>
      <c r="D3121" t="s">
        <v>8391</v>
      </c>
      <c r="E3121" t="s">
        <v>9553</v>
      </c>
      <c r="F3121" t="s">
        <v>9554</v>
      </c>
    </row>
    <row r="3122" spans="1:6">
      <c r="A3122" t="s">
        <v>8388</v>
      </c>
      <c r="B3122" t="s">
        <v>8389</v>
      </c>
      <c r="C3122" t="s">
        <v>9555</v>
      </c>
      <c r="D3122" t="s">
        <v>8391</v>
      </c>
      <c r="E3122" t="s">
        <v>9556</v>
      </c>
      <c r="F3122" t="s">
        <v>9557</v>
      </c>
    </row>
    <row r="3123" spans="1:6">
      <c r="A3123" t="s">
        <v>8388</v>
      </c>
      <c r="B3123" t="s">
        <v>8389</v>
      </c>
      <c r="C3123" t="s">
        <v>9558</v>
      </c>
      <c r="D3123" t="s">
        <v>8391</v>
      </c>
      <c r="E3123" t="s">
        <v>9559</v>
      </c>
      <c r="F3123" t="s">
        <v>9560</v>
      </c>
    </row>
    <row r="3124" spans="1:6">
      <c r="A3124" t="s">
        <v>8388</v>
      </c>
      <c r="B3124" t="s">
        <v>8389</v>
      </c>
      <c r="C3124" t="s">
        <v>9561</v>
      </c>
      <c r="D3124" t="s">
        <v>8391</v>
      </c>
      <c r="E3124" t="s">
        <v>9562</v>
      </c>
      <c r="F3124" t="s">
        <v>9563</v>
      </c>
    </row>
    <row r="3125" spans="1:6">
      <c r="A3125" t="s">
        <v>8388</v>
      </c>
      <c r="B3125" t="s">
        <v>8389</v>
      </c>
      <c r="C3125" t="s">
        <v>9564</v>
      </c>
      <c r="D3125" t="s">
        <v>8391</v>
      </c>
      <c r="E3125" t="s">
        <v>9565</v>
      </c>
      <c r="F3125" t="s">
        <v>9566</v>
      </c>
    </row>
    <row r="3126" spans="1:6">
      <c r="A3126" t="s">
        <v>8388</v>
      </c>
      <c r="B3126" t="s">
        <v>8389</v>
      </c>
      <c r="C3126" t="s">
        <v>9567</v>
      </c>
      <c r="D3126" t="s">
        <v>8391</v>
      </c>
      <c r="E3126" t="s">
        <v>9568</v>
      </c>
      <c r="F3126" t="s">
        <v>9569</v>
      </c>
    </row>
    <row r="3127" spans="1:6">
      <c r="A3127" t="s">
        <v>8388</v>
      </c>
      <c r="B3127" t="s">
        <v>8389</v>
      </c>
      <c r="C3127" t="s">
        <v>9570</v>
      </c>
      <c r="D3127" t="s">
        <v>8391</v>
      </c>
      <c r="E3127" t="s">
        <v>9571</v>
      </c>
      <c r="F3127" t="s">
        <v>9572</v>
      </c>
    </row>
    <row r="3128" spans="1:6">
      <c r="A3128" t="s">
        <v>8388</v>
      </c>
      <c r="B3128" t="s">
        <v>8389</v>
      </c>
      <c r="C3128" t="s">
        <v>9573</v>
      </c>
      <c r="D3128" t="s">
        <v>8391</v>
      </c>
      <c r="E3128" t="s">
        <v>9574</v>
      </c>
      <c r="F3128" t="s">
        <v>9575</v>
      </c>
    </row>
    <row r="3129" spans="1:6">
      <c r="A3129" t="s">
        <v>8388</v>
      </c>
      <c r="B3129" t="s">
        <v>8389</v>
      </c>
      <c r="C3129" t="s">
        <v>9576</v>
      </c>
      <c r="D3129" t="s">
        <v>8391</v>
      </c>
      <c r="E3129" t="s">
        <v>9577</v>
      </c>
      <c r="F3129" t="s">
        <v>9578</v>
      </c>
    </row>
    <row r="3130" spans="1:6">
      <c r="A3130" t="s">
        <v>8388</v>
      </c>
      <c r="B3130" t="s">
        <v>8389</v>
      </c>
      <c r="C3130" t="s">
        <v>9579</v>
      </c>
      <c r="D3130" t="s">
        <v>8391</v>
      </c>
      <c r="E3130" t="s">
        <v>9580</v>
      </c>
      <c r="F3130" t="s">
        <v>9581</v>
      </c>
    </row>
    <row r="3131" spans="1:6">
      <c r="A3131" t="s">
        <v>8388</v>
      </c>
      <c r="B3131" t="s">
        <v>8389</v>
      </c>
      <c r="C3131" t="s">
        <v>9582</v>
      </c>
      <c r="D3131" t="s">
        <v>8391</v>
      </c>
      <c r="E3131" t="s">
        <v>9583</v>
      </c>
      <c r="F3131" t="s">
        <v>9584</v>
      </c>
    </row>
    <row r="3132" spans="1:6">
      <c r="A3132" t="s">
        <v>8388</v>
      </c>
      <c r="B3132" t="s">
        <v>8389</v>
      </c>
      <c r="C3132" t="s">
        <v>9585</v>
      </c>
      <c r="D3132" t="s">
        <v>8391</v>
      </c>
      <c r="E3132" t="s">
        <v>9586</v>
      </c>
      <c r="F3132" t="s">
        <v>9587</v>
      </c>
    </row>
    <row r="3133" spans="1:6">
      <c r="A3133" t="s">
        <v>8388</v>
      </c>
      <c r="B3133" t="s">
        <v>8389</v>
      </c>
      <c r="C3133" t="s">
        <v>9588</v>
      </c>
      <c r="D3133" t="s">
        <v>8391</v>
      </c>
      <c r="E3133" t="s">
        <v>9589</v>
      </c>
      <c r="F3133" t="s">
        <v>9590</v>
      </c>
    </row>
    <row r="3134" spans="1:6">
      <c r="A3134" t="s">
        <v>8388</v>
      </c>
      <c r="B3134" t="s">
        <v>8389</v>
      </c>
      <c r="C3134" t="s">
        <v>9591</v>
      </c>
      <c r="D3134" t="s">
        <v>8391</v>
      </c>
      <c r="E3134" t="s">
        <v>9592</v>
      </c>
      <c r="F3134" t="s">
        <v>9593</v>
      </c>
    </row>
    <row r="3135" spans="1:6">
      <c r="A3135" t="s">
        <v>8388</v>
      </c>
      <c r="B3135" t="s">
        <v>8389</v>
      </c>
      <c r="C3135" t="s">
        <v>9594</v>
      </c>
      <c r="D3135" t="s">
        <v>8391</v>
      </c>
      <c r="E3135" t="s">
        <v>9595</v>
      </c>
      <c r="F3135" t="s">
        <v>9596</v>
      </c>
    </row>
    <row r="3136" spans="1:6">
      <c r="A3136" t="s">
        <v>8388</v>
      </c>
      <c r="B3136" t="s">
        <v>8389</v>
      </c>
      <c r="C3136" t="s">
        <v>9597</v>
      </c>
      <c r="D3136" t="s">
        <v>8391</v>
      </c>
      <c r="E3136" t="s">
        <v>9598</v>
      </c>
      <c r="F3136" t="s">
        <v>9599</v>
      </c>
    </row>
    <row r="3137" spans="1:12">
      <c r="A3137" t="s">
        <v>8388</v>
      </c>
      <c r="B3137" t="s">
        <v>8389</v>
      </c>
      <c r="C3137" t="s">
        <v>9600</v>
      </c>
      <c r="D3137" t="s">
        <v>8391</v>
      </c>
      <c r="E3137" t="s">
        <v>9601</v>
      </c>
      <c r="F3137" t="s">
        <v>9602</v>
      </c>
    </row>
    <row r="3138" spans="1:12">
      <c r="A3138" t="s">
        <v>8388</v>
      </c>
      <c r="B3138" t="s">
        <v>8389</v>
      </c>
      <c r="C3138" t="s">
        <v>9603</v>
      </c>
      <c r="D3138" t="s">
        <v>8391</v>
      </c>
      <c r="E3138" t="s">
        <v>9604</v>
      </c>
      <c r="F3138" t="s">
        <v>9605</v>
      </c>
    </row>
    <row r="3139" spans="1:12">
      <c r="A3139" t="s">
        <v>8388</v>
      </c>
      <c r="B3139" t="s">
        <v>8389</v>
      </c>
      <c r="C3139" t="s">
        <v>9606</v>
      </c>
      <c r="D3139" t="s">
        <v>8391</v>
      </c>
      <c r="E3139" t="s">
        <v>3360</v>
      </c>
      <c r="F3139" t="s">
        <v>9607</v>
      </c>
    </row>
    <row r="3140" spans="1:12">
      <c r="A3140" t="s">
        <v>8388</v>
      </c>
      <c r="B3140" t="s">
        <v>8389</v>
      </c>
      <c r="C3140" t="s">
        <v>9608</v>
      </c>
      <c r="D3140" t="s">
        <v>8391</v>
      </c>
      <c r="E3140" t="s">
        <v>9609</v>
      </c>
      <c r="F3140" t="s">
        <v>9610</v>
      </c>
    </row>
    <row r="3141" spans="1:12">
      <c r="A3141" t="s">
        <v>8388</v>
      </c>
      <c r="B3141" t="s">
        <v>8389</v>
      </c>
      <c r="C3141" t="s">
        <v>9611</v>
      </c>
      <c r="D3141" t="s">
        <v>8391</v>
      </c>
      <c r="E3141" t="s">
        <v>9612</v>
      </c>
      <c r="F3141" t="s">
        <v>9613</v>
      </c>
    </row>
    <row r="3142" spans="1:12">
      <c r="A3142" t="s">
        <v>8388</v>
      </c>
      <c r="B3142" t="s">
        <v>8389</v>
      </c>
      <c r="C3142" t="s">
        <v>9614</v>
      </c>
      <c r="D3142" t="s">
        <v>8391</v>
      </c>
      <c r="E3142" t="s">
        <v>9615</v>
      </c>
      <c r="F3142" t="s">
        <v>9616</v>
      </c>
      <c r="J3142" t="s">
        <v>9615</v>
      </c>
      <c r="K3142" t="s">
        <v>8126</v>
      </c>
      <c r="L3142" t="s">
        <v>851</v>
      </c>
    </row>
    <row r="3143" spans="1:12">
      <c r="A3143" t="s">
        <v>8388</v>
      </c>
      <c r="B3143" t="s">
        <v>8389</v>
      </c>
      <c r="C3143" t="s">
        <v>9617</v>
      </c>
      <c r="D3143" t="s">
        <v>8391</v>
      </c>
      <c r="E3143" t="s">
        <v>993</v>
      </c>
      <c r="F3143" t="s">
        <v>9618</v>
      </c>
      <c r="J3143" t="s">
        <v>993</v>
      </c>
      <c r="K3143" t="s">
        <v>8126</v>
      </c>
      <c r="L3143" t="s">
        <v>851</v>
      </c>
    </row>
    <row r="3144" spans="1:12">
      <c r="A3144" t="s">
        <v>8388</v>
      </c>
      <c r="B3144" t="s">
        <v>8389</v>
      </c>
      <c r="C3144" t="s">
        <v>9619</v>
      </c>
      <c r="D3144" t="s">
        <v>8391</v>
      </c>
      <c r="E3144" t="s">
        <v>9620</v>
      </c>
      <c r="F3144" t="s">
        <v>9621</v>
      </c>
    </row>
    <row r="3145" spans="1:12">
      <c r="A3145" t="s">
        <v>8388</v>
      </c>
      <c r="B3145" t="s">
        <v>8389</v>
      </c>
      <c r="C3145" t="s">
        <v>9622</v>
      </c>
      <c r="D3145" t="s">
        <v>8391</v>
      </c>
      <c r="E3145" t="s">
        <v>9623</v>
      </c>
      <c r="F3145" t="s">
        <v>9624</v>
      </c>
    </row>
    <row r="3146" spans="1:12">
      <c r="A3146" t="s">
        <v>8388</v>
      </c>
      <c r="B3146" t="s">
        <v>8389</v>
      </c>
      <c r="C3146" t="s">
        <v>9625</v>
      </c>
      <c r="D3146" t="s">
        <v>8391</v>
      </c>
      <c r="E3146" t="s">
        <v>5138</v>
      </c>
      <c r="F3146" t="s">
        <v>9626</v>
      </c>
    </row>
    <row r="3147" spans="1:12">
      <c r="A3147" t="s">
        <v>8388</v>
      </c>
      <c r="B3147" t="s">
        <v>8389</v>
      </c>
      <c r="C3147" t="s">
        <v>9627</v>
      </c>
      <c r="D3147" t="s">
        <v>8391</v>
      </c>
      <c r="E3147" t="s">
        <v>9628</v>
      </c>
      <c r="F3147" t="s">
        <v>9629</v>
      </c>
      <c r="J3147" t="s">
        <v>9628</v>
      </c>
      <c r="K3147" t="s">
        <v>8126</v>
      </c>
      <c r="L3147" t="s">
        <v>851</v>
      </c>
    </row>
    <row r="3148" spans="1:12">
      <c r="A3148" t="s">
        <v>8388</v>
      </c>
      <c r="B3148" t="s">
        <v>8389</v>
      </c>
      <c r="C3148" t="s">
        <v>9630</v>
      </c>
      <c r="D3148" t="s">
        <v>8391</v>
      </c>
      <c r="E3148" t="s">
        <v>2634</v>
      </c>
      <c r="F3148" t="s">
        <v>9631</v>
      </c>
    </row>
    <row r="3149" spans="1:12">
      <c r="A3149" t="s">
        <v>8388</v>
      </c>
      <c r="B3149" t="s">
        <v>8389</v>
      </c>
      <c r="C3149" t="s">
        <v>9632</v>
      </c>
      <c r="D3149" t="s">
        <v>8391</v>
      </c>
      <c r="E3149" t="s">
        <v>9633</v>
      </c>
      <c r="F3149" t="s">
        <v>9634</v>
      </c>
    </row>
    <row r="3150" spans="1:12">
      <c r="A3150" t="s">
        <v>8388</v>
      </c>
      <c r="B3150" t="s">
        <v>8389</v>
      </c>
      <c r="C3150" t="s">
        <v>9635</v>
      </c>
      <c r="D3150" t="s">
        <v>8391</v>
      </c>
      <c r="E3150" t="s">
        <v>9636</v>
      </c>
      <c r="F3150" t="s">
        <v>9637</v>
      </c>
    </row>
    <row r="3151" spans="1:12">
      <c r="A3151" t="s">
        <v>8388</v>
      </c>
      <c r="B3151" t="s">
        <v>8389</v>
      </c>
      <c r="C3151" t="s">
        <v>9638</v>
      </c>
      <c r="D3151" t="s">
        <v>8391</v>
      </c>
      <c r="E3151" t="s">
        <v>9639</v>
      </c>
      <c r="F3151" t="s">
        <v>9640</v>
      </c>
    </row>
    <row r="3152" spans="1:12">
      <c r="A3152" t="s">
        <v>8388</v>
      </c>
      <c r="B3152" t="s">
        <v>8389</v>
      </c>
      <c r="C3152" t="s">
        <v>9641</v>
      </c>
      <c r="D3152" t="s">
        <v>8391</v>
      </c>
      <c r="E3152" t="s">
        <v>9642</v>
      </c>
      <c r="F3152" t="s">
        <v>9643</v>
      </c>
      <c r="J3152" t="s">
        <v>9642</v>
      </c>
      <c r="K3152" t="s">
        <v>8126</v>
      </c>
      <c r="L3152" t="s">
        <v>851</v>
      </c>
    </row>
    <row r="3153" spans="1:6">
      <c r="A3153" t="s">
        <v>8388</v>
      </c>
      <c r="B3153" t="s">
        <v>8389</v>
      </c>
      <c r="C3153" t="s">
        <v>9644</v>
      </c>
      <c r="D3153" t="s">
        <v>8391</v>
      </c>
      <c r="E3153" t="s">
        <v>9645</v>
      </c>
      <c r="F3153" t="s">
        <v>9646</v>
      </c>
    </row>
    <row r="3154" spans="1:6">
      <c r="A3154" t="s">
        <v>8388</v>
      </c>
      <c r="B3154" t="s">
        <v>8389</v>
      </c>
      <c r="C3154" t="s">
        <v>9647</v>
      </c>
      <c r="D3154" t="s">
        <v>8391</v>
      </c>
      <c r="E3154" t="s">
        <v>9648</v>
      </c>
      <c r="F3154" t="s">
        <v>9649</v>
      </c>
    </row>
    <row r="3155" spans="1:6">
      <c r="A3155" t="s">
        <v>8388</v>
      </c>
      <c r="B3155" t="s">
        <v>8389</v>
      </c>
      <c r="C3155" t="s">
        <v>9650</v>
      </c>
      <c r="D3155" t="s">
        <v>8391</v>
      </c>
      <c r="E3155" t="s">
        <v>9651</v>
      </c>
      <c r="F3155" t="s">
        <v>9652</v>
      </c>
    </row>
    <row r="3156" spans="1:6">
      <c r="A3156" t="s">
        <v>8388</v>
      </c>
      <c r="B3156" t="s">
        <v>8389</v>
      </c>
      <c r="C3156" t="s">
        <v>9653</v>
      </c>
      <c r="D3156" t="s">
        <v>8391</v>
      </c>
      <c r="E3156" t="s">
        <v>9654</v>
      </c>
      <c r="F3156" t="s">
        <v>9655</v>
      </c>
    </row>
    <row r="3157" spans="1:6">
      <c r="A3157" t="s">
        <v>8388</v>
      </c>
      <c r="B3157" t="s">
        <v>8389</v>
      </c>
      <c r="C3157" t="s">
        <v>9656</v>
      </c>
      <c r="D3157" t="s">
        <v>8391</v>
      </c>
      <c r="E3157" t="s">
        <v>9657</v>
      </c>
      <c r="F3157" t="s">
        <v>9658</v>
      </c>
    </row>
    <row r="3158" spans="1:6">
      <c r="A3158" t="s">
        <v>8388</v>
      </c>
      <c r="B3158" t="s">
        <v>8389</v>
      </c>
      <c r="C3158" t="s">
        <v>9659</v>
      </c>
      <c r="D3158" t="s">
        <v>8391</v>
      </c>
      <c r="E3158" t="s">
        <v>9660</v>
      </c>
      <c r="F3158" t="s">
        <v>9661</v>
      </c>
    </row>
    <row r="3159" spans="1:6">
      <c r="A3159" t="s">
        <v>8388</v>
      </c>
      <c r="B3159" t="s">
        <v>8389</v>
      </c>
      <c r="C3159" t="s">
        <v>9662</v>
      </c>
      <c r="D3159" t="s">
        <v>8391</v>
      </c>
      <c r="E3159" t="s">
        <v>9663</v>
      </c>
      <c r="F3159" t="s">
        <v>9664</v>
      </c>
    </row>
    <row r="3160" spans="1:6">
      <c r="A3160" t="s">
        <v>8388</v>
      </c>
      <c r="B3160" t="s">
        <v>8389</v>
      </c>
      <c r="C3160" t="s">
        <v>9665</v>
      </c>
      <c r="D3160" t="s">
        <v>8391</v>
      </c>
      <c r="E3160" t="s">
        <v>9666</v>
      </c>
      <c r="F3160" t="s">
        <v>9667</v>
      </c>
    </row>
    <row r="3161" spans="1:6">
      <c r="A3161" t="s">
        <v>8388</v>
      </c>
      <c r="B3161" t="s">
        <v>8389</v>
      </c>
      <c r="C3161" t="s">
        <v>9668</v>
      </c>
      <c r="D3161" t="s">
        <v>8391</v>
      </c>
      <c r="E3161" t="s">
        <v>9669</v>
      </c>
      <c r="F3161" t="s">
        <v>9670</v>
      </c>
    </row>
    <row r="3162" spans="1:6">
      <c r="A3162" t="s">
        <v>8388</v>
      </c>
      <c r="B3162" t="s">
        <v>8389</v>
      </c>
      <c r="C3162" t="s">
        <v>9671</v>
      </c>
      <c r="D3162" t="s">
        <v>8391</v>
      </c>
      <c r="E3162" t="s">
        <v>9672</v>
      </c>
      <c r="F3162" t="s">
        <v>9673</v>
      </c>
    </row>
    <row r="3163" spans="1:6">
      <c r="A3163" t="s">
        <v>8388</v>
      </c>
      <c r="B3163" t="s">
        <v>8389</v>
      </c>
      <c r="C3163" t="s">
        <v>9674</v>
      </c>
      <c r="D3163" t="s">
        <v>8391</v>
      </c>
      <c r="E3163" t="s">
        <v>9675</v>
      </c>
      <c r="F3163" t="s">
        <v>9676</v>
      </c>
    </row>
    <row r="3164" spans="1:6">
      <c r="A3164" t="s">
        <v>8388</v>
      </c>
      <c r="B3164" t="s">
        <v>8389</v>
      </c>
      <c r="C3164" t="s">
        <v>9677</v>
      </c>
      <c r="D3164" t="s">
        <v>8391</v>
      </c>
      <c r="E3164" t="s">
        <v>9678</v>
      </c>
      <c r="F3164" t="s">
        <v>9679</v>
      </c>
    </row>
    <row r="3165" spans="1:6">
      <c r="A3165" t="s">
        <v>8388</v>
      </c>
      <c r="B3165" t="s">
        <v>8389</v>
      </c>
      <c r="C3165" t="s">
        <v>9680</v>
      </c>
      <c r="D3165" t="s">
        <v>8391</v>
      </c>
      <c r="E3165" t="s">
        <v>9681</v>
      </c>
      <c r="F3165" t="s">
        <v>9682</v>
      </c>
    </row>
    <row r="3166" spans="1:6">
      <c r="A3166" t="s">
        <v>8388</v>
      </c>
      <c r="B3166" t="s">
        <v>8389</v>
      </c>
      <c r="C3166" t="s">
        <v>9683</v>
      </c>
      <c r="D3166" t="s">
        <v>8391</v>
      </c>
      <c r="E3166" t="s">
        <v>8352</v>
      </c>
      <c r="F3166" t="s">
        <v>9684</v>
      </c>
    </row>
    <row r="3167" spans="1:6">
      <c r="A3167" t="s">
        <v>8388</v>
      </c>
      <c r="B3167" t="s">
        <v>8389</v>
      </c>
      <c r="C3167" t="s">
        <v>9685</v>
      </c>
      <c r="D3167" t="s">
        <v>8391</v>
      </c>
      <c r="E3167" t="s">
        <v>2682</v>
      </c>
      <c r="F3167" t="s">
        <v>9686</v>
      </c>
    </row>
    <row r="3168" spans="1:6">
      <c r="A3168" t="s">
        <v>8388</v>
      </c>
      <c r="B3168" t="s">
        <v>8389</v>
      </c>
      <c r="C3168" t="s">
        <v>9687</v>
      </c>
      <c r="D3168" t="s">
        <v>8391</v>
      </c>
      <c r="E3168" t="s">
        <v>9688</v>
      </c>
      <c r="F3168" t="s">
        <v>9689</v>
      </c>
    </row>
    <row r="3169" spans="1:12">
      <c r="A3169" t="s">
        <v>8388</v>
      </c>
      <c r="B3169" t="s">
        <v>8389</v>
      </c>
      <c r="C3169" t="s">
        <v>9690</v>
      </c>
      <c r="D3169" t="s">
        <v>8391</v>
      </c>
      <c r="E3169" t="s">
        <v>9691</v>
      </c>
      <c r="F3169" t="s">
        <v>9692</v>
      </c>
    </row>
    <row r="3170" spans="1:12">
      <c r="A3170" t="s">
        <v>8388</v>
      </c>
      <c r="B3170" t="s">
        <v>8389</v>
      </c>
      <c r="C3170" t="s">
        <v>9693</v>
      </c>
      <c r="D3170" t="s">
        <v>8391</v>
      </c>
      <c r="E3170" t="s">
        <v>5153</v>
      </c>
      <c r="F3170" t="s">
        <v>9694</v>
      </c>
    </row>
    <row r="3171" spans="1:12">
      <c r="A3171" t="s">
        <v>8388</v>
      </c>
      <c r="B3171" t="s">
        <v>8389</v>
      </c>
      <c r="C3171" t="s">
        <v>9695</v>
      </c>
      <c r="D3171" t="s">
        <v>8391</v>
      </c>
      <c r="E3171" t="s">
        <v>9696</v>
      </c>
      <c r="F3171" t="s">
        <v>9697</v>
      </c>
    </row>
    <row r="3172" spans="1:12">
      <c r="A3172" t="s">
        <v>8388</v>
      </c>
      <c r="B3172" t="s">
        <v>8389</v>
      </c>
      <c r="C3172" t="s">
        <v>9698</v>
      </c>
      <c r="D3172" t="s">
        <v>8391</v>
      </c>
      <c r="E3172" t="s">
        <v>9699</v>
      </c>
      <c r="F3172" t="s">
        <v>9700</v>
      </c>
    </row>
    <row r="3173" spans="1:12">
      <c r="A3173" t="s">
        <v>8388</v>
      </c>
      <c r="B3173" t="s">
        <v>8389</v>
      </c>
      <c r="C3173" t="s">
        <v>9701</v>
      </c>
      <c r="D3173" t="s">
        <v>8391</v>
      </c>
      <c r="E3173" t="s">
        <v>3363</v>
      </c>
      <c r="F3173" t="s">
        <v>9702</v>
      </c>
    </row>
    <row r="3174" spans="1:12">
      <c r="A3174" t="s">
        <v>8388</v>
      </c>
      <c r="B3174" t="s">
        <v>8389</v>
      </c>
      <c r="C3174" t="s">
        <v>9703</v>
      </c>
      <c r="D3174" t="s">
        <v>8391</v>
      </c>
      <c r="E3174" t="s">
        <v>5156</v>
      </c>
      <c r="F3174" t="s">
        <v>9704</v>
      </c>
    </row>
    <row r="3175" spans="1:12">
      <c r="A3175" t="s">
        <v>8388</v>
      </c>
      <c r="B3175" t="s">
        <v>8389</v>
      </c>
      <c r="C3175" t="s">
        <v>9705</v>
      </c>
      <c r="D3175" t="s">
        <v>8391</v>
      </c>
      <c r="E3175" t="s">
        <v>9706</v>
      </c>
      <c r="F3175" t="s">
        <v>9707</v>
      </c>
      <c r="J3175" t="s">
        <v>9706</v>
      </c>
      <c r="K3175" t="s">
        <v>8126</v>
      </c>
      <c r="L3175" t="s">
        <v>851</v>
      </c>
    </row>
    <row r="3176" spans="1:12">
      <c r="A3176" t="s">
        <v>8388</v>
      </c>
      <c r="B3176" t="s">
        <v>8389</v>
      </c>
      <c r="C3176" t="s">
        <v>9708</v>
      </c>
      <c r="D3176" t="s">
        <v>8391</v>
      </c>
      <c r="E3176" t="s">
        <v>9709</v>
      </c>
      <c r="F3176" t="s">
        <v>9710</v>
      </c>
    </row>
    <row r="3177" spans="1:12">
      <c r="A3177" t="s">
        <v>8388</v>
      </c>
      <c r="B3177" t="s">
        <v>8389</v>
      </c>
      <c r="C3177" t="s">
        <v>9711</v>
      </c>
      <c r="D3177" t="s">
        <v>8391</v>
      </c>
      <c r="E3177" t="s">
        <v>9712</v>
      </c>
      <c r="F3177" t="s">
        <v>9713</v>
      </c>
    </row>
    <row r="3178" spans="1:12">
      <c r="A3178" t="s">
        <v>8388</v>
      </c>
      <c r="B3178" t="s">
        <v>8389</v>
      </c>
      <c r="C3178" t="s">
        <v>9714</v>
      </c>
      <c r="D3178" t="s">
        <v>8391</v>
      </c>
      <c r="E3178" t="s">
        <v>8016</v>
      </c>
      <c r="F3178" t="s">
        <v>9715</v>
      </c>
    </row>
    <row r="3179" spans="1:12">
      <c r="A3179" t="s">
        <v>8388</v>
      </c>
      <c r="B3179" t="s">
        <v>8389</v>
      </c>
      <c r="C3179" t="s">
        <v>9716</v>
      </c>
      <c r="D3179" t="s">
        <v>8391</v>
      </c>
      <c r="E3179" t="s">
        <v>9717</v>
      </c>
      <c r="F3179" t="s">
        <v>9718</v>
      </c>
    </row>
    <row r="3180" spans="1:12">
      <c r="A3180" t="s">
        <v>8388</v>
      </c>
      <c r="B3180" t="s">
        <v>8389</v>
      </c>
      <c r="C3180" t="s">
        <v>9719</v>
      </c>
      <c r="D3180" t="s">
        <v>8391</v>
      </c>
      <c r="E3180" t="s">
        <v>7777</v>
      </c>
      <c r="F3180" t="s">
        <v>9720</v>
      </c>
    </row>
    <row r="3181" spans="1:12">
      <c r="A3181" t="s">
        <v>8388</v>
      </c>
      <c r="B3181" t="s">
        <v>8389</v>
      </c>
      <c r="C3181" t="s">
        <v>9721</v>
      </c>
      <c r="D3181" t="s">
        <v>8391</v>
      </c>
      <c r="E3181" t="s">
        <v>9722</v>
      </c>
      <c r="F3181" t="s">
        <v>9723</v>
      </c>
    </row>
    <row r="3182" spans="1:12">
      <c r="A3182" t="s">
        <v>8388</v>
      </c>
      <c r="B3182" t="s">
        <v>8389</v>
      </c>
      <c r="C3182" t="s">
        <v>9724</v>
      </c>
      <c r="D3182" t="s">
        <v>8391</v>
      </c>
      <c r="E3182" t="s">
        <v>9725</v>
      </c>
      <c r="F3182" t="s">
        <v>9726</v>
      </c>
    </row>
    <row r="3183" spans="1:12">
      <c r="A3183" t="s">
        <v>8388</v>
      </c>
      <c r="B3183" t="s">
        <v>8389</v>
      </c>
      <c r="C3183" t="s">
        <v>9727</v>
      </c>
      <c r="D3183" t="s">
        <v>8391</v>
      </c>
      <c r="E3183" t="s">
        <v>9728</v>
      </c>
      <c r="F3183" t="s">
        <v>9729</v>
      </c>
    </row>
    <row r="3184" spans="1:12">
      <c r="A3184" t="s">
        <v>8388</v>
      </c>
      <c r="B3184" t="s">
        <v>8389</v>
      </c>
      <c r="C3184" t="s">
        <v>9730</v>
      </c>
      <c r="D3184" t="s">
        <v>8391</v>
      </c>
      <c r="E3184" t="s">
        <v>8282</v>
      </c>
      <c r="F3184" t="s">
        <v>9731</v>
      </c>
    </row>
    <row r="3185" spans="1:12">
      <c r="A3185" t="s">
        <v>8388</v>
      </c>
      <c r="B3185" t="s">
        <v>8389</v>
      </c>
      <c r="C3185" t="s">
        <v>9732</v>
      </c>
      <c r="D3185" t="s">
        <v>8391</v>
      </c>
      <c r="E3185" t="s">
        <v>9733</v>
      </c>
      <c r="F3185" t="s">
        <v>9734</v>
      </c>
    </row>
    <row r="3186" spans="1:12">
      <c r="A3186" t="s">
        <v>8388</v>
      </c>
      <c r="B3186" t="s">
        <v>8389</v>
      </c>
      <c r="C3186" t="s">
        <v>9735</v>
      </c>
      <c r="D3186" t="s">
        <v>8391</v>
      </c>
      <c r="E3186" t="s">
        <v>4256</v>
      </c>
      <c r="F3186" t="s">
        <v>9736</v>
      </c>
    </row>
    <row r="3187" spans="1:12">
      <c r="A3187" t="s">
        <v>8388</v>
      </c>
      <c r="B3187" t="s">
        <v>8389</v>
      </c>
      <c r="C3187" t="s">
        <v>9737</v>
      </c>
      <c r="D3187" t="s">
        <v>8391</v>
      </c>
      <c r="E3187" t="s">
        <v>9738</v>
      </c>
      <c r="F3187" t="s">
        <v>9739</v>
      </c>
    </row>
    <row r="3188" spans="1:12">
      <c r="A3188" t="s">
        <v>8388</v>
      </c>
      <c r="B3188" t="s">
        <v>8389</v>
      </c>
      <c r="C3188" t="s">
        <v>9740</v>
      </c>
      <c r="D3188" t="s">
        <v>8391</v>
      </c>
      <c r="E3188" t="s">
        <v>2765</v>
      </c>
      <c r="F3188" t="s">
        <v>9741</v>
      </c>
    </row>
    <row r="3189" spans="1:12">
      <c r="A3189" t="s">
        <v>8388</v>
      </c>
      <c r="B3189" t="s">
        <v>8389</v>
      </c>
      <c r="C3189" t="s">
        <v>9742</v>
      </c>
      <c r="D3189" t="s">
        <v>8391</v>
      </c>
      <c r="E3189" t="s">
        <v>1008</v>
      </c>
      <c r="F3189" t="s">
        <v>9743</v>
      </c>
    </row>
    <row r="3190" spans="1:12">
      <c r="A3190" t="s">
        <v>8388</v>
      </c>
      <c r="B3190" t="s">
        <v>8389</v>
      </c>
      <c r="C3190" t="s">
        <v>9744</v>
      </c>
      <c r="D3190" t="s">
        <v>8391</v>
      </c>
      <c r="E3190" t="s">
        <v>9745</v>
      </c>
      <c r="F3190" t="s">
        <v>9746</v>
      </c>
    </row>
    <row r="3191" spans="1:12">
      <c r="A3191" t="s">
        <v>8388</v>
      </c>
      <c r="B3191" t="s">
        <v>8389</v>
      </c>
      <c r="C3191" t="s">
        <v>9747</v>
      </c>
      <c r="D3191" t="s">
        <v>8391</v>
      </c>
      <c r="E3191" t="s">
        <v>2768</v>
      </c>
      <c r="F3191" t="s">
        <v>9748</v>
      </c>
    </row>
    <row r="3192" spans="1:12">
      <c r="A3192" t="s">
        <v>8388</v>
      </c>
      <c r="B3192" t="s">
        <v>8389</v>
      </c>
      <c r="C3192" t="s">
        <v>9749</v>
      </c>
      <c r="D3192" t="s">
        <v>8391</v>
      </c>
      <c r="E3192" t="s">
        <v>9750</v>
      </c>
      <c r="F3192" t="s">
        <v>9751</v>
      </c>
    </row>
    <row r="3193" spans="1:12">
      <c r="A3193" t="s">
        <v>8388</v>
      </c>
      <c r="B3193" t="s">
        <v>8389</v>
      </c>
      <c r="C3193" t="s">
        <v>9752</v>
      </c>
      <c r="D3193" t="s">
        <v>8391</v>
      </c>
      <c r="E3193" t="s">
        <v>9753</v>
      </c>
      <c r="F3193" t="s">
        <v>9754</v>
      </c>
    </row>
    <row r="3194" spans="1:12">
      <c r="A3194" t="s">
        <v>8388</v>
      </c>
      <c r="B3194" t="s">
        <v>8389</v>
      </c>
      <c r="C3194" t="s">
        <v>9755</v>
      </c>
      <c r="D3194" t="s">
        <v>8391</v>
      </c>
      <c r="E3194" t="s">
        <v>9756</v>
      </c>
      <c r="F3194" t="s">
        <v>9757</v>
      </c>
    </row>
    <row r="3195" spans="1:12">
      <c r="A3195" t="s">
        <v>8388</v>
      </c>
      <c r="B3195" t="s">
        <v>8389</v>
      </c>
      <c r="C3195" t="s">
        <v>9758</v>
      </c>
      <c r="D3195" t="s">
        <v>8391</v>
      </c>
      <c r="E3195" t="s">
        <v>9759</v>
      </c>
      <c r="F3195" t="s">
        <v>9760</v>
      </c>
    </row>
    <row r="3196" spans="1:12">
      <c r="A3196" t="s">
        <v>8388</v>
      </c>
      <c r="B3196" t="s">
        <v>8389</v>
      </c>
      <c r="C3196" t="s">
        <v>9761</v>
      </c>
      <c r="D3196" t="s">
        <v>8391</v>
      </c>
      <c r="E3196" t="s">
        <v>9762</v>
      </c>
      <c r="F3196" t="s">
        <v>9763</v>
      </c>
      <c r="J3196" t="s">
        <v>9762</v>
      </c>
      <c r="K3196" t="s">
        <v>8126</v>
      </c>
      <c r="L3196" t="s">
        <v>851</v>
      </c>
    </row>
    <row r="3197" spans="1:12">
      <c r="A3197" t="s">
        <v>8388</v>
      </c>
      <c r="B3197" t="s">
        <v>8389</v>
      </c>
      <c r="C3197" t="s">
        <v>9764</v>
      </c>
      <c r="D3197" t="s">
        <v>8391</v>
      </c>
      <c r="E3197" t="s">
        <v>9765</v>
      </c>
      <c r="F3197" t="s">
        <v>9766</v>
      </c>
    </row>
    <row r="3198" spans="1:12">
      <c r="A3198" t="s">
        <v>8388</v>
      </c>
      <c r="B3198" t="s">
        <v>8389</v>
      </c>
      <c r="C3198" t="s">
        <v>9767</v>
      </c>
      <c r="D3198" t="s">
        <v>8391</v>
      </c>
      <c r="E3198" t="s">
        <v>9768</v>
      </c>
      <c r="F3198" t="s">
        <v>9769</v>
      </c>
    </row>
    <row r="3199" spans="1:12">
      <c r="A3199" t="s">
        <v>8388</v>
      </c>
      <c r="B3199" t="s">
        <v>8389</v>
      </c>
      <c r="C3199" t="s">
        <v>9770</v>
      </c>
      <c r="D3199" t="s">
        <v>8391</v>
      </c>
      <c r="E3199" t="s">
        <v>9771</v>
      </c>
      <c r="F3199" t="s">
        <v>9772</v>
      </c>
    </row>
    <row r="3200" spans="1:12">
      <c r="A3200" t="s">
        <v>8388</v>
      </c>
      <c r="B3200" t="s">
        <v>8389</v>
      </c>
      <c r="C3200" t="s">
        <v>9773</v>
      </c>
      <c r="D3200" t="s">
        <v>8391</v>
      </c>
      <c r="E3200" t="s">
        <v>9774</v>
      </c>
      <c r="F3200" t="s">
        <v>9775</v>
      </c>
    </row>
    <row r="3201" spans="1:6">
      <c r="A3201" t="s">
        <v>8388</v>
      </c>
      <c r="B3201" t="s">
        <v>8389</v>
      </c>
      <c r="C3201" t="s">
        <v>9776</v>
      </c>
      <c r="D3201" t="s">
        <v>8391</v>
      </c>
      <c r="E3201" t="s">
        <v>3571</v>
      </c>
      <c r="F3201" t="s">
        <v>9777</v>
      </c>
    </row>
    <row r="3202" spans="1:6">
      <c r="A3202" t="s">
        <v>8388</v>
      </c>
      <c r="B3202" t="s">
        <v>8389</v>
      </c>
      <c r="C3202" t="s">
        <v>9778</v>
      </c>
      <c r="D3202" t="s">
        <v>8391</v>
      </c>
      <c r="E3202" t="s">
        <v>9779</v>
      </c>
      <c r="F3202" t="s">
        <v>9780</v>
      </c>
    </row>
    <row r="3203" spans="1:6">
      <c r="A3203" t="s">
        <v>8388</v>
      </c>
      <c r="B3203" t="s">
        <v>8389</v>
      </c>
      <c r="C3203" t="s">
        <v>9781</v>
      </c>
      <c r="D3203" t="s">
        <v>8391</v>
      </c>
      <c r="E3203" t="s">
        <v>7949</v>
      </c>
      <c r="F3203" t="s">
        <v>9782</v>
      </c>
    </row>
    <row r="3204" spans="1:6">
      <c r="A3204" t="s">
        <v>8388</v>
      </c>
      <c r="B3204" t="s">
        <v>8389</v>
      </c>
      <c r="C3204" t="s">
        <v>9783</v>
      </c>
      <c r="D3204" t="s">
        <v>8391</v>
      </c>
      <c r="E3204" t="s">
        <v>4495</v>
      </c>
      <c r="F3204" t="s">
        <v>9784</v>
      </c>
    </row>
    <row r="3205" spans="1:6">
      <c r="A3205" t="s">
        <v>8388</v>
      </c>
      <c r="B3205" t="s">
        <v>8389</v>
      </c>
      <c r="C3205" t="s">
        <v>9785</v>
      </c>
      <c r="D3205" t="s">
        <v>8391</v>
      </c>
      <c r="E3205" t="s">
        <v>9786</v>
      </c>
      <c r="F3205" t="s">
        <v>9787</v>
      </c>
    </row>
    <row r="3206" spans="1:6">
      <c r="A3206" t="s">
        <v>8388</v>
      </c>
      <c r="B3206" t="s">
        <v>8389</v>
      </c>
      <c r="C3206" t="s">
        <v>9788</v>
      </c>
      <c r="D3206" t="s">
        <v>8391</v>
      </c>
      <c r="E3206" t="s">
        <v>9789</v>
      </c>
      <c r="F3206" t="s">
        <v>9790</v>
      </c>
    </row>
    <row r="3207" spans="1:6">
      <c r="A3207" t="s">
        <v>8388</v>
      </c>
      <c r="B3207" t="s">
        <v>8389</v>
      </c>
      <c r="C3207" t="s">
        <v>9791</v>
      </c>
      <c r="D3207" t="s">
        <v>8391</v>
      </c>
      <c r="E3207" t="s">
        <v>5246</v>
      </c>
      <c r="F3207" t="s">
        <v>9792</v>
      </c>
    </row>
    <row r="3208" spans="1:6">
      <c r="A3208" t="s">
        <v>8388</v>
      </c>
      <c r="B3208" t="s">
        <v>8389</v>
      </c>
      <c r="C3208" t="s">
        <v>9793</v>
      </c>
      <c r="D3208" t="s">
        <v>8391</v>
      </c>
      <c r="E3208" t="s">
        <v>9794</v>
      </c>
      <c r="F3208" t="s">
        <v>9795</v>
      </c>
    </row>
    <row r="3209" spans="1:6">
      <c r="A3209" t="s">
        <v>8388</v>
      </c>
      <c r="B3209" t="s">
        <v>8389</v>
      </c>
      <c r="C3209" t="s">
        <v>9796</v>
      </c>
      <c r="D3209" t="s">
        <v>8391</v>
      </c>
      <c r="E3209" t="s">
        <v>9797</v>
      </c>
      <c r="F3209" t="s">
        <v>9798</v>
      </c>
    </row>
    <row r="3210" spans="1:6">
      <c r="A3210" t="s">
        <v>8388</v>
      </c>
      <c r="B3210" t="s">
        <v>8389</v>
      </c>
      <c r="C3210" t="s">
        <v>9799</v>
      </c>
      <c r="D3210" t="s">
        <v>8391</v>
      </c>
      <c r="E3210" t="s">
        <v>9800</v>
      </c>
      <c r="F3210" t="s">
        <v>9801</v>
      </c>
    </row>
    <row r="3211" spans="1:6">
      <c r="A3211" t="s">
        <v>8388</v>
      </c>
      <c r="B3211" t="s">
        <v>8389</v>
      </c>
      <c r="C3211" t="s">
        <v>9802</v>
      </c>
      <c r="D3211" t="s">
        <v>8391</v>
      </c>
      <c r="E3211" t="s">
        <v>9803</v>
      </c>
      <c r="F3211" t="s">
        <v>9804</v>
      </c>
    </row>
    <row r="3212" spans="1:6">
      <c r="A3212" t="s">
        <v>8388</v>
      </c>
      <c r="B3212" t="s">
        <v>8389</v>
      </c>
      <c r="C3212" t="s">
        <v>9805</v>
      </c>
      <c r="D3212" t="s">
        <v>8391</v>
      </c>
      <c r="E3212" t="s">
        <v>9806</v>
      </c>
      <c r="F3212" t="s">
        <v>9807</v>
      </c>
    </row>
    <row r="3213" spans="1:6">
      <c r="A3213" t="s">
        <v>8388</v>
      </c>
      <c r="B3213" t="s">
        <v>8389</v>
      </c>
      <c r="C3213" t="s">
        <v>9808</v>
      </c>
      <c r="D3213" t="s">
        <v>8391</v>
      </c>
      <c r="E3213" t="s">
        <v>9809</v>
      </c>
      <c r="F3213" t="s">
        <v>9810</v>
      </c>
    </row>
    <row r="3214" spans="1:6">
      <c r="A3214" t="s">
        <v>8388</v>
      </c>
      <c r="B3214" t="s">
        <v>8389</v>
      </c>
      <c r="C3214" t="s">
        <v>9811</v>
      </c>
      <c r="D3214" t="s">
        <v>8391</v>
      </c>
      <c r="E3214" t="s">
        <v>9812</v>
      </c>
      <c r="F3214" t="s">
        <v>9813</v>
      </c>
    </row>
    <row r="3215" spans="1:6">
      <c r="A3215" t="s">
        <v>8388</v>
      </c>
      <c r="B3215" t="s">
        <v>8389</v>
      </c>
      <c r="C3215" t="s">
        <v>9814</v>
      </c>
      <c r="D3215" t="s">
        <v>8391</v>
      </c>
      <c r="E3215" t="s">
        <v>9815</v>
      </c>
      <c r="F3215" t="s">
        <v>9816</v>
      </c>
    </row>
    <row r="3216" spans="1:6">
      <c r="A3216" t="s">
        <v>8388</v>
      </c>
      <c r="B3216" t="s">
        <v>8389</v>
      </c>
      <c r="C3216" t="s">
        <v>9817</v>
      </c>
      <c r="D3216" t="s">
        <v>8391</v>
      </c>
      <c r="E3216" t="s">
        <v>894</v>
      </c>
      <c r="F3216" t="s">
        <v>9818</v>
      </c>
    </row>
    <row r="3217" spans="1:6">
      <c r="A3217" t="s">
        <v>8388</v>
      </c>
      <c r="B3217" t="s">
        <v>8389</v>
      </c>
      <c r="C3217" t="s">
        <v>9819</v>
      </c>
      <c r="D3217" t="s">
        <v>8391</v>
      </c>
      <c r="E3217" t="s">
        <v>9820</v>
      </c>
      <c r="F3217" t="s">
        <v>9821</v>
      </c>
    </row>
    <row r="3218" spans="1:6">
      <c r="A3218" t="s">
        <v>8388</v>
      </c>
      <c r="B3218" t="s">
        <v>8389</v>
      </c>
      <c r="C3218" t="s">
        <v>9822</v>
      </c>
      <c r="D3218" t="s">
        <v>8391</v>
      </c>
      <c r="E3218" t="s">
        <v>2855</v>
      </c>
      <c r="F3218" t="s">
        <v>9823</v>
      </c>
    </row>
    <row r="3219" spans="1:6">
      <c r="A3219" t="s">
        <v>8388</v>
      </c>
      <c r="B3219" t="s">
        <v>8389</v>
      </c>
      <c r="C3219" t="s">
        <v>9824</v>
      </c>
      <c r="D3219" t="s">
        <v>8391</v>
      </c>
      <c r="E3219" t="s">
        <v>9825</v>
      </c>
      <c r="F3219" t="s">
        <v>9826</v>
      </c>
    </row>
    <row r="3220" spans="1:6">
      <c r="A3220" t="s">
        <v>8388</v>
      </c>
      <c r="B3220" t="s">
        <v>8389</v>
      </c>
      <c r="C3220" t="s">
        <v>9827</v>
      </c>
      <c r="D3220" t="s">
        <v>8391</v>
      </c>
      <c r="E3220" t="s">
        <v>1296</v>
      </c>
      <c r="F3220" t="s">
        <v>9828</v>
      </c>
    </row>
    <row r="3221" spans="1:6">
      <c r="A3221" t="s">
        <v>8388</v>
      </c>
      <c r="B3221" t="s">
        <v>8389</v>
      </c>
      <c r="C3221" t="s">
        <v>9829</v>
      </c>
      <c r="D3221" t="s">
        <v>8391</v>
      </c>
      <c r="E3221" t="s">
        <v>9830</v>
      </c>
      <c r="F3221" t="s">
        <v>9831</v>
      </c>
    </row>
    <row r="3222" spans="1:6">
      <c r="A3222" t="s">
        <v>8388</v>
      </c>
      <c r="B3222" t="s">
        <v>8389</v>
      </c>
      <c r="C3222" t="s">
        <v>9832</v>
      </c>
      <c r="D3222" t="s">
        <v>8391</v>
      </c>
      <c r="E3222" t="s">
        <v>9833</v>
      </c>
      <c r="F3222" t="s">
        <v>9834</v>
      </c>
    </row>
    <row r="3223" spans="1:6">
      <c r="A3223" t="s">
        <v>8388</v>
      </c>
      <c r="B3223" t="s">
        <v>8389</v>
      </c>
      <c r="C3223" t="s">
        <v>9835</v>
      </c>
      <c r="D3223" t="s">
        <v>8391</v>
      </c>
      <c r="E3223" t="s">
        <v>9836</v>
      </c>
      <c r="F3223" t="s">
        <v>9837</v>
      </c>
    </row>
    <row r="3224" spans="1:6">
      <c r="A3224" t="s">
        <v>8388</v>
      </c>
      <c r="B3224" t="s">
        <v>8389</v>
      </c>
      <c r="C3224" t="s">
        <v>9838</v>
      </c>
      <c r="D3224" t="s">
        <v>8391</v>
      </c>
      <c r="E3224" t="s">
        <v>9839</v>
      </c>
      <c r="F3224" t="s">
        <v>9840</v>
      </c>
    </row>
    <row r="3225" spans="1:6">
      <c r="A3225" t="s">
        <v>8388</v>
      </c>
      <c r="B3225" t="s">
        <v>8389</v>
      </c>
      <c r="C3225" t="s">
        <v>9841</v>
      </c>
      <c r="D3225" t="s">
        <v>8391</v>
      </c>
      <c r="E3225" t="s">
        <v>9842</v>
      </c>
      <c r="F3225" t="s">
        <v>9843</v>
      </c>
    </row>
    <row r="3226" spans="1:6">
      <c r="A3226" t="s">
        <v>8388</v>
      </c>
      <c r="B3226" t="s">
        <v>8389</v>
      </c>
      <c r="C3226" t="s">
        <v>9844</v>
      </c>
      <c r="D3226" t="s">
        <v>8391</v>
      </c>
      <c r="E3226" t="s">
        <v>9845</v>
      </c>
      <c r="F3226" t="s">
        <v>9846</v>
      </c>
    </row>
    <row r="3227" spans="1:6">
      <c r="A3227" t="s">
        <v>8388</v>
      </c>
      <c r="B3227" t="s">
        <v>8389</v>
      </c>
      <c r="C3227" t="s">
        <v>9847</v>
      </c>
      <c r="D3227" t="s">
        <v>8391</v>
      </c>
      <c r="E3227" t="s">
        <v>9848</v>
      </c>
      <c r="F3227" t="s">
        <v>9849</v>
      </c>
    </row>
    <row r="3228" spans="1:6">
      <c r="A3228" t="s">
        <v>8388</v>
      </c>
      <c r="B3228" t="s">
        <v>8389</v>
      </c>
      <c r="C3228" t="s">
        <v>9850</v>
      </c>
      <c r="D3228" t="s">
        <v>8391</v>
      </c>
      <c r="E3228" t="s">
        <v>9851</v>
      </c>
      <c r="F3228" t="s">
        <v>9852</v>
      </c>
    </row>
    <row r="3229" spans="1:6">
      <c r="A3229" t="s">
        <v>8388</v>
      </c>
      <c r="B3229" t="s">
        <v>8389</v>
      </c>
      <c r="C3229" t="s">
        <v>9853</v>
      </c>
      <c r="D3229" t="s">
        <v>8391</v>
      </c>
      <c r="E3229" t="s">
        <v>842</v>
      </c>
      <c r="F3229" t="s">
        <v>9854</v>
      </c>
    </row>
    <row r="3230" spans="1:6">
      <c r="A3230" t="s">
        <v>8388</v>
      </c>
      <c r="B3230" t="s">
        <v>8389</v>
      </c>
      <c r="C3230" t="s">
        <v>9855</v>
      </c>
      <c r="D3230" t="s">
        <v>8391</v>
      </c>
      <c r="E3230" t="s">
        <v>9856</v>
      </c>
      <c r="F3230" t="s">
        <v>9857</v>
      </c>
    </row>
    <row r="3231" spans="1:6">
      <c r="A3231" t="s">
        <v>8388</v>
      </c>
      <c r="B3231" t="s">
        <v>8389</v>
      </c>
      <c r="C3231" t="s">
        <v>9858</v>
      </c>
      <c r="D3231" t="s">
        <v>8391</v>
      </c>
      <c r="E3231" t="s">
        <v>5258</v>
      </c>
      <c r="F3231" t="s">
        <v>9859</v>
      </c>
    </row>
    <row r="3232" spans="1:6">
      <c r="A3232" t="s">
        <v>8388</v>
      </c>
      <c r="B3232" t="s">
        <v>8389</v>
      </c>
      <c r="C3232" t="s">
        <v>9860</v>
      </c>
      <c r="D3232" t="s">
        <v>8391</v>
      </c>
      <c r="E3232" t="s">
        <v>9861</v>
      </c>
      <c r="F3232" t="s">
        <v>9862</v>
      </c>
    </row>
    <row r="3233" spans="1:12">
      <c r="A3233" t="s">
        <v>8388</v>
      </c>
      <c r="B3233" t="s">
        <v>8389</v>
      </c>
      <c r="C3233" t="s">
        <v>9863</v>
      </c>
      <c r="D3233" t="s">
        <v>8391</v>
      </c>
      <c r="E3233" t="s">
        <v>9864</v>
      </c>
      <c r="F3233" t="s">
        <v>9865</v>
      </c>
    </row>
    <row r="3234" spans="1:12">
      <c r="A3234" t="s">
        <v>8388</v>
      </c>
      <c r="B3234" t="s">
        <v>8389</v>
      </c>
      <c r="C3234" t="s">
        <v>9866</v>
      </c>
      <c r="D3234" t="s">
        <v>8391</v>
      </c>
      <c r="E3234" t="s">
        <v>9867</v>
      </c>
      <c r="F3234" t="s">
        <v>9868</v>
      </c>
    </row>
    <row r="3235" spans="1:12">
      <c r="A3235" t="s">
        <v>8388</v>
      </c>
      <c r="B3235" t="s">
        <v>8389</v>
      </c>
      <c r="C3235" t="s">
        <v>9869</v>
      </c>
      <c r="D3235" t="s">
        <v>8391</v>
      </c>
      <c r="E3235" t="s">
        <v>9870</v>
      </c>
      <c r="F3235" t="s">
        <v>9871</v>
      </c>
    </row>
    <row r="3236" spans="1:12">
      <c r="A3236" t="s">
        <v>8388</v>
      </c>
      <c r="B3236" t="s">
        <v>8389</v>
      </c>
      <c r="C3236" t="s">
        <v>9872</v>
      </c>
      <c r="D3236" t="s">
        <v>8391</v>
      </c>
      <c r="E3236" t="s">
        <v>9873</v>
      </c>
      <c r="F3236" t="s">
        <v>9874</v>
      </c>
    </row>
    <row r="3237" spans="1:12">
      <c r="A3237" t="s">
        <v>8388</v>
      </c>
      <c r="B3237" t="s">
        <v>8389</v>
      </c>
      <c r="C3237" t="s">
        <v>9875</v>
      </c>
      <c r="D3237" t="s">
        <v>8391</v>
      </c>
      <c r="E3237" t="s">
        <v>9876</v>
      </c>
      <c r="F3237" t="s">
        <v>9877</v>
      </c>
    </row>
    <row r="3238" spans="1:12">
      <c r="A3238" t="s">
        <v>8388</v>
      </c>
      <c r="B3238" t="s">
        <v>8389</v>
      </c>
      <c r="C3238" t="s">
        <v>9878</v>
      </c>
      <c r="D3238" t="s">
        <v>8391</v>
      </c>
      <c r="E3238" t="s">
        <v>9879</v>
      </c>
      <c r="F3238" t="s">
        <v>9880</v>
      </c>
      <c r="J3238" t="s">
        <v>9879</v>
      </c>
      <c r="K3238" t="s">
        <v>8126</v>
      </c>
      <c r="L3238" t="s">
        <v>851</v>
      </c>
    </row>
    <row r="3239" spans="1:12">
      <c r="A3239" t="s">
        <v>8388</v>
      </c>
      <c r="B3239" t="s">
        <v>8389</v>
      </c>
      <c r="C3239" t="s">
        <v>9881</v>
      </c>
      <c r="D3239" t="s">
        <v>8391</v>
      </c>
      <c r="E3239" t="s">
        <v>9882</v>
      </c>
      <c r="F3239" t="s">
        <v>9883</v>
      </c>
    </row>
    <row r="3240" spans="1:12">
      <c r="A3240" t="s">
        <v>8388</v>
      </c>
      <c r="B3240" t="s">
        <v>8389</v>
      </c>
      <c r="C3240" t="s">
        <v>9884</v>
      </c>
      <c r="D3240" t="s">
        <v>8391</v>
      </c>
      <c r="E3240" t="s">
        <v>1311</v>
      </c>
      <c r="F3240" t="s">
        <v>9885</v>
      </c>
    </row>
    <row r="3241" spans="1:12">
      <c r="A3241" t="s">
        <v>8388</v>
      </c>
      <c r="B3241" t="s">
        <v>8389</v>
      </c>
      <c r="C3241" t="s">
        <v>9886</v>
      </c>
      <c r="D3241" t="s">
        <v>8391</v>
      </c>
      <c r="E3241" t="s">
        <v>9887</v>
      </c>
      <c r="F3241" t="s">
        <v>9888</v>
      </c>
    </row>
    <row r="3242" spans="1:12">
      <c r="A3242" t="s">
        <v>8388</v>
      </c>
      <c r="B3242" t="s">
        <v>8389</v>
      </c>
      <c r="C3242" t="s">
        <v>9889</v>
      </c>
      <c r="D3242" t="s">
        <v>8391</v>
      </c>
      <c r="E3242" t="s">
        <v>8180</v>
      </c>
      <c r="F3242" t="s">
        <v>9890</v>
      </c>
    </row>
    <row r="3243" spans="1:12">
      <c r="A3243" t="s">
        <v>8388</v>
      </c>
      <c r="B3243" t="s">
        <v>8389</v>
      </c>
      <c r="C3243" t="s">
        <v>9891</v>
      </c>
      <c r="D3243" t="s">
        <v>8391</v>
      </c>
      <c r="E3243" t="s">
        <v>9892</v>
      </c>
      <c r="F3243" t="s">
        <v>9893</v>
      </c>
    </row>
    <row r="3244" spans="1:12">
      <c r="A3244" t="s">
        <v>8388</v>
      </c>
      <c r="B3244" t="s">
        <v>8389</v>
      </c>
      <c r="C3244" t="s">
        <v>9894</v>
      </c>
      <c r="D3244" t="s">
        <v>8391</v>
      </c>
      <c r="E3244" t="s">
        <v>9895</v>
      </c>
      <c r="F3244" t="s">
        <v>9896</v>
      </c>
    </row>
    <row r="3245" spans="1:12">
      <c r="A3245" t="s">
        <v>8388</v>
      </c>
      <c r="B3245" t="s">
        <v>8389</v>
      </c>
      <c r="C3245" t="s">
        <v>9897</v>
      </c>
      <c r="D3245" t="s">
        <v>8391</v>
      </c>
      <c r="E3245" t="s">
        <v>9898</v>
      </c>
      <c r="F3245" t="s">
        <v>9899</v>
      </c>
    </row>
    <row r="3246" spans="1:12">
      <c r="A3246" t="s">
        <v>8388</v>
      </c>
      <c r="B3246" t="s">
        <v>8389</v>
      </c>
      <c r="C3246" t="s">
        <v>9900</v>
      </c>
      <c r="D3246" t="s">
        <v>8391</v>
      </c>
      <c r="E3246" t="s">
        <v>9901</v>
      </c>
      <c r="F3246" t="s">
        <v>9902</v>
      </c>
      <c r="J3246" t="s">
        <v>9901</v>
      </c>
      <c r="K3246" t="s">
        <v>8126</v>
      </c>
      <c r="L3246" t="s">
        <v>851</v>
      </c>
    </row>
    <row r="3247" spans="1:12">
      <c r="A3247" t="s">
        <v>8388</v>
      </c>
      <c r="B3247" t="s">
        <v>8389</v>
      </c>
      <c r="C3247" t="s">
        <v>9903</v>
      </c>
      <c r="D3247" t="s">
        <v>8391</v>
      </c>
      <c r="E3247" t="s">
        <v>9904</v>
      </c>
      <c r="F3247" t="s">
        <v>9905</v>
      </c>
    </row>
    <row r="3248" spans="1:12">
      <c r="A3248" t="s">
        <v>8388</v>
      </c>
      <c r="B3248" t="s">
        <v>8389</v>
      </c>
      <c r="C3248" t="s">
        <v>9906</v>
      </c>
      <c r="D3248" t="s">
        <v>8391</v>
      </c>
      <c r="E3248" t="s">
        <v>3624</v>
      </c>
      <c r="F3248" t="s">
        <v>9907</v>
      </c>
      <c r="J3248" t="s">
        <v>3624</v>
      </c>
      <c r="K3248" t="s">
        <v>8126</v>
      </c>
      <c r="L3248" t="s">
        <v>851</v>
      </c>
    </row>
    <row r="3249" spans="1:6">
      <c r="A3249" t="s">
        <v>8388</v>
      </c>
      <c r="B3249" t="s">
        <v>8389</v>
      </c>
      <c r="C3249" t="s">
        <v>9908</v>
      </c>
      <c r="D3249" t="s">
        <v>8391</v>
      </c>
      <c r="E3249" t="s">
        <v>9909</v>
      </c>
      <c r="F3249" t="s">
        <v>9910</v>
      </c>
    </row>
    <row r="3250" spans="1:6">
      <c r="A3250" t="s">
        <v>8388</v>
      </c>
      <c r="B3250" t="s">
        <v>8389</v>
      </c>
      <c r="C3250" t="s">
        <v>9911</v>
      </c>
      <c r="D3250" t="s">
        <v>8391</v>
      </c>
      <c r="E3250" t="s">
        <v>9912</v>
      </c>
      <c r="F3250" t="s">
        <v>9913</v>
      </c>
    </row>
    <row r="3251" spans="1:6">
      <c r="A3251" t="s">
        <v>8388</v>
      </c>
      <c r="B3251" t="s">
        <v>8389</v>
      </c>
      <c r="C3251" t="s">
        <v>9914</v>
      </c>
      <c r="D3251" t="s">
        <v>8391</v>
      </c>
      <c r="E3251" t="s">
        <v>9915</v>
      </c>
      <c r="F3251" t="s">
        <v>9916</v>
      </c>
    </row>
    <row r="3252" spans="1:6">
      <c r="A3252" t="s">
        <v>8388</v>
      </c>
      <c r="B3252" t="s">
        <v>8389</v>
      </c>
      <c r="C3252" t="s">
        <v>9917</v>
      </c>
      <c r="D3252" t="s">
        <v>8391</v>
      </c>
      <c r="E3252" t="s">
        <v>9918</v>
      </c>
      <c r="F3252" t="s">
        <v>9919</v>
      </c>
    </row>
    <row r="3253" spans="1:6">
      <c r="A3253" t="s">
        <v>8388</v>
      </c>
      <c r="B3253" t="s">
        <v>8389</v>
      </c>
      <c r="C3253" t="s">
        <v>9920</v>
      </c>
      <c r="D3253" t="s">
        <v>8391</v>
      </c>
      <c r="E3253" t="s">
        <v>9921</v>
      </c>
      <c r="F3253" t="s">
        <v>9922</v>
      </c>
    </row>
    <row r="3254" spans="1:6">
      <c r="A3254" t="s">
        <v>8388</v>
      </c>
      <c r="B3254" t="s">
        <v>8389</v>
      </c>
      <c r="C3254" t="s">
        <v>9923</v>
      </c>
      <c r="D3254" t="s">
        <v>8391</v>
      </c>
      <c r="E3254" t="s">
        <v>9924</v>
      </c>
      <c r="F3254" t="s">
        <v>9925</v>
      </c>
    </row>
    <row r="3255" spans="1:6">
      <c r="A3255" t="s">
        <v>8388</v>
      </c>
      <c r="B3255" t="s">
        <v>8389</v>
      </c>
      <c r="C3255" t="s">
        <v>9926</v>
      </c>
      <c r="D3255" t="s">
        <v>8391</v>
      </c>
      <c r="E3255" t="s">
        <v>9927</v>
      </c>
      <c r="F3255" t="s">
        <v>9928</v>
      </c>
    </row>
    <row r="3256" spans="1:6">
      <c r="A3256" t="s">
        <v>8388</v>
      </c>
      <c r="B3256" t="s">
        <v>8389</v>
      </c>
      <c r="C3256" t="s">
        <v>9929</v>
      </c>
      <c r="D3256" t="s">
        <v>8391</v>
      </c>
      <c r="E3256" t="s">
        <v>9930</v>
      </c>
      <c r="F3256" t="s">
        <v>9931</v>
      </c>
    </row>
    <row r="3257" spans="1:6">
      <c r="A3257" t="s">
        <v>8388</v>
      </c>
      <c r="B3257" t="s">
        <v>8389</v>
      </c>
      <c r="C3257" t="s">
        <v>9932</v>
      </c>
      <c r="D3257" t="s">
        <v>8391</v>
      </c>
      <c r="E3257" t="s">
        <v>9933</v>
      </c>
      <c r="F3257" t="s">
        <v>9934</v>
      </c>
    </row>
    <row r="3258" spans="1:6">
      <c r="A3258" t="s">
        <v>8388</v>
      </c>
      <c r="B3258" t="s">
        <v>8389</v>
      </c>
      <c r="C3258" t="s">
        <v>9935</v>
      </c>
      <c r="D3258" t="s">
        <v>8391</v>
      </c>
      <c r="E3258" t="s">
        <v>9936</v>
      </c>
      <c r="F3258" t="s">
        <v>9937</v>
      </c>
    </row>
    <row r="3259" spans="1:6">
      <c r="A3259" t="s">
        <v>8388</v>
      </c>
      <c r="B3259" t="s">
        <v>8389</v>
      </c>
      <c r="C3259" t="s">
        <v>9938</v>
      </c>
      <c r="D3259" t="s">
        <v>8391</v>
      </c>
      <c r="E3259" t="s">
        <v>3518</v>
      </c>
      <c r="F3259" t="s">
        <v>9939</v>
      </c>
    </row>
    <row r="3260" spans="1:6">
      <c r="A3260" t="s">
        <v>8388</v>
      </c>
      <c r="B3260" t="s">
        <v>8389</v>
      </c>
      <c r="C3260" t="s">
        <v>9940</v>
      </c>
      <c r="D3260" t="s">
        <v>8391</v>
      </c>
      <c r="E3260" t="s">
        <v>1049</v>
      </c>
      <c r="F3260" t="s">
        <v>9941</v>
      </c>
    </row>
    <row r="3261" spans="1:6">
      <c r="A3261" t="s">
        <v>8388</v>
      </c>
      <c r="B3261" t="s">
        <v>8389</v>
      </c>
      <c r="C3261" t="s">
        <v>9942</v>
      </c>
      <c r="D3261" t="s">
        <v>8391</v>
      </c>
      <c r="E3261" t="s">
        <v>9943</v>
      </c>
      <c r="F3261" t="s">
        <v>9944</v>
      </c>
    </row>
    <row r="3262" spans="1:6">
      <c r="A3262" t="s">
        <v>8388</v>
      </c>
      <c r="B3262" t="s">
        <v>8389</v>
      </c>
      <c r="C3262" t="s">
        <v>9945</v>
      </c>
      <c r="D3262" t="s">
        <v>8391</v>
      </c>
      <c r="E3262" t="s">
        <v>1052</v>
      </c>
      <c r="F3262" t="s">
        <v>9946</v>
      </c>
    </row>
    <row r="3263" spans="1:6">
      <c r="A3263" t="s">
        <v>8388</v>
      </c>
      <c r="B3263" t="s">
        <v>8389</v>
      </c>
      <c r="C3263" t="s">
        <v>9947</v>
      </c>
      <c r="D3263" t="s">
        <v>8391</v>
      </c>
      <c r="E3263" t="s">
        <v>9948</v>
      </c>
      <c r="F3263" t="s">
        <v>9949</v>
      </c>
    </row>
    <row r="3264" spans="1:6">
      <c r="A3264" t="s">
        <v>8388</v>
      </c>
      <c r="B3264" t="s">
        <v>8389</v>
      </c>
      <c r="C3264" t="s">
        <v>9950</v>
      </c>
      <c r="D3264" t="s">
        <v>8391</v>
      </c>
      <c r="E3264" t="s">
        <v>6703</v>
      </c>
      <c r="F3264" t="s">
        <v>9951</v>
      </c>
    </row>
    <row r="3265" spans="1:12">
      <c r="A3265" t="s">
        <v>8388</v>
      </c>
      <c r="B3265" t="s">
        <v>8389</v>
      </c>
      <c r="C3265" t="s">
        <v>9952</v>
      </c>
      <c r="D3265" t="s">
        <v>8391</v>
      </c>
      <c r="E3265" t="s">
        <v>9953</v>
      </c>
      <c r="F3265" t="s">
        <v>9954</v>
      </c>
    </row>
    <row r="3266" spans="1:12">
      <c r="A3266" t="s">
        <v>8388</v>
      </c>
      <c r="B3266" t="s">
        <v>8389</v>
      </c>
      <c r="C3266" t="s">
        <v>9955</v>
      </c>
      <c r="D3266" t="s">
        <v>8391</v>
      </c>
      <c r="E3266" t="s">
        <v>5285</v>
      </c>
      <c r="F3266" t="s">
        <v>9956</v>
      </c>
    </row>
    <row r="3267" spans="1:12">
      <c r="A3267" t="s">
        <v>8388</v>
      </c>
      <c r="B3267" t="s">
        <v>8389</v>
      </c>
      <c r="C3267" t="s">
        <v>9957</v>
      </c>
      <c r="D3267" t="s">
        <v>8391</v>
      </c>
      <c r="E3267" t="s">
        <v>9958</v>
      </c>
      <c r="F3267" t="s">
        <v>9959</v>
      </c>
    </row>
    <row r="3268" spans="1:12">
      <c r="A3268" t="s">
        <v>8388</v>
      </c>
      <c r="B3268" t="s">
        <v>8389</v>
      </c>
      <c r="C3268" t="s">
        <v>9960</v>
      </c>
      <c r="D3268" t="s">
        <v>8391</v>
      </c>
      <c r="E3268" t="s">
        <v>9961</v>
      </c>
      <c r="F3268" t="s">
        <v>9962</v>
      </c>
    </row>
    <row r="3269" spans="1:12">
      <c r="A3269" t="s">
        <v>8388</v>
      </c>
      <c r="B3269" t="s">
        <v>8389</v>
      </c>
      <c r="C3269" t="s">
        <v>9963</v>
      </c>
      <c r="D3269" t="s">
        <v>8391</v>
      </c>
      <c r="E3269" t="s">
        <v>9964</v>
      </c>
      <c r="F3269" t="s">
        <v>9965</v>
      </c>
      <c r="J3269" t="s">
        <v>9964</v>
      </c>
      <c r="K3269" t="s">
        <v>8126</v>
      </c>
      <c r="L3269" t="s">
        <v>851</v>
      </c>
    </row>
    <row r="3270" spans="1:12">
      <c r="A3270" t="s">
        <v>8388</v>
      </c>
      <c r="B3270" t="s">
        <v>8389</v>
      </c>
      <c r="C3270" t="s">
        <v>9966</v>
      </c>
      <c r="D3270" t="s">
        <v>8391</v>
      </c>
      <c r="E3270" t="s">
        <v>9967</v>
      </c>
      <c r="F3270" t="s">
        <v>9968</v>
      </c>
    </row>
    <row r="3271" spans="1:12">
      <c r="A3271" t="s">
        <v>8388</v>
      </c>
      <c r="B3271" t="s">
        <v>8389</v>
      </c>
      <c r="C3271" t="s">
        <v>9969</v>
      </c>
      <c r="D3271" t="s">
        <v>8391</v>
      </c>
      <c r="E3271" t="s">
        <v>2939</v>
      </c>
      <c r="F3271" t="s">
        <v>9970</v>
      </c>
    </row>
    <row r="3272" spans="1:12">
      <c r="A3272" t="s">
        <v>8388</v>
      </c>
      <c r="B3272" t="s">
        <v>8389</v>
      </c>
      <c r="C3272" t="s">
        <v>9971</v>
      </c>
      <c r="D3272" t="s">
        <v>8391</v>
      </c>
      <c r="E3272" t="s">
        <v>9972</v>
      </c>
      <c r="F3272" t="s">
        <v>9973</v>
      </c>
    </row>
    <row r="3273" spans="1:12">
      <c r="A3273" t="s">
        <v>8388</v>
      </c>
      <c r="B3273" t="s">
        <v>8389</v>
      </c>
      <c r="C3273" t="s">
        <v>9974</v>
      </c>
      <c r="D3273" t="s">
        <v>8391</v>
      </c>
      <c r="E3273" t="s">
        <v>9975</v>
      </c>
      <c r="F3273" t="s">
        <v>9976</v>
      </c>
    </row>
    <row r="3274" spans="1:12">
      <c r="A3274" t="s">
        <v>8388</v>
      </c>
      <c r="B3274" t="s">
        <v>8389</v>
      </c>
      <c r="C3274" t="s">
        <v>9977</v>
      </c>
      <c r="D3274" t="s">
        <v>8391</v>
      </c>
      <c r="E3274" t="s">
        <v>9978</v>
      </c>
      <c r="F3274" t="s">
        <v>9979</v>
      </c>
    </row>
    <row r="3275" spans="1:12">
      <c r="A3275" t="s">
        <v>8388</v>
      </c>
      <c r="B3275" t="s">
        <v>8389</v>
      </c>
      <c r="C3275" t="s">
        <v>9980</v>
      </c>
      <c r="D3275" t="s">
        <v>8391</v>
      </c>
      <c r="E3275" t="s">
        <v>2942</v>
      </c>
      <c r="F3275" t="s">
        <v>9981</v>
      </c>
    </row>
    <row r="3276" spans="1:12">
      <c r="A3276" t="s">
        <v>8388</v>
      </c>
      <c r="B3276" t="s">
        <v>8389</v>
      </c>
      <c r="C3276" t="s">
        <v>9982</v>
      </c>
      <c r="D3276" t="s">
        <v>8391</v>
      </c>
      <c r="E3276" t="s">
        <v>9983</v>
      </c>
      <c r="F3276" t="s">
        <v>9984</v>
      </c>
    </row>
    <row r="3277" spans="1:12">
      <c r="A3277" t="s">
        <v>8388</v>
      </c>
      <c r="B3277" t="s">
        <v>8389</v>
      </c>
      <c r="C3277" t="s">
        <v>9985</v>
      </c>
      <c r="D3277" t="s">
        <v>8391</v>
      </c>
      <c r="E3277" t="s">
        <v>9986</v>
      </c>
      <c r="F3277" t="s">
        <v>9987</v>
      </c>
    </row>
    <row r="3278" spans="1:12">
      <c r="A3278" t="s">
        <v>8388</v>
      </c>
      <c r="B3278" t="s">
        <v>8389</v>
      </c>
      <c r="C3278" t="s">
        <v>9988</v>
      </c>
      <c r="D3278" t="s">
        <v>8391</v>
      </c>
      <c r="E3278" t="s">
        <v>9989</v>
      </c>
      <c r="F3278" t="s">
        <v>9990</v>
      </c>
    </row>
    <row r="3279" spans="1:12">
      <c r="A3279" t="s">
        <v>8388</v>
      </c>
      <c r="B3279" t="s">
        <v>8389</v>
      </c>
      <c r="C3279" t="s">
        <v>9991</v>
      </c>
      <c r="D3279" t="s">
        <v>8391</v>
      </c>
      <c r="E3279" t="s">
        <v>9992</v>
      </c>
      <c r="F3279" t="s">
        <v>9993</v>
      </c>
    </row>
    <row r="3280" spans="1:12">
      <c r="A3280" t="s">
        <v>8388</v>
      </c>
      <c r="B3280" t="s">
        <v>8389</v>
      </c>
      <c r="C3280" t="s">
        <v>9994</v>
      </c>
      <c r="D3280" t="s">
        <v>8391</v>
      </c>
      <c r="E3280" t="s">
        <v>3527</v>
      </c>
      <c r="F3280" t="s">
        <v>9995</v>
      </c>
      <c r="J3280" t="s">
        <v>3527</v>
      </c>
      <c r="K3280" t="s">
        <v>8126</v>
      </c>
      <c r="L3280" t="s">
        <v>851</v>
      </c>
    </row>
    <row r="3281" spans="1:12">
      <c r="A3281" t="s">
        <v>8388</v>
      </c>
      <c r="B3281" t="s">
        <v>8389</v>
      </c>
      <c r="C3281" t="s">
        <v>9996</v>
      </c>
      <c r="D3281" t="s">
        <v>8391</v>
      </c>
      <c r="E3281" t="s">
        <v>9997</v>
      </c>
      <c r="F3281" t="s">
        <v>9998</v>
      </c>
    </row>
    <row r="3282" spans="1:12">
      <c r="A3282" t="s">
        <v>8388</v>
      </c>
      <c r="B3282" t="s">
        <v>8389</v>
      </c>
      <c r="C3282" t="s">
        <v>9999</v>
      </c>
      <c r="D3282" t="s">
        <v>8391</v>
      </c>
      <c r="E3282" t="s">
        <v>10000</v>
      </c>
      <c r="F3282" t="s">
        <v>10001</v>
      </c>
    </row>
    <row r="3283" spans="1:12">
      <c r="A3283" t="s">
        <v>8388</v>
      </c>
      <c r="B3283" t="s">
        <v>8389</v>
      </c>
      <c r="C3283" t="s">
        <v>10002</v>
      </c>
      <c r="D3283" t="s">
        <v>8391</v>
      </c>
      <c r="E3283" t="s">
        <v>7438</v>
      </c>
      <c r="F3283" t="s">
        <v>10003</v>
      </c>
    </row>
    <row r="3284" spans="1:12">
      <c r="A3284" t="s">
        <v>8388</v>
      </c>
      <c r="B3284" t="s">
        <v>8389</v>
      </c>
      <c r="C3284" t="s">
        <v>10004</v>
      </c>
      <c r="D3284" t="s">
        <v>8391</v>
      </c>
      <c r="E3284" t="s">
        <v>5300</v>
      </c>
      <c r="F3284" t="s">
        <v>10005</v>
      </c>
    </row>
    <row r="3285" spans="1:12">
      <c r="A3285" t="s">
        <v>8388</v>
      </c>
      <c r="B3285" t="s">
        <v>8389</v>
      </c>
      <c r="C3285" t="s">
        <v>10006</v>
      </c>
      <c r="D3285" t="s">
        <v>8391</v>
      </c>
      <c r="E3285" t="s">
        <v>7447</v>
      </c>
      <c r="F3285" t="s">
        <v>10007</v>
      </c>
    </row>
    <row r="3286" spans="1:12">
      <c r="A3286" t="s">
        <v>8388</v>
      </c>
      <c r="B3286" t="s">
        <v>8389</v>
      </c>
      <c r="C3286" t="s">
        <v>10008</v>
      </c>
      <c r="D3286" t="s">
        <v>8391</v>
      </c>
      <c r="E3286" t="s">
        <v>10009</v>
      </c>
      <c r="F3286" t="s">
        <v>10010</v>
      </c>
    </row>
    <row r="3287" spans="1:12">
      <c r="A3287" t="s">
        <v>8388</v>
      </c>
      <c r="B3287" t="s">
        <v>8389</v>
      </c>
      <c r="C3287" t="s">
        <v>10011</v>
      </c>
      <c r="D3287" t="s">
        <v>8391</v>
      </c>
      <c r="E3287" t="s">
        <v>10012</v>
      </c>
      <c r="F3287" t="s">
        <v>10013</v>
      </c>
      <c r="J3287" t="s">
        <v>10012</v>
      </c>
      <c r="K3287" t="s">
        <v>8126</v>
      </c>
      <c r="L3287" t="s">
        <v>851</v>
      </c>
    </row>
    <row r="3288" spans="1:12">
      <c r="A3288" t="s">
        <v>8388</v>
      </c>
      <c r="B3288" t="s">
        <v>8389</v>
      </c>
      <c r="C3288" t="s">
        <v>10014</v>
      </c>
      <c r="D3288" t="s">
        <v>8391</v>
      </c>
      <c r="E3288" t="s">
        <v>2963</v>
      </c>
      <c r="F3288" t="s">
        <v>10015</v>
      </c>
    </row>
    <row r="3289" spans="1:12">
      <c r="A3289" t="s">
        <v>8388</v>
      </c>
      <c r="B3289" t="s">
        <v>8389</v>
      </c>
      <c r="C3289" t="s">
        <v>10016</v>
      </c>
      <c r="D3289" t="s">
        <v>8391</v>
      </c>
      <c r="E3289" t="s">
        <v>3407</v>
      </c>
      <c r="F3289" t="s">
        <v>10017</v>
      </c>
    </row>
    <row r="3290" spans="1:12">
      <c r="A3290" t="s">
        <v>8388</v>
      </c>
      <c r="B3290" t="s">
        <v>8389</v>
      </c>
      <c r="C3290" t="s">
        <v>10018</v>
      </c>
      <c r="D3290" t="s">
        <v>8391</v>
      </c>
      <c r="E3290" t="s">
        <v>10019</v>
      </c>
      <c r="F3290" t="s">
        <v>10020</v>
      </c>
      <c r="J3290" t="s">
        <v>10019</v>
      </c>
      <c r="K3290" t="s">
        <v>8126</v>
      </c>
      <c r="L3290" t="s">
        <v>851</v>
      </c>
    </row>
    <row r="3291" spans="1:12">
      <c r="A3291" t="s">
        <v>8388</v>
      </c>
      <c r="B3291" t="s">
        <v>8389</v>
      </c>
      <c r="C3291" t="s">
        <v>10021</v>
      </c>
      <c r="D3291" t="s">
        <v>8391</v>
      </c>
      <c r="E3291" t="s">
        <v>10022</v>
      </c>
      <c r="F3291" t="s">
        <v>10023</v>
      </c>
    </row>
    <row r="3292" spans="1:12">
      <c r="A3292" t="s">
        <v>8388</v>
      </c>
      <c r="B3292" t="s">
        <v>8389</v>
      </c>
      <c r="C3292" t="s">
        <v>10024</v>
      </c>
      <c r="D3292" t="s">
        <v>8391</v>
      </c>
      <c r="E3292" t="s">
        <v>10025</v>
      </c>
      <c r="F3292" t="s">
        <v>10026</v>
      </c>
    </row>
    <row r="3293" spans="1:12">
      <c r="A3293" t="s">
        <v>8388</v>
      </c>
      <c r="B3293" t="s">
        <v>8389</v>
      </c>
      <c r="C3293" t="s">
        <v>10027</v>
      </c>
      <c r="D3293" t="s">
        <v>8391</v>
      </c>
      <c r="E3293" t="s">
        <v>10028</v>
      </c>
      <c r="F3293" t="s">
        <v>10029</v>
      </c>
    </row>
    <row r="3294" spans="1:12">
      <c r="A3294" t="s">
        <v>8388</v>
      </c>
      <c r="B3294" t="s">
        <v>8389</v>
      </c>
      <c r="C3294" t="s">
        <v>10030</v>
      </c>
      <c r="D3294" t="s">
        <v>8391</v>
      </c>
      <c r="E3294" t="s">
        <v>10031</v>
      </c>
      <c r="F3294" t="s">
        <v>10032</v>
      </c>
    </row>
    <row r="3295" spans="1:12">
      <c r="A3295" t="s">
        <v>8388</v>
      </c>
      <c r="B3295" t="s">
        <v>8389</v>
      </c>
      <c r="C3295" t="s">
        <v>10033</v>
      </c>
      <c r="D3295" t="s">
        <v>8391</v>
      </c>
      <c r="E3295" t="s">
        <v>10034</v>
      </c>
      <c r="F3295" t="s">
        <v>10035</v>
      </c>
    </row>
    <row r="3296" spans="1:12">
      <c r="A3296" t="s">
        <v>8388</v>
      </c>
      <c r="B3296" t="s">
        <v>8389</v>
      </c>
      <c r="C3296" t="s">
        <v>10036</v>
      </c>
      <c r="D3296" t="s">
        <v>8391</v>
      </c>
      <c r="E3296" t="s">
        <v>10037</v>
      </c>
      <c r="F3296" t="s">
        <v>10038</v>
      </c>
    </row>
    <row r="3297" spans="1:12">
      <c r="A3297" t="s">
        <v>8388</v>
      </c>
      <c r="B3297" t="s">
        <v>8389</v>
      </c>
      <c r="C3297" t="s">
        <v>10039</v>
      </c>
      <c r="D3297" t="s">
        <v>8391</v>
      </c>
      <c r="E3297" t="s">
        <v>10040</v>
      </c>
      <c r="F3297" t="s">
        <v>10041</v>
      </c>
    </row>
    <row r="3298" spans="1:12">
      <c r="A3298" t="s">
        <v>8388</v>
      </c>
      <c r="B3298" t="s">
        <v>8389</v>
      </c>
      <c r="C3298" t="s">
        <v>10042</v>
      </c>
      <c r="D3298" t="s">
        <v>8391</v>
      </c>
      <c r="E3298" t="s">
        <v>10043</v>
      </c>
      <c r="F3298" t="s">
        <v>10044</v>
      </c>
    </row>
    <row r="3299" spans="1:12">
      <c r="A3299" t="s">
        <v>8388</v>
      </c>
      <c r="B3299" t="s">
        <v>8389</v>
      </c>
      <c r="C3299" t="s">
        <v>10045</v>
      </c>
      <c r="D3299" t="s">
        <v>8391</v>
      </c>
      <c r="E3299" t="s">
        <v>3017</v>
      </c>
      <c r="F3299" t="s">
        <v>10046</v>
      </c>
    </row>
    <row r="3300" spans="1:12">
      <c r="A3300" t="s">
        <v>8388</v>
      </c>
      <c r="B3300" t="s">
        <v>8389</v>
      </c>
      <c r="C3300" t="s">
        <v>10047</v>
      </c>
      <c r="D3300" t="s">
        <v>8391</v>
      </c>
      <c r="E3300" t="s">
        <v>10048</v>
      </c>
      <c r="F3300" t="s">
        <v>10049</v>
      </c>
    </row>
    <row r="3301" spans="1:12">
      <c r="A3301" t="s">
        <v>8388</v>
      </c>
      <c r="B3301" t="s">
        <v>8389</v>
      </c>
      <c r="C3301" t="s">
        <v>10050</v>
      </c>
      <c r="D3301" t="s">
        <v>8391</v>
      </c>
      <c r="E3301" t="s">
        <v>10051</v>
      </c>
      <c r="F3301" t="s">
        <v>10052</v>
      </c>
    </row>
    <row r="3302" spans="1:12">
      <c r="A3302" t="s">
        <v>8388</v>
      </c>
      <c r="B3302" t="s">
        <v>8389</v>
      </c>
      <c r="C3302" t="s">
        <v>10053</v>
      </c>
      <c r="D3302" t="s">
        <v>8391</v>
      </c>
      <c r="E3302" t="s">
        <v>10054</v>
      </c>
      <c r="F3302" t="s">
        <v>10055</v>
      </c>
    </row>
    <row r="3303" spans="1:12">
      <c r="A3303" t="s">
        <v>8388</v>
      </c>
      <c r="B3303" t="s">
        <v>8389</v>
      </c>
      <c r="C3303" t="s">
        <v>10056</v>
      </c>
      <c r="D3303" t="s">
        <v>8391</v>
      </c>
      <c r="E3303" t="s">
        <v>10057</v>
      </c>
      <c r="F3303" t="s">
        <v>10058</v>
      </c>
      <c r="J3303" t="s">
        <v>10057</v>
      </c>
      <c r="K3303" t="s">
        <v>8126</v>
      </c>
      <c r="L3303" t="s">
        <v>851</v>
      </c>
    </row>
    <row r="3304" spans="1:12">
      <c r="A3304" t="s">
        <v>8388</v>
      </c>
      <c r="B3304" t="s">
        <v>8389</v>
      </c>
      <c r="C3304" t="s">
        <v>10059</v>
      </c>
      <c r="D3304" t="s">
        <v>8391</v>
      </c>
      <c r="E3304" t="s">
        <v>10060</v>
      </c>
      <c r="F3304" t="s">
        <v>10061</v>
      </c>
    </row>
    <row r="3305" spans="1:12">
      <c r="A3305" t="s">
        <v>8388</v>
      </c>
      <c r="B3305" t="s">
        <v>8389</v>
      </c>
      <c r="C3305" t="s">
        <v>10062</v>
      </c>
      <c r="D3305" t="s">
        <v>8391</v>
      </c>
      <c r="E3305" t="s">
        <v>10063</v>
      </c>
      <c r="F3305" t="s">
        <v>10064</v>
      </c>
    </row>
    <row r="3306" spans="1:12">
      <c r="A3306" t="s">
        <v>8388</v>
      </c>
      <c r="B3306" t="s">
        <v>8389</v>
      </c>
      <c r="C3306" t="s">
        <v>10065</v>
      </c>
      <c r="D3306" t="s">
        <v>8391</v>
      </c>
      <c r="E3306" t="s">
        <v>10066</v>
      </c>
      <c r="F3306" t="s">
        <v>10067</v>
      </c>
    </row>
    <row r="3307" spans="1:12">
      <c r="A3307" t="s">
        <v>8388</v>
      </c>
      <c r="B3307" t="s">
        <v>8389</v>
      </c>
      <c r="C3307" t="s">
        <v>10068</v>
      </c>
      <c r="D3307" t="s">
        <v>8391</v>
      </c>
      <c r="E3307" t="s">
        <v>10069</v>
      </c>
      <c r="F3307" t="s">
        <v>10069</v>
      </c>
    </row>
    <row r="3308" spans="1:12">
      <c r="A3308" t="s">
        <v>8388</v>
      </c>
      <c r="B3308" t="s">
        <v>8389</v>
      </c>
      <c r="C3308" t="s">
        <v>10070</v>
      </c>
      <c r="D3308" t="s">
        <v>8391</v>
      </c>
      <c r="E3308" t="s">
        <v>10071</v>
      </c>
      <c r="F3308" t="s">
        <v>10072</v>
      </c>
    </row>
    <row r="3309" spans="1:12">
      <c r="A3309" t="s">
        <v>8388</v>
      </c>
      <c r="B3309" t="s">
        <v>8389</v>
      </c>
      <c r="C3309" t="s">
        <v>10073</v>
      </c>
      <c r="D3309" t="s">
        <v>8391</v>
      </c>
      <c r="E3309" t="s">
        <v>10074</v>
      </c>
      <c r="F3309" t="s">
        <v>10075</v>
      </c>
    </row>
    <row r="3310" spans="1:12">
      <c r="A3310" t="s">
        <v>8388</v>
      </c>
      <c r="B3310" t="s">
        <v>8389</v>
      </c>
      <c r="C3310" t="s">
        <v>10076</v>
      </c>
      <c r="D3310" t="s">
        <v>8391</v>
      </c>
      <c r="E3310" t="s">
        <v>3545</v>
      </c>
      <c r="F3310" t="s">
        <v>10077</v>
      </c>
    </row>
    <row r="3311" spans="1:12">
      <c r="A3311" t="s">
        <v>8388</v>
      </c>
      <c r="B3311" t="s">
        <v>8389</v>
      </c>
      <c r="C3311" t="s">
        <v>10078</v>
      </c>
      <c r="D3311" t="s">
        <v>8391</v>
      </c>
      <c r="E3311" t="s">
        <v>10079</v>
      </c>
      <c r="F3311" t="s">
        <v>10080</v>
      </c>
    </row>
    <row r="3312" spans="1:12">
      <c r="A3312" t="s">
        <v>8388</v>
      </c>
      <c r="B3312" t="s">
        <v>8389</v>
      </c>
      <c r="C3312" t="s">
        <v>10081</v>
      </c>
      <c r="D3312" t="s">
        <v>8391</v>
      </c>
      <c r="E3312" t="s">
        <v>10082</v>
      </c>
      <c r="F3312" t="s">
        <v>10083</v>
      </c>
    </row>
    <row r="3313" spans="1:6">
      <c r="A3313" t="s">
        <v>8388</v>
      </c>
      <c r="B3313" t="s">
        <v>8389</v>
      </c>
      <c r="C3313" t="s">
        <v>10084</v>
      </c>
      <c r="D3313" t="s">
        <v>8391</v>
      </c>
      <c r="E3313" t="s">
        <v>10085</v>
      </c>
      <c r="F3313" t="s">
        <v>10086</v>
      </c>
    </row>
    <row r="3314" spans="1:6">
      <c r="A3314" t="s">
        <v>8388</v>
      </c>
      <c r="B3314" t="s">
        <v>8389</v>
      </c>
      <c r="C3314" t="s">
        <v>10087</v>
      </c>
      <c r="D3314" t="s">
        <v>8391</v>
      </c>
      <c r="E3314" t="s">
        <v>1434</v>
      </c>
      <c r="F3314" t="s">
        <v>10088</v>
      </c>
    </row>
    <row r="3315" spans="1:6">
      <c r="A3315" t="s">
        <v>8388</v>
      </c>
      <c r="B3315" t="s">
        <v>8389</v>
      </c>
      <c r="C3315" t="s">
        <v>10089</v>
      </c>
      <c r="D3315" t="s">
        <v>8391</v>
      </c>
      <c r="E3315" t="s">
        <v>10090</v>
      </c>
      <c r="F3315" t="s">
        <v>10091</v>
      </c>
    </row>
    <row r="3316" spans="1:6">
      <c r="A3316" t="s">
        <v>8388</v>
      </c>
      <c r="B3316" t="s">
        <v>8389</v>
      </c>
      <c r="C3316" t="s">
        <v>10092</v>
      </c>
      <c r="D3316" t="s">
        <v>8391</v>
      </c>
      <c r="E3316" t="s">
        <v>10093</v>
      </c>
      <c r="F3316" t="s">
        <v>10094</v>
      </c>
    </row>
    <row r="3317" spans="1:6">
      <c r="A3317" t="s">
        <v>8388</v>
      </c>
      <c r="B3317" t="s">
        <v>8389</v>
      </c>
      <c r="C3317" t="s">
        <v>10095</v>
      </c>
      <c r="D3317" t="s">
        <v>8391</v>
      </c>
      <c r="E3317" t="s">
        <v>10096</v>
      </c>
      <c r="F3317" t="s">
        <v>10097</v>
      </c>
    </row>
    <row r="3318" spans="1:6">
      <c r="A3318" t="s">
        <v>8388</v>
      </c>
      <c r="B3318" t="s">
        <v>8389</v>
      </c>
      <c r="C3318" t="s">
        <v>10098</v>
      </c>
      <c r="D3318" t="s">
        <v>8391</v>
      </c>
      <c r="E3318" t="s">
        <v>10099</v>
      </c>
      <c r="F3318" t="s">
        <v>10100</v>
      </c>
    </row>
    <row r="3319" spans="1:6">
      <c r="A3319" t="s">
        <v>8388</v>
      </c>
      <c r="B3319" t="s">
        <v>8389</v>
      </c>
      <c r="C3319" t="s">
        <v>10101</v>
      </c>
      <c r="D3319" t="s">
        <v>8391</v>
      </c>
      <c r="E3319" t="s">
        <v>10102</v>
      </c>
      <c r="F3319" t="s">
        <v>10103</v>
      </c>
    </row>
    <row r="3320" spans="1:6">
      <c r="A3320" t="s">
        <v>8388</v>
      </c>
      <c r="B3320" t="s">
        <v>8389</v>
      </c>
      <c r="C3320" t="s">
        <v>10104</v>
      </c>
      <c r="D3320" t="s">
        <v>8391</v>
      </c>
      <c r="E3320" t="s">
        <v>10105</v>
      </c>
      <c r="F3320" t="s">
        <v>10106</v>
      </c>
    </row>
    <row r="3321" spans="1:6">
      <c r="A3321" t="s">
        <v>8388</v>
      </c>
      <c r="B3321" t="s">
        <v>8389</v>
      </c>
      <c r="C3321" t="s">
        <v>10107</v>
      </c>
      <c r="D3321" t="s">
        <v>8391</v>
      </c>
      <c r="E3321" t="s">
        <v>10108</v>
      </c>
      <c r="F3321" t="s">
        <v>10109</v>
      </c>
    </row>
    <row r="3322" spans="1:6">
      <c r="A3322" t="s">
        <v>8388</v>
      </c>
      <c r="B3322" t="s">
        <v>8389</v>
      </c>
      <c r="C3322" t="s">
        <v>10110</v>
      </c>
      <c r="D3322" t="s">
        <v>8391</v>
      </c>
      <c r="E3322" t="s">
        <v>3076</v>
      </c>
      <c r="F3322" t="s">
        <v>10111</v>
      </c>
    </row>
    <row r="3323" spans="1:6">
      <c r="A3323" t="s">
        <v>8388</v>
      </c>
      <c r="B3323" t="s">
        <v>8389</v>
      </c>
      <c r="C3323" t="s">
        <v>10112</v>
      </c>
      <c r="D3323" t="s">
        <v>8391</v>
      </c>
      <c r="E3323" t="s">
        <v>10113</v>
      </c>
      <c r="F3323" t="s">
        <v>10114</v>
      </c>
    </row>
    <row r="3324" spans="1:6">
      <c r="A3324" t="s">
        <v>8388</v>
      </c>
      <c r="B3324" t="s">
        <v>8389</v>
      </c>
      <c r="C3324" t="s">
        <v>10115</v>
      </c>
      <c r="D3324" t="s">
        <v>8391</v>
      </c>
      <c r="E3324" t="s">
        <v>10116</v>
      </c>
      <c r="F3324" t="s">
        <v>10117</v>
      </c>
    </row>
    <row r="3325" spans="1:6">
      <c r="A3325" t="s">
        <v>8388</v>
      </c>
      <c r="B3325" t="s">
        <v>8389</v>
      </c>
      <c r="C3325" t="s">
        <v>10118</v>
      </c>
      <c r="D3325" t="s">
        <v>8391</v>
      </c>
      <c r="E3325" t="s">
        <v>5341</v>
      </c>
      <c r="F3325" t="s">
        <v>10119</v>
      </c>
    </row>
    <row r="3326" spans="1:6">
      <c r="A3326" t="s">
        <v>8388</v>
      </c>
      <c r="B3326" t="s">
        <v>8389</v>
      </c>
      <c r="C3326" t="s">
        <v>10120</v>
      </c>
      <c r="D3326" t="s">
        <v>8391</v>
      </c>
      <c r="E3326" t="s">
        <v>10121</v>
      </c>
      <c r="F3326" t="s">
        <v>10122</v>
      </c>
    </row>
    <row r="3327" spans="1:6">
      <c r="A3327" t="s">
        <v>8388</v>
      </c>
      <c r="B3327" t="s">
        <v>8389</v>
      </c>
      <c r="C3327" t="s">
        <v>10123</v>
      </c>
      <c r="D3327" t="s">
        <v>8391</v>
      </c>
      <c r="E3327" t="s">
        <v>10124</v>
      </c>
      <c r="F3327" t="s">
        <v>10125</v>
      </c>
    </row>
    <row r="3328" spans="1:6">
      <c r="A3328" t="s">
        <v>8388</v>
      </c>
      <c r="B3328" t="s">
        <v>8389</v>
      </c>
      <c r="C3328" t="s">
        <v>10126</v>
      </c>
      <c r="D3328" t="s">
        <v>8391</v>
      </c>
      <c r="E3328" t="s">
        <v>10127</v>
      </c>
      <c r="F3328" t="s">
        <v>10128</v>
      </c>
    </row>
    <row r="3329" spans="1:12">
      <c r="A3329" t="s">
        <v>8388</v>
      </c>
      <c r="B3329" t="s">
        <v>8389</v>
      </c>
      <c r="C3329" t="s">
        <v>10129</v>
      </c>
      <c r="D3329" t="s">
        <v>8391</v>
      </c>
      <c r="E3329" t="s">
        <v>10130</v>
      </c>
      <c r="F3329" t="s">
        <v>10131</v>
      </c>
    </row>
    <row r="3330" spans="1:12">
      <c r="A3330" t="s">
        <v>8388</v>
      </c>
      <c r="B3330" t="s">
        <v>8389</v>
      </c>
      <c r="C3330" t="s">
        <v>10132</v>
      </c>
      <c r="D3330" t="s">
        <v>8391</v>
      </c>
      <c r="E3330" t="s">
        <v>3091</v>
      </c>
      <c r="F3330" t="s">
        <v>10133</v>
      </c>
    </row>
    <row r="3331" spans="1:12">
      <c r="A3331" t="s">
        <v>8388</v>
      </c>
      <c r="B3331" t="s">
        <v>8389</v>
      </c>
      <c r="C3331" t="s">
        <v>10134</v>
      </c>
      <c r="D3331" t="s">
        <v>8391</v>
      </c>
      <c r="E3331" t="s">
        <v>5344</v>
      </c>
      <c r="F3331" t="s">
        <v>10135</v>
      </c>
    </row>
    <row r="3332" spans="1:12">
      <c r="A3332" t="s">
        <v>8388</v>
      </c>
      <c r="B3332" t="s">
        <v>8389</v>
      </c>
      <c r="C3332" t="s">
        <v>10136</v>
      </c>
      <c r="D3332" t="s">
        <v>8391</v>
      </c>
      <c r="E3332" t="s">
        <v>10137</v>
      </c>
      <c r="F3332" t="s">
        <v>10138</v>
      </c>
    </row>
    <row r="3333" spans="1:12">
      <c r="A3333" t="s">
        <v>8388</v>
      </c>
      <c r="B3333" t="s">
        <v>8389</v>
      </c>
      <c r="C3333" t="s">
        <v>10139</v>
      </c>
      <c r="D3333" t="s">
        <v>8391</v>
      </c>
      <c r="E3333" t="s">
        <v>10140</v>
      </c>
      <c r="F3333" t="s">
        <v>10141</v>
      </c>
    </row>
    <row r="3334" spans="1:12">
      <c r="A3334" t="s">
        <v>8388</v>
      </c>
      <c r="B3334" t="s">
        <v>8389</v>
      </c>
      <c r="C3334" t="s">
        <v>10142</v>
      </c>
      <c r="D3334" t="s">
        <v>8391</v>
      </c>
      <c r="E3334" t="s">
        <v>10143</v>
      </c>
      <c r="F3334" t="s">
        <v>10144</v>
      </c>
    </row>
    <row r="3335" spans="1:12">
      <c r="A3335" t="s">
        <v>8388</v>
      </c>
      <c r="B3335" t="s">
        <v>8389</v>
      </c>
      <c r="C3335" t="s">
        <v>10145</v>
      </c>
      <c r="D3335" t="s">
        <v>8391</v>
      </c>
      <c r="E3335" t="s">
        <v>10146</v>
      </c>
      <c r="F3335" t="s">
        <v>10147</v>
      </c>
    </row>
    <row r="3336" spans="1:12">
      <c r="A3336" t="s">
        <v>8388</v>
      </c>
      <c r="B3336" t="s">
        <v>8389</v>
      </c>
      <c r="C3336" t="s">
        <v>10148</v>
      </c>
      <c r="D3336" t="s">
        <v>8391</v>
      </c>
      <c r="E3336" t="s">
        <v>10149</v>
      </c>
      <c r="F3336" t="s">
        <v>10150</v>
      </c>
    </row>
    <row r="3337" spans="1:12">
      <c r="A3337" t="s">
        <v>8388</v>
      </c>
      <c r="B3337" t="s">
        <v>8389</v>
      </c>
      <c r="C3337" t="s">
        <v>10151</v>
      </c>
      <c r="D3337" t="s">
        <v>8391</v>
      </c>
      <c r="E3337" t="s">
        <v>3097</v>
      </c>
      <c r="F3337" t="s">
        <v>10152</v>
      </c>
    </row>
    <row r="3338" spans="1:12">
      <c r="A3338" t="s">
        <v>8388</v>
      </c>
      <c r="B3338" t="s">
        <v>8389</v>
      </c>
      <c r="C3338" t="s">
        <v>10153</v>
      </c>
      <c r="D3338" t="s">
        <v>8391</v>
      </c>
      <c r="E3338" t="s">
        <v>10154</v>
      </c>
      <c r="F3338" t="s">
        <v>10155</v>
      </c>
    </row>
    <row r="3339" spans="1:12">
      <c r="A3339" t="s">
        <v>8388</v>
      </c>
      <c r="B3339" t="s">
        <v>8389</v>
      </c>
      <c r="C3339" t="s">
        <v>10156</v>
      </c>
      <c r="D3339" t="s">
        <v>8391</v>
      </c>
      <c r="E3339" t="s">
        <v>10157</v>
      </c>
      <c r="F3339" t="s">
        <v>10158</v>
      </c>
    </row>
    <row r="3340" spans="1:12">
      <c r="A3340" t="s">
        <v>8388</v>
      </c>
      <c r="B3340" t="s">
        <v>8389</v>
      </c>
      <c r="C3340" t="s">
        <v>10159</v>
      </c>
      <c r="D3340" t="s">
        <v>8391</v>
      </c>
      <c r="E3340" t="s">
        <v>10160</v>
      </c>
      <c r="F3340" t="s">
        <v>10161</v>
      </c>
    </row>
    <row r="3341" spans="1:12">
      <c r="A3341" t="s">
        <v>8388</v>
      </c>
      <c r="B3341" t="s">
        <v>8389</v>
      </c>
      <c r="C3341" t="s">
        <v>10162</v>
      </c>
      <c r="D3341" t="s">
        <v>8391</v>
      </c>
      <c r="E3341" t="s">
        <v>10163</v>
      </c>
      <c r="F3341" t="s">
        <v>10164</v>
      </c>
      <c r="J3341" t="s">
        <v>10163</v>
      </c>
      <c r="K3341" t="s">
        <v>8126</v>
      </c>
      <c r="L3341" t="s">
        <v>851</v>
      </c>
    </row>
    <row r="3342" spans="1:12">
      <c r="A3342" t="s">
        <v>8388</v>
      </c>
      <c r="B3342" t="s">
        <v>8389</v>
      </c>
      <c r="C3342" t="s">
        <v>10165</v>
      </c>
      <c r="D3342" t="s">
        <v>8391</v>
      </c>
      <c r="E3342" t="s">
        <v>10166</v>
      </c>
      <c r="F3342" t="s">
        <v>10167</v>
      </c>
      <c r="J3342" t="s">
        <v>10166</v>
      </c>
      <c r="K3342" t="s">
        <v>8126</v>
      </c>
      <c r="L3342" t="s">
        <v>851</v>
      </c>
    </row>
    <row r="3343" spans="1:12">
      <c r="A3343" t="s">
        <v>8388</v>
      </c>
      <c r="B3343" t="s">
        <v>8389</v>
      </c>
      <c r="C3343" t="s">
        <v>10168</v>
      </c>
      <c r="D3343" t="s">
        <v>8391</v>
      </c>
      <c r="E3343" t="s">
        <v>10169</v>
      </c>
      <c r="F3343" t="s">
        <v>10170</v>
      </c>
    </row>
    <row r="3344" spans="1:12">
      <c r="A3344" t="s">
        <v>8388</v>
      </c>
      <c r="B3344" t="s">
        <v>8389</v>
      </c>
      <c r="C3344" t="s">
        <v>10171</v>
      </c>
      <c r="D3344" t="s">
        <v>8391</v>
      </c>
      <c r="E3344" t="s">
        <v>10172</v>
      </c>
      <c r="F3344" t="s">
        <v>10173</v>
      </c>
    </row>
    <row r="3345" spans="1:6">
      <c r="A3345" t="s">
        <v>8388</v>
      </c>
      <c r="B3345" t="s">
        <v>8389</v>
      </c>
      <c r="C3345" t="s">
        <v>10174</v>
      </c>
      <c r="D3345" t="s">
        <v>8391</v>
      </c>
      <c r="E3345" t="s">
        <v>906</v>
      </c>
      <c r="F3345" t="s">
        <v>10175</v>
      </c>
    </row>
    <row r="3346" spans="1:6">
      <c r="A3346" t="s">
        <v>8388</v>
      </c>
      <c r="B3346" t="s">
        <v>8389</v>
      </c>
      <c r="C3346" t="s">
        <v>10176</v>
      </c>
      <c r="D3346" t="s">
        <v>8391</v>
      </c>
      <c r="E3346" t="s">
        <v>10177</v>
      </c>
      <c r="F3346" t="s">
        <v>10178</v>
      </c>
    </row>
    <row r="3347" spans="1:6">
      <c r="A3347" t="s">
        <v>8388</v>
      </c>
      <c r="B3347" t="s">
        <v>8389</v>
      </c>
      <c r="C3347" t="s">
        <v>10179</v>
      </c>
      <c r="D3347" t="s">
        <v>8391</v>
      </c>
      <c r="E3347" t="s">
        <v>3109</v>
      </c>
      <c r="F3347" t="s">
        <v>10180</v>
      </c>
    </row>
    <row r="3348" spans="1:6">
      <c r="A3348" t="s">
        <v>8388</v>
      </c>
      <c r="B3348" t="s">
        <v>8389</v>
      </c>
      <c r="C3348" t="s">
        <v>10181</v>
      </c>
      <c r="D3348" t="s">
        <v>8391</v>
      </c>
      <c r="E3348" t="s">
        <v>10182</v>
      </c>
      <c r="F3348" t="s">
        <v>10183</v>
      </c>
    </row>
    <row r="3349" spans="1:6">
      <c r="A3349" t="s">
        <v>8388</v>
      </c>
      <c r="B3349" t="s">
        <v>8389</v>
      </c>
      <c r="C3349" t="s">
        <v>10184</v>
      </c>
      <c r="D3349" t="s">
        <v>8391</v>
      </c>
      <c r="E3349" t="s">
        <v>3115</v>
      </c>
      <c r="F3349" t="s">
        <v>10185</v>
      </c>
    </row>
    <row r="3350" spans="1:6">
      <c r="A3350" t="s">
        <v>8388</v>
      </c>
      <c r="B3350" t="s">
        <v>8389</v>
      </c>
      <c r="C3350" t="s">
        <v>10186</v>
      </c>
      <c r="D3350" t="s">
        <v>8391</v>
      </c>
      <c r="E3350" t="s">
        <v>10187</v>
      </c>
      <c r="F3350" t="s">
        <v>10188</v>
      </c>
    </row>
    <row r="3351" spans="1:6">
      <c r="A3351" t="s">
        <v>8388</v>
      </c>
      <c r="B3351" t="s">
        <v>8389</v>
      </c>
      <c r="C3351" t="s">
        <v>10189</v>
      </c>
      <c r="D3351" t="s">
        <v>8391</v>
      </c>
      <c r="E3351" t="s">
        <v>10190</v>
      </c>
      <c r="F3351" t="s">
        <v>10191</v>
      </c>
    </row>
    <row r="3352" spans="1:6">
      <c r="A3352" t="s">
        <v>8388</v>
      </c>
      <c r="B3352" t="s">
        <v>8389</v>
      </c>
      <c r="C3352" t="s">
        <v>10192</v>
      </c>
      <c r="D3352" t="s">
        <v>8391</v>
      </c>
      <c r="E3352" t="s">
        <v>10193</v>
      </c>
      <c r="F3352" t="s">
        <v>10194</v>
      </c>
    </row>
    <row r="3353" spans="1:6">
      <c r="A3353" t="s">
        <v>8388</v>
      </c>
      <c r="B3353" t="s">
        <v>8389</v>
      </c>
      <c r="C3353" t="s">
        <v>10195</v>
      </c>
      <c r="D3353" t="s">
        <v>8391</v>
      </c>
      <c r="E3353" t="s">
        <v>10196</v>
      </c>
      <c r="F3353" t="s">
        <v>10197</v>
      </c>
    </row>
    <row r="3354" spans="1:6">
      <c r="A3354" t="s">
        <v>8388</v>
      </c>
      <c r="B3354" t="s">
        <v>8389</v>
      </c>
      <c r="C3354" t="s">
        <v>10198</v>
      </c>
      <c r="D3354" t="s">
        <v>8391</v>
      </c>
      <c r="E3354" t="s">
        <v>10199</v>
      </c>
      <c r="F3354" t="s">
        <v>10200</v>
      </c>
    </row>
    <row r="3355" spans="1:6">
      <c r="A3355" t="s">
        <v>8388</v>
      </c>
      <c r="B3355" t="s">
        <v>8389</v>
      </c>
      <c r="C3355" t="s">
        <v>10201</v>
      </c>
      <c r="D3355" t="s">
        <v>8391</v>
      </c>
      <c r="E3355" t="s">
        <v>10202</v>
      </c>
      <c r="F3355" t="s">
        <v>10203</v>
      </c>
    </row>
    <row r="3356" spans="1:6">
      <c r="A3356" t="s">
        <v>8388</v>
      </c>
      <c r="B3356" t="s">
        <v>8389</v>
      </c>
      <c r="C3356" t="s">
        <v>10204</v>
      </c>
      <c r="D3356" t="s">
        <v>8391</v>
      </c>
      <c r="E3356" t="s">
        <v>5367</v>
      </c>
      <c r="F3356" t="s">
        <v>10205</v>
      </c>
    </row>
    <row r="3357" spans="1:6">
      <c r="A3357" t="s">
        <v>8388</v>
      </c>
      <c r="B3357" t="s">
        <v>8389</v>
      </c>
      <c r="C3357" t="s">
        <v>10206</v>
      </c>
      <c r="D3357" t="s">
        <v>8391</v>
      </c>
      <c r="E3357" t="s">
        <v>10207</v>
      </c>
      <c r="F3357" t="s">
        <v>10208</v>
      </c>
    </row>
    <row r="3358" spans="1:6">
      <c r="A3358" t="s">
        <v>8388</v>
      </c>
      <c r="B3358" t="s">
        <v>8389</v>
      </c>
      <c r="C3358" t="s">
        <v>10209</v>
      </c>
      <c r="D3358" t="s">
        <v>8391</v>
      </c>
      <c r="E3358" t="s">
        <v>10210</v>
      </c>
      <c r="F3358" t="s">
        <v>10211</v>
      </c>
    </row>
    <row r="3359" spans="1:6">
      <c r="A3359" t="s">
        <v>8388</v>
      </c>
      <c r="B3359" t="s">
        <v>8389</v>
      </c>
      <c r="C3359" t="s">
        <v>10212</v>
      </c>
      <c r="D3359" t="s">
        <v>8391</v>
      </c>
      <c r="E3359" t="s">
        <v>3166</v>
      </c>
      <c r="F3359" t="s">
        <v>10213</v>
      </c>
    </row>
    <row r="3360" spans="1:6">
      <c r="A3360" t="s">
        <v>8388</v>
      </c>
      <c r="B3360" t="s">
        <v>8389</v>
      </c>
      <c r="C3360" t="s">
        <v>10214</v>
      </c>
      <c r="D3360" t="s">
        <v>8391</v>
      </c>
      <c r="E3360" t="s">
        <v>10215</v>
      </c>
      <c r="F3360" t="s">
        <v>10216</v>
      </c>
    </row>
    <row r="3361" spans="1:12">
      <c r="A3361" t="s">
        <v>8388</v>
      </c>
      <c r="B3361" t="s">
        <v>8389</v>
      </c>
      <c r="C3361" t="s">
        <v>10217</v>
      </c>
      <c r="D3361" t="s">
        <v>8391</v>
      </c>
      <c r="E3361" t="s">
        <v>10218</v>
      </c>
      <c r="F3361" t="s">
        <v>10219</v>
      </c>
      <c r="J3361" t="s">
        <v>10218</v>
      </c>
      <c r="K3361" t="s">
        <v>8126</v>
      </c>
      <c r="L3361" t="s">
        <v>851</v>
      </c>
    </row>
    <row r="3362" spans="1:12">
      <c r="A3362" t="s">
        <v>8388</v>
      </c>
      <c r="B3362" t="s">
        <v>8389</v>
      </c>
      <c r="C3362" t="s">
        <v>10220</v>
      </c>
      <c r="D3362" t="s">
        <v>8391</v>
      </c>
      <c r="E3362" t="s">
        <v>10221</v>
      </c>
      <c r="F3362" t="s">
        <v>10222</v>
      </c>
    </row>
    <row r="3363" spans="1:12">
      <c r="A3363" t="s">
        <v>8388</v>
      </c>
      <c r="B3363" t="s">
        <v>8389</v>
      </c>
      <c r="C3363" t="s">
        <v>10223</v>
      </c>
      <c r="D3363" t="s">
        <v>8391</v>
      </c>
      <c r="E3363" t="s">
        <v>10224</v>
      </c>
      <c r="F3363" t="s">
        <v>10225</v>
      </c>
      <c r="J3363" t="s">
        <v>10224</v>
      </c>
      <c r="K3363" t="s">
        <v>8126</v>
      </c>
      <c r="L3363" t="s">
        <v>851</v>
      </c>
    </row>
    <row r="3364" spans="1:12">
      <c r="A3364" t="s">
        <v>8388</v>
      </c>
      <c r="B3364" t="s">
        <v>8389</v>
      </c>
      <c r="C3364" t="s">
        <v>10226</v>
      </c>
      <c r="D3364" t="s">
        <v>8391</v>
      </c>
      <c r="E3364" t="s">
        <v>10227</v>
      </c>
      <c r="F3364" t="s">
        <v>10228</v>
      </c>
    </row>
    <row r="3365" spans="1:12">
      <c r="A3365" t="s">
        <v>8388</v>
      </c>
      <c r="B3365" t="s">
        <v>8389</v>
      </c>
      <c r="C3365" t="s">
        <v>10229</v>
      </c>
      <c r="D3365" t="s">
        <v>8391</v>
      </c>
      <c r="E3365" t="s">
        <v>10230</v>
      </c>
      <c r="F3365" t="s">
        <v>10231</v>
      </c>
    </row>
    <row r="3366" spans="1:12">
      <c r="A3366" t="s">
        <v>8388</v>
      </c>
      <c r="B3366" t="s">
        <v>8389</v>
      </c>
      <c r="C3366" t="s">
        <v>10232</v>
      </c>
      <c r="D3366" t="s">
        <v>8391</v>
      </c>
      <c r="E3366" t="s">
        <v>10233</v>
      </c>
      <c r="F3366" t="s">
        <v>10234</v>
      </c>
    </row>
    <row r="3367" spans="1:12">
      <c r="A3367" t="s">
        <v>8388</v>
      </c>
      <c r="B3367" t="s">
        <v>8389</v>
      </c>
      <c r="C3367" t="s">
        <v>10235</v>
      </c>
      <c r="D3367" t="s">
        <v>8391</v>
      </c>
      <c r="E3367" t="s">
        <v>10236</v>
      </c>
      <c r="F3367" t="s">
        <v>10237</v>
      </c>
    </row>
    <row r="3368" spans="1:12">
      <c r="A3368" t="s">
        <v>8388</v>
      </c>
      <c r="B3368" t="s">
        <v>8389</v>
      </c>
      <c r="C3368" t="s">
        <v>10238</v>
      </c>
      <c r="D3368" t="s">
        <v>8391</v>
      </c>
      <c r="E3368" t="s">
        <v>655</v>
      </c>
      <c r="F3368" t="s">
        <v>656</v>
      </c>
    </row>
    <row r="3369" spans="1:12">
      <c r="A3369" t="s">
        <v>8388</v>
      </c>
      <c r="B3369" t="s">
        <v>8389</v>
      </c>
      <c r="D3369" t="s">
        <v>8391</v>
      </c>
      <c r="F3369" t="s">
        <v>8567</v>
      </c>
      <c r="J3369" t="s">
        <v>10239</v>
      </c>
      <c r="K3369" t="s">
        <v>8126</v>
      </c>
      <c r="L3369" t="s">
        <v>851</v>
      </c>
    </row>
    <row r="3370" spans="1:12">
      <c r="A3370" t="s">
        <v>8388</v>
      </c>
      <c r="B3370" t="s">
        <v>8389</v>
      </c>
      <c r="D3370" t="s">
        <v>8391</v>
      </c>
      <c r="F3370" t="s">
        <v>10240</v>
      </c>
      <c r="J3370" t="s">
        <v>10241</v>
      </c>
      <c r="K3370" t="s">
        <v>8126</v>
      </c>
      <c r="L3370" t="s">
        <v>851</v>
      </c>
    </row>
    <row r="3371" spans="1:12">
      <c r="A3371" t="s">
        <v>8388</v>
      </c>
      <c r="B3371" t="s">
        <v>8389</v>
      </c>
      <c r="D3371" t="s">
        <v>8391</v>
      </c>
      <c r="F3371" t="s">
        <v>10242</v>
      </c>
      <c r="J3371" t="s">
        <v>10243</v>
      </c>
      <c r="K3371" t="s">
        <v>8126</v>
      </c>
      <c r="L3371" t="s">
        <v>851</v>
      </c>
    </row>
    <row r="3372" spans="1:12">
      <c r="A3372" t="s">
        <v>8388</v>
      </c>
      <c r="B3372" t="s">
        <v>8389</v>
      </c>
      <c r="D3372" t="s">
        <v>8391</v>
      </c>
      <c r="F3372" t="s">
        <v>10244</v>
      </c>
      <c r="J3372" t="s">
        <v>10245</v>
      </c>
      <c r="K3372" t="s">
        <v>8126</v>
      </c>
      <c r="L3372" t="s">
        <v>851</v>
      </c>
    </row>
    <row r="3373" spans="1:12">
      <c r="A3373" t="s">
        <v>8388</v>
      </c>
      <c r="B3373" t="s">
        <v>8389</v>
      </c>
      <c r="D3373" t="s">
        <v>8391</v>
      </c>
      <c r="F3373" t="s">
        <v>10246</v>
      </c>
      <c r="J3373" t="s">
        <v>10247</v>
      </c>
      <c r="K3373" t="s">
        <v>8126</v>
      </c>
      <c r="L3373" t="s">
        <v>851</v>
      </c>
    </row>
    <row r="3374" spans="1:12">
      <c r="A3374" t="s">
        <v>8388</v>
      </c>
      <c r="B3374" t="s">
        <v>8389</v>
      </c>
      <c r="D3374" t="s">
        <v>8391</v>
      </c>
      <c r="F3374" t="s">
        <v>9267</v>
      </c>
      <c r="J3374" t="s">
        <v>9326</v>
      </c>
      <c r="K3374" t="s">
        <v>8126</v>
      </c>
      <c r="L3374" t="s">
        <v>851</v>
      </c>
    </row>
    <row r="3375" spans="1:12">
      <c r="A3375" t="s">
        <v>8388</v>
      </c>
      <c r="B3375" t="s">
        <v>8389</v>
      </c>
      <c r="D3375" t="s">
        <v>8391</v>
      </c>
      <c r="F3375" t="s">
        <v>10248</v>
      </c>
      <c r="J3375" t="s">
        <v>10249</v>
      </c>
      <c r="K3375" t="s">
        <v>8126</v>
      </c>
      <c r="L3375" t="s">
        <v>851</v>
      </c>
    </row>
    <row r="3376" spans="1:12">
      <c r="A3376" t="s">
        <v>8388</v>
      </c>
      <c r="B3376" t="s">
        <v>8389</v>
      </c>
      <c r="D3376" t="s">
        <v>8391</v>
      </c>
      <c r="F3376" t="s">
        <v>10222</v>
      </c>
      <c r="J3376" t="s">
        <v>10250</v>
      </c>
      <c r="K3376" t="s">
        <v>8126</v>
      </c>
      <c r="L3376" t="s">
        <v>851</v>
      </c>
    </row>
    <row r="3377" spans="1:12">
      <c r="A3377" t="s">
        <v>8388</v>
      </c>
      <c r="B3377" t="s">
        <v>8389</v>
      </c>
      <c r="D3377" t="s">
        <v>8391</v>
      </c>
      <c r="F3377" t="s">
        <v>10251</v>
      </c>
      <c r="J3377" t="s">
        <v>10252</v>
      </c>
      <c r="K3377" t="s">
        <v>8126</v>
      </c>
      <c r="L3377" t="s">
        <v>851</v>
      </c>
    </row>
    <row r="3378" spans="1:12">
      <c r="A3378" t="s">
        <v>8388</v>
      </c>
      <c r="B3378" t="s">
        <v>8389</v>
      </c>
      <c r="D3378" t="s">
        <v>8391</v>
      </c>
      <c r="F3378" t="s">
        <v>10253</v>
      </c>
      <c r="J3378" t="s">
        <v>10254</v>
      </c>
      <c r="K3378" t="s">
        <v>8126</v>
      </c>
      <c r="L3378" t="s">
        <v>851</v>
      </c>
    </row>
    <row r="3379" spans="1:12">
      <c r="A3379" t="s">
        <v>8388</v>
      </c>
      <c r="B3379" t="s">
        <v>8389</v>
      </c>
      <c r="D3379" t="s">
        <v>8391</v>
      </c>
      <c r="F3379" t="s">
        <v>10161</v>
      </c>
      <c r="J3379" t="s">
        <v>10255</v>
      </c>
      <c r="K3379" t="s">
        <v>8126</v>
      </c>
      <c r="L3379" t="s">
        <v>851</v>
      </c>
    </row>
    <row r="3380" spans="1:12">
      <c r="A3380" t="s">
        <v>8388</v>
      </c>
      <c r="B3380" t="s">
        <v>8389</v>
      </c>
      <c r="D3380" t="s">
        <v>8391</v>
      </c>
      <c r="F3380" t="s">
        <v>10216</v>
      </c>
      <c r="J3380" t="s">
        <v>10256</v>
      </c>
      <c r="K3380" t="s">
        <v>8126</v>
      </c>
      <c r="L3380" t="s">
        <v>851</v>
      </c>
    </row>
    <row r="3381" spans="1:12">
      <c r="A3381" t="s">
        <v>8388</v>
      </c>
      <c r="B3381" t="s">
        <v>8389</v>
      </c>
      <c r="D3381" t="s">
        <v>8391</v>
      </c>
      <c r="F3381" t="s">
        <v>9396</v>
      </c>
      <c r="J3381" t="s">
        <v>10257</v>
      </c>
      <c r="K3381" t="s">
        <v>8126</v>
      </c>
      <c r="L3381" t="s">
        <v>851</v>
      </c>
    </row>
    <row r="3382" spans="1:12">
      <c r="A3382" t="s">
        <v>10258</v>
      </c>
      <c r="B3382" t="s">
        <v>10259</v>
      </c>
      <c r="C3382" t="s">
        <v>10260</v>
      </c>
      <c r="D3382" t="s">
        <v>10261</v>
      </c>
      <c r="E3382" t="s">
        <v>10262</v>
      </c>
      <c r="F3382" t="s">
        <v>10258</v>
      </c>
      <c r="J3382" t="s">
        <v>10262</v>
      </c>
      <c r="K3382" t="s">
        <v>10263</v>
      </c>
      <c r="L3382" t="s">
        <v>916</v>
      </c>
    </row>
    <row r="3383" spans="1:12">
      <c r="A3383" t="s">
        <v>10258</v>
      </c>
      <c r="B3383" t="s">
        <v>10259</v>
      </c>
      <c r="C3383" t="s">
        <v>10264</v>
      </c>
      <c r="D3383" t="s">
        <v>10261</v>
      </c>
      <c r="E3383" t="s">
        <v>655</v>
      </c>
      <c r="F3383" t="s">
        <v>656</v>
      </c>
    </row>
    <row r="3384" spans="1:12">
      <c r="A3384" t="s">
        <v>10258</v>
      </c>
      <c r="B3384" t="s">
        <v>10259</v>
      </c>
      <c r="D3384" t="s">
        <v>10261</v>
      </c>
      <c r="F3384" t="s">
        <v>10265</v>
      </c>
      <c r="J3384" t="s">
        <v>10266</v>
      </c>
      <c r="K3384" t="s">
        <v>10263</v>
      </c>
      <c r="L3384" t="s">
        <v>916</v>
      </c>
    </row>
    <row r="3385" spans="1:12">
      <c r="A3385" t="s">
        <v>10258</v>
      </c>
      <c r="B3385" t="s">
        <v>10259</v>
      </c>
      <c r="D3385" t="s">
        <v>10261</v>
      </c>
      <c r="F3385" t="s">
        <v>10267</v>
      </c>
      <c r="J3385" t="s">
        <v>10268</v>
      </c>
      <c r="K3385" t="s">
        <v>10263</v>
      </c>
      <c r="L3385" t="s">
        <v>916</v>
      </c>
    </row>
    <row r="3386" spans="1:12">
      <c r="A3386" t="s">
        <v>10258</v>
      </c>
      <c r="B3386" t="s">
        <v>10259</v>
      </c>
      <c r="D3386" t="s">
        <v>10261</v>
      </c>
      <c r="F3386" t="s">
        <v>10269</v>
      </c>
      <c r="J3386" t="s">
        <v>10270</v>
      </c>
      <c r="K3386" t="s">
        <v>10263</v>
      </c>
      <c r="L3386" t="s">
        <v>916</v>
      </c>
    </row>
    <row r="3387" spans="1:12">
      <c r="A3387" t="s">
        <v>10258</v>
      </c>
      <c r="B3387" t="s">
        <v>10259</v>
      </c>
      <c r="D3387" t="s">
        <v>10261</v>
      </c>
      <c r="F3387" t="s">
        <v>10271</v>
      </c>
      <c r="J3387" t="s">
        <v>10272</v>
      </c>
      <c r="K3387" t="s">
        <v>10263</v>
      </c>
      <c r="L3387" t="s">
        <v>916</v>
      </c>
    </row>
    <row r="3388" spans="1:12">
      <c r="A3388" t="s">
        <v>10273</v>
      </c>
      <c r="B3388" t="s">
        <v>10274</v>
      </c>
      <c r="C3388" t="s">
        <v>10275</v>
      </c>
      <c r="D3388" t="s">
        <v>10276</v>
      </c>
      <c r="E3388" t="s">
        <v>1444</v>
      </c>
      <c r="F3388" t="s">
        <v>10277</v>
      </c>
    </row>
    <row r="3389" spans="1:12">
      <c r="A3389" t="s">
        <v>10273</v>
      </c>
      <c r="B3389" t="s">
        <v>10274</v>
      </c>
      <c r="C3389" t="s">
        <v>10278</v>
      </c>
      <c r="D3389" t="s">
        <v>10276</v>
      </c>
      <c r="E3389" t="s">
        <v>4869</v>
      </c>
      <c r="F3389" t="s">
        <v>10279</v>
      </c>
      <c r="J3389" t="s">
        <v>4869</v>
      </c>
      <c r="K3389" t="s">
        <v>8753</v>
      </c>
      <c r="L3389" t="s">
        <v>851</v>
      </c>
    </row>
    <row r="3390" spans="1:12">
      <c r="A3390" t="s">
        <v>10273</v>
      </c>
      <c r="B3390" t="s">
        <v>10274</v>
      </c>
      <c r="C3390" t="s">
        <v>10280</v>
      </c>
      <c r="D3390" t="s">
        <v>10276</v>
      </c>
      <c r="E3390" t="s">
        <v>10281</v>
      </c>
      <c r="F3390" t="s">
        <v>10282</v>
      </c>
      <c r="J3390" t="s">
        <v>10281</v>
      </c>
      <c r="K3390" t="s">
        <v>8753</v>
      </c>
      <c r="L3390" t="s">
        <v>851</v>
      </c>
    </row>
    <row r="3391" spans="1:12">
      <c r="A3391" t="s">
        <v>10273</v>
      </c>
      <c r="B3391" t="s">
        <v>10274</v>
      </c>
      <c r="C3391" t="s">
        <v>10283</v>
      </c>
      <c r="D3391" t="s">
        <v>10276</v>
      </c>
      <c r="E3391" t="s">
        <v>8407</v>
      </c>
      <c r="F3391" t="s">
        <v>10284</v>
      </c>
    </row>
    <row r="3392" spans="1:12">
      <c r="A3392" t="s">
        <v>10273</v>
      </c>
      <c r="B3392" t="s">
        <v>10274</v>
      </c>
      <c r="C3392" t="s">
        <v>10285</v>
      </c>
      <c r="D3392" t="s">
        <v>10276</v>
      </c>
      <c r="E3392" t="s">
        <v>10286</v>
      </c>
      <c r="F3392" t="s">
        <v>10287</v>
      </c>
    </row>
    <row r="3393" spans="1:12">
      <c r="A3393" t="s">
        <v>10273</v>
      </c>
      <c r="B3393" t="s">
        <v>10274</v>
      </c>
      <c r="C3393" t="s">
        <v>10288</v>
      </c>
      <c r="D3393" t="s">
        <v>10276</v>
      </c>
      <c r="E3393" t="s">
        <v>6886</v>
      </c>
      <c r="F3393" t="s">
        <v>10289</v>
      </c>
    </row>
    <row r="3394" spans="1:12">
      <c r="A3394" t="s">
        <v>10273</v>
      </c>
      <c r="B3394" t="s">
        <v>10274</v>
      </c>
      <c r="C3394" t="s">
        <v>10290</v>
      </c>
      <c r="D3394" t="s">
        <v>10276</v>
      </c>
      <c r="E3394" t="s">
        <v>10291</v>
      </c>
      <c r="F3394" t="s">
        <v>10292</v>
      </c>
    </row>
    <row r="3395" spans="1:12">
      <c r="A3395" t="s">
        <v>10273</v>
      </c>
      <c r="B3395" t="s">
        <v>10274</v>
      </c>
      <c r="C3395" t="s">
        <v>10293</v>
      </c>
      <c r="D3395" t="s">
        <v>10276</v>
      </c>
      <c r="E3395" t="s">
        <v>10294</v>
      </c>
      <c r="F3395" t="s">
        <v>10295</v>
      </c>
    </row>
    <row r="3396" spans="1:12">
      <c r="A3396" t="s">
        <v>10273</v>
      </c>
      <c r="B3396" t="s">
        <v>10274</v>
      </c>
      <c r="C3396" t="s">
        <v>10296</v>
      </c>
      <c r="D3396" t="s">
        <v>10276</v>
      </c>
      <c r="E3396" t="s">
        <v>10297</v>
      </c>
      <c r="F3396" t="s">
        <v>10298</v>
      </c>
      <c r="J3396" t="s">
        <v>10297</v>
      </c>
      <c r="K3396" t="s">
        <v>8753</v>
      </c>
      <c r="L3396" t="s">
        <v>851</v>
      </c>
    </row>
    <row r="3397" spans="1:12">
      <c r="A3397" t="s">
        <v>10273</v>
      </c>
      <c r="B3397" t="s">
        <v>10274</v>
      </c>
      <c r="C3397" t="s">
        <v>10299</v>
      </c>
      <c r="D3397" t="s">
        <v>10276</v>
      </c>
      <c r="E3397" t="s">
        <v>10300</v>
      </c>
      <c r="F3397" t="s">
        <v>10301</v>
      </c>
    </row>
    <row r="3398" spans="1:12">
      <c r="A3398" t="s">
        <v>10273</v>
      </c>
      <c r="B3398" t="s">
        <v>10274</v>
      </c>
      <c r="C3398" t="s">
        <v>10302</v>
      </c>
      <c r="D3398" t="s">
        <v>10276</v>
      </c>
      <c r="E3398" t="s">
        <v>10303</v>
      </c>
      <c r="F3398" t="s">
        <v>10304</v>
      </c>
      <c r="J3398" t="s">
        <v>10303</v>
      </c>
      <c r="K3398" t="s">
        <v>8753</v>
      </c>
      <c r="L3398" t="s">
        <v>851</v>
      </c>
    </row>
    <row r="3399" spans="1:12">
      <c r="A3399" t="s">
        <v>10273</v>
      </c>
      <c r="B3399" t="s">
        <v>10274</v>
      </c>
      <c r="C3399" t="s">
        <v>10305</v>
      </c>
      <c r="D3399" t="s">
        <v>10276</v>
      </c>
      <c r="E3399" t="s">
        <v>10306</v>
      </c>
      <c r="F3399" t="s">
        <v>10307</v>
      </c>
    </row>
    <row r="3400" spans="1:12">
      <c r="A3400" t="s">
        <v>10273</v>
      </c>
      <c r="B3400" t="s">
        <v>10274</v>
      </c>
      <c r="C3400" t="s">
        <v>10308</v>
      </c>
      <c r="D3400" t="s">
        <v>10276</v>
      </c>
      <c r="E3400" t="s">
        <v>10309</v>
      </c>
      <c r="F3400" t="s">
        <v>10310</v>
      </c>
      <c r="J3400" t="s">
        <v>10309</v>
      </c>
      <c r="K3400" t="s">
        <v>8753</v>
      </c>
      <c r="L3400" t="s">
        <v>851</v>
      </c>
    </row>
    <row r="3401" spans="1:12">
      <c r="A3401" t="s">
        <v>10273</v>
      </c>
      <c r="B3401" t="s">
        <v>10274</v>
      </c>
      <c r="C3401" t="s">
        <v>10311</v>
      </c>
      <c r="D3401" t="s">
        <v>10276</v>
      </c>
      <c r="E3401" t="s">
        <v>10312</v>
      </c>
      <c r="F3401" t="s">
        <v>10313</v>
      </c>
    </row>
    <row r="3402" spans="1:12">
      <c r="A3402" t="s">
        <v>10273</v>
      </c>
      <c r="B3402" t="s">
        <v>10274</v>
      </c>
      <c r="C3402" t="s">
        <v>10314</v>
      </c>
      <c r="D3402" t="s">
        <v>10276</v>
      </c>
      <c r="E3402" t="s">
        <v>8890</v>
      </c>
      <c r="F3402" t="s">
        <v>10315</v>
      </c>
    </row>
    <row r="3403" spans="1:12">
      <c r="A3403" t="s">
        <v>10273</v>
      </c>
      <c r="B3403" t="s">
        <v>10274</v>
      </c>
      <c r="C3403" t="s">
        <v>10316</v>
      </c>
      <c r="D3403" t="s">
        <v>10276</v>
      </c>
      <c r="E3403" t="s">
        <v>8893</v>
      </c>
      <c r="F3403" t="s">
        <v>10317</v>
      </c>
    </row>
    <row r="3404" spans="1:12">
      <c r="A3404" t="s">
        <v>10273</v>
      </c>
      <c r="B3404" t="s">
        <v>10274</v>
      </c>
      <c r="C3404" t="s">
        <v>10318</v>
      </c>
      <c r="D3404" t="s">
        <v>10276</v>
      </c>
      <c r="E3404" t="s">
        <v>10319</v>
      </c>
      <c r="F3404" t="s">
        <v>10320</v>
      </c>
    </row>
    <row r="3405" spans="1:12">
      <c r="A3405" t="s">
        <v>10273</v>
      </c>
      <c r="B3405" t="s">
        <v>10274</v>
      </c>
      <c r="C3405" t="s">
        <v>10321</v>
      </c>
      <c r="D3405" t="s">
        <v>10276</v>
      </c>
      <c r="E3405" t="s">
        <v>4016</v>
      </c>
      <c r="F3405" t="s">
        <v>10322</v>
      </c>
    </row>
    <row r="3406" spans="1:12">
      <c r="A3406" t="s">
        <v>10273</v>
      </c>
      <c r="B3406" t="s">
        <v>10274</v>
      </c>
      <c r="C3406" t="s">
        <v>10323</v>
      </c>
      <c r="D3406" t="s">
        <v>10276</v>
      </c>
      <c r="E3406" t="s">
        <v>10324</v>
      </c>
      <c r="F3406" t="s">
        <v>10325</v>
      </c>
    </row>
    <row r="3407" spans="1:12">
      <c r="A3407" t="s">
        <v>10273</v>
      </c>
      <c r="B3407" t="s">
        <v>10274</v>
      </c>
      <c r="C3407" t="s">
        <v>10326</v>
      </c>
      <c r="D3407" t="s">
        <v>10276</v>
      </c>
      <c r="E3407" t="s">
        <v>10327</v>
      </c>
      <c r="F3407" t="s">
        <v>10328</v>
      </c>
    </row>
    <row r="3408" spans="1:12">
      <c r="A3408" t="s">
        <v>10273</v>
      </c>
      <c r="B3408" t="s">
        <v>10274</v>
      </c>
      <c r="C3408" t="s">
        <v>10329</v>
      </c>
      <c r="D3408" t="s">
        <v>10276</v>
      </c>
      <c r="E3408" t="s">
        <v>10330</v>
      </c>
      <c r="F3408" t="s">
        <v>10331</v>
      </c>
    </row>
    <row r="3409" spans="1:6">
      <c r="A3409" t="s">
        <v>10273</v>
      </c>
      <c r="B3409" t="s">
        <v>10274</v>
      </c>
      <c r="C3409" t="s">
        <v>10332</v>
      </c>
      <c r="D3409" t="s">
        <v>10276</v>
      </c>
      <c r="E3409" t="s">
        <v>2055</v>
      </c>
      <c r="F3409" t="s">
        <v>10333</v>
      </c>
    </row>
    <row r="3410" spans="1:6">
      <c r="A3410" t="s">
        <v>10273</v>
      </c>
      <c r="B3410" t="s">
        <v>10274</v>
      </c>
      <c r="C3410" t="s">
        <v>10334</v>
      </c>
      <c r="D3410" t="s">
        <v>10276</v>
      </c>
      <c r="E3410" t="s">
        <v>9027</v>
      </c>
      <c r="F3410" t="s">
        <v>10335</v>
      </c>
    </row>
    <row r="3411" spans="1:6">
      <c r="A3411" t="s">
        <v>10273</v>
      </c>
      <c r="B3411" t="s">
        <v>10274</v>
      </c>
      <c r="C3411" t="s">
        <v>10336</v>
      </c>
      <c r="D3411" t="s">
        <v>10276</v>
      </c>
      <c r="E3411" t="s">
        <v>10337</v>
      </c>
      <c r="F3411" t="s">
        <v>10338</v>
      </c>
    </row>
    <row r="3412" spans="1:6">
      <c r="A3412" t="s">
        <v>10273</v>
      </c>
      <c r="B3412" t="s">
        <v>10274</v>
      </c>
      <c r="C3412" t="s">
        <v>10339</v>
      </c>
      <c r="D3412" t="s">
        <v>10276</v>
      </c>
      <c r="E3412" t="s">
        <v>10340</v>
      </c>
      <c r="F3412" t="s">
        <v>10341</v>
      </c>
    </row>
    <row r="3413" spans="1:6">
      <c r="A3413" t="s">
        <v>10273</v>
      </c>
      <c r="B3413" t="s">
        <v>10274</v>
      </c>
      <c r="C3413" t="s">
        <v>10342</v>
      </c>
      <c r="D3413" t="s">
        <v>10276</v>
      </c>
      <c r="E3413" t="s">
        <v>10343</v>
      </c>
      <c r="F3413" t="s">
        <v>10344</v>
      </c>
    </row>
    <row r="3414" spans="1:6">
      <c r="A3414" t="s">
        <v>10273</v>
      </c>
      <c r="B3414" t="s">
        <v>10274</v>
      </c>
      <c r="C3414" t="s">
        <v>10345</v>
      </c>
      <c r="D3414" t="s">
        <v>10276</v>
      </c>
      <c r="E3414" t="s">
        <v>9119</v>
      </c>
      <c r="F3414" t="s">
        <v>10346</v>
      </c>
    </row>
    <row r="3415" spans="1:6">
      <c r="A3415" t="s">
        <v>10273</v>
      </c>
      <c r="B3415" t="s">
        <v>10274</v>
      </c>
      <c r="C3415" t="s">
        <v>10347</v>
      </c>
      <c r="D3415" t="s">
        <v>10276</v>
      </c>
      <c r="E3415" t="s">
        <v>10348</v>
      </c>
      <c r="F3415" t="s">
        <v>10349</v>
      </c>
    </row>
    <row r="3416" spans="1:6">
      <c r="A3416" t="s">
        <v>10273</v>
      </c>
      <c r="B3416" t="s">
        <v>10274</v>
      </c>
      <c r="C3416" t="s">
        <v>10350</v>
      </c>
      <c r="D3416" t="s">
        <v>10276</v>
      </c>
      <c r="E3416" t="s">
        <v>2127</v>
      </c>
      <c r="F3416" t="s">
        <v>10351</v>
      </c>
    </row>
    <row r="3417" spans="1:6">
      <c r="A3417" t="s">
        <v>10273</v>
      </c>
      <c r="B3417" t="s">
        <v>10274</v>
      </c>
      <c r="C3417" t="s">
        <v>10352</v>
      </c>
      <c r="D3417" t="s">
        <v>10276</v>
      </c>
      <c r="E3417" t="s">
        <v>9185</v>
      </c>
      <c r="F3417" t="s">
        <v>10353</v>
      </c>
    </row>
    <row r="3418" spans="1:6">
      <c r="A3418" t="s">
        <v>10273</v>
      </c>
      <c r="B3418" t="s">
        <v>10274</v>
      </c>
      <c r="C3418" t="s">
        <v>10354</v>
      </c>
      <c r="D3418" t="s">
        <v>10276</v>
      </c>
      <c r="E3418" t="s">
        <v>10355</v>
      </c>
      <c r="F3418" t="s">
        <v>10356</v>
      </c>
    </row>
    <row r="3419" spans="1:6">
      <c r="A3419" t="s">
        <v>10273</v>
      </c>
      <c r="B3419" t="s">
        <v>10274</v>
      </c>
      <c r="C3419" t="s">
        <v>10357</v>
      </c>
      <c r="D3419" t="s">
        <v>10276</v>
      </c>
      <c r="E3419" t="s">
        <v>10358</v>
      </c>
      <c r="F3419" t="s">
        <v>10359</v>
      </c>
    </row>
    <row r="3420" spans="1:6">
      <c r="A3420" t="s">
        <v>10273</v>
      </c>
      <c r="B3420" t="s">
        <v>10274</v>
      </c>
      <c r="C3420" t="s">
        <v>10360</v>
      </c>
      <c r="D3420" t="s">
        <v>10276</v>
      </c>
      <c r="E3420" t="s">
        <v>9213</v>
      </c>
      <c r="F3420" t="s">
        <v>10361</v>
      </c>
    </row>
    <row r="3421" spans="1:6">
      <c r="A3421" t="s">
        <v>10273</v>
      </c>
      <c r="B3421" t="s">
        <v>10274</v>
      </c>
      <c r="C3421" t="s">
        <v>10362</v>
      </c>
      <c r="D3421" t="s">
        <v>10276</v>
      </c>
      <c r="E3421" t="s">
        <v>3480</v>
      </c>
      <c r="F3421" t="s">
        <v>10363</v>
      </c>
    </row>
    <row r="3422" spans="1:6">
      <c r="A3422" t="s">
        <v>10273</v>
      </c>
      <c r="B3422" t="s">
        <v>10274</v>
      </c>
      <c r="C3422" t="s">
        <v>10364</v>
      </c>
      <c r="D3422" t="s">
        <v>10276</v>
      </c>
      <c r="E3422" t="s">
        <v>10365</v>
      </c>
      <c r="F3422" t="s">
        <v>10366</v>
      </c>
    </row>
    <row r="3423" spans="1:6">
      <c r="A3423" t="s">
        <v>10273</v>
      </c>
      <c r="B3423" t="s">
        <v>10274</v>
      </c>
      <c r="C3423" t="s">
        <v>10367</v>
      </c>
      <c r="D3423" t="s">
        <v>10276</v>
      </c>
      <c r="E3423" t="s">
        <v>10368</v>
      </c>
      <c r="F3423" t="s">
        <v>10369</v>
      </c>
    </row>
    <row r="3424" spans="1:6">
      <c r="A3424" t="s">
        <v>10273</v>
      </c>
      <c r="B3424" t="s">
        <v>10274</v>
      </c>
      <c r="C3424" t="s">
        <v>10370</v>
      </c>
      <c r="D3424" t="s">
        <v>10276</v>
      </c>
      <c r="E3424" t="s">
        <v>3492</v>
      </c>
      <c r="F3424" t="s">
        <v>10371</v>
      </c>
    </row>
    <row r="3425" spans="1:12">
      <c r="A3425" t="s">
        <v>10273</v>
      </c>
      <c r="B3425" t="s">
        <v>10274</v>
      </c>
      <c r="C3425" t="s">
        <v>10372</v>
      </c>
      <c r="D3425" t="s">
        <v>10276</v>
      </c>
      <c r="E3425" t="s">
        <v>10373</v>
      </c>
      <c r="F3425" t="s">
        <v>10374</v>
      </c>
      <c r="J3425" t="s">
        <v>10373</v>
      </c>
      <c r="K3425" t="s">
        <v>8753</v>
      </c>
      <c r="L3425" t="s">
        <v>851</v>
      </c>
    </row>
    <row r="3426" spans="1:12">
      <c r="A3426" t="s">
        <v>10273</v>
      </c>
      <c r="B3426" t="s">
        <v>10274</v>
      </c>
      <c r="C3426" t="s">
        <v>10375</v>
      </c>
      <c r="D3426" t="s">
        <v>10276</v>
      </c>
      <c r="E3426" t="s">
        <v>10376</v>
      </c>
      <c r="F3426" t="s">
        <v>10377</v>
      </c>
    </row>
    <row r="3427" spans="1:12">
      <c r="A3427" t="s">
        <v>10273</v>
      </c>
      <c r="B3427" t="s">
        <v>10274</v>
      </c>
      <c r="C3427" t="s">
        <v>10378</v>
      </c>
      <c r="D3427" t="s">
        <v>10276</v>
      </c>
      <c r="E3427" t="s">
        <v>10379</v>
      </c>
      <c r="F3427" t="s">
        <v>10380</v>
      </c>
    </row>
    <row r="3428" spans="1:12">
      <c r="A3428" t="s">
        <v>10273</v>
      </c>
      <c r="B3428" t="s">
        <v>10274</v>
      </c>
      <c r="C3428" t="s">
        <v>10381</v>
      </c>
      <c r="D3428" t="s">
        <v>10276</v>
      </c>
      <c r="E3428" t="s">
        <v>10382</v>
      </c>
      <c r="F3428" t="s">
        <v>10383</v>
      </c>
    </row>
    <row r="3429" spans="1:12">
      <c r="A3429" t="s">
        <v>10273</v>
      </c>
      <c r="B3429" t="s">
        <v>10274</v>
      </c>
      <c r="C3429" t="s">
        <v>10384</v>
      </c>
      <c r="D3429" t="s">
        <v>10276</v>
      </c>
      <c r="E3429" t="s">
        <v>10385</v>
      </c>
      <c r="F3429" t="s">
        <v>10386</v>
      </c>
    </row>
    <row r="3430" spans="1:12">
      <c r="A3430" t="s">
        <v>10273</v>
      </c>
      <c r="B3430" t="s">
        <v>10274</v>
      </c>
      <c r="C3430" t="s">
        <v>10387</v>
      </c>
      <c r="D3430" t="s">
        <v>10276</v>
      </c>
      <c r="E3430" t="s">
        <v>7058</v>
      </c>
      <c r="F3430" t="s">
        <v>10388</v>
      </c>
    </row>
    <row r="3431" spans="1:12">
      <c r="A3431" t="s">
        <v>10273</v>
      </c>
      <c r="B3431" t="s">
        <v>10274</v>
      </c>
      <c r="C3431" t="s">
        <v>10389</v>
      </c>
      <c r="D3431" t="s">
        <v>10276</v>
      </c>
      <c r="E3431" t="s">
        <v>10390</v>
      </c>
      <c r="F3431" t="s">
        <v>10391</v>
      </c>
    </row>
    <row r="3432" spans="1:12">
      <c r="A3432" t="s">
        <v>10273</v>
      </c>
      <c r="B3432" t="s">
        <v>10274</v>
      </c>
      <c r="C3432" t="s">
        <v>10392</v>
      </c>
      <c r="D3432" t="s">
        <v>10276</v>
      </c>
      <c r="E3432" t="s">
        <v>9508</v>
      </c>
      <c r="F3432" t="s">
        <v>10393</v>
      </c>
    </row>
    <row r="3433" spans="1:12">
      <c r="A3433" t="s">
        <v>10273</v>
      </c>
      <c r="B3433" t="s">
        <v>10274</v>
      </c>
      <c r="C3433" t="s">
        <v>10394</v>
      </c>
      <c r="D3433" t="s">
        <v>10276</v>
      </c>
      <c r="E3433" t="s">
        <v>10395</v>
      </c>
      <c r="F3433" t="s">
        <v>10396</v>
      </c>
    </row>
    <row r="3434" spans="1:12">
      <c r="A3434" t="s">
        <v>10273</v>
      </c>
      <c r="B3434" t="s">
        <v>10274</v>
      </c>
      <c r="C3434" t="s">
        <v>10397</v>
      </c>
      <c r="D3434" t="s">
        <v>10276</v>
      </c>
      <c r="E3434" t="s">
        <v>10398</v>
      </c>
      <c r="F3434" t="s">
        <v>10399</v>
      </c>
    </row>
    <row r="3435" spans="1:12">
      <c r="A3435" t="s">
        <v>10273</v>
      </c>
      <c r="B3435" t="s">
        <v>10274</v>
      </c>
      <c r="C3435" t="s">
        <v>10400</v>
      </c>
      <c r="D3435" t="s">
        <v>10276</v>
      </c>
      <c r="E3435" t="s">
        <v>10401</v>
      </c>
      <c r="F3435" t="s">
        <v>10402</v>
      </c>
    </row>
    <row r="3436" spans="1:12">
      <c r="A3436" t="s">
        <v>10273</v>
      </c>
      <c r="B3436" t="s">
        <v>10274</v>
      </c>
      <c r="C3436" t="s">
        <v>10403</v>
      </c>
      <c r="D3436" t="s">
        <v>10276</v>
      </c>
      <c r="E3436" t="s">
        <v>10404</v>
      </c>
      <c r="F3436" t="s">
        <v>10405</v>
      </c>
    </row>
    <row r="3437" spans="1:12">
      <c r="A3437" t="s">
        <v>10273</v>
      </c>
      <c r="B3437" t="s">
        <v>10274</v>
      </c>
      <c r="C3437" t="s">
        <v>10406</v>
      </c>
      <c r="D3437" t="s">
        <v>10276</v>
      </c>
      <c r="E3437" t="s">
        <v>10407</v>
      </c>
      <c r="F3437" t="s">
        <v>10408</v>
      </c>
    </row>
    <row r="3438" spans="1:12">
      <c r="A3438" t="s">
        <v>10273</v>
      </c>
      <c r="B3438" t="s">
        <v>10274</v>
      </c>
      <c r="C3438" t="s">
        <v>10409</v>
      </c>
      <c r="D3438" t="s">
        <v>10276</v>
      </c>
      <c r="E3438" t="s">
        <v>10410</v>
      </c>
      <c r="F3438" t="s">
        <v>10411</v>
      </c>
    </row>
    <row r="3439" spans="1:12">
      <c r="A3439" t="s">
        <v>10273</v>
      </c>
      <c r="B3439" t="s">
        <v>10274</v>
      </c>
      <c r="C3439" t="s">
        <v>10412</v>
      </c>
      <c r="D3439" t="s">
        <v>10276</v>
      </c>
      <c r="E3439" t="s">
        <v>10413</v>
      </c>
      <c r="F3439" t="s">
        <v>10414</v>
      </c>
    </row>
    <row r="3440" spans="1:12">
      <c r="A3440" t="s">
        <v>10273</v>
      </c>
      <c r="B3440" t="s">
        <v>10274</v>
      </c>
      <c r="C3440" t="s">
        <v>10415</v>
      </c>
      <c r="D3440" t="s">
        <v>10276</v>
      </c>
      <c r="E3440" t="s">
        <v>10416</v>
      </c>
      <c r="F3440" t="s">
        <v>10417</v>
      </c>
    </row>
    <row r="3441" spans="1:12">
      <c r="A3441" t="s">
        <v>10273</v>
      </c>
      <c r="B3441" t="s">
        <v>10274</v>
      </c>
      <c r="C3441" t="s">
        <v>10418</v>
      </c>
      <c r="D3441" t="s">
        <v>10276</v>
      </c>
      <c r="E3441" t="s">
        <v>10419</v>
      </c>
      <c r="F3441" t="s">
        <v>10420</v>
      </c>
    </row>
    <row r="3442" spans="1:12">
      <c r="A3442" t="s">
        <v>10273</v>
      </c>
      <c r="B3442" t="s">
        <v>10274</v>
      </c>
      <c r="C3442" t="s">
        <v>10421</v>
      </c>
      <c r="D3442" t="s">
        <v>10276</v>
      </c>
      <c r="E3442" t="s">
        <v>10422</v>
      </c>
      <c r="F3442" t="s">
        <v>10423</v>
      </c>
    </row>
    <row r="3443" spans="1:12">
      <c r="A3443" t="s">
        <v>10273</v>
      </c>
      <c r="B3443" t="s">
        <v>10274</v>
      </c>
      <c r="C3443" t="s">
        <v>10424</v>
      </c>
      <c r="D3443" t="s">
        <v>10276</v>
      </c>
      <c r="E3443" t="s">
        <v>10425</v>
      </c>
      <c r="F3443" t="s">
        <v>10426</v>
      </c>
    </row>
    <row r="3444" spans="1:12">
      <c r="A3444" t="s">
        <v>10273</v>
      </c>
      <c r="B3444" t="s">
        <v>10274</v>
      </c>
      <c r="C3444" t="s">
        <v>10427</v>
      </c>
      <c r="D3444" t="s">
        <v>10276</v>
      </c>
      <c r="E3444" t="s">
        <v>10428</v>
      </c>
      <c r="F3444" t="s">
        <v>10429</v>
      </c>
    </row>
    <row r="3445" spans="1:12">
      <c r="A3445" t="s">
        <v>10273</v>
      </c>
      <c r="B3445" t="s">
        <v>10274</v>
      </c>
      <c r="C3445" t="s">
        <v>10430</v>
      </c>
      <c r="D3445" t="s">
        <v>10276</v>
      </c>
      <c r="E3445" t="s">
        <v>10431</v>
      </c>
      <c r="F3445" t="s">
        <v>10432</v>
      </c>
    </row>
    <row r="3446" spans="1:12">
      <c r="A3446" t="s">
        <v>10273</v>
      </c>
      <c r="B3446" t="s">
        <v>10274</v>
      </c>
      <c r="C3446" t="s">
        <v>10433</v>
      </c>
      <c r="D3446" t="s">
        <v>10276</v>
      </c>
      <c r="E3446" t="s">
        <v>10434</v>
      </c>
      <c r="F3446" t="s">
        <v>10435</v>
      </c>
    </row>
    <row r="3447" spans="1:12">
      <c r="A3447" t="s">
        <v>10273</v>
      </c>
      <c r="B3447" t="s">
        <v>10274</v>
      </c>
      <c r="C3447" t="s">
        <v>10436</v>
      </c>
      <c r="D3447" t="s">
        <v>10276</v>
      </c>
      <c r="E3447" t="s">
        <v>10437</v>
      </c>
      <c r="F3447" t="s">
        <v>10438</v>
      </c>
      <c r="J3447" t="s">
        <v>10437</v>
      </c>
      <c r="K3447" t="s">
        <v>8753</v>
      </c>
      <c r="L3447" t="s">
        <v>851</v>
      </c>
    </row>
    <row r="3448" spans="1:12">
      <c r="A3448" t="s">
        <v>10273</v>
      </c>
      <c r="B3448" t="s">
        <v>10274</v>
      </c>
      <c r="C3448" t="s">
        <v>10439</v>
      </c>
      <c r="D3448" t="s">
        <v>10276</v>
      </c>
      <c r="E3448" t="s">
        <v>3503</v>
      </c>
      <c r="F3448" t="s">
        <v>10440</v>
      </c>
    </row>
    <row r="3449" spans="1:12">
      <c r="A3449" t="s">
        <v>10273</v>
      </c>
      <c r="B3449" t="s">
        <v>10274</v>
      </c>
      <c r="C3449" t="s">
        <v>10441</v>
      </c>
      <c r="D3449" t="s">
        <v>10276</v>
      </c>
      <c r="E3449" t="s">
        <v>10442</v>
      </c>
      <c r="F3449" t="s">
        <v>10443</v>
      </c>
    </row>
    <row r="3450" spans="1:12">
      <c r="A3450" t="s">
        <v>10273</v>
      </c>
      <c r="B3450" t="s">
        <v>10274</v>
      </c>
      <c r="C3450" t="s">
        <v>10444</v>
      </c>
      <c r="D3450" t="s">
        <v>10276</v>
      </c>
      <c r="E3450" t="s">
        <v>9774</v>
      </c>
      <c r="F3450" t="s">
        <v>10445</v>
      </c>
    </row>
    <row r="3451" spans="1:12">
      <c r="A3451" t="s">
        <v>10273</v>
      </c>
      <c r="B3451" t="s">
        <v>10274</v>
      </c>
      <c r="C3451" t="s">
        <v>10446</v>
      </c>
      <c r="D3451" t="s">
        <v>10276</v>
      </c>
      <c r="E3451" t="s">
        <v>10447</v>
      </c>
      <c r="F3451" t="s">
        <v>10448</v>
      </c>
    </row>
    <row r="3452" spans="1:12">
      <c r="A3452" t="s">
        <v>10273</v>
      </c>
      <c r="B3452" t="s">
        <v>10274</v>
      </c>
      <c r="C3452" t="s">
        <v>10449</v>
      </c>
      <c r="D3452" t="s">
        <v>10276</v>
      </c>
      <c r="E3452" t="s">
        <v>10450</v>
      </c>
      <c r="F3452" t="s">
        <v>10451</v>
      </c>
    </row>
    <row r="3453" spans="1:12">
      <c r="A3453" t="s">
        <v>10273</v>
      </c>
      <c r="B3453" t="s">
        <v>10274</v>
      </c>
      <c r="C3453" t="s">
        <v>10452</v>
      </c>
      <c r="D3453" t="s">
        <v>10276</v>
      </c>
      <c r="E3453" t="s">
        <v>10453</v>
      </c>
      <c r="F3453" t="s">
        <v>10454</v>
      </c>
      <c r="J3453" t="s">
        <v>10453</v>
      </c>
      <c r="K3453" t="s">
        <v>8753</v>
      </c>
      <c r="L3453" t="s">
        <v>851</v>
      </c>
    </row>
    <row r="3454" spans="1:12">
      <c r="A3454" t="s">
        <v>10273</v>
      </c>
      <c r="B3454" t="s">
        <v>10274</v>
      </c>
      <c r="C3454" t="s">
        <v>10455</v>
      </c>
      <c r="D3454" t="s">
        <v>10276</v>
      </c>
      <c r="E3454" t="s">
        <v>10456</v>
      </c>
      <c r="F3454" t="s">
        <v>10457</v>
      </c>
    </row>
    <row r="3455" spans="1:12">
      <c r="A3455" t="s">
        <v>10273</v>
      </c>
      <c r="B3455" t="s">
        <v>10274</v>
      </c>
      <c r="C3455" t="s">
        <v>10458</v>
      </c>
      <c r="D3455" t="s">
        <v>10276</v>
      </c>
      <c r="E3455" t="s">
        <v>10459</v>
      </c>
      <c r="F3455" t="s">
        <v>10460</v>
      </c>
    </row>
    <row r="3456" spans="1:12">
      <c r="A3456" t="s">
        <v>10273</v>
      </c>
      <c r="B3456" t="s">
        <v>10274</v>
      </c>
      <c r="C3456" t="s">
        <v>10461</v>
      </c>
      <c r="D3456" t="s">
        <v>10276</v>
      </c>
      <c r="E3456" t="s">
        <v>10462</v>
      </c>
      <c r="F3456" t="s">
        <v>10463</v>
      </c>
    </row>
    <row r="3457" spans="1:12">
      <c r="A3457" t="s">
        <v>10273</v>
      </c>
      <c r="B3457" t="s">
        <v>10274</v>
      </c>
      <c r="C3457" t="s">
        <v>10464</v>
      </c>
      <c r="D3457" t="s">
        <v>10276</v>
      </c>
      <c r="E3457" t="s">
        <v>9904</v>
      </c>
      <c r="F3457" t="s">
        <v>10465</v>
      </c>
      <c r="J3457" t="s">
        <v>9904</v>
      </c>
      <c r="K3457" t="s">
        <v>8753</v>
      </c>
      <c r="L3457" t="s">
        <v>851</v>
      </c>
    </row>
    <row r="3458" spans="1:12">
      <c r="A3458" t="s">
        <v>10273</v>
      </c>
      <c r="B3458" t="s">
        <v>10274</v>
      </c>
      <c r="C3458" t="s">
        <v>10466</v>
      </c>
      <c r="D3458" t="s">
        <v>10276</v>
      </c>
      <c r="E3458" t="s">
        <v>10467</v>
      </c>
      <c r="F3458" t="s">
        <v>10468</v>
      </c>
    </row>
    <row r="3459" spans="1:12">
      <c r="A3459" t="s">
        <v>10273</v>
      </c>
      <c r="B3459" t="s">
        <v>10274</v>
      </c>
      <c r="C3459" t="s">
        <v>10469</v>
      </c>
      <c r="D3459" t="s">
        <v>10276</v>
      </c>
      <c r="E3459" t="s">
        <v>10470</v>
      </c>
      <c r="F3459" t="s">
        <v>10471</v>
      </c>
    </row>
    <row r="3460" spans="1:12">
      <c r="A3460" t="s">
        <v>10273</v>
      </c>
      <c r="B3460" t="s">
        <v>10274</v>
      </c>
      <c r="C3460" t="s">
        <v>10472</v>
      </c>
      <c r="D3460" t="s">
        <v>10276</v>
      </c>
      <c r="E3460" t="s">
        <v>10473</v>
      </c>
      <c r="F3460" t="s">
        <v>10474</v>
      </c>
    </row>
    <row r="3461" spans="1:12">
      <c r="A3461" t="s">
        <v>10273</v>
      </c>
      <c r="B3461" t="s">
        <v>10274</v>
      </c>
      <c r="C3461" t="s">
        <v>10475</v>
      </c>
      <c r="D3461" t="s">
        <v>10276</v>
      </c>
      <c r="E3461" t="s">
        <v>2939</v>
      </c>
      <c r="F3461" t="s">
        <v>10476</v>
      </c>
      <c r="J3461" t="s">
        <v>2939</v>
      </c>
      <c r="K3461" t="s">
        <v>8753</v>
      </c>
      <c r="L3461" t="s">
        <v>851</v>
      </c>
    </row>
    <row r="3462" spans="1:12">
      <c r="A3462" t="s">
        <v>10273</v>
      </c>
      <c r="B3462" t="s">
        <v>10274</v>
      </c>
      <c r="C3462" t="s">
        <v>10477</v>
      </c>
      <c r="D3462" t="s">
        <v>10276</v>
      </c>
      <c r="E3462" t="s">
        <v>10478</v>
      </c>
      <c r="F3462" t="s">
        <v>10479</v>
      </c>
    </row>
    <row r="3463" spans="1:12">
      <c r="A3463" t="s">
        <v>10273</v>
      </c>
      <c r="B3463" t="s">
        <v>10274</v>
      </c>
      <c r="C3463" t="s">
        <v>10480</v>
      </c>
      <c r="D3463" t="s">
        <v>10276</v>
      </c>
      <c r="E3463" t="s">
        <v>3527</v>
      </c>
      <c r="F3463" t="s">
        <v>10481</v>
      </c>
    </row>
    <row r="3464" spans="1:12">
      <c r="A3464" t="s">
        <v>10273</v>
      </c>
      <c r="B3464" t="s">
        <v>10274</v>
      </c>
      <c r="C3464" t="s">
        <v>10482</v>
      </c>
      <c r="D3464" t="s">
        <v>10276</v>
      </c>
      <c r="E3464" t="s">
        <v>10483</v>
      </c>
      <c r="F3464" t="s">
        <v>10484</v>
      </c>
    </row>
    <row r="3465" spans="1:12">
      <c r="A3465" t="s">
        <v>10273</v>
      </c>
      <c r="B3465" t="s">
        <v>10274</v>
      </c>
      <c r="C3465" t="s">
        <v>10485</v>
      </c>
      <c r="D3465" t="s">
        <v>10276</v>
      </c>
      <c r="E3465" t="s">
        <v>7000</v>
      </c>
      <c r="F3465" t="s">
        <v>10486</v>
      </c>
    </row>
    <row r="3466" spans="1:12">
      <c r="A3466" t="s">
        <v>10273</v>
      </c>
      <c r="B3466" t="s">
        <v>10274</v>
      </c>
      <c r="C3466" t="s">
        <v>10487</v>
      </c>
      <c r="D3466" t="s">
        <v>10276</v>
      </c>
      <c r="E3466" t="s">
        <v>1428</v>
      </c>
      <c r="F3466" t="s">
        <v>10488</v>
      </c>
    </row>
    <row r="3467" spans="1:12">
      <c r="A3467" t="s">
        <v>10273</v>
      </c>
      <c r="B3467" t="s">
        <v>10274</v>
      </c>
      <c r="C3467" t="s">
        <v>10489</v>
      </c>
      <c r="D3467" t="s">
        <v>10276</v>
      </c>
      <c r="E3467" t="s">
        <v>10490</v>
      </c>
      <c r="F3467" t="s">
        <v>10491</v>
      </c>
      <c r="J3467" t="s">
        <v>10490</v>
      </c>
      <c r="K3467" t="s">
        <v>8753</v>
      </c>
      <c r="L3467" t="s">
        <v>851</v>
      </c>
    </row>
    <row r="3468" spans="1:12">
      <c r="A3468" t="s">
        <v>10273</v>
      </c>
      <c r="B3468" t="s">
        <v>10274</v>
      </c>
      <c r="C3468" t="s">
        <v>10492</v>
      </c>
      <c r="D3468" t="s">
        <v>10276</v>
      </c>
      <c r="E3468" t="s">
        <v>10493</v>
      </c>
      <c r="F3468" t="s">
        <v>10494</v>
      </c>
    </row>
    <row r="3469" spans="1:12">
      <c r="A3469" t="s">
        <v>10273</v>
      </c>
      <c r="B3469" t="s">
        <v>10274</v>
      </c>
      <c r="C3469" t="s">
        <v>10495</v>
      </c>
      <c r="D3469" t="s">
        <v>10276</v>
      </c>
      <c r="E3469" t="s">
        <v>10496</v>
      </c>
      <c r="F3469" t="s">
        <v>10497</v>
      </c>
    </row>
    <row r="3470" spans="1:12">
      <c r="A3470" t="s">
        <v>10273</v>
      </c>
      <c r="B3470" t="s">
        <v>10274</v>
      </c>
      <c r="C3470" t="s">
        <v>10498</v>
      </c>
      <c r="D3470" t="s">
        <v>10276</v>
      </c>
      <c r="E3470" t="s">
        <v>10499</v>
      </c>
      <c r="F3470" t="s">
        <v>10500</v>
      </c>
    </row>
    <row r="3471" spans="1:12">
      <c r="A3471" t="s">
        <v>10273</v>
      </c>
      <c r="B3471" t="s">
        <v>10274</v>
      </c>
      <c r="C3471" t="s">
        <v>10501</v>
      </c>
      <c r="D3471" t="s">
        <v>10276</v>
      </c>
      <c r="E3471" t="s">
        <v>655</v>
      </c>
      <c r="F3471" t="s">
        <v>656</v>
      </c>
    </row>
    <row r="3472" spans="1:12">
      <c r="A3472" t="s">
        <v>10502</v>
      </c>
      <c r="B3472" t="s">
        <v>10503</v>
      </c>
      <c r="C3472" t="s">
        <v>10504</v>
      </c>
      <c r="D3472" t="s">
        <v>10505</v>
      </c>
      <c r="E3472" t="s">
        <v>10506</v>
      </c>
      <c r="F3472" t="s">
        <v>10507</v>
      </c>
    </row>
    <row r="3473" spans="1:12">
      <c r="A3473" t="s">
        <v>10502</v>
      </c>
      <c r="B3473" t="s">
        <v>10503</v>
      </c>
      <c r="C3473" t="s">
        <v>10508</v>
      </c>
      <c r="D3473" t="s">
        <v>10505</v>
      </c>
      <c r="E3473" t="s">
        <v>10509</v>
      </c>
      <c r="F3473" t="s">
        <v>10510</v>
      </c>
      <c r="J3473" t="s">
        <v>10509</v>
      </c>
      <c r="K3473" t="s">
        <v>10511</v>
      </c>
      <c r="L3473" t="s">
        <v>814</v>
      </c>
    </row>
    <row r="3474" spans="1:12">
      <c r="A3474" t="s">
        <v>10502</v>
      </c>
      <c r="B3474" t="s">
        <v>10503</v>
      </c>
      <c r="C3474" t="s">
        <v>10512</v>
      </c>
      <c r="D3474" t="s">
        <v>10505</v>
      </c>
      <c r="E3474" t="s">
        <v>10513</v>
      </c>
      <c r="F3474" t="s">
        <v>10502</v>
      </c>
      <c r="J3474" t="s">
        <v>10513</v>
      </c>
      <c r="K3474" t="s">
        <v>10511</v>
      </c>
      <c r="L3474" t="s">
        <v>814</v>
      </c>
    </row>
    <row r="3475" spans="1:12">
      <c r="A3475" t="s">
        <v>10502</v>
      </c>
      <c r="B3475" t="s">
        <v>10503</v>
      </c>
      <c r="C3475" t="s">
        <v>10514</v>
      </c>
      <c r="D3475" t="s">
        <v>10505</v>
      </c>
      <c r="E3475" t="s">
        <v>9753</v>
      </c>
      <c r="F3475" t="s">
        <v>10515</v>
      </c>
    </row>
    <row r="3476" spans="1:12">
      <c r="A3476" t="s">
        <v>10502</v>
      </c>
      <c r="B3476" t="s">
        <v>10503</v>
      </c>
      <c r="C3476" t="s">
        <v>10516</v>
      </c>
      <c r="D3476" t="s">
        <v>10505</v>
      </c>
      <c r="E3476" t="s">
        <v>10517</v>
      </c>
      <c r="F3476" t="s">
        <v>10518</v>
      </c>
    </row>
    <row r="3477" spans="1:12">
      <c r="A3477" t="s">
        <v>10502</v>
      </c>
      <c r="B3477" t="s">
        <v>10503</v>
      </c>
      <c r="C3477" t="s">
        <v>10519</v>
      </c>
      <c r="D3477" t="s">
        <v>10505</v>
      </c>
      <c r="E3477" t="s">
        <v>655</v>
      </c>
      <c r="F3477" t="s">
        <v>656</v>
      </c>
    </row>
    <row r="3478" spans="1:12">
      <c r="A3478" t="s">
        <v>10520</v>
      </c>
      <c r="B3478" t="s">
        <v>10521</v>
      </c>
      <c r="C3478" t="s">
        <v>10522</v>
      </c>
      <c r="D3478" t="s">
        <v>10523</v>
      </c>
      <c r="E3478" t="s">
        <v>6348</v>
      </c>
      <c r="F3478" t="s">
        <v>10524</v>
      </c>
    </row>
    <row r="3479" spans="1:12">
      <c r="A3479" t="s">
        <v>10520</v>
      </c>
      <c r="B3479" t="s">
        <v>10521</v>
      </c>
      <c r="C3479" t="s">
        <v>10525</v>
      </c>
      <c r="D3479" t="s">
        <v>10523</v>
      </c>
      <c r="E3479" t="s">
        <v>10526</v>
      </c>
      <c r="F3479" t="s">
        <v>10527</v>
      </c>
    </row>
    <row r="3480" spans="1:12">
      <c r="A3480" t="s">
        <v>10520</v>
      </c>
      <c r="B3480" t="s">
        <v>10521</v>
      </c>
      <c r="C3480" t="s">
        <v>10528</v>
      </c>
      <c r="D3480" t="s">
        <v>10523</v>
      </c>
      <c r="E3480" t="s">
        <v>10529</v>
      </c>
      <c r="F3480" t="s">
        <v>10530</v>
      </c>
      <c r="J3480" t="s">
        <v>10529</v>
      </c>
      <c r="K3480" t="s">
        <v>10531</v>
      </c>
      <c r="L3480" t="s">
        <v>814</v>
      </c>
    </row>
    <row r="3481" spans="1:12">
      <c r="A3481" t="s">
        <v>10520</v>
      </c>
      <c r="B3481" t="s">
        <v>10521</v>
      </c>
      <c r="C3481" t="s">
        <v>10532</v>
      </c>
      <c r="D3481" t="s">
        <v>10523</v>
      </c>
      <c r="E3481" t="s">
        <v>3894</v>
      </c>
      <c r="F3481" t="s">
        <v>10533</v>
      </c>
    </row>
    <row r="3482" spans="1:12">
      <c r="A3482" t="s">
        <v>10520</v>
      </c>
      <c r="B3482" t="s">
        <v>10521</v>
      </c>
      <c r="C3482" t="s">
        <v>10534</v>
      </c>
      <c r="D3482" t="s">
        <v>10523</v>
      </c>
      <c r="E3482" t="s">
        <v>10535</v>
      </c>
      <c r="F3482" t="s">
        <v>10536</v>
      </c>
      <c r="J3482" t="s">
        <v>10535</v>
      </c>
      <c r="K3482" t="s">
        <v>10531</v>
      </c>
      <c r="L3482" t="s">
        <v>814</v>
      </c>
    </row>
    <row r="3483" spans="1:12">
      <c r="A3483" t="s">
        <v>10520</v>
      </c>
      <c r="B3483" t="s">
        <v>10521</v>
      </c>
      <c r="C3483" t="s">
        <v>10537</v>
      </c>
      <c r="D3483" t="s">
        <v>10523</v>
      </c>
      <c r="E3483" t="s">
        <v>10538</v>
      </c>
      <c r="F3483" t="s">
        <v>10539</v>
      </c>
    </row>
    <row r="3484" spans="1:12">
      <c r="A3484" t="s">
        <v>10520</v>
      </c>
      <c r="B3484" t="s">
        <v>10521</v>
      </c>
      <c r="C3484" t="s">
        <v>10540</v>
      </c>
      <c r="D3484" t="s">
        <v>10523</v>
      </c>
      <c r="E3484" t="s">
        <v>10541</v>
      </c>
      <c r="F3484" t="s">
        <v>10542</v>
      </c>
    </row>
    <row r="3485" spans="1:12">
      <c r="A3485" t="s">
        <v>10520</v>
      </c>
      <c r="B3485" t="s">
        <v>10521</v>
      </c>
      <c r="C3485" t="s">
        <v>10543</v>
      </c>
      <c r="D3485" t="s">
        <v>10523</v>
      </c>
      <c r="E3485" t="s">
        <v>10544</v>
      </c>
      <c r="F3485" t="s">
        <v>10545</v>
      </c>
      <c r="J3485" t="s">
        <v>10544</v>
      </c>
      <c r="K3485" t="s">
        <v>10531</v>
      </c>
      <c r="L3485" t="s">
        <v>814</v>
      </c>
    </row>
    <row r="3486" spans="1:12">
      <c r="A3486" t="s">
        <v>10520</v>
      </c>
      <c r="B3486" t="s">
        <v>10521</v>
      </c>
      <c r="C3486" t="s">
        <v>10546</v>
      </c>
      <c r="D3486" t="s">
        <v>10523</v>
      </c>
      <c r="E3486" t="s">
        <v>10547</v>
      </c>
      <c r="F3486" t="s">
        <v>10548</v>
      </c>
      <c r="J3486" t="s">
        <v>10547</v>
      </c>
      <c r="K3486" t="s">
        <v>10531</v>
      </c>
      <c r="L3486" t="s">
        <v>814</v>
      </c>
    </row>
    <row r="3487" spans="1:12">
      <c r="A3487" t="s">
        <v>10520</v>
      </c>
      <c r="B3487" t="s">
        <v>10521</v>
      </c>
      <c r="C3487" t="s">
        <v>10549</v>
      </c>
      <c r="D3487" t="s">
        <v>10523</v>
      </c>
      <c r="E3487" t="s">
        <v>3566</v>
      </c>
      <c r="F3487" t="s">
        <v>8151</v>
      </c>
    </row>
    <row r="3488" spans="1:12">
      <c r="A3488" t="s">
        <v>10520</v>
      </c>
      <c r="B3488" t="s">
        <v>10521</v>
      </c>
      <c r="C3488" t="s">
        <v>10550</v>
      </c>
      <c r="D3488" t="s">
        <v>10523</v>
      </c>
      <c r="E3488" t="s">
        <v>10551</v>
      </c>
      <c r="F3488" t="s">
        <v>10552</v>
      </c>
    </row>
    <row r="3489" spans="1:12">
      <c r="A3489" t="s">
        <v>10520</v>
      </c>
      <c r="B3489" t="s">
        <v>10521</v>
      </c>
      <c r="C3489" t="s">
        <v>10553</v>
      </c>
      <c r="D3489" t="s">
        <v>10523</v>
      </c>
      <c r="E3489" t="s">
        <v>10554</v>
      </c>
      <c r="F3489" t="s">
        <v>10555</v>
      </c>
    </row>
    <row r="3490" spans="1:12">
      <c r="A3490" t="s">
        <v>10520</v>
      </c>
      <c r="B3490" t="s">
        <v>10521</v>
      </c>
      <c r="C3490" t="s">
        <v>10556</v>
      </c>
      <c r="D3490" t="s">
        <v>10523</v>
      </c>
      <c r="E3490" t="s">
        <v>10557</v>
      </c>
      <c r="F3490" t="s">
        <v>10558</v>
      </c>
      <c r="J3490" t="s">
        <v>10557</v>
      </c>
      <c r="K3490" t="s">
        <v>10531</v>
      </c>
      <c r="L3490" t="s">
        <v>814</v>
      </c>
    </row>
    <row r="3491" spans="1:12">
      <c r="A3491" t="s">
        <v>10520</v>
      </c>
      <c r="B3491" t="s">
        <v>10521</v>
      </c>
      <c r="C3491" t="s">
        <v>10559</v>
      </c>
      <c r="D3491" t="s">
        <v>10523</v>
      </c>
      <c r="E3491" t="s">
        <v>10560</v>
      </c>
      <c r="F3491" t="s">
        <v>10561</v>
      </c>
    </row>
    <row r="3492" spans="1:12">
      <c r="A3492" t="s">
        <v>10520</v>
      </c>
      <c r="B3492" t="s">
        <v>10521</v>
      </c>
      <c r="C3492" t="s">
        <v>10562</v>
      </c>
      <c r="D3492" t="s">
        <v>10523</v>
      </c>
      <c r="E3492" t="s">
        <v>7945</v>
      </c>
      <c r="F3492" t="s">
        <v>10563</v>
      </c>
    </row>
    <row r="3493" spans="1:12">
      <c r="A3493" t="s">
        <v>10520</v>
      </c>
      <c r="B3493" t="s">
        <v>10521</v>
      </c>
      <c r="C3493" t="s">
        <v>10564</v>
      </c>
      <c r="D3493" t="s">
        <v>10523</v>
      </c>
      <c r="E3493" t="s">
        <v>10565</v>
      </c>
      <c r="F3493" t="s">
        <v>10545</v>
      </c>
      <c r="J3493" t="s">
        <v>10565</v>
      </c>
      <c r="K3493" t="s">
        <v>10531</v>
      </c>
      <c r="L3493" t="s">
        <v>814</v>
      </c>
    </row>
    <row r="3494" spans="1:12">
      <c r="A3494" t="s">
        <v>10520</v>
      </c>
      <c r="B3494" t="s">
        <v>10521</v>
      </c>
      <c r="C3494" t="s">
        <v>10566</v>
      </c>
      <c r="D3494" t="s">
        <v>10523</v>
      </c>
      <c r="E3494" t="s">
        <v>1314</v>
      </c>
      <c r="F3494" t="s">
        <v>10567</v>
      </c>
    </row>
    <row r="3495" spans="1:12">
      <c r="A3495" t="s">
        <v>10520</v>
      </c>
      <c r="B3495" t="s">
        <v>10521</v>
      </c>
      <c r="C3495" t="s">
        <v>10568</v>
      </c>
      <c r="D3495" t="s">
        <v>10523</v>
      </c>
      <c r="E3495" t="s">
        <v>10569</v>
      </c>
      <c r="F3495" t="s">
        <v>10570</v>
      </c>
      <c r="J3495" t="s">
        <v>10569</v>
      </c>
      <c r="K3495" t="s">
        <v>10531</v>
      </c>
      <c r="L3495" t="s">
        <v>814</v>
      </c>
    </row>
    <row r="3496" spans="1:12">
      <c r="A3496" t="s">
        <v>10520</v>
      </c>
      <c r="B3496" t="s">
        <v>10521</v>
      </c>
      <c r="C3496" t="s">
        <v>10571</v>
      </c>
      <c r="D3496" t="s">
        <v>10523</v>
      </c>
      <c r="E3496" t="s">
        <v>10572</v>
      </c>
      <c r="F3496" t="s">
        <v>10573</v>
      </c>
      <c r="J3496" t="s">
        <v>10572</v>
      </c>
      <c r="K3496" t="s">
        <v>10531</v>
      </c>
      <c r="L3496" t="s">
        <v>814</v>
      </c>
    </row>
    <row r="3497" spans="1:12">
      <c r="A3497" t="s">
        <v>10520</v>
      </c>
      <c r="B3497" t="s">
        <v>10521</v>
      </c>
      <c r="C3497" t="s">
        <v>10574</v>
      </c>
      <c r="D3497" t="s">
        <v>10523</v>
      </c>
      <c r="E3497" t="s">
        <v>4540</v>
      </c>
      <c r="F3497" t="s">
        <v>10575</v>
      </c>
    </row>
    <row r="3498" spans="1:12">
      <c r="A3498" t="s">
        <v>10520</v>
      </c>
      <c r="B3498" t="s">
        <v>10521</v>
      </c>
      <c r="C3498" t="s">
        <v>10576</v>
      </c>
      <c r="D3498" t="s">
        <v>10523</v>
      </c>
      <c r="E3498" t="s">
        <v>9964</v>
      </c>
      <c r="F3498" t="s">
        <v>10577</v>
      </c>
    </row>
    <row r="3499" spans="1:12">
      <c r="A3499" t="s">
        <v>10520</v>
      </c>
      <c r="B3499" t="s">
        <v>10521</v>
      </c>
      <c r="C3499" t="s">
        <v>10578</v>
      </c>
      <c r="D3499" t="s">
        <v>10523</v>
      </c>
      <c r="E3499" t="s">
        <v>9983</v>
      </c>
      <c r="F3499" t="s">
        <v>6998</v>
      </c>
      <c r="J3499" t="s">
        <v>9983</v>
      </c>
      <c r="K3499" t="s">
        <v>10531</v>
      </c>
      <c r="L3499" t="s">
        <v>814</v>
      </c>
    </row>
    <row r="3500" spans="1:12">
      <c r="A3500" t="s">
        <v>10520</v>
      </c>
      <c r="B3500" t="s">
        <v>10521</v>
      </c>
      <c r="C3500" t="s">
        <v>10579</v>
      </c>
      <c r="D3500" t="s">
        <v>10523</v>
      </c>
      <c r="E3500" t="s">
        <v>655</v>
      </c>
      <c r="F3500" t="s">
        <v>656</v>
      </c>
    </row>
    <row r="3501" spans="1:12">
      <c r="A3501" t="s">
        <v>10520</v>
      </c>
      <c r="B3501" t="s">
        <v>10521</v>
      </c>
      <c r="D3501" t="s">
        <v>10523</v>
      </c>
      <c r="F3501" t="s">
        <v>10580</v>
      </c>
      <c r="J3501" t="s">
        <v>10581</v>
      </c>
      <c r="K3501" t="s">
        <v>10531</v>
      </c>
      <c r="L3501" t="s">
        <v>814</v>
      </c>
    </row>
    <row r="3502" spans="1:12">
      <c r="A3502" t="s">
        <v>10520</v>
      </c>
      <c r="B3502" t="s">
        <v>10521</v>
      </c>
      <c r="D3502" t="s">
        <v>10523</v>
      </c>
      <c r="F3502" t="s">
        <v>10582</v>
      </c>
      <c r="J3502" t="s">
        <v>10583</v>
      </c>
      <c r="K3502" t="s">
        <v>10531</v>
      </c>
      <c r="L3502" t="s">
        <v>814</v>
      </c>
    </row>
    <row r="3503" spans="1:12">
      <c r="A3503" t="s">
        <v>10584</v>
      </c>
      <c r="B3503" t="s">
        <v>10585</v>
      </c>
      <c r="C3503" t="s">
        <v>10586</v>
      </c>
      <c r="D3503" t="s">
        <v>10587</v>
      </c>
      <c r="E3503" t="s">
        <v>10588</v>
      </c>
      <c r="F3503" t="s">
        <v>10589</v>
      </c>
      <c r="J3503" t="s">
        <v>10588</v>
      </c>
      <c r="K3503" t="s">
        <v>10590</v>
      </c>
      <c r="L3503" t="s">
        <v>851</v>
      </c>
    </row>
    <row r="3504" spans="1:12">
      <c r="A3504" t="s">
        <v>10584</v>
      </c>
      <c r="B3504" t="s">
        <v>10585</v>
      </c>
      <c r="C3504" t="s">
        <v>10591</v>
      </c>
      <c r="D3504" t="s">
        <v>10587</v>
      </c>
      <c r="E3504" t="s">
        <v>10590</v>
      </c>
      <c r="F3504" t="s">
        <v>10592</v>
      </c>
      <c r="J3504" t="s">
        <v>10590</v>
      </c>
      <c r="K3504" t="s">
        <v>10590</v>
      </c>
      <c r="L3504" t="s">
        <v>851</v>
      </c>
    </row>
    <row r="3505" spans="1:12">
      <c r="A3505" t="s">
        <v>10584</v>
      </c>
      <c r="B3505" t="s">
        <v>10585</v>
      </c>
      <c r="C3505" t="s">
        <v>10593</v>
      </c>
      <c r="D3505" t="s">
        <v>10587</v>
      </c>
      <c r="E3505" t="s">
        <v>10594</v>
      </c>
      <c r="F3505" t="s">
        <v>10595</v>
      </c>
    </row>
    <row r="3506" spans="1:12">
      <c r="A3506" t="s">
        <v>10584</v>
      </c>
      <c r="B3506" t="s">
        <v>10585</v>
      </c>
      <c r="C3506" t="s">
        <v>10596</v>
      </c>
      <c r="D3506" t="s">
        <v>10587</v>
      </c>
      <c r="E3506" t="s">
        <v>10597</v>
      </c>
      <c r="F3506" t="s">
        <v>10598</v>
      </c>
      <c r="J3506" t="s">
        <v>10597</v>
      </c>
      <c r="K3506" t="s">
        <v>10590</v>
      </c>
      <c r="L3506" t="s">
        <v>851</v>
      </c>
    </row>
    <row r="3507" spans="1:12">
      <c r="A3507" t="s">
        <v>10584</v>
      </c>
      <c r="B3507" t="s">
        <v>10585</v>
      </c>
      <c r="C3507" t="s">
        <v>10599</v>
      </c>
      <c r="D3507" t="s">
        <v>10587</v>
      </c>
      <c r="E3507" t="s">
        <v>10600</v>
      </c>
      <c r="F3507" t="s">
        <v>10601</v>
      </c>
    </row>
    <row r="3508" spans="1:12">
      <c r="A3508" t="s">
        <v>10584</v>
      </c>
      <c r="B3508" t="s">
        <v>10585</v>
      </c>
      <c r="C3508" t="s">
        <v>10602</v>
      </c>
      <c r="D3508" t="s">
        <v>10587</v>
      </c>
      <c r="E3508" t="s">
        <v>10603</v>
      </c>
      <c r="F3508" t="s">
        <v>10604</v>
      </c>
    </row>
    <row r="3509" spans="1:12">
      <c r="A3509" t="s">
        <v>10584</v>
      </c>
      <c r="B3509" t="s">
        <v>10585</v>
      </c>
      <c r="C3509" t="s">
        <v>10605</v>
      </c>
      <c r="D3509" t="s">
        <v>10587</v>
      </c>
      <c r="E3509" t="s">
        <v>1108</v>
      </c>
      <c r="F3509" t="s">
        <v>10606</v>
      </c>
    </row>
    <row r="3510" spans="1:12">
      <c r="A3510" t="s">
        <v>10584</v>
      </c>
      <c r="B3510" t="s">
        <v>10585</v>
      </c>
      <c r="C3510" t="s">
        <v>10607</v>
      </c>
      <c r="D3510" t="s">
        <v>10587</v>
      </c>
      <c r="E3510" t="s">
        <v>10608</v>
      </c>
      <c r="F3510" t="s">
        <v>10609</v>
      </c>
      <c r="J3510" t="s">
        <v>10608</v>
      </c>
      <c r="K3510" t="s">
        <v>10590</v>
      </c>
      <c r="L3510" t="s">
        <v>851</v>
      </c>
    </row>
    <row r="3511" spans="1:12">
      <c r="A3511" t="s">
        <v>10584</v>
      </c>
      <c r="B3511" t="s">
        <v>10585</v>
      </c>
      <c r="C3511" t="s">
        <v>10610</v>
      </c>
      <c r="D3511" t="s">
        <v>10587</v>
      </c>
      <c r="E3511" t="s">
        <v>8750</v>
      </c>
      <c r="F3511" t="s">
        <v>10611</v>
      </c>
    </row>
    <row r="3512" spans="1:12">
      <c r="A3512" t="s">
        <v>10584</v>
      </c>
      <c r="B3512" t="s">
        <v>10585</v>
      </c>
      <c r="C3512" t="s">
        <v>10612</v>
      </c>
      <c r="D3512" t="s">
        <v>10587</v>
      </c>
      <c r="E3512" t="s">
        <v>10613</v>
      </c>
      <c r="F3512" t="s">
        <v>10614</v>
      </c>
    </row>
    <row r="3513" spans="1:12">
      <c r="A3513" t="s">
        <v>10584</v>
      </c>
      <c r="B3513" t="s">
        <v>10585</v>
      </c>
      <c r="C3513" t="s">
        <v>10615</v>
      </c>
      <c r="D3513" t="s">
        <v>10587</v>
      </c>
      <c r="E3513" t="s">
        <v>10616</v>
      </c>
      <c r="F3513" t="s">
        <v>10617</v>
      </c>
      <c r="J3513" t="s">
        <v>10616</v>
      </c>
      <c r="K3513" t="s">
        <v>10590</v>
      </c>
      <c r="L3513" t="s">
        <v>851</v>
      </c>
    </row>
    <row r="3514" spans="1:12">
      <c r="A3514" t="s">
        <v>10584</v>
      </c>
      <c r="B3514" t="s">
        <v>10585</v>
      </c>
      <c r="C3514" t="s">
        <v>10618</v>
      </c>
      <c r="D3514" t="s">
        <v>10587</v>
      </c>
      <c r="E3514" t="s">
        <v>7247</v>
      </c>
      <c r="F3514" t="s">
        <v>10619</v>
      </c>
      <c r="J3514" t="s">
        <v>7247</v>
      </c>
      <c r="K3514" t="s">
        <v>10590</v>
      </c>
      <c r="L3514" t="s">
        <v>851</v>
      </c>
    </row>
    <row r="3515" spans="1:12">
      <c r="A3515" t="s">
        <v>10584</v>
      </c>
      <c r="B3515" t="s">
        <v>10585</v>
      </c>
      <c r="C3515" t="s">
        <v>10620</v>
      </c>
      <c r="D3515" t="s">
        <v>10587</v>
      </c>
      <c r="E3515" t="s">
        <v>6678</v>
      </c>
      <c r="F3515" t="s">
        <v>10621</v>
      </c>
    </row>
    <row r="3516" spans="1:12">
      <c r="A3516" t="s">
        <v>10584</v>
      </c>
      <c r="B3516" t="s">
        <v>10585</v>
      </c>
      <c r="C3516" t="s">
        <v>10622</v>
      </c>
      <c r="D3516" t="s">
        <v>10587</v>
      </c>
      <c r="E3516" t="s">
        <v>10623</v>
      </c>
      <c r="F3516" t="s">
        <v>1238</v>
      </c>
      <c r="J3516" t="s">
        <v>10623</v>
      </c>
      <c r="K3516" t="s">
        <v>10590</v>
      </c>
      <c r="L3516" t="s">
        <v>851</v>
      </c>
    </row>
    <row r="3517" spans="1:12">
      <c r="A3517" t="s">
        <v>10584</v>
      </c>
      <c r="B3517" t="s">
        <v>10585</v>
      </c>
      <c r="C3517" t="s">
        <v>10624</v>
      </c>
      <c r="D3517" t="s">
        <v>10587</v>
      </c>
      <c r="E3517" t="s">
        <v>10625</v>
      </c>
      <c r="F3517" t="s">
        <v>10626</v>
      </c>
      <c r="J3517" t="s">
        <v>10625</v>
      </c>
      <c r="K3517" t="s">
        <v>10590</v>
      </c>
      <c r="L3517" t="s">
        <v>851</v>
      </c>
    </row>
    <row r="3518" spans="1:12">
      <c r="A3518" t="s">
        <v>10584</v>
      </c>
      <c r="B3518" t="s">
        <v>10585</v>
      </c>
      <c r="C3518" t="s">
        <v>10627</v>
      </c>
      <c r="D3518" t="s">
        <v>10587</v>
      </c>
      <c r="E3518" t="s">
        <v>7474</v>
      </c>
      <c r="F3518" t="s">
        <v>10628</v>
      </c>
    </row>
    <row r="3519" spans="1:12">
      <c r="A3519" t="s">
        <v>10584</v>
      </c>
      <c r="B3519" t="s">
        <v>10585</v>
      </c>
      <c r="C3519" t="s">
        <v>10629</v>
      </c>
      <c r="D3519" t="s">
        <v>10587</v>
      </c>
      <c r="E3519" t="s">
        <v>10630</v>
      </c>
      <c r="F3519" t="s">
        <v>10631</v>
      </c>
      <c r="J3519" t="s">
        <v>10630</v>
      </c>
      <c r="K3519" t="s">
        <v>10590</v>
      </c>
      <c r="L3519" t="s">
        <v>851</v>
      </c>
    </row>
    <row r="3520" spans="1:12">
      <c r="A3520" t="s">
        <v>10584</v>
      </c>
      <c r="B3520" t="s">
        <v>10585</v>
      </c>
      <c r="C3520" t="s">
        <v>10632</v>
      </c>
      <c r="D3520" t="s">
        <v>10587</v>
      </c>
      <c r="E3520" t="s">
        <v>655</v>
      </c>
      <c r="F3520" t="s">
        <v>656</v>
      </c>
    </row>
    <row r="3521" spans="1:12">
      <c r="A3521" t="s">
        <v>10584</v>
      </c>
      <c r="B3521" t="s">
        <v>10585</v>
      </c>
      <c r="D3521" t="s">
        <v>10587</v>
      </c>
      <c r="F3521" t="s">
        <v>10633</v>
      </c>
      <c r="J3521" t="s">
        <v>10634</v>
      </c>
      <c r="K3521" t="s">
        <v>10590</v>
      </c>
      <c r="L3521" t="s">
        <v>851</v>
      </c>
    </row>
    <row r="3522" spans="1:12">
      <c r="A3522" t="s">
        <v>10584</v>
      </c>
      <c r="B3522" t="s">
        <v>10585</v>
      </c>
      <c r="D3522" t="s">
        <v>10587</v>
      </c>
      <c r="F3522" t="s">
        <v>10635</v>
      </c>
      <c r="J3522" t="s">
        <v>8662</v>
      </c>
      <c r="K3522" t="s">
        <v>10590</v>
      </c>
      <c r="L3522" t="s">
        <v>851</v>
      </c>
    </row>
    <row r="3523" spans="1:12">
      <c r="A3523" t="s">
        <v>10584</v>
      </c>
      <c r="B3523" t="s">
        <v>10585</v>
      </c>
      <c r="D3523" t="s">
        <v>10587</v>
      </c>
      <c r="F3523" t="s">
        <v>10636</v>
      </c>
      <c r="J3523" t="s">
        <v>10637</v>
      </c>
      <c r="K3523" t="s">
        <v>10590</v>
      </c>
      <c r="L3523" t="s">
        <v>851</v>
      </c>
    </row>
    <row r="3524" spans="1:12">
      <c r="A3524" t="s">
        <v>10584</v>
      </c>
      <c r="B3524" t="s">
        <v>10585</v>
      </c>
      <c r="D3524" t="s">
        <v>10587</v>
      </c>
      <c r="F3524" t="s">
        <v>10638</v>
      </c>
      <c r="J3524" t="s">
        <v>10639</v>
      </c>
      <c r="K3524" t="s">
        <v>10590</v>
      </c>
      <c r="L3524" t="s">
        <v>851</v>
      </c>
    </row>
    <row r="3525" spans="1:12">
      <c r="A3525" t="s">
        <v>10584</v>
      </c>
      <c r="B3525" t="s">
        <v>10585</v>
      </c>
      <c r="D3525" t="s">
        <v>10587</v>
      </c>
      <c r="F3525" t="s">
        <v>10640</v>
      </c>
      <c r="J3525" t="s">
        <v>10641</v>
      </c>
      <c r="K3525" t="s">
        <v>10590</v>
      </c>
      <c r="L3525" t="s">
        <v>851</v>
      </c>
    </row>
    <row r="3526" spans="1:12">
      <c r="A3526" t="s">
        <v>10584</v>
      </c>
      <c r="B3526" t="s">
        <v>10585</v>
      </c>
      <c r="D3526" t="s">
        <v>10587</v>
      </c>
      <c r="F3526" t="s">
        <v>10642</v>
      </c>
      <c r="J3526" t="s">
        <v>10643</v>
      </c>
      <c r="K3526" t="s">
        <v>10590</v>
      </c>
      <c r="L3526" t="s">
        <v>851</v>
      </c>
    </row>
    <row r="3527" spans="1:12">
      <c r="A3527" t="s">
        <v>10584</v>
      </c>
      <c r="B3527" t="s">
        <v>10585</v>
      </c>
      <c r="D3527" t="s">
        <v>10587</v>
      </c>
      <c r="F3527" t="s">
        <v>10644</v>
      </c>
      <c r="J3527" t="s">
        <v>10645</v>
      </c>
      <c r="K3527" t="s">
        <v>10590</v>
      </c>
      <c r="L3527" t="s">
        <v>851</v>
      </c>
    </row>
    <row r="3528" spans="1:12">
      <c r="A3528" t="s">
        <v>10584</v>
      </c>
      <c r="B3528" t="s">
        <v>10585</v>
      </c>
      <c r="D3528" t="s">
        <v>10587</v>
      </c>
      <c r="F3528" t="s">
        <v>10646</v>
      </c>
      <c r="J3528" t="s">
        <v>10647</v>
      </c>
      <c r="K3528" t="s">
        <v>10590</v>
      </c>
      <c r="L3528" t="s">
        <v>851</v>
      </c>
    </row>
    <row r="3529" spans="1:12">
      <c r="A3529" t="s">
        <v>10584</v>
      </c>
      <c r="B3529" t="s">
        <v>10585</v>
      </c>
      <c r="D3529" t="s">
        <v>10587</v>
      </c>
      <c r="F3529" t="s">
        <v>10648</v>
      </c>
      <c r="J3529" t="s">
        <v>10649</v>
      </c>
      <c r="K3529" t="s">
        <v>10590</v>
      </c>
      <c r="L3529" t="s">
        <v>851</v>
      </c>
    </row>
    <row r="3530" spans="1:12">
      <c r="A3530" t="s">
        <v>10584</v>
      </c>
      <c r="B3530" t="s">
        <v>10585</v>
      </c>
      <c r="D3530" t="s">
        <v>10587</v>
      </c>
      <c r="F3530" t="s">
        <v>1238</v>
      </c>
      <c r="J3530" t="s">
        <v>10650</v>
      </c>
      <c r="K3530" t="s">
        <v>10590</v>
      </c>
      <c r="L3530" t="s">
        <v>851</v>
      </c>
    </row>
    <row r="3531" spans="1:12">
      <c r="A3531" t="s">
        <v>10584</v>
      </c>
      <c r="B3531" t="s">
        <v>10585</v>
      </c>
      <c r="D3531" t="s">
        <v>10587</v>
      </c>
      <c r="F3531" t="s">
        <v>10651</v>
      </c>
      <c r="J3531" t="s">
        <v>10652</v>
      </c>
      <c r="K3531" t="s">
        <v>10590</v>
      </c>
      <c r="L3531" t="s">
        <v>851</v>
      </c>
    </row>
    <row r="3532" spans="1:12">
      <c r="A3532" t="s">
        <v>10584</v>
      </c>
      <c r="B3532" t="s">
        <v>10585</v>
      </c>
      <c r="D3532" t="s">
        <v>10587</v>
      </c>
      <c r="F3532" t="s">
        <v>10653</v>
      </c>
      <c r="J3532" t="s">
        <v>10654</v>
      </c>
      <c r="K3532" t="s">
        <v>10590</v>
      </c>
      <c r="L3532" t="s">
        <v>851</v>
      </c>
    </row>
    <row r="3533" spans="1:12">
      <c r="A3533" t="s">
        <v>10584</v>
      </c>
      <c r="B3533" t="s">
        <v>10585</v>
      </c>
      <c r="D3533" t="s">
        <v>10587</v>
      </c>
      <c r="F3533" t="s">
        <v>10655</v>
      </c>
      <c r="J3533" t="s">
        <v>10656</v>
      </c>
      <c r="K3533" t="s">
        <v>10590</v>
      </c>
      <c r="L3533" t="s">
        <v>851</v>
      </c>
    </row>
    <row r="3534" spans="1:12">
      <c r="A3534" t="s">
        <v>10657</v>
      </c>
      <c r="B3534" t="s">
        <v>10658</v>
      </c>
      <c r="C3534" t="s">
        <v>10659</v>
      </c>
      <c r="D3534" t="s">
        <v>10660</v>
      </c>
      <c r="E3534" t="s">
        <v>10661</v>
      </c>
      <c r="F3534" t="s">
        <v>10662</v>
      </c>
      <c r="J3534" t="s">
        <v>10661</v>
      </c>
      <c r="K3534" t="s">
        <v>10663</v>
      </c>
      <c r="L3534" t="s">
        <v>814</v>
      </c>
    </row>
    <row r="3535" spans="1:12">
      <c r="A3535" t="s">
        <v>10657</v>
      </c>
      <c r="B3535" t="s">
        <v>10658</v>
      </c>
      <c r="C3535" t="s">
        <v>10664</v>
      </c>
      <c r="D3535" t="s">
        <v>10660</v>
      </c>
      <c r="E3535" t="s">
        <v>10665</v>
      </c>
      <c r="F3535" t="s">
        <v>10666</v>
      </c>
      <c r="J3535" t="s">
        <v>10665</v>
      </c>
      <c r="K3535" t="s">
        <v>10663</v>
      </c>
      <c r="L3535" t="s">
        <v>814</v>
      </c>
    </row>
    <row r="3536" spans="1:12">
      <c r="A3536" t="s">
        <v>10657</v>
      </c>
      <c r="B3536" t="s">
        <v>10658</v>
      </c>
      <c r="C3536" t="s">
        <v>10667</v>
      </c>
      <c r="D3536" t="s">
        <v>10660</v>
      </c>
      <c r="E3536" t="s">
        <v>10668</v>
      </c>
      <c r="F3536" t="s">
        <v>10669</v>
      </c>
    </row>
    <row r="3537" spans="1:12">
      <c r="A3537" t="s">
        <v>10657</v>
      </c>
      <c r="B3537" t="s">
        <v>10658</v>
      </c>
      <c r="C3537" t="s">
        <v>10670</v>
      </c>
      <c r="D3537" t="s">
        <v>10660</v>
      </c>
      <c r="E3537" t="s">
        <v>10671</v>
      </c>
      <c r="F3537" t="s">
        <v>10672</v>
      </c>
      <c r="J3537" t="s">
        <v>10671</v>
      </c>
      <c r="K3537" t="s">
        <v>10663</v>
      </c>
      <c r="L3537" t="s">
        <v>814</v>
      </c>
    </row>
    <row r="3538" spans="1:12">
      <c r="A3538" t="s">
        <v>10657</v>
      </c>
      <c r="B3538" t="s">
        <v>10658</v>
      </c>
      <c r="C3538" t="s">
        <v>10673</v>
      </c>
      <c r="D3538" t="s">
        <v>10660</v>
      </c>
      <c r="E3538" t="s">
        <v>10674</v>
      </c>
      <c r="F3538" t="s">
        <v>10675</v>
      </c>
      <c r="J3538" t="s">
        <v>10674</v>
      </c>
      <c r="K3538" t="s">
        <v>10663</v>
      </c>
      <c r="L3538" t="s">
        <v>814</v>
      </c>
    </row>
    <row r="3539" spans="1:12">
      <c r="A3539" t="s">
        <v>10657</v>
      </c>
      <c r="B3539" t="s">
        <v>10658</v>
      </c>
      <c r="C3539" t="s">
        <v>10676</v>
      </c>
      <c r="D3539" t="s">
        <v>10660</v>
      </c>
      <c r="E3539" t="s">
        <v>10677</v>
      </c>
      <c r="F3539" t="s">
        <v>10678</v>
      </c>
      <c r="J3539" t="s">
        <v>10677</v>
      </c>
      <c r="K3539" t="s">
        <v>10663</v>
      </c>
      <c r="L3539" t="s">
        <v>814</v>
      </c>
    </row>
    <row r="3540" spans="1:12">
      <c r="A3540" t="s">
        <v>10657</v>
      </c>
      <c r="B3540" t="s">
        <v>10658</v>
      </c>
      <c r="C3540" t="s">
        <v>10679</v>
      </c>
      <c r="D3540" t="s">
        <v>10660</v>
      </c>
      <c r="E3540" t="s">
        <v>10680</v>
      </c>
      <c r="F3540" t="s">
        <v>10681</v>
      </c>
    </row>
    <row r="3541" spans="1:12">
      <c r="A3541" t="s">
        <v>10657</v>
      </c>
      <c r="B3541" t="s">
        <v>10658</v>
      </c>
      <c r="C3541" t="s">
        <v>10682</v>
      </c>
      <c r="D3541" t="s">
        <v>10660</v>
      </c>
      <c r="E3541" t="s">
        <v>10683</v>
      </c>
      <c r="F3541" t="s">
        <v>10684</v>
      </c>
      <c r="J3541" t="s">
        <v>10683</v>
      </c>
      <c r="K3541" t="s">
        <v>10663</v>
      </c>
      <c r="L3541" t="s">
        <v>814</v>
      </c>
    </row>
    <row r="3542" spans="1:12">
      <c r="A3542" t="s">
        <v>10657</v>
      </c>
      <c r="B3542" t="s">
        <v>10658</v>
      </c>
      <c r="C3542" t="s">
        <v>10685</v>
      </c>
      <c r="D3542" t="s">
        <v>10660</v>
      </c>
      <c r="E3542" t="s">
        <v>10686</v>
      </c>
      <c r="F3542" t="s">
        <v>10687</v>
      </c>
      <c r="J3542" t="s">
        <v>10686</v>
      </c>
      <c r="K3542" t="s">
        <v>10663</v>
      </c>
      <c r="L3542" t="s">
        <v>814</v>
      </c>
    </row>
    <row r="3543" spans="1:12">
      <c r="A3543" t="s">
        <v>10657</v>
      </c>
      <c r="B3543" t="s">
        <v>10658</v>
      </c>
      <c r="C3543" t="s">
        <v>10688</v>
      </c>
      <c r="D3543" t="s">
        <v>10660</v>
      </c>
      <c r="E3543" t="s">
        <v>9476</v>
      </c>
      <c r="F3543" t="s">
        <v>10689</v>
      </c>
      <c r="J3543" t="s">
        <v>9476</v>
      </c>
      <c r="K3543" t="s">
        <v>10663</v>
      </c>
      <c r="L3543" t="s">
        <v>814</v>
      </c>
    </row>
    <row r="3544" spans="1:12">
      <c r="A3544" t="s">
        <v>10657</v>
      </c>
      <c r="B3544" t="s">
        <v>10658</v>
      </c>
      <c r="C3544" t="s">
        <v>10690</v>
      </c>
      <c r="D3544" t="s">
        <v>10660</v>
      </c>
      <c r="E3544" t="s">
        <v>10398</v>
      </c>
      <c r="F3544" t="s">
        <v>10691</v>
      </c>
      <c r="J3544" t="s">
        <v>10398</v>
      </c>
      <c r="K3544" t="s">
        <v>10663</v>
      </c>
      <c r="L3544" t="s">
        <v>814</v>
      </c>
    </row>
    <row r="3545" spans="1:12">
      <c r="A3545" t="s">
        <v>10657</v>
      </c>
      <c r="B3545" t="s">
        <v>10658</v>
      </c>
      <c r="C3545" t="s">
        <v>10692</v>
      </c>
      <c r="D3545" t="s">
        <v>10660</v>
      </c>
      <c r="E3545" t="s">
        <v>2721</v>
      </c>
      <c r="F3545" t="s">
        <v>7773</v>
      </c>
    </row>
    <row r="3546" spans="1:12">
      <c r="A3546" t="s">
        <v>10657</v>
      </c>
      <c r="B3546" t="s">
        <v>10658</v>
      </c>
      <c r="C3546" t="s">
        <v>10693</v>
      </c>
      <c r="D3546" t="s">
        <v>10660</v>
      </c>
      <c r="E3546" t="s">
        <v>10694</v>
      </c>
      <c r="F3546" t="s">
        <v>10695</v>
      </c>
    </row>
    <row r="3547" spans="1:12">
      <c r="A3547" t="s">
        <v>10657</v>
      </c>
      <c r="B3547" t="s">
        <v>10658</v>
      </c>
      <c r="C3547" t="s">
        <v>10696</v>
      </c>
      <c r="D3547" t="s">
        <v>10660</v>
      </c>
      <c r="E3547" t="s">
        <v>6526</v>
      </c>
      <c r="F3547" t="s">
        <v>10697</v>
      </c>
    </row>
    <row r="3548" spans="1:12">
      <c r="A3548" t="s">
        <v>10657</v>
      </c>
      <c r="B3548" t="s">
        <v>10658</v>
      </c>
      <c r="C3548" t="s">
        <v>10698</v>
      </c>
      <c r="D3548" t="s">
        <v>10660</v>
      </c>
      <c r="E3548" t="s">
        <v>10699</v>
      </c>
      <c r="F3548" t="s">
        <v>10700</v>
      </c>
      <c r="J3548" t="s">
        <v>10699</v>
      </c>
      <c r="K3548" t="s">
        <v>10663</v>
      </c>
      <c r="L3548" t="s">
        <v>814</v>
      </c>
    </row>
    <row r="3549" spans="1:12">
      <c r="A3549" t="s">
        <v>10657</v>
      </c>
      <c r="B3549" t="s">
        <v>10658</v>
      </c>
      <c r="C3549" t="s">
        <v>10701</v>
      </c>
      <c r="D3549" t="s">
        <v>10660</v>
      </c>
      <c r="E3549" t="s">
        <v>10702</v>
      </c>
      <c r="F3549" t="s">
        <v>1324</v>
      </c>
    </row>
    <row r="3550" spans="1:12">
      <c r="A3550" t="s">
        <v>10657</v>
      </c>
      <c r="B3550" t="s">
        <v>10658</v>
      </c>
      <c r="C3550" t="s">
        <v>10703</v>
      </c>
      <c r="D3550" t="s">
        <v>10660</v>
      </c>
      <c r="E3550" t="s">
        <v>10704</v>
      </c>
      <c r="F3550" t="s">
        <v>10705</v>
      </c>
      <c r="J3550" t="s">
        <v>10704</v>
      </c>
      <c r="K3550" t="s">
        <v>10663</v>
      </c>
      <c r="L3550" t="s">
        <v>814</v>
      </c>
    </row>
    <row r="3551" spans="1:12">
      <c r="A3551" t="s">
        <v>10657</v>
      </c>
      <c r="B3551" t="s">
        <v>10658</v>
      </c>
      <c r="C3551" t="s">
        <v>10706</v>
      </c>
      <c r="D3551" t="s">
        <v>10660</v>
      </c>
      <c r="E3551" t="s">
        <v>10707</v>
      </c>
      <c r="F3551" t="s">
        <v>10708</v>
      </c>
      <c r="J3551" t="s">
        <v>10707</v>
      </c>
      <c r="K3551" t="s">
        <v>10663</v>
      </c>
      <c r="L3551" t="s">
        <v>814</v>
      </c>
    </row>
    <row r="3552" spans="1:12">
      <c r="A3552" t="s">
        <v>10657</v>
      </c>
      <c r="B3552" t="s">
        <v>10658</v>
      </c>
      <c r="C3552" t="s">
        <v>10709</v>
      </c>
      <c r="D3552" t="s">
        <v>10660</v>
      </c>
      <c r="E3552" t="s">
        <v>655</v>
      </c>
      <c r="F3552" t="s">
        <v>656</v>
      </c>
    </row>
    <row r="3553" spans="1:12">
      <c r="A3553" t="s">
        <v>10657</v>
      </c>
      <c r="B3553" t="s">
        <v>10658</v>
      </c>
      <c r="D3553" t="s">
        <v>10660</v>
      </c>
      <c r="F3553" t="s">
        <v>10710</v>
      </c>
      <c r="J3553" t="s">
        <v>10711</v>
      </c>
      <c r="K3553" t="s">
        <v>10663</v>
      </c>
      <c r="L3553" t="s">
        <v>814</v>
      </c>
    </row>
    <row r="3554" spans="1:12">
      <c r="A3554" t="s">
        <v>10657</v>
      </c>
      <c r="B3554" t="s">
        <v>10658</v>
      </c>
      <c r="D3554" t="s">
        <v>10660</v>
      </c>
      <c r="F3554" t="s">
        <v>10712</v>
      </c>
      <c r="J3554" t="s">
        <v>10713</v>
      </c>
      <c r="K3554" t="s">
        <v>10663</v>
      </c>
      <c r="L3554" t="s">
        <v>814</v>
      </c>
    </row>
    <row r="3555" spans="1:12">
      <c r="A3555" t="s">
        <v>10657</v>
      </c>
      <c r="B3555" t="s">
        <v>10658</v>
      </c>
      <c r="D3555" t="s">
        <v>10660</v>
      </c>
      <c r="F3555" t="s">
        <v>10714</v>
      </c>
      <c r="J3555" t="s">
        <v>703</v>
      </c>
      <c r="K3555" t="s">
        <v>10663</v>
      </c>
      <c r="L3555" t="s">
        <v>814</v>
      </c>
    </row>
    <row r="3556" spans="1:12">
      <c r="A3556" t="s">
        <v>10657</v>
      </c>
      <c r="B3556" t="s">
        <v>10658</v>
      </c>
      <c r="D3556" t="s">
        <v>10660</v>
      </c>
      <c r="F3556" t="s">
        <v>10715</v>
      </c>
      <c r="J3556" t="s">
        <v>10716</v>
      </c>
      <c r="K3556" t="s">
        <v>10663</v>
      </c>
      <c r="L3556" t="s">
        <v>814</v>
      </c>
    </row>
    <row r="3557" spans="1:12">
      <c r="A3557" t="s">
        <v>10657</v>
      </c>
      <c r="B3557" t="s">
        <v>10658</v>
      </c>
      <c r="D3557" t="s">
        <v>10660</v>
      </c>
      <c r="F3557" t="s">
        <v>10717</v>
      </c>
      <c r="J3557" t="s">
        <v>10718</v>
      </c>
      <c r="K3557" t="s">
        <v>10663</v>
      </c>
      <c r="L3557" t="s">
        <v>814</v>
      </c>
    </row>
    <row r="3558" spans="1:12">
      <c r="A3558" t="s">
        <v>10657</v>
      </c>
      <c r="B3558" t="s">
        <v>10658</v>
      </c>
      <c r="D3558" t="s">
        <v>10660</v>
      </c>
      <c r="F3558" t="s">
        <v>10719</v>
      </c>
      <c r="J3558" t="s">
        <v>10720</v>
      </c>
      <c r="K3558" t="s">
        <v>10663</v>
      </c>
      <c r="L3558" t="s">
        <v>814</v>
      </c>
    </row>
    <row r="3559" spans="1:12">
      <c r="A3559" t="s">
        <v>10657</v>
      </c>
      <c r="B3559" t="s">
        <v>10658</v>
      </c>
      <c r="D3559" t="s">
        <v>10660</v>
      </c>
      <c r="F3559" t="s">
        <v>10721</v>
      </c>
      <c r="J3559" t="s">
        <v>10722</v>
      </c>
      <c r="K3559" t="s">
        <v>10663</v>
      </c>
      <c r="L3559" t="s">
        <v>814</v>
      </c>
    </row>
    <row r="3560" spans="1:12">
      <c r="A3560" t="s">
        <v>10657</v>
      </c>
      <c r="B3560" t="s">
        <v>10658</v>
      </c>
      <c r="D3560" t="s">
        <v>10660</v>
      </c>
      <c r="F3560" t="s">
        <v>10723</v>
      </c>
      <c r="J3560" t="s">
        <v>10724</v>
      </c>
      <c r="K3560" t="s">
        <v>10663</v>
      </c>
      <c r="L3560" t="s">
        <v>814</v>
      </c>
    </row>
    <row r="3561" spans="1:12">
      <c r="A3561" t="s">
        <v>10657</v>
      </c>
      <c r="B3561" t="s">
        <v>10658</v>
      </c>
      <c r="D3561" t="s">
        <v>10660</v>
      </c>
      <c r="F3561" t="s">
        <v>10725</v>
      </c>
      <c r="J3561" t="s">
        <v>10726</v>
      </c>
      <c r="K3561" t="s">
        <v>10663</v>
      </c>
      <c r="L3561" t="s">
        <v>814</v>
      </c>
    </row>
    <row r="3562" spans="1:12">
      <c r="A3562" t="s">
        <v>10657</v>
      </c>
      <c r="B3562" t="s">
        <v>10658</v>
      </c>
      <c r="D3562" t="s">
        <v>10660</v>
      </c>
      <c r="F3562" t="s">
        <v>10727</v>
      </c>
      <c r="J3562" t="s">
        <v>10728</v>
      </c>
      <c r="K3562" t="s">
        <v>10663</v>
      </c>
      <c r="L3562" t="s">
        <v>814</v>
      </c>
    </row>
    <row r="3563" spans="1:12">
      <c r="A3563" t="s">
        <v>10657</v>
      </c>
      <c r="B3563" t="s">
        <v>10658</v>
      </c>
      <c r="D3563" t="s">
        <v>10660</v>
      </c>
      <c r="F3563" t="s">
        <v>10729</v>
      </c>
      <c r="J3563" t="s">
        <v>10730</v>
      </c>
      <c r="K3563" t="s">
        <v>10663</v>
      </c>
      <c r="L3563" t="s">
        <v>814</v>
      </c>
    </row>
    <row r="3564" spans="1:12">
      <c r="A3564" t="s">
        <v>10657</v>
      </c>
      <c r="B3564" t="s">
        <v>10658</v>
      </c>
      <c r="D3564" t="s">
        <v>10660</v>
      </c>
      <c r="F3564" t="s">
        <v>10731</v>
      </c>
      <c r="J3564" t="s">
        <v>10732</v>
      </c>
      <c r="K3564" t="s">
        <v>10663</v>
      </c>
      <c r="L3564" t="s">
        <v>814</v>
      </c>
    </row>
    <row r="3565" spans="1:12">
      <c r="A3565" t="s">
        <v>10733</v>
      </c>
      <c r="B3565" t="s">
        <v>10734</v>
      </c>
      <c r="C3565" t="s">
        <v>10735</v>
      </c>
      <c r="D3565" t="s">
        <v>10736</v>
      </c>
      <c r="E3565" t="s">
        <v>10737</v>
      </c>
      <c r="F3565" t="s">
        <v>10738</v>
      </c>
    </row>
    <row r="3566" spans="1:12">
      <c r="A3566" t="s">
        <v>10733</v>
      </c>
      <c r="B3566" t="s">
        <v>10734</v>
      </c>
      <c r="C3566" t="s">
        <v>10739</v>
      </c>
      <c r="D3566" t="s">
        <v>10736</v>
      </c>
      <c r="E3566" t="s">
        <v>10740</v>
      </c>
      <c r="F3566" t="s">
        <v>10741</v>
      </c>
      <c r="J3566" t="s">
        <v>10740</v>
      </c>
      <c r="K3566" t="s">
        <v>10742</v>
      </c>
      <c r="L3566" t="s">
        <v>863</v>
      </c>
    </row>
    <row r="3567" spans="1:12">
      <c r="A3567" t="s">
        <v>10733</v>
      </c>
      <c r="B3567" t="s">
        <v>10734</v>
      </c>
      <c r="C3567" t="s">
        <v>10743</v>
      </c>
      <c r="D3567" t="s">
        <v>10736</v>
      </c>
      <c r="E3567" t="s">
        <v>655</v>
      </c>
      <c r="F3567" t="s">
        <v>656</v>
      </c>
    </row>
    <row r="3568" spans="1:12">
      <c r="A3568" t="s">
        <v>10744</v>
      </c>
      <c r="B3568" t="s">
        <v>10745</v>
      </c>
      <c r="C3568" t="s">
        <v>10746</v>
      </c>
      <c r="D3568" t="s">
        <v>10747</v>
      </c>
      <c r="E3568" t="s">
        <v>10748</v>
      </c>
      <c r="F3568" t="s">
        <v>10749</v>
      </c>
      <c r="J3568" t="s">
        <v>10748</v>
      </c>
      <c r="K3568" t="s">
        <v>10744</v>
      </c>
      <c r="L3568" t="s">
        <v>664</v>
      </c>
    </row>
    <row r="3569" spans="1:12">
      <c r="A3569" t="s">
        <v>10744</v>
      </c>
      <c r="B3569" t="s">
        <v>10745</v>
      </c>
      <c r="C3569" t="s">
        <v>10750</v>
      </c>
      <c r="D3569" t="s">
        <v>10747</v>
      </c>
      <c r="E3569" t="s">
        <v>10751</v>
      </c>
      <c r="F3569" t="s">
        <v>10752</v>
      </c>
      <c r="J3569" t="s">
        <v>10751</v>
      </c>
      <c r="K3569" t="s">
        <v>10744</v>
      </c>
      <c r="L3569" t="s">
        <v>664</v>
      </c>
    </row>
    <row r="3570" spans="1:12">
      <c r="A3570" t="s">
        <v>10744</v>
      </c>
      <c r="B3570" t="s">
        <v>10745</v>
      </c>
      <c r="C3570" t="s">
        <v>10753</v>
      </c>
      <c r="D3570" t="s">
        <v>10747</v>
      </c>
      <c r="E3570" t="s">
        <v>10754</v>
      </c>
      <c r="F3570" t="s">
        <v>10755</v>
      </c>
    </row>
    <row r="3571" spans="1:12">
      <c r="A3571" t="s">
        <v>10744</v>
      </c>
      <c r="B3571" t="s">
        <v>10745</v>
      </c>
      <c r="C3571" t="s">
        <v>10756</v>
      </c>
      <c r="D3571" t="s">
        <v>10747</v>
      </c>
      <c r="E3571" t="s">
        <v>10757</v>
      </c>
      <c r="F3571" t="s">
        <v>10758</v>
      </c>
      <c r="J3571" t="s">
        <v>10757</v>
      </c>
      <c r="K3571" t="s">
        <v>10744</v>
      </c>
      <c r="L3571" t="s">
        <v>664</v>
      </c>
    </row>
    <row r="3572" spans="1:12">
      <c r="A3572" t="s">
        <v>10744</v>
      </c>
      <c r="B3572" t="s">
        <v>10745</v>
      </c>
      <c r="C3572" t="s">
        <v>10759</v>
      </c>
      <c r="D3572" t="s">
        <v>10747</v>
      </c>
      <c r="E3572" t="s">
        <v>10760</v>
      </c>
      <c r="F3572" t="s">
        <v>10761</v>
      </c>
    </row>
    <row r="3573" spans="1:12">
      <c r="A3573" t="s">
        <v>10744</v>
      </c>
      <c r="B3573" t="s">
        <v>10745</v>
      </c>
      <c r="C3573" t="s">
        <v>10762</v>
      </c>
      <c r="D3573" t="s">
        <v>10747</v>
      </c>
      <c r="E3573" t="s">
        <v>10763</v>
      </c>
      <c r="F3573" t="s">
        <v>10764</v>
      </c>
      <c r="J3573" t="s">
        <v>10763</v>
      </c>
      <c r="K3573" t="s">
        <v>10744</v>
      </c>
      <c r="L3573" t="s">
        <v>664</v>
      </c>
    </row>
    <row r="3574" spans="1:12">
      <c r="A3574" t="s">
        <v>10744</v>
      </c>
      <c r="B3574" t="s">
        <v>10745</v>
      </c>
      <c r="C3574" t="s">
        <v>10765</v>
      </c>
      <c r="D3574" t="s">
        <v>10747</v>
      </c>
      <c r="E3574" t="s">
        <v>8105</v>
      </c>
      <c r="F3574" t="s">
        <v>10766</v>
      </c>
      <c r="J3574" t="s">
        <v>8105</v>
      </c>
      <c r="K3574" t="s">
        <v>10744</v>
      </c>
      <c r="L3574" t="s">
        <v>664</v>
      </c>
    </row>
    <row r="3575" spans="1:12">
      <c r="A3575" t="s">
        <v>10744</v>
      </c>
      <c r="B3575" t="s">
        <v>10745</v>
      </c>
      <c r="C3575" t="s">
        <v>10767</v>
      </c>
      <c r="D3575" t="s">
        <v>10747</v>
      </c>
      <c r="E3575" t="s">
        <v>1854</v>
      </c>
      <c r="F3575" t="s">
        <v>10768</v>
      </c>
    </row>
    <row r="3576" spans="1:12">
      <c r="A3576" t="s">
        <v>10744</v>
      </c>
      <c r="B3576" t="s">
        <v>10745</v>
      </c>
      <c r="C3576" t="s">
        <v>10769</v>
      </c>
      <c r="D3576" t="s">
        <v>10747</v>
      </c>
      <c r="E3576" t="s">
        <v>5023</v>
      </c>
      <c r="F3576" t="s">
        <v>10770</v>
      </c>
    </row>
    <row r="3577" spans="1:12">
      <c r="A3577" t="s">
        <v>10744</v>
      </c>
      <c r="B3577" t="s">
        <v>10745</v>
      </c>
      <c r="C3577" t="s">
        <v>10771</v>
      </c>
      <c r="D3577" t="s">
        <v>10747</v>
      </c>
      <c r="E3577" t="s">
        <v>5026</v>
      </c>
      <c r="F3577" t="s">
        <v>10772</v>
      </c>
    </row>
    <row r="3578" spans="1:12">
      <c r="A3578" t="s">
        <v>10744</v>
      </c>
      <c r="B3578" t="s">
        <v>10745</v>
      </c>
      <c r="C3578" t="s">
        <v>10773</v>
      </c>
      <c r="D3578" t="s">
        <v>10747</v>
      </c>
      <c r="E3578" t="s">
        <v>10774</v>
      </c>
      <c r="F3578" t="s">
        <v>10775</v>
      </c>
      <c r="J3578" t="s">
        <v>10774</v>
      </c>
      <c r="K3578" t="s">
        <v>10744</v>
      </c>
      <c r="L3578" t="s">
        <v>664</v>
      </c>
    </row>
    <row r="3579" spans="1:12">
      <c r="A3579" t="s">
        <v>10744</v>
      </c>
      <c r="B3579" t="s">
        <v>10745</v>
      </c>
      <c r="C3579" t="s">
        <v>10776</v>
      </c>
      <c r="D3579" t="s">
        <v>10747</v>
      </c>
      <c r="E3579" t="s">
        <v>10777</v>
      </c>
      <c r="F3579" t="s">
        <v>10778</v>
      </c>
      <c r="J3579" t="s">
        <v>10777</v>
      </c>
      <c r="K3579" t="s">
        <v>10744</v>
      </c>
      <c r="L3579" t="s">
        <v>664</v>
      </c>
    </row>
    <row r="3580" spans="1:12">
      <c r="A3580" t="s">
        <v>10744</v>
      </c>
      <c r="B3580" t="s">
        <v>10745</v>
      </c>
      <c r="C3580" t="s">
        <v>10779</v>
      </c>
      <c r="D3580" t="s">
        <v>10747</v>
      </c>
      <c r="E3580" t="s">
        <v>10780</v>
      </c>
      <c r="F3580" t="s">
        <v>10781</v>
      </c>
    </row>
    <row r="3581" spans="1:12">
      <c r="A3581" t="s">
        <v>10744</v>
      </c>
      <c r="B3581" t="s">
        <v>10745</v>
      </c>
      <c r="C3581" t="s">
        <v>10782</v>
      </c>
      <c r="D3581" t="s">
        <v>10747</v>
      </c>
      <c r="E3581" t="s">
        <v>6790</v>
      </c>
      <c r="F3581" t="s">
        <v>10783</v>
      </c>
    </row>
    <row r="3582" spans="1:12">
      <c r="A3582" t="s">
        <v>10744</v>
      </c>
      <c r="B3582" t="s">
        <v>10745</v>
      </c>
      <c r="C3582" t="s">
        <v>10784</v>
      </c>
      <c r="D3582" t="s">
        <v>10747</v>
      </c>
      <c r="E3582" t="s">
        <v>10785</v>
      </c>
      <c r="F3582" t="s">
        <v>10786</v>
      </c>
      <c r="J3582" t="s">
        <v>10785</v>
      </c>
      <c r="K3582" t="s">
        <v>10744</v>
      </c>
      <c r="L3582" t="s">
        <v>664</v>
      </c>
    </row>
    <row r="3583" spans="1:12">
      <c r="A3583" t="s">
        <v>10744</v>
      </c>
      <c r="B3583" t="s">
        <v>10745</v>
      </c>
      <c r="C3583" t="s">
        <v>10787</v>
      </c>
      <c r="D3583" t="s">
        <v>10747</v>
      </c>
      <c r="E3583" t="s">
        <v>10788</v>
      </c>
      <c r="F3583" t="s">
        <v>10789</v>
      </c>
      <c r="J3583" t="s">
        <v>10788</v>
      </c>
      <c r="K3583" t="s">
        <v>10744</v>
      </c>
      <c r="L3583" t="s">
        <v>664</v>
      </c>
    </row>
    <row r="3584" spans="1:12">
      <c r="A3584" t="s">
        <v>10744</v>
      </c>
      <c r="B3584" t="s">
        <v>10745</v>
      </c>
      <c r="C3584" t="s">
        <v>10790</v>
      </c>
      <c r="D3584" t="s">
        <v>10747</v>
      </c>
      <c r="E3584" t="s">
        <v>10791</v>
      </c>
      <c r="F3584" t="s">
        <v>10792</v>
      </c>
    </row>
    <row r="3585" spans="1:12">
      <c r="A3585" t="s">
        <v>10744</v>
      </c>
      <c r="B3585" t="s">
        <v>10745</v>
      </c>
      <c r="C3585" t="s">
        <v>10793</v>
      </c>
      <c r="D3585" t="s">
        <v>10747</v>
      </c>
      <c r="E3585" t="s">
        <v>10794</v>
      </c>
      <c r="F3585" t="s">
        <v>10795</v>
      </c>
      <c r="J3585" t="s">
        <v>10794</v>
      </c>
      <c r="K3585" t="s">
        <v>10744</v>
      </c>
      <c r="L3585" t="s">
        <v>664</v>
      </c>
    </row>
    <row r="3586" spans="1:12">
      <c r="A3586" t="s">
        <v>10744</v>
      </c>
      <c r="B3586" t="s">
        <v>10745</v>
      </c>
      <c r="C3586" t="s">
        <v>10796</v>
      </c>
      <c r="D3586" t="s">
        <v>10747</v>
      </c>
      <c r="E3586" t="s">
        <v>10797</v>
      </c>
      <c r="F3586" t="s">
        <v>10798</v>
      </c>
    </row>
    <row r="3587" spans="1:12">
      <c r="A3587" t="s">
        <v>10744</v>
      </c>
      <c r="B3587" t="s">
        <v>10745</v>
      </c>
      <c r="C3587" t="s">
        <v>10799</v>
      </c>
      <c r="D3587" t="s">
        <v>10747</v>
      </c>
      <c r="E3587" t="s">
        <v>10800</v>
      </c>
      <c r="F3587" t="s">
        <v>10801</v>
      </c>
    </row>
    <row r="3588" spans="1:12">
      <c r="A3588" t="s">
        <v>10744</v>
      </c>
      <c r="B3588" t="s">
        <v>10745</v>
      </c>
      <c r="C3588" t="s">
        <v>10802</v>
      </c>
      <c r="D3588" t="s">
        <v>10747</v>
      </c>
      <c r="E3588" t="s">
        <v>10803</v>
      </c>
      <c r="F3588" t="s">
        <v>10804</v>
      </c>
    </row>
    <row r="3589" spans="1:12">
      <c r="A3589" t="s">
        <v>10744</v>
      </c>
      <c r="B3589" t="s">
        <v>10745</v>
      </c>
      <c r="C3589" t="s">
        <v>10805</v>
      </c>
      <c r="D3589" t="s">
        <v>10747</v>
      </c>
      <c r="E3589" t="s">
        <v>10806</v>
      </c>
      <c r="F3589" t="s">
        <v>10807</v>
      </c>
    </row>
    <row r="3590" spans="1:12">
      <c r="A3590" t="s">
        <v>10744</v>
      </c>
      <c r="B3590" t="s">
        <v>10745</v>
      </c>
      <c r="C3590" t="s">
        <v>10808</v>
      </c>
      <c r="D3590" t="s">
        <v>10747</v>
      </c>
      <c r="E3590" t="s">
        <v>10809</v>
      </c>
      <c r="F3590" t="s">
        <v>10810</v>
      </c>
      <c r="J3590" t="s">
        <v>10809</v>
      </c>
      <c r="K3590" t="s">
        <v>10744</v>
      </c>
      <c r="L3590" t="s">
        <v>664</v>
      </c>
    </row>
    <row r="3591" spans="1:12">
      <c r="A3591" t="s">
        <v>10744</v>
      </c>
      <c r="B3591" t="s">
        <v>10745</v>
      </c>
      <c r="C3591" t="s">
        <v>10811</v>
      </c>
      <c r="D3591" t="s">
        <v>10747</v>
      </c>
      <c r="E3591" t="s">
        <v>784</v>
      </c>
      <c r="F3591" t="s">
        <v>10812</v>
      </c>
    </row>
    <row r="3592" spans="1:12">
      <c r="A3592" t="s">
        <v>10744</v>
      </c>
      <c r="B3592" t="s">
        <v>10745</v>
      </c>
      <c r="C3592" t="s">
        <v>10813</v>
      </c>
      <c r="D3592" t="s">
        <v>10747</v>
      </c>
      <c r="E3592" t="s">
        <v>10814</v>
      </c>
      <c r="F3592" t="s">
        <v>10815</v>
      </c>
    </row>
    <row r="3593" spans="1:12">
      <c r="A3593" t="s">
        <v>10744</v>
      </c>
      <c r="B3593" t="s">
        <v>10745</v>
      </c>
      <c r="C3593" t="s">
        <v>10816</v>
      </c>
      <c r="D3593" t="s">
        <v>10747</v>
      </c>
      <c r="E3593" t="s">
        <v>10817</v>
      </c>
      <c r="F3593" t="s">
        <v>10818</v>
      </c>
      <c r="J3593" t="s">
        <v>10817</v>
      </c>
      <c r="K3593" t="s">
        <v>10744</v>
      </c>
      <c r="L3593" t="s">
        <v>664</v>
      </c>
    </row>
    <row r="3594" spans="1:12">
      <c r="A3594" t="s">
        <v>10744</v>
      </c>
      <c r="B3594" t="s">
        <v>10745</v>
      </c>
      <c r="C3594" t="s">
        <v>10819</v>
      </c>
      <c r="D3594" t="s">
        <v>10747</v>
      </c>
      <c r="E3594" t="s">
        <v>10820</v>
      </c>
      <c r="F3594" t="s">
        <v>10821</v>
      </c>
    </row>
    <row r="3595" spans="1:12">
      <c r="A3595" t="s">
        <v>10744</v>
      </c>
      <c r="B3595" t="s">
        <v>10745</v>
      </c>
      <c r="C3595" t="s">
        <v>10822</v>
      </c>
      <c r="D3595" t="s">
        <v>10747</v>
      </c>
      <c r="E3595" t="s">
        <v>10823</v>
      </c>
      <c r="F3595" t="s">
        <v>10824</v>
      </c>
      <c r="J3595" t="s">
        <v>10823</v>
      </c>
      <c r="K3595" t="s">
        <v>10744</v>
      </c>
      <c r="L3595" t="s">
        <v>664</v>
      </c>
    </row>
    <row r="3596" spans="1:12">
      <c r="A3596" t="s">
        <v>10744</v>
      </c>
      <c r="B3596" t="s">
        <v>10745</v>
      </c>
      <c r="C3596" t="s">
        <v>10825</v>
      </c>
      <c r="D3596" t="s">
        <v>10747</v>
      </c>
      <c r="E3596" t="s">
        <v>10826</v>
      </c>
      <c r="F3596" t="s">
        <v>10827</v>
      </c>
    </row>
    <row r="3597" spans="1:12">
      <c r="A3597" t="s">
        <v>10744</v>
      </c>
      <c r="B3597" t="s">
        <v>10745</v>
      </c>
      <c r="C3597" t="s">
        <v>10828</v>
      </c>
      <c r="D3597" t="s">
        <v>10747</v>
      </c>
      <c r="E3597" t="s">
        <v>655</v>
      </c>
      <c r="F3597" t="s">
        <v>656</v>
      </c>
    </row>
    <row r="3598" spans="1:12">
      <c r="A3598" t="s">
        <v>10744</v>
      </c>
      <c r="B3598" t="s">
        <v>10745</v>
      </c>
      <c r="D3598" t="s">
        <v>10747</v>
      </c>
      <c r="F3598" t="s">
        <v>10829</v>
      </c>
      <c r="J3598" t="s">
        <v>10830</v>
      </c>
      <c r="K3598" t="s">
        <v>10744</v>
      </c>
      <c r="L3598" t="s">
        <v>664</v>
      </c>
    </row>
    <row r="3599" spans="1:12">
      <c r="A3599" t="s">
        <v>10744</v>
      </c>
      <c r="B3599" t="s">
        <v>10745</v>
      </c>
      <c r="D3599" t="s">
        <v>10747</v>
      </c>
      <c r="F3599" t="s">
        <v>10831</v>
      </c>
      <c r="J3599" t="s">
        <v>9553</v>
      </c>
      <c r="K3599" t="s">
        <v>10744</v>
      </c>
      <c r="L3599" t="s">
        <v>664</v>
      </c>
    </row>
    <row r="3600" spans="1:12">
      <c r="A3600" t="s">
        <v>10744</v>
      </c>
      <c r="B3600" t="s">
        <v>10745</v>
      </c>
      <c r="D3600" t="s">
        <v>10747</v>
      </c>
      <c r="F3600" t="s">
        <v>10832</v>
      </c>
      <c r="J3600" t="s">
        <v>10470</v>
      </c>
      <c r="K3600" t="s">
        <v>10744</v>
      </c>
      <c r="L3600" t="s">
        <v>664</v>
      </c>
    </row>
    <row r="3601" spans="1:12">
      <c r="A3601" t="s">
        <v>10833</v>
      </c>
      <c r="B3601" t="s">
        <v>10834</v>
      </c>
      <c r="C3601" t="s">
        <v>10835</v>
      </c>
      <c r="D3601" t="s">
        <v>10836</v>
      </c>
      <c r="E3601" t="s">
        <v>655</v>
      </c>
      <c r="F3601" t="s">
        <v>656</v>
      </c>
    </row>
    <row r="3602" spans="1:12">
      <c r="A3602" t="s">
        <v>10833</v>
      </c>
      <c r="B3602" t="s">
        <v>10834</v>
      </c>
      <c r="D3602" t="s">
        <v>10836</v>
      </c>
      <c r="F3602" t="s">
        <v>10837</v>
      </c>
      <c r="J3602" t="s">
        <v>10838</v>
      </c>
      <c r="K3602" t="s">
        <v>10839</v>
      </c>
      <c r="L3602" t="s">
        <v>851</v>
      </c>
    </row>
    <row r="3603" spans="1:12">
      <c r="A3603" t="s">
        <v>10833</v>
      </c>
      <c r="B3603" t="s">
        <v>10834</v>
      </c>
      <c r="D3603" t="s">
        <v>10836</v>
      </c>
      <c r="F3603" t="s">
        <v>10840</v>
      </c>
      <c r="J3603" t="s">
        <v>10841</v>
      </c>
      <c r="K3603" t="s">
        <v>10839</v>
      </c>
      <c r="L3603" t="s">
        <v>851</v>
      </c>
    </row>
    <row r="3604" spans="1:12">
      <c r="A3604" t="s">
        <v>10833</v>
      </c>
      <c r="B3604" t="s">
        <v>10834</v>
      </c>
      <c r="D3604" t="s">
        <v>10836</v>
      </c>
      <c r="F3604" t="s">
        <v>10842</v>
      </c>
      <c r="J3604" t="s">
        <v>10022</v>
      </c>
      <c r="K3604" t="s">
        <v>10839</v>
      </c>
      <c r="L3604" t="s">
        <v>851</v>
      </c>
    </row>
    <row r="3605" spans="1:12">
      <c r="A3605" t="s">
        <v>10833</v>
      </c>
      <c r="B3605" t="s">
        <v>10834</v>
      </c>
      <c r="D3605" t="s">
        <v>10836</v>
      </c>
      <c r="F3605" t="s">
        <v>10843</v>
      </c>
      <c r="J3605" t="s">
        <v>10844</v>
      </c>
      <c r="K3605" t="s">
        <v>10839</v>
      </c>
      <c r="L3605" t="s">
        <v>851</v>
      </c>
    </row>
    <row r="3606" spans="1:12">
      <c r="A3606" t="s">
        <v>10845</v>
      </c>
      <c r="B3606" t="s">
        <v>10846</v>
      </c>
      <c r="C3606" t="s">
        <v>10847</v>
      </c>
      <c r="D3606" t="s">
        <v>10848</v>
      </c>
      <c r="E3606" t="s">
        <v>8298</v>
      </c>
      <c r="F3606" t="s">
        <v>10849</v>
      </c>
      <c r="J3606" t="s">
        <v>8298</v>
      </c>
      <c r="K3606" t="s">
        <v>10850</v>
      </c>
      <c r="L3606" t="s">
        <v>916</v>
      </c>
    </row>
    <row r="3607" spans="1:12">
      <c r="A3607" t="s">
        <v>10845</v>
      </c>
      <c r="B3607" t="s">
        <v>10846</v>
      </c>
      <c r="C3607" t="s">
        <v>10851</v>
      </c>
      <c r="D3607" t="s">
        <v>10848</v>
      </c>
      <c r="E3607" t="s">
        <v>10852</v>
      </c>
      <c r="F3607" t="s">
        <v>10853</v>
      </c>
      <c r="J3607" t="s">
        <v>10852</v>
      </c>
      <c r="K3607" t="s">
        <v>10850</v>
      </c>
      <c r="L3607" t="s">
        <v>916</v>
      </c>
    </row>
    <row r="3608" spans="1:12">
      <c r="A3608" t="s">
        <v>10845</v>
      </c>
      <c r="B3608" t="s">
        <v>10846</v>
      </c>
      <c r="C3608" t="s">
        <v>10854</v>
      </c>
      <c r="D3608" t="s">
        <v>10848</v>
      </c>
      <c r="E3608" t="s">
        <v>10855</v>
      </c>
      <c r="F3608" t="s">
        <v>10856</v>
      </c>
      <c r="J3608" t="s">
        <v>10855</v>
      </c>
      <c r="K3608" t="s">
        <v>10850</v>
      </c>
      <c r="L3608" t="s">
        <v>916</v>
      </c>
    </row>
    <row r="3609" spans="1:12">
      <c r="A3609" t="s">
        <v>10845</v>
      </c>
      <c r="B3609" t="s">
        <v>10846</v>
      </c>
      <c r="C3609" t="s">
        <v>10857</v>
      </c>
      <c r="D3609" t="s">
        <v>10848</v>
      </c>
      <c r="E3609" t="s">
        <v>655</v>
      </c>
      <c r="F3609" t="s">
        <v>656</v>
      </c>
    </row>
    <row r="3610" spans="1:12">
      <c r="A3610" t="s">
        <v>10845</v>
      </c>
      <c r="B3610" t="s">
        <v>10846</v>
      </c>
      <c r="D3610" t="s">
        <v>10848</v>
      </c>
      <c r="F3610" t="s">
        <v>10858</v>
      </c>
      <c r="J3610" t="s">
        <v>10859</v>
      </c>
      <c r="K3610" t="s">
        <v>10850</v>
      </c>
      <c r="L3610" t="s">
        <v>916</v>
      </c>
    </row>
    <row r="3611" spans="1:12">
      <c r="A3611" t="s">
        <v>10860</v>
      </c>
      <c r="B3611" t="s">
        <v>10861</v>
      </c>
      <c r="C3611" t="s">
        <v>10862</v>
      </c>
      <c r="D3611" t="s">
        <v>10863</v>
      </c>
      <c r="E3611" t="s">
        <v>10864</v>
      </c>
      <c r="F3611" t="s">
        <v>10865</v>
      </c>
      <c r="J3611" t="s">
        <v>10864</v>
      </c>
      <c r="K3611" t="s">
        <v>10860</v>
      </c>
      <c r="L3611" t="s">
        <v>851</v>
      </c>
    </row>
    <row r="3612" spans="1:12">
      <c r="A3612" t="s">
        <v>10860</v>
      </c>
      <c r="B3612" t="s">
        <v>10861</v>
      </c>
      <c r="C3612" t="s">
        <v>10866</v>
      </c>
      <c r="D3612" t="s">
        <v>10863</v>
      </c>
      <c r="E3612" t="s">
        <v>10867</v>
      </c>
      <c r="F3612" t="s">
        <v>10868</v>
      </c>
    </row>
    <row r="3613" spans="1:12">
      <c r="A3613" t="s">
        <v>10860</v>
      </c>
      <c r="B3613" t="s">
        <v>10861</v>
      </c>
      <c r="C3613" t="s">
        <v>10869</v>
      </c>
      <c r="D3613" t="s">
        <v>10863</v>
      </c>
      <c r="E3613" t="s">
        <v>850</v>
      </c>
      <c r="F3613" t="s">
        <v>10870</v>
      </c>
    </row>
    <row r="3614" spans="1:12">
      <c r="A3614" t="s">
        <v>10860</v>
      </c>
      <c r="B3614" t="s">
        <v>10861</v>
      </c>
      <c r="C3614" t="s">
        <v>10871</v>
      </c>
      <c r="D3614" t="s">
        <v>10863</v>
      </c>
      <c r="E3614" t="s">
        <v>10872</v>
      </c>
      <c r="F3614" t="s">
        <v>10873</v>
      </c>
      <c r="J3614" t="s">
        <v>10872</v>
      </c>
      <c r="K3614" t="s">
        <v>10860</v>
      </c>
      <c r="L3614" t="s">
        <v>851</v>
      </c>
    </row>
    <row r="3615" spans="1:12">
      <c r="A3615" t="s">
        <v>10860</v>
      </c>
      <c r="B3615" t="s">
        <v>10861</v>
      </c>
      <c r="C3615" t="s">
        <v>10874</v>
      </c>
      <c r="D3615" t="s">
        <v>10863</v>
      </c>
      <c r="E3615" t="s">
        <v>8421</v>
      </c>
      <c r="F3615" t="s">
        <v>10875</v>
      </c>
    </row>
    <row r="3616" spans="1:12">
      <c r="A3616" t="s">
        <v>10860</v>
      </c>
      <c r="B3616" t="s">
        <v>10861</v>
      </c>
      <c r="C3616" t="s">
        <v>10876</v>
      </c>
      <c r="D3616" t="s">
        <v>10863</v>
      </c>
      <c r="E3616" t="s">
        <v>10590</v>
      </c>
      <c r="F3616" t="s">
        <v>10877</v>
      </c>
    </row>
    <row r="3617" spans="1:12">
      <c r="A3617" t="s">
        <v>10860</v>
      </c>
      <c r="B3617" t="s">
        <v>10861</v>
      </c>
      <c r="C3617" t="s">
        <v>10878</v>
      </c>
      <c r="D3617" t="s">
        <v>10863</v>
      </c>
      <c r="E3617" t="s">
        <v>10879</v>
      </c>
      <c r="F3617" t="s">
        <v>10880</v>
      </c>
    </row>
    <row r="3618" spans="1:12">
      <c r="A3618" t="s">
        <v>10860</v>
      </c>
      <c r="B3618" t="s">
        <v>10861</v>
      </c>
      <c r="C3618" t="s">
        <v>10881</v>
      </c>
      <c r="D3618" t="s">
        <v>10863</v>
      </c>
      <c r="E3618" t="s">
        <v>10882</v>
      </c>
      <c r="F3618" t="s">
        <v>10883</v>
      </c>
    </row>
    <row r="3619" spans="1:12">
      <c r="A3619" t="s">
        <v>10860</v>
      </c>
      <c r="B3619" t="s">
        <v>10861</v>
      </c>
      <c r="C3619" t="s">
        <v>10884</v>
      </c>
      <c r="D3619" t="s">
        <v>10863</v>
      </c>
      <c r="E3619" t="s">
        <v>10885</v>
      </c>
      <c r="F3619" t="s">
        <v>10886</v>
      </c>
    </row>
    <row r="3620" spans="1:12">
      <c r="A3620" t="s">
        <v>10860</v>
      </c>
      <c r="B3620" t="s">
        <v>10861</v>
      </c>
      <c r="C3620" t="s">
        <v>10887</v>
      </c>
      <c r="D3620" t="s">
        <v>10863</v>
      </c>
      <c r="E3620" t="s">
        <v>10888</v>
      </c>
      <c r="F3620" t="s">
        <v>10889</v>
      </c>
    </row>
    <row r="3621" spans="1:12">
      <c r="A3621" t="s">
        <v>10860</v>
      </c>
      <c r="B3621" t="s">
        <v>10861</v>
      </c>
      <c r="C3621" t="s">
        <v>10890</v>
      </c>
      <c r="D3621" t="s">
        <v>10863</v>
      </c>
      <c r="E3621" t="s">
        <v>7832</v>
      </c>
      <c r="F3621" t="s">
        <v>10891</v>
      </c>
    </row>
    <row r="3622" spans="1:12">
      <c r="A3622" t="s">
        <v>10860</v>
      </c>
      <c r="B3622" t="s">
        <v>10861</v>
      </c>
      <c r="C3622" t="s">
        <v>10892</v>
      </c>
      <c r="D3622" t="s">
        <v>10863</v>
      </c>
      <c r="E3622" t="s">
        <v>10893</v>
      </c>
      <c r="F3622" t="s">
        <v>10894</v>
      </c>
      <c r="J3622" t="s">
        <v>10893</v>
      </c>
      <c r="K3622" t="s">
        <v>10860</v>
      </c>
      <c r="L3622" t="s">
        <v>851</v>
      </c>
    </row>
    <row r="3623" spans="1:12">
      <c r="A3623" t="s">
        <v>10860</v>
      </c>
      <c r="B3623" t="s">
        <v>10861</v>
      </c>
      <c r="C3623" t="s">
        <v>10895</v>
      </c>
      <c r="D3623" t="s">
        <v>10863</v>
      </c>
      <c r="E3623" t="s">
        <v>10896</v>
      </c>
      <c r="F3623" t="s">
        <v>10897</v>
      </c>
      <c r="J3623" t="s">
        <v>10896</v>
      </c>
      <c r="K3623" t="s">
        <v>10860</v>
      </c>
      <c r="L3623" t="s">
        <v>851</v>
      </c>
    </row>
    <row r="3624" spans="1:12">
      <c r="A3624" t="s">
        <v>10860</v>
      </c>
      <c r="B3624" t="s">
        <v>10861</v>
      </c>
      <c r="C3624" t="s">
        <v>10898</v>
      </c>
      <c r="D3624" t="s">
        <v>10863</v>
      </c>
      <c r="E3624" t="s">
        <v>10899</v>
      </c>
      <c r="F3624" t="s">
        <v>10900</v>
      </c>
      <c r="J3624" t="s">
        <v>10899</v>
      </c>
      <c r="K3624" t="s">
        <v>10860</v>
      </c>
      <c r="L3624" t="s">
        <v>851</v>
      </c>
    </row>
    <row r="3625" spans="1:12">
      <c r="A3625" t="s">
        <v>10860</v>
      </c>
      <c r="B3625" t="s">
        <v>10861</v>
      </c>
      <c r="C3625" t="s">
        <v>10901</v>
      </c>
      <c r="D3625" t="s">
        <v>10863</v>
      </c>
      <c r="E3625" t="s">
        <v>10529</v>
      </c>
      <c r="F3625" t="s">
        <v>10902</v>
      </c>
    </row>
    <row r="3626" spans="1:12">
      <c r="A3626" t="s">
        <v>10860</v>
      </c>
      <c r="B3626" t="s">
        <v>10861</v>
      </c>
      <c r="C3626" t="s">
        <v>10903</v>
      </c>
      <c r="D3626" t="s">
        <v>10863</v>
      </c>
      <c r="E3626" t="s">
        <v>10904</v>
      </c>
      <c r="F3626" t="s">
        <v>10905</v>
      </c>
    </row>
    <row r="3627" spans="1:12">
      <c r="A3627" t="s">
        <v>10860</v>
      </c>
      <c r="B3627" t="s">
        <v>10861</v>
      </c>
      <c r="C3627" t="s">
        <v>10906</v>
      </c>
      <c r="D3627" t="s">
        <v>10863</v>
      </c>
      <c r="E3627" t="s">
        <v>10907</v>
      </c>
      <c r="F3627" t="s">
        <v>10908</v>
      </c>
    </row>
    <row r="3628" spans="1:12">
      <c r="A3628" t="s">
        <v>10860</v>
      </c>
      <c r="B3628" t="s">
        <v>10861</v>
      </c>
      <c r="C3628" t="s">
        <v>10909</v>
      </c>
      <c r="D3628" t="s">
        <v>10863</v>
      </c>
      <c r="E3628" t="s">
        <v>4966</v>
      </c>
      <c r="F3628" t="s">
        <v>10910</v>
      </c>
    </row>
    <row r="3629" spans="1:12">
      <c r="A3629" t="s">
        <v>10860</v>
      </c>
      <c r="B3629" t="s">
        <v>10861</v>
      </c>
      <c r="C3629" t="s">
        <v>10911</v>
      </c>
      <c r="D3629" t="s">
        <v>10863</v>
      </c>
      <c r="E3629" t="s">
        <v>8108</v>
      </c>
      <c r="F3629" t="s">
        <v>7724</v>
      </c>
    </row>
    <row r="3630" spans="1:12">
      <c r="A3630" t="s">
        <v>10860</v>
      </c>
      <c r="B3630" t="s">
        <v>10861</v>
      </c>
      <c r="C3630" t="s">
        <v>10912</v>
      </c>
      <c r="D3630" t="s">
        <v>10863</v>
      </c>
      <c r="E3630" t="s">
        <v>8111</v>
      </c>
      <c r="F3630" t="s">
        <v>10913</v>
      </c>
    </row>
    <row r="3631" spans="1:12">
      <c r="A3631" t="s">
        <v>10860</v>
      </c>
      <c r="B3631" t="s">
        <v>10861</v>
      </c>
      <c r="C3631" t="s">
        <v>10914</v>
      </c>
      <c r="D3631" t="s">
        <v>10863</v>
      </c>
      <c r="E3631" t="s">
        <v>730</v>
      </c>
      <c r="F3631" t="s">
        <v>10915</v>
      </c>
    </row>
    <row r="3632" spans="1:12">
      <c r="A3632" t="s">
        <v>10860</v>
      </c>
      <c r="B3632" t="s">
        <v>10861</v>
      </c>
      <c r="C3632" t="s">
        <v>10916</v>
      </c>
      <c r="D3632" t="s">
        <v>10863</v>
      </c>
      <c r="E3632" t="s">
        <v>10917</v>
      </c>
      <c r="F3632" t="s">
        <v>10918</v>
      </c>
    </row>
    <row r="3633" spans="1:12">
      <c r="A3633" t="s">
        <v>10860</v>
      </c>
      <c r="B3633" t="s">
        <v>10861</v>
      </c>
      <c r="C3633" t="s">
        <v>10919</v>
      </c>
      <c r="D3633" t="s">
        <v>10863</v>
      </c>
      <c r="E3633" t="s">
        <v>10665</v>
      </c>
      <c r="F3633" t="s">
        <v>10666</v>
      </c>
    </row>
    <row r="3634" spans="1:12">
      <c r="A3634" t="s">
        <v>10860</v>
      </c>
      <c r="B3634" t="s">
        <v>10861</v>
      </c>
      <c r="C3634" t="s">
        <v>10920</v>
      </c>
      <c r="D3634" t="s">
        <v>10863</v>
      </c>
      <c r="E3634" t="s">
        <v>10921</v>
      </c>
      <c r="F3634" t="s">
        <v>1333</v>
      </c>
      <c r="J3634" t="s">
        <v>10921</v>
      </c>
      <c r="K3634" t="s">
        <v>10860</v>
      </c>
      <c r="L3634" t="s">
        <v>851</v>
      </c>
    </row>
    <row r="3635" spans="1:12">
      <c r="A3635" t="s">
        <v>10860</v>
      </c>
      <c r="B3635" t="s">
        <v>10861</v>
      </c>
      <c r="C3635" t="s">
        <v>10922</v>
      </c>
      <c r="D3635" t="s">
        <v>10863</v>
      </c>
      <c r="E3635" t="s">
        <v>10923</v>
      </c>
      <c r="F3635" t="s">
        <v>10924</v>
      </c>
    </row>
    <row r="3636" spans="1:12">
      <c r="A3636" t="s">
        <v>10860</v>
      </c>
      <c r="B3636" t="s">
        <v>10861</v>
      </c>
      <c r="C3636" t="s">
        <v>10925</v>
      </c>
      <c r="D3636" t="s">
        <v>10863</v>
      </c>
      <c r="E3636" t="s">
        <v>10926</v>
      </c>
      <c r="F3636" t="s">
        <v>10927</v>
      </c>
    </row>
    <row r="3637" spans="1:12">
      <c r="A3637" t="s">
        <v>10860</v>
      </c>
      <c r="B3637" t="s">
        <v>10861</v>
      </c>
      <c r="C3637" t="s">
        <v>10928</v>
      </c>
      <c r="D3637" t="s">
        <v>10863</v>
      </c>
      <c r="E3637" t="s">
        <v>10929</v>
      </c>
      <c r="F3637" t="s">
        <v>10930</v>
      </c>
    </row>
    <row r="3638" spans="1:12">
      <c r="A3638" t="s">
        <v>10860</v>
      </c>
      <c r="B3638" t="s">
        <v>10861</v>
      </c>
      <c r="C3638" t="s">
        <v>10931</v>
      </c>
      <c r="D3638" t="s">
        <v>10863</v>
      </c>
      <c r="E3638" t="s">
        <v>5006</v>
      </c>
      <c r="F3638" t="s">
        <v>10932</v>
      </c>
    </row>
    <row r="3639" spans="1:12">
      <c r="A3639" t="s">
        <v>10860</v>
      </c>
      <c r="B3639" t="s">
        <v>10861</v>
      </c>
      <c r="C3639" t="s">
        <v>10933</v>
      </c>
      <c r="D3639" t="s">
        <v>10863</v>
      </c>
      <c r="E3639" t="s">
        <v>10934</v>
      </c>
      <c r="F3639" t="s">
        <v>10935</v>
      </c>
    </row>
    <row r="3640" spans="1:12">
      <c r="A3640" t="s">
        <v>10860</v>
      </c>
      <c r="B3640" t="s">
        <v>10861</v>
      </c>
      <c r="C3640" t="s">
        <v>10936</v>
      </c>
      <c r="D3640" t="s">
        <v>10863</v>
      </c>
      <c r="E3640" t="s">
        <v>1407</v>
      </c>
      <c r="F3640" t="s">
        <v>10937</v>
      </c>
      <c r="J3640" t="s">
        <v>1407</v>
      </c>
      <c r="K3640" t="s">
        <v>10860</v>
      </c>
      <c r="L3640" t="s">
        <v>851</v>
      </c>
    </row>
    <row r="3641" spans="1:12">
      <c r="A3641" t="s">
        <v>10860</v>
      </c>
      <c r="B3641" t="s">
        <v>10861</v>
      </c>
      <c r="C3641" t="s">
        <v>10938</v>
      </c>
      <c r="D3641" t="s">
        <v>10863</v>
      </c>
      <c r="E3641" t="s">
        <v>10939</v>
      </c>
      <c r="F3641" t="s">
        <v>10940</v>
      </c>
      <c r="J3641" t="s">
        <v>10939</v>
      </c>
      <c r="K3641" t="s">
        <v>10860</v>
      </c>
      <c r="L3641" t="s">
        <v>851</v>
      </c>
    </row>
    <row r="3642" spans="1:12">
      <c r="A3642" t="s">
        <v>10860</v>
      </c>
      <c r="B3642" t="s">
        <v>10861</v>
      </c>
      <c r="C3642" t="s">
        <v>10941</v>
      </c>
      <c r="D3642" t="s">
        <v>10863</v>
      </c>
      <c r="E3642" t="s">
        <v>10942</v>
      </c>
      <c r="F3642" t="s">
        <v>10943</v>
      </c>
    </row>
    <row r="3643" spans="1:12">
      <c r="A3643" t="s">
        <v>10860</v>
      </c>
      <c r="B3643" t="s">
        <v>10861</v>
      </c>
      <c r="C3643" t="s">
        <v>10944</v>
      </c>
      <c r="D3643" t="s">
        <v>10863</v>
      </c>
      <c r="E3643" t="s">
        <v>10945</v>
      </c>
      <c r="F3643" t="s">
        <v>10946</v>
      </c>
    </row>
    <row r="3644" spans="1:12">
      <c r="A3644" t="s">
        <v>10860</v>
      </c>
      <c r="B3644" t="s">
        <v>10861</v>
      </c>
      <c r="C3644" t="s">
        <v>10947</v>
      </c>
      <c r="D3644" t="s">
        <v>10863</v>
      </c>
      <c r="E3644" t="s">
        <v>10948</v>
      </c>
      <c r="F3644" t="s">
        <v>10949</v>
      </c>
    </row>
    <row r="3645" spans="1:12">
      <c r="A3645" t="s">
        <v>10860</v>
      </c>
      <c r="B3645" t="s">
        <v>10861</v>
      </c>
      <c r="C3645" t="s">
        <v>10950</v>
      </c>
      <c r="D3645" t="s">
        <v>10863</v>
      </c>
      <c r="E3645" t="s">
        <v>10951</v>
      </c>
      <c r="F3645" t="s">
        <v>10952</v>
      </c>
    </row>
    <row r="3646" spans="1:12">
      <c r="A3646" t="s">
        <v>10860</v>
      </c>
      <c r="B3646" t="s">
        <v>10861</v>
      </c>
      <c r="C3646" t="s">
        <v>10953</v>
      </c>
      <c r="D3646" t="s">
        <v>10863</v>
      </c>
      <c r="E3646" t="s">
        <v>10954</v>
      </c>
      <c r="F3646" t="s">
        <v>10955</v>
      </c>
    </row>
    <row r="3647" spans="1:12">
      <c r="A3647" t="s">
        <v>10860</v>
      </c>
      <c r="B3647" t="s">
        <v>10861</v>
      </c>
      <c r="C3647" t="s">
        <v>10956</v>
      </c>
      <c r="D3647" t="s">
        <v>10863</v>
      </c>
      <c r="E3647" t="s">
        <v>10957</v>
      </c>
      <c r="F3647" t="s">
        <v>10958</v>
      </c>
    </row>
    <row r="3648" spans="1:12">
      <c r="A3648" t="s">
        <v>10860</v>
      </c>
      <c r="B3648" t="s">
        <v>10861</v>
      </c>
      <c r="C3648" t="s">
        <v>10959</v>
      </c>
      <c r="D3648" t="s">
        <v>10863</v>
      </c>
      <c r="E3648" t="s">
        <v>10960</v>
      </c>
      <c r="F3648" t="s">
        <v>10961</v>
      </c>
      <c r="J3648" t="s">
        <v>10960</v>
      </c>
      <c r="K3648" t="s">
        <v>10860</v>
      </c>
      <c r="L3648" t="s">
        <v>851</v>
      </c>
    </row>
    <row r="3649" spans="1:12">
      <c r="A3649" t="s">
        <v>10860</v>
      </c>
      <c r="B3649" t="s">
        <v>10861</v>
      </c>
      <c r="C3649" t="s">
        <v>10962</v>
      </c>
      <c r="D3649" t="s">
        <v>10863</v>
      </c>
      <c r="E3649" t="s">
        <v>10963</v>
      </c>
      <c r="F3649" t="s">
        <v>10964</v>
      </c>
    </row>
    <row r="3650" spans="1:12">
      <c r="A3650" t="s">
        <v>10860</v>
      </c>
      <c r="B3650" t="s">
        <v>10861</v>
      </c>
      <c r="C3650" t="s">
        <v>10965</v>
      </c>
      <c r="D3650" t="s">
        <v>10863</v>
      </c>
      <c r="E3650" t="s">
        <v>10966</v>
      </c>
      <c r="F3650" t="s">
        <v>10967</v>
      </c>
    </row>
    <row r="3651" spans="1:12">
      <c r="A3651" t="s">
        <v>10860</v>
      </c>
      <c r="B3651" t="s">
        <v>10861</v>
      </c>
      <c r="C3651" t="s">
        <v>10968</v>
      </c>
      <c r="D3651" t="s">
        <v>10863</v>
      </c>
      <c r="E3651" t="s">
        <v>10969</v>
      </c>
      <c r="F3651" t="s">
        <v>10970</v>
      </c>
    </row>
    <row r="3652" spans="1:12">
      <c r="A3652" t="s">
        <v>10860</v>
      </c>
      <c r="B3652" t="s">
        <v>10861</v>
      </c>
      <c r="C3652" t="s">
        <v>10971</v>
      </c>
      <c r="D3652" t="s">
        <v>10863</v>
      </c>
      <c r="E3652" t="s">
        <v>10972</v>
      </c>
      <c r="F3652" t="s">
        <v>10973</v>
      </c>
      <c r="J3652" t="s">
        <v>10972</v>
      </c>
      <c r="K3652" t="s">
        <v>10860</v>
      </c>
      <c r="L3652" t="s">
        <v>851</v>
      </c>
    </row>
    <row r="3653" spans="1:12">
      <c r="A3653" t="s">
        <v>10860</v>
      </c>
      <c r="B3653" t="s">
        <v>10861</v>
      </c>
      <c r="C3653" t="s">
        <v>10974</v>
      </c>
      <c r="D3653" t="s">
        <v>10863</v>
      </c>
      <c r="E3653" t="s">
        <v>10975</v>
      </c>
      <c r="F3653" t="s">
        <v>10976</v>
      </c>
      <c r="J3653" t="s">
        <v>10975</v>
      </c>
      <c r="K3653" t="s">
        <v>10860</v>
      </c>
      <c r="L3653" t="s">
        <v>851</v>
      </c>
    </row>
    <row r="3654" spans="1:12">
      <c r="A3654" t="s">
        <v>10860</v>
      </c>
      <c r="B3654" t="s">
        <v>10861</v>
      </c>
      <c r="C3654" t="s">
        <v>10977</v>
      </c>
      <c r="D3654" t="s">
        <v>10863</v>
      </c>
      <c r="E3654" t="s">
        <v>10978</v>
      </c>
      <c r="F3654" t="s">
        <v>10979</v>
      </c>
    </row>
    <row r="3655" spans="1:12">
      <c r="A3655" t="s">
        <v>10860</v>
      </c>
      <c r="B3655" t="s">
        <v>10861</v>
      </c>
      <c r="C3655" t="s">
        <v>10980</v>
      </c>
      <c r="D3655" t="s">
        <v>10863</v>
      </c>
      <c r="E3655" t="s">
        <v>9390</v>
      </c>
      <c r="F3655" t="s">
        <v>10981</v>
      </c>
      <c r="J3655" t="s">
        <v>9390</v>
      </c>
      <c r="K3655" t="s">
        <v>10860</v>
      </c>
      <c r="L3655" t="s">
        <v>851</v>
      </c>
    </row>
    <row r="3656" spans="1:12">
      <c r="A3656" t="s">
        <v>10860</v>
      </c>
      <c r="B3656" t="s">
        <v>10861</v>
      </c>
      <c r="C3656" t="s">
        <v>10982</v>
      </c>
      <c r="D3656" t="s">
        <v>10863</v>
      </c>
      <c r="E3656" t="s">
        <v>7058</v>
      </c>
      <c r="F3656" t="s">
        <v>10983</v>
      </c>
    </row>
    <row r="3657" spans="1:12">
      <c r="A3657" t="s">
        <v>10860</v>
      </c>
      <c r="B3657" t="s">
        <v>10861</v>
      </c>
      <c r="C3657" t="s">
        <v>10984</v>
      </c>
      <c r="D3657" t="s">
        <v>10863</v>
      </c>
      <c r="E3657" t="s">
        <v>10985</v>
      </c>
      <c r="F3657" t="s">
        <v>10986</v>
      </c>
    </row>
    <row r="3658" spans="1:12">
      <c r="A3658" t="s">
        <v>10860</v>
      </c>
      <c r="B3658" t="s">
        <v>10861</v>
      </c>
      <c r="C3658" t="s">
        <v>10987</v>
      </c>
      <c r="D3658" t="s">
        <v>10863</v>
      </c>
      <c r="E3658" t="s">
        <v>10988</v>
      </c>
      <c r="F3658" t="s">
        <v>10989</v>
      </c>
    </row>
    <row r="3659" spans="1:12">
      <c r="A3659" t="s">
        <v>10860</v>
      </c>
      <c r="B3659" t="s">
        <v>10861</v>
      </c>
      <c r="C3659" t="s">
        <v>10990</v>
      </c>
      <c r="D3659" t="s">
        <v>10863</v>
      </c>
      <c r="E3659" t="s">
        <v>6722</v>
      </c>
      <c r="F3659" t="s">
        <v>10991</v>
      </c>
    </row>
    <row r="3660" spans="1:12">
      <c r="A3660" t="s">
        <v>10860</v>
      </c>
      <c r="B3660" t="s">
        <v>10861</v>
      </c>
      <c r="C3660" t="s">
        <v>10992</v>
      </c>
      <c r="D3660" t="s">
        <v>10863</v>
      </c>
      <c r="E3660" t="s">
        <v>10993</v>
      </c>
      <c r="F3660" t="s">
        <v>10994</v>
      </c>
      <c r="J3660" t="s">
        <v>10993</v>
      </c>
      <c r="K3660" t="s">
        <v>10860</v>
      </c>
      <c r="L3660" t="s">
        <v>851</v>
      </c>
    </row>
    <row r="3661" spans="1:12">
      <c r="A3661" t="s">
        <v>10860</v>
      </c>
      <c r="B3661" t="s">
        <v>10861</v>
      </c>
      <c r="C3661" t="s">
        <v>10995</v>
      </c>
      <c r="D3661" t="s">
        <v>10863</v>
      </c>
      <c r="E3661" t="s">
        <v>10996</v>
      </c>
      <c r="F3661" t="s">
        <v>10997</v>
      </c>
      <c r="J3661" t="s">
        <v>10996</v>
      </c>
      <c r="K3661" t="s">
        <v>10860</v>
      </c>
      <c r="L3661" t="s">
        <v>851</v>
      </c>
    </row>
    <row r="3662" spans="1:12">
      <c r="A3662" t="s">
        <v>10860</v>
      </c>
      <c r="B3662" t="s">
        <v>10861</v>
      </c>
      <c r="C3662" t="s">
        <v>10998</v>
      </c>
      <c r="D3662" t="s">
        <v>10863</v>
      </c>
      <c r="E3662" t="s">
        <v>8141</v>
      </c>
      <c r="F3662" t="s">
        <v>10999</v>
      </c>
    </row>
    <row r="3663" spans="1:12">
      <c r="A3663" t="s">
        <v>10860</v>
      </c>
      <c r="B3663" t="s">
        <v>10861</v>
      </c>
      <c r="C3663" t="s">
        <v>11000</v>
      </c>
      <c r="D3663" t="s">
        <v>10863</v>
      </c>
      <c r="E3663" t="s">
        <v>11001</v>
      </c>
      <c r="F3663" t="s">
        <v>11002</v>
      </c>
      <c r="J3663" t="s">
        <v>11001</v>
      </c>
      <c r="K3663" t="s">
        <v>10860</v>
      </c>
      <c r="L3663" t="s">
        <v>851</v>
      </c>
    </row>
    <row r="3664" spans="1:12">
      <c r="A3664" t="s">
        <v>10860</v>
      </c>
      <c r="B3664" t="s">
        <v>10861</v>
      </c>
      <c r="C3664" t="s">
        <v>11003</v>
      </c>
      <c r="D3664" t="s">
        <v>10863</v>
      </c>
      <c r="E3664" t="s">
        <v>11004</v>
      </c>
      <c r="F3664" t="s">
        <v>11005</v>
      </c>
    </row>
    <row r="3665" spans="1:12">
      <c r="A3665" t="s">
        <v>10860</v>
      </c>
      <c r="B3665" t="s">
        <v>10861</v>
      </c>
      <c r="C3665" t="s">
        <v>11006</v>
      </c>
      <c r="D3665" t="s">
        <v>10863</v>
      </c>
      <c r="E3665" t="s">
        <v>11007</v>
      </c>
      <c r="F3665" t="s">
        <v>11008</v>
      </c>
    </row>
    <row r="3666" spans="1:12">
      <c r="A3666" t="s">
        <v>10860</v>
      </c>
      <c r="B3666" t="s">
        <v>10861</v>
      </c>
      <c r="C3666" t="s">
        <v>11009</v>
      </c>
      <c r="D3666" t="s">
        <v>10863</v>
      </c>
      <c r="E3666" t="s">
        <v>11010</v>
      </c>
      <c r="F3666" t="s">
        <v>1112</v>
      </c>
      <c r="J3666" t="s">
        <v>11010</v>
      </c>
      <c r="K3666" t="s">
        <v>10860</v>
      </c>
      <c r="L3666" t="s">
        <v>851</v>
      </c>
    </row>
    <row r="3667" spans="1:12">
      <c r="A3667" t="s">
        <v>10860</v>
      </c>
      <c r="B3667" t="s">
        <v>10861</v>
      </c>
      <c r="C3667" t="s">
        <v>11011</v>
      </c>
      <c r="D3667" t="s">
        <v>10863</v>
      </c>
      <c r="E3667" t="s">
        <v>3503</v>
      </c>
      <c r="F3667" t="s">
        <v>11012</v>
      </c>
    </row>
    <row r="3668" spans="1:12">
      <c r="A3668" t="s">
        <v>10860</v>
      </c>
      <c r="B3668" t="s">
        <v>10861</v>
      </c>
      <c r="C3668" t="s">
        <v>11013</v>
      </c>
      <c r="D3668" t="s">
        <v>10863</v>
      </c>
      <c r="E3668" t="s">
        <v>11014</v>
      </c>
      <c r="F3668" t="s">
        <v>11015</v>
      </c>
      <c r="J3668" t="s">
        <v>11014</v>
      </c>
      <c r="K3668" t="s">
        <v>10860</v>
      </c>
      <c r="L3668" t="s">
        <v>851</v>
      </c>
    </row>
    <row r="3669" spans="1:12">
      <c r="A3669" t="s">
        <v>10860</v>
      </c>
      <c r="B3669" t="s">
        <v>10861</v>
      </c>
      <c r="C3669" t="s">
        <v>11016</v>
      </c>
      <c r="D3669" t="s">
        <v>10863</v>
      </c>
      <c r="E3669" t="s">
        <v>5162</v>
      </c>
      <c r="F3669" t="s">
        <v>11017</v>
      </c>
    </row>
    <row r="3670" spans="1:12">
      <c r="A3670" t="s">
        <v>10860</v>
      </c>
      <c r="B3670" t="s">
        <v>10861</v>
      </c>
      <c r="C3670" t="s">
        <v>11018</v>
      </c>
      <c r="D3670" t="s">
        <v>10863</v>
      </c>
      <c r="E3670" t="s">
        <v>10551</v>
      </c>
      <c r="F3670" t="s">
        <v>11019</v>
      </c>
    </row>
    <row r="3671" spans="1:12">
      <c r="A3671" t="s">
        <v>10860</v>
      </c>
      <c r="B3671" t="s">
        <v>10861</v>
      </c>
      <c r="C3671" t="s">
        <v>11020</v>
      </c>
      <c r="D3671" t="s">
        <v>10863</v>
      </c>
      <c r="E3671" t="s">
        <v>8016</v>
      </c>
      <c r="F3671" t="s">
        <v>11021</v>
      </c>
    </row>
    <row r="3672" spans="1:12">
      <c r="A3672" t="s">
        <v>10860</v>
      </c>
      <c r="B3672" t="s">
        <v>10861</v>
      </c>
      <c r="C3672" t="s">
        <v>11022</v>
      </c>
      <c r="D3672" t="s">
        <v>10863</v>
      </c>
      <c r="E3672" t="s">
        <v>2721</v>
      </c>
      <c r="F3672" t="s">
        <v>11023</v>
      </c>
    </row>
    <row r="3673" spans="1:12">
      <c r="A3673" t="s">
        <v>10860</v>
      </c>
      <c r="B3673" t="s">
        <v>10861</v>
      </c>
      <c r="C3673" t="s">
        <v>11024</v>
      </c>
      <c r="D3673" t="s">
        <v>10863</v>
      </c>
      <c r="E3673" t="s">
        <v>11025</v>
      </c>
      <c r="F3673" t="s">
        <v>11026</v>
      </c>
      <c r="J3673" t="s">
        <v>11025</v>
      </c>
      <c r="K3673" t="s">
        <v>10860</v>
      </c>
      <c r="L3673" t="s">
        <v>851</v>
      </c>
    </row>
    <row r="3674" spans="1:12">
      <c r="A3674" t="s">
        <v>10860</v>
      </c>
      <c r="B3674" t="s">
        <v>10861</v>
      </c>
      <c r="C3674" t="s">
        <v>11027</v>
      </c>
      <c r="D3674" t="s">
        <v>10863</v>
      </c>
      <c r="E3674" t="s">
        <v>11028</v>
      </c>
      <c r="F3674" t="s">
        <v>11029</v>
      </c>
      <c r="J3674" t="s">
        <v>11028</v>
      </c>
      <c r="K3674" t="s">
        <v>10860</v>
      </c>
      <c r="L3674" t="s">
        <v>851</v>
      </c>
    </row>
    <row r="3675" spans="1:12">
      <c r="A3675" t="s">
        <v>10860</v>
      </c>
      <c r="B3675" t="s">
        <v>10861</v>
      </c>
      <c r="C3675" t="s">
        <v>11030</v>
      </c>
      <c r="D3675" t="s">
        <v>10863</v>
      </c>
      <c r="E3675" t="s">
        <v>11031</v>
      </c>
      <c r="F3675" t="s">
        <v>11032</v>
      </c>
    </row>
    <row r="3676" spans="1:12">
      <c r="A3676" t="s">
        <v>10860</v>
      </c>
      <c r="B3676" t="s">
        <v>10861</v>
      </c>
      <c r="C3676" t="s">
        <v>11033</v>
      </c>
      <c r="D3676" t="s">
        <v>10863</v>
      </c>
      <c r="E3676" t="s">
        <v>11034</v>
      </c>
      <c r="F3676" t="s">
        <v>11035</v>
      </c>
    </row>
    <row r="3677" spans="1:12">
      <c r="A3677" t="s">
        <v>10860</v>
      </c>
      <c r="B3677" t="s">
        <v>10861</v>
      </c>
      <c r="C3677" t="s">
        <v>11036</v>
      </c>
      <c r="D3677" t="s">
        <v>10863</v>
      </c>
      <c r="E3677" t="s">
        <v>9803</v>
      </c>
      <c r="F3677" t="s">
        <v>11037</v>
      </c>
      <c r="J3677" t="s">
        <v>9803</v>
      </c>
      <c r="K3677" t="s">
        <v>10860</v>
      </c>
      <c r="L3677" t="s">
        <v>851</v>
      </c>
    </row>
    <row r="3678" spans="1:12">
      <c r="A3678" t="s">
        <v>10860</v>
      </c>
      <c r="B3678" t="s">
        <v>10861</v>
      </c>
      <c r="C3678" t="s">
        <v>11038</v>
      </c>
      <c r="D3678" t="s">
        <v>10863</v>
      </c>
      <c r="E3678" t="s">
        <v>11039</v>
      </c>
      <c r="F3678" t="s">
        <v>11040</v>
      </c>
    </row>
    <row r="3679" spans="1:12">
      <c r="A3679" t="s">
        <v>10860</v>
      </c>
      <c r="B3679" t="s">
        <v>10861</v>
      </c>
      <c r="C3679" t="s">
        <v>11041</v>
      </c>
      <c r="D3679" t="s">
        <v>10863</v>
      </c>
      <c r="E3679" t="s">
        <v>3717</v>
      </c>
      <c r="F3679" t="s">
        <v>11042</v>
      </c>
    </row>
    <row r="3680" spans="1:12">
      <c r="A3680" t="s">
        <v>10860</v>
      </c>
      <c r="B3680" t="s">
        <v>10861</v>
      </c>
      <c r="C3680" t="s">
        <v>11043</v>
      </c>
      <c r="D3680" t="s">
        <v>10863</v>
      </c>
      <c r="E3680" t="s">
        <v>9848</v>
      </c>
      <c r="F3680" t="s">
        <v>11044</v>
      </c>
    </row>
    <row r="3681" spans="1:12">
      <c r="A3681" t="s">
        <v>10860</v>
      </c>
      <c r="B3681" t="s">
        <v>10861</v>
      </c>
      <c r="C3681" t="s">
        <v>11045</v>
      </c>
      <c r="D3681" t="s">
        <v>10863</v>
      </c>
      <c r="E3681" t="s">
        <v>11046</v>
      </c>
      <c r="F3681" t="s">
        <v>11047</v>
      </c>
      <c r="J3681" t="s">
        <v>11046</v>
      </c>
      <c r="K3681" t="s">
        <v>10860</v>
      </c>
      <c r="L3681" t="s">
        <v>851</v>
      </c>
    </row>
    <row r="3682" spans="1:12">
      <c r="A3682" t="s">
        <v>10860</v>
      </c>
      <c r="B3682" t="s">
        <v>10861</v>
      </c>
      <c r="C3682" t="s">
        <v>11048</v>
      </c>
      <c r="D3682" t="s">
        <v>10863</v>
      </c>
      <c r="E3682" t="s">
        <v>11049</v>
      </c>
      <c r="F3682" t="s">
        <v>11050</v>
      </c>
    </row>
    <row r="3683" spans="1:12">
      <c r="A3683" t="s">
        <v>10860</v>
      </c>
      <c r="B3683" t="s">
        <v>10861</v>
      </c>
      <c r="C3683" t="s">
        <v>11051</v>
      </c>
      <c r="D3683" t="s">
        <v>10863</v>
      </c>
      <c r="E3683" t="s">
        <v>8067</v>
      </c>
      <c r="F3683" t="s">
        <v>8068</v>
      </c>
    </row>
    <row r="3684" spans="1:12">
      <c r="A3684" t="s">
        <v>10860</v>
      </c>
      <c r="B3684" t="s">
        <v>10861</v>
      </c>
      <c r="C3684" t="s">
        <v>11052</v>
      </c>
      <c r="D3684" t="s">
        <v>10863</v>
      </c>
      <c r="E3684" t="s">
        <v>11053</v>
      </c>
      <c r="F3684" t="s">
        <v>11054</v>
      </c>
      <c r="J3684" t="s">
        <v>11053</v>
      </c>
      <c r="K3684" t="s">
        <v>10860</v>
      </c>
      <c r="L3684" t="s">
        <v>851</v>
      </c>
    </row>
    <row r="3685" spans="1:12">
      <c r="A3685" t="s">
        <v>10860</v>
      </c>
      <c r="B3685" t="s">
        <v>10861</v>
      </c>
      <c r="C3685" t="s">
        <v>11055</v>
      </c>
      <c r="D3685" t="s">
        <v>10863</v>
      </c>
      <c r="E3685" t="s">
        <v>11056</v>
      </c>
      <c r="F3685" t="s">
        <v>11057</v>
      </c>
    </row>
    <row r="3686" spans="1:12">
      <c r="A3686" t="s">
        <v>10860</v>
      </c>
      <c r="B3686" t="s">
        <v>10861</v>
      </c>
      <c r="C3686" t="s">
        <v>11058</v>
      </c>
      <c r="D3686" t="s">
        <v>10863</v>
      </c>
      <c r="E3686" t="s">
        <v>11059</v>
      </c>
      <c r="F3686" t="s">
        <v>11060</v>
      </c>
    </row>
    <row r="3687" spans="1:12">
      <c r="A3687" t="s">
        <v>10860</v>
      </c>
      <c r="B3687" t="s">
        <v>10861</v>
      </c>
      <c r="C3687" t="s">
        <v>11061</v>
      </c>
      <c r="D3687" t="s">
        <v>10863</v>
      </c>
      <c r="E3687" t="s">
        <v>11062</v>
      </c>
      <c r="F3687" t="s">
        <v>11063</v>
      </c>
    </row>
    <row r="3688" spans="1:12">
      <c r="A3688" t="s">
        <v>10860</v>
      </c>
      <c r="B3688" t="s">
        <v>10861</v>
      </c>
      <c r="C3688" t="s">
        <v>11064</v>
      </c>
      <c r="D3688" t="s">
        <v>10863</v>
      </c>
      <c r="E3688" t="s">
        <v>9936</v>
      </c>
      <c r="F3688" t="s">
        <v>11065</v>
      </c>
      <c r="J3688" t="s">
        <v>9936</v>
      </c>
      <c r="K3688" t="s">
        <v>10860</v>
      </c>
      <c r="L3688" t="s">
        <v>851</v>
      </c>
    </row>
    <row r="3689" spans="1:12">
      <c r="A3689" t="s">
        <v>10860</v>
      </c>
      <c r="B3689" t="s">
        <v>10861</v>
      </c>
      <c r="C3689" t="s">
        <v>11066</v>
      </c>
      <c r="D3689" t="s">
        <v>10863</v>
      </c>
      <c r="E3689" t="s">
        <v>11067</v>
      </c>
      <c r="F3689" t="s">
        <v>11068</v>
      </c>
    </row>
    <row r="3690" spans="1:12">
      <c r="A3690" t="s">
        <v>10860</v>
      </c>
      <c r="B3690" t="s">
        <v>10861</v>
      </c>
      <c r="C3690" t="s">
        <v>11069</v>
      </c>
      <c r="D3690" t="s">
        <v>10863</v>
      </c>
      <c r="E3690" t="s">
        <v>5282</v>
      </c>
      <c r="F3690" t="s">
        <v>11070</v>
      </c>
    </row>
    <row r="3691" spans="1:12">
      <c r="A3691" t="s">
        <v>10860</v>
      </c>
      <c r="B3691" t="s">
        <v>10861</v>
      </c>
      <c r="C3691" t="s">
        <v>11071</v>
      </c>
      <c r="D3691" t="s">
        <v>10863</v>
      </c>
      <c r="E3691" t="s">
        <v>8070</v>
      </c>
      <c r="F3691" t="s">
        <v>11072</v>
      </c>
    </row>
    <row r="3692" spans="1:12">
      <c r="A3692" t="s">
        <v>10860</v>
      </c>
      <c r="B3692" t="s">
        <v>10861</v>
      </c>
      <c r="C3692" t="s">
        <v>11073</v>
      </c>
      <c r="D3692" t="s">
        <v>10863</v>
      </c>
      <c r="E3692" t="s">
        <v>11074</v>
      </c>
      <c r="F3692" t="s">
        <v>11075</v>
      </c>
      <c r="J3692" t="s">
        <v>11074</v>
      </c>
      <c r="K3692" t="s">
        <v>10860</v>
      </c>
      <c r="L3692" t="s">
        <v>851</v>
      </c>
    </row>
    <row r="3693" spans="1:12">
      <c r="A3693" t="s">
        <v>10860</v>
      </c>
      <c r="B3693" t="s">
        <v>10861</v>
      </c>
      <c r="C3693" t="s">
        <v>11076</v>
      </c>
      <c r="D3693" t="s">
        <v>10863</v>
      </c>
      <c r="E3693" t="s">
        <v>11077</v>
      </c>
      <c r="F3693" t="s">
        <v>11078</v>
      </c>
    </row>
    <row r="3694" spans="1:12">
      <c r="A3694" t="s">
        <v>10860</v>
      </c>
      <c r="B3694" t="s">
        <v>10861</v>
      </c>
      <c r="C3694" t="s">
        <v>11079</v>
      </c>
      <c r="D3694" t="s">
        <v>10863</v>
      </c>
      <c r="E3694" t="s">
        <v>11080</v>
      </c>
      <c r="F3694" t="s">
        <v>11081</v>
      </c>
      <c r="J3694" t="s">
        <v>11080</v>
      </c>
      <c r="K3694" t="s">
        <v>10860</v>
      </c>
      <c r="L3694" t="s">
        <v>851</v>
      </c>
    </row>
    <row r="3695" spans="1:12">
      <c r="A3695" t="s">
        <v>10860</v>
      </c>
      <c r="B3695" t="s">
        <v>10861</v>
      </c>
      <c r="C3695" t="s">
        <v>11082</v>
      </c>
      <c r="D3695" t="s">
        <v>10863</v>
      </c>
      <c r="E3695" t="s">
        <v>11083</v>
      </c>
      <c r="F3695" t="s">
        <v>11084</v>
      </c>
    </row>
    <row r="3696" spans="1:12">
      <c r="A3696" t="s">
        <v>10860</v>
      </c>
      <c r="B3696" t="s">
        <v>10861</v>
      </c>
      <c r="C3696" t="s">
        <v>11085</v>
      </c>
      <c r="D3696" t="s">
        <v>10863</v>
      </c>
      <c r="E3696" t="s">
        <v>1055</v>
      </c>
      <c r="F3696" t="s">
        <v>11086</v>
      </c>
    </row>
    <row r="3697" spans="1:12">
      <c r="A3697" t="s">
        <v>10860</v>
      </c>
      <c r="B3697" t="s">
        <v>10861</v>
      </c>
      <c r="C3697" t="s">
        <v>11087</v>
      </c>
      <c r="D3697" t="s">
        <v>10863</v>
      </c>
      <c r="E3697" t="s">
        <v>3542</v>
      </c>
      <c r="F3697" t="s">
        <v>11088</v>
      </c>
    </row>
    <row r="3698" spans="1:12">
      <c r="A3698" t="s">
        <v>10860</v>
      </c>
      <c r="B3698" t="s">
        <v>10861</v>
      </c>
      <c r="C3698" t="s">
        <v>11089</v>
      </c>
      <c r="D3698" t="s">
        <v>10863</v>
      </c>
      <c r="E3698" t="s">
        <v>5323</v>
      </c>
      <c r="F3698" t="s">
        <v>11090</v>
      </c>
    </row>
    <row r="3699" spans="1:12">
      <c r="A3699" t="s">
        <v>10860</v>
      </c>
      <c r="B3699" t="s">
        <v>10861</v>
      </c>
      <c r="C3699" t="s">
        <v>11091</v>
      </c>
      <c r="D3699" t="s">
        <v>10863</v>
      </c>
      <c r="E3699" t="s">
        <v>11092</v>
      </c>
      <c r="F3699" t="s">
        <v>11092</v>
      </c>
    </row>
    <row r="3700" spans="1:12">
      <c r="A3700" t="s">
        <v>10860</v>
      </c>
      <c r="B3700" t="s">
        <v>10861</v>
      </c>
      <c r="C3700" t="s">
        <v>11093</v>
      </c>
      <c r="D3700" t="s">
        <v>10863</v>
      </c>
      <c r="E3700" t="s">
        <v>11094</v>
      </c>
      <c r="F3700" t="s">
        <v>11095</v>
      </c>
    </row>
    <row r="3701" spans="1:12">
      <c r="A3701" t="s">
        <v>10860</v>
      </c>
      <c r="B3701" t="s">
        <v>10861</v>
      </c>
      <c r="C3701" t="s">
        <v>11096</v>
      </c>
      <c r="D3701" t="s">
        <v>10863</v>
      </c>
      <c r="E3701" t="s">
        <v>11097</v>
      </c>
      <c r="F3701" t="s">
        <v>11098</v>
      </c>
    </row>
    <row r="3702" spans="1:12">
      <c r="A3702" t="s">
        <v>10860</v>
      </c>
      <c r="B3702" t="s">
        <v>10861</v>
      </c>
      <c r="C3702" t="s">
        <v>11099</v>
      </c>
      <c r="D3702" t="s">
        <v>10863</v>
      </c>
      <c r="E3702" t="s">
        <v>10085</v>
      </c>
      <c r="F3702" t="s">
        <v>11100</v>
      </c>
    </row>
    <row r="3703" spans="1:12">
      <c r="A3703" t="s">
        <v>10860</v>
      </c>
      <c r="B3703" t="s">
        <v>10861</v>
      </c>
      <c r="C3703" t="s">
        <v>11101</v>
      </c>
      <c r="D3703" t="s">
        <v>10863</v>
      </c>
      <c r="E3703" t="s">
        <v>11102</v>
      </c>
      <c r="F3703" t="s">
        <v>11103</v>
      </c>
      <c r="J3703" t="s">
        <v>11102</v>
      </c>
      <c r="K3703" t="s">
        <v>10860</v>
      </c>
      <c r="L3703" t="s">
        <v>851</v>
      </c>
    </row>
    <row r="3704" spans="1:12">
      <c r="A3704" t="s">
        <v>10860</v>
      </c>
      <c r="B3704" t="s">
        <v>10861</v>
      </c>
      <c r="C3704" t="s">
        <v>11104</v>
      </c>
      <c r="D3704" t="s">
        <v>10863</v>
      </c>
      <c r="E3704" t="s">
        <v>11105</v>
      </c>
      <c r="F3704" t="s">
        <v>11106</v>
      </c>
    </row>
    <row r="3705" spans="1:12">
      <c r="A3705" t="s">
        <v>10860</v>
      </c>
      <c r="B3705" t="s">
        <v>10861</v>
      </c>
      <c r="C3705" t="s">
        <v>11107</v>
      </c>
      <c r="D3705" t="s">
        <v>10863</v>
      </c>
      <c r="E3705" t="s">
        <v>11108</v>
      </c>
      <c r="F3705" t="s">
        <v>11109</v>
      </c>
      <c r="J3705" t="s">
        <v>11108</v>
      </c>
      <c r="K3705" t="s">
        <v>10860</v>
      </c>
      <c r="L3705" t="s">
        <v>851</v>
      </c>
    </row>
    <row r="3706" spans="1:12">
      <c r="A3706" t="s">
        <v>10860</v>
      </c>
      <c r="B3706" t="s">
        <v>10861</v>
      </c>
      <c r="C3706" t="s">
        <v>11110</v>
      </c>
      <c r="D3706" t="s">
        <v>10863</v>
      </c>
      <c r="E3706" t="s">
        <v>4632</v>
      </c>
      <c r="F3706" t="s">
        <v>11111</v>
      </c>
      <c r="J3706" t="s">
        <v>4632</v>
      </c>
      <c r="K3706" t="s">
        <v>10860</v>
      </c>
      <c r="L3706" t="s">
        <v>851</v>
      </c>
    </row>
    <row r="3707" spans="1:12">
      <c r="A3707" t="s">
        <v>10860</v>
      </c>
      <c r="B3707" t="s">
        <v>10861</v>
      </c>
      <c r="C3707" t="s">
        <v>11112</v>
      </c>
      <c r="D3707" t="s">
        <v>10863</v>
      </c>
      <c r="E3707" t="s">
        <v>11113</v>
      </c>
      <c r="F3707" t="s">
        <v>11114</v>
      </c>
      <c r="J3707" t="s">
        <v>11113</v>
      </c>
      <c r="K3707" t="s">
        <v>10860</v>
      </c>
      <c r="L3707" t="s">
        <v>851</v>
      </c>
    </row>
    <row r="3708" spans="1:12">
      <c r="A3708" t="s">
        <v>10860</v>
      </c>
      <c r="B3708" t="s">
        <v>10861</v>
      </c>
      <c r="C3708" t="s">
        <v>11115</v>
      </c>
      <c r="D3708" t="s">
        <v>10863</v>
      </c>
      <c r="E3708" t="s">
        <v>11116</v>
      </c>
      <c r="F3708" t="s">
        <v>11117</v>
      </c>
      <c r="J3708" t="s">
        <v>11116</v>
      </c>
      <c r="K3708" t="s">
        <v>10860</v>
      </c>
      <c r="L3708" t="s">
        <v>851</v>
      </c>
    </row>
    <row r="3709" spans="1:12">
      <c r="A3709" t="s">
        <v>10860</v>
      </c>
      <c r="B3709" t="s">
        <v>10861</v>
      </c>
      <c r="C3709" t="s">
        <v>11118</v>
      </c>
      <c r="D3709" t="s">
        <v>10863</v>
      </c>
      <c r="E3709" t="s">
        <v>655</v>
      </c>
      <c r="F3709" t="s">
        <v>656</v>
      </c>
    </row>
    <row r="3710" spans="1:12">
      <c r="A3710" t="s">
        <v>10860</v>
      </c>
      <c r="B3710" t="s">
        <v>10861</v>
      </c>
      <c r="D3710" t="s">
        <v>10863</v>
      </c>
      <c r="F3710" t="s">
        <v>11119</v>
      </c>
      <c r="J3710" t="s">
        <v>11120</v>
      </c>
      <c r="K3710" t="s">
        <v>10860</v>
      </c>
      <c r="L3710" t="s">
        <v>851</v>
      </c>
    </row>
    <row r="3711" spans="1:12">
      <c r="A3711" t="s">
        <v>10860</v>
      </c>
      <c r="B3711" t="s">
        <v>10861</v>
      </c>
      <c r="D3711" t="s">
        <v>10863</v>
      </c>
      <c r="F3711" t="s">
        <v>10994</v>
      </c>
      <c r="J3711" t="s">
        <v>11121</v>
      </c>
      <c r="K3711" t="s">
        <v>10860</v>
      </c>
      <c r="L3711" t="s">
        <v>851</v>
      </c>
    </row>
    <row r="3712" spans="1:12">
      <c r="A3712" t="s">
        <v>10860</v>
      </c>
      <c r="B3712" t="s">
        <v>10861</v>
      </c>
      <c r="D3712" t="s">
        <v>10863</v>
      </c>
      <c r="F3712" t="s">
        <v>11122</v>
      </c>
      <c r="J3712" t="s">
        <v>11123</v>
      </c>
      <c r="K3712" t="s">
        <v>10860</v>
      </c>
      <c r="L3712" t="s">
        <v>851</v>
      </c>
    </row>
    <row r="3713" spans="1:12">
      <c r="A3713" t="s">
        <v>10860</v>
      </c>
      <c r="B3713" t="s">
        <v>10861</v>
      </c>
      <c r="D3713" t="s">
        <v>10863</v>
      </c>
      <c r="F3713" t="s">
        <v>11124</v>
      </c>
      <c r="J3713" t="s">
        <v>11125</v>
      </c>
      <c r="K3713" t="s">
        <v>10860</v>
      </c>
      <c r="L3713" t="s">
        <v>851</v>
      </c>
    </row>
    <row r="3714" spans="1:12">
      <c r="A3714" t="s">
        <v>11126</v>
      </c>
      <c r="B3714" t="s">
        <v>11127</v>
      </c>
      <c r="C3714" t="s">
        <v>11128</v>
      </c>
      <c r="D3714" t="s">
        <v>11129</v>
      </c>
      <c r="E3714" t="s">
        <v>11130</v>
      </c>
      <c r="F3714" t="s">
        <v>11131</v>
      </c>
      <c r="J3714" t="s">
        <v>11130</v>
      </c>
      <c r="K3714" t="s">
        <v>11132</v>
      </c>
      <c r="L3714" t="s">
        <v>916</v>
      </c>
    </row>
    <row r="3715" spans="1:12">
      <c r="A3715" t="s">
        <v>11126</v>
      </c>
      <c r="B3715" t="s">
        <v>11127</v>
      </c>
      <c r="C3715" t="s">
        <v>11133</v>
      </c>
      <c r="D3715" t="s">
        <v>11129</v>
      </c>
      <c r="E3715" t="s">
        <v>11134</v>
      </c>
      <c r="F3715" t="s">
        <v>11135</v>
      </c>
      <c r="J3715" t="s">
        <v>11134</v>
      </c>
      <c r="K3715" t="s">
        <v>11132</v>
      </c>
      <c r="L3715" t="s">
        <v>916</v>
      </c>
    </row>
    <row r="3716" spans="1:12">
      <c r="A3716" t="s">
        <v>11126</v>
      </c>
      <c r="B3716" t="s">
        <v>11127</v>
      </c>
      <c r="C3716" t="s">
        <v>11136</v>
      </c>
      <c r="D3716" t="s">
        <v>11129</v>
      </c>
      <c r="E3716" t="s">
        <v>11137</v>
      </c>
      <c r="F3716" t="s">
        <v>11138</v>
      </c>
      <c r="J3716" t="s">
        <v>11137</v>
      </c>
      <c r="K3716" t="s">
        <v>11132</v>
      </c>
      <c r="L3716" t="s">
        <v>916</v>
      </c>
    </row>
    <row r="3717" spans="1:12">
      <c r="A3717" t="s">
        <v>11126</v>
      </c>
      <c r="B3717" t="s">
        <v>11127</v>
      </c>
      <c r="C3717" t="s">
        <v>11139</v>
      </c>
      <c r="D3717" t="s">
        <v>11129</v>
      </c>
      <c r="E3717" t="s">
        <v>11140</v>
      </c>
      <c r="F3717" t="s">
        <v>11141</v>
      </c>
      <c r="J3717" t="s">
        <v>11140</v>
      </c>
      <c r="K3717" t="s">
        <v>11132</v>
      </c>
      <c r="L3717" t="s">
        <v>916</v>
      </c>
    </row>
    <row r="3718" spans="1:12">
      <c r="A3718" t="s">
        <v>11126</v>
      </c>
      <c r="B3718" t="s">
        <v>11127</v>
      </c>
      <c r="C3718" t="s">
        <v>11142</v>
      </c>
      <c r="D3718" t="s">
        <v>11129</v>
      </c>
      <c r="E3718" t="s">
        <v>11143</v>
      </c>
      <c r="F3718" t="s">
        <v>11144</v>
      </c>
      <c r="J3718" t="s">
        <v>11143</v>
      </c>
      <c r="K3718" t="s">
        <v>11132</v>
      </c>
      <c r="L3718" t="s">
        <v>916</v>
      </c>
    </row>
    <row r="3719" spans="1:12">
      <c r="A3719" t="s">
        <v>11126</v>
      </c>
      <c r="B3719" t="s">
        <v>11127</v>
      </c>
      <c r="C3719" t="s">
        <v>11145</v>
      </c>
      <c r="D3719" t="s">
        <v>11129</v>
      </c>
      <c r="E3719" t="s">
        <v>11146</v>
      </c>
      <c r="F3719" t="s">
        <v>11147</v>
      </c>
      <c r="J3719" t="s">
        <v>11146</v>
      </c>
      <c r="K3719" t="s">
        <v>11132</v>
      </c>
      <c r="L3719" t="s">
        <v>916</v>
      </c>
    </row>
    <row r="3720" spans="1:12">
      <c r="A3720" t="s">
        <v>11126</v>
      </c>
      <c r="B3720" t="s">
        <v>11127</v>
      </c>
      <c r="C3720" t="s">
        <v>11148</v>
      </c>
      <c r="D3720" t="s">
        <v>11129</v>
      </c>
      <c r="E3720" t="s">
        <v>8510</v>
      </c>
      <c r="F3720" t="s">
        <v>11149</v>
      </c>
      <c r="J3720" t="s">
        <v>8510</v>
      </c>
      <c r="K3720" t="s">
        <v>11132</v>
      </c>
      <c r="L3720" t="s">
        <v>916</v>
      </c>
    </row>
    <row r="3721" spans="1:12">
      <c r="A3721" t="s">
        <v>11126</v>
      </c>
      <c r="B3721" t="s">
        <v>11127</v>
      </c>
      <c r="C3721" t="s">
        <v>11150</v>
      </c>
      <c r="D3721" t="s">
        <v>11129</v>
      </c>
      <c r="E3721" t="s">
        <v>11151</v>
      </c>
      <c r="F3721" t="s">
        <v>11152</v>
      </c>
      <c r="J3721" t="s">
        <v>11151</v>
      </c>
      <c r="K3721" t="s">
        <v>11132</v>
      </c>
      <c r="L3721" t="s">
        <v>916</v>
      </c>
    </row>
    <row r="3722" spans="1:12">
      <c r="A3722" t="s">
        <v>11126</v>
      </c>
      <c r="B3722" t="s">
        <v>11127</v>
      </c>
      <c r="C3722" t="s">
        <v>11153</v>
      </c>
      <c r="D3722" t="s">
        <v>11129</v>
      </c>
      <c r="E3722" t="s">
        <v>11154</v>
      </c>
      <c r="F3722" t="s">
        <v>11155</v>
      </c>
      <c r="J3722" t="s">
        <v>11154</v>
      </c>
      <c r="K3722" t="s">
        <v>11132</v>
      </c>
      <c r="L3722" t="s">
        <v>916</v>
      </c>
    </row>
    <row r="3723" spans="1:12">
      <c r="A3723" t="s">
        <v>11126</v>
      </c>
      <c r="B3723" t="s">
        <v>11127</v>
      </c>
      <c r="C3723" t="s">
        <v>11156</v>
      </c>
      <c r="D3723" t="s">
        <v>11129</v>
      </c>
      <c r="E3723" t="s">
        <v>11157</v>
      </c>
      <c r="F3723" t="s">
        <v>11158</v>
      </c>
      <c r="J3723" t="s">
        <v>11157</v>
      </c>
      <c r="K3723" t="s">
        <v>11132</v>
      </c>
      <c r="L3723" t="s">
        <v>916</v>
      </c>
    </row>
    <row r="3724" spans="1:12">
      <c r="A3724" t="s">
        <v>11126</v>
      </c>
      <c r="B3724" t="s">
        <v>11127</v>
      </c>
      <c r="C3724" t="s">
        <v>11159</v>
      </c>
      <c r="D3724" t="s">
        <v>11129</v>
      </c>
      <c r="E3724" t="s">
        <v>11160</v>
      </c>
      <c r="F3724" t="s">
        <v>11161</v>
      </c>
      <c r="J3724" t="s">
        <v>11160</v>
      </c>
      <c r="K3724" t="s">
        <v>11132</v>
      </c>
      <c r="L3724" t="s">
        <v>916</v>
      </c>
    </row>
    <row r="3725" spans="1:12">
      <c r="A3725" t="s">
        <v>11126</v>
      </c>
      <c r="B3725" t="s">
        <v>11127</v>
      </c>
      <c r="C3725" t="s">
        <v>11162</v>
      </c>
      <c r="D3725" t="s">
        <v>11129</v>
      </c>
      <c r="E3725" t="s">
        <v>11163</v>
      </c>
      <c r="F3725" t="s">
        <v>11164</v>
      </c>
      <c r="J3725" t="s">
        <v>11163</v>
      </c>
      <c r="K3725" t="s">
        <v>11132</v>
      </c>
      <c r="L3725" t="s">
        <v>916</v>
      </c>
    </row>
    <row r="3726" spans="1:12">
      <c r="A3726" t="s">
        <v>11126</v>
      </c>
      <c r="B3726" t="s">
        <v>11127</v>
      </c>
      <c r="C3726" t="s">
        <v>11165</v>
      </c>
      <c r="D3726" t="s">
        <v>11129</v>
      </c>
      <c r="E3726" t="s">
        <v>11166</v>
      </c>
      <c r="F3726" t="s">
        <v>11167</v>
      </c>
      <c r="J3726" t="s">
        <v>11166</v>
      </c>
      <c r="K3726" t="s">
        <v>11132</v>
      </c>
      <c r="L3726" t="s">
        <v>916</v>
      </c>
    </row>
    <row r="3727" spans="1:12">
      <c r="A3727" t="s">
        <v>11126</v>
      </c>
      <c r="B3727" t="s">
        <v>11127</v>
      </c>
      <c r="C3727" t="s">
        <v>11168</v>
      </c>
      <c r="D3727" t="s">
        <v>11129</v>
      </c>
      <c r="E3727" t="s">
        <v>11169</v>
      </c>
      <c r="F3727" t="s">
        <v>11170</v>
      </c>
      <c r="J3727" t="s">
        <v>11169</v>
      </c>
      <c r="K3727" t="s">
        <v>11132</v>
      </c>
      <c r="L3727" t="s">
        <v>916</v>
      </c>
    </row>
    <row r="3728" spans="1:12">
      <c r="A3728" t="s">
        <v>11126</v>
      </c>
      <c r="B3728" t="s">
        <v>11127</v>
      </c>
      <c r="C3728" t="s">
        <v>11171</v>
      </c>
      <c r="D3728" t="s">
        <v>11129</v>
      </c>
      <c r="E3728" t="s">
        <v>11172</v>
      </c>
      <c r="F3728" t="s">
        <v>11173</v>
      </c>
      <c r="J3728" t="s">
        <v>11172</v>
      </c>
      <c r="K3728" t="s">
        <v>11132</v>
      </c>
      <c r="L3728" t="s">
        <v>916</v>
      </c>
    </row>
    <row r="3729" spans="1:12">
      <c r="A3729" t="s">
        <v>11126</v>
      </c>
      <c r="B3729" t="s">
        <v>11127</v>
      </c>
      <c r="C3729" t="s">
        <v>11174</v>
      </c>
      <c r="D3729" t="s">
        <v>11129</v>
      </c>
      <c r="E3729" t="s">
        <v>9020</v>
      </c>
      <c r="F3729" t="s">
        <v>11175</v>
      </c>
      <c r="J3729" t="s">
        <v>9020</v>
      </c>
      <c r="K3729" t="s">
        <v>11132</v>
      </c>
      <c r="L3729" t="s">
        <v>916</v>
      </c>
    </row>
    <row r="3730" spans="1:12">
      <c r="A3730" t="s">
        <v>11126</v>
      </c>
      <c r="B3730" t="s">
        <v>11127</v>
      </c>
      <c r="C3730" t="s">
        <v>11176</v>
      </c>
      <c r="D3730" t="s">
        <v>11129</v>
      </c>
      <c r="E3730" t="s">
        <v>9210</v>
      </c>
      <c r="F3730" t="s">
        <v>11177</v>
      </c>
      <c r="J3730" t="s">
        <v>9210</v>
      </c>
      <c r="K3730" t="s">
        <v>11132</v>
      </c>
      <c r="L3730" t="s">
        <v>916</v>
      </c>
    </row>
    <row r="3731" spans="1:12">
      <c r="A3731" t="s">
        <v>11126</v>
      </c>
      <c r="B3731" t="s">
        <v>11127</v>
      </c>
      <c r="C3731" t="s">
        <v>11178</v>
      </c>
      <c r="D3731" t="s">
        <v>11129</v>
      </c>
      <c r="E3731" t="s">
        <v>11179</v>
      </c>
      <c r="F3731" t="s">
        <v>11180</v>
      </c>
      <c r="J3731" t="s">
        <v>11179</v>
      </c>
      <c r="K3731" t="s">
        <v>11132</v>
      </c>
      <c r="L3731" t="s">
        <v>916</v>
      </c>
    </row>
    <row r="3732" spans="1:12">
      <c r="A3732" t="s">
        <v>11126</v>
      </c>
      <c r="B3732" t="s">
        <v>11127</v>
      </c>
      <c r="C3732" t="s">
        <v>11181</v>
      </c>
      <c r="D3732" t="s">
        <v>11129</v>
      </c>
      <c r="E3732" t="s">
        <v>11182</v>
      </c>
      <c r="F3732" t="s">
        <v>11183</v>
      </c>
      <c r="J3732" t="s">
        <v>11182</v>
      </c>
      <c r="K3732" t="s">
        <v>11132</v>
      </c>
      <c r="L3732" t="s">
        <v>916</v>
      </c>
    </row>
    <row r="3733" spans="1:12">
      <c r="A3733" t="s">
        <v>11126</v>
      </c>
      <c r="B3733" t="s">
        <v>11127</v>
      </c>
      <c r="C3733" t="s">
        <v>11184</v>
      </c>
      <c r="D3733" t="s">
        <v>11129</v>
      </c>
      <c r="E3733" t="s">
        <v>11185</v>
      </c>
      <c r="F3733" t="s">
        <v>11186</v>
      </c>
      <c r="J3733" t="s">
        <v>11185</v>
      </c>
      <c r="K3733" t="s">
        <v>11132</v>
      </c>
      <c r="L3733" t="s">
        <v>916</v>
      </c>
    </row>
    <row r="3734" spans="1:12">
      <c r="A3734" t="s">
        <v>11126</v>
      </c>
      <c r="B3734" t="s">
        <v>11127</v>
      </c>
      <c r="C3734" t="s">
        <v>11187</v>
      </c>
      <c r="D3734" t="s">
        <v>11129</v>
      </c>
      <c r="E3734" t="s">
        <v>11188</v>
      </c>
      <c r="F3734" t="s">
        <v>11189</v>
      </c>
      <c r="J3734" t="s">
        <v>11188</v>
      </c>
      <c r="K3734" t="s">
        <v>11132</v>
      </c>
      <c r="L3734" t="s">
        <v>916</v>
      </c>
    </row>
    <row r="3735" spans="1:12">
      <c r="A3735" t="s">
        <v>11126</v>
      </c>
      <c r="B3735" t="s">
        <v>11127</v>
      </c>
      <c r="C3735" t="s">
        <v>11190</v>
      </c>
      <c r="D3735" t="s">
        <v>11129</v>
      </c>
      <c r="E3735" t="s">
        <v>11191</v>
      </c>
      <c r="F3735" t="s">
        <v>11192</v>
      </c>
      <c r="J3735" t="s">
        <v>11191</v>
      </c>
      <c r="K3735" t="s">
        <v>11132</v>
      </c>
      <c r="L3735" t="s">
        <v>916</v>
      </c>
    </row>
    <row r="3736" spans="1:12">
      <c r="A3736" t="s">
        <v>11126</v>
      </c>
      <c r="B3736" t="s">
        <v>11127</v>
      </c>
      <c r="C3736" t="s">
        <v>11193</v>
      </c>
      <c r="D3736" t="s">
        <v>11129</v>
      </c>
      <c r="E3736" t="s">
        <v>11194</v>
      </c>
      <c r="F3736" t="s">
        <v>11195</v>
      </c>
      <c r="J3736" t="s">
        <v>11194</v>
      </c>
      <c r="K3736" t="s">
        <v>11132</v>
      </c>
      <c r="L3736" t="s">
        <v>916</v>
      </c>
    </row>
    <row r="3737" spans="1:12">
      <c r="A3737" t="s">
        <v>11126</v>
      </c>
      <c r="B3737" t="s">
        <v>11127</v>
      </c>
      <c r="C3737" t="s">
        <v>11196</v>
      </c>
      <c r="D3737" t="s">
        <v>11129</v>
      </c>
      <c r="E3737" t="s">
        <v>11197</v>
      </c>
      <c r="F3737" t="s">
        <v>11198</v>
      </c>
      <c r="J3737" t="s">
        <v>11197</v>
      </c>
      <c r="K3737" t="s">
        <v>11132</v>
      </c>
      <c r="L3737" t="s">
        <v>916</v>
      </c>
    </row>
    <row r="3738" spans="1:12">
      <c r="A3738" t="s">
        <v>11126</v>
      </c>
      <c r="B3738" t="s">
        <v>11127</v>
      </c>
      <c r="C3738" t="s">
        <v>11199</v>
      </c>
      <c r="D3738" t="s">
        <v>11129</v>
      </c>
      <c r="E3738" t="s">
        <v>11200</v>
      </c>
      <c r="F3738" t="s">
        <v>11201</v>
      </c>
      <c r="J3738" t="s">
        <v>11200</v>
      </c>
      <c r="K3738" t="s">
        <v>11132</v>
      </c>
      <c r="L3738" t="s">
        <v>916</v>
      </c>
    </row>
    <row r="3739" spans="1:12">
      <c r="A3739" t="s">
        <v>11126</v>
      </c>
      <c r="B3739" t="s">
        <v>11127</v>
      </c>
      <c r="C3739" t="s">
        <v>11202</v>
      </c>
      <c r="D3739" t="s">
        <v>11129</v>
      </c>
      <c r="E3739" t="s">
        <v>11203</v>
      </c>
      <c r="F3739" t="s">
        <v>11204</v>
      </c>
      <c r="J3739" t="s">
        <v>11203</v>
      </c>
      <c r="K3739" t="s">
        <v>11132</v>
      </c>
      <c r="L3739" t="s">
        <v>916</v>
      </c>
    </row>
    <row r="3740" spans="1:12">
      <c r="A3740" t="s">
        <v>11126</v>
      </c>
      <c r="B3740" t="s">
        <v>11127</v>
      </c>
      <c r="C3740" t="s">
        <v>11205</v>
      </c>
      <c r="D3740" t="s">
        <v>11129</v>
      </c>
      <c r="E3740" t="s">
        <v>10096</v>
      </c>
      <c r="F3740" t="s">
        <v>11206</v>
      </c>
      <c r="J3740" t="s">
        <v>10096</v>
      </c>
      <c r="K3740" t="s">
        <v>11132</v>
      </c>
      <c r="L3740" t="s">
        <v>916</v>
      </c>
    </row>
    <row r="3741" spans="1:12">
      <c r="A3741" t="s">
        <v>11126</v>
      </c>
      <c r="B3741" t="s">
        <v>11127</v>
      </c>
      <c r="C3741" t="s">
        <v>11207</v>
      </c>
      <c r="D3741" t="s">
        <v>11129</v>
      </c>
      <c r="E3741" t="s">
        <v>655</v>
      </c>
      <c r="F3741" t="s">
        <v>656</v>
      </c>
    </row>
    <row r="3742" spans="1:12">
      <c r="A3742" t="s">
        <v>11126</v>
      </c>
      <c r="B3742" t="s">
        <v>11127</v>
      </c>
      <c r="D3742" t="s">
        <v>11129</v>
      </c>
      <c r="F3742" t="s">
        <v>11208</v>
      </c>
      <c r="J3742" t="s">
        <v>11209</v>
      </c>
      <c r="K3742" t="s">
        <v>11132</v>
      </c>
      <c r="L3742" t="s">
        <v>916</v>
      </c>
    </row>
    <row r="3743" spans="1:12">
      <c r="A3743" t="s">
        <v>11126</v>
      </c>
      <c r="B3743" t="s">
        <v>11127</v>
      </c>
      <c r="D3743" t="s">
        <v>11129</v>
      </c>
      <c r="F3743" t="s">
        <v>11210</v>
      </c>
      <c r="J3743" t="s">
        <v>11211</v>
      </c>
      <c r="K3743" t="s">
        <v>11132</v>
      </c>
      <c r="L3743" t="s">
        <v>916</v>
      </c>
    </row>
    <row r="3744" spans="1:12">
      <c r="A3744" t="s">
        <v>11126</v>
      </c>
      <c r="B3744" t="s">
        <v>11127</v>
      </c>
      <c r="D3744" t="s">
        <v>11129</v>
      </c>
      <c r="F3744" t="s">
        <v>11212</v>
      </c>
      <c r="J3744" t="s">
        <v>11213</v>
      </c>
      <c r="K3744" t="s">
        <v>11132</v>
      </c>
      <c r="L3744" t="s">
        <v>916</v>
      </c>
    </row>
    <row r="3745" spans="1:12">
      <c r="A3745" t="s">
        <v>11126</v>
      </c>
      <c r="B3745" t="s">
        <v>11127</v>
      </c>
      <c r="D3745" t="s">
        <v>11129</v>
      </c>
      <c r="F3745" t="s">
        <v>11214</v>
      </c>
      <c r="J3745" t="s">
        <v>5009</v>
      </c>
      <c r="K3745" t="s">
        <v>11132</v>
      </c>
      <c r="L3745" t="s">
        <v>916</v>
      </c>
    </row>
    <row r="3746" spans="1:12">
      <c r="A3746" t="s">
        <v>11126</v>
      </c>
      <c r="B3746" t="s">
        <v>11127</v>
      </c>
      <c r="D3746" t="s">
        <v>11129</v>
      </c>
      <c r="F3746" t="s">
        <v>11215</v>
      </c>
      <c r="J3746" t="s">
        <v>11216</v>
      </c>
      <c r="K3746" t="s">
        <v>11132</v>
      </c>
      <c r="L3746" t="s">
        <v>916</v>
      </c>
    </row>
    <row r="3747" spans="1:12">
      <c r="A3747" t="s">
        <v>11126</v>
      </c>
      <c r="B3747" t="s">
        <v>11127</v>
      </c>
      <c r="D3747" t="s">
        <v>11129</v>
      </c>
      <c r="F3747" t="s">
        <v>11217</v>
      </c>
      <c r="J3747" t="s">
        <v>11218</v>
      </c>
      <c r="K3747" t="s">
        <v>11132</v>
      </c>
      <c r="L3747" t="s">
        <v>916</v>
      </c>
    </row>
    <row r="3748" spans="1:12">
      <c r="A3748" t="s">
        <v>11126</v>
      </c>
      <c r="B3748" t="s">
        <v>11127</v>
      </c>
      <c r="D3748" t="s">
        <v>11129</v>
      </c>
      <c r="F3748" t="s">
        <v>11219</v>
      </c>
      <c r="J3748" t="s">
        <v>11220</v>
      </c>
      <c r="K3748" t="s">
        <v>11132</v>
      </c>
      <c r="L3748" t="s">
        <v>916</v>
      </c>
    </row>
    <row r="3749" spans="1:12">
      <c r="A3749" t="s">
        <v>11126</v>
      </c>
      <c r="B3749" t="s">
        <v>11127</v>
      </c>
      <c r="D3749" t="s">
        <v>11129</v>
      </c>
      <c r="F3749" t="s">
        <v>11221</v>
      </c>
      <c r="J3749" t="s">
        <v>11222</v>
      </c>
      <c r="K3749" t="s">
        <v>11132</v>
      </c>
      <c r="L3749" t="s">
        <v>916</v>
      </c>
    </row>
    <row r="3750" spans="1:12">
      <c r="A3750" t="s">
        <v>11126</v>
      </c>
      <c r="B3750" t="s">
        <v>11127</v>
      </c>
      <c r="D3750" t="s">
        <v>11129</v>
      </c>
      <c r="F3750" t="s">
        <v>3023</v>
      </c>
      <c r="J3750" t="s">
        <v>11223</v>
      </c>
      <c r="K3750" t="s">
        <v>11132</v>
      </c>
      <c r="L3750" t="s">
        <v>916</v>
      </c>
    </row>
    <row r="3751" spans="1:12">
      <c r="A3751" t="s">
        <v>11224</v>
      </c>
      <c r="B3751" t="s">
        <v>11225</v>
      </c>
      <c r="C3751" t="s">
        <v>11226</v>
      </c>
      <c r="D3751" t="s">
        <v>11227</v>
      </c>
      <c r="E3751" t="s">
        <v>1403</v>
      </c>
      <c r="F3751" t="s">
        <v>11228</v>
      </c>
    </row>
    <row r="3752" spans="1:12">
      <c r="A3752" t="s">
        <v>11224</v>
      </c>
      <c r="B3752" t="s">
        <v>11225</v>
      </c>
      <c r="C3752" t="s">
        <v>11229</v>
      </c>
      <c r="D3752" t="s">
        <v>11227</v>
      </c>
      <c r="E3752" t="s">
        <v>7136</v>
      </c>
      <c r="F3752" t="s">
        <v>11230</v>
      </c>
    </row>
    <row r="3753" spans="1:12">
      <c r="A3753" t="s">
        <v>11224</v>
      </c>
      <c r="B3753" t="s">
        <v>11225</v>
      </c>
      <c r="C3753" t="s">
        <v>11231</v>
      </c>
      <c r="D3753" t="s">
        <v>11227</v>
      </c>
      <c r="E3753" t="s">
        <v>4891</v>
      </c>
      <c r="F3753" t="s">
        <v>11232</v>
      </c>
    </row>
    <row r="3754" spans="1:12">
      <c r="A3754" t="s">
        <v>11224</v>
      </c>
      <c r="B3754" t="s">
        <v>11225</v>
      </c>
      <c r="C3754" t="s">
        <v>11233</v>
      </c>
      <c r="D3754" t="s">
        <v>11227</v>
      </c>
      <c r="E3754" t="s">
        <v>3864</v>
      </c>
      <c r="F3754" t="s">
        <v>11234</v>
      </c>
    </row>
    <row r="3755" spans="1:12">
      <c r="A3755" t="s">
        <v>11224</v>
      </c>
      <c r="B3755" t="s">
        <v>11225</v>
      </c>
      <c r="C3755" t="s">
        <v>11235</v>
      </c>
      <c r="D3755" t="s">
        <v>11227</v>
      </c>
      <c r="E3755" t="s">
        <v>11236</v>
      </c>
      <c r="F3755" t="s">
        <v>11237</v>
      </c>
    </row>
    <row r="3756" spans="1:12">
      <c r="A3756" t="s">
        <v>11224</v>
      </c>
      <c r="B3756" t="s">
        <v>11225</v>
      </c>
      <c r="C3756" t="s">
        <v>11238</v>
      </c>
      <c r="D3756" t="s">
        <v>11227</v>
      </c>
      <c r="E3756" t="s">
        <v>8747</v>
      </c>
      <c r="F3756" t="s">
        <v>11239</v>
      </c>
    </row>
    <row r="3757" spans="1:12">
      <c r="A3757" t="s">
        <v>11224</v>
      </c>
      <c r="B3757" t="s">
        <v>11225</v>
      </c>
      <c r="C3757" t="s">
        <v>11240</v>
      </c>
      <c r="D3757" t="s">
        <v>11227</v>
      </c>
      <c r="E3757" t="s">
        <v>11241</v>
      </c>
      <c r="F3757" t="s">
        <v>11242</v>
      </c>
    </row>
    <row r="3758" spans="1:12">
      <c r="A3758" t="s">
        <v>11224</v>
      </c>
      <c r="B3758" t="s">
        <v>11225</v>
      </c>
      <c r="C3758" t="s">
        <v>11243</v>
      </c>
      <c r="D3758" t="s">
        <v>11227</v>
      </c>
      <c r="E3758" t="s">
        <v>8816</v>
      </c>
      <c r="F3758" t="s">
        <v>11244</v>
      </c>
    </row>
    <row r="3759" spans="1:12">
      <c r="A3759" t="s">
        <v>11224</v>
      </c>
      <c r="B3759" t="s">
        <v>11225</v>
      </c>
      <c r="C3759" t="s">
        <v>11245</v>
      </c>
      <c r="D3759" t="s">
        <v>11227</v>
      </c>
      <c r="E3759" t="s">
        <v>11246</v>
      </c>
      <c r="F3759" t="s">
        <v>11247</v>
      </c>
    </row>
    <row r="3760" spans="1:12">
      <c r="A3760" t="s">
        <v>11224</v>
      </c>
      <c r="B3760" t="s">
        <v>11225</v>
      </c>
      <c r="C3760" t="s">
        <v>11248</v>
      </c>
      <c r="D3760" t="s">
        <v>11227</v>
      </c>
      <c r="E3760" t="s">
        <v>11249</v>
      </c>
      <c r="F3760" t="s">
        <v>11250</v>
      </c>
    </row>
    <row r="3761" spans="1:12">
      <c r="A3761" t="s">
        <v>11224</v>
      </c>
      <c r="B3761" t="s">
        <v>11225</v>
      </c>
      <c r="C3761" t="s">
        <v>11251</v>
      </c>
      <c r="D3761" t="s">
        <v>11227</v>
      </c>
      <c r="E3761" t="s">
        <v>11252</v>
      </c>
      <c r="F3761" t="s">
        <v>11253</v>
      </c>
    </row>
    <row r="3762" spans="1:12">
      <c r="A3762" t="s">
        <v>11224</v>
      </c>
      <c r="B3762" t="s">
        <v>11225</v>
      </c>
      <c r="C3762" t="s">
        <v>11254</v>
      </c>
      <c r="D3762" t="s">
        <v>11227</v>
      </c>
      <c r="E3762" t="s">
        <v>829</v>
      </c>
      <c r="F3762" t="s">
        <v>11255</v>
      </c>
    </row>
    <row r="3763" spans="1:12">
      <c r="A3763" t="s">
        <v>11224</v>
      </c>
      <c r="B3763" t="s">
        <v>11225</v>
      </c>
      <c r="C3763" t="s">
        <v>11256</v>
      </c>
      <c r="D3763" t="s">
        <v>11227</v>
      </c>
      <c r="E3763" t="s">
        <v>11257</v>
      </c>
      <c r="F3763" t="s">
        <v>11258</v>
      </c>
    </row>
    <row r="3764" spans="1:12">
      <c r="A3764" t="s">
        <v>11224</v>
      </c>
      <c r="B3764" t="s">
        <v>11225</v>
      </c>
      <c r="C3764" t="s">
        <v>11259</v>
      </c>
      <c r="D3764" t="s">
        <v>11227</v>
      </c>
      <c r="E3764" t="s">
        <v>2091</v>
      </c>
      <c r="F3764" t="s">
        <v>11260</v>
      </c>
    </row>
    <row r="3765" spans="1:12">
      <c r="A3765" t="s">
        <v>11224</v>
      </c>
      <c r="B3765" t="s">
        <v>11225</v>
      </c>
      <c r="C3765" t="s">
        <v>11261</v>
      </c>
      <c r="D3765" t="s">
        <v>11227</v>
      </c>
      <c r="E3765" t="s">
        <v>7229</v>
      </c>
      <c r="F3765" t="s">
        <v>11262</v>
      </c>
    </row>
    <row r="3766" spans="1:12">
      <c r="A3766" t="s">
        <v>11224</v>
      </c>
      <c r="B3766" t="s">
        <v>11225</v>
      </c>
      <c r="C3766" t="s">
        <v>11263</v>
      </c>
      <c r="D3766" t="s">
        <v>11227</v>
      </c>
      <c r="E3766" t="s">
        <v>5023</v>
      </c>
      <c r="F3766" t="s">
        <v>11264</v>
      </c>
    </row>
    <row r="3767" spans="1:12">
      <c r="A3767" t="s">
        <v>11224</v>
      </c>
      <c r="B3767" t="s">
        <v>11225</v>
      </c>
      <c r="C3767" t="s">
        <v>11265</v>
      </c>
      <c r="D3767" t="s">
        <v>11227</v>
      </c>
      <c r="E3767" t="s">
        <v>9110</v>
      </c>
      <c r="F3767" t="s">
        <v>11266</v>
      </c>
      <c r="J3767" t="s">
        <v>9110</v>
      </c>
      <c r="K3767" t="s">
        <v>11267</v>
      </c>
      <c r="L3767" t="s">
        <v>851</v>
      </c>
    </row>
    <row r="3768" spans="1:12">
      <c r="A3768" t="s">
        <v>11224</v>
      </c>
      <c r="B3768" t="s">
        <v>11225</v>
      </c>
      <c r="C3768" t="s">
        <v>11268</v>
      </c>
      <c r="D3768" t="s">
        <v>11227</v>
      </c>
      <c r="E3768" t="s">
        <v>11269</v>
      </c>
      <c r="F3768" t="s">
        <v>11270</v>
      </c>
    </row>
    <row r="3769" spans="1:12">
      <c r="A3769" t="s">
        <v>11224</v>
      </c>
      <c r="B3769" t="s">
        <v>11225</v>
      </c>
      <c r="C3769" t="s">
        <v>11271</v>
      </c>
      <c r="D3769" t="s">
        <v>11227</v>
      </c>
      <c r="E3769" t="s">
        <v>2124</v>
      </c>
      <c r="F3769" t="s">
        <v>11272</v>
      </c>
    </row>
    <row r="3770" spans="1:12">
      <c r="A3770" t="s">
        <v>11224</v>
      </c>
      <c r="B3770" t="s">
        <v>11225</v>
      </c>
      <c r="C3770" t="s">
        <v>11273</v>
      </c>
      <c r="D3770" t="s">
        <v>11227</v>
      </c>
      <c r="E3770" t="s">
        <v>11274</v>
      </c>
      <c r="F3770" t="s">
        <v>11275</v>
      </c>
    </row>
    <row r="3771" spans="1:12">
      <c r="A3771" t="s">
        <v>11224</v>
      </c>
      <c r="B3771" t="s">
        <v>11225</v>
      </c>
      <c r="C3771" t="s">
        <v>11276</v>
      </c>
      <c r="D3771" t="s">
        <v>11227</v>
      </c>
      <c r="E3771" t="s">
        <v>11277</v>
      </c>
      <c r="F3771" t="s">
        <v>11278</v>
      </c>
    </row>
    <row r="3772" spans="1:12">
      <c r="A3772" t="s">
        <v>11224</v>
      </c>
      <c r="B3772" t="s">
        <v>11225</v>
      </c>
      <c r="C3772" t="s">
        <v>11279</v>
      </c>
      <c r="D3772" t="s">
        <v>11227</v>
      </c>
      <c r="E3772" t="s">
        <v>11280</v>
      </c>
      <c r="F3772" t="s">
        <v>11281</v>
      </c>
    </row>
    <row r="3773" spans="1:12">
      <c r="A3773" t="s">
        <v>11224</v>
      </c>
      <c r="B3773" t="s">
        <v>11225</v>
      </c>
      <c r="C3773" t="s">
        <v>11282</v>
      </c>
      <c r="D3773" t="s">
        <v>11227</v>
      </c>
      <c r="E3773" t="s">
        <v>11283</v>
      </c>
      <c r="F3773" t="s">
        <v>11284</v>
      </c>
    </row>
    <row r="3774" spans="1:12">
      <c r="A3774" t="s">
        <v>11224</v>
      </c>
      <c r="B3774" t="s">
        <v>11225</v>
      </c>
      <c r="C3774" t="s">
        <v>11285</v>
      </c>
      <c r="D3774" t="s">
        <v>11227</v>
      </c>
      <c r="E3774" t="s">
        <v>11286</v>
      </c>
      <c r="F3774" t="s">
        <v>11287</v>
      </c>
    </row>
    <row r="3775" spans="1:12">
      <c r="A3775" t="s">
        <v>11224</v>
      </c>
      <c r="B3775" t="s">
        <v>11225</v>
      </c>
      <c r="C3775" t="s">
        <v>11288</v>
      </c>
      <c r="D3775" t="s">
        <v>11227</v>
      </c>
      <c r="E3775" t="s">
        <v>11289</v>
      </c>
      <c r="F3775" t="s">
        <v>11290</v>
      </c>
      <c r="J3775" t="s">
        <v>11289</v>
      </c>
      <c r="K3775" t="s">
        <v>11267</v>
      </c>
      <c r="L3775" t="s">
        <v>851</v>
      </c>
    </row>
    <row r="3776" spans="1:12">
      <c r="A3776" t="s">
        <v>11224</v>
      </c>
      <c r="B3776" t="s">
        <v>11225</v>
      </c>
      <c r="C3776" t="s">
        <v>11291</v>
      </c>
      <c r="D3776" t="s">
        <v>11227</v>
      </c>
      <c r="E3776" t="s">
        <v>11292</v>
      </c>
      <c r="F3776" t="s">
        <v>11293</v>
      </c>
      <c r="J3776" t="s">
        <v>11292</v>
      </c>
      <c r="K3776" t="s">
        <v>11267</v>
      </c>
      <c r="L3776" t="s">
        <v>851</v>
      </c>
    </row>
    <row r="3777" spans="1:12">
      <c r="A3777" t="s">
        <v>11224</v>
      </c>
      <c r="B3777" t="s">
        <v>11225</v>
      </c>
      <c r="C3777" t="s">
        <v>11294</v>
      </c>
      <c r="D3777" t="s">
        <v>11227</v>
      </c>
      <c r="E3777" t="s">
        <v>11295</v>
      </c>
      <c r="F3777" t="s">
        <v>11296</v>
      </c>
      <c r="J3777" t="s">
        <v>11295</v>
      </c>
      <c r="K3777" t="s">
        <v>11267</v>
      </c>
      <c r="L3777" t="s">
        <v>851</v>
      </c>
    </row>
    <row r="3778" spans="1:12">
      <c r="A3778" t="s">
        <v>11224</v>
      </c>
      <c r="B3778" t="s">
        <v>11225</v>
      </c>
      <c r="C3778" t="s">
        <v>11297</v>
      </c>
      <c r="D3778" t="s">
        <v>11227</v>
      </c>
      <c r="E3778" t="s">
        <v>11298</v>
      </c>
      <c r="F3778" t="s">
        <v>11299</v>
      </c>
      <c r="J3778" t="s">
        <v>11298</v>
      </c>
      <c r="K3778" t="s">
        <v>11267</v>
      </c>
      <c r="L3778" t="s">
        <v>851</v>
      </c>
    </row>
    <row r="3779" spans="1:12">
      <c r="A3779" t="s">
        <v>11224</v>
      </c>
      <c r="B3779" t="s">
        <v>11225</v>
      </c>
      <c r="C3779" t="s">
        <v>11300</v>
      </c>
      <c r="D3779" t="s">
        <v>11227</v>
      </c>
      <c r="E3779" t="s">
        <v>3483</v>
      </c>
      <c r="F3779" t="s">
        <v>11301</v>
      </c>
    </row>
    <row r="3780" spans="1:12">
      <c r="A3780" t="s">
        <v>11224</v>
      </c>
      <c r="B3780" t="s">
        <v>11225</v>
      </c>
      <c r="C3780" t="s">
        <v>11302</v>
      </c>
      <c r="D3780" t="s">
        <v>11227</v>
      </c>
      <c r="E3780" t="s">
        <v>11303</v>
      </c>
      <c r="F3780" t="s">
        <v>11304</v>
      </c>
      <c r="J3780" t="s">
        <v>11303</v>
      </c>
      <c r="K3780" t="s">
        <v>11267</v>
      </c>
      <c r="L3780" t="s">
        <v>851</v>
      </c>
    </row>
    <row r="3781" spans="1:12">
      <c r="A3781" t="s">
        <v>11224</v>
      </c>
      <c r="B3781" t="s">
        <v>11225</v>
      </c>
      <c r="C3781" t="s">
        <v>11305</v>
      </c>
      <c r="D3781" t="s">
        <v>11227</v>
      </c>
      <c r="E3781" t="s">
        <v>9266</v>
      </c>
      <c r="F3781" t="s">
        <v>11306</v>
      </c>
    </row>
    <row r="3782" spans="1:12">
      <c r="A3782" t="s">
        <v>11224</v>
      </c>
      <c r="B3782" t="s">
        <v>11225</v>
      </c>
      <c r="C3782" t="s">
        <v>11307</v>
      </c>
      <c r="D3782" t="s">
        <v>11227</v>
      </c>
      <c r="E3782" t="s">
        <v>9281</v>
      </c>
      <c r="F3782" t="s">
        <v>11308</v>
      </c>
      <c r="J3782" t="s">
        <v>9281</v>
      </c>
      <c r="K3782" t="s">
        <v>11267</v>
      </c>
      <c r="L3782" t="s">
        <v>851</v>
      </c>
    </row>
    <row r="3783" spans="1:12">
      <c r="A3783" t="s">
        <v>11224</v>
      </c>
      <c r="B3783" t="s">
        <v>11225</v>
      </c>
      <c r="C3783" t="s">
        <v>11309</v>
      </c>
      <c r="D3783" t="s">
        <v>11227</v>
      </c>
      <c r="E3783" t="s">
        <v>11310</v>
      </c>
      <c r="F3783" t="s">
        <v>11311</v>
      </c>
      <c r="J3783" t="s">
        <v>11310</v>
      </c>
      <c r="K3783" t="s">
        <v>11267</v>
      </c>
      <c r="L3783" t="s">
        <v>851</v>
      </c>
    </row>
    <row r="3784" spans="1:12">
      <c r="A3784" t="s">
        <v>11224</v>
      </c>
      <c r="B3784" t="s">
        <v>11225</v>
      </c>
      <c r="C3784" t="s">
        <v>11312</v>
      </c>
      <c r="D3784" t="s">
        <v>11227</v>
      </c>
      <c r="E3784" t="s">
        <v>11313</v>
      </c>
      <c r="F3784" t="s">
        <v>11314</v>
      </c>
    </row>
    <row r="3785" spans="1:12">
      <c r="A3785" t="s">
        <v>11224</v>
      </c>
      <c r="B3785" t="s">
        <v>11225</v>
      </c>
      <c r="C3785" t="s">
        <v>11315</v>
      </c>
      <c r="D3785" t="s">
        <v>11227</v>
      </c>
      <c r="E3785" t="s">
        <v>11316</v>
      </c>
      <c r="F3785" t="s">
        <v>11317</v>
      </c>
    </row>
    <row r="3786" spans="1:12">
      <c r="A3786" t="s">
        <v>11224</v>
      </c>
      <c r="B3786" t="s">
        <v>11225</v>
      </c>
      <c r="C3786" t="s">
        <v>11318</v>
      </c>
      <c r="D3786" t="s">
        <v>11227</v>
      </c>
      <c r="E3786" t="s">
        <v>11319</v>
      </c>
      <c r="F3786" t="s">
        <v>11320</v>
      </c>
    </row>
    <row r="3787" spans="1:12">
      <c r="A3787" t="s">
        <v>11224</v>
      </c>
      <c r="B3787" t="s">
        <v>11225</v>
      </c>
      <c r="C3787" t="s">
        <v>11321</v>
      </c>
      <c r="D3787" t="s">
        <v>11227</v>
      </c>
      <c r="E3787" t="s">
        <v>11322</v>
      </c>
      <c r="F3787" t="s">
        <v>11323</v>
      </c>
      <c r="J3787" t="s">
        <v>11322</v>
      </c>
      <c r="K3787" t="s">
        <v>11267</v>
      </c>
      <c r="L3787" t="s">
        <v>851</v>
      </c>
    </row>
    <row r="3788" spans="1:12">
      <c r="A3788" t="s">
        <v>11224</v>
      </c>
      <c r="B3788" t="s">
        <v>11225</v>
      </c>
      <c r="C3788" t="s">
        <v>11324</v>
      </c>
      <c r="D3788" t="s">
        <v>11227</v>
      </c>
      <c r="E3788" t="s">
        <v>11325</v>
      </c>
      <c r="F3788" t="s">
        <v>11326</v>
      </c>
    </row>
    <row r="3789" spans="1:12">
      <c r="A3789" t="s">
        <v>11224</v>
      </c>
      <c r="B3789" t="s">
        <v>11225</v>
      </c>
      <c r="C3789" t="s">
        <v>11327</v>
      </c>
      <c r="D3789" t="s">
        <v>11227</v>
      </c>
      <c r="E3789" t="s">
        <v>9323</v>
      </c>
      <c r="F3789" t="s">
        <v>11328</v>
      </c>
    </row>
    <row r="3790" spans="1:12">
      <c r="A3790" t="s">
        <v>11224</v>
      </c>
      <c r="B3790" t="s">
        <v>11225</v>
      </c>
      <c r="C3790" t="s">
        <v>11329</v>
      </c>
      <c r="D3790" t="s">
        <v>11227</v>
      </c>
      <c r="E3790" t="s">
        <v>10379</v>
      </c>
      <c r="F3790" t="s">
        <v>11330</v>
      </c>
    </row>
    <row r="3791" spans="1:12">
      <c r="A3791" t="s">
        <v>11224</v>
      </c>
      <c r="B3791" t="s">
        <v>11225</v>
      </c>
      <c r="C3791" t="s">
        <v>11331</v>
      </c>
      <c r="D3791" t="s">
        <v>11227</v>
      </c>
      <c r="E3791" t="s">
        <v>11332</v>
      </c>
      <c r="F3791" t="s">
        <v>11333</v>
      </c>
    </row>
    <row r="3792" spans="1:12">
      <c r="A3792" t="s">
        <v>11224</v>
      </c>
      <c r="B3792" t="s">
        <v>11225</v>
      </c>
      <c r="C3792" t="s">
        <v>11334</v>
      </c>
      <c r="D3792" t="s">
        <v>11227</v>
      </c>
      <c r="E3792" t="s">
        <v>11335</v>
      </c>
      <c r="F3792" t="s">
        <v>11336</v>
      </c>
      <c r="J3792" t="s">
        <v>11335</v>
      </c>
      <c r="K3792" t="s">
        <v>11267</v>
      </c>
      <c r="L3792" t="s">
        <v>851</v>
      </c>
    </row>
    <row r="3793" spans="1:12">
      <c r="A3793" t="s">
        <v>11224</v>
      </c>
      <c r="B3793" t="s">
        <v>11225</v>
      </c>
      <c r="C3793" t="s">
        <v>11337</v>
      </c>
      <c r="D3793" t="s">
        <v>11227</v>
      </c>
      <c r="E3793" t="s">
        <v>11338</v>
      </c>
      <c r="F3793" t="s">
        <v>11339</v>
      </c>
    </row>
    <row r="3794" spans="1:12">
      <c r="A3794" t="s">
        <v>11224</v>
      </c>
      <c r="B3794" t="s">
        <v>11225</v>
      </c>
      <c r="C3794" t="s">
        <v>11340</v>
      </c>
      <c r="D3794" t="s">
        <v>11227</v>
      </c>
      <c r="E3794" t="s">
        <v>11341</v>
      </c>
      <c r="F3794" t="s">
        <v>11342</v>
      </c>
      <c r="J3794" t="s">
        <v>11341</v>
      </c>
      <c r="K3794" t="s">
        <v>11267</v>
      </c>
      <c r="L3794" t="s">
        <v>851</v>
      </c>
    </row>
    <row r="3795" spans="1:12">
      <c r="A3795" t="s">
        <v>11224</v>
      </c>
      <c r="B3795" t="s">
        <v>11225</v>
      </c>
      <c r="C3795" t="s">
        <v>11343</v>
      </c>
      <c r="D3795" t="s">
        <v>11227</v>
      </c>
      <c r="E3795" t="s">
        <v>11344</v>
      </c>
      <c r="F3795" t="s">
        <v>11345</v>
      </c>
    </row>
    <row r="3796" spans="1:12">
      <c r="A3796" t="s">
        <v>11224</v>
      </c>
      <c r="B3796" t="s">
        <v>11225</v>
      </c>
      <c r="C3796" t="s">
        <v>11346</v>
      </c>
      <c r="D3796" t="s">
        <v>11227</v>
      </c>
      <c r="E3796" t="s">
        <v>11347</v>
      </c>
      <c r="F3796" t="s">
        <v>11348</v>
      </c>
    </row>
    <row r="3797" spans="1:12">
      <c r="A3797" t="s">
        <v>11224</v>
      </c>
      <c r="B3797" t="s">
        <v>11225</v>
      </c>
      <c r="C3797" t="s">
        <v>11349</v>
      </c>
      <c r="D3797" t="s">
        <v>11227</v>
      </c>
      <c r="E3797" t="s">
        <v>9349</v>
      </c>
      <c r="F3797" t="s">
        <v>11350</v>
      </c>
    </row>
    <row r="3798" spans="1:12">
      <c r="A3798" t="s">
        <v>11224</v>
      </c>
      <c r="B3798" t="s">
        <v>11225</v>
      </c>
      <c r="C3798" t="s">
        <v>11351</v>
      </c>
      <c r="D3798" t="s">
        <v>11227</v>
      </c>
      <c r="E3798" t="s">
        <v>11352</v>
      </c>
      <c r="F3798" t="s">
        <v>11353</v>
      </c>
    </row>
    <row r="3799" spans="1:12">
      <c r="A3799" t="s">
        <v>11224</v>
      </c>
      <c r="B3799" t="s">
        <v>11225</v>
      </c>
      <c r="C3799" t="s">
        <v>11354</v>
      </c>
      <c r="D3799" t="s">
        <v>11227</v>
      </c>
      <c r="E3799" t="s">
        <v>11355</v>
      </c>
      <c r="F3799" t="s">
        <v>11356</v>
      </c>
    </row>
    <row r="3800" spans="1:12">
      <c r="A3800" t="s">
        <v>11224</v>
      </c>
      <c r="B3800" t="s">
        <v>11225</v>
      </c>
      <c r="C3800" t="s">
        <v>11357</v>
      </c>
      <c r="D3800" t="s">
        <v>11227</v>
      </c>
      <c r="E3800" t="s">
        <v>11358</v>
      </c>
      <c r="F3800" t="s">
        <v>11359</v>
      </c>
      <c r="J3800" t="s">
        <v>11358</v>
      </c>
      <c r="K3800" t="s">
        <v>11267</v>
      </c>
      <c r="L3800" t="s">
        <v>851</v>
      </c>
    </row>
    <row r="3801" spans="1:12">
      <c r="A3801" t="s">
        <v>11224</v>
      </c>
      <c r="B3801" t="s">
        <v>11225</v>
      </c>
      <c r="C3801" t="s">
        <v>11360</v>
      </c>
      <c r="D3801" t="s">
        <v>11227</v>
      </c>
      <c r="E3801" t="s">
        <v>11361</v>
      </c>
      <c r="F3801" t="s">
        <v>11362</v>
      </c>
    </row>
    <row r="3802" spans="1:12">
      <c r="A3802" t="s">
        <v>11224</v>
      </c>
      <c r="B3802" t="s">
        <v>11225</v>
      </c>
      <c r="C3802" t="s">
        <v>11363</v>
      </c>
      <c r="D3802" t="s">
        <v>11227</v>
      </c>
      <c r="E3802" t="s">
        <v>9493</v>
      </c>
      <c r="F3802" t="s">
        <v>11364</v>
      </c>
    </row>
    <row r="3803" spans="1:12">
      <c r="A3803" t="s">
        <v>11224</v>
      </c>
      <c r="B3803" t="s">
        <v>11225</v>
      </c>
      <c r="C3803" t="s">
        <v>11365</v>
      </c>
      <c r="D3803" t="s">
        <v>11227</v>
      </c>
      <c r="E3803" t="s">
        <v>11366</v>
      </c>
      <c r="F3803" t="s">
        <v>11367</v>
      </c>
      <c r="J3803" t="s">
        <v>11366</v>
      </c>
      <c r="K3803" t="s">
        <v>11267</v>
      </c>
      <c r="L3803" t="s">
        <v>851</v>
      </c>
    </row>
    <row r="3804" spans="1:12">
      <c r="A3804" t="s">
        <v>11224</v>
      </c>
      <c r="B3804" t="s">
        <v>11225</v>
      </c>
      <c r="C3804" t="s">
        <v>11368</v>
      </c>
      <c r="D3804" t="s">
        <v>11227</v>
      </c>
      <c r="E3804" t="s">
        <v>11369</v>
      </c>
      <c r="F3804" t="s">
        <v>11370</v>
      </c>
      <c r="J3804" t="s">
        <v>11369</v>
      </c>
      <c r="K3804" t="s">
        <v>11267</v>
      </c>
      <c r="L3804" t="s">
        <v>851</v>
      </c>
    </row>
    <row r="3805" spans="1:12">
      <c r="A3805" t="s">
        <v>11224</v>
      </c>
      <c r="B3805" t="s">
        <v>11225</v>
      </c>
      <c r="C3805" t="s">
        <v>11371</v>
      </c>
      <c r="D3805" t="s">
        <v>11227</v>
      </c>
      <c r="E3805" t="s">
        <v>11372</v>
      </c>
      <c r="F3805" t="s">
        <v>11373</v>
      </c>
    </row>
    <row r="3806" spans="1:12">
      <c r="A3806" t="s">
        <v>11224</v>
      </c>
      <c r="B3806" t="s">
        <v>11225</v>
      </c>
      <c r="C3806" t="s">
        <v>11374</v>
      </c>
      <c r="D3806" t="s">
        <v>11227</v>
      </c>
      <c r="E3806" t="s">
        <v>11375</v>
      </c>
      <c r="F3806" t="s">
        <v>11376</v>
      </c>
    </row>
    <row r="3807" spans="1:12">
      <c r="A3807" t="s">
        <v>11224</v>
      </c>
      <c r="B3807" t="s">
        <v>11225</v>
      </c>
      <c r="C3807" t="s">
        <v>11377</v>
      </c>
      <c r="D3807" t="s">
        <v>11227</v>
      </c>
      <c r="E3807" t="s">
        <v>2535</v>
      </c>
      <c r="F3807" t="s">
        <v>11378</v>
      </c>
    </row>
    <row r="3808" spans="1:12">
      <c r="A3808" t="s">
        <v>11224</v>
      </c>
      <c r="B3808" t="s">
        <v>11225</v>
      </c>
      <c r="C3808" t="s">
        <v>11379</v>
      </c>
      <c r="D3808" t="s">
        <v>11227</v>
      </c>
      <c r="E3808" t="s">
        <v>2550</v>
      </c>
      <c r="F3808" t="s">
        <v>11380</v>
      </c>
    </row>
    <row r="3809" spans="1:12">
      <c r="A3809" t="s">
        <v>11224</v>
      </c>
      <c r="B3809" t="s">
        <v>11225</v>
      </c>
      <c r="C3809" t="s">
        <v>11381</v>
      </c>
      <c r="D3809" t="s">
        <v>11227</v>
      </c>
      <c r="E3809" t="s">
        <v>11382</v>
      </c>
      <c r="F3809" t="s">
        <v>11383</v>
      </c>
    </row>
    <row r="3810" spans="1:12">
      <c r="A3810" t="s">
        <v>11224</v>
      </c>
      <c r="B3810" t="s">
        <v>11225</v>
      </c>
      <c r="C3810" t="s">
        <v>11384</v>
      </c>
      <c r="D3810" t="s">
        <v>11227</v>
      </c>
      <c r="E3810" t="s">
        <v>11385</v>
      </c>
      <c r="F3810" t="s">
        <v>11386</v>
      </c>
    </row>
    <row r="3811" spans="1:12">
      <c r="A3811" t="s">
        <v>11224</v>
      </c>
      <c r="B3811" t="s">
        <v>11225</v>
      </c>
      <c r="C3811" t="s">
        <v>11387</v>
      </c>
      <c r="D3811" t="s">
        <v>11227</v>
      </c>
      <c r="E3811" t="s">
        <v>11388</v>
      </c>
      <c r="F3811" t="s">
        <v>11389</v>
      </c>
    </row>
    <row r="3812" spans="1:12">
      <c r="A3812" t="s">
        <v>11224</v>
      </c>
      <c r="B3812" t="s">
        <v>11225</v>
      </c>
      <c r="C3812" t="s">
        <v>11390</v>
      </c>
      <c r="D3812" t="s">
        <v>11227</v>
      </c>
      <c r="E3812" t="s">
        <v>11391</v>
      </c>
      <c r="F3812" t="s">
        <v>11392</v>
      </c>
    </row>
    <row r="3813" spans="1:12">
      <c r="A3813" t="s">
        <v>11224</v>
      </c>
      <c r="B3813" t="s">
        <v>11225</v>
      </c>
      <c r="C3813" t="s">
        <v>11393</v>
      </c>
      <c r="D3813" t="s">
        <v>11227</v>
      </c>
      <c r="E3813" t="s">
        <v>10437</v>
      </c>
      <c r="F3813" t="s">
        <v>11394</v>
      </c>
    </row>
    <row r="3814" spans="1:12">
      <c r="A3814" t="s">
        <v>11224</v>
      </c>
      <c r="B3814" t="s">
        <v>11225</v>
      </c>
      <c r="C3814" t="s">
        <v>11395</v>
      </c>
      <c r="D3814" t="s">
        <v>11227</v>
      </c>
      <c r="E3814" t="s">
        <v>11396</v>
      </c>
      <c r="F3814" t="s">
        <v>11397</v>
      </c>
      <c r="J3814" t="s">
        <v>11398</v>
      </c>
      <c r="K3814" t="s">
        <v>11399</v>
      </c>
      <c r="L3814" t="s">
        <v>851</v>
      </c>
    </row>
    <row r="3815" spans="1:12">
      <c r="A3815" t="s">
        <v>11224</v>
      </c>
      <c r="B3815" t="s">
        <v>11225</v>
      </c>
      <c r="C3815" t="s">
        <v>11400</v>
      </c>
      <c r="D3815" t="s">
        <v>11227</v>
      </c>
      <c r="E3815" t="s">
        <v>11398</v>
      </c>
      <c r="F3815" t="s">
        <v>11401</v>
      </c>
    </row>
    <row r="3816" spans="1:12">
      <c r="A3816" t="s">
        <v>11224</v>
      </c>
      <c r="B3816" t="s">
        <v>11225</v>
      </c>
      <c r="C3816" t="s">
        <v>11402</v>
      </c>
      <c r="D3816" t="s">
        <v>11227</v>
      </c>
      <c r="E3816" t="s">
        <v>5168</v>
      </c>
      <c r="F3816" t="s">
        <v>11403</v>
      </c>
    </row>
    <row r="3817" spans="1:12">
      <c r="A3817" t="s">
        <v>11224</v>
      </c>
      <c r="B3817" t="s">
        <v>11225</v>
      </c>
      <c r="C3817" t="s">
        <v>11404</v>
      </c>
      <c r="D3817" t="s">
        <v>11227</v>
      </c>
      <c r="E3817" t="s">
        <v>2739</v>
      </c>
      <c r="F3817" t="s">
        <v>11405</v>
      </c>
    </row>
    <row r="3818" spans="1:12">
      <c r="A3818" t="s">
        <v>11224</v>
      </c>
      <c r="B3818" t="s">
        <v>11225</v>
      </c>
      <c r="C3818" t="s">
        <v>11406</v>
      </c>
      <c r="D3818" t="s">
        <v>11227</v>
      </c>
      <c r="E3818" t="s">
        <v>11407</v>
      </c>
      <c r="F3818" t="s">
        <v>11408</v>
      </c>
    </row>
    <row r="3819" spans="1:12">
      <c r="A3819" t="s">
        <v>11224</v>
      </c>
      <c r="B3819" t="s">
        <v>11225</v>
      </c>
      <c r="C3819" t="s">
        <v>11409</v>
      </c>
      <c r="D3819" t="s">
        <v>11227</v>
      </c>
      <c r="E3819" t="s">
        <v>4277</v>
      </c>
      <c r="F3819" t="s">
        <v>11410</v>
      </c>
    </row>
    <row r="3820" spans="1:12">
      <c r="A3820" t="s">
        <v>11224</v>
      </c>
      <c r="B3820" t="s">
        <v>11225</v>
      </c>
      <c r="C3820" t="s">
        <v>11411</v>
      </c>
      <c r="D3820" t="s">
        <v>11227</v>
      </c>
      <c r="E3820" t="s">
        <v>11412</v>
      </c>
      <c r="F3820" t="s">
        <v>11413</v>
      </c>
    </row>
    <row r="3821" spans="1:12">
      <c r="A3821" t="s">
        <v>11224</v>
      </c>
      <c r="B3821" t="s">
        <v>11225</v>
      </c>
      <c r="C3821" t="s">
        <v>11414</v>
      </c>
      <c r="D3821" t="s">
        <v>11227</v>
      </c>
      <c r="E3821" t="s">
        <v>9753</v>
      </c>
      <c r="F3821" t="s">
        <v>11415</v>
      </c>
      <c r="J3821" t="s">
        <v>9753</v>
      </c>
      <c r="K3821" t="s">
        <v>11267</v>
      </c>
      <c r="L3821" t="s">
        <v>851</v>
      </c>
    </row>
    <row r="3822" spans="1:12">
      <c r="A3822" t="s">
        <v>11224</v>
      </c>
      <c r="B3822" t="s">
        <v>11225</v>
      </c>
      <c r="C3822" t="s">
        <v>11416</v>
      </c>
      <c r="D3822" t="s">
        <v>11227</v>
      </c>
      <c r="E3822" t="s">
        <v>5223</v>
      </c>
      <c r="F3822" t="s">
        <v>11417</v>
      </c>
    </row>
    <row r="3823" spans="1:12">
      <c r="A3823" t="s">
        <v>11224</v>
      </c>
      <c r="B3823" t="s">
        <v>11225</v>
      </c>
      <c r="C3823" t="s">
        <v>11418</v>
      </c>
      <c r="D3823" t="s">
        <v>11227</v>
      </c>
      <c r="E3823" t="s">
        <v>8364</v>
      </c>
      <c r="F3823" t="s">
        <v>11419</v>
      </c>
    </row>
    <row r="3824" spans="1:12">
      <c r="A3824" t="s">
        <v>11224</v>
      </c>
      <c r="B3824" t="s">
        <v>11225</v>
      </c>
      <c r="C3824" t="s">
        <v>11420</v>
      </c>
      <c r="D3824" t="s">
        <v>11227</v>
      </c>
      <c r="E3824" t="s">
        <v>11421</v>
      </c>
      <c r="F3824" t="s">
        <v>11422</v>
      </c>
    </row>
    <row r="3825" spans="1:12">
      <c r="A3825" t="s">
        <v>11224</v>
      </c>
      <c r="B3825" t="s">
        <v>11225</v>
      </c>
      <c r="C3825" t="s">
        <v>11423</v>
      </c>
      <c r="D3825" t="s">
        <v>11227</v>
      </c>
      <c r="E3825" t="s">
        <v>11424</v>
      </c>
      <c r="F3825" t="s">
        <v>11425</v>
      </c>
    </row>
    <row r="3826" spans="1:12">
      <c r="A3826" t="s">
        <v>11224</v>
      </c>
      <c r="B3826" t="s">
        <v>11225</v>
      </c>
      <c r="C3826" t="s">
        <v>11426</v>
      </c>
      <c r="D3826" t="s">
        <v>11227</v>
      </c>
      <c r="E3826" t="s">
        <v>11427</v>
      </c>
      <c r="F3826" t="s">
        <v>11428</v>
      </c>
    </row>
    <row r="3827" spans="1:12">
      <c r="A3827" t="s">
        <v>11224</v>
      </c>
      <c r="B3827" t="s">
        <v>11225</v>
      </c>
      <c r="C3827" t="s">
        <v>11429</v>
      </c>
      <c r="D3827" t="s">
        <v>11227</v>
      </c>
      <c r="E3827" t="s">
        <v>3311</v>
      </c>
      <c r="F3827" t="s">
        <v>11430</v>
      </c>
    </row>
    <row r="3828" spans="1:12">
      <c r="A3828" t="s">
        <v>11224</v>
      </c>
      <c r="B3828" t="s">
        <v>11225</v>
      </c>
      <c r="C3828" t="s">
        <v>11431</v>
      </c>
      <c r="D3828" t="s">
        <v>11227</v>
      </c>
      <c r="E3828" t="s">
        <v>4507</v>
      </c>
      <c r="F3828" t="s">
        <v>11432</v>
      </c>
    </row>
    <row r="3829" spans="1:12">
      <c r="A3829" t="s">
        <v>11224</v>
      </c>
      <c r="B3829" t="s">
        <v>11225</v>
      </c>
      <c r="C3829" t="s">
        <v>11433</v>
      </c>
      <c r="D3829" t="s">
        <v>11227</v>
      </c>
      <c r="E3829" t="s">
        <v>11434</v>
      </c>
      <c r="F3829" t="s">
        <v>11435</v>
      </c>
    </row>
    <row r="3830" spans="1:12">
      <c r="A3830" t="s">
        <v>11224</v>
      </c>
      <c r="B3830" t="s">
        <v>11225</v>
      </c>
      <c r="C3830" t="s">
        <v>11436</v>
      </c>
      <c r="D3830" t="s">
        <v>11227</v>
      </c>
      <c r="E3830" t="s">
        <v>11437</v>
      </c>
      <c r="F3830" t="s">
        <v>11438</v>
      </c>
    </row>
    <row r="3831" spans="1:12">
      <c r="A3831" t="s">
        <v>11224</v>
      </c>
      <c r="B3831" t="s">
        <v>11225</v>
      </c>
      <c r="C3831" t="s">
        <v>11439</v>
      </c>
      <c r="D3831" t="s">
        <v>11227</v>
      </c>
      <c r="E3831" t="s">
        <v>11440</v>
      </c>
      <c r="F3831" t="s">
        <v>11441</v>
      </c>
      <c r="J3831" t="s">
        <v>11440</v>
      </c>
      <c r="K3831" t="s">
        <v>11267</v>
      </c>
      <c r="L3831" t="s">
        <v>851</v>
      </c>
    </row>
    <row r="3832" spans="1:12">
      <c r="A3832" t="s">
        <v>11224</v>
      </c>
      <c r="B3832" t="s">
        <v>11225</v>
      </c>
      <c r="C3832" t="s">
        <v>11442</v>
      </c>
      <c r="D3832" t="s">
        <v>11227</v>
      </c>
      <c r="E3832" t="s">
        <v>11443</v>
      </c>
      <c r="F3832" t="s">
        <v>11444</v>
      </c>
    </row>
    <row r="3833" spans="1:12">
      <c r="A3833" t="s">
        <v>11224</v>
      </c>
      <c r="B3833" t="s">
        <v>11225</v>
      </c>
      <c r="C3833" t="s">
        <v>11445</v>
      </c>
      <c r="D3833" t="s">
        <v>11227</v>
      </c>
      <c r="E3833" t="s">
        <v>9851</v>
      </c>
      <c r="F3833" t="s">
        <v>11446</v>
      </c>
    </row>
    <row r="3834" spans="1:12">
      <c r="A3834" t="s">
        <v>11224</v>
      </c>
      <c r="B3834" t="s">
        <v>11225</v>
      </c>
      <c r="C3834" t="s">
        <v>11447</v>
      </c>
      <c r="D3834" t="s">
        <v>11227</v>
      </c>
      <c r="E3834" t="s">
        <v>11448</v>
      </c>
      <c r="F3834" t="s">
        <v>11449</v>
      </c>
    </row>
    <row r="3835" spans="1:12">
      <c r="A3835" t="s">
        <v>11224</v>
      </c>
      <c r="B3835" t="s">
        <v>11225</v>
      </c>
      <c r="C3835" t="s">
        <v>11450</v>
      </c>
      <c r="D3835" t="s">
        <v>11227</v>
      </c>
      <c r="E3835" t="s">
        <v>842</v>
      </c>
      <c r="F3835" t="s">
        <v>11451</v>
      </c>
    </row>
    <row r="3836" spans="1:12">
      <c r="A3836" t="s">
        <v>11224</v>
      </c>
      <c r="B3836" t="s">
        <v>11225</v>
      </c>
      <c r="C3836" t="s">
        <v>11452</v>
      </c>
      <c r="D3836" t="s">
        <v>11227</v>
      </c>
      <c r="E3836" t="s">
        <v>11453</v>
      </c>
      <c r="F3836" t="s">
        <v>11454</v>
      </c>
    </row>
    <row r="3837" spans="1:12">
      <c r="A3837" t="s">
        <v>11224</v>
      </c>
      <c r="B3837" t="s">
        <v>11225</v>
      </c>
      <c r="C3837" t="s">
        <v>11455</v>
      </c>
      <c r="D3837" t="s">
        <v>11227</v>
      </c>
      <c r="E3837" t="s">
        <v>11456</v>
      </c>
      <c r="F3837" t="s">
        <v>11457</v>
      </c>
    </row>
    <row r="3838" spans="1:12">
      <c r="A3838" t="s">
        <v>11224</v>
      </c>
      <c r="B3838" t="s">
        <v>11225</v>
      </c>
      <c r="C3838" t="s">
        <v>11458</v>
      </c>
      <c r="D3838" t="s">
        <v>11227</v>
      </c>
      <c r="E3838" t="s">
        <v>10625</v>
      </c>
      <c r="F3838" t="s">
        <v>11459</v>
      </c>
    </row>
    <row r="3839" spans="1:12">
      <c r="A3839" t="s">
        <v>11224</v>
      </c>
      <c r="B3839" t="s">
        <v>11225</v>
      </c>
      <c r="C3839" t="s">
        <v>11460</v>
      </c>
      <c r="D3839" t="s">
        <v>11227</v>
      </c>
      <c r="E3839" t="s">
        <v>10470</v>
      </c>
      <c r="F3839" t="s">
        <v>11461</v>
      </c>
    </row>
    <row r="3840" spans="1:12">
      <c r="A3840" t="s">
        <v>11224</v>
      </c>
      <c r="B3840" t="s">
        <v>11225</v>
      </c>
      <c r="C3840" t="s">
        <v>11462</v>
      </c>
      <c r="D3840" t="s">
        <v>11227</v>
      </c>
      <c r="E3840" t="s">
        <v>11463</v>
      </c>
      <c r="F3840" t="s">
        <v>11464</v>
      </c>
    </row>
    <row r="3841" spans="1:12">
      <c r="A3841" t="s">
        <v>11224</v>
      </c>
      <c r="B3841" t="s">
        <v>11225</v>
      </c>
      <c r="C3841" t="s">
        <v>11465</v>
      </c>
      <c r="D3841" t="s">
        <v>11227</v>
      </c>
      <c r="E3841" t="s">
        <v>11466</v>
      </c>
      <c r="F3841" t="s">
        <v>11467</v>
      </c>
    </row>
    <row r="3842" spans="1:12">
      <c r="A3842" t="s">
        <v>11224</v>
      </c>
      <c r="B3842" t="s">
        <v>11225</v>
      </c>
      <c r="C3842" t="s">
        <v>11468</v>
      </c>
      <c r="D3842" t="s">
        <v>11227</v>
      </c>
      <c r="E3842" t="s">
        <v>11469</v>
      </c>
      <c r="F3842" t="s">
        <v>11470</v>
      </c>
    </row>
    <row r="3843" spans="1:12">
      <c r="A3843" t="s">
        <v>11224</v>
      </c>
      <c r="B3843" t="s">
        <v>11225</v>
      </c>
      <c r="C3843" t="s">
        <v>11471</v>
      </c>
      <c r="D3843" t="s">
        <v>11227</v>
      </c>
      <c r="E3843" t="s">
        <v>3527</v>
      </c>
      <c r="F3843" t="s">
        <v>11472</v>
      </c>
    </row>
    <row r="3844" spans="1:12">
      <c r="A3844" t="s">
        <v>11224</v>
      </c>
      <c r="B3844" t="s">
        <v>11225</v>
      </c>
      <c r="C3844" t="s">
        <v>11473</v>
      </c>
      <c r="D3844" t="s">
        <v>11227</v>
      </c>
      <c r="E3844" t="s">
        <v>11474</v>
      </c>
      <c r="F3844" t="s">
        <v>11475</v>
      </c>
      <c r="J3844" t="s">
        <v>11474</v>
      </c>
      <c r="K3844" t="s">
        <v>11267</v>
      </c>
      <c r="L3844" t="s">
        <v>851</v>
      </c>
    </row>
    <row r="3845" spans="1:12">
      <c r="A3845" t="s">
        <v>11224</v>
      </c>
      <c r="B3845" t="s">
        <v>11225</v>
      </c>
      <c r="C3845" t="s">
        <v>11476</v>
      </c>
      <c r="D3845" t="s">
        <v>11227</v>
      </c>
      <c r="E3845" t="s">
        <v>11477</v>
      </c>
      <c r="F3845" t="s">
        <v>11478</v>
      </c>
    </row>
    <row r="3846" spans="1:12">
      <c r="A3846" t="s">
        <v>11224</v>
      </c>
      <c r="B3846" t="s">
        <v>11225</v>
      </c>
      <c r="C3846" t="s">
        <v>11479</v>
      </c>
      <c r="D3846" t="s">
        <v>11227</v>
      </c>
      <c r="E3846" t="s">
        <v>11480</v>
      </c>
      <c r="F3846" t="s">
        <v>11481</v>
      </c>
    </row>
    <row r="3847" spans="1:12">
      <c r="A3847" t="s">
        <v>11224</v>
      </c>
      <c r="B3847" t="s">
        <v>11225</v>
      </c>
      <c r="C3847" t="s">
        <v>11482</v>
      </c>
      <c r="D3847" t="s">
        <v>11227</v>
      </c>
      <c r="E3847" t="s">
        <v>10859</v>
      </c>
      <c r="F3847" t="s">
        <v>11483</v>
      </c>
    </row>
    <row r="3848" spans="1:12">
      <c r="A3848" t="s">
        <v>11224</v>
      </c>
      <c r="B3848" t="s">
        <v>11225</v>
      </c>
      <c r="C3848" t="s">
        <v>11484</v>
      </c>
      <c r="D3848" t="s">
        <v>11227</v>
      </c>
      <c r="E3848" t="s">
        <v>5314</v>
      </c>
      <c r="F3848" t="s">
        <v>11485</v>
      </c>
    </row>
    <row r="3849" spans="1:12">
      <c r="A3849" t="s">
        <v>11224</v>
      </c>
      <c r="B3849" t="s">
        <v>11225</v>
      </c>
      <c r="C3849" t="s">
        <v>11486</v>
      </c>
      <c r="D3849" t="s">
        <v>11227</v>
      </c>
      <c r="E3849" t="s">
        <v>11487</v>
      </c>
      <c r="F3849" t="s">
        <v>11488</v>
      </c>
      <c r="J3849" t="s">
        <v>11487</v>
      </c>
      <c r="K3849" t="s">
        <v>11267</v>
      </c>
      <c r="L3849" t="s">
        <v>851</v>
      </c>
    </row>
    <row r="3850" spans="1:12">
      <c r="A3850" t="s">
        <v>11224</v>
      </c>
      <c r="B3850" t="s">
        <v>11225</v>
      </c>
      <c r="C3850" t="s">
        <v>11489</v>
      </c>
      <c r="D3850" t="s">
        <v>11227</v>
      </c>
      <c r="E3850" t="s">
        <v>11490</v>
      </c>
      <c r="F3850" t="s">
        <v>11491</v>
      </c>
      <c r="J3850" t="s">
        <v>11490</v>
      </c>
      <c r="K3850" t="s">
        <v>11267</v>
      </c>
      <c r="L3850" t="s">
        <v>851</v>
      </c>
    </row>
    <row r="3851" spans="1:12">
      <c r="A3851" t="s">
        <v>11224</v>
      </c>
      <c r="B3851" t="s">
        <v>11225</v>
      </c>
      <c r="C3851" t="s">
        <v>11492</v>
      </c>
      <c r="D3851" t="s">
        <v>11227</v>
      </c>
      <c r="E3851" t="s">
        <v>11121</v>
      </c>
      <c r="F3851" t="s">
        <v>11493</v>
      </c>
    </row>
    <row r="3852" spans="1:12">
      <c r="A3852" t="s">
        <v>11224</v>
      </c>
      <c r="B3852" t="s">
        <v>11225</v>
      </c>
      <c r="C3852" t="s">
        <v>11494</v>
      </c>
      <c r="D3852" t="s">
        <v>11227</v>
      </c>
      <c r="E3852" t="s">
        <v>11495</v>
      </c>
      <c r="F3852" t="s">
        <v>11496</v>
      </c>
    </row>
    <row r="3853" spans="1:12">
      <c r="A3853" t="s">
        <v>11224</v>
      </c>
      <c r="B3853" t="s">
        <v>11225</v>
      </c>
      <c r="C3853" t="s">
        <v>11497</v>
      </c>
      <c r="D3853" t="s">
        <v>11227</v>
      </c>
      <c r="E3853" t="s">
        <v>5323</v>
      </c>
      <c r="F3853" t="s">
        <v>11498</v>
      </c>
    </row>
    <row r="3854" spans="1:12">
      <c r="A3854" t="s">
        <v>11224</v>
      </c>
      <c r="B3854" t="s">
        <v>11225</v>
      </c>
      <c r="C3854" t="s">
        <v>11499</v>
      </c>
      <c r="D3854" t="s">
        <v>11227</v>
      </c>
      <c r="E3854" t="s">
        <v>10034</v>
      </c>
      <c r="F3854" t="s">
        <v>11500</v>
      </c>
    </row>
    <row r="3855" spans="1:12">
      <c r="A3855" t="s">
        <v>11224</v>
      </c>
      <c r="B3855" t="s">
        <v>11225</v>
      </c>
      <c r="C3855" t="s">
        <v>11501</v>
      </c>
      <c r="D3855" t="s">
        <v>11227</v>
      </c>
      <c r="E3855" t="s">
        <v>11502</v>
      </c>
      <c r="F3855" t="s">
        <v>11503</v>
      </c>
    </row>
    <row r="3856" spans="1:12">
      <c r="A3856" t="s">
        <v>11224</v>
      </c>
      <c r="B3856" t="s">
        <v>11225</v>
      </c>
      <c r="C3856" t="s">
        <v>11504</v>
      </c>
      <c r="D3856" t="s">
        <v>11227</v>
      </c>
      <c r="E3856" t="s">
        <v>11505</v>
      </c>
      <c r="F3856" t="s">
        <v>11506</v>
      </c>
    </row>
    <row r="3857" spans="1:12">
      <c r="A3857" t="s">
        <v>11224</v>
      </c>
      <c r="B3857" t="s">
        <v>11225</v>
      </c>
      <c r="C3857" t="s">
        <v>11507</v>
      </c>
      <c r="D3857" t="s">
        <v>11227</v>
      </c>
      <c r="E3857" t="s">
        <v>11508</v>
      </c>
      <c r="F3857" t="s">
        <v>11509</v>
      </c>
    </row>
    <row r="3858" spans="1:12">
      <c r="A3858" t="s">
        <v>11224</v>
      </c>
      <c r="B3858" t="s">
        <v>11225</v>
      </c>
      <c r="C3858" t="s">
        <v>11510</v>
      </c>
      <c r="D3858" t="s">
        <v>11227</v>
      </c>
      <c r="E3858" t="s">
        <v>11511</v>
      </c>
      <c r="F3858" t="s">
        <v>11512</v>
      </c>
    </row>
    <row r="3859" spans="1:12">
      <c r="A3859" t="s">
        <v>11224</v>
      </c>
      <c r="B3859" t="s">
        <v>11225</v>
      </c>
      <c r="C3859" t="s">
        <v>11513</v>
      </c>
      <c r="D3859" t="s">
        <v>11227</v>
      </c>
      <c r="E3859" t="s">
        <v>11514</v>
      </c>
      <c r="F3859" t="s">
        <v>11515</v>
      </c>
      <c r="J3859" t="s">
        <v>11514</v>
      </c>
      <c r="K3859" t="s">
        <v>11267</v>
      </c>
      <c r="L3859" t="s">
        <v>851</v>
      </c>
    </row>
    <row r="3860" spans="1:12">
      <c r="A3860" t="s">
        <v>11224</v>
      </c>
      <c r="B3860" t="s">
        <v>11225</v>
      </c>
      <c r="C3860" t="s">
        <v>11516</v>
      </c>
      <c r="D3860" t="s">
        <v>11227</v>
      </c>
      <c r="E3860" t="s">
        <v>11517</v>
      </c>
      <c r="F3860" t="s">
        <v>11518</v>
      </c>
    </row>
    <row r="3861" spans="1:12">
      <c r="A3861" t="s">
        <v>11224</v>
      </c>
      <c r="B3861" t="s">
        <v>11225</v>
      </c>
      <c r="C3861" t="s">
        <v>11519</v>
      </c>
      <c r="D3861" t="s">
        <v>11227</v>
      </c>
      <c r="E3861" t="s">
        <v>3545</v>
      </c>
      <c r="F3861" t="s">
        <v>11520</v>
      </c>
    </row>
    <row r="3862" spans="1:12">
      <c r="A3862" t="s">
        <v>11224</v>
      </c>
      <c r="B3862" t="s">
        <v>11225</v>
      </c>
      <c r="C3862" t="s">
        <v>11521</v>
      </c>
      <c r="D3862" t="s">
        <v>11227</v>
      </c>
      <c r="E3862" t="s">
        <v>8285</v>
      </c>
      <c r="F3862" t="s">
        <v>11522</v>
      </c>
    </row>
    <row r="3863" spans="1:12">
      <c r="A3863" t="s">
        <v>11224</v>
      </c>
      <c r="B3863" t="s">
        <v>11225</v>
      </c>
      <c r="C3863" t="s">
        <v>11523</v>
      </c>
      <c r="D3863" t="s">
        <v>11227</v>
      </c>
      <c r="E3863" t="s">
        <v>11524</v>
      </c>
      <c r="F3863" t="s">
        <v>11525</v>
      </c>
    </row>
    <row r="3864" spans="1:12">
      <c r="A3864" t="s">
        <v>11224</v>
      </c>
      <c r="B3864" t="s">
        <v>11225</v>
      </c>
      <c r="C3864" t="s">
        <v>11526</v>
      </c>
      <c r="D3864" t="s">
        <v>11227</v>
      </c>
      <c r="E3864" t="s">
        <v>10079</v>
      </c>
      <c r="F3864" t="s">
        <v>11527</v>
      </c>
    </row>
    <row r="3865" spans="1:12">
      <c r="A3865" t="s">
        <v>11224</v>
      </c>
      <c r="B3865" t="s">
        <v>11225</v>
      </c>
      <c r="C3865" t="s">
        <v>11528</v>
      </c>
      <c r="D3865" t="s">
        <v>11227</v>
      </c>
      <c r="E3865" t="s">
        <v>11529</v>
      </c>
      <c r="F3865" t="s">
        <v>11530</v>
      </c>
    </row>
    <row r="3866" spans="1:12">
      <c r="A3866" t="s">
        <v>11224</v>
      </c>
      <c r="B3866" t="s">
        <v>11225</v>
      </c>
      <c r="C3866" t="s">
        <v>11531</v>
      </c>
      <c r="D3866" t="s">
        <v>11227</v>
      </c>
      <c r="E3866" t="s">
        <v>11532</v>
      </c>
      <c r="F3866" t="s">
        <v>11533</v>
      </c>
    </row>
    <row r="3867" spans="1:12">
      <c r="A3867" t="s">
        <v>11224</v>
      </c>
      <c r="B3867" t="s">
        <v>11225</v>
      </c>
      <c r="C3867" t="s">
        <v>11534</v>
      </c>
      <c r="D3867" t="s">
        <v>11227</v>
      </c>
      <c r="E3867" t="s">
        <v>11535</v>
      </c>
      <c r="F3867" t="s">
        <v>11536</v>
      </c>
    </row>
    <row r="3868" spans="1:12">
      <c r="A3868" t="s">
        <v>11224</v>
      </c>
      <c r="B3868" t="s">
        <v>11225</v>
      </c>
      <c r="C3868" t="s">
        <v>11537</v>
      </c>
      <c r="D3868" t="s">
        <v>11227</v>
      </c>
      <c r="E3868" t="s">
        <v>11538</v>
      </c>
      <c r="F3868" t="s">
        <v>11539</v>
      </c>
      <c r="J3868" t="s">
        <v>11538</v>
      </c>
      <c r="K3868" t="s">
        <v>11267</v>
      </c>
      <c r="L3868" t="s">
        <v>851</v>
      </c>
    </row>
    <row r="3869" spans="1:12">
      <c r="A3869" t="s">
        <v>11224</v>
      </c>
      <c r="B3869" t="s">
        <v>11225</v>
      </c>
      <c r="C3869" t="s">
        <v>11540</v>
      </c>
      <c r="D3869" t="s">
        <v>11227</v>
      </c>
      <c r="E3869" t="s">
        <v>655</v>
      </c>
      <c r="F3869" t="s">
        <v>656</v>
      </c>
    </row>
    <row r="3870" spans="1:12">
      <c r="A3870" t="s">
        <v>11541</v>
      </c>
      <c r="B3870" t="s">
        <v>11542</v>
      </c>
      <c r="C3870" t="s">
        <v>11543</v>
      </c>
      <c r="D3870" t="s">
        <v>11544</v>
      </c>
      <c r="E3870" t="s">
        <v>11545</v>
      </c>
      <c r="F3870" t="s">
        <v>11546</v>
      </c>
      <c r="J3870" t="s">
        <v>11545</v>
      </c>
      <c r="K3870" t="s">
        <v>11541</v>
      </c>
      <c r="L3870" t="s">
        <v>1389</v>
      </c>
    </row>
    <row r="3871" spans="1:12">
      <c r="A3871" t="s">
        <v>11541</v>
      </c>
      <c r="B3871" t="s">
        <v>11542</v>
      </c>
      <c r="C3871" t="s">
        <v>11547</v>
      </c>
      <c r="D3871" t="s">
        <v>11544</v>
      </c>
      <c r="E3871" t="s">
        <v>11548</v>
      </c>
      <c r="F3871" t="s">
        <v>3254</v>
      </c>
      <c r="J3871" t="s">
        <v>11548</v>
      </c>
      <c r="K3871" t="s">
        <v>11541</v>
      </c>
      <c r="L3871" t="s">
        <v>1389</v>
      </c>
    </row>
    <row r="3872" spans="1:12">
      <c r="A3872" t="s">
        <v>11541</v>
      </c>
      <c r="B3872" t="s">
        <v>11542</v>
      </c>
      <c r="C3872" t="s">
        <v>11549</v>
      </c>
      <c r="D3872" t="s">
        <v>11544</v>
      </c>
      <c r="E3872" t="s">
        <v>11550</v>
      </c>
      <c r="F3872" t="s">
        <v>11551</v>
      </c>
      <c r="J3872" t="s">
        <v>11550</v>
      </c>
      <c r="K3872" t="s">
        <v>11541</v>
      </c>
      <c r="L3872" t="s">
        <v>1389</v>
      </c>
    </row>
    <row r="3873" spans="1:12">
      <c r="A3873" t="s">
        <v>11541</v>
      </c>
      <c r="B3873" t="s">
        <v>11542</v>
      </c>
      <c r="C3873" t="s">
        <v>11552</v>
      </c>
      <c r="D3873" t="s">
        <v>11544</v>
      </c>
      <c r="E3873" t="s">
        <v>11553</v>
      </c>
      <c r="F3873" t="s">
        <v>11554</v>
      </c>
      <c r="J3873" t="s">
        <v>11553</v>
      </c>
      <c r="K3873" t="s">
        <v>11541</v>
      </c>
      <c r="L3873" t="s">
        <v>1389</v>
      </c>
    </row>
    <row r="3874" spans="1:12">
      <c r="A3874" t="s">
        <v>11541</v>
      </c>
      <c r="B3874" t="s">
        <v>11542</v>
      </c>
      <c r="C3874" t="s">
        <v>11555</v>
      </c>
      <c r="D3874" t="s">
        <v>11544</v>
      </c>
      <c r="E3874" t="s">
        <v>11556</v>
      </c>
      <c r="F3874" t="s">
        <v>11557</v>
      </c>
      <c r="J3874" t="s">
        <v>11556</v>
      </c>
      <c r="K3874" t="s">
        <v>11541</v>
      </c>
      <c r="L3874" t="s">
        <v>1389</v>
      </c>
    </row>
    <row r="3875" spans="1:12">
      <c r="A3875" t="s">
        <v>11541</v>
      </c>
      <c r="B3875" t="s">
        <v>11542</v>
      </c>
      <c r="C3875" t="s">
        <v>11558</v>
      </c>
      <c r="D3875" t="s">
        <v>11544</v>
      </c>
      <c r="E3875" t="s">
        <v>11559</v>
      </c>
      <c r="F3875" t="s">
        <v>11560</v>
      </c>
    </row>
    <row r="3876" spans="1:12">
      <c r="A3876" t="s">
        <v>11541</v>
      </c>
      <c r="B3876" t="s">
        <v>11542</v>
      </c>
      <c r="C3876" t="s">
        <v>11561</v>
      </c>
      <c r="D3876" t="s">
        <v>11544</v>
      </c>
      <c r="E3876" t="s">
        <v>11562</v>
      </c>
      <c r="F3876" t="s">
        <v>11563</v>
      </c>
      <c r="J3876" t="s">
        <v>11562</v>
      </c>
      <c r="K3876" t="s">
        <v>11541</v>
      </c>
      <c r="L3876" t="s">
        <v>1389</v>
      </c>
    </row>
    <row r="3877" spans="1:12">
      <c r="A3877" t="s">
        <v>11541</v>
      </c>
      <c r="B3877" t="s">
        <v>11542</v>
      </c>
      <c r="C3877" t="s">
        <v>11564</v>
      </c>
      <c r="D3877" t="s">
        <v>11544</v>
      </c>
      <c r="E3877" t="s">
        <v>11565</v>
      </c>
      <c r="F3877" t="s">
        <v>11566</v>
      </c>
      <c r="J3877" t="s">
        <v>11565</v>
      </c>
      <c r="K3877" t="s">
        <v>11541</v>
      </c>
      <c r="L3877" t="s">
        <v>1389</v>
      </c>
    </row>
    <row r="3878" spans="1:12">
      <c r="A3878" t="s">
        <v>11541</v>
      </c>
      <c r="B3878" t="s">
        <v>11542</v>
      </c>
      <c r="C3878" t="s">
        <v>11567</v>
      </c>
      <c r="D3878" t="s">
        <v>11544</v>
      </c>
      <c r="E3878" t="s">
        <v>11568</v>
      </c>
      <c r="F3878" t="s">
        <v>11569</v>
      </c>
      <c r="J3878" t="s">
        <v>11568</v>
      </c>
      <c r="K3878" t="s">
        <v>11541</v>
      </c>
      <c r="L3878" t="s">
        <v>1389</v>
      </c>
    </row>
    <row r="3879" spans="1:12">
      <c r="A3879" t="s">
        <v>11541</v>
      </c>
      <c r="B3879" t="s">
        <v>11542</v>
      </c>
      <c r="C3879" t="s">
        <v>11570</v>
      </c>
      <c r="D3879" t="s">
        <v>11544</v>
      </c>
      <c r="E3879" t="s">
        <v>11571</v>
      </c>
      <c r="F3879" t="s">
        <v>11572</v>
      </c>
      <c r="J3879" t="s">
        <v>11571</v>
      </c>
      <c r="K3879" t="s">
        <v>11541</v>
      </c>
      <c r="L3879" t="s">
        <v>1389</v>
      </c>
    </row>
    <row r="3880" spans="1:12">
      <c r="A3880" t="s">
        <v>11541</v>
      </c>
      <c r="B3880" t="s">
        <v>11542</v>
      </c>
      <c r="C3880" t="s">
        <v>11573</v>
      </c>
      <c r="D3880" t="s">
        <v>11544</v>
      </c>
      <c r="E3880" t="s">
        <v>11574</v>
      </c>
      <c r="F3880" t="s">
        <v>11575</v>
      </c>
      <c r="J3880" t="s">
        <v>11574</v>
      </c>
      <c r="K3880" t="s">
        <v>11541</v>
      </c>
      <c r="L3880" t="s">
        <v>1389</v>
      </c>
    </row>
    <row r="3881" spans="1:12">
      <c r="A3881" t="s">
        <v>11541</v>
      </c>
      <c r="B3881" t="s">
        <v>11542</v>
      </c>
      <c r="C3881" t="s">
        <v>11576</v>
      </c>
      <c r="D3881" t="s">
        <v>11544</v>
      </c>
      <c r="E3881" t="s">
        <v>11577</v>
      </c>
      <c r="F3881" t="s">
        <v>11578</v>
      </c>
      <c r="J3881" t="s">
        <v>11577</v>
      </c>
      <c r="K3881" t="s">
        <v>11541</v>
      </c>
      <c r="L3881" t="s">
        <v>1389</v>
      </c>
    </row>
    <row r="3882" spans="1:12">
      <c r="A3882" t="s">
        <v>11541</v>
      </c>
      <c r="B3882" t="s">
        <v>11542</v>
      </c>
      <c r="C3882" t="s">
        <v>11579</v>
      </c>
      <c r="D3882" t="s">
        <v>11544</v>
      </c>
      <c r="E3882" t="s">
        <v>5084</v>
      </c>
      <c r="F3882" t="s">
        <v>11580</v>
      </c>
      <c r="J3882" t="s">
        <v>5084</v>
      </c>
      <c r="K3882" t="s">
        <v>11541</v>
      </c>
      <c r="L3882" t="s">
        <v>1389</v>
      </c>
    </row>
    <row r="3883" spans="1:12">
      <c r="A3883" t="s">
        <v>11541</v>
      </c>
      <c r="B3883" t="s">
        <v>11542</v>
      </c>
      <c r="C3883" t="s">
        <v>11581</v>
      </c>
      <c r="D3883" t="s">
        <v>11544</v>
      </c>
      <c r="E3883" t="s">
        <v>11582</v>
      </c>
      <c r="F3883" t="s">
        <v>11583</v>
      </c>
      <c r="J3883" t="s">
        <v>11582</v>
      </c>
      <c r="K3883" t="s">
        <v>11541</v>
      </c>
      <c r="L3883" t="s">
        <v>1389</v>
      </c>
    </row>
    <row r="3884" spans="1:12">
      <c r="A3884" t="s">
        <v>11541</v>
      </c>
      <c r="B3884" t="s">
        <v>11542</v>
      </c>
      <c r="C3884" t="s">
        <v>11584</v>
      </c>
      <c r="D3884" t="s">
        <v>11544</v>
      </c>
      <c r="E3884" t="s">
        <v>11585</v>
      </c>
      <c r="F3884" t="s">
        <v>11586</v>
      </c>
    </row>
    <row r="3885" spans="1:12">
      <c r="A3885" t="s">
        <v>11541</v>
      </c>
      <c r="B3885" t="s">
        <v>11542</v>
      </c>
      <c r="C3885" t="s">
        <v>11587</v>
      </c>
      <c r="D3885" t="s">
        <v>11544</v>
      </c>
      <c r="E3885" t="s">
        <v>978</v>
      </c>
      <c r="F3885" t="s">
        <v>11588</v>
      </c>
      <c r="J3885" t="s">
        <v>978</v>
      </c>
      <c r="K3885" t="s">
        <v>11541</v>
      </c>
      <c r="L3885" t="s">
        <v>1389</v>
      </c>
    </row>
    <row r="3886" spans="1:12">
      <c r="A3886" t="s">
        <v>11541</v>
      </c>
      <c r="B3886" t="s">
        <v>11542</v>
      </c>
      <c r="C3886" t="s">
        <v>11589</v>
      </c>
      <c r="D3886" t="s">
        <v>11544</v>
      </c>
      <c r="E3886" t="s">
        <v>9466</v>
      </c>
      <c r="F3886" t="s">
        <v>11590</v>
      </c>
    </row>
    <row r="3887" spans="1:12">
      <c r="A3887" t="s">
        <v>11541</v>
      </c>
      <c r="B3887" t="s">
        <v>11542</v>
      </c>
      <c r="C3887" t="s">
        <v>11591</v>
      </c>
      <c r="D3887" t="s">
        <v>11544</v>
      </c>
      <c r="E3887" t="s">
        <v>11592</v>
      </c>
      <c r="F3887" t="s">
        <v>11593</v>
      </c>
      <c r="J3887" t="s">
        <v>11592</v>
      </c>
      <c r="K3887" t="s">
        <v>11541</v>
      </c>
      <c r="L3887" t="s">
        <v>1389</v>
      </c>
    </row>
    <row r="3888" spans="1:12">
      <c r="A3888" t="s">
        <v>11541</v>
      </c>
      <c r="B3888" t="s">
        <v>11542</v>
      </c>
      <c r="C3888" t="s">
        <v>11594</v>
      </c>
      <c r="D3888" t="s">
        <v>11544</v>
      </c>
      <c r="E3888" t="s">
        <v>11595</v>
      </c>
      <c r="F3888" t="s">
        <v>11596</v>
      </c>
      <c r="J3888" t="s">
        <v>11595</v>
      </c>
      <c r="K3888" t="s">
        <v>11541</v>
      </c>
      <c r="L3888" t="s">
        <v>1389</v>
      </c>
    </row>
    <row r="3889" spans="1:12">
      <c r="A3889" t="s">
        <v>11541</v>
      </c>
      <c r="B3889" t="s">
        <v>11542</v>
      </c>
      <c r="C3889" t="s">
        <v>11597</v>
      </c>
      <c r="D3889" t="s">
        <v>11544</v>
      </c>
      <c r="E3889" t="s">
        <v>11598</v>
      </c>
      <c r="F3889" t="s">
        <v>11599</v>
      </c>
      <c r="J3889" t="s">
        <v>11598</v>
      </c>
      <c r="K3889" t="s">
        <v>11541</v>
      </c>
      <c r="L3889" t="s">
        <v>1389</v>
      </c>
    </row>
    <row r="3890" spans="1:12">
      <c r="A3890" t="s">
        <v>11541</v>
      </c>
      <c r="B3890" t="s">
        <v>11542</v>
      </c>
      <c r="C3890" t="s">
        <v>11600</v>
      </c>
      <c r="D3890" t="s">
        <v>11544</v>
      </c>
      <c r="E3890" t="s">
        <v>11601</v>
      </c>
      <c r="F3890" t="s">
        <v>11602</v>
      </c>
      <c r="J3890" t="s">
        <v>11601</v>
      </c>
      <c r="K3890" t="s">
        <v>11541</v>
      </c>
      <c r="L3890" t="s">
        <v>1389</v>
      </c>
    </row>
    <row r="3891" spans="1:12">
      <c r="A3891" t="s">
        <v>11541</v>
      </c>
      <c r="B3891" t="s">
        <v>11542</v>
      </c>
      <c r="C3891" t="s">
        <v>11603</v>
      </c>
      <c r="D3891" t="s">
        <v>11544</v>
      </c>
      <c r="E3891" t="s">
        <v>11604</v>
      </c>
      <c r="F3891" t="s">
        <v>11605</v>
      </c>
      <c r="J3891" t="s">
        <v>11604</v>
      </c>
      <c r="K3891" t="s">
        <v>11541</v>
      </c>
      <c r="L3891" t="s">
        <v>1389</v>
      </c>
    </row>
    <row r="3892" spans="1:12">
      <c r="A3892" t="s">
        <v>11541</v>
      </c>
      <c r="B3892" t="s">
        <v>11542</v>
      </c>
      <c r="C3892" t="s">
        <v>11606</v>
      </c>
      <c r="D3892" t="s">
        <v>11544</v>
      </c>
      <c r="E3892" t="s">
        <v>11607</v>
      </c>
      <c r="F3892" t="s">
        <v>11608</v>
      </c>
      <c r="J3892" t="s">
        <v>11607</v>
      </c>
      <c r="K3892" t="s">
        <v>11541</v>
      </c>
      <c r="L3892" t="s">
        <v>1389</v>
      </c>
    </row>
    <row r="3893" spans="1:12">
      <c r="A3893" t="s">
        <v>11541</v>
      </c>
      <c r="B3893" t="s">
        <v>11542</v>
      </c>
      <c r="C3893" t="s">
        <v>11609</v>
      </c>
      <c r="D3893" t="s">
        <v>11544</v>
      </c>
      <c r="E3893" t="s">
        <v>11610</v>
      </c>
      <c r="F3893" t="s">
        <v>11611</v>
      </c>
      <c r="J3893" t="s">
        <v>11610</v>
      </c>
      <c r="K3893" t="s">
        <v>11541</v>
      </c>
      <c r="L3893" t="s">
        <v>1389</v>
      </c>
    </row>
    <row r="3894" spans="1:12">
      <c r="A3894" t="s">
        <v>11541</v>
      </c>
      <c r="B3894" t="s">
        <v>11542</v>
      </c>
      <c r="C3894" t="s">
        <v>11612</v>
      </c>
      <c r="D3894" t="s">
        <v>11544</v>
      </c>
      <c r="E3894" t="s">
        <v>11613</v>
      </c>
      <c r="F3894" t="s">
        <v>11614</v>
      </c>
      <c r="J3894" t="s">
        <v>11613</v>
      </c>
      <c r="K3894" t="s">
        <v>11541</v>
      </c>
      <c r="L3894" t="s">
        <v>1389</v>
      </c>
    </row>
    <row r="3895" spans="1:12">
      <c r="A3895" t="s">
        <v>11541</v>
      </c>
      <c r="B3895" t="s">
        <v>11542</v>
      </c>
      <c r="C3895" t="s">
        <v>11615</v>
      </c>
      <c r="D3895" t="s">
        <v>11544</v>
      </c>
      <c r="E3895" t="s">
        <v>11616</v>
      </c>
      <c r="F3895" t="s">
        <v>11617</v>
      </c>
      <c r="J3895" t="s">
        <v>11616</v>
      </c>
      <c r="K3895" t="s">
        <v>11541</v>
      </c>
      <c r="L3895" t="s">
        <v>1389</v>
      </c>
    </row>
    <row r="3896" spans="1:12">
      <c r="A3896" t="s">
        <v>11541</v>
      </c>
      <c r="B3896" t="s">
        <v>11542</v>
      </c>
      <c r="C3896" t="s">
        <v>11618</v>
      </c>
      <c r="D3896" t="s">
        <v>11544</v>
      </c>
      <c r="E3896" t="s">
        <v>11619</v>
      </c>
      <c r="F3896" t="s">
        <v>11620</v>
      </c>
      <c r="J3896" t="s">
        <v>11619</v>
      </c>
      <c r="K3896" t="s">
        <v>11541</v>
      </c>
      <c r="L3896" t="s">
        <v>1389</v>
      </c>
    </row>
    <row r="3897" spans="1:12">
      <c r="A3897" t="s">
        <v>11541</v>
      </c>
      <c r="B3897" t="s">
        <v>11542</v>
      </c>
      <c r="C3897" t="s">
        <v>11621</v>
      </c>
      <c r="D3897" t="s">
        <v>11544</v>
      </c>
      <c r="E3897" t="s">
        <v>11622</v>
      </c>
      <c r="F3897" t="s">
        <v>11623</v>
      </c>
      <c r="J3897" t="s">
        <v>11622</v>
      </c>
      <c r="K3897" t="s">
        <v>11541</v>
      </c>
      <c r="L3897" t="s">
        <v>1389</v>
      </c>
    </row>
    <row r="3898" spans="1:12">
      <c r="A3898" t="s">
        <v>11541</v>
      </c>
      <c r="B3898" t="s">
        <v>11542</v>
      </c>
      <c r="C3898" t="s">
        <v>11624</v>
      </c>
      <c r="D3898" t="s">
        <v>11544</v>
      </c>
      <c r="E3898" t="s">
        <v>11625</v>
      </c>
      <c r="F3898" t="s">
        <v>11626</v>
      </c>
      <c r="J3898" t="s">
        <v>11625</v>
      </c>
      <c r="K3898" t="s">
        <v>11541</v>
      </c>
      <c r="L3898" t="s">
        <v>1389</v>
      </c>
    </row>
    <row r="3899" spans="1:12">
      <c r="A3899" t="s">
        <v>11541</v>
      </c>
      <c r="B3899" t="s">
        <v>11542</v>
      </c>
      <c r="C3899" t="s">
        <v>11627</v>
      </c>
      <c r="D3899" t="s">
        <v>11544</v>
      </c>
      <c r="E3899" t="s">
        <v>11628</v>
      </c>
      <c r="F3899" t="s">
        <v>11629</v>
      </c>
      <c r="J3899" t="s">
        <v>11628</v>
      </c>
      <c r="K3899" t="s">
        <v>11541</v>
      </c>
      <c r="L3899" t="s">
        <v>1389</v>
      </c>
    </row>
    <row r="3900" spans="1:12">
      <c r="A3900" t="s">
        <v>11541</v>
      </c>
      <c r="B3900" t="s">
        <v>11542</v>
      </c>
      <c r="C3900" t="s">
        <v>11630</v>
      </c>
      <c r="D3900" t="s">
        <v>11544</v>
      </c>
      <c r="E3900" t="s">
        <v>11631</v>
      </c>
      <c r="F3900" t="s">
        <v>11632</v>
      </c>
      <c r="J3900" t="s">
        <v>11631</v>
      </c>
      <c r="K3900" t="s">
        <v>11541</v>
      </c>
      <c r="L3900" t="s">
        <v>1389</v>
      </c>
    </row>
    <row r="3901" spans="1:12">
      <c r="A3901" t="s">
        <v>11541</v>
      </c>
      <c r="B3901" t="s">
        <v>11542</v>
      </c>
      <c r="C3901" t="s">
        <v>11633</v>
      </c>
      <c r="D3901" t="s">
        <v>11544</v>
      </c>
      <c r="E3901" t="s">
        <v>11524</v>
      </c>
      <c r="F3901" t="s">
        <v>11634</v>
      </c>
    </row>
    <row r="3902" spans="1:12">
      <c r="A3902" t="s">
        <v>11541</v>
      </c>
      <c r="B3902" t="s">
        <v>11542</v>
      </c>
      <c r="C3902" t="s">
        <v>11635</v>
      </c>
      <c r="D3902" t="s">
        <v>11544</v>
      </c>
      <c r="E3902" t="s">
        <v>11636</v>
      </c>
      <c r="F3902" t="s">
        <v>11637</v>
      </c>
      <c r="J3902" t="s">
        <v>11636</v>
      </c>
      <c r="K3902" t="s">
        <v>11541</v>
      </c>
      <c r="L3902" t="s">
        <v>1389</v>
      </c>
    </row>
    <row r="3903" spans="1:12">
      <c r="A3903" t="s">
        <v>11541</v>
      </c>
      <c r="B3903" t="s">
        <v>11542</v>
      </c>
      <c r="C3903" t="s">
        <v>11638</v>
      </c>
      <c r="D3903" t="s">
        <v>11544</v>
      </c>
      <c r="E3903" t="s">
        <v>11639</v>
      </c>
      <c r="F3903" t="s">
        <v>11640</v>
      </c>
      <c r="J3903" t="s">
        <v>11639</v>
      </c>
      <c r="K3903" t="s">
        <v>11541</v>
      </c>
      <c r="L3903" t="s">
        <v>1389</v>
      </c>
    </row>
    <row r="3904" spans="1:12">
      <c r="A3904" t="s">
        <v>11541</v>
      </c>
      <c r="B3904" t="s">
        <v>11542</v>
      </c>
      <c r="C3904" t="s">
        <v>11641</v>
      </c>
      <c r="D3904" t="s">
        <v>11544</v>
      </c>
      <c r="E3904" t="s">
        <v>11642</v>
      </c>
      <c r="F3904" t="s">
        <v>11643</v>
      </c>
    </row>
    <row r="3905" spans="1:12">
      <c r="A3905" t="s">
        <v>11541</v>
      </c>
      <c r="B3905" t="s">
        <v>11542</v>
      </c>
      <c r="C3905" t="s">
        <v>11644</v>
      </c>
      <c r="D3905" t="s">
        <v>11544</v>
      </c>
      <c r="E3905" t="s">
        <v>655</v>
      </c>
      <c r="F3905" t="s">
        <v>656</v>
      </c>
    </row>
    <row r="3906" spans="1:12">
      <c r="A3906" t="s">
        <v>11645</v>
      </c>
      <c r="B3906" t="s">
        <v>11646</v>
      </c>
      <c r="C3906" t="s">
        <v>11647</v>
      </c>
      <c r="D3906" t="s">
        <v>11648</v>
      </c>
      <c r="E3906" t="s">
        <v>11649</v>
      </c>
      <c r="F3906" t="s">
        <v>11650</v>
      </c>
      <c r="J3906" t="s">
        <v>11649</v>
      </c>
      <c r="K3906" t="s">
        <v>11651</v>
      </c>
      <c r="L3906" t="s">
        <v>814</v>
      </c>
    </row>
    <row r="3907" spans="1:12">
      <c r="A3907" t="s">
        <v>11645</v>
      </c>
      <c r="B3907" t="s">
        <v>11646</v>
      </c>
      <c r="C3907" t="s">
        <v>11652</v>
      </c>
      <c r="D3907" t="s">
        <v>11648</v>
      </c>
      <c r="E3907" t="s">
        <v>11653</v>
      </c>
      <c r="F3907" t="s">
        <v>11654</v>
      </c>
      <c r="J3907" t="s">
        <v>11653</v>
      </c>
      <c r="K3907" t="s">
        <v>11651</v>
      </c>
      <c r="L3907" t="s">
        <v>814</v>
      </c>
    </row>
    <row r="3908" spans="1:12">
      <c r="A3908" t="s">
        <v>11645</v>
      </c>
      <c r="B3908" t="s">
        <v>11646</v>
      </c>
      <c r="C3908" t="s">
        <v>11655</v>
      </c>
      <c r="D3908" t="s">
        <v>11648</v>
      </c>
      <c r="E3908" t="s">
        <v>655</v>
      </c>
      <c r="F3908" t="s">
        <v>656</v>
      </c>
    </row>
    <row r="3909" spans="1:12">
      <c r="A3909" t="s">
        <v>11656</v>
      </c>
      <c r="B3909" t="s">
        <v>11657</v>
      </c>
      <c r="C3909" t="s">
        <v>11658</v>
      </c>
      <c r="D3909" t="s">
        <v>11659</v>
      </c>
      <c r="E3909" t="s">
        <v>4994</v>
      </c>
      <c r="F3909" t="s">
        <v>11660</v>
      </c>
    </row>
    <row r="3910" spans="1:12">
      <c r="A3910" t="s">
        <v>11656</v>
      </c>
      <c r="B3910" t="s">
        <v>11657</v>
      </c>
      <c r="C3910" t="s">
        <v>11661</v>
      </c>
      <c r="D3910" t="s">
        <v>11659</v>
      </c>
      <c r="E3910" t="s">
        <v>11662</v>
      </c>
      <c r="F3910" t="s">
        <v>11663</v>
      </c>
      <c r="J3910" t="s">
        <v>11662</v>
      </c>
      <c r="K3910" t="s">
        <v>11664</v>
      </c>
      <c r="L3910" t="s">
        <v>1389</v>
      </c>
    </row>
    <row r="3911" spans="1:12">
      <c r="A3911" t="s">
        <v>11656</v>
      </c>
      <c r="B3911" t="s">
        <v>11657</v>
      </c>
      <c r="C3911" t="s">
        <v>11665</v>
      </c>
      <c r="D3911" t="s">
        <v>11659</v>
      </c>
      <c r="E3911" t="s">
        <v>11407</v>
      </c>
      <c r="F3911" t="s">
        <v>11666</v>
      </c>
      <c r="J3911" t="s">
        <v>11407</v>
      </c>
      <c r="K3911" t="s">
        <v>11664</v>
      </c>
      <c r="L3911" t="s">
        <v>1389</v>
      </c>
    </row>
    <row r="3912" spans="1:12">
      <c r="A3912" t="s">
        <v>11656</v>
      </c>
      <c r="B3912" t="s">
        <v>11657</v>
      </c>
      <c r="C3912" t="s">
        <v>11667</v>
      </c>
      <c r="D3912" t="s">
        <v>11659</v>
      </c>
      <c r="E3912" t="s">
        <v>11668</v>
      </c>
      <c r="F3912" t="s">
        <v>11669</v>
      </c>
      <c r="J3912" t="s">
        <v>11668</v>
      </c>
      <c r="K3912" t="s">
        <v>11664</v>
      </c>
      <c r="L3912" t="s">
        <v>1389</v>
      </c>
    </row>
    <row r="3913" spans="1:12">
      <c r="A3913" t="s">
        <v>11656</v>
      </c>
      <c r="B3913" t="s">
        <v>11657</v>
      </c>
      <c r="C3913" t="s">
        <v>11670</v>
      </c>
      <c r="D3913" t="s">
        <v>11659</v>
      </c>
      <c r="E3913" t="s">
        <v>11671</v>
      </c>
      <c r="F3913" t="s">
        <v>11672</v>
      </c>
      <c r="J3913" t="s">
        <v>11671</v>
      </c>
      <c r="K3913" t="s">
        <v>11664</v>
      </c>
      <c r="L3913" t="s">
        <v>1389</v>
      </c>
    </row>
    <row r="3914" spans="1:12">
      <c r="A3914" t="s">
        <v>11656</v>
      </c>
      <c r="B3914" t="s">
        <v>11657</v>
      </c>
      <c r="C3914" t="s">
        <v>11673</v>
      </c>
      <c r="D3914" t="s">
        <v>11659</v>
      </c>
      <c r="E3914" t="s">
        <v>11674</v>
      </c>
      <c r="F3914" t="s">
        <v>11674</v>
      </c>
      <c r="J3914" t="s">
        <v>11674</v>
      </c>
      <c r="K3914" t="s">
        <v>11664</v>
      </c>
      <c r="L3914" t="s">
        <v>1389</v>
      </c>
    </row>
    <row r="3915" spans="1:12">
      <c r="A3915" t="s">
        <v>11656</v>
      </c>
      <c r="B3915" t="s">
        <v>11657</v>
      </c>
      <c r="C3915" t="s">
        <v>11675</v>
      </c>
      <c r="D3915" t="s">
        <v>11659</v>
      </c>
      <c r="E3915" t="s">
        <v>655</v>
      </c>
      <c r="F3915" t="s">
        <v>656</v>
      </c>
    </row>
    <row r="3916" spans="1:12">
      <c r="A3916" t="s">
        <v>11676</v>
      </c>
      <c r="B3916" t="s">
        <v>11677</v>
      </c>
      <c r="C3916" t="s">
        <v>11678</v>
      </c>
      <c r="D3916" t="s">
        <v>11679</v>
      </c>
      <c r="E3916" t="s">
        <v>11680</v>
      </c>
      <c r="F3916" t="s">
        <v>11676</v>
      </c>
      <c r="J3916" t="s">
        <v>11680</v>
      </c>
      <c r="K3916" t="s">
        <v>11681</v>
      </c>
      <c r="L3916" t="s">
        <v>851</v>
      </c>
    </row>
    <row r="3917" spans="1:12">
      <c r="A3917" t="s">
        <v>11676</v>
      </c>
      <c r="B3917" t="s">
        <v>11677</v>
      </c>
      <c r="C3917" t="s">
        <v>11682</v>
      </c>
      <c r="D3917" t="s">
        <v>11679</v>
      </c>
      <c r="E3917" t="s">
        <v>11683</v>
      </c>
      <c r="F3917" t="s">
        <v>11684</v>
      </c>
    </row>
    <row r="3918" spans="1:12">
      <c r="A3918" t="s">
        <v>11676</v>
      </c>
      <c r="B3918" t="s">
        <v>11677</v>
      </c>
      <c r="C3918" t="s">
        <v>11685</v>
      </c>
      <c r="D3918" t="s">
        <v>11679</v>
      </c>
      <c r="E3918" t="s">
        <v>9216</v>
      </c>
      <c r="F3918" t="s">
        <v>11686</v>
      </c>
    </row>
    <row r="3919" spans="1:12">
      <c r="A3919" t="s">
        <v>11676</v>
      </c>
      <c r="B3919" t="s">
        <v>11677</v>
      </c>
      <c r="C3919" t="s">
        <v>11687</v>
      </c>
      <c r="D3919" t="s">
        <v>11679</v>
      </c>
      <c r="E3919" t="s">
        <v>11688</v>
      </c>
      <c r="F3919" t="s">
        <v>11689</v>
      </c>
    </row>
    <row r="3920" spans="1:12">
      <c r="A3920" t="s">
        <v>11676</v>
      </c>
      <c r="B3920" t="s">
        <v>11677</v>
      </c>
      <c r="C3920" t="s">
        <v>11690</v>
      </c>
      <c r="D3920" t="s">
        <v>11679</v>
      </c>
      <c r="E3920" t="s">
        <v>11691</v>
      </c>
      <c r="F3920" t="s">
        <v>11692</v>
      </c>
    </row>
    <row r="3921" spans="1:12">
      <c r="A3921" t="s">
        <v>11676</v>
      </c>
      <c r="B3921" t="s">
        <v>11677</v>
      </c>
      <c r="C3921" t="s">
        <v>11693</v>
      </c>
      <c r="D3921" t="s">
        <v>11679</v>
      </c>
      <c r="E3921" t="s">
        <v>11694</v>
      </c>
      <c r="F3921" t="s">
        <v>11695</v>
      </c>
    </row>
    <row r="3922" spans="1:12">
      <c r="A3922" t="s">
        <v>11676</v>
      </c>
      <c r="B3922" t="s">
        <v>11677</v>
      </c>
      <c r="C3922" t="s">
        <v>11696</v>
      </c>
      <c r="D3922" t="s">
        <v>11679</v>
      </c>
      <c r="E3922" t="s">
        <v>11697</v>
      </c>
      <c r="F3922" t="s">
        <v>11698</v>
      </c>
    </row>
    <row r="3923" spans="1:12">
      <c r="A3923" t="s">
        <v>11676</v>
      </c>
      <c r="B3923" t="s">
        <v>11677</v>
      </c>
      <c r="C3923" t="s">
        <v>11699</v>
      </c>
      <c r="D3923" t="s">
        <v>11679</v>
      </c>
      <c r="E3923" t="s">
        <v>11700</v>
      </c>
      <c r="F3923" t="s">
        <v>11701</v>
      </c>
    </row>
    <row r="3924" spans="1:12">
      <c r="A3924" t="s">
        <v>11676</v>
      </c>
      <c r="B3924" t="s">
        <v>11677</v>
      </c>
      <c r="C3924" t="s">
        <v>11702</v>
      </c>
      <c r="D3924" t="s">
        <v>11679</v>
      </c>
      <c r="E3924" t="s">
        <v>11703</v>
      </c>
      <c r="F3924" t="s">
        <v>11704</v>
      </c>
    </row>
    <row r="3925" spans="1:12">
      <c r="A3925" t="s">
        <v>11676</v>
      </c>
      <c r="B3925" t="s">
        <v>11677</v>
      </c>
      <c r="C3925" t="s">
        <v>11705</v>
      </c>
      <c r="D3925" t="s">
        <v>11679</v>
      </c>
      <c r="E3925" t="s">
        <v>4620</v>
      </c>
      <c r="F3925" t="s">
        <v>11706</v>
      </c>
    </row>
    <row r="3926" spans="1:12">
      <c r="A3926" t="s">
        <v>11676</v>
      </c>
      <c r="B3926" t="s">
        <v>11677</v>
      </c>
      <c r="C3926" t="s">
        <v>11707</v>
      </c>
      <c r="D3926" t="s">
        <v>11679</v>
      </c>
      <c r="E3926" t="s">
        <v>11529</v>
      </c>
      <c r="F3926" t="s">
        <v>11708</v>
      </c>
    </row>
    <row r="3927" spans="1:12">
      <c r="A3927" t="s">
        <v>11676</v>
      </c>
      <c r="B3927" t="s">
        <v>11677</v>
      </c>
      <c r="C3927" t="s">
        <v>11709</v>
      </c>
      <c r="D3927" t="s">
        <v>11679</v>
      </c>
      <c r="E3927" t="s">
        <v>3551</v>
      </c>
      <c r="F3927" t="s">
        <v>11710</v>
      </c>
    </row>
    <row r="3928" spans="1:12">
      <c r="A3928" t="s">
        <v>11676</v>
      </c>
      <c r="B3928" t="s">
        <v>11677</v>
      </c>
      <c r="C3928" t="s">
        <v>11711</v>
      </c>
      <c r="D3928" t="s">
        <v>11679</v>
      </c>
      <c r="E3928" t="s">
        <v>655</v>
      </c>
      <c r="F3928" t="s">
        <v>656</v>
      </c>
    </row>
    <row r="3929" spans="1:12">
      <c r="A3929" t="s">
        <v>11712</v>
      </c>
      <c r="B3929" t="s">
        <v>11713</v>
      </c>
      <c r="C3929" t="s">
        <v>11714</v>
      </c>
      <c r="D3929" t="s">
        <v>11715</v>
      </c>
      <c r="E3929" t="s">
        <v>11716</v>
      </c>
      <c r="F3929" t="s">
        <v>11717</v>
      </c>
    </row>
    <row r="3930" spans="1:12">
      <c r="A3930" t="s">
        <v>11712</v>
      </c>
      <c r="B3930" t="s">
        <v>11713</v>
      </c>
      <c r="C3930" t="s">
        <v>11718</v>
      </c>
      <c r="D3930" t="s">
        <v>11715</v>
      </c>
      <c r="E3930" t="s">
        <v>11719</v>
      </c>
      <c r="F3930" t="s">
        <v>11720</v>
      </c>
      <c r="J3930" t="s">
        <v>11719</v>
      </c>
      <c r="K3930" t="s">
        <v>3607</v>
      </c>
      <c r="L3930" t="s">
        <v>851</v>
      </c>
    </row>
    <row r="3931" spans="1:12">
      <c r="A3931" t="s">
        <v>11712</v>
      </c>
      <c r="B3931" t="s">
        <v>11713</v>
      </c>
      <c r="C3931" t="s">
        <v>11721</v>
      </c>
      <c r="D3931" t="s">
        <v>11715</v>
      </c>
      <c r="E3931" t="s">
        <v>11722</v>
      </c>
      <c r="F3931" t="s">
        <v>11723</v>
      </c>
      <c r="J3931" t="s">
        <v>11722</v>
      </c>
      <c r="K3931" t="s">
        <v>3607</v>
      </c>
      <c r="L3931" t="s">
        <v>851</v>
      </c>
    </row>
    <row r="3932" spans="1:12">
      <c r="A3932" t="s">
        <v>11712</v>
      </c>
      <c r="B3932" t="s">
        <v>11713</v>
      </c>
      <c r="C3932" t="s">
        <v>11724</v>
      </c>
      <c r="D3932" t="s">
        <v>11715</v>
      </c>
      <c r="E3932" t="s">
        <v>11725</v>
      </c>
      <c r="F3932" t="s">
        <v>11726</v>
      </c>
      <c r="J3932" t="s">
        <v>11725</v>
      </c>
      <c r="K3932" t="s">
        <v>3607</v>
      </c>
      <c r="L3932" t="s">
        <v>851</v>
      </c>
    </row>
    <row r="3933" spans="1:12">
      <c r="A3933" t="s">
        <v>11712</v>
      </c>
      <c r="B3933" t="s">
        <v>11713</v>
      </c>
      <c r="C3933" t="s">
        <v>11727</v>
      </c>
      <c r="D3933" t="s">
        <v>11715</v>
      </c>
      <c r="E3933" t="s">
        <v>11728</v>
      </c>
      <c r="F3933" t="s">
        <v>11729</v>
      </c>
    </row>
    <row r="3934" spans="1:12">
      <c r="A3934" t="s">
        <v>11712</v>
      </c>
      <c r="B3934" t="s">
        <v>11713</v>
      </c>
      <c r="C3934" t="s">
        <v>11730</v>
      </c>
      <c r="D3934" t="s">
        <v>11715</v>
      </c>
      <c r="E3934" t="s">
        <v>11731</v>
      </c>
      <c r="F3934" t="s">
        <v>11732</v>
      </c>
      <c r="J3934" t="s">
        <v>11731</v>
      </c>
      <c r="K3934" t="s">
        <v>3607</v>
      </c>
      <c r="L3934" t="s">
        <v>851</v>
      </c>
    </row>
    <row r="3935" spans="1:12">
      <c r="A3935" t="s">
        <v>11712</v>
      </c>
      <c r="B3935" t="s">
        <v>11713</v>
      </c>
      <c r="C3935" t="s">
        <v>11733</v>
      </c>
      <c r="D3935" t="s">
        <v>11715</v>
      </c>
      <c r="E3935" t="s">
        <v>915</v>
      </c>
      <c r="F3935" t="s">
        <v>11734</v>
      </c>
      <c r="J3935" t="s">
        <v>915</v>
      </c>
      <c r="K3935" t="s">
        <v>3607</v>
      </c>
      <c r="L3935" t="s">
        <v>851</v>
      </c>
    </row>
    <row r="3936" spans="1:12">
      <c r="A3936" t="s">
        <v>11712</v>
      </c>
      <c r="B3936" t="s">
        <v>11713</v>
      </c>
      <c r="C3936" t="s">
        <v>11735</v>
      </c>
      <c r="D3936" t="s">
        <v>11715</v>
      </c>
      <c r="E3936" t="s">
        <v>1403</v>
      </c>
      <c r="F3936" t="s">
        <v>11736</v>
      </c>
    </row>
    <row r="3937" spans="1:12">
      <c r="A3937" t="s">
        <v>11712</v>
      </c>
      <c r="B3937" t="s">
        <v>11713</v>
      </c>
      <c r="C3937" t="s">
        <v>11737</v>
      </c>
      <c r="D3937" t="s">
        <v>11715</v>
      </c>
      <c r="E3937" t="s">
        <v>11738</v>
      </c>
      <c r="F3937" t="s">
        <v>11739</v>
      </c>
    </row>
    <row r="3938" spans="1:12">
      <c r="A3938" t="s">
        <v>11712</v>
      </c>
      <c r="B3938" t="s">
        <v>11713</v>
      </c>
      <c r="C3938" t="s">
        <v>11740</v>
      </c>
      <c r="D3938" t="s">
        <v>11715</v>
      </c>
      <c r="E3938" t="s">
        <v>1499</v>
      </c>
      <c r="F3938" t="s">
        <v>11741</v>
      </c>
    </row>
    <row r="3939" spans="1:12">
      <c r="A3939" t="s">
        <v>11712</v>
      </c>
      <c r="B3939" t="s">
        <v>11713</v>
      </c>
      <c r="C3939" t="s">
        <v>11742</v>
      </c>
      <c r="D3939" t="s">
        <v>11715</v>
      </c>
      <c r="E3939" t="s">
        <v>8464</v>
      </c>
      <c r="F3939" t="s">
        <v>11743</v>
      </c>
      <c r="J3939" t="s">
        <v>8464</v>
      </c>
      <c r="K3939" t="s">
        <v>3607</v>
      </c>
      <c r="L3939" t="s">
        <v>851</v>
      </c>
    </row>
    <row r="3940" spans="1:12">
      <c r="A3940" t="s">
        <v>11712</v>
      </c>
      <c r="B3940" t="s">
        <v>11713</v>
      </c>
      <c r="C3940" t="s">
        <v>11744</v>
      </c>
      <c r="D3940" t="s">
        <v>11715</v>
      </c>
      <c r="E3940" t="s">
        <v>11745</v>
      </c>
      <c r="F3940" t="s">
        <v>11746</v>
      </c>
      <c r="J3940" t="s">
        <v>11745</v>
      </c>
      <c r="K3940" t="s">
        <v>3607</v>
      </c>
      <c r="L3940" t="s">
        <v>851</v>
      </c>
    </row>
    <row r="3941" spans="1:12">
      <c r="A3941" t="s">
        <v>11712</v>
      </c>
      <c r="B3941" t="s">
        <v>11713</v>
      </c>
      <c r="C3941" t="s">
        <v>11747</v>
      </c>
      <c r="D3941" t="s">
        <v>11715</v>
      </c>
      <c r="E3941" t="s">
        <v>11748</v>
      </c>
      <c r="F3941" t="s">
        <v>11749</v>
      </c>
      <c r="J3941" t="s">
        <v>11748</v>
      </c>
      <c r="K3941" t="s">
        <v>3607</v>
      </c>
      <c r="L3941" t="s">
        <v>851</v>
      </c>
    </row>
    <row r="3942" spans="1:12">
      <c r="A3942" t="s">
        <v>11712</v>
      </c>
      <c r="B3942" t="s">
        <v>11713</v>
      </c>
      <c r="C3942" t="s">
        <v>11750</v>
      </c>
      <c r="D3942" t="s">
        <v>11715</v>
      </c>
      <c r="E3942" t="s">
        <v>11751</v>
      </c>
      <c r="F3942" t="s">
        <v>11752</v>
      </c>
      <c r="J3942" t="s">
        <v>11751</v>
      </c>
      <c r="K3942" t="s">
        <v>3607</v>
      </c>
      <c r="L3942" t="s">
        <v>851</v>
      </c>
    </row>
    <row r="3943" spans="1:12">
      <c r="A3943" t="s">
        <v>11712</v>
      </c>
      <c r="B3943" t="s">
        <v>11713</v>
      </c>
      <c r="C3943" t="s">
        <v>11753</v>
      </c>
      <c r="D3943" t="s">
        <v>11715</v>
      </c>
      <c r="E3943" t="s">
        <v>8031</v>
      </c>
      <c r="F3943" t="s">
        <v>11754</v>
      </c>
    </row>
    <row r="3944" spans="1:12">
      <c r="A3944" t="s">
        <v>11712</v>
      </c>
      <c r="B3944" t="s">
        <v>11713</v>
      </c>
      <c r="C3944" t="s">
        <v>11755</v>
      </c>
      <c r="D3944" t="s">
        <v>11715</v>
      </c>
      <c r="E3944" t="s">
        <v>7136</v>
      </c>
      <c r="F3944" t="s">
        <v>11756</v>
      </c>
    </row>
    <row r="3945" spans="1:12">
      <c r="A3945" t="s">
        <v>11712</v>
      </c>
      <c r="B3945" t="s">
        <v>11713</v>
      </c>
      <c r="C3945" t="s">
        <v>11757</v>
      </c>
      <c r="D3945" t="s">
        <v>11715</v>
      </c>
      <c r="E3945" t="s">
        <v>3838</v>
      </c>
      <c r="F3945" t="s">
        <v>11758</v>
      </c>
    </row>
    <row r="3946" spans="1:12">
      <c r="A3946" t="s">
        <v>11712</v>
      </c>
      <c r="B3946" t="s">
        <v>11713</v>
      </c>
      <c r="C3946" t="s">
        <v>11759</v>
      </c>
      <c r="D3946" t="s">
        <v>11715</v>
      </c>
      <c r="E3946" t="s">
        <v>7142</v>
      </c>
      <c r="F3946" t="s">
        <v>11760</v>
      </c>
    </row>
    <row r="3947" spans="1:12">
      <c r="A3947" t="s">
        <v>11712</v>
      </c>
      <c r="B3947" t="s">
        <v>11713</v>
      </c>
      <c r="C3947" t="s">
        <v>11761</v>
      </c>
      <c r="D3947" t="s">
        <v>11715</v>
      </c>
      <c r="E3947" t="s">
        <v>8501</v>
      </c>
      <c r="F3947" t="s">
        <v>11762</v>
      </c>
    </row>
    <row r="3948" spans="1:12">
      <c r="A3948" t="s">
        <v>11712</v>
      </c>
      <c r="B3948" t="s">
        <v>11713</v>
      </c>
      <c r="C3948" t="s">
        <v>11763</v>
      </c>
      <c r="D3948" t="s">
        <v>11715</v>
      </c>
      <c r="E3948" t="s">
        <v>8521</v>
      </c>
      <c r="F3948" t="s">
        <v>4816</v>
      </c>
      <c r="J3948" t="s">
        <v>8521</v>
      </c>
      <c r="K3948" t="s">
        <v>3607</v>
      </c>
      <c r="L3948" t="s">
        <v>851</v>
      </c>
    </row>
    <row r="3949" spans="1:12">
      <c r="A3949" t="s">
        <v>11712</v>
      </c>
      <c r="B3949" t="s">
        <v>11713</v>
      </c>
      <c r="C3949" t="s">
        <v>11764</v>
      </c>
      <c r="D3949" t="s">
        <v>11715</v>
      </c>
      <c r="E3949" t="s">
        <v>11765</v>
      </c>
      <c r="F3949" t="s">
        <v>11766</v>
      </c>
      <c r="J3949" t="s">
        <v>11765</v>
      </c>
      <c r="K3949" t="s">
        <v>3607</v>
      </c>
      <c r="L3949" t="s">
        <v>851</v>
      </c>
    </row>
    <row r="3950" spans="1:12">
      <c r="A3950" t="s">
        <v>11712</v>
      </c>
      <c r="B3950" t="s">
        <v>11713</v>
      </c>
      <c r="C3950" t="s">
        <v>11767</v>
      </c>
      <c r="D3950" t="s">
        <v>11715</v>
      </c>
      <c r="E3950" t="s">
        <v>11768</v>
      </c>
      <c r="F3950" t="s">
        <v>11769</v>
      </c>
      <c r="J3950" t="s">
        <v>11768</v>
      </c>
      <c r="K3950" t="s">
        <v>3607</v>
      </c>
      <c r="L3950" t="s">
        <v>851</v>
      </c>
    </row>
    <row r="3951" spans="1:12">
      <c r="A3951" t="s">
        <v>11712</v>
      </c>
      <c r="B3951" t="s">
        <v>11713</v>
      </c>
      <c r="C3951" t="s">
        <v>11770</v>
      </c>
      <c r="D3951" t="s">
        <v>11715</v>
      </c>
      <c r="E3951" t="s">
        <v>11771</v>
      </c>
      <c r="F3951" t="s">
        <v>11772</v>
      </c>
      <c r="J3951" t="s">
        <v>11771</v>
      </c>
      <c r="K3951" t="s">
        <v>3607</v>
      </c>
      <c r="L3951" t="s">
        <v>851</v>
      </c>
    </row>
    <row r="3952" spans="1:12">
      <c r="A3952" t="s">
        <v>11712</v>
      </c>
      <c r="B3952" t="s">
        <v>11713</v>
      </c>
      <c r="C3952" t="s">
        <v>11773</v>
      </c>
      <c r="D3952" t="s">
        <v>11715</v>
      </c>
      <c r="E3952" t="s">
        <v>3661</v>
      </c>
      <c r="F3952" t="s">
        <v>11774</v>
      </c>
    </row>
    <row r="3953" spans="1:12">
      <c r="A3953" t="s">
        <v>11712</v>
      </c>
      <c r="B3953" t="s">
        <v>11713</v>
      </c>
      <c r="C3953" t="s">
        <v>11775</v>
      </c>
      <c r="D3953" t="s">
        <v>11715</v>
      </c>
      <c r="E3953" t="s">
        <v>869</v>
      </c>
      <c r="F3953" t="s">
        <v>11776</v>
      </c>
    </row>
    <row r="3954" spans="1:12">
      <c r="A3954" t="s">
        <v>11712</v>
      </c>
      <c r="B3954" t="s">
        <v>11713</v>
      </c>
      <c r="C3954" t="s">
        <v>11777</v>
      </c>
      <c r="D3954" t="s">
        <v>11715</v>
      </c>
      <c r="E3954" t="s">
        <v>8614</v>
      </c>
      <c r="F3954" t="s">
        <v>11778</v>
      </c>
      <c r="J3954" t="s">
        <v>8614</v>
      </c>
      <c r="K3954" t="s">
        <v>3607</v>
      </c>
      <c r="L3954" t="s">
        <v>851</v>
      </c>
    </row>
    <row r="3955" spans="1:12">
      <c r="A3955" t="s">
        <v>11712</v>
      </c>
      <c r="B3955" t="s">
        <v>11713</v>
      </c>
      <c r="C3955" t="s">
        <v>11779</v>
      </c>
      <c r="D3955" t="s">
        <v>11715</v>
      </c>
      <c r="E3955" t="s">
        <v>11780</v>
      </c>
      <c r="F3955" t="s">
        <v>11781</v>
      </c>
      <c r="J3955" t="s">
        <v>11780</v>
      </c>
      <c r="K3955" t="s">
        <v>3607</v>
      </c>
      <c r="L3955" t="s">
        <v>851</v>
      </c>
    </row>
    <row r="3956" spans="1:12">
      <c r="A3956" t="s">
        <v>11712</v>
      </c>
      <c r="B3956" t="s">
        <v>11713</v>
      </c>
      <c r="C3956" t="s">
        <v>11782</v>
      </c>
      <c r="D3956" t="s">
        <v>11715</v>
      </c>
      <c r="E3956" t="s">
        <v>8306</v>
      </c>
      <c r="F3956" t="s">
        <v>11783</v>
      </c>
      <c r="J3956" t="s">
        <v>8306</v>
      </c>
      <c r="K3956" t="s">
        <v>3607</v>
      </c>
      <c r="L3956" t="s">
        <v>851</v>
      </c>
    </row>
    <row r="3957" spans="1:12">
      <c r="A3957" t="s">
        <v>11712</v>
      </c>
      <c r="B3957" t="s">
        <v>11713</v>
      </c>
      <c r="C3957" t="s">
        <v>11784</v>
      </c>
      <c r="D3957" t="s">
        <v>11715</v>
      </c>
      <c r="E3957" t="s">
        <v>8694</v>
      </c>
      <c r="F3957" t="s">
        <v>11785</v>
      </c>
      <c r="J3957" t="s">
        <v>8694</v>
      </c>
      <c r="K3957" t="s">
        <v>3607</v>
      </c>
      <c r="L3957" t="s">
        <v>851</v>
      </c>
    </row>
    <row r="3958" spans="1:12">
      <c r="A3958" t="s">
        <v>11712</v>
      </c>
      <c r="B3958" t="s">
        <v>11713</v>
      </c>
      <c r="C3958" t="s">
        <v>11786</v>
      </c>
      <c r="D3958" t="s">
        <v>11715</v>
      </c>
      <c r="E3958" t="s">
        <v>11787</v>
      </c>
      <c r="F3958" t="s">
        <v>11788</v>
      </c>
    </row>
    <row r="3959" spans="1:12">
      <c r="A3959" t="s">
        <v>11712</v>
      </c>
      <c r="B3959" t="s">
        <v>11713</v>
      </c>
      <c r="C3959" t="s">
        <v>11789</v>
      </c>
      <c r="D3959" t="s">
        <v>11715</v>
      </c>
      <c r="E3959" t="s">
        <v>11790</v>
      </c>
      <c r="F3959" t="s">
        <v>11791</v>
      </c>
      <c r="J3959" t="s">
        <v>11790</v>
      </c>
      <c r="K3959" t="s">
        <v>3607</v>
      </c>
      <c r="L3959" t="s">
        <v>851</v>
      </c>
    </row>
    <row r="3960" spans="1:12">
      <c r="A3960" t="s">
        <v>11712</v>
      </c>
      <c r="B3960" t="s">
        <v>11713</v>
      </c>
      <c r="C3960" t="s">
        <v>11792</v>
      </c>
      <c r="D3960" t="s">
        <v>11715</v>
      </c>
      <c r="E3960" t="s">
        <v>3669</v>
      </c>
      <c r="F3960" t="s">
        <v>11793</v>
      </c>
    </row>
    <row r="3961" spans="1:12">
      <c r="A3961" t="s">
        <v>11712</v>
      </c>
      <c r="B3961" t="s">
        <v>11713</v>
      </c>
      <c r="C3961" t="s">
        <v>11794</v>
      </c>
      <c r="D3961" t="s">
        <v>11715</v>
      </c>
      <c r="E3961" t="s">
        <v>11795</v>
      </c>
      <c r="F3961" t="s">
        <v>11796</v>
      </c>
      <c r="J3961" t="s">
        <v>11795</v>
      </c>
      <c r="K3961" t="s">
        <v>3607</v>
      </c>
      <c r="L3961" t="s">
        <v>851</v>
      </c>
    </row>
    <row r="3962" spans="1:12">
      <c r="A3962" t="s">
        <v>11712</v>
      </c>
      <c r="B3962" t="s">
        <v>11713</v>
      </c>
      <c r="C3962" t="s">
        <v>11797</v>
      </c>
      <c r="D3962" t="s">
        <v>11715</v>
      </c>
      <c r="E3962" t="s">
        <v>11798</v>
      </c>
      <c r="F3962" t="s">
        <v>11799</v>
      </c>
      <c r="J3962" t="s">
        <v>11798</v>
      </c>
      <c r="K3962" t="s">
        <v>3607</v>
      </c>
      <c r="L3962" t="s">
        <v>851</v>
      </c>
    </row>
    <row r="3963" spans="1:12">
      <c r="A3963" t="s">
        <v>11712</v>
      </c>
      <c r="B3963" t="s">
        <v>11713</v>
      </c>
      <c r="C3963" t="s">
        <v>11800</v>
      </c>
      <c r="D3963" t="s">
        <v>11715</v>
      </c>
      <c r="E3963" t="s">
        <v>11801</v>
      </c>
      <c r="F3963" t="s">
        <v>11802</v>
      </c>
      <c r="J3963" t="s">
        <v>11801</v>
      </c>
      <c r="K3963" t="s">
        <v>3607</v>
      </c>
      <c r="L3963" t="s">
        <v>851</v>
      </c>
    </row>
    <row r="3964" spans="1:12">
      <c r="A3964" t="s">
        <v>11712</v>
      </c>
      <c r="B3964" t="s">
        <v>11713</v>
      </c>
      <c r="C3964" t="s">
        <v>11803</v>
      </c>
      <c r="D3964" t="s">
        <v>11715</v>
      </c>
      <c r="E3964" t="s">
        <v>11804</v>
      </c>
      <c r="F3964" t="s">
        <v>11805</v>
      </c>
      <c r="J3964" t="s">
        <v>11804</v>
      </c>
      <c r="K3964" t="s">
        <v>3607</v>
      </c>
      <c r="L3964" t="s">
        <v>851</v>
      </c>
    </row>
    <row r="3965" spans="1:12">
      <c r="A3965" t="s">
        <v>11712</v>
      </c>
      <c r="B3965" t="s">
        <v>11713</v>
      </c>
      <c r="C3965" t="s">
        <v>11806</v>
      </c>
      <c r="D3965" t="s">
        <v>11715</v>
      </c>
      <c r="E3965" t="s">
        <v>11807</v>
      </c>
      <c r="F3965" t="s">
        <v>11808</v>
      </c>
      <c r="J3965" t="s">
        <v>11807</v>
      </c>
      <c r="K3965" t="s">
        <v>3607</v>
      </c>
      <c r="L3965" t="s">
        <v>851</v>
      </c>
    </row>
    <row r="3966" spans="1:12">
      <c r="A3966" t="s">
        <v>11712</v>
      </c>
      <c r="B3966" t="s">
        <v>11713</v>
      </c>
      <c r="C3966" t="s">
        <v>11809</v>
      </c>
      <c r="D3966" t="s">
        <v>11715</v>
      </c>
      <c r="E3966" t="s">
        <v>11810</v>
      </c>
      <c r="F3966" t="s">
        <v>11811</v>
      </c>
      <c r="J3966" t="s">
        <v>11810</v>
      </c>
      <c r="K3966" t="s">
        <v>3607</v>
      </c>
      <c r="L3966" t="s">
        <v>851</v>
      </c>
    </row>
    <row r="3967" spans="1:12">
      <c r="A3967" t="s">
        <v>11712</v>
      </c>
      <c r="B3967" t="s">
        <v>11713</v>
      </c>
      <c r="C3967" t="s">
        <v>11812</v>
      </c>
      <c r="D3967" t="s">
        <v>11715</v>
      </c>
      <c r="E3967" t="s">
        <v>11813</v>
      </c>
      <c r="F3967" t="s">
        <v>11814</v>
      </c>
      <c r="J3967" t="s">
        <v>11813</v>
      </c>
      <c r="K3967" t="s">
        <v>3607</v>
      </c>
      <c r="L3967" t="s">
        <v>851</v>
      </c>
    </row>
    <row r="3968" spans="1:12">
      <c r="A3968" t="s">
        <v>11712</v>
      </c>
      <c r="B3968" t="s">
        <v>11713</v>
      </c>
      <c r="C3968" t="s">
        <v>11815</v>
      </c>
      <c r="D3968" t="s">
        <v>11715</v>
      </c>
      <c r="E3968" t="s">
        <v>11816</v>
      </c>
      <c r="F3968" t="s">
        <v>11817</v>
      </c>
      <c r="J3968" t="s">
        <v>11816</v>
      </c>
      <c r="K3968" t="s">
        <v>3607</v>
      </c>
      <c r="L3968" t="s">
        <v>851</v>
      </c>
    </row>
    <row r="3969" spans="1:12">
      <c r="A3969" t="s">
        <v>11712</v>
      </c>
      <c r="B3969" t="s">
        <v>11713</v>
      </c>
      <c r="C3969" t="s">
        <v>11818</v>
      </c>
      <c r="D3969" t="s">
        <v>11715</v>
      </c>
      <c r="E3969" t="s">
        <v>11819</v>
      </c>
      <c r="F3969" t="s">
        <v>11820</v>
      </c>
      <c r="J3969" t="s">
        <v>11819</v>
      </c>
      <c r="K3969" t="s">
        <v>3607</v>
      </c>
      <c r="L3969" t="s">
        <v>851</v>
      </c>
    </row>
    <row r="3970" spans="1:12">
      <c r="A3970" t="s">
        <v>11712</v>
      </c>
      <c r="B3970" t="s">
        <v>11713</v>
      </c>
      <c r="C3970" t="s">
        <v>11821</v>
      </c>
      <c r="D3970" t="s">
        <v>11715</v>
      </c>
      <c r="E3970" t="s">
        <v>11822</v>
      </c>
      <c r="F3970" t="s">
        <v>11823</v>
      </c>
      <c r="J3970" t="s">
        <v>11822</v>
      </c>
      <c r="K3970" t="s">
        <v>3607</v>
      </c>
      <c r="L3970" t="s">
        <v>851</v>
      </c>
    </row>
    <row r="3971" spans="1:12">
      <c r="A3971" t="s">
        <v>11712</v>
      </c>
      <c r="B3971" t="s">
        <v>11713</v>
      </c>
      <c r="C3971" t="s">
        <v>11824</v>
      </c>
      <c r="D3971" t="s">
        <v>11715</v>
      </c>
      <c r="E3971" t="s">
        <v>11825</v>
      </c>
      <c r="F3971" t="s">
        <v>11826</v>
      </c>
      <c r="J3971" t="s">
        <v>11825</v>
      </c>
      <c r="K3971" t="s">
        <v>3607</v>
      </c>
      <c r="L3971" t="s">
        <v>851</v>
      </c>
    </row>
    <row r="3972" spans="1:12">
      <c r="A3972" t="s">
        <v>11712</v>
      </c>
      <c r="B3972" t="s">
        <v>11713</v>
      </c>
      <c r="C3972" t="s">
        <v>11827</v>
      </c>
      <c r="D3972" t="s">
        <v>11715</v>
      </c>
      <c r="E3972" t="s">
        <v>11828</v>
      </c>
      <c r="F3972" t="s">
        <v>11829</v>
      </c>
      <c r="J3972" t="s">
        <v>11828</v>
      </c>
      <c r="K3972" t="s">
        <v>3607</v>
      </c>
      <c r="L3972" t="s">
        <v>851</v>
      </c>
    </row>
    <row r="3973" spans="1:12">
      <c r="A3973" t="s">
        <v>11712</v>
      </c>
      <c r="B3973" t="s">
        <v>11713</v>
      </c>
      <c r="C3973" t="s">
        <v>11830</v>
      </c>
      <c r="D3973" t="s">
        <v>11715</v>
      </c>
      <c r="E3973" t="s">
        <v>1105</v>
      </c>
      <c r="F3973" t="s">
        <v>11831</v>
      </c>
    </row>
    <row r="3974" spans="1:12">
      <c r="A3974" t="s">
        <v>11712</v>
      </c>
      <c r="B3974" t="s">
        <v>11713</v>
      </c>
      <c r="C3974" t="s">
        <v>11832</v>
      </c>
      <c r="D3974" t="s">
        <v>11715</v>
      </c>
      <c r="E3974" t="s">
        <v>11833</v>
      </c>
      <c r="F3974" t="s">
        <v>11834</v>
      </c>
      <c r="J3974" t="s">
        <v>11833</v>
      </c>
      <c r="K3974" t="s">
        <v>3607</v>
      </c>
      <c r="L3974" t="s">
        <v>851</v>
      </c>
    </row>
    <row r="3975" spans="1:12">
      <c r="A3975" t="s">
        <v>11712</v>
      </c>
      <c r="B3975" t="s">
        <v>11713</v>
      </c>
      <c r="C3975" t="s">
        <v>11835</v>
      </c>
      <c r="D3975" t="s">
        <v>11715</v>
      </c>
      <c r="E3975" t="s">
        <v>11836</v>
      </c>
      <c r="F3975" t="s">
        <v>11837</v>
      </c>
    </row>
    <row r="3976" spans="1:12">
      <c r="A3976" t="s">
        <v>11712</v>
      </c>
      <c r="B3976" t="s">
        <v>11713</v>
      </c>
      <c r="C3976" t="s">
        <v>11838</v>
      </c>
      <c r="D3976" t="s">
        <v>11715</v>
      </c>
      <c r="E3976" t="s">
        <v>11839</v>
      </c>
      <c r="F3976" t="s">
        <v>11840</v>
      </c>
      <c r="J3976" t="s">
        <v>11839</v>
      </c>
      <c r="K3976" t="s">
        <v>3607</v>
      </c>
      <c r="L3976" t="s">
        <v>851</v>
      </c>
    </row>
    <row r="3977" spans="1:12">
      <c r="A3977" t="s">
        <v>11712</v>
      </c>
      <c r="B3977" t="s">
        <v>11713</v>
      </c>
      <c r="C3977" t="s">
        <v>11841</v>
      </c>
      <c r="D3977" t="s">
        <v>11715</v>
      </c>
      <c r="E3977" t="s">
        <v>11842</v>
      </c>
      <c r="F3977" t="s">
        <v>11843</v>
      </c>
      <c r="J3977" t="s">
        <v>11842</v>
      </c>
      <c r="K3977" t="s">
        <v>3607</v>
      </c>
      <c r="L3977" t="s">
        <v>851</v>
      </c>
    </row>
    <row r="3978" spans="1:12">
      <c r="A3978" t="s">
        <v>11712</v>
      </c>
      <c r="B3978" t="s">
        <v>11713</v>
      </c>
      <c r="C3978" t="s">
        <v>11844</v>
      </c>
      <c r="D3978" t="s">
        <v>11715</v>
      </c>
      <c r="E3978" t="s">
        <v>11845</v>
      </c>
      <c r="F3978" t="s">
        <v>11846</v>
      </c>
      <c r="J3978" t="s">
        <v>11845</v>
      </c>
      <c r="K3978" t="s">
        <v>3607</v>
      </c>
      <c r="L3978" t="s">
        <v>851</v>
      </c>
    </row>
    <row r="3979" spans="1:12">
      <c r="A3979" t="s">
        <v>11712</v>
      </c>
      <c r="B3979" t="s">
        <v>11713</v>
      </c>
      <c r="C3979" t="s">
        <v>11847</v>
      </c>
      <c r="D3979" t="s">
        <v>11715</v>
      </c>
      <c r="E3979" t="s">
        <v>11848</v>
      </c>
      <c r="F3979" t="s">
        <v>11849</v>
      </c>
    </row>
    <row r="3980" spans="1:12">
      <c r="A3980" t="s">
        <v>11712</v>
      </c>
      <c r="B3980" t="s">
        <v>11713</v>
      </c>
      <c r="C3980" t="s">
        <v>11850</v>
      </c>
      <c r="D3980" t="s">
        <v>11715</v>
      </c>
      <c r="E3980" t="s">
        <v>11851</v>
      </c>
      <c r="F3980" t="s">
        <v>11852</v>
      </c>
      <c r="J3980" t="s">
        <v>11851</v>
      </c>
      <c r="K3980" t="s">
        <v>3607</v>
      </c>
      <c r="L3980" t="s">
        <v>851</v>
      </c>
    </row>
    <row r="3981" spans="1:12">
      <c r="A3981" t="s">
        <v>11712</v>
      </c>
      <c r="B3981" t="s">
        <v>11713</v>
      </c>
      <c r="C3981" t="s">
        <v>11853</v>
      </c>
      <c r="D3981" t="s">
        <v>11715</v>
      </c>
      <c r="E3981" t="s">
        <v>11854</v>
      </c>
      <c r="F3981" t="s">
        <v>11855</v>
      </c>
      <c r="J3981" t="s">
        <v>11854</v>
      </c>
      <c r="K3981" t="s">
        <v>3607</v>
      </c>
      <c r="L3981" t="s">
        <v>851</v>
      </c>
    </row>
    <row r="3982" spans="1:12">
      <c r="A3982" t="s">
        <v>11712</v>
      </c>
      <c r="B3982" t="s">
        <v>11713</v>
      </c>
      <c r="C3982" t="s">
        <v>11856</v>
      </c>
      <c r="D3982" t="s">
        <v>11715</v>
      </c>
      <c r="E3982" t="s">
        <v>11857</v>
      </c>
      <c r="F3982" t="s">
        <v>11858</v>
      </c>
      <c r="J3982" t="s">
        <v>11857</v>
      </c>
      <c r="K3982" t="s">
        <v>3607</v>
      </c>
      <c r="L3982" t="s">
        <v>851</v>
      </c>
    </row>
    <row r="3983" spans="1:12">
      <c r="A3983" t="s">
        <v>11712</v>
      </c>
      <c r="B3983" t="s">
        <v>11713</v>
      </c>
      <c r="C3983" t="s">
        <v>11859</v>
      </c>
      <c r="D3983" t="s">
        <v>11715</v>
      </c>
      <c r="E3983" t="s">
        <v>8782</v>
      </c>
      <c r="F3983" t="s">
        <v>11860</v>
      </c>
    </row>
    <row r="3984" spans="1:12">
      <c r="A3984" t="s">
        <v>11712</v>
      </c>
      <c r="B3984" t="s">
        <v>11713</v>
      </c>
      <c r="C3984" t="s">
        <v>11861</v>
      </c>
      <c r="D3984" t="s">
        <v>11715</v>
      </c>
      <c r="E3984" t="s">
        <v>11862</v>
      </c>
      <c r="F3984" t="s">
        <v>11863</v>
      </c>
      <c r="J3984" t="s">
        <v>11862</v>
      </c>
      <c r="K3984" t="s">
        <v>3607</v>
      </c>
      <c r="L3984" t="s">
        <v>851</v>
      </c>
    </row>
    <row r="3985" spans="1:12">
      <c r="A3985" t="s">
        <v>11712</v>
      </c>
      <c r="B3985" t="s">
        <v>11713</v>
      </c>
      <c r="C3985" t="s">
        <v>11864</v>
      </c>
      <c r="D3985" t="s">
        <v>11715</v>
      </c>
      <c r="E3985" t="s">
        <v>839</v>
      </c>
      <c r="F3985" t="s">
        <v>11865</v>
      </c>
    </row>
    <row r="3986" spans="1:12">
      <c r="A3986" t="s">
        <v>11712</v>
      </c>
      <c r="B3986" t="s">
        <v>11713</v>
      </c>
      <c r="C3986" t="s">
        <v>11866</v>
      </c>
      <c r="D3986" t="s">
        <v>11715</v>
      </c>
      <c r="E3986" t="s">
        <v>11867</v>
      </c>
      <c r="F3986" t="s">
        <v>11868</v>
      </c>
      <c r="J3986" t="s">
        <v>11867</v>
      </c>
      <c r="K3986" t="s">
        <v>3607</v>
      </c>
      <c r="L3986" t="s">
        <v>851</v>
      </c>
    </row>
    <row r="3987" spans="1:12">
      <c r="A3987" t="s">
        <v>11712</v>
      </c>
      <c r="B3987" t="s">
        <v>11713</v>
      </c>
      <c r="C3987" t="s">
        <v>11869</v>
      </c>
      <c r="D3987" t="s">
        <v>11715</v>
      </c>
      <c r="E3987" t="s">
        <v>11870</v>
      </c>
      <c r="F3987" t="s">
        <v>11871</v>
      </c>
      <c r="J3987" t="s">
        <v>11870</v>
      </c>
      <c r="K3987" t="s">
        <v>3607</v>
      </c>
      <c r="L3987" t="s">
        <v>851</v>
      </c>
    </row>
    <row r="3988" spans="1:12">
      <c r="A3988" t="s">
        <v>11712</v>
      </c>
      <c r="B3988" t="s">
        <v>11713</v>
      </c>
      <c r="C3988" t="s">
        <v>11872</v>
      </c>
      <c r="D3988" t="s">
        <v>11715</v>
      </c>
      <c r="E3988" t="s">
        <v>11873</v>
      </c>
      <c r="F3988" t="s">
        <v>11874</v>
      </c>
      <c r="J3988" t="s">
        <v>11873</v>
      </c>
      <c r="K3988" t="s">
        <v>3607</v>
      </c>
      <c r="L3988" t="s">
        <v>851</v>
      </c>
    </row>
    <row r="3989" spans="1:12">
      <c r="A3989" t="s">
        <v>11712</v>
      </c>
      <c r="B3989" t="s">
        <v>11713</v>
      </c>
      <c r="C3989" t="s">
        <v>11875</v>
      </c>
      <c r="D3989" t="s">
        <v>11715</v>
      </c>
      <c r="E3989" t="s">
        <v>11876</v>
      </c>
      <c r="F3989" t="s">
        <v>11877</v>
      </c>
      <c r="J3989" t="s">
        <v>11876</v>
      </c>
      <c r="K3989" t="s">
        <v>3607</v>
      </c>
      <c r="L3989" t="s">
        <v>851</v>
      </c>
    </row>
    <row r="3990" spans="1:12">
      <c r="A3990" t="s">
        <v>11712</v>
      </c>
      <c r="B3990" t="s">
        <v>11713</v>
      </c>
      <c r="C3990" t="s">
        <v>11878</v>
      </c>
      <c r="D3990" t="s">
        <v>11715</v>
      </c>
      <c r="E3990" t="s">
        <v>11879</v>
      </c>
      <c r="F3990" t="s">
        <v>11880</v>
      </c>
      <c r="J3990" t="s">
        <v>11879</v>
      </c>
      <c r="K3990" t="s">
        <v>3607</v>
      </c>
      <c r="L3990" t="s">
        <v>851</v>
      </c>
    </row>
    <row r="3991" spans="1:12">
      <c r="A3991" t="s">
        <v>11712</v>
      </c>
      <c r="B3991" t="s">
        <v>11713</v>
      </c>
      <c r="C3991" t="s">
        <v>11881</v>
      </c>
      <c r="D3991" t="s">
        <v>11715</v>
      </c>
      <c r="E3991" t="s">
        <v>11882</v>
      </c>
      <c r="F3991" t="s">
        <v>11883</v>
      </c>
      <c r="J3991" t="s">
        <v>11882</v>
      </c>
      <c r="K3991" t="s">
        <v>3607</v>
      </c>
      <c r="L3991" t="s">
        <v>851</v>
      </c>
    </row>
    <row r="3992" spans="1:12">
      <c r="A3992" t="s">
        <v>11712</v>
      </c>
      <c r="B3992" t="s">
        <v>11713</v>
      </c>
      <c r="C3992" t="s">
        <v>11884</v>
      </c>
      <c r="D3992" t="s">
        <v>11715</v>
      </c>
      <c r="E3992" t="s">
        <v>11885</v>
      </c>
      <c r="F3992" t="s">
        <v>11886</v>
      </c>
    </row>
    <row r="3993" spans="1:12">
      <c r="A3993" t="s">
        <v>11712</v>
      </c>
      <c r="B3993" t="s">
        <v>11713</v>
      </c>
      <c r="C3993" t="s">
        <v>11887</v>
      </c>
      <c r="D3993" t="s">
        <v>11715</v>
      </c>
      <c r="E3993" t="s">
        <v>11888</v>
      </c>
      <c r="F3993" t="s">
        <v>11889</v>
      </c>
      <c r="J3993" t="s">
        <v>11888</v>
      </c>
      <c r="K3993" t="s">
        <v>3607</v>
      </c>
      <c r="L3993" t="s">
        <v>851</v>
      </c>
    </row>
    <row r="3994" spans="1:12">
      <c r="A3994" t="s">
        <v>11712</v>
      </c>
      <c r="B3994" t="s">
        <v>11713</v>
      </c>
      <c r="C3994" t="s">
        <v>11890</v>
      </c>
      <c r="D3994" t="s">
        <v>11715</v>
      </c>
      <c r="E3994" t="s">
        <v>1992</v>
      </c>
      <c r="F3994" t="s">
        <v>11891</v>
      </c>
    </row>
    <row r="3995" spans="1:12">
      <c r="A3995" t="s">
        <v>11712</v>
      </c>
      <c r="B3995" t="s">
        <v>11713</v>
      </c>
      <c r="C3995" t="s">
        <v>11892</v>
      </c>
      <c r="D3995" t="s">
        <v>11715</v>
      </c>
      <c r="E3995" t="s">
        <v>11893</v>
      </c>
      <c r="F3995" t="s">
        <v>11894</v>
      </c>
      <c r="J3995" t="s">
        <v>11893</v>
      </c>
      <c r="K3995" t="s">
        <v>3607</v>
      </c>
      <c r="L3995" t="s">
        <v>851</v>
      </c>
    </row>
    <row r="3996" spans="1:12">
      <c r="A3996" t="s">
        <v>11712</v>
      </c>
      <c r="B3996" t="s">
        <v>11713</v>
      </c>
      <c r="C3996" t="s">
        <v>11895</v>
      </c>
      <c r="D3996" t="s">
        <v>11715</v>
      </c>
      <c r="E3996" t="s">
        <v>11896</v>
      </c>
      <c r="F3996" t="s">
        <v>11897</v>
      </c>
      <c r="J3996" t="s">
        <v>11896</v>
      </c>
      <c r="K3996" t="s">
        <v>3607</v>
      </c>
      <c r="L3996" t="s">
        <v>851</v>
      </c>
    </row>
    <row r="3997" spans="1:12">
      <c r="A3997" t="s">
        <v>11712</v>
      </c>
      <c r="B3997" t="s">
        <v>11713</v>
      </c>
      <c r="C3997" t="s">
        <v>11898</v>
      </c>
      <c r="D3997" t="s">
        <v>11715</v>
      </c>
      <c r="E3997" t="s">
        <v>11899</v>
      </c>
      <c r="F3997" t="s">
        <v>8966</v>
      </c>
      <c r="J3997" t="s">
        <v>11899</v>
      </c>
      <c r="K3997" t="s">
        <v>3607</v>
      </c>
      <c r="L3997" t="s">
        <v>851</v>
      </c>
    </row>
    <row r="3998" spans="1:12">
      <c r="A3998" t="s">
        <v>11712</v>
      </c>
      <c r="B3998" t="s">
        <v>11713</v>
      </c>
      <c r="C3998" t="s">
        <v>11900</v>
      </c>
      <c r="D3998" t="s">
        <v>11715</v>
      </c>
      <c r="E3998" t="s">
        <v>11901</v>
      </c>
      <c r="F3998" t="s">
        <v>11902</v>
      </c>
      <c r="J3998" t="s">
        <v>11901</v>
      </c>
      <c r="K3998" t="s">
        <v>3607</v>
      </c>
      <c r="L3998" t="s">
        <v>851</v>
      </c>
    </row>
    <row r="3999" spans="1:12">
      <c r="A3999" t="s">
        <v>11712</v>
      </c>
      <c r="B3999" t="s">
        <v>11713</v>
      </c>
      <c r="C3999" t="s">
        <v>11903</v>
      </c>
      <c r="D3999" t="s">
        <v>11715</v>
      </c>
      <c r="E3999" t="s">
        <v>11904</v>
      </c>
      <c r="F3999" t="s">
        <v>11905</v>
      </c>
      <c r="J3999" t="s">
        <v>11904</v>
      </c>
      <c r="K3999" t="s">
        <v>3607</v>
      </c>
      <c r="L3999" t="s">
        <v>851</v>
      </c>
    </row>
    <row r="4000" spans="1:12">
      <c r="A4000" t="s">
        <v>11712</v>
      </c>
      <c r="B4000" t="s">
        <v>11713</v>
      </c>
      <c r="C4000" t="s">
        <v>11906</v>
      </c>
      <c r="D4000" t="s">
        <v>11715</v>
      </c>
      <c r="E4000" t="s">
        <v>11907</v>
      </c>
      <c r="F4000" t="s">
        <v>11908</v>
      </c>
    </row>
    <row r="4001" spans="1:12">
      <c r="A4001" t="s">
        <v>11712</v>
      </c>
      <c r="B4001" t="s">
        <v>11713</v>
      </c>
      <c r="C4001" t="s">
        <v>11909</v>
      </c>
      <c r="D4001" t="s">
        <v>11715</v>
      </c>
      <c r="E4001" t="s">
        <v>11910</v>
      </c>
      <c r="F4001" t="s">
        <v>11911</v>
      </c>
    </row>
    <row r="4002" spans="1:12">
      <c r="A4002" t="s">
        <v>11712</v>
      </c>
      <c r="B4002" t="s">
        <v>11713</v>
      </c>
      <c r="C4002" t="s">
        <v>11912</v>
      </c>
      <c r="D4002" t="s">
        <v>11715</v>
      </c>
      <c r="E4002" t="s">
        <v>11913</v>
      </c>
      <c r="F4002" t="s">
        <v>11914</v>
      </c>
    </row>
    <row r="4003" spans="1:12">
      <c r="A4003" t="s">
        <v>11712</v>
      </c>
      <c r="B4003" t="s">
        <v>11713</v>
      </c>
      <c r="C4003" t="s">
        <v>11915</v>
      </c>
      <c r="D4003" t="s">
        <v>11715</v>
      </c>
      <c r="E4003" t="s">
        <v>11916</v>
      </c>
      <c r="F4003" t="s">
        <v>11917</v>
      </c>
      <c r="J4003" t="s">
        <v>11916</v>
      </c>
      <c r="K4003" t="s">
        <v>3607</v>
      </c>
      <c r="L4003" t="s">
        <v>851</v>
      </c>
    </row>
    <row r="4004" spans="1:12">
      <c r="A4004" t="s">
        <v>11712</v>
      </c>
      <c r="B4004" t="s">
        <v>11713</v>
      </c>
      <c r="C4004" t="s">
        <v>11918</v>
      </c>
      <c r="D4004" t="s">
        <v>11715</v>
      </c>
      <c r="E4004" t="s">
        <v>11919</v>
      </c>
      <c r="F4004" t="s">
        <v>11920</v>
      </c>
      <c r="J4004" t="s">
        <v>11919</v>
      </c>
      <c r="K4004" t="s">
        <v>3607</v>
      </c>
      <c r="L4004" t="s">
        <v>851</v>
      </c>
    </row>
    <row r="4005" spans="1:12">
      <c r="A4005" t="s">
        <v>11712</v>
      </c>
      <c r="B4005" t="s">
        <v>11713</v>
      </c>
      <c r="C4005" t="s">
        <v>11921</v>
      </c>
      <c r="D4005" t="s">
        <v>11715</v>
      </c>
      <c r="E4005" t="s">
        <v>11922</v>
      </c>
      <c r="F4005" t="s">
        <v>11923</v>
      </c>
    </row>
    <row r="4006" spans="1:12">
      <c r="A4006" t="s">
        <v>11712</v>
      </c>
      <c r="B4006" t="s">
        <v>11713</v>
      </c>
      <c r="C4006" t="s">
        <v>11924</v>
      </c>
      <c r="D4006" t="s">
        <v>11715</v>
      </c>
      <c r="E4006" t="s">
        <v>9366</v>
      </c>
      <c r="F4006" t="s">
        <v>11925</v>
      </c>
      <c r="J4006" t="s">
        <v>9366</v>
      </c>
      <c r="K4006" t="s">
        <v>3607</v>
      </c>
      <c r="L4006" t="s">
        <v>851</v>
      </c>
    </row>
    <row r="4007" spans="1:12">
      <c r="A4007" t="s">
        <v>11712</v>
      </c>
      <c r="B4007" t="s">
        <v>11713</v>
      </c>
      <c r="C4007" t="s">
        <v>11926</v>
      </c>
      <c r="D4007" t="s">
        <v>11715</v>
      </c>
      <c r="E4007" t="s">
        <v>11927</v>
      </c>
      <c r="F4007" t="s">
        <v>11928</v>
      </c>
      <c r="J4007" t="s">
        <v>11927</v>
      </c>
      <c r="K4007" t="s">
        <v>3607</v>
      </c>
      <c r="L4007" t="s">
        <v>851</v>
      </c>
    </row>
    <row r="4008" spans="1:12">
      <c r="A4008" t="s">
        <v>11712</v>
      </c>
      <c r="B4008" t="s">
        <v>11713</v>
      </c>
      <c r="C4008" t="s">
        <v>11929</v>
      </c>
      <c r="D4008" t="s">
        <v>11715</v>
      </c>
      <c r="E4008" t="s">
        <v>11930</v>
      </c>
      <c r="F4008" t="s">
        <v>11931</v>
      </c>
      <c r="J4008" t="s">
        <v>11930</v>
      </c>
      <c r="K4008" t="s">
        <v>3607</v>
      </c>
      <c r="L4008" t="s">
        <v>851</v>
      </c>
    </row>
    <row r="4009" spans="1:12">
      <c r="A4009" t="s">
        <v>11712</v>
      </c>
      <c r="B4009" t="s">
        <v>11713</v>
      </c>
      <c r="C4009" t="s">
        <v>11932</v>
      </c>
      <c r="D4009" t="s">
        <v>11715</v>
      </c>
      <c r="E4009" t="s">
        <v>11933</v>
      </c>
      <c r="F4009" t="s">
        <v>11934</v>
      </c>
      <c r="J4009" t="s">
        <v>11933</v>
      </c>
      <c r="K4009" t="s">
        <v>3607</v>
      </c>
      <c r="L4009" t="s">
        <v>851</v>
      </c>
    </row>
    <row r="4010" spans="1:12">
      <c r="A4010" t="s">
        <v>11712</v>
      </c>
      <c r="B4010" t="s">
        <v>11713</v>
      </c>
      <c r="C4010" t="s">
        <v>11935</v>
      </c>
      <c r="D4010" t="s">
        <v>11715</v>
      </c>
      <c r="E4010" t="s">
        <v>9379</v>
      </c>
      <c r="F4010" t="s">
        <v>11936</v>
      </c>
      <c r="J4010" t="s">
        <v>9379</v>
      </c>
      <c r="K4010" t="s">
        <v>3607</v>
      </c>
      <c r="L4010" t="s">
        <v>851</v>
      </c>
    </row>
    <row r="4011" spans="1:12">
      <c r="A4011" t="s">
        <v>11712</v>
      </c>
      <c r="B4011" t="s">
        <v>11713</v>
      </c>
      <c r="C4011" t="s">
        <v>11937</v>
      </c>
      <c r="D4011" t="s">
        <v>11715</v>
      </c>
      <c r="E4011" t="s">
        <v>9404</v>
      </c>
      <c r="F4011" t="s">
        <v>11938</v>
      </c>
      <c r="J4011" t="s">
        <v>9404</v>
      </c>
      <c r="K4011" t="s">
        <v>3607</v>
      </c>
      <c r="L4011" t="s">
        <v>851</v>
      </c>
    </row>
    <row r="4012" spans="1:12">
      <c r="A4012" t="s">
        <v>11712</v>
      </c>
      <c r="B4012" t="s">
        <v>11713</v>
      </c>
      <c r="C4012" t="s">
        <v>11939</v>
      </c>
      <c r="D4012" t="s">
        <v>11715</v>
      </c>
      <c r="E4012" t="s">
        <v>11940</v>
      </c>
      <c r="F4012" t="s">
        <v>11941</v>
      </c>
      <c r="J4012" t="s">
        <v>11940</v>
      </c>
      <c r="K4012" t="s">
        <v>3607</v>
      </c>
      <c r="L4012" t="s">
        <v>851</v>
      </c>
    </row>
    <row r="4013" spans="1:12">
      <c r="A4013" t="s">
        <v>11712</v>
      </c>
      <c r="B4013" t="s">
        <v>11713</v>
      </c>
      <c r="C4013" t="s">
        <v>11942</v>
      </c>
      <c r="D4013" t="s">
        <v>11715</v>
      </c>
      <c r="E4013" t="s">
        <v>11943</v>
      </c>
      <c r="F4013" t="s">
        <v>11944</v>
      </c>
      <c r="J4013" t="s">
        <v>11943</v>
      </c>
      <c r="K4013" t="s">
        <v>3607</v>
      </c>
      <c r="L4013" t="s">
        <v>851</v>
      </c>
    </row>
    <row r="4014" spans="1:12">
      <c r="A4014" t="s">
        <v>11712</v>
      </c>
      <c r="B4014" t="s">
        <v>11713</v>
      </c>
      <c r="C4014" t="s">
        <v>11945</v>
      </c>
      <c r="D4014" t="s">
        <v>11715</v>
      </c>
      <c r="E4014" t="s">
        <v>11946</v>
      </c>
      <c r="F4014" t="s">
        <v>11947</v>
      </c>
    </row>
    <row r="4015" spans="1:12">
      <c r="A4015" t="s">
        <v>11712</v>
      </c>
      <c r="B4015" t="s">
        <v>11713</v>
      </c>
      <c r="C4015" t="s">
        <v>11948</v>
      </c>
      <c r="D4015" t="s">
        <v>11715</v>
      </c>
      <c r="E4015" t="s">
        <v>11949</v>
      </c>
      <c r="F4015" t="s">
        <v>11950</v>
      </c>
      <c r="J4015" t="s">
        <v>11949</v>
      </c>
      <c r="K4015" t="s">
        <v>3607</v>
      </c>
      <c r="L4015" t="s">
        <v>851</v>
      </c>
    </row>
    <row r="4016" spans="1:12">
      <c r="A4016" t="s">
        <v>11712</v>
      </c>
      <c r="B4016" t="s">
        <v>11713</v>
      </c>
      <c r="C4016" t="s">
        <v>11951</v>
      </c>
      <c r="D4016" t="s">
        <v>11715</v>
      </c>
      <c r="E4016" t="s">
        <v>11952</v>
      </c>
      <c r="F4016" t="s">
        <v>11953</v>
      </c>
      <c r="J4016" t="s">
        <v>11952</v>
      </c>
      <c r="K4016" t="s">
        <v>3607</v>
      </c>
      <c r="L4016" t="s">
        <v>851</v>
      </c>
    </row>
    <row r="4017" spans="1:12">
      <c r="A4017" t="s">
        <v>11712</v>
      </c>
      <c r="B4017" t="s">
        <v>11713</v>
      </c>
      <c r="C4017" t="s">
        <v>11954</v>
      </c>
      <c r="D4017" t="s">
        <v>11715</v>
      </c>
      <c r="E4017" t="s">
        <v>11955</v>
      </c>
      <c r="F4017" t="s">
        <v>11956</v>
      </c>
      <c r="J4017" t="s">
        <v>11955</v>
      </c>
      <c r="K4017" t="s">
        <v>3607</v>
      </c>
      <c r="L4017" t="s">
        <v>851</v>
      </c>
    </row>
    <row r="4018" spans="1:12">
      <c r="A4018" t="s">
        <v>11712</v>
      </c>
      <c r="B4018" t="s">
        <v>11713</v>
      </c>
      <c r="C4018" t="s">
        <v>11957</v>
      </c>
      <c r="D4018" t="s">
        <v>11715</v>
      </c>
      <c r="E4018" t="s">
        <v>11958</v>
      </c>
      <c r="F4018" t="s">
        <v>11959</v>
      </c>
      <c r="J4018" t="s">
        <v>11958</v>
      </c>
      <c r="K4018" t="s">
        <v>3607</v>
      </c>
      <c r="L4018" t="s">
        <v>851</v>
      </c>
    </row>
    <row r="4019" spans="1:12">
      <c r="A4019" t="s">
        <v>11712</v>
      </c>
      <c r="B4019" t="s">
        <v>11713</v>
      </c>
      <c r="C4019" t="s">
        <v>11960</v>
      </c>
      <c r="D4019" t="s">
        <v>11715</v>
      </c>
      <c r="E4019" t="s">
        <v>11961</v>
      </c>
      <c r="F4019" t="s">
        <v>11962</v>
      </c>
      <c r="J4019" t="s">
        <v>11961</v>
      </c>
      <c r="K4019" t="s">
        <v>3607</v>
      </c>
      <c r="L4019" t="s">
        <v>851</v>
      </c>
    </row>
    <row r="4020" spans="1:12">
      <c r="A4020" t="s">
        <v>11712</v>
      </c>
      <c r="B4020" t="s">
        <v>11713</v>
      </c>
      <c r="C4020" t="s">
        <v>11963</v>
      </c>
      <c r="D4020" t="s">
        <v>11715</v>
      </c>
      <c r="E4020" t="s">
        <v>11964</v>
      </c>
      <c r="F4020" t="s">
        <v>11965</v>
      </c>
    </row>
    <row r="4021" spans="1:12">
      <c r="A4021" t="s">
        <v>11712</v>
      </c>
      <c r="B4021" t="s">
        <v>11713</v>
      </c>
      <c r="C4021" t="s">
        <v>11966</v>
      </c>
      <c r="D4021" t="s">
        <v>11715</v>
      </c>
      <c r="E4021" t="s">
        <v>11967</v>
      </c>
      <c r="F4021" t="s">
        <v>11968</v>
      </c>
      <c r="J4021" t="s">
        <v>11967</v>
      </c>
      <c r="K4021" t="s">
        <v>3607</v>
      </c>
      <c r="L4021" t="s">
        <v>851</v>
      </c>
    </row>
    <row r="4022" spans="1:12">
      <c r="A4022" t="s">
        <v>11712</v>
      </c>
      <c r="B4022" t="s">
        <v>11713</v>
      </c>
      <c r="C4022" t="s">
        <v>11969</v>
      </c>
      <c r="D4022" t="s">
        <v>11715</v>
      </c>
      <c r="E4022" t="s">
        <v>11970</v>
      </c>
      <c r="F4022" t="s">
        <v>11971</v>
      </c>
    </row>
    <row r="4023" spans="1:12">
      <c r="A4023" t="s">
        <v>11712</v>
      </c>
      <c r="B4023" t="s">
        <v>11713</v>
      </c>
      <c r="C4023" t="s">
        <v>11972</v>
      </c>
      <c r="D4023" t="s">
        <v>11715</v>
      </c>
      <c r="E4023" t="s">
        <v>11973</v>
      </c>
      <c r="F4023" t="s">
        <v>11974</v>
      </c>
      <c r="J4023" t="s">
        <v>11973</v>
      </c>
      <c r="K4023" t="s">
        <v>3607</v>
      </c>
      <c r="L4023" t="s">
        <v>851</v>
      </c>
    </row>
    <row r="4024" spans="1:12">
      <c r="A4024" t="s">
        <v>11712</v>
      </c>
      <c r="B4024" t="s">
        <v>11713</v>
      </c>
      <c r="C4024" t="s">
        <v>11975</v>
      </c>
      <c r="D4024" t="s">
        <v>11715</v>
      </c>
      <c r="E4024" t="s">
        <v>11976</v>
      </c>
      <c r="F4024" t="s">
        <v>11977</v>
      </c>
      <c r="J4024" t="s">
        <v>11976</v>
      </c>
      <c r="K4024" t="s">
        <v>3607</v>
      </c>
      <c r="L4024" t="s">
        <v>851</v>
      </c>
    </row>
    <row r="4025" spans="1:12">
      <c r="A4025" t="s">
        <v>11712</v>
      </c>
      <c r="B4025" t="s">
        <v>11713</v>
      </c>
      <c r="C4025" t="s">
        <v>11978</v>
      </c>
      <c r="D4025" t="s">
        <v>11715</v>
      </c>
      <c r="E4025" t="s">
        <v>4163</v>
      </c>
      <c r="F4025" t="s">
        <v>11979</v>
      </c>
    </row>
    <row r="4026" spans="1:12">
      <c r="A4026" t="s">
        <v>11712</v>
      </c>
      <c r="B4026" t="s">
        <v>11713</v>
      </c>
      <c r="C4026" t="s">
        <v>11980</v>
      </c>
      <c r="D4026" t="s">
        <v>11715</v>
      </c>
      <c r="E4026" t="s">
        <v>2436</v>
      </c>
      <c r="F4026" t="s">
        <v>11981</v>
      </c>
    </row>
    <row r="4027" spans="1:12">
      <c r="A4027" t="s">
        <v>11712</v>
      </c>
      <c r="B4027" t="s">
        <v>11713</v>
      </c>
      <c r="C4027" t="s">
        <v>11982</v>
      </c>
      <c r="D4027" t="s">
        <v>11715</v>
      </c>
      <c r="E4027" t="s">
        <v>9487</v>
      </c>
      <c r="F4027" t="s">
        <v>11983</v>
      </c>
      <c r="J4027" t="s">
        <v>9487</v>
      </c>
      <c r="K4027" t="s">
        <v>3607</v>
      </c>
      <c r="L4027" t="s">
        <v>851</v>
      </c>
    </row>
    <row r="4028" spans="1:12">
      <c r="A4028" t="s">
        <v>11712</v>
      </c>
      <c r="B4028" t="s">
        <v>11713</v>
      </c>
      <c r="C4028" t="s">
        <v>11984</v>
      </c>
      <c r="D4028" t="s">
        <v>11715</v>
      </c>
      <c r="E4028" t="s">
        <v>11985</v>
      </c>
      <c r="F4028" t="s">
        <v>11986</v>
      </c>
      <c r="J4028" t="s">
        <v>11985</v>
      </c>
      <c r="K4028" t="s">
        <v>3607</v>
      </c>
      <c r="L4028" t="s">
        <v>851</v>
      </c>
    </row>
    <row r="4029" spans="1:12">
      <c r="A4029" t="s">
        <v>11712</v>
      </c>
      <c r="B4029" t="s">
        <v>11713</v>
      </c>
      <c r="C4029" t="s">
        <v>11987</v>
      </c>
      <c r="D4029" t="s">
        <v>11715</v>
      </c>
      <c r="E4029" t="s">
        <v>3305</v>
      </c>
      <c r="F4029" t="s">
        <v>11988</v>
      </c>
    </row>
    <row r="4030" spans="1:12">
      <c r="A4030" t="s">
        <v>11712</v>
      </c>
      <c r="B4030" t="s">
        <v>11713</v>
      </c>
      <c r="C4030" t="s">
        <v>11989</v>
      </c>
      <c r="D4030" t="s">
        <v>11715</v>
      </c>
      <c r="E4030" t="s">
        <v>11990</v>
      </c>
      <c r="F4030" t="s">
        <v>11991</v>
      </c>
      <c r="J4030" t="s">
        <v>11990</v>
      </c>
      <c r="K4030" t="s">
        <v>3607</v>
      </c>
      <c r="L4030" t="s">
        <v>851</v>
      </c>
    </row>
    <row r="4031" spans="1:12">
      <c r="A4031" t="s">
        <v>11712</v>
      </c>
      <c r="B4031" t="s">
        <v>11713</v>
      </c>
      <c r="C4031" t="s">
        <v>11992</v>
      </c>
      <c r="D4031" t="s">
        <v>11715</v>
      </c>
      <c r="E4031" t="s">
        <v>2535</v>
      </c>
      <c r="F4031" t="s">
        <v>11993</v>
      </c>
      <c r="J4031" t="s">
        <v>2535</v>
      </c>
      <c r="K4031" t="s">
        <v>3607</v>
      </c>
      <c r="L4031" t="s">
        <v>851</v>
      </c>
    </row>
    <row r="4032" spans="1:12">
      <c r="A4032" t="s">
        <v>11712</v>
      </c>
      <c r="B4032" t="s">
        <v>11713</v>
      </c>
      <c r="C4032" t="s">
        <v>11994</v>
      </c>
      <c r="D4032" t="s">
        <v>11715</v>
      </c>
      <c r="E4032" t="s">
        <v>11995</v>
      </c>
      <c r="F4032" t="s">
        <v>11996</v>
      </c>
    </row>
    <row r="4033" spans="1:12">
      <c r="A4033" t="s">
        <v>11712</v>
      </c>
      <c r="B4033" t="s">
        <v>11713</v>
      </c>
      <c r="C4033" t="s">
        <v>11997</v>
      </c>
      <c r="D4033" t="s">
        <v>11715</v>
      </c>
      <c r="E4033" t="s">
        <v>11998</v>
      </c>
      <c r="F4033" t="s">
        <v>11999</v>
      </c>
      <c r="J4033" t="s">
        <v>11998</v>
      </c>
      <c r="K4033" t="s">
        <v>3607</v>
      </c>
      <c r="L4033" t="s">
        <v>851</v>
      </c>
    </row>
    <row r="4034" spans="1:12">
      <c r="A4034" t="s">
        <v>11712</v>
      </c>
      <c r="B4034" t="s">
        <v>11713</v>
      </c>
      <c r="C4034" t="s">
        <v>12000</v>
      </c>
      <c r="D4034" t="s">
        <v>11715</v>
      </c>
      <c r="E4034" t="s">
        <v>12001</v>
      </c>
      <c r="F4034" t="s">
        <v>12002</v>
      </c>
      <c r="J4034" t="s">
        <v>12001</v>
      </c>
      <c r="K4034" t="s">
        <v>3607</v>
      </c>
      <c r="L4034" t="s">
        <v>851</v>
      </c>
    </row>
    <row r="4035" spans="1:12">
      <c r="A4035" t="s">
        <v>11712</v>
      </c>
      <c r="B4035" t="s">
        <v>11713</v>
      </c>
      <c r="C4035" t="s">
        <v>12003</v>
      </c>
      <c r="D4035" t="s">
        <v>11715</v>
      </c>
      <c r="E4035" t="s">
        <v>12004</v>
      </c>
      <c r="F4035" t="s">
        <v>12005</v>
      </c>
      <c r="J4035" t="s">
        <v>12004</v>
      </c>
      <c r="K4035" t="s">
        <v>3607</v>
      </c>
      <c r="L4035" t="s">
        <v>851</v>
      </c>
    </row>
    <row r="4036" spans="1:12">
      <c r="A4036" t="s">
        <v>11712</v>
      </c>
      <c r="B4036" t="s">
        <v>11713</v>
      </c>
      <c r="C4036" t="s">
        <v>12006</v>
      </c>
      <c r="D4036" t="s">
        <v>11715</v>
      </c>
      <c r="E4036" t="s">
        <v>12007</v>
      </c>
      <c r="F4036" t="s">
        <v>12008</v>
      </c>
      <c r="J4036" t="s">
        <v>12007</v>
      </c>
      <c r="K4036" t="s">
        <v>3607</v>
      </c>
      <c r="L4036" t="s">
        <v>851</v>
      </c>
    </row>
    <row r="4037" spans="1:12">
      <c r="A4037" t="s">
        <v>11712</v>
      </c>
      <c r="B4037" t="s">
        <v>11713</v>
      </c>
      <c r="C4037" t="s">
        <v>12009</v>
      </c>
      <c r="D4037" t="s">
        <v>11715</v>
      </c>
      <c r="E4037" t="s">
        <v>12010</v>
      </c>
      <c r="F4037" t="s">
        <v>12011</v>
      </c>
      <c r="J4037" t="s">
        <v>12010</v>
      </c>
      <c r="K4037" t="s">
        <v>3607</v>
      </c>
      <c r="L4037" t="s">
        <v>851</v>
      </c>
    </row>
    <row r="4038" spans="1:12">
      <c r="A4038" t="s">
        <v>11712</v>
      </c>
      <c r="B4038" t="s">
        <v>11713</v>
      </c>
      <c r="C4038" t="s">
        <v>12012</v>
      </c>
      <c r="D4038" t="s">
        <v>11715</v>
      </c>
      <c r="E4038" t="s">
        <v>12013</v>
      </c>
      <c r="F4038" t="s">
        <v>12014</v>
      </c>
      <c r="J4038" t="s">
        <v>12013</v>
      </c>
      <c r="K4038" t="s">
        <v>3607</v>
      </c>
      <c r="L4038" t="s">
        <v>851</v>
      </c>
    </row>
    <row r="4039" spans="1:12">
      <c r="A4039" t="s">
        <v>11712</v>
      </c>
      <c r="B4039" t="s">
        <v>11713</v>
      </c>
      <c r="C4039" t="s">
        <v>12015</v>
      </c>
      <c r="D4039" t="s">
        <v>11715</v>
      </c>
      <c r="E4039" t="s">
        <v>12016</v>
      </c>
      <c r="F4039" t="s">
        <v>12017</v>
      </c>
    </row>
    <row r="4040" spans="1:12">
      <c r="A4040" t="s">
        <v>11712</v>
      </c>
      <c r="B4040" t="s">
        <v>11713</v>
      </c>
      <c r="C4040" t="s">
        <v>12018</v>
      </c>
      <c r="D4040" t="s">
        <v>11715</v>
      </c>
      <c r="E4040" t="s">
        <v>12019</v>
      </c>
      <c r="F4040" t="s">
        <v>12020</v>
      </c>
    </row>
    <row r="4041" spans="1:12">
      <c r="A4041" t="s">
        <v>11712</v>
      </c>
      <c r="B4041" t="s">
        <v>11713</v>
      </c>
      <c r="C4041" t="s">
        <v>12021</v>
      </c>
      <c r="D4041" t="s">
        <v>11715</v>
      </c>
      <c r="E4041" t="s">
        <v>12022</v>
      </c>
      <c r="F4041" t="s">
        <v>12023</v>
      </c>
    </row>
    <row r="4042" spans="1:12">
      <c r="A4042" t="s">
        <v>11712</v>
      </c>
      <c r="B4042" t="s">
        <v>11713</v>
      </c>
      <c r="C4042" t="s">
        <v>12024</v>
      </c>
      <c r="D4042" t="s">
        <v>11715</v>
      </c>
      <c r="E4042" t="s">
        <v>12025</v>
      </c>
      <c r="F4042" t="s">
        <v>12026</v>
      </c>
      <c r="J4042" t="s">
        <v>12025</v>
      </c>
      <c r="K4042" t="s">
        <v>3607</v>
      </c>
      <c r="L4042" t="s">
        <v>851</v>
      </c>
    </row>
    <row r="4043" spans="1:12">
      <c r="A4043" t="s">
        <v>11712</v>
      </c>
      <c r="B4043" t="s">
        <v>11713</v>
      </c>
      <c r="C4043" t="s">
        <v>12027</v>
      </c>
      <c r="D4043" t="s">
        <v>11715</v>
      </c>
      <c r="E4043" t="s">
        <v>12028</v>
      </c>
      <c r="F4043" t="s">
        <v>12029</v>
      </c>
      <c r="J4043" t="s">
        <v>12028</v>
      </c>
      <c r="K4043" t="s">
        <v>3607</v>
      </c>
      <c r="L4043" t="s">
        <v>851</v>
      </c>
    </row>
    <row r="4044" spans="1:12">
      <c r="A4044" t="s">
        <v>11712</v>
      </c>
      <c r="B4044" t="s">
        <v>11713</v>
      </c>
      <c r="C4044" t="s">
        <v>12030</v>
      </c>
      <c r="D4044" t="s">
        <v>11715</v>
      </c>
      <c r="E4044" t="s">
        <v>12031</v>
      </c>
      <c r="F4044" t="s">
        <v>12032</v>
      </c>
      <c r="J4044" t="s">
        <v>12031</v>
      </c>
      <c r="K4044" t="s">
        <v>3607</v>
      </c>
      <c r="L4044" t="s">
        <v>851</v>
      </c>
    </row>
    <row r="4045" spans="1:12">
      <c r="A4045" t="s">
        <v>11712</v>
      </c>
      <c r="B4045" t="s">
        <v>11713</v>
      </c>
      <c r="C4045" t="s">
        <v>12033</v>
      </c>
      <c r="D4045" t="s">
        <v>11715</v>
      </c>
      <c r="E4045" t="s">
        <v>12034</v>
      </c>
      <c r="F4045" t="s">
        <v>12035</v>
      </c>
      <c r="J4045" t="s">
        <v>12034</v>
      </c>
      <c r="K4045" t="s">
        <v>3607</v>
      </c>
      <c r="L4045" t="s">
        <v>851</v>
      </c>
    </row>
    <row r="4046" spans="1:12">
      <c r="A4046" t="s">
        <v>11712</v>
      </c>
      <c r="B4046" t="s">
        <v>11713</v>
      </c>
      <c r="C4046" t="s">
        <v>12036</v>
      </c>
      <c r="D4046" t="s">
        <v>11715</v>
      </c>
      <c r="E4046" t="s">
        <v>12037</v>
      </c>
      <c r="F4046" t="s">
        <v>12038</v>
      </c>
    </row>
    <row r="4047" spans="1:12">
      <c r="A4047" t="s">
        <v>11712</v>
      </c>
      <c r="B4047" t="s">
        <v>11713</v>
      </c>
      <c r="C4047" t="s">
        <v>12039</v>
      </c>
      <c r="D4047" t="s">
        <v>11715</v>
      </c>
      <c r="E4047" t="s">
        <v>9712</v>
      </c>
      <c r="F4047" t="s">
        <v>12040</v>
      </c>
    </row>
    <row r="4048" spans="1:12">
      <c r="A4048" t="s">
        <v>11712</v>
      </c>
      <c r="B4048" t="s">
        <v>11713</v>
      </c>
      <c r="C4048" t="s">
        <v>12041</v>
      </c>
      <c r="D4048" t="s">
        <v>11715</v>
      </c>
      <c r="E4048" t="s">
        <v>5168</v>
      </c>
      <c r="F4048" t="s">
        <v>12042</v>
      </c>
      <c r="J4048" t="s">
        <v>5168</v>
      </c>
      <c r="K4048" t="s">
        <v>3607</v>
      </c>
      <c r="L4048" t="s">
        <v>851</v>
      </c>
    </row>
    <row r="4049" spans="1:12">
      <c r="A4049" t="s">
        <v>11712</v>
      </c>
      <c r="B4049" t="s">
        <v>11713</v>
      </c>
      <c r="C4049" t="s">
        <v>12043</v>
      </c>
      <c r="D4049" t="s">
        <v>11715</v>
      </c>
      <c r="E4049" t="s">
        <v>12044</v>
      </c>
      <c r="F4049" t="s">
        <v>12045</v>
      </c>
    </row>
    <row r="4050" spans="1:12">
      <c r="A4050" t="s">
        <v>11712</v>
      </c>
      <c r="B4050" t="s">
        <v>11713</v>
      </c>
      <c r="C4050" t="s">
        <v>12046</v>
      </c>
      <c r="D4050" t="s">
        <v>11715</v>
      </c>
      <c r="E4050" t="s">
        <v>12047</v>
      </c>
      <c r="F4050" t="s">
        <v>12048</v>
      </c>
      <c r="J4050" t="s">
        <v>12047</v>
      </c>
      <c r="K4050" t="s">
        <v>3607</v>
      </c>
      <c r="L4050" t="s">
        <v>851</v>
      </c>
    </row>
    <row r="4051" spans="1:12">
      <c r="A4051" t="s">
        <v>11712</v>
      </c>
      <c r="B4051" t="s">
        <v>11713</v>
      </c>
      <c r="C4051" t="s">
        <v>12049</v>
      </c>
      <c r="D4051" t="s">
        <v>11715</v>
      </c>
      <c r="E4051" t="s">
        <v>12050</v>
      </c>
      <c r="F4051" t="s">
        <v>12051</v>
      </c>
      <c r="J4051" t="s">
        <v>12050</v>
      </c>
      <c r="K4051" t="s">
        <v>3607</v>
      </c>
      <c r="L4051" t="s">
        <v>851</v>
      </c>
    </row>
    <row r="4052" spans="1:12">
      <c r="A4052" t="s">
        <v>11712</v>
      </c>
      <c r="B4052" t="s">
        <v>11713</v>
      </c>
      <c r="C4052" t="s">
        <v>12052</v>
      </c>
      <c r="D4052" t="s">
        <v>11715</v>
      </c>
      <c r="E4052" t="s">
        <v>12053</v>
      </c>
      <c r="F4052" t="s">
        <v>12054</v>
      </c>
      <c r="J4052" t="s">
        <v>12053</v>
      </c>
      <c r="K4052" t="s">
        <v>3607</v>
      </c>
      <c r="L4052" t="s">
        <v>851</v>
      </c>
    </row>
    <row r="4053" spans="1:12">
      <c r="A4053" t="s">
        <v>11712</v>
      </c>
      <c r="B4053" t="s">
        <v>11713</v>
      </c>
      <c r="C4053" t="s">
        <v>12055</v>
      </c>
      <c r="D4053" t="s">
        <v>11715</v>
      </c>
      <c r="E4053" t="s">
        <v>12056</v>
      </c>
      <c r="F4053" t="s">
        <v>12057</v>
      </c>
      <c r="J4053" t="s">
        <v>12056</v>
      </c>
      <c r="K4053" t="s">
        <v>3607</v>
      </c>
      <c r="L4053" t="s">
        <v>851</v>
      </c>
    </row>
    <row r="4054" spans="1:12">
      <c r="A4054" t="s">
        <v>11712</v>
      </c>
      <c r="B4054" t="s">
        <v>11713</v>
      </c>
      <c r="C4054" t="s">
        <v>12058</v>
      </c>
      <c r="D4054" t="s">
        <v>11715</v>
      </c>
      <c r="E4054" t="s">
        <v>12059</v>
      </c>
      <c r="F4054" t="s">
        <v>12060</v>
      </c>
    </row>
    <row r="4055" spans="1:12">
      <c r="A4055" t="s">
        <v>11712</v>
      </c>
      <c r="B4055" t="s">
        <v>11713</v>
      </c>
      <c r="C4055" t="s">
        <v>12061</v>
      </c>
      <c r="D4055" t="s">
        <v>11715</v>
      </c>
      <c r="E4055" t="s">
        <v>12062</v>
      </c>
      <c r="F4055" t="s">
        <v>12063</v>
      </c>
      <c r="J4055" t="s">
        <v>12062</v>
      </c>
      <c r="K4055" t="s">
        <v>3607</v>
      </c>
      <c r="L4055" t="s">
        <v>851</v>
      </c>
    </row>
    <row r="4056" spans="1:12">
      <c r="A4056" t="s">
        <v>11712</v>
      </c>
      <c r="B4056" t="s">
        <v>11713</v>
      </c>
      <c r="C4056" t="s">
        <v>12064</v>
      </c>
      <c r="D4056" t="s">
        <v>11715</v>
      </c>
      <c r="E4056" t="s">
        <v>12065</v>
      </c>
      <c r="F4056" t="s">
        <v>12066</v>
      </c>
    </row>
    <row r="4057" spans="1:12">
      <c r="A4057" t="s">
        <v>11712</v>
      </c>
      <c r="B4057" t="s">
        <v>11713</v>
      </c>
      <c r="C4057" t="s">
        <v>12067</v>
      </c>
      <c r="D4057" t="s">
        <v>11715</v>
      </c>
      <c r="E4057" t="s">
        <v>12068</v>
      </c>
      <c r="F4057" t="s">
        <v>12069</v>
      </c>
      <c r="J4057" t="s">
        <v>12068</v>
      </c>
      <c r="K4057" t="s">
        <v>3607</v>
      </c>
      <c r="L4057" t="s">
        <v>851</v>
      </c>
    </row>
    <row r="4058" spans="1:12">
      <c r="A4058" t="s">
        <v>11712</v>
      </c>
      <c r="B4058" t="s">
        <v>11713</v>
      </c>
      <c r="C4058" t="s">
        <v>12070</v>
      </c>
      <c r="D4058" t="s">
        <v>11715</v>
      </c>
      <c r="E4058" t="s">
        <v>10699</v>
      </c>
      <c r="F4058" t="s">
        <v>12071</v>
      </c>
    </row>
    <row r="4059" spans="1:12">
      <c r="A4059" t="s">
        <v>11712</v>
      </c>
      <c r="B4059" t="s">
        <v>11713</v>
      </c>
      <c r="C4059" t="s">
        <v>12072</v>
      </c>
      <c r="D4059" t="s">
        <v>11715</v>
      </c>
      <c r="E4059" t="s">
        <v>12073</v>
      </c>
      <c r="F4059" t="s">
        <v>12074</v>
      </c>
      <c r="J4059" t="s">
        <v>12073</v>
      </c>
      <c r="K4059" t="s">
        <v>3607</v>
      </c>
      <c r="L4059" t="s">
        <v>851</v>
      </c>
    </row>
    <row r="4060" spans="1:12">
      <c r="A4060" t="s">
        <v>11712</v>
      </c>
      <c r="B4060" t="s">
        <v>11713</v>
      </c>
      <c r="C4060" t="s">
        <v>12075</v>
      </c>
      <c r="D4060" t="s">
        <v>11715</v>
      </c>
      <c r="E4060" t="s">
        <v>9809</v>
      </c>
      <c r="F4060" t="s">
        <v>12076</v>
      </c>
      <c r="J4060" t="s">
        <v>9809</v>
      </c>
      <c r="K4060" t="s">
        <v>3607</v>
      </c>
      <c r="L4060" t="s">
        <v>851</v>
      </c>
    </row>
    <row r="4061" spans="1:12">
      <c r="A4061" t="s">
        <v>11712</v>
      </c>
      <c r="B4061" t="s">
        <v>11713</v>
      </c>
      <c r="C4061" t="s">
        <v>12077</v>
      </c>
      <c r="D4061" t="s">
        <v>11715</v>
      </c>
      <c r="E4061" t="s">
        <v>12078</v>
      </c>
      <c r="F4061" t="s">
        <v>12079</v>
      </c>
      <c r="J4061" t="s">
        <v>12078</v>
      </c>
      <c r="K4061" t="s">
        <v>3607</v>
      </c>
      <c r="L4061" t="s">
        <v>851</v>
      </c>
    </row>
    <row r="4062" spans="1:12">
      <c r="A4062" t="s">
        <v>11712</v>
      </c>
      <c r="B4062" t="s">
        <v>11713</v>
      </c>
      <c r="C4062" t="s">
        <v>12080</v>
      </c>
      <c r="D4062" t="s">
        <v>11715</v>
      </c>
      <c r="E4062" t="s">
        <v>12081</v>
      </c>
      <c r="F4062" t="s">
        <v>12082</v>
      </c>
      <c r="J4062" t="s">
        <v>12081</v>
      </c>
      <c r="K4062" t="s">
        <v>3607</v>
      </c>
      <c r="L4062" t="s">
        <v>851</v>
      </c>
    </row>
    <row r="4063" spans="1:12">
      <c r="A4063" t="s">
        <v>11712</v>
      </c>
      <c r="B4063" t="s">
        <v>11713</v>
      </c>
      <c r="C4063" t="s">
        <v>12083</v>
      </c>
      <c r="D4063" t="s">
        <v>11715</v>
      </c>
      <c r="E4063" t="s">
        <v>1296</v>
      </c>
      <c r="F4063" t="s">
        <v>12084</v>
      </c>
    </row>
    <row r="4064" spans="1:12">
      <c r="A4064" t="s">
        <v>11712</v>
      </c>
      <c r="B4064" t="s">
        <v>11713</v>
      </c>
      <c r="C4064" t="s">
        <v>12085</v>
      </c>
      <c r="D4064" t="s">
        <v>11715</v>
      </c>
      <c r="E4064" t="s">
        <v>12086</v>
      </c>
      <c r="F4064" t="s">
        <v>12087</v>
      </c>
      <c r="J4064" t="s">
        <v>12086</v>
      </c>
      <c r="K4064" t="s">
        <v>3607</v>
      </c>
      <c r="L4064" t="s">
        <v>851</v>
      </c>
    </row>
    <row r="4065" spans="1:12">
      <c r="A4065" t="s">
        <v>11712</v>
      </c>
      <c r="B4065" t="s">
        <v>11713</v>
      </c>
      <c r="C4065" t="s">
        <v>12088</v>
      </c>
      <c r="D4065" t="s">
        <v>11715</v>
      </c>
      <c r="E4065" t="s">
        <v>12089</v>
      </c>
      <c r="F4065" t="s">
        <v>12090</v>
      </c>
      <c r="J4065" t="s">
        <v>12089</v>
      </c>
      <c r="K4065" t="s">
        <v>3607</v>
      </c>
      <c r="L4065" t="s">
        <v>851</v>
      </c>
    </row>
    <row r="4066" spans="1:12">
      <c r="A4066" t="s">
        <v>11712</v>
      </c>
      <c r="B4066" t="s">
        <v>11713</v>
      </c>
      <c r="C4066" t="s">
        <v>12091</v>
      </c>
      <c r="D4066" t="s">
        <v>11715</v>
      </c>
      <c r="E4066" t="s">
        <v>12092</v>
      </c>
      <c r="F4066" t="s">
        <v>12093</v>
      </c>
      <c r="J4066" t="s">
        <v>12092</v>
      </c>
      <c r="K4066" t="s">
        <v>3607</v>
      </c>
      <c r="L4066" t="s">
        <v>851</v>
      </c>
    </row>
    <row r="4067" spans="1:12">
      <c r="A4067" t="s">
        <v>11712</v>
      </c>
      <c r="B4067" t="s">
        <v>11713</v>
      </c>
      <c r="C4067" t="s">
        <v>12094</v>
      </c>
      <c r="D4067" t="s">
        <v>11715</v>
      </c>
      <c r="E4067" t="s">
        <v>12095</v>
      </c>
      <c r="F4067" t="s">
        <v>12096</v>
      </c>
      <c r="J4067" t="s">
        <v>12095</v>
      </c>
      <c r="K4067" t="s">
        <v>3607</v>
      </c>
      <c r="L4067" t="s">
        <v>851</v>
      </c>
    </row>
    <row r="4068" spans="1:12">
      <c r="A4068" t="s">
        <v>11712</v>
      </c>
      <c r="B4068" t="s">
        <v>11713</v>
      </c>
      <c r="C4068" t="s">
        <v>12097</v>
      </c>
      <c r="D4068" t="s">
        <v>11715</v>
      </c>
      <c r="E4068" t="s">
        <v>12098</v>
      </c>
      <c r="F4068" t="s">
        <v>12099</v>
      </c>
    </row>
    <row r="4069" spans="1:12">
      <c r="A4069" t="s">
        <v>11712</v>
      </c>
      <c r="B4069" t="s">
        <v>11713</v>
      </c>
      <c r="C4069" t="s">
        <v>12100</v>
      </c>
      <c r="D4069" t="s">
        <v>11715</v>
      </c>
      <c r="E4069" t="s">
        <v>4734</v>
      </c>
      <c r="F4069" t="s">
        <v>12101</v>
      </c>
    </row>
    <row r="4070" spans="1:12">
      <c r="A4070" t="s">
        <v>11712</v>
      </c>
      <c r="B4070" t="s">
        <v>11713</v>
      </c>
      <c r="C4070" t="s">
        <v>12102</v>
      </c>
      <c r="D4070" t="s">
        <v>11715</v>
      </c>
      <c r="E4070" t="s">
        <v>11067</v>
      </c>
      <c r="F4070" t="s">
        <v>12103</v>
      </c>
      <c r="J4070" t="s">
        <v>11067</v>
      </c>
      <c r="K4070" t="s">
        <v>3607</v>
      </c>
      <c r="L4070" t="s">
        <v>851</v>
      </c>
    </row>
    <row r="4071" spans="1:12">
      <c r="A4071" t="s">
        <v>11712</v>
      </c>
      <c r="B4071" t="s">
        <v>11713</v>
      </c>
      <c r="C4071" t="s">
        <v>12104</v>
      </c>
      <c r="D4071" t="s">
        <v>11715</v>
      </c>
      <c r="E4071" t="s">
        <v>12105</v>
      </c>
      <c r="F4071" t="s">
        <v>12106</v>
      </c>
      <c r="J4071" t="s">
        <v>12105</v>
      </c>
      <c r="K4071" t="s">
        <v>3607</v>
      </c>
      <c r="L4071" t="s">
        <v>851</v>
      </c>
    </row>
    <row r="4072" spans="1:12">
      <c r="A4072" t="s">
        <v>11712</v>
      </c>
      <c r="B4072" t="s">
        <v>11713</v>
      </c>
      <c r="C4072" t="s">
        <v>12107</v>
      </c>
      <c r="D4072" t="s">
        <v>11715</v>
      </c>
      <c r="E4072" t="s">
        <v>12108</v>
      </c>
      <c r="F4072" t="s">
        <v>12109</v>
      </c>
      <c r="J4072" t="s">
        <v>12108</v>
      </c>
      <c r="K4072" t="s">
        <v>3607</v>
      </c>
      <c r="L4072" t="s">
        <v>851</v>
      </c>
    </row>
    <row r="4073" spans="1:12">
      <c r="A4073" t="s">
        <v>11712</v>
      </c>
      <c r="B4073" t="s">
        <v>11713</v>
      </c>
      <c r="C4073" t="s">
        <v>12110</v>
      </c>
      <c r="D4073" t="s">
        <v>11715</v>
      </c>
      <c r="E4073" t="s">
        <v>12111</v>
      </c>
      <c r="F4073" t="s">
        <v>12112</v>
      </c>
      <c r="J4073" t="s">
        <v>12111</v>
      </c>
      <c r="K4073" t="s">
        <v>3607</v>
      </c>
      <c r="L4073" t="s">
        <v>851</v>
      </c>
    </row>
    <row r="4074" spans="1:12">
      <c r="A4074" t="s">
        <v>11712</v>
      </c>
      <c r="B4074" t="s">
        <v>11713</v>
      </c>
      <c r="C4074" t="s">
        <v>12113</v>
      </c>
      <c r="D4074" t="s">
        <v>11715</v>
      </c>
      <c r="E4074" t="s">
        <v>12114</v>
      </c>
      <c r="F4074" t="s">
        <v>12115</v>
      </c>
      <c r="J4074" t="s">
        <v>12114</v>
      </c>
      <c r="K4074" t="s">
        <v>3607</v>
      </c>
      <c r="L4074" t="s">
        <v>851</v>
      </c>
    </row>
    <row r="4075" spans="1:12">
      <c r="A4075" t="s">
        <v>11712</v>
      </c>
      <c r="B4075" t="s">
        <v>11713</v>
      </c>
      <c r="C4075" t="s">
        <v>12116</v>
      </c>
      <c r="D4075" t="s">
        <v>11715</v>
      </c>
      <c r="E4075" t="s">
        <v>12117</v>
      </c>
      <c r="F4075" t="s">
        <v>12118</v>
      </c>
    </row>
    <row r="4076" spans="1:12">
      <c r="A4076" t="s">
        <v>11712</v>
      </c>
      <c r="B4076" t="s">
        <v>11713</v>
      </c>
      <c r="C4076" t="s">
        <v>12119</v>
      </c>
      <c r="D4076" t="s">
        <v>11715</v>
      </c>
      <c r="E4076" t="s">
        <v>12120</v>
      </c>
      <c r="F4076" t="s">
        <v>12121</v>
      </c>
      <c r="J4076" t="s">
        <v>12120</v>
      </c>
      <c r="K4076" t="s">
        <v>3607</v>
      </c>
      <c r="L4076" t="s">
        <v>851</v>
      </c>
    </row>
    <row r="4077" spans="1:12">
      <c r="A4077" t="s">
        <v>11712</v>
      </c>
      <c r="B4077" t="s">
        <v>11713</v>
      </c>
      <c r="C4077" t="s">
        <v>12122</v>
      </c>
      <c r="D4077" t="s">
        <v>11715</v>
      </c>
      <c r="E4077" t="s">
        <v>12123</v>
      </c>
      <c r="F4077" t="s">
        <v>12124</v>
      </c>
      <c r="J4077" t="s">
        <v>12123</v>
      </c>
      <c r="K4077" t="s">
        <v>3607</v>
      </c>
      <c r="L4077" t="s">
        <v>851</v>
      </c>
    </row>
    <row r="4078" spans="1:12">
      <c r="A4078" t="s">
        <v>11712</v>
      </c>
      <c r="B4078" t="s">
        <v>11713</v>
      </c>
      <c r="C4078" t="s">
        <v>12125</v>
      </c>
      <c r="D4078" t="s">
        <v>11715</v>
      </c>
      <c r="E4078" t="s">
        <v>12126</v>
      </c>
      <c r="F4078" t="s">
        <v>12127</v>
      </c>
    </row>
    <row r="4079" spans="1:12">
      <c r="A4079" t="s">
        <v>11712</v>
      </c>
      <c r="B4079" t="s">
        <v>11713</v>
      </c>
      <c r="C4079" t="s">
        <v>12128</v>
      </c>
      <c r="D4079" t="s">
        <v>11715</v>
      </c>
      <c r="E4079" t="s">
        <v>12129</v>
      </c>
      <c r="F4079" t="s">
        <v>12130</v>
      </c>
    </row>
    <row r="4080" spans="1:12">
      <c r="A4080" t="s">
        <v>11712</v>
      </c>
      <c r="B4080" t="s">
        <v>11713</v>
      </c>
      <c r="C4080" t="s">
        <v>12131</v>
      </c>
      <c r="D4080" t="s">
        <v>11715</v>
      </c>
      <c r="E4080" t="s">
        <v>10037</v>
      </c>
      <c r="F4080" t="s">
        <v>12132</v>
      </c>
    </row>
    <row r="4081" spans="1:12">
      <c r="A4081" t="s">
        <v>11712</v>
      </c>
      <c r="B4081" t="s">
        <v>11713</v>
      </c>
      <c r="C4081" t="s">
        <v>12133</v>
      </c>
      <c r="D4081" t="s">
        <v>11715</v>
      </c>
      <c r="E4081" t="s">
        <v>12134</v>
      </c>
      <c r="F4081" t="s">
        <v>12135</v>
      </c>
      <c r="J4081" t="s">
        <v>12134</v>
      </c>
      <c r="K4081" t="s">
        <v>3607</v>
      </c>
      <c r="L4081" t="s">
        <v>851</v>
      </c>
    </row>
    <row r="4082" spans="1:12">
      <c r="A4082" t="s">
        <v>11712</v>
      </c>
      <c r="B4082" t="s">
        <v>11713</v>
      </c>
      <c r="C4082" t="s">
        <v>12136</v>
      </c>
      <c r="D4082" t="s">
        <v>11715</v>
      </c>
      <c r="E4082" t="s">
        <v>12137</v>
      </c>
      <c r="F4082" t="s">
        <v>12138</v>
      </c>
      <c r="J4082" t="s">
        <v>12137</v>
      </c>
      <c r="K4082" t="s">
        <v>3607</v>
      </c>
      <c r="L4082" t="s">
        <v>851</v>
      </c>
    </row>
    <row r="4083" spans="1:12">
      <c r="A4083" t="s">
        <v>11712</v>
      </c>
      <c r="B4083" t="s">
        <v>11713</v>
      </c>
      <c r="C4083" t="s">
        <v>12139</v>
      </c>
      <c r="D4083" t="s">
        <v>11715</v>
      </c>
      <c r="E4083" t="s">
        <v>12140</v>
      </c>
      <c r="F4083" t="s">
        <v>12141</v>
      </c>
      <c r="J4083" t="s">
        <v>12140</v>
      </c>
      <c r="K4083" t="s">
        <v>3607</v>
      </c>
      <c r="L4083" t="s">
        <v>851</v>
      </c>
    </row>
    <row r="4084" spans="1:12">
      <c r="A4084" t="s">
        <v>11712</v>
      </c>
      <c r="B4084" t="s">
        <v>11713</v>
      </c>
      <c r="C4084" t="s">
        <v>12142</v>
      </c>
      <c r="D4084" t="s">
        <v>11715</v>
      </c>
      <c r="E4084" t="s">
        <v>12143</v>
      </c>
      <c r="F4084" t="s">
        <v>12144</v>
      </c>
      <c r="J4084" t="s">
        <v>12143</v>
      </c>
      <c r="K4084" t="s">
        <v>3607</v>
      </c>
      <c r="L4084" t="s">
        <v>851</v>
      </c>
    </row>
    <row r="4085" spans="1:12">
      <c r="A4085" t="s">
        <v>11712</v>
      </c>
      <c r="B4085" t="s">
        <v>11713</v>
      </c>
      <c r="C4085" t="s">
        <v>12145</v>
      </c>
      <c r="D4085" t="s">
        <v>11715</v>
      </c>
      <c r="E4085" t="s">
        <v>3548</v>
      </c>
      <c r="F4085" t="s">
        <v>12146</v>
      </c>
      <c r="J4085" t="s">
        <v>3548</v>
      </c>
      <c r="K4085" t="s">
        <v>3607</v>
      </c>
      <c r="L4085" t="s">
        <v>851</v>
      </c>
    </row>
    <row r="4086" spans="1:12">
      <c r="A4086" t="s">
        <v>11712</v>
      </c>
      <c r="B4086" t="s">
        <v>11713</v>
      </c>
      <c r="C4086" t="s">
        <v>12147</v>
      </c>
      <c r="D4086" t="s">
        <v>11715</v>
      </c>
      <c r="E4086" t="s">
        <v>12148</v>
      </c>
      <c r="F4086" t="s">
        <v>12149</v>
      </c>
      <c r="J4086" t="s">
        <v>12148</v>
      </c>
      <c r="K4086" t="s">
        <v>3607</v>
      </c>
      <c r="L4086" t="s">
        <v>851</v>
      </c>
    </row>
    <row r="4087" spans="1:12">
      <c r="A4087" t="s">
        <v>11712</v>
      </c>
      <c r="B4087" t="s">
        <v>11713</v>
      </c>
      <c r="C4087" t="s">
        <v>12150</v>
      </c>
      <c r="D4087" t="s">
        <v>11715</v>
      </c>
      <c r="E4087" t="s">
        <v>11113</v>
      </c>
      <c r="F4087" t="s">
        <v>12151</v>
      </c>
    </row>
    <row r="4088" spans="1:12">
      <c r="A4088" t="s">
        <v>11712</v>
      </c>
      <c r="B4088" t="s">
        <v>11713</v>
      </c>
      <c r="C4088" t="s">
        <v>12152</v>
      </c>
      <c r="D4088" t="s">
        <v>11715</v>
      </c>
      <c r="E4088" t="s">
        <v>12153</v>
      </c>
      <c r="F4088" t="s">
        <v>12154</v>
      </c>
      <c r="J4088" t="s">
        <v>12153</v>
      </c>
      <c r="K4088" t="s">
        <v>3607</v>
      </c>
      <c r="L4088" t="s">
        <v>851</v>
      </c>
    </row>
    <row r="4089" spans="1:12">
      <c r="A4089" t="s">
        <v>11712</v>
      </c>
      <c r="B4089" t="s">
        <v>11713</v>
      </c>
      <c r="C4089" t="s">
        <v>12155</v>
      </c>
      <c r="D4089" t="s">
        <v>11715</v>
      </c>
      <c r="E4089" t="s">
        <v>12156</v>
      </c>
      <c r="F4089" t="s">
        <v>12157</v>
      </c>
      <c r="J4089" t="s">
        <v>12156</v>
      </c>
      <c r="K4089" t="s">
        <v>3607</v>
      </c>
      <c r="L4089" t="s">
        <v>851</v>
      </c>
    </row>
    <row r="4090" spans="1:12">
      <c r="A4090" t="s">
        <v>11712</v>
      </c>
      <c r="B4090" t="s">
        <v>11713</v>
      </c>
      <c r="C4090" t="s">
        <v>12158</v>
      </c>
      <c r="D4090" t="s">
        <v>11715</v>
      </c>
      <c r="E4090" t="s">
        <v>12159</v>
      </c>
      <c r="F4090" t="s">
        <v>12160</v>
      </c>
      <c r="J4090" t="s">
        <v>12159</v>
      </c>
      <c r="K4090" t="s">
        <v>3607</v>
      </c>
      <c r="L4090" t="s">
        <v>851</v>
      </c>
    </row>
    <row r="4091" spans="1:12">
      <c r="A4091" t="s">
        <v>11712</v>
      </c>
      <c r="B4091" t="s">
        <v>11713</v>
      </c>
      <c r="C4091" t="s">
        <v>12161</v>
      </c>
      <c r="D4091" t="s">
        <v>11715</v>
      </c>
      <c r="E4091" t="s">
        <v>12162</v>
      </c>
      <c r="F4091" t="s">
        <v>12163</v>
      </c>
      <c r="J4091" t="s">
        <v>12162</v>
      </c>
      <c r="K4091" t="s">
        <v>3607</v>
      </c>
      <c r="L4091" t="s">
        <v>851</v>
      </c>
    </row>
    <row r="4092" spans="1:12">
      <c r="A4092" t="s">
        <v>11712</v>
      </c>
      <c r="B4092" t="s">
        <v>11713</v>
      </c>
      <c r="C4092" t="s">
        <v>12164</v>
      </c>
      <c r="D4092" t="s">
        <v>11715</v>
      </c>
      <c r="E4092" t="s">
        <v>655</v>
      </c>
      <c r="F4092" t="s">
        <v>656</v>
      </c>
    </row>
    <row r="4093" spans="1:12">
      <c r="A4093" t="s">
        <v>11712</v>
      </c>
      <c r="B4093" t="s">
        <v>11713</v>
      </c>
      <c r="D4093" t="s">
        <v>11715</v>
      </c>
      <c r="F4093" t="s">
        <v>12165</v>
      </c>
      <c r="J4093" t="s">
        <v>3503</v>
      </c>
      <c r="K4093" t="s">
        <v>3607</v>
      </c>
      <c r="L4093" t="s">
        <v>851</v>
      </c>
    </row>
    <row r="4094" spans="1:12">
      <c r="A4094" t="s">
        <v>12166</v>
      </c>
      <c r="B4094" t="s">
        <v>12167</v>
      </c>
      <c r="C4094" t="s">
        <v>12168</v>
      </c>
      <c r="D4094" t="s">
        <v>12169</v>
      </c>
      <c r="E4094" t="s">
        <v>12170</v>
      </c>
      <c r="F4094" t="s">
        <v>12171</v>
      </c>
      <c r="J4094" t="s">
        <v>12170</v>
      </c>
      <c r="K4094" t="s">
        <v>12166</v>
      </c>
      <c r="L4094" t="s">
        <v>916</v>
      </c>
    </row>
    <row r="4095" spans="1:12">
      <c r="A4095" t="s">
        <v>12166</v>
      </c>
      <c r="B4095" t="s">
        <v>12167</v>
      </c>
      <c r="C4095" t="s">
        <v>12172</v>
      </c>
      <c r="D4095" t="s">
        <v>12169</v>
      </c>
      <c r="E4095" t="s">
        <v>12173</v>
      </c>
      <c r="F4095" t="s">
        <v>12174</v>
      </c>
      <c r="J4095" t="s">
        <v>12173</v>
      </c>
      <c r="K4095" t="s">
        <v>12166</v>
      </c>
      <c r="L4095" t="s">
        <v>916</v>
      </c>
    </row>
    <row r="4096" spans="1:12">
      <c r="A4096" t="s">
        <v>12166</v>
      </c>
      <c r="B4096" t="s">
        <v>12167</v>
      </c>
      <c r="C4096" t="s">
        <v>12175</v>
      </c>
      <c r="D4096" t="s">
        <v>12169</v>
      </c>
      <c r="E4096" t="s">
        <v>12176</v>
      </c>
      <c r="F4096" t="s">
        <v>12177</v>
      </c>
      <c r="J4096" t="s">
        <v>12176</v>
      </c>
      <c r="K4096" t="s">
        <v>12166</v>
      </c>
      <c r="L4096" t="s">
        <v>916</v>
      </c>
    </row>
    <row r="4097" spans="1:12">
      <c r="A4097" t="s">
        <v>12166</v>
      </c>
      <c r="B4097" t="s">
        <v>12167</v>
      </c>
      <c r="C4097" t="s">
        <v>12178</v>
      </c>
      <c r="D4097" t="s">
        <v>12169</v>
      </c>
      <c r="E4097" t="s">
        <v>12179</v>
      </c>
      <c r="F4097" t="s">
        <v>12180</v>
      </c>
    </row>
    <row r="4098" spans="1:12">
      <c r="A4098" t="s">
        <v>12166</v>
      </c>
      <c r="B4098" t="s">
        <v>12167</v>
      </c>
      <c r="C4098" t="s">
        <v>12181</v>
      </c>
      <c r="D4098" t="s">
        <v>12169</v>
      </c>
      <c r="E4098" t="s">
        <v>12182</v>
      </c>
      <c r="F4098" t="s">
        <v>12183</v>
      </c>
      <c r="J4098" t="s">
        <v>12182</v>
      </c>
      <c r="K4098" t="s">
        <v>12166</v>
      </c>
      <c r="L4098" t="s">
        <v>916</v>
      </c>
    </row>
    <row r="4099" spans="1:12">
      <c r="A4099" t="s">
        <v>12166</v>
      </c>
      <c r="B4099" t="s">
        <v>12167</v>
      </c>
      <c r="C4099" t="s">
        <v>12184</v>
      </c>
      <c r="D4099" t="s">
        <v>12169</v>
      </c>
      <c r="E4099" t="s">
        <v>12185</v>
      </c>
      <c r="F4099" t="s">
        <v>12186</v>
      </c>
      <c r="J4099" t="s">
        <v>12185</v>
      </c>
      <c r="K4099" t="s">
        <v>12166</v>
      </c>
      <c r="L4099" t="s">
        <v>916</v>
      </c>
    </row>
    <row r="4100" spans="1:12">
      <c r="A4100" t="s">
        <v>12166</v>
      </c>
      <c r="B4100" t="s">
        <v>12167</v>
      </c>
      <c r="C4100" t="s">
        <v>12187</v>
      </c>
      <c r="D4100" t="s">
        <v>12169</v>
      </c>
      <c r="E4100" t="s">
        <v>12188</v>
      </c>
      <c r="F4100" t="s">
        <v>12189</v>
      </c>
      <c r="J4100" t="s">
        <v>12188</v>
      </c>
      <c r="K4100" t="s">
        <v>12166</v>
      </c>
      <c r="L4100" t="s">
        <v>916</v>
      </c>
    </row>
    <row r="4101" spans="1:12">
      <c r="A4101" t="s">
        <v>12166</v>
      </c>
      <c r="B4101" t="s">
        <v>12167</v>
      </c>
      <c r="C4101" t="s">
        <v>12190</v>
      </c>
      <c r="D4101" t="s">
        <v>12169</v>
      </c>
      <c r="E4101" t="s">
        <v>12191</v>
      </c>
      <c r="F4101" t="s">
        <v>12192</v>
      </c>
      <c r="J4101" t="s">
        <v>12191</v>
      </c>
      <c r="K4101" t="s">
        <v>12166</v>
      </c>
      <c r="L4101" t="s">
        <v>916</v>
      </c>
    </row>
    <row r="4102" spans="1:12">
      <c r="A4102" t="s">
        <v>12166</v>
      </c>
      <c r="B4102" t="s">
        <v>12167</v>
      </c>
      <c r="C4102" t="s">
        <v>12193</v>
      </c>
      <c r="D4102" t="s">
        <v>12169</v>
      </c>
      <c r="E4102" t="s">
        <v>12194</v>
      </c>
      <c r="F4102" t="s">
        <v>12195</v>
      </c>
      <c r="J4102" t="s">
        <v>12194</v>
      </c>
      <c r="K4102" t="s">
        <v>12166</v>
      </c>
      <c r="L4102" t="s">
        <v>916</v>
      </c>
    </row>
    <row r="4103" spans="1:12">
      <c r="A4103" t="s">
        <v>12166</v>
      </c>
      <c r="B4103" t="s">
        <v>12167</v>
      </c>
      <c r="C4103" t="s">
        <v>12196</v>
      </c>
      <c r="D4103" t="s">
        <v>12169</v>
      </c>
      <c r="E4103" t="s">
        <v>12197</v>
      </c>
      <c r="F4103" t="s">
        <v>12198</v>
      </c>
      <c r="J4103" t="s">
        <v>12197</v>
      </c>
      <c r="K4103" t="s">
        <v>12166</v>
      </c>
      <c r="L4103" t="s">
        <v>916</v>
      </c>
    </row>
    <row r="4104" spans="1:12">
      <c r="A4104" t="s">
        <v>12166</v>
      </c>
      <c r="B4104" t="s">
        <v>12167</v>
      </c>
      <c r="C4104" t="s">
        <v>12199</v>
      </c>
      <c r="D4104" t="s">
        <v>12169</v>
      </c>
      <c r="E4104" t="s">
        <v>12200</v>
      </c>
      <c r="F4104" t="s">
        <v>12201</v>
      </c>
      <c r="J4104" t="s">
        <v>12200</v>
      </c>
      <c r="K4104" t="s">
        <v>12166</v>
      </c>
      <c r="L4104" t="s">
        <v>916</v>
      </c>
    </row>
    <row r="4105" spans="1:12">
      <c r="A4105" t="s">
        <v>12166</v>
      </c>
      <c r="B4105" t="s">
        <v>12167</v>
      </c>
      <c r="C4105" t="s">
        <v>12202</v>
      </c>
      <c r="D4105" t="s">
        <v>12169</v>
      </c>
      <c r="E4105" t="s">
        <v>12203</v>
      </c>
      <c r="F4105" t="s">
        <v>12204</v>
      </c>
      <c r="J4105" t="s">
        <v>12203</v>
      </c>
      <c r="K4105" t="s">
        <v>12166</v>
      </c>
      <c r="L4105" t="s">
        <v>916</v>
      </c>
    </row>
    <row r="4106" spans="1:12">
      <c r="A4106" t="s">
        <v>12166</v>
      </c>
      <c r="B4106" t="s">
        <v>12167</v>
      </c>
      <c r="C4106" t="s">
        <v>12205</v>
      </c>
      <c r="D4106" t="s">
        <v>12169</v>
      </c>
      <c r="E4106" t="s">
        <v>978</v>
      </c>
      <c r="F4106" t="s">
        <v>12206</v>
      </c>
    </row>
    <row r="4107" spans="1:12">
      <c r="A4107" t="s">
        <v>12166</v>
      </c>
      <c r="B4107" t="s">
        <v>12167</v>
      </c>
      <c r="C4107" t="s">
        <v>12207</v>
      </c>
      <c r="D4107" t="s">
        <v>12169</v>
      </c>
      <c r="E4107" t="s">
        <v>12208</v>
      </c>
      <c r="F4107" t="s">
        <v>12209</v>
      </c>
      <c r="J4107" t="s">
        <v>12208</v>
      </c>
      <c r="K4107" t="s">
        <v>12166</v>
      </c>
      <c r="L4107" t="s">
        <v>916</v>
      </c>
    </row>
    <row r="4108" spans="1:12">
      <c r="A4108" t="s">
        <v>12166</v>
      </c>
      <c r="B4108" t="s">
        <v>12167</v>
      </c>
      <c r="C4108" t="s">
        <v>12210</v>
      </c>
      <c r="D4108" t="s">
        <v>12169</v>
      </c>
      <c r="E4108" t="s">
        <v>12211</v>
      </c>
      <c r="F4108" t="s">
        <v>12212</v>
      </c>
      <c r="J4108" t="s">
        <v>12211</v>
      </c>
      <c r="K4108" t="s">
        <v>12166</v>
      </c>
      <c r="L4108" t="s">
        <v>916</v>
      </c>
    </row>
    <row r="4109" spans="1:12">
      <c r="A4109" t="s">
        <v>12166</v>
      </c>
      <c r="B4109" t="s">
        <v>12167</v>
      </c>
      <c r="C4109" t="s">
        <v>12213</v>
      </c>
      <c r="D4109" t="s">
        <v>12169</v>
      </c>
      <c r="E4109" t="s">
        <v>12214</v>
      </c>
      <c r="F4109" t="s">
        <v>6507</v>
      </c>
      <c r="J4109" t="s">
        <v>12214</v>
      </c>
      <c r="K4109" t="s">
        <v>12166</v>
      </c>
      <c r="L4109" t="s">
        <v>916</v>
      </c>
    </row>
    <row r="4110" spans="1:12">
      <c r="A4110" t="s">
        <v>12166</v>
      </c>
      <c r="B4110" t="s">
        <v>12167</v>
      </c>
      <c r="C4110" t="s">
        <v>12215</v>
      </c>
      <c r="D4110" t="s">
        <v>12169</v>
      </c>
      <c r="E4110" t="s">
        <v>12216</v>
      </c>
      <c r="F4110" t="s">
        <v>12217</v>
      </c>
      <c r="J4110" t="s">
        <v>12216</v>
      </c>
      <c r="K4110" t="s">
        <v>12166</v>
      </c>
      <c r="L4110" t="s">
        <v>916</v>
      </c>
    </row>
    <row r="4111" spans="1:12">
      <c r="A4111" t="s">
        <v>12166</v>
      </c>
      <c r="B4111" t="s">
        <v>12167</v>
      </c>
      <c r="C4111" t="s">
        <v>12218</v>
      </c>
      <c r="D4111" t="s">
        <v>12169</v>
      </c>
      <c r="E4111" t="s">
        <v>12219</v>
      </c>
      <c r="F4111" t="s">
        <v>12220</v>
      </c>
      <c r="J4111" t="s">
        <v>12219</v>
      </c>
      <c r="K4111" t="s">
        <v>12166</v>
      </c>
      <c r="L4111" t="s">
        <v>916</v>
      </c>
    </row>
    <row r="4112" spans="1:12">
      <c r="A4112" t="s">
        <v>12166</v>
      </c>
      <c r="B4112" t="s">
        <v>12167</v>
      </c>
      <c r="C4112" t="s">
        <v>12221</v>
      </c>
      <c r="D4112" t="s">
        <v>12169</v>
      </c>
      <c r="E4112" t="s">
        <v>12222</v>
      </c>
      <c r="F4112" t="s">
        <v>12223</v>
      </c>
      <c r="J4112" t="s">
        <v>12222</v>
      </c>
      <c r="K4112" t="s">
        <v>12166</v>
      </c>
      <c r="L4112" t="s">
        <v>916</v>
      </c>
    </row>
    <row r="4113" spans="1:12">
      <c r="A4113" t="s">
        <v>12166</v>
      </c>
      <c r="B4113" t="s">
        <v>12167</v>
      </c>
      <c r="C4113" t="s">
        <v>12224</v>
      </c>
      <c r="D4113" t="s">
        <v>12169</v>
      </c>
      <c r="E4113" t="s">
        <v>12225</v>
      </c>
      <c r="F4113" t="s">
        <v>12226</v>
      </c>
      <c r="J4113" t="s">
        <v>12225</v>
      </c>
      <c r="K4113" t="s">
        <v>12166</v>
      </c>
      <c r="L4113" t="s">
        <v>916</v>
      </c>
    </row>
    <row r="4114" spans="1:12">
      <c r="A4114" t="s">
        <v>12166</v>
      </c>
      <c r="B4114" t="s">
        <v>12167</v>
      </c>
      <c r="C4114" t="s">
        <v>12227</v>
      </c>
      <c r="D4114" t="s">
        <v>12169</v>
      </c>
      <c r="E4114" t="s">
        <v>12228</v>
      </c>
      <c r="F4114" t="s">
        <v>12229</v>
      </c>
    </row>
    <row r="4115" spans="1:12">
      <c r="A4115" t="s">
        <v>12166</v>
      </c>
      <c r="B4115" t="s">
        <v>12167</v>
      </c>
      <c r="C4115" t="s">
        <v>12230</v>
      </c>
      <c r="D4115" t="s">
        <v>12169</v>
      </c>
      <c r="E4115" t="s">
        <v>12231</v>
      </c>
      <c r="F4115" t="s">
        <v>12232</v>
      </c>
      <c r="J4115" t="s">
        <v>12231</v>
      </c>
      <c r="K4115" t="s">
        <v>12166</v>
      </c>
      <c r="L4115" t="s">
        <v>916</v>
      </c>
    </row>
    <row r="4116" spans="1:12">
      <c r="A4116" t="s">
        <v>12166</v>
      </c>
      <c r="B4116" t="s">
        <v>12167</v>
      </c>
      <c r="C4116" t="s">
        <v>12233</v>
      </c>
      <c r="D4116" t="s">
        <v>12169</v>
      </c>
      <c r="E4116" t="s">
        <v>12234</v>
      </c>
      <c r="F4116" t="s">
        <v>12235</v>
      </c>
      <c r="J4116" t="s">
        <v>12234</v>
      </c>
      <c r="K4116" t="s">
        <v>12166</v>
      </c>
      <c r="L4116" t="s">
        <v>916</v>
      </c>
    </row>
    <row r="4117" spans="1:12">
      <c r="A4117" t="s">
        <v>12166</v>
      </c>
      <c r="B4117" t="s">
        <v>12167</v>
      </c>
      <c r="C4117" t="s">
        <v>12236</v>
      </c>
      <c r="D4117" t="s">
        <v>12169</v>
      </c>
      <c r="E4117" t="s">
        <v>12237</v>
      </c>
      <c r="F4117" t="s">
        <v>12238</v>
      </c>
      <c r="J4117" t="s">
        <v>12237</v>
      </c>
      <c r="K4117" t="s">
        <v>12166</v>
      </c>
      <c r="L4117" t="s">
        <v>916</v>
      </c>
    </row>
    <row r="4118" spans="1:12">
      <c r="A4118" t="s">
        <v>12166</v>
      </c>
      <c r="B4118" t="s">
        <v>12167</v>
      </c>
      <c r="C4118" t="s">
        <v>12239</v>
      </c>
      <c r="D4118" t="s">
        <v>12169</v>
      </c>
      <c r="E4118" t="s">
        <v>12240</v>
      </c>
      <c r="F4118" t="s">
        <v>12241</v>
      </c>
      <c r="J4118" t="s">
        <v>12240</v>
      </c>
      <c r="K4118" t="s">
        <v>12166</v>
      </c>
      <c r="L4118" t="s">
        <v>916</v>
      </c>
    </row>
    <row r="4119" spans="1:12">
      <c r="A4119" t="s">
        <v>12166</v>
      </c>
      <c r="B4119" t="s">
        <v>12167</v>
      </c>
      <c r="C4119" t="s">
        <v>12242</v>
      </c>
      <c r="D4119" t="s">
        <v>12169</v>
      </c>
      <c r="E4119" t="s">
        <v>12243</v>
      </c>
      <c r="F4119" t="s">
        <v>12244</v>
      </c>
      <c r="J4119" t="s">
        <v>12243</v>
      </c>
      <c r="K4119" t="s">
        <v>12166</v>
      </c>
      <c r="L4119" t="s">
        <v>916</v>
      </c>
    </row>
    <row r="4120" spans="1:12">
      <c r="A4120" t="s">
        <v>12166</v>
      </c>
      <c r="B4120" t="s">
        <v>12167</v>
      </c>
      <c r="C4120" t="s">
        <v>12245</v>
      </c>
      <c r="D4120" t="s">
        <v>12169</v>
      </c>
      <c r="E4120" t="s">
        <v>12246</v>
      </c>
      <c r="F4120" t="s">
        <v>12247</v>
      </c>
      <c r="J4120" t="s">
        <v>12246</v>
      </c>
      <c r="K4120" t="s">
        <v>12166</v>
      </c>
      <c r="L4120" t="s">
        <v>916</v>
      </c>
    </row>
    <row r="4121" spans="1:12">
      <c r="A4121" t="s">
        <v>12166</v>
      </c>
      <c r="B4121" t="s">
        <v>12167</v>
      </c>
      <c r="C4121" t="s">
        <v>12248</v>
      </c>
      <c r="D4121" t="s">
        <v>12169</v>
      </c>
      <c r="E4121" t="s">
        <v>12249</v>
      </c>
      <c r="F4121" t="s">
        <v>12250</v>
      </c>
      <c r="J4121" t="s">
        <v>12249</v>
      </c>
      <c r="K4121" t="s">
        <v>12166</v>
      </c>
      <c r="L4121" t="s">
        <v>916</v>
      </c>
    </row>
    <row r="4122" spans="1:12">
      <c r="A4122" t="s">
        <v>12166</v>
      </c>
      <c r="B4122" t="s">
        <v>12167</v>
      </c>
      <c r="C4122" t="s">
        <v>12251</v>
      </c>
      <c r="D4122" t="s">
        <v>12169</v>
      </c>
      <c r="E4122" t="s">
        <v>12252</v>
      </c>
      <c r="F4122" t="s">
        <v>12253</v>
      </c>
      <c r="J4122" t="s">
        <v>12252</v>
      </c>
      <c r="K4122" t="s">
        <v>12166</v>
      </c>
      <c r="L4122" t="s">
        <v>916</v>
      </c>
    </row>
    <row r="4123" spans="1:12">
      <c r="A4123" t="s">
        <v>12166</v>
      </c>
      <c r="B4123" t="s">
        <v>12167</v>
      </c>
      <c r="C4123" t="s">
        <v>12254</v>
      </c>
      <c r="D4123" t="s">
        <v>12169</v>
      </c>
      <c r="E4123" t="s">
        <v>12255</v>
      </c>
      <c r="F4123" t="s">
        <v>12256</v>
      </c>
      <c r="J4123" t="s">
        <v>12255</v>
      </c>
      <c r="K4123" t="s">
        <v>12166</v>
      </c>
      <c r="L4123" t="s">
        <v>916</v>
      </c>
    </row>
    <row r="4124" spans="1:12">
      <c r="A4124" t="s">
        <v>12166</v>
      </c>
      <c r="B4124" t="s">
        <v>12167</v>
      </c>
      <c r="C4124" t="s">
        <v>12257</v>
      </c>
      <c r="D4124" t="s">
        <v>12169</v>
      </c>
      <c r="E4124" t="s">
        <v>655</v>
      </c>
      <c r="F4124" t="s">
        <v>656</v>
      </c>
    </row>
    <row r="4125" spans="1:12">
      <c r="A4125" t="s">
        <v>12166</v>
      </c>
      <c r="B4125" t="s">
        <v>12167</v>
      </c>
      <c r="D4125" t="s">
        <v>12169</v>
      </c>
      <c r="F4125" t="s">
        <v>12258</v>
      </c>
      <c r="J4125" t="s">
        <v>12259</v>
      </c>
      <c r="K4125" t="s">
        <v>12166</v>
      </c>
      <c r="L4125" t="s">
        <v>916</v>
      </c>
    </row>
    <row r="4126" spans="1:12">
      <c r="A4126" t="s">
        <v>12166</v>
      </c>
      <c r="B4126" t="s">
        <v>12167</v>
      </c>
      <c r="D4126" t="s">
        <v>12169</v>
      </c>
      <c r="F4126" t="s">
        <v>12260</v>
      </c>
      <c r="J4126" t="s">
        <v>12261</v>
      </c>
      <c r="K4126" t="s">
        <v>12166</v>
      </c>
      <c r="L4126" t="s">
        <v>916</v>
      </c>
    </row>
    <row r="4127" spans="1:12">
      <c r="A4127" t="s">
        <v>12166</v>
      </c>
      <c r="B4127" t="s">
        <v>12167</v>
      </c>
      <c r="D4127" t="s">
        <v>12169</v>
      </c>
      <c r="F4127" t="s">
        <v>12262</v>
      </c>
      <c r="J4127" t="s">
        <v>12263</v>
      </c>
      <c r="K4127" t="s">
        <v>12166</v>
      </c>
      <c r="L4127" t="s">
        <v>916</v>
      </c>
    </row>
    <row r="4128" spans="1:12">
      <c r="A4128" t="s">
        <v>12166</v>
      </c>
      <c r="B4128" t="s">
        <v>12167</v>
      </c>
      <c r="D4128" t="s">
        <v>12169</v>
      </c>
      <c r="F4128" t="s">
        <v>12264</v>
      </c>
      <c r="J4128" t="s">
        <v>12265</v>
      </c>
      <c r="K4128" t="s">
        <v>12166</v>
      </c>
      <c r="L4128" t="s">
        <v>916</v>
      </c>
    </row>
    <row r="4129" spans="1:12">
      <c r="A4129" t="s">
        <v>12166</v>
      </c>
      <c r="B4129" t="s">
        <v>12167</v>
      </c>
      <c r="D4129" t="s">
        <v>12169</v>
      </c>
      <c r="F4129" t="s">
        <v>12266</v>
      </c>
      <c r="J4129" t="s">
        <v>12267</v>
      </c>
      <c r="K4129" t="s">
        <v>12166</v>
      </c>
      <c r="L4129" t="s">
        <v>916</v>
      </c>
    </row>
    <row r="4130" spans="1:12">
      <c r="A4130" t="s">
        <v>12166</v>
      </c>
      <c r="B4130" t="s">
        <v>12167</v>
      </c>
      <c r="D4130" t="s">
        <v>12169</v>
      </c>
      <c r="F4130" t="s">
        <v>12268</v>
      </c>
      <c r="J4130" t="s">
        <v>12269</v>
      </c>
      <c r="K4130" t="s">
        <v>12166</v>
      </c>
      <c r="L4130" t="s">
        <v>916</v>
      </c>
    </row>
    <row r="4131" spans="1:12">
      <c r="A4131" t="s">
        <v>12166</v>
      </c>
      <c r="B4131" t="s">
        <v>12167</v>
      </c>
      <c r="D4131" t="s">
        <v>12169</v>
      </c>
      <c r="F4131" t="s">
        <v>12270</v>
      </c>
      <c r="J4131" t="s">
        <v>12271</v>
      </c>
      <c r="K4131" t="s">
        <v>12166</v>
      </c>
      <c r="L4131" t="s">
        <v>916</v>
      </c>
    </row>
    <row r="4132" spans="1:12">
      <c r="A4132" t="s">
        <v>12166</v>
      </c>
      <c r="B4132" t="s">
        <v>12167</v>
      </c>
      <c r="D4132" t="s">
        <v>12169</v>
      </c>
      <c r="F4132" t="s">
        <v>12272</v>
      </c>
      <c r="J4132" t="s">
        <v>3437</v>
      </c>
      <c r="K4132" t="s">
        <v>12166</v>
      </c>
      <c r="L4132" t="s">
        <v>916</v>
      </c>
    </row>
    <row r="4133" spans="1:12">
      <c r="A4133" t="s">
        <v>12166</v>
      </c>
      <c r="B4133" t="s">
        <v>12167</v>
      </c>
      <c r="D4133" t="s">
        <v>12169</v>
      </c>
      <c r="F4133" t="s">
        <v>12273</v>
      </c>
      <c r="J4133" t="s">
        <v>12274</v>
      </c>
      <c r="K4133" t="s">
        <v>12166</v>
      </c>
      <c r="L4133" t="s">
        <v>916</v>
      </c>
    </row>
    <row r="4134" spans="1:12">
      <c r="A4134" t="s">
        <v>12166</v>
      </c>
      <c r="B4134" t="s">
        <v>12167</v>
      </c>
      <c r="D4134" t="s">
        <v>12169</v>
      </c>
      <c r="F4134" t="s">
        <v>12275</v>
      </c>
      <c r="J4134" t="s">
        <v>12276</v>
      </c>
      <c r="K4134" t="s">
        <v>12166</v>
      </c>
      <c r="L4134" t="s">
        <v>916</v>
      </c>
    </row>
    <row r="4135" spans="1:12">
      <c r="A4135" t="s">
        <v>12166</v>
      </c>
      <c r="B4135" t="s">
        <v>12167</v>
      </c>
      <c r="D4135" t="s">
        <v>12169</v>
      </c>
      <c r="F4135" t="s">
        <v>12277</v>
      </c>
      <c r="J4135" t="s">
        <v>12278</v>
      </c>
      <c r="K4135" t="s">
        <v>12166</v>
      </c>
      <c r="L4135" t="s">
        <v>916</v>
      </c>
    </row>
    <row r="4136" spans="1:12">
      <c r="A4136" t="s">
        <v>12166</v>
      </c>
      <c r="B4136" t="s">
        <v>12167</v>
      </c>
      <c r="D4136" t="s">
        <v>12169</v>
      </c>
      <c r="F4136" t="s">
        <v>12279</v>
      </c>
      <c r="J4136" t="s">
        <v>12280</v>
      </c>
      <c r="K4136" t="s">
        <v>12166</v>
      </c>
      <c r="L4136" t="s">
        <v>916</v>
      </c>
    </row>
    <row r="4137" spans="1:12">
      <c r="A4137" t="s">
        <v>12166</v>
      </c>
      <c r="B4137" t="s">
        <v>12167</v>
      </c>
      <c r="D4137" t="s">
        <v>12169</v>
      </c>
      <c r="F4137" t="s">
        <v>12281</v>
      </c>
      <c r="J4137" t="s">
        <v>12282</v>
      </c>
      <c r="K4137" t="s">
        <v>12166</v>
      </c>
      <c r="L4137" t="s">
        <v>916</v>
      </c>
    </row>
    <row r="4138" spans="1:12">
      <c r="A4138" t="s">
        <v>12166</v>
      </c>
      <c r="B4138" t="s">
        <v>12167</v>
      </c>
      <c r="D4138" t="s">
        <v>12169</v>
      </c>
      <c r="F4138" t="s">
        <v>12283</v>
      </c>
      <c r="J4138" t="s">
        <v>12284</v>
      </c>
      <c r="K4138" t="s">
        <v>12166</v>
      </c>
      <c r="L4138" t="s">
        <v>916</v>
      </c>
    </row>
    <row r="4139" spans="1:12">
      <c r="A4139" t="s">
        <v>12166</v>
      </c>
      <c r="B4139" t="s">
        <v>12167</v>
      </c>
      <c r="D4139" t="s">
        <v>12169</v>
      </c>
      <c r="F4139" t="s">
        <v>12285</v>
      </c>
      <c r="J4139" t="s">
        <v>12286</v>
      </c>
      <c r="K4139" t="s">
        <v>12166</v>
      </c>
      <c r="L4139" t="s">
        <v>916</v>
      </c>
    </row>
    <row r="4140" spans="1:12">
      <c r="A4140" t="s">
        <v>12287</v>
      </c>
      <c r="B4140" t="s">
        <v>12288</v>
      </c>
      <c r="C4140" t="s">
        <v>12289</v>
      </c>
      <c r="D4140" t="s">
        <v>12290</v>
      </c>
      <c r="E4140" t="s">
        <v>11716</v>
      </c>
      <c r="F4140" t="s">
        <v>12291</v>
      </c>
    </row>
    <row r="4141" spans="1:12">
      <c r="A4141" t="s">
        <v>12287</v>
      </c>
      <c r="B4141" t="s">
        <v>12288</v>
      </c>
      <c r="C4141" t="s">
        <v>12292</v>
      </c>
      <c r="D4141" t="s">
        <v>12290</v>
      </c>
      <c r="E4141" t="s">
        <v>12293</v>
      </c>
      <c r="F4141" t="s">
        <v>12294</v>
      </c>
    </row>
    <row r="4142" spans="1:12">
      <c r="A4142" t="s">
        <v>12287</v>
      </c>
      <c r="B4142" t="s">
        <v>12288</v>
      </c>
      <c r="C4142" t="s">
        <v>12295</v>
      </c>
      <c r="D4142" t="s">
        <v>12290</v>
      </c>
      <c r="E4142" t="s">
        <v>12296</v>
      </c>
      <c r="F4142" t="s">
        <v>12297</v>
      </c>
      <c r="J4142" t="s">
        <v>12296</v>
      </c>
      <c r="K4142" t="s">
        <v>12298</v>
      </c>
      <c r="L4142" t="s">
        <v>851</v>
      </c>
    </row>
    <row r="4143" spans="1:12">
      <c r="A4143" t="s">
        <v>12287</v>
      </c>
      <c r="B4143" t="s">
        <v>12288</v>
      </c>
      <c r="C4143" t="s">
        <v>12299</v>
      </c>
      <c r="D4143" t="s">
        <v>12290</v>
      </c>
      <c r="E4143" t="s">
        <v>12300</v>
      </c>
      <c r="F4143" t="s">
        <v>12301</v>
      </c>
      <c r="J4143" t="s">
        <v>12300</v>
      </c>
      <c r="K4143" t="s">
        <v>12298</v>
      </c>
      <c r="L4143" t="s">
        <v>851</v>
      </c>
    </row>
    <row r="4144" spans="1:12">
      <c r="A4144" t="s">
        <v>12287</v>
      </c>
      <c r="B4144" t="s">
        <v>12288</v>
      </c>
      <c r="C4144" t="s">
        <v>12302</v>
      </c>
      <c r="D4144" t="s">
        <v>12290</v>
      </c>
      <c r="E4144" t="s">
        <v>12303</v>
      </c>
      <c r="F4144" t="s">
        <v>12304</v>
      </c>
    </row>
    <row r="4145" spans="1:12">
      <c r="A4145" t="s">
        <v>12287</v>
      </c>
      <c r="B4145" t="s">
        <v>12288</v>
      </c>
      <c r="C4145" t="s">
        <v>12305</v>
      </c>
      <c r="D4145" t="s">
        <v>12290</v>
      </c>
      <c r="E4145" t="s">
        <v>8436</v>
      </c>
      <c r="F4145" t="s">
        <v>12306</v>
      </c>
    </row>
    <row r="4146" spans="1:12">
      <c r="A4146" t="s">
        <v>12287</v>
      </c>
      <c r="B4146" t="s">
        <v>12288</v>
      </c>
      <c r="C4146" t="s">
        <v>12307</v>
      </c>
      <c r="D4146" t="s">
        <v>12290</v>
      </c>
      <c r="E4146" t="s">
        <v>12308</v>
      </c>
      <c r="F4146" t="s">
        <v>12309</v>
      </c>
    </row>
    <row r="4147" spans="1:12">
      <c r="A4147" t="s">
        <v>12287</v>
      </c>
      <c r="B4147" t="s">
        <v>12288</v>
      </c>
      <c r="C4147" t="s">
        <v>12310</v>
      </c>
      <c r="D4147" t="s">
        <v>12290</v>
      </c>
      <c r="E4147" t="s">
        <v>3817</v>
      </c>
      <c r="F4147" t="s">
        <v>12311</v>
      </c>
    </row>
    <row r="4148" spans="1:12">
      <c r="A4148" t="s">
        <v>12287</v>
      </c>
      <c r="B4148" t="s">
        <v>12288</v>
      </c>
      <c r="C4148" t="s">
        <v>12312</v>
      </c>
      <c r="D4148" t="s">
        <v>12290</v>
      </c>
      <c r="E4148" t="s">
        <v>1487</v>
      </c>
      <c r="F4148" t="s">
        <v>12313</v>
      </c>
    </row>
    <row r="4149" spans="1:12">
      <c r="A4149" t="s">
        <v>12287</v>
      </c>
      <c r="B4149" t="s">
        <v>12288</v>
      </c>
      <c r="C4149" t="s">
        <v>12314</v>
      </c>
      <c r="D4149" t="s">
        <v>12290</v>
      </c>
      <c r="E4149" t="s">
        <v>4872</v>
      </c>
      <c r="F4149" t="s">
        <v>12315</v>
      </c>
    </row>
    <row r="4150" spans="1:12">
      <c r="A4150" t="s">
        <v>12287</v>
      </c>
      <c r="B4150" t="s">
        <v>12288</v>
      </c>
      <c r="C4150" t="s">
        <v>12316</v>
      </c>
      <c r="D4150" t="s">
        <v>12290</v>
      </c>
      <c r="E4150" t="s">
        <v>12317</v>
      </c>
      <c r="F4150" t="s">
        <v>12318</v>
      </c>
      <c r="J4150" t="s">
        <v>12317</v>
      </c>
      <c r="K4150" t="s">
        <v>12298</v>
      </c>
      <c r="L4150" t="s">
        <v>851</v>
      </c>
    </row>
    <row r="4151" spans="1:12">
      <c r="A4151" t="s">
        <v>12287</v>
      </c>
      <c r="B4151" t="s">
        <v>12288</v>
      </c>
      <c r="C4151" t="s">
        <v>12319</v>
      </c>
      <c r="D4151" t="s">
        <v>12290</v>
      </c>
      <c r="E4151" t="s">
        <v>1532</v>
      </c>
      <c r="F4151" t="s">
        <v>1532</v>
      </c>
    </row>
    <row r="4152" spans="1:12">
      <c r="A4152" t="s">
        <v>12287</v>
      </c>
      <c r="B4152" t="s">
        <v>12288</v>
      </c>
      <c r="C4152" t="s">
        <v>12320</v>
      </c>
      <c r="D4152" t="s">
        <v>12290</v>
      </c>
      <c r="E4152" t="s">
        <v>12321</v>
      </c>
      <c r="F4152" t="s">
        <v>12322</v>
      </c>
    </row>
    <row r="4153" spans="1:12">
      <c r="A4153" t="s">
        <v>12287</v>
      </c>
      <c r="B4153" t="s">
        <v>12288</v>
      </c>
      <c r="C4153" t="s">
        <v>12323</v>
      </c>
      <c r="D4153" t="s">
        <v>12290</v>
      </c>
      <c r="E4153" t="s">
        <v>4875</v>
      </c>
      <c r="F4153" t="s">
        <v>12324</v>
      </c>
    </row>
    <row r="4154" spans="1:12">
      <c r="A4154" t="s">
        <v>12287</v>
      </c>
      <c r="B4154" t="s">
        <v>12288</v>
      </c>
      <c r="C4154" t="s">
        <v>12325</v>
      </c>
      <c r="D4154" t="s">
        <v>12290</v>
      </c>
      <c r="E4154" t="s">
        <v>12261</v>
      </c>
      <c r="F4154" t="s">
        <v>12326</v>
      </c>
    </row>
    <row r="4155" spans="1:12">
      <c r="A4155" t="s">
        <v>12287</v>
      </c>
      <c r="B4155" t="s">
        <v>12288</v>
      </c>
      <c r="C4155" t="s">
        <v>12327</v>
      </c>
      <c r="D4155" t="s">
        <v>12290</v>
      </c>
      <c r="E4155" t="s">
        <v>12328</v>
      </c>
      <c r="F4155" t="s">
        <v>12329</v>
      </c>
      <c r="J4155" t="s">
        <v>12328</v>
      </c>
      <c r="K4155" t="s">
        <v>12298</v>
      </c>
      <c r="L4155" t="s">
        <v>851</v>
      </c>
    </row>
    <row r="4156" spans="1:12">
      <c r="A4156" t="s">
        <v>12287</v>
      </c>
      <c r="B4156" t="s">
        <v>12288</v>
      </c>
      <c r="C4156" t="s">
        <v>12330</v>
      </c>
      <c r="D4156" t="s">
        <v>12290</v>
      </c>
      <c r="E4156" t="s">
        <v>8501</v>
      </c>
      <c r="F4156" t="s">
        <v>12331</v>
      </c>
    </row>
    <row r="4157" spans="1:12">
      <c r="A4157" t="s">
        <v>12287</v>
      </c>
      <c r="B4157" t="s">
        <v>12288</v>
      </c>
      <c r="C4157" t="s">
        <v>12332</v>
      </c>
      <c r="D4157" t="s">
        <v>12290</v>
      </c>
      <c r="E4157" t="s">
        <v>1564</v>
      </c>
      <c r="F4157" t="s">
        <v>12333</v>
      </c>
    </row>
    <row r="4158" spans="1:12">
      <c r="A4158" t="s">
        <v>12287</v>
      </c>
      <c r="B4158" t="s">
        <v>12288</v>
      </c>
      <c r="C4158" t="s">
        <v>12334</v>
      </c>
      <c r="D4158" t="s">
        <v>12290</v>
      </c>
      <c r="E4158" t="s">
        <v>12335</v>
      </c>
      <c r="F4158" t="s">
        <v>12336</v>
      </c>
      <c r="J4158" t="s">
        <v>12335</v>
      </c>
      <c r="K4158" t="s">
        <v>12298</v>
      </c>
      <c r="L4158" t="s">
        <v>851</v>
      </c>
    </row>
    <row r="4159" spans="1:12">
      <c r="A4159" t="s">
        <v>12287</v>
      </c>
      <c r="B4159" t="s">
        <v>12288</v>
      </c>
      <c r="C4159" t="s">
        <v>12337</v>
      </c>
      <c r="D4159" t="s">
        <v>12290</v>
      </c>
      <c r="E4159" t="s">
        <v>12338</v>
      </c>
      <c r="F4159" t="s">
        <v>12339</v>
      </c>
    </row>
    <row r="4160" spans="1:12">
      <c r="A4160" t="s">
        <v>12287</v>
      </c>
      <c r="B4160" t="s">
        <v>12288</v>
      </c>
      <c r="C4160" t="s">
        <v>12340</v>
      </c>
      <c r="D4160" t="s">
        <v>12290</v>
      </c>
      <c r="E4160" t="s">
        <v>12341</v>
      </c>
      <c r="F4160" t="s">
        <v>12342</v>
      </c>
      <c r="J4160" t="s">
        <v>12341</v>
      </c>
      <c r="K4160" t="s">
        <v>12298</v>
      </c>
      <c r="L4160" t="s">
        <v>851</v>
      </c>
    </row>
    <row r="4161" spans="1:12">
      <c r="A4161" t="s">
        <v>12287</v>
      </c>
      <c r="B4161" t="s">
        <v>12288</v>
      </c>
      <c r="C4161" t="s">
        <v>12343</v>
      </c>
      <c r="D4161" t="s">
        <v>12290</v>
      </c>
      <c r="E4161" t="s">
        <v>12344</v>
      </c>
      <c r="F4161" t="s">
        <v>12345</v>
      </c>
    </row>
    <row r="4162" spans="1:12">
      <c r="A4162" t="s">
        <v>12287</v>
      </c>
      <c r="B4162" t="s">
        <v>12288</v>
      </c>
      <c r="C4162" t="s">
        <v>12346</v>
      </c>
      <c r="D4162" t="s">
        <v>12290</v>
      </c>
      <c r="E4162" t="s">
        <v>12347</v>
      </c>
      <c r="F4162" t="s">
        <v>12348</v>
      </c>
    </row>
    <row r="4163" spans="1:12">
      <c r="A4163" t="s">
        <v>12287</v>
      </c>
      <c r="B4163" t="s">
        <v>12288</v>
      </c>
      <c r="C4163" t="s">
        <v>12349</v>
      </c>
      <c r="D4163" t="s">
        <v>12290</v>
      </c>
      <c r="E4163" t="s">
        <v>12350</v>
      </c>
      <c r="F4163" t="s">
        <v>12351</v>
      </c>
      <c r="J4163" t="s">
        <v>12350</v>
      </c>
      <c r="K4163" t="s">
        <v>12298</v>
      </c>
      <c r="L4163" t="s">
        <v>851</v>
      </c>
    </row>
    <row r="4164" spans="1:12">
      <c r="A4164" t="s">
        <v>12287</v>
      </c>
      <c r="B4164" t="s">
        <v>12288</v>
      </c>
      <c r="C4164" t="s">
        <v>12352</v>
      </c>
      <c r="D4164" t="s">
        <v>12290</v>
      </c>
      <c r="E4164" t="s">
        <v>1594</v>
      </c>
      <c r="F4164" t="s">
        <v>12353</v>
      </c>
    </row>
    <row r="4165" spans="1:12">
      <c r="A4165" t="s">
        <v>12287</v>
      </c>
      <c r="B4165" t="s">
        <v>12288</v>
      </c>
      <c r="C4165" t="s">
        <v>12354</v>
      </c>
      <c r="D4165" t="s">
        <v>12290</v>
      </c>
      <c r="E4165" t="s">
        <v>12355</v>
      </c>
      <c r="F4165" t="s">
        <v>12356</v>
      </c>
    </row>
    <row r="4166" spans="1:12">
      <c r="A4166" t="s">
        <v>12287</v>
      </c>
      <c r="B4166" t="s">
        <v>12288</v>
      </c>
      <c r="C4166" t="s">
        <v>12357</v>
      </c>
      <c r="D4166" t="s">
        <v>12290</v>
      </c>
      <c r="E4166" t="s">
        <v>8588</v>
      </c>
      <c r="F4166" t="s">
        <v>12358</v>
      </c>
    </row>
    <row r="4167" spans="1:12">
      <c r="A4167" t="s">
        <v>12287</v>
      </c>
      <c r="B4167" t="s">
        <v>12288</v>
      </c>
      <c r="C4167" t="s">
        <v>12359</v>
      </c>
      <c r="D4167" t="s">
        <v>12290</v>
      </c>
      <c r="E4167" t="s">
        <v>12360</v>
      </c>
      <c r="F4167" t="s">
        <v>12361</v>
      </c>
    </row>
    <row r="4168" spans="1:12">
      <c r="A4168" t="s">
        <v>12287</v>
      </c>
      <c r="B4168" t="s">
        <v>12288</v>
      </c>
      <c r="C4168" t="s">
        <v>12362</v>
      </c>
      <c r="D4168" t="s">
        <v>12290</v>
      </c>
      <c r="E4168" t="s">
        <v>12363</v>
      </c>
      <c r="F4168" t="s">
        <v>12364</v>
      </c>
    </row>
    <row r="4169" spans="1:12">
      <c r="A4169" t="s">
        <v>12287</v>
      </c>
      <c r="B4169" t="s">
        <v>12288</v>
      </c>
      <c r="C4169" t="s">
        <v>12365</v>
      </c>
      <c r="D4169" t="s">
        <v>12290</v>
      </c>
      <c r="E4169" t="s">
        <v>8599</v>
      </c>
      <c r="F4169" t="s">
        <v>12366</v>
      </c>
    </row>
    <row r="4170" spans="1:12">
      <c r="A4170" t="s">
        <v>12287</v>
      </c>
      <c r="B4170" t="s">
        <v>12288</v>
      </c>
      <c r="C4170" t="s">
        <v>12367</v>
      </c>
      <c r="D4170" t="s">
        <v>12290</v>
      </c>
      <c r="E4170" t="s">
        <v>12368</v>
      </c>
      <c r="F4170" t="s">
        <v>12369</v>
      </c>
      <c r="J4170" t="s">
        <v>12368</v>
      </c>
      <c r="K4170" t="s">
        <v>12298</v>
      </c>
      <c r="L4170" t="s">
        <v>851</v>
      </c>
    </row>
    <row r="4171" spans="1:12">
      <c r="A4171" t="s">
        <v>12287</v>
      </c>
      <c r="B4171" t="s">
        <v>12288</v>
      </c>
      <c r="C4171" t="s">
        <v>12370</v>
      </c>
      <c r="D4171" t="s">
        <v>12290</v>
      </c>
      <c r="E4171" t="s">
        <v>3661</v>
      </c>
      <c r="F4171" t="s">
        <v>12371</v>
      </c>
      <c r="J4171" t="s">
        <v>3661</v>
      </c>
      <c r="K4171" t="s">
        <v>12298</v>
      </c>
      <c r="L4171" t="s">
        <v>851</v>
      </c>
    </row>
    <row r="4172" spans="1:12">
      <c r="A4172" t="s">
        <v>12287</v>
      </c>
      <c r="B4172" t="s">
        <v>12288</v>
      </c>
      <c r="C4172" t="s">
        <v>12372</v>
      </c>
      <c r="D4172" t="s">
        <v>12290</v>
      </c>
      <c r="E4172" t="s">
        <v>10300</v>
      </c>
      <c r="F4172" t="s">
        <v>12373</v>
      </c>
    </row>
    <row r="4173" spans="1:12">
      <c r="A4173" t="s">
        <v>12287</v>
      </c>
      <c r="B4173" t="s">
        <v>12288</v>
      </c>
      <c r="C4173" t="s">
        <v>12374</v>
      </c>
      <c r="D4173" t="s">
        <v>12290</v>
      </c>
      <c r="E4173" t="s">
        <v>12375</v>
      </c>
      <c r="F4173" t="s">
        <v>12376</v>
      </c>
    </row>
    <row r="4174" spans="1:12">
      <c r="A4174" t="s">
        <v>12287</v>
      </c>
      <c r="B4174" t="s">
        <v>12288</v>
      </c>
      <c r="C4174" t="s">
        <v>12377</v>
      </c>
      <c r="D4174" t="s">
        <v>12290</v>
      </c>
      <c r="E4174" t="s">
        <v>12378</v>
      </c>
      <c r="F4174" t="s">
        <v>12379</v>
      </c>
    </row>
    <row r="4175" spans="1:12">
      <c r="A4175" t="s">
        <v>12287</v>
      </c>
      <c r="B4175" t="s">
        <v>12288</v>
      </c>
      <c r="C4175" t="s">
        <v>12380</v>
      </c>
      <c r="D4175" t="s">
        <v>12290</v>
      </c>
      <c r="E4175" t="s">
        <v>12381</v>
      </c>
      <c r="F4175" t="s">
        <v>12382</v>
      </c>
    </row>
    <row r="4176" spans="1:12">
      <c r="A4176" t="s">
        <v>12287</v>
      </c>
      <c r="B4176" t="s">
        <v>12288</v>
      </c>
      <c r="C4176" t="s">
        <v>12383</v>
      </c>
      <c r="D4176" t="s">
        <v>12290</v>
      </c>
      <c r="E4176" t="s">
        <v>12384</v>
      </c>
      <c r="F4176" t="s">
        <v>3862</v>
      </c>
      <c r="J4176" t="s">
        <v>12384</v>
      </c>
      <c r="K4176" t="s">
        <v>12298</v>
      </c>
      <c r="L4176" t="s">
        <v>851</v>
      </c>
    </row>
    <row r="4177" spans="1:12">
      <c r="A4177" t="s">
        <v>12287</v>
      </c>
      <c r="B4177" t="s">
        <v>12288</v>
      </c>
      <c r="C4177" t="s">
        <v>12385</v>
      </c>
      <c r="D4177" t="s">
        <v>12290</v>
      </c>
      <c r="E4177" t="s">
        <v>12386</v>
      </c>
      <c r="F4177" t="s">
        <v>12387</v>
      </c>
      <c r="J4177" t="s">
        <v>12386</v>
      </c>
      <c r="K4177" t="s">
        <v>12298</v>
      </c>
      <c r="L4177" t="s">
        <v>851</v>
      </c>
    </row>
    <row r="4178" spans="1:12">
      <c r="A4178" t="s">
        <v>12287</v>
      </c>
      <c r="B4178" t="s">
        <v>12288</v>
      </c>
      <c r="C4178" t="s">
        <v>12388</v>
      </c>
      <c r="D4178" t="s">
        <v>12290</v>
      </c>
      <c r="E4178" t="s">
        <v>1627</v>
      </c>
      <c r="F4178" t="s">
        <v>12389</v>
      </c>
    </row>
    <row r="4179" spans="1:12">
      <c r="A4179" t="s">
        <v>12287</v>
      </c>
      <c r="B4179" t="s">
        <v>12288</v>
      </c>
      <c r="C4179" t="s">
        <v>12390</v>
      </c>
      <c r="D4179" t="s">
        <v>12290</v>
      </c>
      <c r="E4179" t="s">
        <v>12391</v>
      </c>
      <c r="F4179" t="s">
        <v>12392</v>
      </c>
    </row>
    <row r="4180" spans="1:12">
      <c r="A4180" t="s">
        <v>12287</v>
      </c>
      <c r="B4180" t="s">
        <v>12288</v>
      </c>
      <c r="C4180" t="s">
        <v>12393</v>
      </c>
      <c r="D4180" t="s">
        <v>12290</v>
      </c>
      <c r="E4180" t="s">
        <v>10529</v>
      </c>
      <c r="F4180" t="s">
        <v>12394</v>
      </c>
    </row>
    <row r="4181" spans="1:12">
      <c r="A4181" t="s">
        <v>12287</v>
      </c>
      <c r="B4181" t="s">
        <v>12288</v>
      </c>
      <c r="C4181" t="s">
        <v>12395</v>
      </c>
      <c r="D4181" t="s">
        <v>12290</v>
      </c>
      <c r="E4181" t="s">
        <v>12396</v>
      </c>
      <c r="F4181" t="s">
        <v>12397</v>
      </c>
      <c r="J4181" t="s">
        <v>12396</v>
      </c>
      <c r="K4181" t="s">
        <v>12298</v>
      </c>
      <c r="L4181" t="s">
        <v>851</v>
      </c>
    </row>
    <row r="4182" spans="1:12">
      <c r="A4182" t="s">
        <v>12287</v>
      </c>
      <c r="B4182" t="s">
        <v>12288</v>
      </c>
      <c r="C4182" t="s">
        <v>12398</v>
      </c>
      <c r="D4182" t="s">
        <v>12290</v>
      </c>
      <c r="E4182" t="s">
        <v>12399</v>
      </c>
      <c r="F4182" t="s">
        <v>12400</v>
      </c>
    </row>
    <row r="4183" spans="1:12">
      <c r="A4183" t="s">
        <v>12287</v>
      </c>
      <c r="B4183" t="s">
        <v>12288</v>
      </c>
      <c r="C4183" t="s">
        <v>12401</v>
      </c>
      <c r="D4183" t="s">
        <v>12290</v>
      </c>
      <c r="E4183" t="s">
        <v>1642</v>
      </c>
      <c r="F4183" t="s">
        <v>12402</v>
      </c>
    </row>
    <row r="4184" spans="1:12">
      <c r="A4184" t="s">
        <v>12287</v>
      </c>
      <c r="B4184" t="s">
        <v>12288</v>
      </c>
      <c r="C4184" t="s">
        <v>12403</v>
      </c>
      <c r="D4184" t="s">
        <v>12290</v>
      </c>
      <c r="E4184" t="s">
        <v>8675</v>
      </c>
      <c r="F4184" t="s">
        <v>12404</v>
      </c>
    </row>
    <row r="4185" spans="1:12">
      <c r="A4185" t="s">
        <v>12287</v>
      </c>
      <c r="B4185" t="s">
        <v>12288</v>
      </c>
      <c r="C4185" t="s">
        <v>12405</v>
      </c>
      <c r="D4185" t="s">
        <v>12290</v>
      </c>
      <c r="E4185" t="s">
        <v>1645</v>
      </c>
      <c r="F4185" t="s">
        <v>12406</v>
      </c>
    </row>
    <row r="4186" spans="1:12">
      <c r="A4186" t="s">
        <v>12287</v>
      </c>
      <c r="B4186" t="s">
        <v>12288</v>
      </c>
      <c r="C4186" t="s">
        <v>12407</v>
      </c>
      <c r="D4186" t="s">
        <v>12290</v>
      </c>
      <c r="E4186" t="s">
        <v>12408</v>
      </c>
      <c r="F4186" t="s">
        <v>12409</v>
      </c>
    </row>
    <row r="4187" spans="1:12">
      <c r="A4187" t="s">
        <v>12287</v>
      </c>
      <c r="B4187" t="s">
        <v>12288</v>
      </c>
      <c r="C4187" t="s">
        <v>12410</v>
      </c>
      <c r="D4187" t="s">
        <v>12290</v>
      </c>
      <c r="E4187" t="s">
        <v>12411</v>
      </c>
      <c r="F4187" t="s">
        <v>12412</v>
      </c>
    </row>
    <row r="4188" spans="1:12">
      <c r="A4188" t="s">
        <v>12287</v>
      </c>
      <c r="B4188" t="s">
        <v>12288</v>
      </c>
      <c r="C4188" t="s">
        <v>12413</v>
      </c>
      <c r="D4188" t="s">
        <v>12290</v>
      </c>
      <c r="E4188" t="s">
        <v>12414</v>
      </c>
      <c r="F4188" t="s">
        <v>12415</v>
      </c>
    </row>
    <row r="4189" spans="1:12">
      <c r="A4189" t="s">
        <v>12287</v>
      </c>
      <c r="B4189" t="s">
        <v>12288</v>
      </c>
      <c r="C4189" t="s">
        <v>12416</v>
      </c>
      <c r="D4189" t="s">
        <v>12290</v>
      </c>
      <c r="E4189" t="s">
        <v>12417</v>
      </c>
      <c r="F4189" t="s">
        <v>12418</v>
      </c>
      <c r="J4189" t="s">
        <v>12417</v>
      </c>
      <c r="K4189" t="s">
        <v>12298</v>
      </c>
      <c r="L4189" t="s">
        <v>851</v>
      </c>
    </row>
    <row r="4190" spans="1:12">
      <c r="A4190" t="s">
        <v>12287</v>
      </c>
      <c r="B4190" t="s">
        <v>12288</v>
      </c>
      <c r="C4190" t="s">
        <v>12419</v>
      </c>
      <c r="D4190" t="s">
        <v>12290</v>
      </c>
      <c r="E4190" t="s">
        <v>4908</v>
      </c>
      <c r="F4190" t="s">
        <v>12420</v>
      </c>
      <c r="J4190" t="s">
        <v>4908</v>
      </c>
      <c r="K4190" t="s">
        <v>12298</v>
      </c>
      <c r="L4190" t="s">
        <v>851</v>
      </c>
    </row>
    <row r="4191" spans="1:12">
      <c r="A4191" t="s">
        <v>12287</v>
      </c>
      <c r="B4191" t="s">
        <v>12288</v>
      </c>
      <c r="C4191" t="s">
        <v>12421</v>
      </c>
      <c r="D4191" t="s">
        <v>12290</v>
      </c>
      <c r="E4191" t="s">
        <v>12422</v>
      </c>
      <c r="F4191" t="s">
        <v>12423</v>
      </c>
      <c r="J4191" t="s">
        <v>12422</v>
      </c>
      <c r="K4191" t="s">
        <v>12298</v>
      </c>
      <c r="L4191" t="s">
        <v>851</v>
      </c>
    </row>
    <row r="4192" spans="1:12">
      <c r="A4192" t="s">
        <v>12287</v>
      </c>
      <c r="B4192" t="s">
        <v>12288</v>
      </c>
      <c r="C4192" t="s">
        <v>12424</v>
      </c>
      <c r="D4192" t="s">
        <v>12290</v>
      </c>
      <c r="E4192" t="s">
        <v>12425</v>
      </c>
      <c r="F4192" t="s">
        <v>12426</v>
      </c>
      <c r="J4192" t="s">
        <v>12425</v>
      </c>
      <c r="K4192" t="s">
        <v>12298</v>
      </c>
      <c r="L4192" t="s">
        <v>851</v>
      </c>
    </row>
    <row r="4193" spans="1:12">
      <c r="A4193" t="s">
        <v>12287</v>
      </c>
      <c r="B4193" t="s">
        <v>12288</v>
      </c>
      <c r="C4193" t="s">
        <v>12427</v>
      </c>
      <c r="D4193" t="s">
        <v>12290</v>
      </c>
      <c r="E4193" t="s">
        <v>12428</v>
      </c>
      <c r="F4193" t="s">
        <v>12429</v>
      </c>
    </row>
    <row r="4194" spans="1:12">
      <c r="A4194" t="s">
        <v>12287</v>
      </c>
      <c r="B4194" t="s">
        <v>12288</v>
      </c>
      <c r="C4194" t="s">
        <v>12430</v>
      </c>
      <c r="D4194" t="s">
        <v>12290</v>
      </c>
      <c r="E4194" t="s">
        <v>12431</v>
      </c>
      <c r="F4194" t="s">
        <v>12432</v>
      </c>
    </row>
    <row r="4195" spans="1:12">
      <c r="A4195" t="s">
        <v>12287</v>
      </c>
      <c r="B4195" t="s">
        <v>12288</v>
      </c>
      <c r="C4195" t="s">
        <v>12433</v>
      </c>
      <c r="D4195" t="s">
        <v>12290</v>
      </c>
      <c r="E4195" t="s">
        <v>12434</v>
      </c>
      <c r="F4195" t="s">
        <v>12435</v>
      </c>
      <c r="J4195" t="s">
        <v>12434</v>
      </c>
      <c r="K4195" t="s">
        <v>12298</v>
      </c>
      <c r="L4195" t="s">
        <v>851</v>
      </c>
    </row>
    <row r="4196" spans="1:12">
      <c r="A4196" t="s">
        <v>12287</v>
      </c>
      <c r="B4196" t="s">
        <v>12288</v>
      </c>
      <c r="C4196" t="s">
        <v>12436</v>
      </c>
      <c r="D4196" t="s">
        <v>12290</v>
      </c>
      <c r="E4196" t="s">
        <v>12437</v>
      </c>
      <c r="F4196" t="s">
        <v>12438</v>
      </c>
    </row>
    <row r="4197" spans="1:12">
      <c r="A4197" t="s">
        <v>12287</v>
      </c>
      <c r="B4197" t="s">
        <v>12288</v>
      </c>
      <c r="C4197" t="s">
        <v>12439</v>
      </c>
      <c r="D4197" t="s">
        <v>12290</v>
      </c>
      <c r="E4197" t="s">
        <v>10603</v>
      </c>
      <c r="F4197" t="s">
        <v>12440</v>
      </c>
    </row>
    <row r="4198" spans="1:12">
      <c r="A4198" t="s">
        <v>12287</v>
      </c>
      <c r="B4198" t="s">
        <v>12288</v>
      </c>
      <c r="C4198" t="s">
        <v>12441</v>
      </c>
      <c r="D4198" t="s">
        <v>12290</v>
      </c>
      <c r="E4198" t="s">
        <v>12442</v>
      </c>
      <c r="F4198" t="s">
        <v>12443</v>
      </c>
    </row>
    <row r="4199" spans="1:12">
      <c r="A4199" t="s">
        <v>12287</v>
      </c>
      <c r="B4199" t="s">
        <v>12288</v>
      </c>
      <c r="C4199" t="s">
        <v>12444</v>
      </c>
      <c r="D4199" t="s">
        <v>12290</v>
      </c>
      <c r="E4199" t="s">
        <v>4930</v>
      </c>
      <c r="F4199" t="s">
        <v>12445</v>
      </c>
    </row>
    <row r="4200" spans="1:12">
      <c r="A4200" t="s">
        <v>12287</v>
      </c>
      <c r="B4200" t="s">
        <v>12288</v>
      </c>
      <c r="C4200" t="s">
        <v>12446</v>
      </c>
      <c r="D4200" t="s">
        <v>12290</v>
      </c>
      <c r="E4200" t="s">
        <v>1747</v>
      </c>
      <c r="F4200" t="s">
        <v>12447</v>
      </c>
    </row>
    <row r="4201" spans="1:12">
      <c r="A4201" t="s">
        <v>12287</v>
      </c>
      <c r="B4201" t="s">
        <v>12288</v>
      </c>
      <c r="C4201" t="s">
        <v>12448</v>
      </c>
      <c r="D4201" t="s">
        <v>12290</v>
      </c>
      <c r="E4201" t="s">
        <v>3942</v>
      </c>
      <c r="F4201" t="s">
        <v>12449</v>
      </c>
    </row>
    <row r="4202" spans="1:12">
      <c r="A4202" t="s">
        <v>12287</v>
      </c>
      <c r="B4202" t="s">
        <v>12288</v>
      </c>
      <c r="C4202" t="s">
        <v>12450</v>
      </c>
      <c r="D4202" t="s">
        <v>12290</v>
      </c>
      <c r="E4202" t="s">
        <v>1108</v>
      </c>
      <c r="F4202" t="s">
        <v>12451</v>
      </c>
      <c r="J4202" t="s">
        <v>1108</v>
      </c>
      <c r="K4202" t="s">
        <v>12298</v>
      </c>
      <c r="L4202" t="s">
        <v>851</v>
      </c>
    </row>
    <row r="4203" spans="1:12">
      <c r="A4203" t="s">
        <v>12287</v>
      </c>
      <c r="B4203" t="s">
        <v>12288</v>
      </c>
      <c r="C4203" t="s">
        <v>12452</v>
      </c>
      <c r="D4203" t="s">
        <v>12290</v>
      </c>
      <c r="E4203" t="s">
        <v>1111</v>
      </c>
      <c r="F4203" t="s">
        <v>12453</v>
      </c>
    </row>
    <row r="4204" spans="1:12">
      <c r="A4204" t="s">
        <v>12287</v>
      </c>
      <c r="B4204" t="s">
        <v>12288</v>
      </c>
      <c r="C4204" t="s">
        <v>12454</v>
      </c>
      <c r="D4204" t="s">
        <v>12290</v>
      </c>
      <c r="E4204" t="s">
        <v>12455</v>
      </c>
      <c r="F4204" t="s">
        <v>12456</v>
      </c>
      <c r="J4204" t="s">
        <v>12455</v>
      </c>
      <c r="K4204" t="s">
        <v>12298</v>
      </c>
      <c r="L4204" t="s">
        <v>851</v>
      </c>
    </row>
    <row r="4205" spans="1:12">
      <c r="A4205" t="s">
        <v>12287</v>
      </c>
      <c r="B4205" t="s">
        <v>12288</v>
      </c>
      <c r="C4205" t="s">
        <v>12457</v>
      </c>
      <c r="D4205" t="s">
        <v>12290</v>
      </c>
      <c r="E4205" t="s">
        <v>12458</v>
      </c>
      <c r="F4205" t="s">
        <v>12459</v>
      </c>
      <c r="J4205" t="s">
        <v>12458</v>
      </c>
      <c r="K4205" t="s">
        <v>12298</v>
      </c>
      <c r="L4205" t="s">
        <v>851</v>
      </c>
    </row>
    <row r="4206" spans="1:12">
      <c r="A4206" t="s">
        <v>12287</v>
      </c>
      <c r="B4206" t="s">
        <v>12288</v>
      </c>
      <c r="C4206" t="s">
        <v>12460</v>
      </c>
      <c r="D4206" t="s">
        <v>12290</v>
      </c>
      <c r="E4206" t="s">
        <v>12461</v>
      </c>
      <c r="F4206" t="s">
        <v>12462</v>
      </c>
      <c r="J4206" t="s">
        <v>12461</v>
      </c>
      <c r="K4206" t="s">
        <v>12298</v>
      </c>
      <c r="L4206" t="s">
        <v>851</v>
      </c>
    </row>
    <row r="4207" spans="1:12">
      <c r="A4207" t="s">
        <v>12287</v>
      </c>
      <c r="B4207" t="s">
        <v>12288</v>
      </c>
      <c r="C4207" t="s">
        <v>12463</v>
      </c>
      <c r="D4207" t="s">
        <v>12290</v>
      </c>
      <c r="E4207" t="s">
        <v>4952</v>
      </c>
      <c r="F4207" t="s">
        <v>12464</v>
      </c>
      <c r="J4207" t="s">
        <v>4952</v>
      </c>
      <c r="K4207" t="s">
        <v>12298</v>
      </c>
      <c r="L4207" t="s">
        <v>851</v>
      </c>
    </row>
    <row r="4208" spans="1:12">
      <c r="A4208" t="s">
        <v>12287</v>
      </c>
      <c r="B4208" t="s">
        <v>12288</v>
      </c>
      <c r="C4208" t="s">
        <v>12465</v>
      </c>
      <c r="D4208" t="s">
        <v>12290</v>
      </c>
      <c r="E4208" t="s">
        <v>8738</v>
      </c>
      <c r="F4208" t="s">
        <v>12466</v>
      </c>
    </row>
    <row r="4209" spans="1:12">
      <c r="A4209" t="s">
        <v>12287</v>
      </c>
      <c r="B4209" t="s">
        <v>12288</v>
      </c>
      <c r="C4209" t="s">
        <v>12467</v>
      </c>
      <c r="D4209" t="s">
        <v>12290</v>
      </c>
      <c r="E4209" t="s">
        <v>12468</v>
      </c>
      <c r="F4209" t="s">
        <v>12469</v>
      </c>
    </row>
    <row r="4210" spans="1:12">
      <c r="A4210" t="s">
        <v>12287</v>
      </c>
      <c r="B4210" t="s">
        <v>12288</v>
      </c>
      <c r="C4210" t="s">
        <v>12470</v>
      </c>
      <c r="D4210" t="s">
        <v>12290</v>
      </c>
      <c r="E4210" t="s">
        <v>12471</v>
      </c>
      <c r="F4210" t="s">
        <v>12472</v>
      </c>
      <c r="J4210" t="s">
        <v>12471</v>
      </c>
      <c r="K4210" t="s">
        <v>12298</v>
      </c>
      <c r="L4210" t="s">
        <v>851</v>
      </c>
    </row>
    <row r="4211" spans="1:12">
      <c r="A4211" t="s">
        <v>12287</v>
      </c>
      <c r="B4211" t="s">
        <v>12288</v>
      </c>
      <c r="C4211" t="s">
        <v>12473</v>
      </c>
      <c r="D4211" t="s">
        <v>12290</v>
      </c>
      <c r="E4211" t="s">
        <v>12474</v>
      </c>
      <c r="F4211" t="s">
        <v>12475</v>
      </c>
      <c r="J4211" t="s">
        <v>12474</v>
      </c>
      <c r="K4211" t="s">
        <v>12298</v>
      </c>
      <c r="L4211" t="s">
        <v>851</v>
      </c>
    </row>
    <row r="4212" spans="1:12">
      <c r="A4212" t="s">
        <v>12287</v>
      </c>
      <c r="B4212" t="s">
        <v>12288</v>
      </c>
      <c r="C4212" t="s">
        <v>12476</v>
      </c>
      <c r="D4212" t="s">
        <v>12290</v>
      </c>
      <c r="E4212" t="s">
        <v>11163</v>
      </c>
      <c r="F4212" t="s">
        <v>12477</v>
      </c>
    </row>
    <row r="4213" spans="1:12">
      <c r="A4213" t="s">
        <v>12287</v>
      </c>
      <c r="B4213" t="s">
        <v>12288</v>
      </c>
      <c r="C4213" t="s">
        <v>12478</v>
      </c>
      <c r="D4213" t="s">
        <v>12290</v>
      </c>
      <c r="E4213" t="s">
        <v>8796</v>
      </c>
      <c r="F4213" t="s">
        <v>12479</v>
      </c>
    </row>
    <row r="4214" spans="1:12">
      <c r="A4214" t="s">
        <v>12287</v>
      </c>
      <c r="B4214" t="s">
        <v>12288</v>
      </c>
      <c r="C4214" t="s">
        <v>12480</v>
      </c>
      <c r="D4214" t="s">
        <v>12290</v>
      </c>
      <c r="E4214" t="s">
        <v>12481</v>
      </c>
      <c r="F4214" t="s">
        <v>12482</v>
      </c>
    </row>
    <row r="4215" spans="1:12">
      <c r="A4215" t="s">
        <v>12287</v>
      </c>
      <c r="B4215" t="s">
        <v>12288</v>
      </c>
      <c r="C4215" t="s">
        <v>12483</v>
      </c>
      <c r="D4215" t="s">
        <v>12290</v>
      </c>
      <c r="E4215" t="s">
        <v>12484</v>
      </c>
      <c r="F4215" t="s">
        <v>12485</v>
      </c>
    </row>
    <row r="4216" spans="1:12">
      <c r="A4216" t="s">
        <v>12287</v>
      </c>
      <c r="B4216" t="s">
        <v>12288</v>
      </c>
      <c r="C4216" t="s">
        <v>12486</v>
      </c>
      <c r="D4216" t="s">
        <v>12290</v>
      </c>
      <c r="E4216" t="s">
        <v>1923</v>
      </c>
      <c r="F4216" t="s">
        <v>12487</v>
      </c>
    </row>
    <row r="4217" spans="1:12">
      <c r="A4217" t="s">
        <v>12287</v>
      </c>
      <c r="B4217" t="s">
        <v>12288</v>
      </c>
      <c r="C4217" t="s">
        <v>12488</v>
      </c>
      <c r="D4217" t="s">
        <v>12290</v>
      </c>
      <c r="E4217" t="s">
        <v>12489</v>
      </c>
      <c r="F4217" t="s">
        <v>12490</v>
      </c>
      <c r="J4217" t="s">
        <v>12489</v>
      </c>
      <c r="K4217" t="s">
        <v>12298</v>
      </c>
      <c r="L4217" t="s">
        <v>851</v>
      </c>
    </row>
    <row r="4218" spans="1:12">
      <c r="A4218" t="s">
        <v>12287</v>
      </c>
      <c r="B4218" t="s">
        <v>12288</v>
      </c>
      <c r="C4218" t="s">
        <v>12491</v>
      </c>
      <c r="D4218" t="s">
        <v>12290</v>
      </c>
      <c r="E4218" t="s">
        <v>11559</v>
      </c>
      <c r="F4218" t="s">
        <v>12492</v>
      </c>
    </row>
    <row r="4219" spans="1:12">
      <c r="A4219" t="s">
        <v>12287</v>
      </c>
      <c r="B4219" t="s">
        <v>12288</v>
      </c>
      <c r="C4219" t="s">
        <v>12493</v>
      </c>
      <c r="D4219" t="s">
        <v>12290</v>
      </c>
      <c r="E4219" t="s">
        <v>12494</v>
      </c>
      <c r="F4219" t="s">
        <v>12495</v>
      </c>
      <c r="J4219" t="s">
        <v>12494</v>
      </c>
      <c r="K4219" t="s">
        <v>12298</v>
      </c>
      <c r="L4219" t="s">
        <v>851</v>
      </c>
    </row>
    <row r="4220" spans="1:12">
      <c r="A4220" t="s">
        <v>12287</v>
      </c>
      <c r="B4220" t="s">
        <v>12288</v>
      </c>
      <c r="C4220" t="s">
        <v>12496</v>
      </c>
      <c r="D4220" t="s">
        <v>12290</v>
      </c>
      <c r="E4220" t="s">
        <v>12497</v>
      </c>
      <c r="F4220" t="s">
        <v>12498</v>
      </c>
      <c r="J4220" t="s">
        <v>12497</v>
      </c>
      <c r="K4220" t="s">
        <v>12298</v>
      </c>
      <c r="L4220" t="s">
        <v>851</v>
      </c>
    </row>
    <row r="4221" spans="1:12">
      <c r="A4221" t="s">
        <v>12287</v>
      </c>
      <c r="B4221" t="s">
        <v>12288</v>
      </c>
      <c r="C4221" t="s">
        <v>12499</v>
      </c>
      <c r="D4221" t="s">
        <v>12290</v>
      </c>
      <c r="E4221" t="s">
        <v>12500</v>
      </c>
      <c r="F4221" t="s">
        <v>12501</v>
      </c>
      <c r="J4221" t="s">
        <v>12500</v>
      </c>
      <c r="K4221" t="s">
        <v>12298</v>
      </c>
      <c r="L4221" t="s">
        <v>851</v>
      </c>
    </row>
    <row r="4222" spans="1:12">
      <c r="A4222" t="s">
        <v>12287</v>
      </c>
      <c r="B4222" t="s">
        <v>12288</v>
      </c>
      <c r="C4222" t="s">
        <v>12502</v>
      </c>
      <c r="D4222" t="s">
        <v>12290</v>
      </c>
      <c r="E4222" t="s">
        <v>12503</v>
      </c>
      <c r="F4222" t="s">
        <v>12504</v>
      </c>
      <c r="J4222" t="s">
        <v>12503</v>
      </c>
      <c r="K4222" t="s">
        <v>12298</v>
      </c>
      <c r="L4222" t="s">
        <v>851</v>
      </c>
    </row>
    <row r="4223" spans="1:12">
      <c r="A4223" t="s">
        <v>12287</v>
      </c>
      <c r="B4223" t="s">
        <v>12288</v>
      </c>
      <c r="C4223" t="s">
        <v>12505</v>
      </c>
      <c r="D4223" t="s">
        <v>12290</v>
      </c>
      <c r="E4223" t="s">
        <v>12506</v>
      </c>
      <c r="F4223" t="s">
        <v>12507</v>
      </c>
    </row>
    <row r="4224" spans="1:12">
      <c r="A4224" t="s">
        <v>12287</v>
      </c>
      <c r="B4224" t="s">
        <v>12288</v>
      </c>
      <c r="C4224" t="s">
        <v>12508</v>
      </c>
      <c r="D4224" t="s">
        <v>12290</v>
      </c>
      <c r="E4224" t="s">
        <v>1977</v>
      </c>
      <c r="F4224" t="s">
        <v>12509</v>
      </c>
    </row>
    <row r="4225" spans="1:12">
      <c r="A4225" t="s">
        <v>12287</v>
      </c>
      <c r="B4225" t="s">
        <v>12288</v>
      </c>
      <c r="C4225" t="s">
        <v>12510</v>
      </c>
      <c r="D4225" t="s">
        <v>12290</v>
      </c>
      <c r="E4225" t="s">
        <v>12511</v>
      </c>
      <c r="F4225" t="s">
        <v>12512</v>
      </c>
      <c r="J4225" t="s">
        <v>12511</v>
      </c>
      <c r="K4225" t="s">
        <v>12298</v>
      </c>
      <c r="L4225" t="s">
        <v>851</v>
      </c>
    </row>
    <row r="4226" spans="1:12">
      <c r="A4226" t="s">
        <v>12287</v>
      </c>
      <c r="B4226" t="s">
        <v>12288</v>
      </c>
      <c r="C4226" t="s">
        <v>12513</v>
      </c>
      <c r="D4226" t="s">
        <v>12290</v>
      </c>
      <c r="E4226" t="s">
        <v>4975</v>
      </c>
      <c r="F4226" t="s">
        <v>12514</v>
      </c>
    </row>
    <row r="4227" spans="1:12">
      <c r="A4227" t="s">
        <v>12287</v>
      </c>
      <c r="B4227" t="s">
        <v>12288</v>
      </c>
      <c r="C4227" t="s">
        <v>12515</v>
      </c>
      <c r="D4227" t="s">
        <v>12290</v>
      </c>
      <c r="E4227" t="s">
        <v>12516</v>
      </c>
      <c r="F4227" t="s">
        <v>12517</v>
      </c>
    </row>
    <row r="4228" spans="1:12">
      <c r="A4228" t="s">
        <v>12287</v>
      </c>
      <c r="B4228" t="s">
        <v>12288</v>
      </c>
      <c r="C4228" t="s">
        <v>12518</v>
      </c>
      <c r="D4228" t="s">
        <v>12290</v>
      </c>
      <c r="E4228" t="s">
        <v>12519</v>
      </c>
      <c r="F4228" t="s">
        <v>12520</v>
      </c>
    </row>
    <row r="4229" spans="1:12">
      <c r="A4229" t="s">
        <v>12287</v>
      </c>
      <c r="B4229" t="s">
        <v>12288</v>
      </c>
      <c r="C4229" t="s">
        <v>12521</v>
      </c>
      <c r="D4229" t="s">
        <v>12290</v>
      </c>
      <c r="E4229" t="s">
        <v>12522</v>
      </c>
      <c r="F4229" t="s">
        <v>12523</v>
      </c>
    </row>
    <row r="4230" spans="1:12">
      <c r="A4230" t="s">
        <v>12287</v>
      </c>
      <c r="B4230" t="s">
        <v>12288</v>
      </c>
      <c r="C4230" t="s">
        <v>12524</v>
      </c>
      <c r="D4230" t="s">
        <v>12290</v>
      </c>
      <c r="E4230" t="s">
        <v>12525</v>
      </c>
      <c r="F4230" t="s">
        <v>12526</v>
      </c>
      <c r="J4230" t="s">
        <v>12525</v>
      </c>
      <c r="K4230" t="s">
        <v>12298</v>
      </c>
      <c r="L4230" t="s">
        <v>851</v>
      </c>
    </row>
    <row r="4231" spans="1:12">
      <c r="A4231" t="s">
        <v>12287</v>
      </c>
      <c r="B4231" t="s">
        <v>12288</v>
      </c>
      <c r="C4231" t="s">
        <v>12527</v>
      </c>
      <c r="D4231" t="s">
        <v>12290</v>
      </c>
      <c r="E4231" t="s">
        <v>12528</v>
      </c>
      <c r="F4231" t="s">
        <v>12529</v>
      </c>
      <c r="J4231" t="s">
        <v>12528</v>
      </c>
      <c r="K4231" t="s">
        <v>12298</v>
      </c>
      <c r="L4231" t="s">
        <v>851</v>
      </c>
    </row>
    <row r="4232" spans="1:12">
      <c r="A4232" t="s">
        <v>12287</v>
      </c>
      <c r="B4232" t="s">
        <v>12288</v>
      </c>
      <c r="C4232" t="s">
        <v>12530</v>
      </c>
      <c r="D4232" t="s">
        <v>12290</v>
      </c>
      <c r="E4232" t="s">
        <v>8908</v>
      </c>
      <c r="F4232" t="s">
        <v>12531</v>
      </c>
    </row>
    <row r="4233" spans="1:12">
      <c r="A4233" t="s">
        <v>12287</v>
      </c>
      <c r="B4233" t="s">
        <v>12288</v>
      </c>
      <c r="C4233" t="s">
        <v>12532</v>
      </c>
      <c r="D4233" t="s">
        <v>12290</v>
      </c>
      <c r="E4233" t="s">
        <v>12533</v>
      </c>
      <c r="F4233" t="s">
        <v>12534</v>
      </c>
    </row>
    <row r="4234" spans="1:12">
      <c r="A4234" t="s">
        <v>12287</v>
      </c>
      <c r="B4234" t="s">
        <v>12288</v>
      </c>
      <c r="C4234" t="s">
        <v>12535</v>
      </c>
      <c r="D4234" t="s">
        <v>12290</v>
      </c>
      <c r="E4234" t="s">
        <v>12536</v>
      </c>
      <c r="F4234" t="s">
        <v>12537</v>
      </c>
      <c r="J4234" t="s">
        <v>12536</v>
      </c>
      <c r="K4234" t="s">
        <v>12298</v>
      </c>
      <c r="L4234" t="s">
        <v>851</v>
      </c>
    </row>
    <row r="4235" spans="1:12">
      <c r="A4235" t="s">
        <v>12287</v>
      </c>
      <c r="B4235" t="s">
        <v>12288</v>
      </c>
      <c r="C4235" t="s">
        <v>12538</v>
      </c>
      <c r="D4235" t="s">
        <v>12290</v>
      </c>
      <c r="E4235" t="s">
        <v>12539</v>
      </c>
      <c r="F4235" t="s">
        <v>12540</v>
      </c>
    </row>
    <row r="4236" spans="1:12">
      <c r="A4236" t="s">
        <v>12287</v>
      </c>
      <c r="B4236" t="s">
        <v>12288</v>
      </c>
      <c r="C4236" t="s">
        <v>12541</v>
      </c>
      <c r="D4236" t="s">
        <v>12290</v>
      </c>
      <c r="E4236" t="s">
        <v>12542</v>
      </c>
      <c r="F4236" t="s">
        <v>12543</v>
      </c>
    </row>
    <row r="4237" spans="1:12">
      <c r="A4237" t="s">
        <v>12287</v>
      </c>
      <c r="B4237" t="s">
        <v>12288</v>
      </c>
      <c r="C4237" t="s">
        <v>12544</v>
      </c>
      <c r="D4237" t="s">
        <v>12290</v>
      </c>
      <c r="E4237" t="s">
        <v>12545</v>
      </c>
      <c r="F4237" t="s">
        <v>12546</v>
      </c>
    </row>
    <row r="4238" spans="1:12">
      <c r="A4238" t="s">
        <v>12287</v>
      </c>
      <c r="B4238" t="s">
        <v>12288</v>
      </c>
      <c r="C4238" t="s">
        <v>12547</v>
      </c>
      <c r="D4238" t="s">
        <v>12290</v>
      </c>
      <c r="E4238" t="s">
        <v>12548</v>
      </c>
      <c r="F4238" t="s">
        <v>12549</v>
      </c>
    </row>
    <row r="4239" spans="1:12">
      <c r="A4239" t="s">
        <v>12287</v>
      </c>
      <c r="B4239" t="s">
        <v>12288</v>
      </c>
      <c r="C4239" t="s">
        <v>12550</v>
      </c>
      <c r="D4239" t="s">
        <v>12290</v>
      </c>
      <c r="E4239" t="s">
        <v>1998</v>
      </c>
      <c r="F4239" t="s">
        <v>12551</v>
      </c>
    </row>
    <row r="4240" spans="1:12">
      <c r="A4240" t="s">
        <v>12287</v>
      </c>
      <c r="B4240" t="s">
        <v>12288</v>
      </c>
      <c r="C4240" t="s">
        <v>12552</v>
      </c>
      <c r="D4240" t="s">
        <v>12290</v>
      </c>
      <c r="E4240" t="s">
        <v>12553</v>
      </c>
      <c r="F4240" t="s">
        <v>12554</v>
      </c>
    </row>
    <row r="4241" spans="1:12">
      <c r="A4241" t="s">
        <v>12287</v>
      </c>
      <c r="B4241" t="s">
        <v>12288</v>
      </c>
      <c r="C4241" t="s">
        <v>12555</v>
      </c>
      <c r="D4241" t="s">
        <v>12290</v>
      </c>
      <c r="E4241" t="s">
        <v>12556</v>
      </c>
      <c r="F4241" t="s">
        <v>12557</v>
      </c>
      <c r="J4241" t="s">
        <v>12556</v>
      </c>
      <c r="K4241" t="s">
        <v>12298</v>
      </c>
      <c r="L4241" t="s">
        <v>851</v>
      </c>
    </row>
    <row r="4242" spans="1:12">
      <c r="A4242" t="s">
        <v>12287</v>
      </c>
      <c r="B4242" t="s">
        <v>12288</v>
      </c>
      <c r="C4242" t="s">
        <v>12558</v>
      </c>
      <c r="D4242" t="s">
        <v>12290</v>
      </c>
      <c r="E4242" t="s">
        <v>12559</v>
      </c>
      <c r="F4242" t="s">
        <v>12560</v>
      </c>
    </row>
    <row r="4243" spans="1:12">
      <c r="A4243" t="s">
        <v>12287</v>
      </c>
      <c r="B4243" t="s">
        <v>12288</v>
      </c>
      <c r="C4243" t="s">
        <v>12561</v>
      </c>
      <c r="D4243" t="s">
        <v>12290</v>
      </c>
      <c r="E4243" t="s">
        <v>12562</v>
      </c>
      <c r="F4243" t="s">
        <v>12563</v>
      </c>
      <c r="J4243" t="s">
        <v>12562</v>
      </c>
      <c r="K4243" t="s">
        <v>12298</v>
      </c>
      <c r="L4243" t="s">
        <v>851</v>
      </c>
    </row>
    <row r="4244" spans="1:12">
      <c r="A4244" t="s">
        <v>12287</v>
      </c>
      <c r="B4244" t="s">
        <v>12288</v>
      </c>
      <c r="C4244" t="s">
        <v>12564</v>
      </c>
      <c r="D4244" t="s">
        <v>12290</v>
      </c>
      <c r="E4244" t="s">
        <v>8963</v>
      </c>
      <c r="F4244" t="s">
        <v>12565</v>
      </c>
    </row>
    <row r="4245" spans="1:12">
      <c r="A4245" t="s">
        <v>12287</v>
      </c>
      <c r="B4245" t="s">
        <v>12288</v>
      </c>
      <c r="C4245" t="s">
        <v>12566</v>
      </c>
      <c r="D4245" t="s">
        <v>12290</v>
      </c>
      <c r="E4245" t="s">
        <v>12567</v>
      </c>
      <c r="F4245" t="s">
        <v>12568</v>
      </c>
      <c r="J4245" t="s">
        <v>12567</v>
      </c>
      <c r="K4245" t="s">
        <v>12298</v>
      </c>
      <c r="L4245" t="s">
        <v>851</v>
      </c>
    </row>
    <row r="4246" spans="1:12">
      <c r="A4246" t="s">
        <v>12287</v>
      </c>
      <c r="B4246" t="s">
        <v>12288</v>
      </c>
      <c r="C4246" t="s">
        <v>12569</v>
      </c>
      <c r="D4246" t="s">
        <v>12290</v>
      </c>
      <c r="E4246" t="s">
        <v>7880</v>
      </c>
      <c r="F4246" t="s">
        <v>12570</v>
      </c>
    </row>
    <row r="4247" spans="1:12">
      <c r="A4247" t="s">
        <v>12287</v>
      </c>
      <c r="B4247" t="s">
        <v>12288</v>
      </c>
      <c r="C4247" t="s">
        <v>12571</v>
      </c>
      <c r="D4247" t="s">
        <v>12290</v>
      </c>
      <c r="E4247" t="s">
        <v>12572</v>
      </c>
      <c r="F4247" t="s">
        <v>12573</v>
      </c>
    </row>
    <row r="4248" spans="1:12">
      <c r="A4248" t="s">
        <v>12287</v>
      </c>
      <c r="B4248" t="s">
        <v>12288</v>
      </c>
      <c r="C4248" t="s">
        <v>12574</v>
      </c>
      <c r="D4248" t="s">
        <v>12290</v>
      </c>
      <c r="E4248" t="s">
        <v>9004</v>
      </c>
      <c r="F4248" t="s">
        <v>12575</v>
      </c>
      <c r="J4248" t="s">
        <v>9004</v>
      </c>
      <c r="K4248" t="s">
        <v>12298</v>
      </c>
      <c r="L4248" t="s">
        <v>851</v>
      </c>
    </row>
    <row r="4249" spans="1:12">
      <c r="A4249" t="s">
        <v>12287</v>
      </c>
      <c r="B4249" t="s">
        <v>12288</v>
      </c>
      <c r="C4249" t="s">
        <v>12576</v>
      </c>
      <c r="D4249" t="s">
        <v>12290</v>
      </c>
      <c r="E4249" t="s">
        <v>3762</v>
      </c>
      <c r="F4249" t="s">
        <v>12577</v>
      </c>
    </row>
    <row r="4250" spans="1:12">
      <c r="A4250" t="s">
        <v>12287</v>
      </c>
      <c r="B4250" t="s">
        <v>12288</v>
      </c>
      <c r="C4250" t="s">
        <v>12578</v>
      </c>
      <c r="D4250" t="s">
        <v>12290</v>
      </c>
      <c r="E4250" t="s">
        <v>12579</v>
      </c>
      <c r="F4250" t="s">
        <v>12580</v>
      </c>
      <c r="J4250" t="s">
        <v>12579</v>
      </c>
      <c r="K4250" t="s">
        <v>12298</v>
      </c>
      <c r="L4250" t="s">
        <v>851</v>
      </c>
    </row>
    <row r="4251" spans="1:12">
      <c r="A4251" t="s">
        <v>12287</v>
      </c>
      <c r="B4251" t="s">
        <v>12288</v>
      </c>
      <c r="C4251" t="s">
        <v>12581</v>
      </c>
      <c r="D4251" t="s">
        <v>12290</v>
      </c>
      <c r="E4251" t="s">
        <v>12582</v>
      </c>
      <c r="F4251" t="s">
        <v>12583</v>
      </c>
    </row>
    <row r="4252" spans="1:12">
      <c r="A4252" t="s">
        <v>12287</v>
      </c>
      <c r="B4252" t="s">
        <v>12288</v>
      </c>
      <c r="C4252" t="s">
        <v>12584</v>
      </c>
      <c r="D4252" t="s">
        <v>12290</v>
      </c>
      <c r="E4252" t="s">
        <v>2058</v>
      </c>
      <c r="F4252" t="s">
        <v>12585</v>
      </c>
    </row>
    <row r="4253" spans="1:12">
      <c r="A4253" t="s">
        <v>12287</v>
      </c>
      <c r="B4253" t="s">
        <v>12288</v>
      </c>
      <c r="C4253" t="s">
        <v>12586</v>
      </c>
      <c r="D4253" t="s">
        <v>12290</v>
      </c>
      <c r="E4253" t="s">
        <v>742</v>
      </c>
      <c r="F4253" t="s">
        <v>12587</v>
      </c>
    </row>
    <row r="4254" spans="1:12">
      <c r="A4254" t="s">
        <v>12287</v>
      </c>
      <c r="B4254" t="s">
        <v>12288</v>
      </c>
      <c r="C4254" t="s">
        <v>12588</v>
      </c>
      <c r="D4254" t="s">
        <v>12290</v>
      </c>
      <c r="E4254" t="s">
        <v>12589</v>
      </c>
      <c r="F4254" t="s">
        <v>12590</v>
      </c>
    </row>
    <row r="4255" spans="1:12">
      <c r="A4255" t="s">
        <v>12287</v>
      </c>
      <c r="B4255" t="s">
        <v>12288</v>
      </c>
      <c r="C4255" t="s">
        <v>12591</v>
      </c>
      <c r="D4255" t="s">
        <v>12290</v>
      </c>
      <c r="E4255" t="s">
        <v>12592</v>
      </c>
      <c r="F4255" t="s">
        <v>12593</v>
      </c>
    </row>
    <row r="4256" spans="1:12">
      <c r="A4256" t="s">
        <v>12287</v>
      </c>
      <c r="B4256" t="s">
        <v>12288</v>
      </c>
      <c r="C4256" t="s">
        <v>12594</v>
      </c>
      <c r="D4256" t="s">
        <v>12290</v>
      </c>
      <c r="E4256" t="s">
        <v>1042</v>
      </c>
      <c r="F4256" t="s">
        <v>12595</v>
      </c>
    </row>
    <row r="4257" spans="1:12">
      <c r="A4257" t="s">
        <v>12287</v>
      </c>
      <c r="B4257" t="s">
        <v>12288</v>
      </c>
      <c r="C4257" t="s">
        <v>12596</v>
      </c>
      <c r="D4257" t="s">
        <v>12290</v>
      </c>
      <c r="E4257" t="s">
        <v>12597</v>
      </c>
      <c r="F4257" t="s">
        <v>12598</v>
      </c>
    </row>
    <row r="4258" spans="1:12">
      <c r="A4258" t="s">
        <v>12287</v>
      </c>
      <c r="B4258" t="s">
        <v>12288</v>
      </c>
      <c r="C4258" t="s">
        <v>12599</v>
      </c>
      <c r="D4258" t="s">
        <v>12290</v>
      </c>
      <c r="E4258" t="s">
        <v>12600</v>
      </c>
      <c r="F4258" t="s">
        <v>12601</v>
      </c>
    </row>
    <row r="4259" spans="1:12">
      <c r="A4259" t="s">
        <v>12287</v>
      </c>
      <c r="B4259" t="s">
        <v>12288</v>
      </c>
      <c r="C4259" t="s">
        <v>12602</v>
      </c>
      <c r="D4259" t="s">
        <v>12290</v>
      </c>
      <c r="E4259" t="s">
        <v>12603</v>
      </c>
      <c r="F4259" t="s">
        <v>12604</v>
      </c>
    </row>
    <row r="4260" spans="1:12">
      <c r="A4260" t="s">
        <v>12287</v>
      </c>
      <c r="B4260" t="s">
        <v>12288</v>
      </c>
      <c r="C4260" t="s">
        <v>12605</v>
      </c>
      <c r="D4260" t="s">
        <v>12290</v>
      </c>
      <c r="E4260" t="s">
        <v>12606</v>
      </c>
      <c r="F4260" t="s">
        <v>12607</v>
      </c>
    </row>
    <row r="4261" spans="1:12">
      <c r="A4261" t="s">
        <v>12287</v>
      </c>
      <c r="B4261" t="s">
        <v>12288</v>
      </c>
      <c r="C4261" t="s">
        <v>12608</v>
      </c>
      <c r="D4261" t="s">
        <v>12290</v>
      </c>
      <c r="E4261" t="s">
        <v>12609</v>
      </c>
      <c r="F4261" t="s">
        <v>12610</v>
      </c>
    </row>
    <row r="4262" spans="1:12">
      <c r="A4262" t="s">
        <v>12287</v>
      </c>
      <c r="B4262" t="s">
        <v>12288</v>
      </c>
      <c r="C4262" t="s">
        <v>12611</v>
      </c>
      <c r="D4262" t="s">
        <v>12290</v>
      </c>
      <c r="E4262" t="s">
        <v>12612</v>
      </c>
      <c r="F4262" t="s">
        <v>12613</v>
      </c>
    </row>
    <row r="4263" spans="1:12">
      <c r="A4263" t="s">
        <v>12287</v>
      </c>
      <c r="B4263" t="s">
        <v>12288</v>
      </c>
      <c r="C4263" t="s">
        <v>12614</v>
      </c>
      <c r="D4263" t="s">
        <v>12290</v>
      </c>
      <c r="E4263" t="s">
        <v>12615</v>
      </c>
      <c r="F4263" t="s">
        <v>12616</v>
      </c>
    </row>
    <row r="4264" spans="1:12">
      <c r="A4264" t="s">
        <v>12287</v>
      </c>
      <c r="B4264" t="s">
        <v>12288</v>
      </c>
      <c r="C4264" t="s">
        <v>12617</v>
      </c>
      <c r="D4264" t="s">
        <v>12290</v>
      </c>
      <c r="E4264" t="s">
        <v>12618</v>
      </c>
      <c r="F4264" t="s">
        <v>12619</v>
      </c>
    </row>
    <row r="4265" spans="1:12">
      <c r="A4265" t="s">
        <v>12287</v>
      </c>
      <c r="B4265" t="s">
        <v>12288</v>
      </c>
      <c r="C4265" t="s">
        <v>12620</v>
      </c>
      <c r="D4265" t="s">
        <v>12290</v>
      </c>
      <c r="E4265" t="s">
        <v>12621</v>
      </c>
      <c r="F4265" t="s">
        <v>12622</v>
      </c>
    </row>
    <row r="4266" spans="1:12">
      <c r="A4266" t="s">
        <v>12287</v>
      </c>
      <c r="B4266" t="s">
        <v>12288</v>
      </c>
      <c r="C4266" t="s">
        <v>12623</v>
      </c>
      <c r="D4266" t="s">
        <v>12290</v>
      </c>
      <c r="E4266" t="s">
        <v>9116</v>
      </c>
      <c r="F4266" t="s">
        <v>12624</v>
      </c>
      <c r="J4266" t="s">
        <v>9116</v>
      </c>
      <c r="K4266" t="s">
        <v>12298</v>
      </c>
      <c r="L4266" t="s">
        <v>851</v>
      </c>
    </row>
    <row r="4267" spans="1:12">
      <c r="A4267" t="s">
        <v>12287</v>
      </c>
      <c r="B4267" t="s">
        <v>12288</v>
      </c>
      <c r="C4267" t="s">
        <v>12625</v>
      </c>
      <c r="D4267" t="s">
        <v>12290</v>
      </c>
      <c r="E4267" t="s">
        <v>9134</v>
      </c>
      <c r="F4267" t="s">
        <v>12626</v>
      </c>
    </row>
    <row r="4268" spans="1:12">
      <c r="A4268" t="s">
        <v>12287</v>
      </c>
      <c r="B4268" t="s">
        <v>12288</v>
      </c>
      <c r="C4268" t="s">
        <v>12627</v>
      </c>
      <c r="D4268" t="s">
        <v>12290</v>
      </c>
      <c r="E4268" t="s">
        <v>12628</v>
      </c>
      <c r="F4268" t="s">
        <v>12629</v>
      </c>
    </row>
    <row r="4269" spans="1:12">
      <c r="A4269" t="s">
        <v>12287</v>
      </c>
      <c r="B4269" t="s">
        <v>12288</v>
      </c>
      <c r="C4269" t="s">
        <v>12630</v>
      </c>
      <c r="D4269" t="s">
        <v>12290</v>
      </c>
      <c r="E4269" t="s">
        <v>12631</v>
      </c>
      <c r="F4269" t="s">
        <v>12632</v>
      </c>
      <c r="J4269" t="s">
        <v>12631</v>
      </c>
      <c r="K4269" t="s">
        <v>12298</v>
      </c>
      <c r="L4269" t="s">
        <v>851</v>
      </c>
    </row>
    <row r="4270" spans="1:12">
      <c r="A4270" t="s">
        <v>12287</v>
      </c>
      <c r="B4270" t="s">
        <v>12288</v>
      </c>
      <c r="C4270" t="s">
        <v>12633</v>
      </c>
      <c r="D4270" t="s">
        <v>12290</v>
      </c>
      <c r="E4270" t="s">
        <v>12634</v>
      </c>
      <c r="F4270" t="s">
        <v>12635</v>
      </c>
    </row>
    <row r="4271" spans="1:12">
      <c r="A4271" t="s">
        <v>12287</v>
      </c>
      <c r="B4271" t="s">
        <v>12288</v>
      </c>
      <c r="C4271" t="s">
        <v>12636</v>
      </c>
      <c r="D4271" t="s">
        <v>12290</v>
      </c>
      <c r="E4271" t="s">
        <v>12637</v>
      </c>
      <c r="F4271" t="s">
        <v>12638</v>
      </c>
    </row>
    <row r="4272" spans="1:12">
      <c r="A4272" t="s">
        <v>12287</v>
      </c>
      <c r="B4272" t="s">
        <v>12288</v>
      </c>
      <c r="C4272" t="s">
        <v>12639</v>
      </c>
      <c r="D4272" t="s">
        <v>12290</v>
      </c>
      <c r="E4272" t="s">
        <v>12640</v>
      </c>
      <c r="F4272" t="s">
        <v>12641</v>
      </c>
    </row>
    <row r="4273" spans="1:12">
      <c r="A4273" t="s">
        <v>12287</v>
      </c>
      <c r="B4273" t="s">
        <v>12288</v>
      </c>
      <c r="C4273" t="s">
        <v>12642</v>
      </c>
      <c r="D4273" t="s">
        <v>12290</v>
      </c>
      <c r="E4273" t="s">
        <v>12643</v>
      </c>
      <c r="F4273" t="s">
        <v>12644</v>
      </c>
      <c r="J4273" t="s">
        <v>12643</v>
      </c>
      <c r="K4273" t="s">
        <v>12298</v>
      </c>
      <c r="L4273" t="s">
        <v>851</v>
      </c>
    </row>
    <row r="4274" spans="1:12">
      <c r="A4274" t="s">
        <v>12287</v>
      </c>
      <c r="B4274" t="s">
        <v>12288</v>
      </c>
      <c r="C4274" t="s">
        <v>12645</v>
      </c>
      <c r="D4274" t="s">
        <v>12290</v>
      </c>
      <c r="E4274" t="s">
        <v>12646</v>
      </c>
      <c r="F4274" t="s">
        <v>12647</v>
      </c>
    </row>
    <row r="4275" spans="1:12">
      <c r="A4275" t="s">
        <v>12287</v>
      </c>
      <c r="B4275" t="s">
        <v>12288</v>
      </c>
      <c r="C4275" t="s">
        <v>12648</v>
      </c>
      <c r="D4275" t="s">
        <v>12290</v>
      </c>
      <c r="E4275" t="s">
        <v>12649</v>
      </c>
      <c r="F4275" t="s">
        <v>12650</v>
      </c>
      <c r="J4275" t="s">
        <v>12649</v>
      </c>
      <c r="K4275" t="s">
        <v>12298</v>
      </c>
      <c r="L4275" t="s">
        <v>851</v>
      </c>
    </row>
    <row r="4276" spans="1:12">
      <c r="A4276" t="s">
        <v>12287</v>
      </c>
      <c r="B4276" t="s">
        <v>12288</v>
      </c>
      <c r="C4276" t="s">
        <v>12651</v>
      </c>
      <c r="D4276" t="s">
        <v>12290</v>
      </c>
      <c r="E4276" t="s">
        <v>9230</v>
      </c>
      <c r="F4276" t="s">
        <v>12652</v>
      </c>
    </row>
    <row r="4277" spans="1:12">
      <c r="A4277" t="s">
        <v>12287</v>
      </c>
      <c r="B4277" t="s">
        <v>12288</v>
      </c>
      <c r="C4277" t="s">
        <v>12653</v>
      </c>
      <c r="D4277" t="s">
        <v>12290</v>
      </c>
      <c r="E4277" t="s">
        <v>12654</v>
      </c>
      <c r="F4277" t="s">
        <v>12655</v>
      </c>
      <c r="J4277" t="s">
        <v>12654</v>
      </c>
      <c r="K4277" t="s">
        <v>12298</v>
      </c>
      <c r="L4277" t="s">
        <v>851</v>
      </c>
    </row>
    <row r="4278" spans="1:12">
      <c r="A4278" t="s">
        <v>12287</v>
      </c>
      <c r="B4278" t="s">
        <v>12288</v>
      </c>
      <c r="C4278" t="s">
        <v>12656</v>
      </c>
      <c r="D4278" t="s">
        <v>12290</v>
      </c>
      <c r="E4278" t="s">
        <v>12657</v>
      </c>
      <c r="F4278" t="s">
        <v>12658</v>
      </c>
      <c r="J4278" t="s">
        <v>12657</v>
      </c>
      <c r="K4278" t="s">
        <v>12298</v>
      </c>
      <c r="L4278" t="s">
        <v>851</v>
      </c>
    </row>
    <row r="4279" spans="1:12">
      <c r="A4279" t="s">
        <v>12287</v>
      </c>
      <c r="B4279" t="s">
        <v>12288</v>
      </c>
      <c r="C4279" t="s">
        <v>12659</v>
      </c>
      <c r="D4279" t="s">
        <v>12290</v>
      </c>
      <c r="E4279" t="s">
        <v>2187</v>
      </c>
      <c r="F4279" t="s">
        <v>12660</v>
      </c>
    </row>
    <row r="4280" spans="1:12">
      <c r="A4280" t="s">
        <v>12287</v>
      </c>
      <c r="B4280" t="s">
        <v>12288</v>
      </c>
      <c r="C4280" t="s">
        <v>12661</v>
      </c>
      <c r="D4280" t="s">
        <v>12290</v>
      </c>
      <c r="E4280" t="s">
        <v>12662</v>
      </c>
      <c r="F4280" t="s">
        <v>12663</v>
      </c>
    </row>
    <row r="4281" spans="1:12">
      <c r="A4281" t="s">
        <v>12287</v>
      </c>
      <c r="B4281" t="s">
        <v>12288</v>
      </c>
      <c r="C4281" t="s">
        <v>12664</v>
      </c>
      <c r="D4281" t="s">
        <v>12290</v>
      </c>
      <c r="E4281" t="s">
        <v>12665</v>
      </c>
      <c r="F4281" t="s">
        <v>12666</v>
      </c>
    </row>
    <row r="4282" spans="1:12">
      <c r="A4282" t="s">
        <v>12287</v>
      </c>
      <c r="B4282" t="s">
        <v>12288</v>
      </c>
      <c r="C4282" t="s">
        <v>12667</v>
      </c>
      <c r="D4282" t="s">
        <v>12290</v>
      </c>
      <c r="E4282" t="s">
        <v>12668</v>
      </c>
      <c r="F4282" t="s">
        <v>12669</v>
      </c>
      <c r="J4282" t="s">
        <v>12668</v>
      </c>
      <c r="K4282" t="s">
        <v>12298</v>
      </c>
      <c r="L4282" t="s">
        <v>851</v>
      </c>
    </row>
    <row r="4283" spans="1:12">
      <c r="A4283" t="s">
        <v>12287</v>
      </c>
      <c r="B4283" t="s">
        <v>12288</v>
      </c>
      <c r="C4283" t="s">
        <v>12670</v>
      </c>
      <c r="D4283" t="s">
        <v>12290</v>
      </c>
      <c r="E4283" t="s">
        <v>12671</v>
      </c>
      <c r="F4283" t="s">
        <v>12672</v>
      </c>
    </row>
    <row r="4284" spans="1:12">
      <c r="A4284" t="s">
        <v>12287</v>
      </c>
      <c r="B4284" t="s">
        <v>12288</v>
      </c>
      <c r="C4284" t="s">
        <v>12673</v>
      </c>
      <c r="D4284" t="s">
        <v>12290</v>
      </c>
      <c r="E4284" t="s">
        <v>12674</v>
      </c>
      <c r="F4284" t="s">
        <v>12675</v>
      </c>
    </row>
    <row r="4285" spans="1:12">
      <c r="A4285" t="s">
        <v>12287</v>
      </c>
      <c r="B4285" t="s">
        <v>12288</v>
      </c>
      <c r="C4285" t="s">
        <v>12676</v>
      </c>
      <c r="D4285" t="s">
        <v>12290</v>
      </c>
      <c r="E4285" t="s">
        <v>12677</v>
      </c>
      <c r="F4285" t="s">
        <v>12678</v>
      </c>
    </row>
    <row r="4286" spans="1:12">
      <c r="A4286" t="s">
        <v>12287</v>
      </c>
      <c r="B4286" t="s">
        <v>12288</v>
      </c>
      <c r="C4286" t="s">
        <v>12679</v>
      </c>
      <c r="D4286" t="s">
        <v>12290</v>
      </c>
      <c r="E4286" t="s">
        <v>10969</v>
      </c>
      <c r="F4286" t="s">
        <v>12680</v>
      </c>
      <c r="J4286" t="s">
        <v>10969</v>
      </c>
      <c r="K4286" t="s">
        <v>12298</v>
      </c>
      <c r="L4286" t="s">
        <v>851</v>
      </c>
    </row>
    <row r="4287" spans="1:12">
      <c r="A4287" t="s">
        <v>12287</v>
      </c>
      <c r="B4287" t="s">
        <v>12288</v>
      </c>
      <c r="C4287" t="s">
        <v>12681</v>
      </c>
      <c r="D4287" t="s">
        <v>12290</v>
      </c>
      <c r="E4287" t="s">
        <v>12682</v>
      </c>
      <c r="F4287" t="s">
        <v>12683</v>
      </c>
    </row>
    <row r="4288" spans="1:12">
      <c r="A4288" t="s">
        <v>12287</v>
      </c>
      <c r="B4288" t="s">
        <v>12288</v>
      </c>
      <c r="C4288" t="s">
        <v>12684</v>
      </c>
      <c r="D4288" t="s">
        <v>12290</v>
      </c>
      <c r="E4288" t="s">
        <v>12685</v>
      </c>
      <c r="F4288" t="s">
        <v>12686</v>
      </c>
    </row>
    <row r="4289" spans="1:12">
      <c r="A4289" t="s">
        <v>12287</v>
      </c>
      <c r="B4289" t="s">
        <v>12288</v>
      </c>
      <c r="C4289" t="s">
        <v>12687</v>
      </c>
      <c r="D4289" t="s">
        <v>12290</v>
      </c>
      <c r="E4289" t="s">
        <v>12688</v>
      </c>
      <c r="F4289" t="s">
        <v>12689</v>
      </c>
    </row>
    <row r="4290" spans="1:12">
      <c r="A4290" t="s">
        <v>12287</v>
      </c>
      <c r="B4290" t="s">
        <v>12288</v>
      </c>
      <c r="C4290" t="s">
        <v>12690</v>
      </c>
      <c r="D4290" t="s">
        <v>12290</v>
      </c>
      <c r="E4290" t="s">
        <v>8333</v>
      </c>
      <c r="F4290" t="s">
        <v>12691</v>
      </c>
    </row>
    <row r="4291" spans="1:12">
      <c r="A4291" t="s">
        <v>12287</v>
      </c>
      <c r="B4291" t="s">
        <v>12288</v>
      </c>
      <c r="C4291" t="s">
        <v>12692</v>
      </c>
      <c r="D4291" t="s">
        <v>12290</v>
      </c>
      <c r="E4291" t="s">
        <v>12693</v>
      </c>
      <c r="F4291" t="s">
        <v>12691</v>
      </c>
      <c r="J4291" t="s">
        <v>12693</v>
      </c>
      <c r="K4291" t="s">
        <v>12298</v>
      </c>
      <c r="L4291" t="s">
        <v>851</v>
      </c>
    </row>
    <row r="4292" spans="1:12">
      <c r="A4292" t="s">
        <v>12287</v>
      </c>
      <c r="B4292" t="s">
        <v>12288</v>
      </c>
      <c r="C4292" t="s">
        <v>12694</v>
      </c>
      <c r="D4292" t="s">
        <v>12290</v>
      </c>
      <c r="E4292" t="s">
        <v>2274</v>
      </c>
      <c r="F4292" t="s">
        <v>12695</v>
      </c>
    </row>
    <row r="4293" spans="1:12">
      <c r="A4293" t="s">
        <v>12287</v>
      </c>
      <c r="B4293" t="s">
        <v>12288</v>
      </c>
      <c r="C4293" t="s">
        <v>12696</v>
      </c>
      <c r="D4293" t="s">
        <v>12290</v>
      </c>
      <c r="E4293" t="s">
        <v>5075</v>
      </c>
      <c r="F4293" t="s">
        <v>12697</v>
      </c>
    </row>
    <row r="4294" spans="1:12">
      <c r="A4294" t="s">
        <v>12287</v>
      </c>
      <c r="B4294" t="s">
        <v>12288</v>
      </c>
      <c r="C4294" t="s">
        <v>12698</v>
      </c>
      <c r="D4294" t="s">
        <v>12290</v>
      </c>
      <c r="E4294" t="s">
        <v>9349</v>
      </c>
      <c r="F4294" t="s">
        <v>12699</v>
      </c>
    </row>
    <row r="4295" spans="1:12">
      <c r="A4295" t="s">
        <v>12287</v>
      </c>
      <c r="B4295" t="s">
        <v>12288</v>
      </c>
      <c r="C4295" t="s">
        <v>12700</v>
      </c>
      <c r="D4295" t="s">
        <v>12290</v>
      </c>
      <c r="E4295" t="s">
        <v>9352</v>
      </c>
      <c r="F4295" t="s">
        <v>12701</v>
      </c>
    </row>
    <row r="4296" spans="1:12">
      <c r="A4296" t="s">
        <v>12287</v>
      </c>
      <c r="B4296" t="s">
        <v>12288</v>
      </c>
      <c r="C4296" t="s">
        <v>12702</v>
      </c>
      <c r="D4296" t="s">
        <v>12290</v>
      </c>
      <c r="E4296" t="s">
        <v>12703</v>
      </c>
      <c r="F4296" t="s">
        <v>12704</v>
      </c>
      <c r="J4296" t="s">
        <v>12703</v>
      </c>
      <c r="K4296" t="s">
        <v>12298</v>
      </c>
      <c r="L4296" t="s">
        <v>851</v>
      </c>
    </row>
    <row r="4297" spans="1:12">
      <c r="A4297" t="s">
        <v>12287</v>
      </c>
      <c r="B4297" t="s">
        <v>12288</v>
      </c>
      <c r="C4297" t="s">
        <v>12705</v>
      </c>
      <c r="D4297" t="s">
        <v>12290</v>
      </c>
      <c r="E4297" t="s">
        <v>12706</v>
      </c>
      <c r="F4297" t="s">
        <v>12707</v>
      </c>
      <c r="J4297" t="s">
        <v>12706</v>
      </c>
      <c r="K4297" t="s">
        <v>12298</v>
      </c>
      <c r="L4297" t="s">
        <v>851</v>
      </c>
    </row>
    <row r="4298" spans="1:12">
      <c r="A4298" t="s">
        <v>12287</v>
      </c>
      <c r="B4298" t="s">
        <v>12288</v>
      </c>
      <c r="C4298" t="s">
        <v>12708</v>
      </c>
      <c r="D4298" t="s">
        <v>12290</v>
      </c>
      <c r="E4298" t="s">
        <v>10975</v>
      </c>
      <c r="F4298" t="s">
        <v>12709</v>
      </c>
    </row>
    <row r="4299" spans="1:12">
      <c r="A4299" t="s">
        <v>12287</v>
      </c>
      <c r="B4299" t="s">
        <v>12288</v>
      </c>
      <c r="C4299" t="s">
        <v>12710</v>
      </c>
      <c r="D4299" t="s">
        <v>12290</v>
      </c>
      <c r="E4299" t="s">
        <v>12711</v>
      </c>
      <c r="F4299" t="s">
        <v>12712</v>
      </c>
      <c r="J4299" t="s">
        <v>12711</v>
      </c>
      <c r="K4299" t="s">
        <v>12298</v>
      </c>
      <c r="L4299" t="s">
        <v>851</v>
      </c>
    </row>
    <row r="4300" spans="1:12">
      <c r="A4300" t="s">
        <v>12287</v>
      </c>
      <c r="B4300" t="s">
        <v>12288</v>
      </c>
      <c r="C4300" t="s">
        <v>12713</v>
      </c>
      <c r="D4300" t="s">
        <v>12290</v>
      </c>
      <c r="E4300" t="s">
        <v>2338</v>
      </c>
      <c r="F4300" t="s">
        <v>12714</v>
      </c>
    </row>
    <row r="4301" spans="1:12">
      <c r="A4301" t="s">
        <v>12287</v>
      </c>
      <c r="B4301" t="s">
        <v>12288</v>
      </c>
      <c r="C4301" t="s">
        <v>12715</v>
      </c>
      <c r="D4301" t="s">
        <v>12290</v>
      </c>
      <c r="E4301" t="s">
        <v>12716</v>
      </c>
      <c r="F4301" t="s">
        <v>12717</v>
      </c>
    </row>
    <row r="4302" spans="1:12">
      <c r="A4302" t="s">
        <v>12287</v>
      </c>
      <c r="B4302" t="s">
        <v>12288</v>
      </c>
      <c r="C4302" t="s">
        <v>12718</v>
      </c>
      <c r="D4302" t="s">
        <v>12290</v>
      </c>
      <c r="E4302" t="s">
        <v>12719</v>
      </c>
      <c r="F4302" t="s">
        <v>12720</v>
      </c>
      <c r="J4302" t="s">
        <v>12719</v>
      </c>
      <c r="K4302" t="s">
        <v>12298</v>
      </c>
      <c r="L4302" t="s">
        <v>851</v>
      </c>
    </row>
    <row r="4303" spans="1:12">
      <c r="A4303" t="s">
        <v>12287</v>
      </c>
      <c r="B4303" t="s">
        <v>12288</v>
      </c>
      <c r="C4303" t="s">
        <v>12721</v>
      </c>
      <c r="D4303" t="s">
        <v>12290</v>
      </c>
      <c r="E4303" t="s">
        <v>12722</v>
      </c>
      <c r="F4303" t="s">
        <v>12723</v>
      </c>
    </row>
    <row r="4304" spans="1:12">
      <c r="A4304" t="s">
        <v>12287</v>
      </c>
      <c r="B4304" t="s">
        <v>12288</v>
      </c>
      <c r="C4304" t="s">
        <v>12724</v>
      </c>
      <c r="D4304" t="s">
        <v>12290</v>
      </c>
      <c r="E4304" t="s">
        <v>12725</v>
      </c>
      <c r="F4304" t="s">
        <v>12726</v>
      </c>
      <c r="J4304" t="s">
        <v>12725</v>
      </c>
      <c r="K4304" t="s">
        <v>12298</v>
      </c>
      <c r="L4304" t="s">
        <v>851</v>
      </c>
    </row>
    <row r="4305" spans="1:12">
      <c r="A4305" t="s">
        <v>12287</v>
      </c>
      <c r="B4305" t="s">
        <v>12288</v>
      </c>
      <c r="C4305" t="s">
        <v>12727</v>
      </c>
      <c r="D4305" t="s">
        <v>12290</v>
      </c>
      <c r="E4305" t="s">
        <v>9419</v>
      </c>
      <c r="F4305" t="s">
        <v>12728</v>
      </c>
    </row>
    <row r="4306" spans="1:12">
      <c r="A4306" t="s">
        <v>12287</v>
      </c>
      <c r="B4306" t="s">
        <v>12288</v>
      </c>
      <c r="C4306" t="s">
        <v>12729</v>
      </c>
      <c r="D4306" t="s">
        <v>12290</v>
      </c>
      <c r="E4306" t="s">
        <v>5087</v>
      </c>
      <c r="F4306" t="s">
        <v>12730</v>
      </c>
    </row>
    <row r="4307" spans="1:12">
      <c r="A4307" t="s">
        <v>12287</v>
      </c>
      <c r="B4307" t="s">
        <v>12288</v>
      </c>
      <c r="C4307" t="s">
        <v>12731</v>
      </c>
      <c r="D4307" t="s">
        <v>12290</v>
      </c>
      <c r="E4307" t="s">
        <v>12732</v>
      </c>
      <c r="F4307" t="s">
        <v>12733</v>
      </c>
      <c r="J4307" t="s">
        <v>12732</v>
      </c>
      <c r="K4307" t="s">
        <v>12298</v>
      </c>
      <c r="L4307" t="s">
        <v>851</v>
      </c>
    </row>
    <row r="4308" spans="1:12">
      <c r="A4308" t="s">
        <v>12287</v>
      </c>
      <c r="B4308" t="s">
        <v>12288</v>
      </c>
      <c r="C4308" t="s">
        <v>12734</v>
      </c>
      <c r="D4308" t="s">
        <v>12290</v>
      </c>
      <c r="E4308" t="s">
        <v>10680</v>
      </c>
      <c r="F4308" t="s">
        <v>12735</v>
      </c>
    </row>
    <row r="4309" spans="1:12">
      <c r="A4309" t="s">
        <v>12287</v>
      </c>
      <c r="B4309" t="s">
        <v>12288</v>
      </c>
      <c r="C4309" t="s">
        <v>12736</v>
      </c>
      <c r="D4309" t="s">
        <v>12290</v>
      </c>
      <c r="E4309" t="s">
        <v>12737</v>
      </c>
      <c r="F4309" t="s">
        <v>12738</v>
      </c>
    </row>
    <row r="4310" spans="1:12">
      <c r="A4310" t="s">
        <v>12287</v>
      </c>
      <c r="B4310" t="s">
        <v>12288</v>
      </c>
      <c r="C4310" t="s">
        <v>12739</v>
      </c>
      <c r="D4310" t="s">
        <v>12290</v>
      </c>
      <c r="E4310" t="s">
        <v>12740</v>
      </c>
      <c r="F4310" t="s">
        <v>12741</v>
      </c>
      <c r="J4310" t="s">
        <v>12740</v>
      </c>
      <c r="K4310" t="s">
        <v>12298</v>
      </c>
      <c r="L4310" t="s">
        <v>851</v>
      </c>
    </row>
    <row r="4311" spans="1:12">
      <c r="A4311" t="s">
        <v>12287</v>
      </c>
      <c r="B4311" t="s">
        <v>12288</v>
      </c>
      <c r="C4311" t="s">
        <v>12742</v>
      </c>
      <c r="D4311" t="s">
        <v>12290</v>
      </c>
      <c r="E4311" t="s">
        <v>12743</v>
      </c>
      <c r="F4311" t="s">
        <v>12744</v>
      </c>
    </row>
    <row r="4312" spans="1:12">
      <c r="A4312" t="s">
        <v>12287</v>
      </c>
      <c r="B4312" t="s">
        <v>12288</v>
      </c>
      <c r="C4312" t="s">
        <v>12745</v>
      </c>
      <c r="D4312" t="s">
        <v>12290</v>
      </c>
      <c r="E4312" t="s">
        <v>12746</v>
      </c>
      <c r="F4312" t="s">
        <v>12747</v>
      </c>
      <c r="J4312" t="s">
        <v>12746</v>
      </c>
      <c r="K4312" t="s">
        <v>12298</v>
      </c>
      <c r="L4312" t="s">
        <v>851</v>
      </c>
    </row>
    <row r="4313" spans="1:12">
      <c r="A4313" t="s">
        <v>12287</v>
      </c>
      <c r="B4313" t="s">
        <v>12288</v>
      </c>
      <c r="C4313" t="s">
        <v>12748</v>
      </c>
      <c r="D4313" t="s">
        <v>12290</v>
      </c>
      <c r="E4313" t="s">
        <v>6949</v>
      </c>
      <c r="F4313" t="s">
        <v>12749</v>
      </c>
    </row>
    <row r="4314" spans="1:12">
      <c r="A4314" t="s">
        <v>12287</v>
      </c>
      <c r="B4314" t="s">
        <v>12288</v>
      </c>
      <c r="C4314" t="s">
        <v>12750</v>
      </c>
      <c r="D4314" t="s">
        <v>12290</v>
      </c>
      <c r="E4314" t="s">
        <v>12751</v>
      </c>
      <c r="F4314" t="s">
        <v>12752</v>
      </c>
    </row>
    <row r="4315" spans="1:12">
      <c r="A4315" t="s">
        <v>12287</v>
      </c>
      <c r="B4315" t="s">
        <v>12288</v>
      </c>
      <c r="C4315" t="s">
        <v>12753</v>
      </c>
      <c r="D4315" t="s">
        <v>12290</v>
      </c>
      <c r="E4315" t="s">
        <v>12754</v>
      </c>
      <c r="F4315" t="s">
        <v>12755</v>
      </c>
      <c r="J4315" t="s">
        <v>12754</v>
      </c>
      <c r="K4315" t="s">
        <v>12298</v>
      </c>
      <c r="L4315" t="s">
        <v>851</v>
      </c>
    </row>
    <row r="4316" spans="1:12">
      <c r="A4316" t="s">
        <v>12287</v>
      </c>
      <c r="B4316" t="s">
        <v>12288</v>
      </c>
      <c r="C4316" t="s">
        <v>12756</v>
      </c>
      <c r="D4316" t="s">
        <v>12290</v>
      </c>
      <c r="E4316" t="s">
        <v>12757</v>
      </c>
      <c r="F4316" t="s">
        <v>12758</v>
      </c>
      <c r="J4316" t="s">
        <v>12757</v>
      </c>
      <c r="K4316" t="s">
        <v>12298</v>
      </c>
      <c r="L4316" t="s">
        <v>851</v>
      </c>
    </row>
    <row r="4317" spans="1:12">
      <c r="A4317" t="s">
        <v>12287</v>
      </c>
      <c r="B4317" t="s">
        <v>12288</v>
      </c>
      <c r="C4317" t="s">
        <v>12759</v>
      </c>
      <c r="D4317" t="s">
        <v>12290</v>
      </c>
      <c r="E4317" t="s">
        <v>12760</v>
      </c>
      <c r="F4317" t="s">
        <v>12761</v>
      </c>
    </row>
    <row r="4318" spans="1:12">
      <c r="A4318" t="s">
        <v>12287</v>
      </c>
      <c r="B4318" t="s">
        <v>12288</v>
      </c>
      <c r="C4318" t="s">
        <v>12762</v>
      </c>
      <c r="D4318" t="s">
        <v>12290</v>
      </c>
      <c r="E4318" t="s">
        <v>12763</v>
      </c>
      <c r="F4318" t="s">
        <v>12764</v>
      </c>
      <c r="J4318" t="s">
        <v>12763</v>
      </c>
      <c r="K4318" t="s">
        <v>12298</v>
      </c>
      <c r="L4318" t="s">
        <v>851</v>
      </c>
    </row>
    <row r="4319" spans="1:12">
      <c r="A4319" t="s">
        <v>12287</v>
      </c>
      <c r="B4319" t="s">
        <v>12288</v>
      </c>
      <c r="C4319" t="s">
        <v>12765</v>
      </c>
      <c r="D4319" t="s">
        <v>12290</v>
      </c>
      <c r="E4319" t="s">
        <v>12766</v>
      </c>
      <c r="F4319" t="s">
        <v>12767</v>
      </c>
      <c r="J4319" t="s">
        <v>12766</v>
      </c>
      <c r="K4319" t="s">
        <v>12298</v>
      </c>
      <c r="L4319" t="s">
        <v>851</v>
      </c>
    </row>
    <row r="4320" spans="1:12">
      <c r="A4320" t="s">
        <v>12287</v>
      </c>
      <c r="B4320" t="s">
        <v>12288</v>
      </c>
      <c r="C4320" t="s">
        <v>12768</v>
      </c>
      <c r="D4320" t="s">
        <v>12290</v>
      </c>
      <c r="E4320" t="s">
        <v>12769</v>
      </c>
      <c r="F4320" t="s">
        <v>12770</v>
      </c>
    </row>
    <row r="4321" spans="1:12">
      <c r="A4321" t="s">
        <v>12287</v>
      </c>
      <c r="B4321" t="s">
        <v>12288</v>
      </c>
      <c r="C4321" t="s">
        <v>12771</v>
      </c>
      <c r="D4321" t="s">
        <v>12290</v>
      </c>
      <c r="E4321" t="s">
        <v>12772</v>
      </c>
      <c r="F4321" t="s">
        <v>12773</v>
      </c>
      <c r="J4321" t="s">
        <v>12772</v>
      </c>
      <c r="K4321" t="s">
        <v>12298</v>
      </c>
      <c r="L4321" t="s">
        <v>851</v>
      </c>
    </row>
    <row r="4322" spans="1:12">
      <c r="A4322" t="s">
        <v>12287</v>
      </c>
      <c r="B4322" t="s">
        <v>12288</v>
      </c>
      <c r="C4322" t="s">
        <v>12774</v>
      </c>
      <c r="D4322" t="s">
        <v>12290</v>
      </c>
      <c r="E4322" t="s">
        <v>9466</v>
      </c>
      <c r="F4322" t="s">
        <v>12775</v>
      </c>
    </row>
    <row r="4323" spans="1:12">
      <c r="A4323" t="s">
        <v>12287</v>
      </c>
      <c r="B4323" t="s">
        <v>12288</v>
      </c>
      <c r="C4323" t="s">
        <v>12776</v>
      </c>
      <c r="D4323" t="s">
        <v>12290</v>
      </c>
      <c r="E4323" t="s">
        <v>3566</v>
      </c>
      <c r="F4323" t="s">
        <v>12777</v>
      </c>
      <c r="J4323" t="s">
        <v>3566</v>
      </c>
      <c r="K4323" t="s">
        <v>12298</v>
      </c>
      <c r="L4323" t="s">
        <v>851</v>
      </c>
    </row>
    <row r="4324" spans="1:12">
      <c r="A4324" t="s">
        <v>12287</v>
      </c>
      <c r="B4324" t="s">
        <v>12288</v>
      </c>
      <c r="C4324" t="s">
        <v>12778</v>
      </c>
      <c r="D4324" t="s">
        <v>12290</v>
      </c>
      <c r="E4324" t="s">
        <v>12779</v>
      </c>
      <c r="F4324" t="s">
        <v>12780</v>
      </c>
    </row>
    <row r="4325" spans="1:12">
      <c r="A4325" t="s">
        <v>12287</v>
      </c>
      <c r="B4325" t="s">
        <v>12288</v>
      </c>
      <c r="C4325" t="s">
        <v>12781</v>
      </c>
      <c r="D4325" t="s">
        <v>12290</v>
      </c>
      <c r="E4325" t="s">
        <v>2433</v>
      </c>
      <c r="F4325" t="s">
        <v>12782</v>
      </c>
    </row>
    <row r="4326" spans="1:12">
      <c r="A4326" t="s">
        <v>12287</v>
      </c>
      <c r="B4326" t="s">
        <v>12288</v>
      </c>
      <c r="C4326" t="s">
        <v>12783</v>
      </c>
      <c r="D4326" t="s">
        <v>12290</v>
      </c>
      <c r="E4326" t="s">
        <v>12784</v>
      </c>
      <c r="F4326" t="s">
        <v>12785</v>
      </c>
      <c r="J4326" t="s">
        <v>12784</v>
      </c>
      <c r="K4326" t="s">
        <v>12298</v>
      </c>
      <c r="L4326" t="s">
        <v>851</v>
      </c>
    </row>
    <row r="4327" spans="1:12">
      <c r="A4327" t="s">
        <v>12287</v>
      </c>
      <c r="B4327" t="s">
        <v>12288</v>
      </c>
      <c r="C4327" t="s">
        <v>12786</v>
      </c>
      <c r="D4327" t="s">
        <v>12290</v>
      </c>
      <c r="E4327" t="s">
        <v>9508</v>
      </c>
      <c r="F4327" t="s">
        <v>12787</v>
      </c>
    </row>
    <row r="4328" spans="1:12">
      <c r="A4328" t="s">
        <v>12287</v>
      </c>
      <c r="B4328" t="s">
        <v>12288</v>
      </c>
      <c r="C4328" t="s">
        <v>12788</v>
      </c>
      <c r="D4328" t="s">
        <v>12290</v>
      </c>
      <c r="E4328" t="s">
        <v>5105</v>
      </c>
      <c r="F4328" t="s">
        <v>12789</v>
      </c>
    </row>
    <row r="4329" spans="1:12">
      <c r="A4329" t="s">
        <v>12287</v>
      </c>
      <c r="B4329" t="s">
        <v>12288</v>
      </c>
      <c r="C4329" t="s">
        <v>12790</v>
      </c>
      <c r="D4329" t="s">
        <v>12290</v>
      </c>
      <c r="E4329" t="s">
        <v>12791</v>
      </c>
      <c r="F4329" t="s">
        <v>12792</v>
      </c>
    </row>
    <row r="4330" spans="1:12">
      <c r="A4330" t="s">
        <v>12287</v>
      </c>
      <c r="B4330" t="s">
        <v>12288</v>
      </c>
      <c r="C4330" t="s">
        <v>12793</v>
      </c>
      <c r="D4330" t="s">
        <v>12290</v>
      </c>
      <c r="E4330" t="s">
        <v>12794</v>
      </c>
      <c r="F4330" t="s">
        <v>12795</v>
      </c>
    </row>
    <row r="4331" spans="1:12">
      <c r="A4331" t="s">
        <v>12287</v>
      </c>
      <c r="B4331" t="s">
        <v>12288</v>
      </c>
      <c r="C4331" t="s">
        <v>12796</v>
      </c>
      <c r="D4331" t="s">
        <v>12290</v>
      </c>
      <c r="E4331" t="s">
        <v>12797</v>
      </c>
      <c r="F4331" t="s">
        <v>12798</v>
      </c>
      <c r="J4331" t="s">
        <v>12797</v>
      </c>
      <c r="K4331" t="s">
        <v>12298</v>
      </c>
      <c r="L4331" t="s">
        <v>851</v>
      </c>
    </row>
    <row r="4332" spans="1:12">
      <c r="A4332" t="s">
        <v>12287</v>
      </c>
      <c r="B4332" t="s">
        <v>12288</v>
      </c>
      <c r="C4332" t="s">
        <v>12799</v>
      </c>
      <c r="D4332" t="s">
        <v>12290</v>
      </c>
      <c r="E4332" t="s">
        <v>12800</v>
      </c>
      <c r="F4332" t="s">
        <v>12801</v>
      </c>
    </row>
    <row r="4333" spans="1:12">
      <c r="A4333" t="s">
        <v>12287</v>
      </c>
      <c r="B4333" t="s">
        <v>12288</v>
      </c>
      <c r="C4333" t="s">
        <v>12802</v>
      </c>
      <c r="D4333" t="s">
        <v>12290</v>
      </c>
      <c r="E4333" t="s">
        <v>3305</v>
      </c>
      <c r="F4333" t="s">
        <v>12803</v>
      </c>
    </row>
    <row r="4334" spans="1:12">
      <c r="A4334" t="s">
        <v>12287</v>
      </c>
      <c r="B4334" t="s">
        <v>12288</v>
      </c>
      <c r="C4334" t="s">
        <v>12804</v>
      </c>
      <c r="D4334" t="s">
        <v>12290</v>
      </c>
      <c r="E4334" t="s">
        <v>12805</v>
      </c>
      <c r="F4334" t="s">
        <v>12806</v>
      </c>
      <c r="J4334" t="s">
        <v>12805</v>
      </c>
      <c r="K4334" t="s">
        <v>12298</v>
      </c>
      <c r="L4334" t="s">
        <v>851</v>
      </c>
    </row>
    <row r="4335" spans="1:12">
      <c r="A4335" t="s">
        <v>12287</v>
      </c>
      <c r="B4335" t="s">
        <v>12288</v>
      </c>
      <c r="C4335" t="s">
        <v>12807</v>
      </c>
      <c r="D4335" t="s">
        <v>12290</v>
      </c>
      <c r="E4335" t="s">
        <v>12808</v>
      </c>
      <c r="F4335" t="s">
        <v>12809</v>
      </c>
    </row>
    <row r="4336" spans="1:12">
      <c r="A4336" t="s">
        <v>12287</v>
      </c>
      <c r="B4336" t="s">
        <v>12288</v>
      </c>
      <c r="C4336" t="s">
        <v>12810</v>
      </c>
      <c r="D4336" t="s">
        <v>12290</v>
      </c>
      <c r="E4336" t="s">
        <v>12811</v>
      </c>
      <c r="F4336" t="s">
        <v>12812</v>
      </c>
      <c r="J4336" t="s">
        <v>12811</v>
      </c>
      <c r="K4336" t="s">
        <v>12298</v>
      </c>
      <c r="L4336" t="s">
        <v>851</v>
      </c>
    </row>
    <row r="4337" spans="1:12">
      <c r="A4337" t="s">
        <v>12287</v>
      </c>
      <c r="B4337" t="s">
        <v>12288</v>
      </c>
      <c r="C4337" t="s">
        <v>12813</v>
      </c>
      <c r="D4337" t="s">
        <v>12290</v>
      </c>
      <c r="E4337" t="s">
        <v>12814</v>
      </c>
      <c r="F4337" t="s">
        <v>12815</v>
      </c>
      <c r="J4337" t="s">
        <v>12814</v>
      </c>
      <c r="K4337" t="s">
        <v>12298</v>
      </c>
      <c r="L4337" t="s">
        <v>851</v>
      </c>
    </row>
    <row r="4338" spans="1:12">
      <c r="A4338" t="s">
        <v>12287</v>
      </c>
      <c r="B4338" t="s">
        <v>12288</v>
      </c>
      <c r="C4338" t="s">
        <v>12816</v>
      </c>
      <c r="D4338" t="s">
        <v>12290</v>
      </c>
      <c r="E4338" t="s">
        <v>12817</v>
      </c>
      <c r="F4338" t="s">
        <v>12818</v>
      </c>
    </row>
    <row r="4339" spans="1:12">
      <c r="A4339" t="s">
        <v>12287</v>
      </c>
      <c r="B4339" t="s">
        <v>12288</v>
      </c>
      <c r="C4339" t="s">
        <v>12819</v>
      </c>
      <c r="D4339" t="s">
        <v>12290</v>
      </c>
      <c r="E4339" t="s">
        <v>9577</v>
      </c>
      <c r="F4339" t="s">
        <v>12820</v>
      </c>
    </row>
    <row r="4340" spans="1:12">
      <c r="A4340" t="s">
        <v>12287</v>
      </c>
      <c r="B4340" t="s">
        <v>12288</v>
      </c>
      <c r="C4340" t="s">
        <v>12821</v>
      </c>
      <c r="D4340" t="s">
        <v>12290</v>
      </c>
      <c r="E4340" t="s">
        <v>9601</v>
      </c>
      <c r="F4340" t="s">
        <v>12822</v>
      </c>
    </row>
    <row r="4341" spans="1:12">
      <c r="A4341" t="s">
        <v>12287</v>
      </c>
      <c r="B4341" t="s">
        <v>12288</v>
      </c>
      <c r="C4341" t="s">
        <v>12823</v>
      </c>
      <c r="D4341" t="s">
        <v>12290</v>
      </c>
      <c r="E4341" t="s">
        <v>12824</v>
      </c>
      <c r="F4341" t="s">
        <v>12825</v>
      </c>
      <c r="J4341" t="s">
        <v>12824</v>
      </c>
      <c r="K4341" t="s">
        <v>12298</v>
      </c>
      <c r="L4341" t="s">
        <v>851</v>
      </c>
    </row>
    <row r="4342" spans="1:12">
      <c r="A4342" t="s">
        <v>12287</v>
      </c>
      <c r="B4342" t="s">
        <v>12288</v>
      </c>
      <c r="C4342" t="s">
        <v>12826</v>
      </c>
      <c r="D4342" t="s">
        <v>12290</v>
      </c>
      <c r="E4342" t="s">
        <v>12827</v>
      </c>
      <c r="F4342" t="s">
        <v>12828</v>
      </c>
    </row>
    <row r="4343" spans="1:12">
      <c r="A4343" t="s">
        <v>12287</v>
      </c>
      <c r="B4343" t="s">
        <v>12288</v>
      </c>
      <c r="C4343" t="s">
        <v>12829</v>
      </c>
      <c r="D4343" t="s">
        <v>12290</v>
      </c>
      <c r="E4343" t="s">
        <v>12830</v>
      </c>
      <c r="F4343" t="s">
        <v>12831</v>
      </c>
    </row>
    <row r="4344" spans="1:12">
      <c r="A4344" t="s">
        <v>12287</v>
      </c>
      <c r="B4344" t="s">
        <v>12288</v>
      </c>
      <c r="C4344" t="s">
        <v>12832</v>
      </c>
      <c r="D4344" t="s">
        <v>12290</v>
      </c>
      <c r="E4344" t="s">
        <v>12833</v>
      </c>
      <c r="F4344" t="s">
        <v>12834</v>
      </c>
      <c r="J4344" t="s">
        <v>12833</v>
      </c>
      <c r="K4344" t="s">
        <v>12298</v>
      </c>
      <c r="L4344" t="s">
        <v>851</v>
      </c>
    </row>
    <row r="4345" spans="1:12">
      <c r="A4345" t="s">
        <v>12287</v>
      </c>
      <c r="B4345" t="s">
        <v>12288</v>
      </c>
      <c r="C4345" t="s">
        <v>12835</v>
      </c>
      <c r="D4345" t="s">
        <v>12290</v>
      </c>
      <c r="E4345" t="s">
        <v>12836</v>
      </c>
      <c r="F4345" t="s">
        <v>12837</v>
      </c>
      <c r="J4345" t="s">
        <v>12836</v>
      </c>
      <c r="K4345" t="s">
        <v>12298</v>
      </c>
      <c r="L4345" t="s">
        <v>851</v>
      </c>
    </row>
    <row r="4346" spans="1:12">
      <c r="A4346" t="s">
        <v>12287</v>
      </c>
      <c r="B4346" t="s">
        <v>12288</v>
      </c>
      <c r="C4346" t="s">
        <v>12838</v>
      </c>
      <c r="D4346" t="s">
        <v>12290</v>
      </c>
      <c r="E4346" t="s">
        <v>12839</v>
      </c>
      <c r="F4346" t="s">
        <v>12840</v>
      </c>
    </row>
    <row r="4347" spans="1:12">
      <c r="A4347" t="s">
        <v>12287</v>
      </c>
      <c r="B4347" t="s">
        <v>12288</v>
      </c>
      <c r="C4347" t="s">
        <v>12841</v>
      </c>
      <c r="D4347" t="s">
        <v>12290</v>
      </c>
      <c r="E4347" t="s">
        <v>2631</v>
      </c>
      <c r="F4347" t="s">
        <v>12842</v>
      </c>
    </row>
    <row r="4348" spans="1:12">
      <c r="A4348" t="s">
        <v>12287</v>
      </c>
      <c r="B4348" t="s">
        <v>12288</v>
      </c>
      <c r="C4348" t="s">
        <v>12843</v>
      </c>
      <c r="D4348" t="s">
        <v>12290</v>
      </c>
      <c r="E4348" t="s">
        <v>12844</v>
      </c>
      <c r="F4348" t="s">
        <v>12845</v>
      </c>
    </row>
    <row r="4349" spans="1:12">
      <c r="A4349" t="s">
        <v>12287</v>
      </c>
      <c r="B4349" t="s">
        <v>12288</v>
      </c>
      <c r="C4349" t="s">
        <v>12846</v>
      </c>
      <c r="D4349" t="s">
        <v>12290</v>
      </c>
      <c r="E4349" t="s">
        <v>12847</v>
      </c>
      <c r="F4349" t="s">
        <v>12848</v>
      </c>
    </row>
    <row r="4350" spans="1:12">
      <c r="A4350" t="s">
        <v>12287</v>
      </c>
      <c r="B4350" t="s">
        <v>12288</v>
      </c>
      <c r="C4350" t="s">
        <v>12849</v>
      </c>
      <c r="D4350" t="s">
        <v>12290</v>
      </c>
      <c r="E4350" t="s">
        <v>12850</v>
      </c>
      <c r="F4350" t="s">
        <v>12851</v>
      </c>
      <c r="J4350" t="s">
        <v>12850</v>
      </c>
      <c r="K4350" t="s">
        <v>12298</v>
      </c>
      <c r="L4350" t="s">
        <v>851</v>
      </c>
    </row>
    <row r="4351" spans="1:12">
      <c r="A4351" t="s">
        <v>12287</v>
      </c>
      <c r="B4351" t="s">
        <v>12288</v>
      </c>
      <c r="C4351" t="s">
        <v>12852</v>
      </c>
      <c r="D4351" t="s">
        <v>12290</v>
      </c>
      <c r="E4351" t="s">
        <v>12853</v>
      </c>
      <c r="F4351" t="s">
        <v>12854</v>
      </c>
    </row>
    <row r="4352" spans="1:12">
      <c r="A4352" t="s">
        <v>12287</v>
      </c>
      <c r="B4352" t="s">
        <v>12288</v>
      </c>
      <c r="C4352" t="s">
        <v>12855</v>
      </c>
      <c r="D4352" t="s">
        <v>12290</v>
      </c>
      <c r="E4352" t="s">
        <v>2661</v>
      </c>
      <c r="F4352" t="s">
        <v>12856</v>
      </c>
    </row>
    <row r="4353" spans="1:12">
      <c r="A4353" t="s">
        <v>12287</v>
      </c>
      <c r="B4353" t="s">
        <v>12288</v>
      </c>
      <c r="C4353" t="s">
        <v>12857</v>
      </c>
      <c r="D4353" t="s">
        <v>12290</v>
      </c>
      <c r="E4353" t="s">
        <v>12858</v>
      </c>
      <c r="F4353" t="s">
        <v>12859</v>
      </c>
    </row>
    <row r="4354" spans="1:12">
      <c r="A4354" t="s">
        <v>12287</v>
      </c>
      <c r="B4354" t="s">
        <v>12288</v>
      </c>
      <c r="C4354" t="s">
        <v>12860</v>
      </c>
      <c r="D4354" t="s">
        <v>12290</v>
      </c>
      <c r="E4354" t="s">
        <v>9706</v>
      </c>
      <c r="F4354" t="s">
        <v>12861</v>
      </c>
    </row>
    <row r="4355" spans="1:12">
      <c r="A4355" t="s">
        <v>12287</v>
      </c>
      <c r="B4355" t="s">
        <v>12288</v>
      </c>
      <c r="C4355" t="s">
        <v>12862</v>
      </c>
      <c r="D4355" t="s">
        <v>12290</v>
      </c>
      <c r="E4355" t="s">
        <v>10551</v>
      </c>
      <c r="F4355" t="s">
        <v>12863</v>
      </c>
    </row>
    <row r="4356" spans="1:12">
      <c r="A4356" t="s">
        <v>12287</v>
      </c>
      <c r="B4356" t="s">
        <v>12288</v>
      </c>
      <c r="C4356" t="s">
        <v>12864</v>
      </c>
      <c r="D4356" t="s">
        <v>12290</v>
      </c>
      <c r="E4356" t="s">
        <v>5168</v>
      </c>
      <c r="F4356" t="s">
        <v>5168</v>
      </c>
    </row>
    <row r="4357" spans="1:12">
      <c r="A4357" t="s">
        <v>12287</v>
      </c>
      <c r="B4357" t="s">
        <v>12288</v>
      </c>
      <c r="C4357" t="s">
        <v>12865</v>
      </c>
      <c r="D4357" t="s">
        <v>12290</v>
      </c>
      <c r="E4357" t="s">
        <v>12866</v>
      </c>
      <c r="F4357" t="s">
        <v>12867</v>
      </c>
    </row>
    <row r="4358" spans="1:12">
      <c r="A4358" t="s">
        <v>12287</v>
      </c>
      <c r="B4358" t="s">
        <v>12288</v>
      </c>
      <c r="C4358" t="s">
        <v>12868</v>
      </c>
      <c r="D4358" t="s">
        <v>12290</v>
      </c>
      <c r="E4358" t="s">
        <v>9722</v>
      </c>
      <c r="F4358" t="s">
        <v>12869</v>
      </c>
    </row>
    <row r="4359" spans="1:12">
      <c r="A4359" t="s">
        <v>12287</v>
      </c>
      <c r="B4359" t="s">
        <v>12288</v>
      </c>
      <c r="C4359" t="s">
        <v>12870</v>
      </c>
      <c r="D4359" t="s">
        <v>12290</v>
      </c>
      <c r="E4359" t="s">
        <v>9725</v>
      </c>
      <c r="F4359" t="s">
        <v>12871</v>
      </c>
    </row>
    <row r="4360" spans="1:12">
      <c r="A4360" t="s">
        <v>12287</v>
      </c>
      <c r="B4360" t="s">
        <v>12288</v>
      </c>
      <c r="C4360" t="s">
        <v>12872</v>
      </c>
      <c r="D4360" t="s">
        <v>12290</v>
      </c>
      <c r="E4360" t="s">
        <v>2739</v>
      </c>
      <c r="F4360" t="s">
        <v>12873</v>
      </c>
    </row>
    <row r="4361" spans="1:12">
      <c r="A4361" t="s">
        <v>12287</v>
      </c>
      <c r="B4361" t="s">
        <v>12288</v>
      </c>
      <c r="C4361" t="s">
        <v>12874</v>
      </c>
      <c r="D4361" t="s">
        <v>12290</v>
      </c>
      <c r="E4361" t="s">
        <v>12875</v>
      </c>
      <c r="F4361" t="s">
        <v>12876</v>
      </c>
    </row>
    <row r="4362" spans="1:12">
      <c r="A4362" t="s">
        <v>12287</v>
      </c>
      <c r="B4362" t="s">
        <v>12288</v>
      </c>
      <c r="C4362" t="s">
        <v>12877</v>
      </c>
      <c r="D4362" t="s">
        <v>12290</v>
      </c>
      <c r="E4362" t="s">
        <v>12878</v>
      </c>
      <c r="F4362" t="s">
        <v>12879</v>
      </c>
      <c r="J4362" t="s">
        <v>12878</v>
      </c>
      <c r="K4362" t="s">
        <v>12298</v>
      </c>
      <c r="L4362" t="s">
        <v>851</v>
      </c>
    </row>
    <row r="4363" spans="1:12">
      <c r="A4363" t="s">
        <v>12287</v>
      </c>
      <c r="B4363" t="s">
        <v>12288</v>
      </c>
      <c r="C4363" t="s">
        <v>12880</v>
      </c>
      <c r="D4363" t="s">
        <v>12290</v>
      </c>
      <c r="E4363" t="s">
        <v>12881</v>
      </c>
      <c r="F4363" t="s">
        <v>12882</v>
      </c>
      <c r="J4363" t="s">
        <v>12881</v>
      </c>
      <c r="K4363" t="s">
        <v>12298</v>
      </c>
      <c r="L4363" t="s">
        <v>851</v>
      </c>
    </row>
    <row r="4364" spans="1:12">
      <c r="A4364" t="s">
        <v>12287</v>
      </c>
      <c r="B4364" t="s">
        <v>12288</v>
      </c>
      <c r="C4364" t="s">
        <v>12883</v>
      </c>
      <c r="D4364" t="s">
        <v>12290</v>
      </c>
      <c r="E4364" t="s">
        <v>12884</v>
      </c>
      <c r="F4364" t="s">
        <v>12885</v>
      </c>
    </row>
    <row r="4365" spans="1:12">
      <c r="A4365" t="s">
        <v>12287</v>
      </c>
      <c r="B4365" t="s">
        <v>12288</v>
      </c>
      <c r="C4365" t="s">
        <v>12886</v>
      </c>
      <c r="D4365" t="s">
        <v>12290</v>
      </c>
      <c r="E4365" t="s">
        <v>12887</v>
      </c>
      <c r="F4365" t="s">
        <v>12888</v>
      </c>
    </row>
    <row r="4366" spans="1:12">
      <c r="A4366" t="s">
        <v>12287</v>
      </c>
      <c r="B4366" t="s">
        <v>12288</v>
      </c>
      <c r="C4366" t="s">
        <v>12889</v>
      </c>
      <c r="D4366" t="s">
        <v>12290</v>
      </c>
      <c r="E4366" t="s">
        <v>5202</v>
      </c>
      <c r="F4366" t="s">
        <v>10515</v>
      </c>
      <c r="J4366" t="s">
        <v>5202</v>
      </c>
      <c r="K4366" t="s">
        <v>12298</v>
      </c>
      <c r="L4366" t="s">
        <v>851</v>
      </c>
    </row>
    <row r="4367" spans="1:12">
      <c r="A4367" t="s">
        <v>12287</v>
      </c>
      <c r="B4367" t="s">
        <v>12288</v>
      </c>
      <c r="C4367" t="s">
        <v>12890</v>
      </c>
      <c r="D4367" t="s">
        <v>12290</v>
      </c>
      <c r="E4367" t="s">
        <v>12891</v>
      </c>
      <c r="F4367" t="s">
        <v>12892</v>
      </c>
    </row>
    <row r="4368" spans="1:12">
      <c r="A4368" t="s">
        <v>12287</v>
      </c>
      <c r="B4368" t="s">
        <v>12288</v>
      </c>
      <c r="C4368" t="s">
        <v>12893</v>
      </c>
      <c r="D4368" t="s">
        <v>12290</v>
      </c>
      <c r="E4368" t="s">
        <v>4280</v>
      </c>
      <c r="F4368" t="s">
        <v>12894</v>
      </c>
    </row>
    <row r="4369" spans="1:12">
      <c r="A4369" t="s">
        <v>12287</v>
      </c>
      <c r="B4369" t="s">
        <v>12288</v>
      </c>
      <c r="C4369" t="s">
        <v>12895</v>
      </c>
      <c r="D4369" t="s">
        <v>12290</v>
      </c>
      <c r="E4369" t="s">
        <v>12896</v>
      </c>
      <c r="F4369" t="s">
        <v>12897</v>
      </c>
    </row>
    <row r="4370" spans="1:12">
      <c r="A4370" t="s">
        <v>12287</v>
      </c>
      <c r="B4370" t="s">
        <v>12288</v>
      </c>
      <c r="C4370" t="s">
        <v>12898</v>
      </c>
      <c r="D4370" t="s">
        <v>12290</v>
      </c>
      <c r="E4370" t="s">
        <v>12899</v>
      </c>
      <c r="F4370" t="s">
        <v>12900</v>
      </c>
      <c r="J4370" t="s">
        <v>12899</v>
      </c>
      <c r="K4370" t="s">
        <v>12298</v>
      </c>
      <c r="L4370" t="s">
        <v>851</v>
      </c>
    </row>
    <row r="4371" spans="1:12">
      <c r="A4371" t="s">
        <v>12287</v>
      </c>
      <c r="B4371" t="s">
        <v>12288</v>
      </c>
      <c r="C4371" t="s">
        <v>12901</v>
      </c>
      <c r="D4371" t="s">
        <v>12290</v>
      </c>
      <c r="E4371" t="s">
        <v>5217</v>
      </c>
      <c r="F4371" t="s">
        <v>8195</v>
      </c>
    </row>
    <row r="4372" spans="1:12">
      <c r="A4372" t="s">
        <v>12287</v>
      </c>
      <c r="B4372" t="s">
        <v>12288</v>
      </c>
      <c r="C4372" t="s">
        <v>12902</v>
      </c>
      <c r="D4372" t="s">
        <v>12290</v>
      </c>
      <c r="E4372" t="s">
        <v>12903</v>
      </c>
      <c r="F4372" t="s">
        <v>12904</v>
      </c>
    </row>
    <row r="4373" spans="1:12">
      <c r="A4373" t="s">
        <v>12287</v>
      </c>
      <c r="B4373" t="s">
        <v>12288</v>
      </c>
      <c r="C4373" t="s">
        <v>12905</v>
      </c>
      <c r="D4373" t="s">
        <v>12290</v>
      </c>
      <c r="E4373" t="s">
        <v>12065</v>
      </c>
      <c r="F4373" t="s">
        <v>12906</v>
      </c>
    </row>
    <row r="4374" spans="1:12">
      <c r="A4374" t="s">
        <v>12287</v>
      </c>
      <c r="B4374" t="s">
        <v>12288</v>
      </c>
      <c r="C4374" t="s">
        <v>12907</v>
      </c>
      <c r="D4374" t="s">
        <v>12290</v>
      </c>
      <c r="E4374" t="s">
        <v>2792</v>
      </c>
      <c r="F4374" t="s">
        <v>12908</v>
      </c>
    </row>
    <row r="4375" spans="1:12">
      <c r="A4375" t="s">
        <v>12287</v>
      </c>
      <c r="B4375" t="s">
        <v>12288</v>
      </c>
      <c r="C4375" t="s">
        <v>12909</v>
      </c>
      <c r="D4375" t="s">
        <v>12290</v>
      </c>
      <c r="E4375" t="s">
        <v>12910</v>
      </c>
      <c r="F4375" t="s">
        <v>12911</v>
      </c>
    </row>
    <row r="4376" spans="1:12">
      <c r="A4376" t="s">
        <v>12287</v>
      </c>
      <c r="B4376" t="s">
        <v>12288</v>
      </c>
      <c r="C4376" t="s">
        <v>12912</v>
      </c>
      <c r="D4376" t="s">
        <v>12290</v>
      </c>
      <c r="E4376" t="s">
        <v>12913</v>
      </c>
      <c r="F4376" t="s">
        <v>12914</v>
      </c>
    </row>
    <row r="4377" spans="1:12">
      <c r="A4377" t="s">
        <v>12287</v>
      </c>
      <c r="B4377" t="s">
        <v>12288</v>
      </c>
      <c r="C4377" t="s">
        <v>12915</v>
      </c>
      <c r="D4377" t="s">
        <v>12290</v>
      </c>
      <c r="E4377" t="s">
        <v>2804</v>
      </c>
      <c r="F4377" t="s">
        <v>12916</v>
      </c>
    </row>
    <row r="4378" spans="1:12">
      <c r="A4378" t="s">
        <v>12287</v>
      </c>
      <c r="B4378" t="s">
        <v>12288</v>
      </c>
      <c r="C4378" t="s">
        <v>12917</v>
      </c>
      <c r="D4378" t="s">
        <v>12290</v>
      </c>
      <c r="E4378" t="s">
        <v>12918</v>
      </c>
      <c r="F4378" t="s">
        <v>12919</v>
      </c>
    </row>
    <row r="4379" spans="1:12">
      <c r="A4379" t="s">
        <v>12287</v>
      </c>
      <c r="B4379" t="s">
        <v>12288</v>
      </c>
      <c r="C4379" t="s">
        <v>12920</v>
      </c>
      <c r="D4379" t="s">
        <v>12290</v>
      </c>
      <c r="E4379" t="s">
        <v>12921</v>
      </c>
      <c r="F4379" t="s">
        <v>12922</v>
      </c>
    </row>
    <row r="4380" spans="1:12">
      <c r="A4380" t="s">
        <v>12287</v>
      </c>
      <c r="B4380" t="s">
        <v>12288</v>
      </c>
      <c r="C4380" t="s">
        <v>12923</v>
      </c>
      <c r="D4380" t="s">
        <v>12290</v>
      </c>
      <c r="E4380" t="s">
        <v>12924</v>
      </c>
      <c r="F4380" t="s">
        <v>12925</v>
      </c>
    </row>
    <row r="4381" spans="1:12">
      <c r="A4381" t="s">
        <v>12287</v>
      </c>
      <c r="B4381" t="s">
        <v>12288</v>
      </c>
      <c r="C4381" t="s">
        <v>12926</v>
      </c>
      <c r="D4381" t="s">
        <v>12290</v>
      </c>
      <c r="E4381" t="s">
        <v>12927</v>
      </c>
      <c r="F4381" t="s">
        <v>12928</v>
      </c>
    </row>
    <row r="4382" spans="1:12">
      <c r="A4382" t="s">
        <v>12287</v>
      </c>
      <c r="B4382" t="s">
        <v>12288</v>
      </c>
      <c r="C4382" t="s">
        <v>12929</v>
      </c>
      <c r="D4382" t="s">
        <v>12290</v>
      </c>
      <c r="E4382" t="s">
        <v>12930</v>
      </c>
      <c r="F4382" t="s">
        <v>12931</v>
      </c>
      <c r="J4382" t="s">
        <v>12930</v>
      </c>
      <c r="K4382" t="s">
        <v>12298</v>
      </c>
      <c r="L4382" t="s">
        <v>851</v>
      </c>
    </row>
    <row r="4383" spans="1:12">
      <c r="A4383" t="s">
        <v>12287</v>
      </c>
      <c r="B4383" t="s">
        <v>12288</v>
      </c>
      <c r="C4383" t="s">
        <v>12932</v>
      </c>
      <c r="D4383" t="s">
        <v>12290</v>
      </c>
      <c r="E4383" t="s">
        <v>12933</v>
      </c>
      <c r="F4383" t="s">
        <v>12934</v>
      </c>
      <c r="J4383" t="s">
        <v>12933</v>
      </c>
      <c r="K4383" t="s">
        <v>12298</v>
      </c>
      <c r="L4383" t="s">
        <v>851</v>
      </c>
    </row>
    <row r="4384" spans="1:12">
      <c r="A4384" t="s">
        <v>12287</v>
      </c>
      <c r="B4384" t="s">
        <v>12288</v>
      </c>
      <c r="C4384" t="s">
        <v>12935</v>
      </c>
      <c r="D4384" t="s">
        <v>12290</v>
      </c>
      <c r="E4384" t="s">
        <v>12936</v>
      </c>
      <c r="F4384" t="s">
        <v>12937</v>
      </c>
    </row>
    <row r="4385" spans="1:12">
      <c r="A4385" t="s">
        <v>12287</v>
      </c>
      <c r="B4385" t="s">
        <v>12288</v>
      </c>
      <c r="C4385" t="s">
        <v>12938</v>
      </c>
      <c r="D4385" t="s">
        <v>12290</v>
      </c>
      <c r="E4385" t="s">
        <v>12939</v>
      </c>
      <c r="F4385" t="s">
        <v>12940</v>
      </c>
    </row>
    <row r="4386" spans="1:12">
      <c r="A4386" t="s">
        <v>12287</v>
      </c>
      <c r="B4386" t="s">
        <v>12288</v>
      </c>
      <c r="C4386" t="s">
        <v>12941</v>
      </c>
      <c r="D4386" t="s">
        <v>12290</v>
      </c>
      <c r="E4386" t="s">
        <v>12942</v>
      </c>
      <c r="F4386" t="s">
        <v>12943</v>
      </c>
    </row>
    <row r="4387" spans="1:12">
      <c r="A4387" t="s">
        <v>12287</v>
      </c>
      <c r="B4387" t="s">
        <v>12288</v>
      </c>
      <c r="C4387" t="s">
        <v>12944</v>
      </c>
      <c r="D4387" t="s">
        <v>12290</v>
      </c>
      <c r="E4387" t="s">
        <v>12945</v>
      </c>
      <c r="F4387" t="s">
        <v>12946</v>
      </c>
    </row>
    <row r="4388" spans="1:12">
      <c r="A4388" t="s">
        <v>12287</v>
      </c>
      <c r="B4388" t="s">
        <v>12288</v>
      </c>
      <c r="C4388" t="s">
        <v>12947</v>
      </c>
      <c r="D4388" t="s">
        <v>12290</v>
      </c>
      <c r="E4388" t="s">
        <v>9833</v>
      </c>
      <c r="F4388" t="s">
        <v>12948</v>
      </c>
    </row>
    <row r="4389" spans="1:12">
      <c r="A4389" t="s">
        <v>12287</v>
      </c>
      <c r="B4389" t="s">
        <v>12288</v>
      </c>
      <c r="C4389" t="s">
        <v>12949</v>
      </c>
      <c r="D4389" t="s">
        <v>12290</v>
      </c>
      <c r="E4389" t="s">
        <v>12950</v>
      </c>
      <c r="F4389" t="s">
        <v>12951</v>
      </c>
    </row>
    <row r="4390" spans="1:12">
      <c r="A4390" t="s">
        <v>12287</v>
      </c>
      <c r="B4390" t="s">
        <v>12288</v>
      </c>
      <c r="C4390" t="s">
        <v>12952</v>
      </c>
      <c r="D4390" t="s">
        <v>12290</v>
      </c>
      <c r="E4390" t="s">
        <v>12953</v>
      </c>
      <c r="F4390" t="s">
        <v>12954</v>
      </c>
    </row>
    <row r="4391" spans="1:12">
      <c r="A4391" t="s">
        <v>12287</v>
      </c>
      <c r="B4391" t="s">
        <v>12288</v>
      </c>
      <c r="C4391" t="s">
        <v>12955</v>
      </c>
      <c r="D4391" t="s">
        <v>12290</v>
      </c>
      <c r="E4391" t="s">
        <v>12956</v>
      </c>
      <c r="F4391" t="s">
        <v>12957</v>
      </c>
    </row>
    <row r="4392" spans="1:12">
      <c r="A4392" t="s">
        <v>12287</v>
      </c>
      <c r="B4392" t="s">
        <v>12288</v>
      </c>
      <c r="C4392" t="s">
        <v>12958</v>
      </c>
      <c r="D4392" t="s">
        <v>12290</v>
      </c>
      <c r="E4392" t="s">
        <v>7955</v>
      </c>
      <c r="F4392" t="s">
        <v>12959</v>
      </c>
    </row>
    <row r="4393" spans="1:12">
      <c r="A4393" t="s">
        <v>12287</v>
      </c>
      <c r="B4393" t="s">
        <v>12288</v>
      </c>
      <c r="C4393" t="s">
        <v>12960</v>
      </c>
      <c r="D4393" t="s">
        <v>12290</v>
      </c>
      <c r="E4393" t="s">
        <v>12092</v>
      </c>
      <c r="F4393" t="s">
        <v>12961</v>
      </c>
    </row>
    <row r="4394" spans="1:12">
      <c r="A4394" t="s">
        <v>12287</v>
      </c>
      <c r="B4394" t="s">
        <v>12288</v>
      </c>
      <c r="C4394" t="s">
        <v>12962</v>
      </c>
      <c r="D4394" t="s">
        <v>12290</v>
      </c>
      <c r="E4394" t="s">
        <v>11049</v>
      </c>
      <c r="F4394" t="s">
        <v>12963</v>
      </c>
    </row>
    <row r="4395" spans="1:12">
      <c r="A4395" t="s">
        <v>12287</v>
      </c>
      <c r="B4395" t="s">
        <v>12288</v>
      </c>
      <c r="C4395" t="s">
        <v>12964</v>
      </c>
      <c r="D4395" t="s">
        <v>12290</v>
      </c>
      <c r="E4395" t="s">
        <v>8067</v>
      </c>
      <c r="F4395" t="s">
        <v>12965</v>
      </c>
    </row>
    <row r="4396" spans="1:12">
      <c r="A4396" t="s">
        <v>12287</v>
      </c>
      <c r="B4396" t="s">
        <v>12288</v>
      </c>
      <c r="C4396" t="s">
        <v>12966</v>
      </c>
      <c r="D4396" t="s">
        <v>12290</v>
      </c>
      <c r="E4396" t="s">
        <v>12967</v>
      </c>
      <c r="F4396" t="s">
        <v>12968</v>
      </c>
    </row>
    <row r="4397" spans="1:12">
      <c r="A4397" t="s">
        <v>12287</v>
      </c>
      <c r="B4397" t="s">
        <v>12288</v>
      </c>
      <c r="C4397" t="s">
        <v>12969</v>
      </c>
      <c r="D4397" t="s">
        <v>12290</v>
      </c>
      <c r="E4397" t="s">
        <v>12970</v>
      </c>
      <c r="F4397" t="s">
        <v>12971</v>
      </c>
      <c r="J4397" t="s">
        <v>12970</v>
      </c>
      <c r="K4397" t="s">
        <v>12298</v>
      </c>
      <c r="L4397" t="s">
        <v>851</v>
      </c>
    </row>
    <row r="4398" spans="1:12">
      <c r="A4398" t="s">
        <v>12287</v>
      </c>
      <c r="B4398" t="s">
        <v>12288</v>
      </c>
      <c r="C4398" t="s">
        <v>12972</v>
      </c>
      <c r="D4398" t="s">
        <v>12290</v>
      </c>
      <c r="E4398" t="s">
        <v>12973</v>
      </c>
      <c r="F4398" t="s">
        <v>12974</v>
      </c>
    </row>
    <row r="4399" spans="1:12">
      <c r="A4399" t="s">
        <v>12287</v>
      </c>
      <c r="B4399" t="s">
        <v>12288</v>
      </c>
      <c r="C4399" t="s">
        <v>12975</v>
      </c>
      <c r="D4399" t="s">
        <v>12290</v>
      </c>
      <c r="E4399" t="s">
        <v>12976</v>
      </c>
      <c r="F4399" t="s">
        <v>12977</v>
      </c>
    </row>
    <row r="4400" spans="1:12">
      <c r="A4400" t="s">
        <v>12287</v>
      </c>
      <c r="B4400" t="s">
        <v>12288</v>
      </c>
      <c r="C4400" t="s">
        <v>12978</v>
      </c>
      <c r="D4400" t="s">
        <v>12290</v>
      </c>
      <c r="E4400" t="s">
        <v>7423</v>
      </c>
      <c r="F4400" t="s">
        <v>12979</v>
      </c>
    </row>
    <row r="4401" spans="1:12">
      <c r="A4401" t="s">
        <v>12287</v>
      </c>
      <c r="B4401" t="s">
        <v>12288</v>
      </c>
      <c r="C4401" t="s">
        <v>12980</v>
      </c>
      <c r="D4401" t="s">
        <v>12290</v>
      </c>
      <c r="E4401" t="s">
        <v>2900</v>
      </c>
      <c r="F4401" t="s">
        <v>12981</v>
      </c>
    </row>
    <row r="4402" spans="1:12">
      <c r="A4402" t="s">
        <v>12287</v>
      </c>
      <c r="B4402" t="s">
        <v>12288</v>
      </c>
      <c r="C4402" t="s">
        <v>12982</v>
      </c>
      <c r="D4402" t="s">
        <v>12290</v>
      </c>
      <c r="E4402" t="s">
        <v>12983</v>
      </c>
      <c r="F4402" t="s">
        <v>12984</v>
      </c>
    </row>
    <row r="4403" spans="1:12">
      <c r="A4403" t="s">
        <v>12287</v>
      </c>
      <c r="B4403" t="s">
        <v>12288</v>
      </c>
      <c r="C4403" t="s">
        <v>12985</v>
      </c>
      <c r="D4403" t="s">
        <v>12290</v>
      </c>
      <c r="E4403" t="s">
        <v>12986</v>
      </c>
      <c r="F4403" t="s">
        <v>12987</v>
      </c>
    </row>
    <row r="4404" spans="1:12">
      <c r="A4404" t="s">
        <v>12287</v>
      </c>
      <c r="B4404" t="s">
        <v>12288</v>
      </c>
      <c r="C4404" t="s">
        <v>12988</v>
      </c>
      <c r="D4404" t="s">
        <v>12290</v>
      </c>
      <c r="E4404" t="s">
        <v>1326</v>
      </c>
      <c r="F4404" t="s">
        <v>12989</v>
      </c>
    </row>
    <row r="4405" spans="1:12">
      <c r="A4405" t="s">
        <v>12287</v>
      </c>
      <c r="B4405" t="s">
        <v>12288</v>
      </c>
      <c r="C4405" t="s">
        <v>12990</v>
      </c>
      <c r="D4405" t="s">
        <v>12290</v>
      </c>
      <c r="E4405" t="s">
        <v>5285</v>
      </c>
      <c r="F4405" t="s">
        <v>12991</v>
      </c>
      <c r="J4405" t="s">
        <v>5285</v>
      </c>
      <c r="K4405" t="s">
        <v>12298</v>
      </c>
      <c r="L4405" t="s">
        <v>851</v>
      </c>
    </row>
    <row r="4406" spans="1:12">
      <c r="A4406" t="s">
        <v>12287</v>
      </c>
      <c r="B4406" t="s">
        <v>12288</v>
      </c>
      <c r="C4406" t="s">
        <v>12992</v>
      </c>
      <c r="D4406" t="s">
        <v>12290</v>
      </c>
      <c r="E4406" t="s">
        <v>12993</v>
      </c>
      <c r="F4406" t="s">
        <v>12994</v>
      </c>
    </row>
    <row r="4407" spans="1:12">
      <c r="A4407" t="s">
        <v>12287</v>
      </c>
      <c r="B4407" t="s">
        <v>12288</v>
      </c>
      <c r="C4407" t="s">
        <v>12995</v>
      </c>
      <c r="D4407" t="s">
        <v>12290</v>
      </c>
      <c r="E4407" t="s">
        <v>3765</v>
      </c>
      <c r="F4407" t="s">
        <v>12996</v>
      </c>
      <c r="J4407" t="s">
        <v>3765</v>
      </c>
      <c r="K4407" t="s">
        <v>12298</v>
      </c>
      <c r="L4407" t="s">
        <v>851</v>
      </c>
    </row>
    <row r="4408" spans="1:12">
      <c r="A4408" t="s">
        <v>12287</v>
      </c>
      <c r="B4408" t="s">
        <v>12288</v>
      </c>
      <c r="C4408" t="s">
        <v>12997</v>
      </c>
      <c r="D4408" t="s">
        <v>12290</v>
      </c>
      <c r="E4408" t="s">
        <v>12998</v>
      </c>
      <c r="F4408" t="s">
        <v>12999</v>
      </c>
    </row>
    <row r="4409" spans="1:12">
      <c r="A4409" t="s">
        <v>12287</v>
      </c>
      <c r="B4409" t="s">
        <v>12288</v>
      </c>
      <c r="C4409" t="s">
        <v>13000</v>
      </c>
      <c r="D4409" t="s">
        <v>12290</v>
      </c>
      <c r="E4409" t="s">
        <v>13001</v>
      </c>
      <c r="F4409" t="s">
        <v>13002</v>
      </c>
      <c r="J4409" t="s">
        <v>13001</v>
      </c>
      <c r="K4409" t="s">
        <v>12298</v>
      </c>
      <c r="L4409" t="s">
        <v>851</v>
      </c>
    </row>
    <row r="4410" spans="1:12">
      <c r="A4410" t="s">
        <v>12287</v>
      </c>
      <c r="B4410" t="s">
        <v>12288</v>
      </c>
      <c r="C4410" t="s">
        <v>13003</v>
      </c>
      <c r="D4410" t="s">
        <v>12290</v>
      </c>
      <c r="E4410" t="s">
        <v>10817</v>
      </c>
      <c r="F4410" t="s">
        <v>13004</v>
      </c>
    </row>
    <row r="4411" spans="1:12">
      <c r="A4411" t="s">
        <v>12287</v>
      </c>
      <c r="B4411" t="s">
        <v>12288</v>
      </c>
      <c r="C4411" t="s">
        <v>13005</v>
      </c>
      <c r="D4411" t="s">
        <v>12290</v>
      </c>
      <c r="E4411" t="s">
        <v>13006</v>
      </c>
      <c r="F4411" t="s">
        <v>13007</v>
      </c>
    </row>
    <row r="4412" spans="1:12">
      <c r="A4412" t="s">
        <v>12287</v>
      </c>
      <c r="B4412" t="s">
        <v>12288</v>
      </c>
      <c r="C4412" t="s">
        <v>13008</v>
      </c>
      <c r="D4412" t="s">
        <v>12290</v>
      </c>
      <c r="E4412" t="s">
        <v>2942</v>
      </c>
      <c r="F4412" t="s">
        <v>13009</v>
      </c>
    </row>
    <row r="4413" spans="1:12">
      <c r="A4413" t="s">
        <v>12287</v>
      </c>
      <c r="B4413" t="s">
        <v>12288</v>
      </c>
      <c r="C4413" t="s">
        <v>13010</v>
      </c>
      <c r="D4413" t="s">
        <v>12290</v>
      </c>
      <c r="E4413" t="s">
        <v>9992</v>
      </c>
      <c r="F4413" t="s">
        <v>13011</v>
      </c>
      <c r="J4413" t="s">
        <v>9992</v>
      </c>
      <c r="K4413" t="s">
        <v>12298</v>
      </c>
      <c r="L4413" t="s">
        <v>851</v>
      </c>
    </row>
    <row r="4414" spans="1:12">
      <c r="A4414" t="s">
        <v>12287</v>
      </c>
      <c r="B4414" t="s">
        <v>12288</v>
      </c>
      <c r="C4414" t="s">
        <v>13012</v>
      </c>
      <c r="D4414" t="s">
        <v>12290</v>
      </c>
      <c r="E4414" t="s">
        <v>11469</v>
      </c>
      <c r="F4414" t="s">
        <v>13013</v>
      </c>
    </row>
    <row r="4415" spans="1:12">
      <c r="A4415" t="s">
        <v>12287</v>
      </c>
      <c r="B4415" t="s">
        <v>12288</v>
      </c>
      <c r="C4415" t="s">
        <v>13014</v>
      </c>
      <c r="D4415" t="s">
        <v>12290</v>
      </c>
      <c r="E4415" t="s">
        <v>3527</v>
      </c>
      <c r="F4415" t="s">
        <v>13015</v>
      </c>
    </row>
    <row r="4416" spans="1:12">
      <c r="A4416" t="s">
        <v>12287</v>
      </c>
      <c r="B4416" t="s">
        <v>12288</v>
      </c>
      <c r="C4416" t="s">
        <v>13016</v>
      </c>
      <c r="D4416" t="s">
        <v>12290</v>
      </c>
      <c r="E4416" t="s">
        <v>13017</v>
      </c>
      <c r="F4416" t="s">
        <v>13018</v>
      </c>
    </row>
    <row r="4417" spans="1:12">
      <c r="A4417" t="s">
        <v>12287</v>
      </c>
      <c r="B4417" t="s">
        <v>12288</v>
      </c>
      <c r="C4417" t="s">
        <v>13019</v>
      </c>
      <c r="D4417" t="s">
        <v>12290</v>
      </c>
      <c r="E4417" t="s">
        <v>7444</v>
      </c>
      <c r="F4417" t="s">
        <v>13020</v>
      </c>
    </row>
    <row r="4418" spans="1:12">
      <c r="A4418" t="s">
        <v>12287</v>
      </c>
      <c r="B4418" t="s">
        <v>12288</v>
      </c>
      <c r="C4418" t="s">
        <v>13021</v>
      </c>
      <c r="D4418" t="s">
        <v>12290</v>
      </c>
      <c r="E4418" t="s">
        <v>13022</v>
      </c>
      <c r="F4418" t="s">
        <v>13023</v>
      </c>
    </row>
    <row r="4419" spans="1:12">
      <c r="A4419" t="s">
        <v>12287</v>
      </c>
      <c r="B4419" t="s">
        <v>12288</v>
      </c>
      <c r="C4419" t="s">
        <v>13024</v>
      </c>
      <c r="D4419" t="s">
        <v>12290</v>
      </c>
      <c r="E4419" t="s">
        <v>13025</v>
      </c>
      <c r="F4419" t="s">
        <v>13026</v>
      </c>
      <c r="J4419" t="s">
        <v>13025</v>
      </c>
      <c r="K4419" t="s">
        <v>12298</v>
      </c>
      <c r="L4419" t="s">
        <v>851</v>
      </c>
    </row>
    <row r="4420" spans="1:12">
      <c r="A4420" t="s">
        <v>12287</v>
      </c>
      <c r="B4420" t="s">
        <v>12288</v>
      </c>
      <c r="C4420" t="s">
        <v>13027</v>
      </c>
      <c r="D4420" t="s">
        <v>12290</v>
      </c>
      <c r="E4420" t="s">
        <v>13028</v>
      </c>
      <c r="F4420" t="s">
        <v>13029</v>
      </c>
    </row>
    <row r="4421" spans="1:12">
      <c r="A4421" t="s">
        <v>12287</v>
      </c>
      <c r="B4421" t="s">
        <v>12288</v>
      </c>
      <c r="C4421" t="s">
        <v>13030</v>
      </c>
      <c r="D4421" t="s">
        <v>12290</v>
      </c>
      <c r="E4421" t="s">
        <v>13031</v>
      </c>
      <c r="F4421" t="s">
        <v>13032</v>
      </c>
      <c r="J4421" t="s">
        <v>13031</v>
      </c>
      <c r="K4421" t="s">
        <v>12298</v>
      </c>
      <c r="L4421" t="s">
        <v>851</v>
      </c>
    </row>
    <row r="4422" spans="1:12">
      <c r="A4422" t="s">
        <v>12287</v>
      </c>
      <c r="B4422" t="s">
        <v>12288</v>
      </c>
      <c r="C4422" t="s">
        <v>13033</v>
      </c>
      <c r="D4422" t="s">
        <v>12290</v>
      </c>
      <c r="E4422" t="s">
        <v>13034</v>
      </c>
      <c r="F4422" t="s">
        <v>13035</v>
      </c>
    </row>
    <row r="4423" spans="1:12">
      <c r="A4423" t="s">
        <v>12287</v>
      </c>
      <c r="B4423" t="s">
        <v>12288</v>
      </c>
      <c r="C4423" t="s">
        <v>13036</v>
      </c>
      <c r="D4423" t="s">
        <v>12290</v>
      </c>
      <c r="E4423" t="s">
        <v>10652</v>
      </c>
      <c r="F4423" t="s">
        <v>13037</v>
      </c>
    </row>
    <row r="4424" spans="1:12">
      <c r="A4424" t="s">
        <v>12287</v>
      </c>
      <c r="B4424" t="s">
        <v>12288</v>
      </c>
      <c r="C4424" t="s">
        <v>13038</v>
      </c>
      <c r="D4424" t="s">
        <v>12290</v>
      </c>
      <c r="E4424" t="s">
        <v>2984</v>
      </c>
      <c r="F4424" t="s">
        <v>13039</v>
      </c>
    </row>
    <row r="4425" spans="1:12">
      <c r="A4425" t="s">
        <v>12287</v>
      </c>
      <c r="B4425" t="s">
        <v>12288</v>
      </c>
      <c r="C4425" t="s">
        <v>13040</v>
      </c>
      <c r="D4425" t="s">
        <v>12290</v>
      </c>
      <c r="E4425" t="s">
        <v>13041</v>
      </c>
      <c r="F4425" t="s">
        <v>13042</v>
      </c>
    </row>
    <row r="4426" spans="1:12">
      <c r="A4426" t="s">
        <v>12287</v>
      </c>
      <c r="B4426" t="s">
        <v>12288</v>
      </c>
      <c r="C4426" t="s">
        <v>13043</v>
      </c>
      <c r="D4426" t="s">
        <v>12290</v>
      </c>
      <c r="E4426" t="s">
        <v>13044</v>
      </c>
      <c r="F4426" t="s">
        <v>13045</v>
      </c>
    </row>
    <row r="4427" spans="1:12">
      <c r="A4427" t="s">
        <v>12287</v>
      </c>
      <c r="B4427" t="s">
        <v>12288</v>
      </c>
      <c r="C4427" t="s">
        <v>13046</v>
      </c>
      <c r="D4427" t="s">
        <v>12290</v>
      </c>
      <c r="E4427" t="s">
        <v>5314</v>
      </c>
      <c r="F4427" t="s">
        <v>13047</v>
      </c>
    </row>
    <row r="4428" spans="1:12">
      <c r="A4428" t="s">
        <v>12287</v>
      </c>
      <c r="B4428" t="s">
        <v>12288</v>
      </c>
      <c r="C4428" t="s">
        <v>13048</v>
      </c>
      <c r="D4428" t="s">
        <v>12290</v>
      </c>
      <c r="E4428" t="s">
        <v>13049</v>
      </c>
      <c r="F4428" t="s">
        <v>13050</v>
      </c>
    </row>
    <row r="4429" spans="1:12">
      <c r="A4429" t="s">
        <v>12287</v>
      </c>
      <c r="B4429" t="s">
        <v>12288</v>
      </c>
      <c r="C4429" t="s">
        <v>13051</v>
      </c>
      <c r="D4429" t="s">
        <v>12290</v>
      </c>
      <c r="E4429" t="s">
        <v>10037</v>
      </c>
      <c r="F4429" t="s">
        <v>13052</v>
      </c>
      <c r="J4429" t="s">
        <v>10037</v>
      </c>
      <c r="K4429" t="s">
        <v>12298</v>
      </c>
      <c r="L4429" t="s">
        <v>851</v>
      </c>
    </row>
    <row r="4430" spans="1:12">
      <c r="A4430" t="s">
        <v>12287</v>
      </c>
      <c r="B4430" t="s">
        <v>12288</v>
      </c>
      <c r="C4430" t="s">
        <v>13053</v>
      </c>
      <c r="D4430" t="s">
        <v>12290</v>
      </c>
      <c r="E4430" t="s">
        <v>13054</v>
      </c>
      <c r="F4430" t="s">
        <v>13055</v>
      </c>
    </row>
    <row r="4431" spans="1:12">
      <c r="A4431" t="s">
        <v>12287</v>
      </c>
      <c r="B4431" t="s">
        <v>12288</v>
      </c>
      <c r="C4431" t="s">
        <v>13056</v>
      </c>
      <c r="D4431" t="s">
        <v>12290</v>
      </c>
      <c r="E4431" t="s">
        <v>13057</v>
      </c>
      <c r="F4431" t="s">
        <v>13058</v>
      </c>
      <c r="J4431" t="s">
        <v>13057</v>
      </c>
      <c r="K4431" t="s">
        <v>12298</v>
      </c>
      <c r="L4431" t="s">
        <v>851</v>
      </c>
    </row>
    <row r="4432" spans="1:12">
      <c r="A4432" t="s">
        <v>12287</v>
      </c>
      <c r="B4432" t="s">
        <v>12288</v>
      </c>
      <c r="C4432" t="s">
        <v>13059</v>
      </c>
      <c r="D4432" t="s">
        <v>12290</v>
      </c>
      <c r="E4432" t="s">
        <v>7497</v>
      </c>
      <c r="F4432" t="s">
        <v>13060</v>
      </c>
    </row>
    <row r="4433" spans="1:12">
      <c r="A4433" t="s">
        <v>12287</v>
      </c>
      <c r="B4433" t="s">
        <v>12288</v>
      </c>
      <c r="C4433" t="s">
        <v>13061</v>
      </c>
      <c r="D4433" t="s">
        <v>12290</v>
      </c>
      <c r="E4433" t="s">
        <v>13062</v>
      </c>
      <c r="F4433" t="s">
        <v>13063</v>
      </c>
      <c r="J4433" t="s">
        <v>13062</v>
      </c>
      <c r="K4433" t="s">
        <v>12298</v>
      </c>
      <c r="L4433" t="s">
        <v>851</v>
      </c>
    </row>
    <row r="4434" spans="1:12">
      <c r="A4434" t="s">
        <v>12287</v>
      </c>
      <c r="B4434" t="s">
        <v>12288</v>
      </c>
      <c r="C4434" t="s">
        <v>13064</v>
      </c>
      <c r="D4434" t="s">
        <v>12290</v>
      </c>
      <c r="E4434" t="s">
        <v>13065</v>
      </c>
      <c r="F4434" t="s">
        <v>13066</v>
      </c>
      <c r="J4434" t="s">
        <v>13065</v>
      </c>
      <c r="K4434" t="s">
        <v>12298</v>
      </c>
      <c r="L4434" t="s">
        <v>851</v>
      </c>
    </row>
    <row r="4435" spans="1:12">
      <c r="A4435" t="s">
        <v>12287</v>
      </c>
      <c r="B4435" t="s">
        <v>12288</v>
      </c>
      <c r="C4435" t="s">
        <v>13067</v>
      </c>
      <c r="D4435" t="s">
        <v>12290</v>
      </c>
      <c r="E4435" t="s">
        <v>13068</v>
      </c>
      <c r="F4435" t="s">
        <v>13069</v>
      </c>
      <c r="J4435" t="s">
        <v>13068</v>
      </c>
      <c r="K4435" t="s">
        <v>12298</v>
      </c>
      <c r="L4435" t="s">
        <v>851</v>
      </c>
    </row>
    <row r="4436" spans="1:12">
      <c r="A4436" t="s">
        <v>12287</v>
      </c>
      <c r="B4436" t="s">
        <v>12288</v>
      </c>
      <c r="C4436" t="s">
        <v>13070</v>
      </c>
      <c r="D4436" t="s">
        <v>12290</v>
      </c>
      <c r="E4436" t="s">
        <v>13071</v>
      </c>
      <c r="F4436" t="s">
        <v>13072</v>
      </c>
      <c r="J4436" t="s">
        <v>13071</v>
      </c>
      <c r="K4436" t="s">
        <v>12298</v>
      </c>
      <c r="L4436" t="s">
        <v>851</v>
      </c>
    </row>
    <row r="4437" spans="1:12">
      <c r="A4437" t="s">
        <v>12287</v>
      </c>
      <c r="B4437" t="s">
        <v>12288</v>
      </c>
      <c r="C4437" t="s">
        <v>13073</v>
      </c>
      <c r="D4437" t="s">
        <v>12290</v>
      </c>
      <c r="E4437" t="s">
        <v>5341</v>
      </c>
      <c r="F4437" t="s">
        <v>13074</v>
      </c>
    </row>
    <row r="4438" spans="1:12">
      <c r="A4438" t="s">
        <v>12287</v>
      </c>
      <c r="B4438" t="s">
        <v>12288</v>
      </c>
      <c r="C4438" t="s">
        <v>13075</v>
      </c>
      <c r="D4438" t="s">
        <v>12290</v>
      </c>
      <c r="E4438" t="s">
        <v>10137</v>
      </c>
      <c r="F4438" t="s">
        <v>13076</v>
      </c>
      <c r="J4438" t="s">
        <v>10137</v>
      </c>
      <c r="K4438" t="s">
        <v>12298</v>
      </c>
      <c r="L4438" t="s">
        <v>851</v>
      </c>
    </row>
    <row r="4439" spans="1:12">
      <c r="A4439" t="s">
        <v>12287</v>
      </c>
      <c r="B4439" t="s">
        <v>12288</v>
      </c>
      <c r="C4439" t="s">
        <v>13077</v>
      </c>
      <c r="D4439" t="s">
        <v>12290</v>
      </c>
      <c r="E4439" t="s">
        <v>13078</v>
      </c>
      <c r="F4439" t="s">
        <v>13079</v>
      </c>
    </row>
    <row r="4440" spans="1:12">
      <c r="A4440" t="s">
        <v>12287</v>
      </c>
      <c r="B4440" t="s">
        <v>12288</v>
      </c>
      <c r="C4440" t="s">
        <v>13080</v>
      </c>
      <c r="D4440" t="s">
        <v>12290</v>
      </c>
      <c r="E4440" t="s">
        <v>13081</v>
      </c>
      <c r="F4440" t="s">
        <v>13082</v>
      </c>
    </row>
    <row r="4441" spans="1:12">
      <c r="A4441" t="s">
        <v>12287</v>
      </c>
      <c r="B4441" t="s">
        <v>12288</v>
      </c>
      <c r="C4441" t="s">
        <v>13083</v>
      </c>
      <c r="D4441" t="s">
        <v>12290</v>
      </c>
      <c r="E4441" t="s">
        <v>13084</v>
      </c>
      <c r="F4441" t="s">
        <v>13085</v>
      </c>
      <c r="J4441" t="s">
        <v>13084</v>
      </c>
      <c r="K4441" t="s">
        <v>12298</v>
      </c>
      <c r="L4441" t="s">
        <v>851</v>
      </c>
    </row>
    <row r="4442" spans="1:12">
      <c r="A4442" t="s">
        <v>12287</v>
      </c>
      <c r="B4442" t="s">
        <v>12288</v>
      </c>
      <c r="C4442" t="s">
        <v>13086</v>
      </c>
      <c r="D4442" t="s">
        <v>12290</v>
      </c>
      <c r="E4442" t="s">
        <v>13087</v>
      </c>
      <c r="F4442" t="s">
        <v>13088</v>
      </c>
    </row>
    <row r="4443" spans="1:12">
      <c r="A4443" t="s">
        <v>12287</v>
      </c>
      <c r="B4443" t="s">
        <v>12288</v>
      </c>
      <c r="C4443" t="s">
        <v>13089</v>
      </c>
      <c r="D4443" t="s">
        <v>12290</v>
      </c>
      <c r="E4443" t="s">
        <v>10182</v>
      </c>
      <c r="F4443" t="s">
        <v>13090</v>
      </c>
    </row>
    <row r="4444" spans="1:12">
      <c r="A4444" t="s">
        <v>12287</v>
      </c>
      <c r="B4444" t="s">
        <v>12288</v>
      </c>
      <c r="C4444" t="s">
        <v>13091</v>
      </c>
      <c r="D4444" t="s">
        <v>12290</v>
      </c>
      <c r="E4444" t="s">
        <v>13092</v>
      </c>
      <c r="F4444" t="s">
        <v>13093</v>
      </c>
    </row>
    <row r="4445" spans="1:12">
      <c r="A4445" t="s">
        <v>12287</v>
      </c>
      <c r="B4445" t="s">
        <v>12288</v>
      </c>
      <c r="C4445" t="s">
        <v>13094</v>
      </c>
      <c r="D4445" t="s">
        <v>12290</v>
      </c>
      <c r="E4445" t="s">
        <v>13095</v>
      </c>
      <c r="F4445" t="s">
        <v>13096</v>
      </c>
    </row>
    <row r="4446" spans="1:12">
      <c r="A4446" t="s">
        <v>12287</v>
      </c>
      <c r="B4446" t="s">
        <v>12288</v>
      </c>
      <c r="C4446" t="s">
        <v>13097</v>
      </c>
      <c r="D4446" t="s">
        <v>12290</v>
      </c>
      <c r="E4446" t="s">
        <v>10187</v>
      </c>
      <c r="F4446" t="s">
        <v>13098</v>
      </c>
      <c r="J4446" t="s">
        <v>10187</v>
      </c>
      <c r="K4446" t="s">
        <v>12298</v>
      </c>
      <c r="L4446" t="s">
        <v>851</v>
      </c>
    </row>
    <row r="4447" spans="1:12">
      <c r="A4447" t="s">
        <v>12287</v>
      </c>
      <c r="B4447" t="s">
        <v>12288</v>
      </c>
      <c r="C4447" t="s">
        <v>13099</v>
      </c>
      <c r="D4447" t="s">
        <v>12290</v>
      </c>
      <c r="E4447" t="s">
        <v>10193</v>
      </c>
      <c r="F4447" t="s">
        <v>13100</v>
      </c>
    </row>
    <row r="4448" spans="1:12">
      <c r="A4448" t="s">
        <v>12287</v>
      </c>
      <c r="B4448" t="s">
        <v>12288</v>
      </c>
      <c r="C4448" t="s">
        <v>13101</v>
      </c>
      <c r="D4448" t="s">
        <v>12290</v>
      </c>
      <c r="E4448" t="s">
        <v>13102</v>
      </c>
      <c r="F4448" t="s">
        <v>13103</v>
      </c>
    </row>
    <row r="4449" spans="1:12">
      <c r="A4449" t="s">
        <v>12287</v>
      </c>
      <c r="B4449" t="s">
        <v>12288</v>
      </c>
      <c r="C4449" t="s">
        <v>13104</v>
      </c>
      <c r="D4449" t="s">
        <v>12290</v>
      </c>
      <c r="E4449" t="s">
        <v>13105</v>
      </c>
      <c r="F4449" t="s">
        <v>13106</v>
      </c>
    </row>
    <row r="4450" spans="1:12">
      <c r="A4450" t="s">
        <v>12287</v>
      </c>
      <c r="B4450" t="s">
        <v>12288</v>
      </c>
      <c r="C4450" t="s">
        <v>13107</v>
      </c>
      <c r="D4450" t="s">
        <v>12290</v>
      </c>
      <c r="E4450" t="s">
        <v>13108</v>
      </c>
      <c r="F4450" t="s">
        <v>13109</v>
      </c>
      <c r="J4450" t="s">
        <v>13108</v>
      </c>
      <c r="K4450" t="s">
        <v>12298</v>
      </c>
      <c r="L4450" t="s">
        <v>851</v>
      </c>
    </row>
    <row r="4451" spans="1:12">
      <c r="A4451" t="s">
        <v>12287</v>
      </c>
      <c r="B4451" t="s">
        <v>12288</v>
      </c>
      <c r="C4451" t="s">
        <v>13110</v>
      </c>
      <c r="D4451" t="s">
        <v>12290</v>
      </c>
      <c r="E4451" t="s">
        <v>13111</v>
      </c>
      <c r="F4451" t="s">
        <v>13112</v>
      </c>
    </row>
    <row r="4452" spans="1:12">
      <c r="A4452" t="s">
        <v>12287</v>
      </c>
      <c r="B4452" t="s">
        <v>12288</v>
      </c>
      <c r="C4452" t="s">
        <v>13113</v>
      </c>
      <c r="D4452" t="s">
        <v>12290</v>
      </c>
      <c r="E4452" t="s">
        <v>5367</v>
      </c>
      <c r="F4452" t="s">
        <v>13114</v>
      </c>
      <c r="J4452" t="s">
        <v>5367</v>
      </c>
      <c r="K4452" t="s">
        <v>12298</v>
      </c>
      <c r="L4452" t="s">
        <v>851</v>
      </c>
    </row>
    <row r="4453" spans="1:12">
      <c r="A4453" t="s">
        <v>12287</v>
      </c>
      <c r="B4453" t="s">
        <v>12288</v>
      </c>
      <c r="C4453" t="s">
        <v>13115</v>
      </c>
      <c r="D4453" t="s">
        <v>12290</v>
      </c>
      <c r="E4453" t="s">
        <v>13116</v>
      </c>
      <c r="F4453" t="s">
        <v>13117</v>
      </c>
    </row>
    <row r="4454" spans="1:12">
      <c r="A4454" t="s">
        <v>12287</v>
      </c>
      <c r="B4454" t="s">
        <v>12288</v>
      </c>
      <c r="C4454" t="s">
        <v>13118</v>
      </c>
      <c r="D4454" t="s">
        <v>12290</v>
      </c>
      <c r="E4454" t="s">
        <v>655</v>
      </c>
      <c r="F4454" t="s">
        <v>656</v>
      </c>
    </row>
    <row r="4455" spans="1:12">
      <c r="A4455" t="s">
        <v>12287</v>
      </c>
      <c r="B4455" t="s">
        <v>12288</v>
      </c>
      <c r="D4455" t="s">
        <v>12290</v>
      </c>
      <c r="F4455" t="s">
        <v>13119</v>
      </c>
      <c r="J4455" t="s">
        <v>13120</v>
      </c>
      <c r="K4455" t="s">
        <v>12298</v>
      </c>
      <c r="L4455" t="s">
        <v>851</v>
      </c>
    </row>
    <row r="4456" spans="1:12">
      <c r="A4456" t="s">
        <v>12287</v>
      </c>
      <c r="B4456" t="s">
        <v>12288</v>
      </c>
      <c r="D4456" t="s">
        <v>12290</v>
      </c>
      <c r="F4456" t="s">
        <v>13121</v>
      </c>
      <c r="J4456" t="s">
        <v>8686</v>
      </c>
      <c r="K4456" t="s">
        <v>12298</v>
      </c>
      <c r="L4456" t="s">
        <v>851</v>
      </c>
    </row>
    <row r="4457" spans="1:12">
      <c r="A4457" t="s">
        <v>12287</v>
      </c>
      <c r="B4457" t="s">
        <v>12288</v>
      </c>
      <c r="D4457" t="s">
        <v>12290</v>
      </c>
      <c r="F4457" t="s">
        <v>13122</v>
      </c>
      <c r="J4457" t="s">
        <v>13123</v>
      </c>
      <c r="K4457" t="s">
        <v>12298</v>
      </c>
      <c r="L4457" t="s">
        <v>851</v>
      </c>
    </row>
    <row r="4458" spans="1:12">
      <c r="A4458" t="s">
        <v>12287</v>
      </c>
      <c r="B4458" t="s">
        <v>12288</v>
      </c>
      <c r="D4458" t="s">
        <v>12290</v>
      </c>
      <c r="F4458" t="s">
        <v>13124</v>
      </c>
      <c r="J4458" t="s">
        <v>13125</v>
      </c>
      <c r="K4458" t="s">
        <v>12298</v>
      </c>
      <c r="L4458" t="s">
        <v>851</v>
      </c>
    </row>
    <row r="4459" spans="1:12">
      <c r="A4459" t="s">
        <v>12287</v>
      </c>
      <c r="B4459" t="s">
        <v>12288</v>
      </c>
      <c r="D4459" t="s">
        <v>12290</v>
      </c>
      <c r="F4459" t="s">
        <v>13126</v>
      </c>
      <c r="J4459" t="s">
        <v>13127</v>
      </c>
      <c r="K4459" t="s">
        <v>12298</v>
      </c>
      <c r="L4459" t="s">
        <v>851</v>
      </c>
    </row>
    <row r="4460" spans="1:12">
      <c r="A4460" t="s">
        <v>12287</v>
      </c>
      <c r="B4460" t="s">
        <v>12288</v>
      </c>
      <c r="D4460" t="s">
        <v>12290</v>
      </c>
      <c r="F4460" t="s">
        <v>13128</v>
      </c>
      <c r="J4460" t="s">
        <v>4025</v>
      </c>
      <c r="K4460" t="s">
        <v>12298</v>
      </c>
      <c r="L4460" t="s">
        <v>851</v>
      </c>
    </row>
    <row r="4461" spans="1:12">
      <c r="A4461" t="s">
        <v>12287</v>
      </c>
      <c r="B4461" t="s">
        <v>12288</v>
      </c>
      <c r="D4461" t="s">
        <v>12290</v>
      </c>
      <c r="F4461" t="s">
        <v>13129</v>
      </c>
      <c r="J4461" t="s">
        <v>13130</v>
      </c>
      <c r="K4461" t="s">
        <v>12298</v>
      </c>
      <c r="L4461" t="s">
        <v>851</v>
      </c>
    </row>
    <row r="4462" spans="1:12">
      <c r="A4462" t="s">
        <v>12287</v>
      </c>
      <c r="B4462" t="s">
        <v>12288</v>
      </c>
      <c r="D4462" t="s">
        <v>12290</v>
      </c>
      <c r="F4462" t="s">
        <v>12785</v>
      </c>
      <c r="J4462" t="s">
        <v>13131</v>
      </c>
      <c r="K4462" t="s">
        <v>12298</v>
      </c>
      <c r="L4462" t="s">
        <v>851</v>
      </c>
    </row>
    <row r="4463" spans="1:12">
      <c r="A4463" t="s">
        <v>12287</v>
      </c>
      <c r="B4463" t="s">
        <v>12288</v>
      </c>
      <c r="D4463" t="s">
        <v>12290</v>
      </c>
      <c r="F4463" t="s">
        <v>13132</v>
      </c>
      <c r="J4463" t="s">
        <v>13133</v>
      </c>
      <c r="K4463" t="s">
        <v>12298</v>
      </c>
      <c r="L4463" t="s">
        <v>851</v>
      </c>
    </row>
    <row r="4464" spans="1:12">
      <c r="A4464" t="s">
        <v>12287</v>
      </c>
      <c r="B4464" t="s">
        <v>12288</v>
      </c>
      <c r="D4464" t="s">
        <v>12290</v>
      </c>
      <c r="F4464" t="s">
        <v>13134</v>
      </c>
      <c r="J4464" t="s">
        <v>13135</v>
      </c>
      <c r="K4464" t="s">
        <v>12298</v>
      </c>
      <c r="L4464" t="s">
        <v>851</v>
      </c>
    </row>
    <row r="4465" spans="1:12">
      <c r="A4465" t="s">
        <v>12287</v>
      </c>
      <c r="B4465" t="s">
        <v>12288</v>
      </c>
      <c r="D4465" t="s">
        <v>12290</v>
      </c>
      <c r="F4465" t="s">
        <v>13136</v>
      </c>
      <c r="J4465" t="s">
        <v>13137</v>
      </c>
      <c r="K4465" t="s">
        <v>12298</v>
      </c>
      <c r="L4465" t="s">
        <v>851</v>
      </c>
    </row>
    <row r="4466" spans="1:12">
      <c r="A4466" t="s">
        <v>12287</v>
      </c>
      <c r="B4466" t="s">
        <v>12288</v>
      </c>
      <c r="D4466" t="s">
        <v>12290</v>
      </c>
      <c r="F4466" t="s">
        <v>13138</v>
      </c>
      <c r="J4466" t="s">
        <v>13139</v>
      </c>
      <c r="K4466" t="s">
        <v>12298</v>
      </c>
      <c r="L4466" t="s">
        <v>851</v>
      </c>
    </row>
    <row r="4467" spans="1:12">
      <c r="A4467" t="s">
        <v>12287</v>
      </c>
      <c r="B4467" t="s">
        <v>12288</v>
      </c>
      <c r="D4467" t="s">
        <v>12290</v>
      </c>
      <c r="F4467" t="s">
        <v>12714</v>
      </c>
      <c r="J4467" t="s">
        <v>13140</v>
      </c>
      <c r="K4467" t="s">
        <v>12298</v>
      </c>
      <c r="L4467" t="s">
        <v>851</v>
      </c>
    </row>
    <row r="4468" spans="1:12">
      <c r="A4468" t="s">
        <v>12287</v>
      </c>
      <c r="B4468" t="s">
        <v>12288</v>
      </c>
      <c r="D4468" t="s">
        <v>12290</v>
      </c>
      <c r="F4468" t="s">
        <v>13141</v>
      </c>
      <c r="J4468" t="s">
        <v>13142</v>
      </c>
      <c r="K4468" t="s">
        <v>12298</v>
      </c>
      <c r="L4468" t="s">
        <v>851</v>
      </c>
    </row>
    <row r="4469" spans="1:12">
      <c r="A4469" t="s">
        <v>12287</v>
      </c>
      <c r="B4469" t="s">
        <v>12288</v>
      </c>
      <c r="D4469" t="s">
        <v>12290</v>
      </c>
      <c r="F4469" t="s">
        <v>13143</v>
      </c>
      <c r="J4469" t="s">
        <v>13144</v>
      </c>
      <c r="K4469" t="s">
        <v>12298</v>
      </c>
      <c r="L4469" t="s">
        <v>851</v>
      </c>
    </row>
    <row r="4470" spans="1:12">
      <c r="A4470" t="s">
        <v>12287</v>
      </c>
      <c r="B4470" t="s">
        <v>12288</v>
      </c>
      <c r="D4470" t="s">
        <v>12290</v>
      </c>
      <c r="F4470" t="s">
        <v>13145</v>
      </c>
      <c r="J4470" t="s">
        <v>13146</v>
      </c>
      <c r="K4470" t="s">
        <v>12298</v>
      </c>
      <c r="L4470" t="s">
        <v>851</v>
      </c>
    </row>
    <row r="4471" spans="1:12">
      <c r="A4471" t="s">
        <v>13147</v>
      </c>
      <c r="B4471" t="s">
        <v>13148</v>
      </c>
      <c r="C4471" t="s">
        <v>13149</v>
      </c>
      <c r="D4471" t="s">
        <v>13150</v>
      </c>
      <c r="E4471" t="s">
        <v>13151</v>
      </c>
      <c r="F4471" t="s">
        <v>13147</v>
      </c>
      <c r="J4471" t="s">
        <v>13151</v>
      </c>
      <c r="K4471" t="s">
        <v>13152</v>
      </c>
      <c r="L4471" t="s">
        <v>814</v>
      </c>
    </row>
    <row r="4472" spans="1:12">
      <c r="A4472" t="s">
        <v>13147</v>
      </c>
      <c r="B4472" t="s">
        <v>13148</v>
      </c>
      <c r="C4472" t="s">
        <v>13153</v>
      </c>
      <c r="D4472" t="s">
        <v>13150</v>
      </c>
      <c r="E4472" t="s">
        <v>9027</v>
      </c>
      <c r="F4472" t="s">
        <v>13154</v>
      </c>
    </row>
    <row r="4473" spans="1:12">
      <c r="A4473" t="s">
        <v>13147</v>
      </c>
      <c r="B4473" t="s">
        <v>13148</v>
      </c>
      <c r="C4473" t="s">
        <v>13155</v>
      </c>
      <c r="D4473" t="s">
        <v>13150</v>
      </c>
      <c r="E4473" t="s">
        <v>9143</v>
      </c>
      <c r="F4473" t="s">
        <v>13156</v>
      </c>
    </row>
    <row r="4474" spans="1:12">
      <c r="A4474" t="s">
        <v>13147</v>
      </c>
      <c r="B4474" t="s">
        <v>13148</v>
      </c>
      <c r="C4474" t="s">
        <v>13157</v>
      </c>
      <c r="D4474" t="s">
        <v>13150</v>
      </c>
      <c r="E4474" t="s">
        <v>9978</v>
      </c>
      <c r="F4474" t="s">
        <v>13158</v>
      </c>
    </row>
    <row r="4475" spans="1:12">
      <c r="A4475" t="s">
        <v>13147</v>
      </c>
      <c r="B4475" t="s">
        <v>13148</v>
      </c>
      <c r="C4475" t="s">
        <v>13159</v>
      </c>
      <c r="D4475" t="s">
        <v>13150</v>
      </c>
      <c r="E4475" t="s">
        <v>655</v>
      </c>
      <c r="F4475" t="s">
        <v>656</v>
      </c>
    </row>
    <row r="4476" spans="1:12">
      <c r="A4476" t="s">
        <v>13147</v>
      </c>
      <c r="B4476" t="s">
        <v>13148</v>
      </c>
      <c r="D4476" t="s">
        <v>13150</v>
      </c>
      <c r="F4476" t="s">
        <v>13160</v>
      </c>
      <c r="J4476" t="s">
        <v>13161</v>
      </c>
      <c r="K4476" t="s">
        <v>13152</v>
      </c>
      <c r="L4476" t="s">
        <v>814</v>
      </c>
    </row>
    <row r="4477" spans="1:12">
      <c r="A4477" t="s">
        <v>13162</v>
      </c>
      <c r="B4477" t="s">
        <v>13163</v>
      </c>
      <c r="C4477" t="s">
        <v>13164</v>
      </c>
      <c r="D4477" t="s">
        <v>13165</v>
      </c>
      <c r="E4477" t="s">
        <v>1645</v>
      </c>
      <c r="F4477" t="s">
        <v>13166</v>
      </c>
      <c r="J4477" t="s">
        <v>1645</v>
      </c>
      <c r="K4477" t="s">
        <v>13167</v>
      </c>
      <c r="L4477" t="s">
        <v>863</v>
      </c>
    </row>
    <row r="4478" spans="1:12">
      <c r="A4478" t="s">
        <v>13162</v>
      </c>
      <c r="B4478" t="s">
        <v>13163</v>
      </c>
      <c r="C4478" t="s">
        <v>13168</v>
      </c>
      <c r="D4478" t="s">
        <v>13165</v>
      </c>
      <c r="E4478" t="s">
        <v>2798</v>
      </c>
      <c r="F4478" t="s">
        <v>13169</v>
      </c>
    </row>
    <row r="4479" spans="1:12">
      <c r="A4479" t="s">
        <v>13162</v>
      </c>
      <c r="B4479" t="s">
        <v>13163</v>
      </c>
      <c r="C4479" t="s">
        <v>13170</v>
      </c>
      <c r="D4479" t="s">
        <v>13165</v>
      </c>
      <c r="E4479" t="s">
        <v>7441</v>
      </c>
      <c r="F4479" t="s">
        <v>13171</v>
      </c>
      <c r="J4479" t="s">
        <v>7441</v>
      </c>
      <c r="K4479" t="s">
        <v>13167</v>
      </c>
      <c r="L4479" t="s">
        <v>863</v>
      </c>
    </row>
    <row r="4480" spans="1:12">
      <c r="A4480" t="s">
        <v>13162</v>
      </c>
      <c r="B4480" t="s">
        <v>13163</v>
      </c>
      <c r="C4480" t="s">
        <v>13172</v>
      </c>
      <c r="D4480" t="s">
        <v>13165</v>
      </c>
      <c r="E4480" t="s">
        <v>13173</v>
      </c>
      <c r="F4480" t="s">
        <v>13174</v>
      </c>
      <c r="J4480" t="s">
        <v>13173</v>
      </c>
      <c r="K4480" t="s">
        <v>13167</v>
      </c>
      <c r="L4480" t="s">
        <v>863</v>
      </c>
    </row>
    <row r="4481" spans="1:12">
      <c r="A4481" t="s">
        <v>13162</v>
      </c>
      <c r="B4481" t="s">
        <v>13163</v>
      </c>
      <c r="C4481" t="s">
        <v>13175</v>
      </c>
      <c r="D4481" t="s">
        <v>13165</v>
      </c>
      <c r="E4481" t="s">
        <v>655</v>
      </c>
      <c r="F4481" t="s">
        <v>656</v>
      </c>
    </row>
    <row r="4482" spans="1:12">
      <c r="A4482" t="s">
        <v>13176</v>
      </c>
      <c r="B4482" t="s">
        <v>13177</v>
      </c>
      <c r="C4482" t="s">
        <v>13178</v>
      </c>
      <c r="D4482" t="s">
        <v>13179</v>
      </c>
      <c r="E4482" t="s">
        <v>13180</v>
      </c>
      <c r="F4482" t="s">
        <v>13181</v>
      </c>
      <c r="J4482" t="s">
        <v>13180</v>
      </c>
      <c r="K4482" t="s">
        <v>13182</v>
      </c>
      <c r="L4482" t="s">
        <v>814</v>
      </c>
    </row>
    <row r="4483" spans="1:12">
      <c r="A4483" t="s">
        <v>13176</v>
      </c>
      <c r="B4483" t="s">
        <v>13177</v>
      </c>
      <c r="C4483" t="s">
        <v>13183</v>
      </c>
      <c r="D4483" t="s">
        <v>13179</v>
      </c>
      <c r="E4483" t="s">
        <v>655</v>
      </c>
      <c r="F4483" t="s">
        <v>656</v>
      </c>
    </row>
    <row r="4484" spans="1:12">
      <c r="A4484" t="s">
        <v>13184</v>
      </c>
      <c r="B4484" t="s">
        <v>13185</v>
      </c>
      <c r="C4484" t="s">
        <v>13186</v>
      </c>
      <c r="D4484" t="s">
        <v>13187</v>
      </c>
      <c r="E4484" t="s">
        <v>13188</v>
      </c>
      <c r="F4484" t="s">
        <v>13189</v>
      </c>
      <c r="J4484" t="s">
        <v>13188</v>
      </c>
      <c r="K4484" t="s">
        <v>13184</v>
      </c>
      <c r="L4484" t="s">
        <v>916</v>
      </c>
    </row>
    <row r="4485" spans="1:12">
      <c r="A4485" t="s">
        <v>13184</v>
      </c>
      <c r="B4485" t="s">
        <v>13185</v>
      </c>
      <c r="C4485" t="s">
        <v>13190</v>
      </c>
      <c r="D4485" t="s">
        <v>13187</v>
      </c>
      <c r="E4485" t="s">
        <v>10754</v>
      </c>
      <c r="F4485" t="s">
        <v>10754</v>
      </c>
    </row>
    <row r="4486" spans="1:12">
      <c r="A4486" t="s">
        <v>13184</v>
      </c>
      <c r="B4486" t="s">
        <v>13185</v>
      </c>
      <c r="C4486" t="s">
        <v>13191</v>
      </c>
      <c r="D4486" t="s">
        <v>13187</v>
      </c>
      <c r="E4486" t="s">
        <v>8464</v>
      </c>
      <c r="F4486" t="s">
        <v>13192</v>
      </c>
    </row>
    <row r="4487" spans="1:12">
      <c r="A4487" t="s">
        <v>13184</v>
      </c>
      <c r="B4487" t="s">
        <v>13185</v>
      </c>
      <c r="C4487" t="s">
        <v>13193</v>
      </c>
      <c r="D4487" t="s">
        <v>13187</v>
      </c>
      <c r="E4487" t="s">
        <v>13194</v>
      </c>
      <c r="F4487" t="s">
        <v>13195</v>
      </c>
    </row>
    <row r="4488" spans="1:12">
      <c r="A4488" t="s">
        <v>13184</v>
      </c>
      <c r="B4488" t="s">
        <v>13185</v>
      </c>
      <c r="C4488" t="s">
        <v>13196</v>
      </c>
      <c r="D4488" t="s">
        <v>13187</v>
      </c>
      <c r="E4488" t="s">
        <v>13197</v>
      </c>
      <c r="F4488" t="s">
        <v>13198</v>
      </c>
    </row>
    <row r="4489" spans="1:12">
      <c r="A4489" t="s">
        <v>13184</v>
      </c>
      <c r="B4489" t="s">
        <v>13185</v>
      </c>
      <c r="C4489" t="s">
        <v>13199</v>
      </c>
      <c r="D4489" t="s">
        <v>13187</v>
      </c>
      <c r="E4489" t="s">
        <v>2250</v>
      </c>
      <c r="F4489" t="s">
        <v>13200</v>
      </c>
    </row>
    <row r="4490" spans="1:12">
      <c r="A4490" t="s">
        <v>13184</v>
      </c>
      <c r="B4490" t="s">
        <v>13185</v>
      </c>
      <c r="C4490" t="s">
        <v>13201</v>
      </c>
      <c r="D4490" t="s">
        <v>13187</v>
      </c>
      <c r="E4490" t="s">
        <v>13202</v>
      </c>
      <c r="F4490" t="s">
        <v>13203</v>
      </c>
      <c r="J4490" t="s">
        <v>13202</v>
      </c>
      <c r="K4490" t="s">
        <v>13184</v>
      </c>
      <c r="L4490" t="s">
        <v>916</v>
      </c>
    </row>
    <row r="4491" spans="1:12">
      <c r="A4491" t="s">
        <v>13184</v>
      </c>
      <c r="B4491" t="s">
        <v>13185</v>
      </c>
      <c r="C4491" t="s">
        <v>13204</v>
      </c>
      <c r="D4491" t="s">
        <v>13187</v>
      </c>
      <c r="E4491" t="s">
        <v>13205</v>
      </c>
      <c r="F4491" t="s">
        <v>13206</v>
      </c>
      <c r="J4491" t="s">
        <v>13205</v>
      </c>
      <c r="K4491" t="s">
        <v>13184</v>
      </c>
      <c r="L4491" t="s">
        <v>916</v>
      </c>
    </row>
    <row r="4492" spans="1:12">
      <c r="A4492" t="s">
        <v>13184</v>
      </c>
      <c r="B4492" t="s">
        <v>13185</v>
      </c>
      <c r="C4492" t="s">
        <v>13207</v>
      </c>
      <c r="D4492" t="s">
        <v>13187</v>
      </c>
      <c r="E4492" t="s">
        <v>13208</v>
      </c>
      <c r="F4492" t="s">
        <v>13209</v>
      </c>
    </row>
    <row r="4493" spans="1:12">
      <c r="A4493" t="s">
        <v>13184</v>
      </c>
      <c r="B4493" t="s">
        <v>13185</v>
      </c>
      <c r="C4493" t="s">
        <v>13210</v>
      </c>
      <c r="D4493" t="s">
        <v>13187</v>
      </c>
      <c r="E4493" t="s">
        <v>7406</v>
      </c>
      <c r="F4493" t="s">
        <v>13211</v>
      </c>
    </row>
    <row r="4494" spans="1:12">
      <c r="A4494" t="s">
        <v>13184</v>
      </c>
      <c r="B4494" t="s">
        <v>13185</v>
      </c>
      <c r="C4494" t="s">
        <v>13212</v>
      </c>
      <c r="D4494" t="s">
        <v>13187</v>
      </c>
      <c r="E4494" t="s">
        <v>2987</v>
      </c>
      <c r="F4494" t="s">
        <v>13213</v>
      </c>
    </row>
    <row r="4495" spans="1:12">
      <c r="A4495" t="s">
        <v>13184</v>
      </c>
      <c r="B4495" t="s">
        <v>13185</v>
      </c>
      <c r="C4495" t="s">
        <v>13214</v>
      </c>
      <c r="D4495" t="s">
        <v>13187</v>
      </c>
      <c r="E4495" t="s">
        <v>13215</v>
      </c>
      <c r="F4495" t="s">
        <v>13216</v>
      </c>
      <c r="J4495" t="s">
        <v>13215</v>
      </c>
      <c r="K4495" t="s">
        <v>13184</v>
      </c>
      <c r="L4495" t="s">
        <v>916</v>
      </c>
    </row>
    <row r="4496" spans="1:12">
      <c r="A4496" t="s">
        <v>13184</v>
      </c>
      <c r="B4496" t="s">
        <v>13185</v>
      </c>
      <c r="C4496" t="s">
        <v>13217</v>
      </c>
      <c r="D4496" t="s">
        <v>13187</v>
      </c>
      <c r="E4496" t="s">
        <v>13218</v>
      </c>
      <c r="F4496" t="s">
        <v>13219</v>
      </c>
      <c r="J4496" t="s">
        <v>13218</v>
      </c>
      <c r="K4496" t="s">
        <v>13184</v>
      </c>
      <c r="L4496" t="s">
        <v>916</v>
      </c>
    </row>
    <row r="4497" spans="1:12">
      <c r="A4497" t="s">
        <v>13184</v>
      </c>
      <c r="B4497" t="s">
        <v>13185</v>
      </c>
      <c r="C4497" t="s">
        <v>13220</v>
      </c>
      <c r="D4497" t="s">
        <v>13187</v>
      </c>
      <c r="E4497" t="s">
        <v>13221</v>
      </c>
      <c r="F4497" t="s">
        <v>13222</v>
      </c>
    </row>
    <row r="4498" spans="1:12">
      <c r="A4498" t="s">
        <v>13184</v>
      </c>
      <c r="B4498" t="s">
        <v>13185</v>
      </c>
      <c r="C4498" t="s">
        <v>13223</v>
      </c>
      <c r="D4498" t="s">
        <v>13187</v>
      </c>
      <c r="E4498" t="s">
        <v>655</v>
      </c>
      <c r="F4498" t="s">
        <v>656</v>
      </c>
    </row>
    <row r="4499" spans="1:12">
      <c r="A4499" t="s">
        <v>13224</v>
      </c>
      <c r="B4499" t="s">
        <v>13225</v>
      </c>
      <c r="C4499" t="s">
        <v>13226</v>
      </c>
      <c r="D4499" t="s">
        <v>13227</v>
      </c>
      <c r="E4499" t="s">
        <v>13228</v>
      </c>
      <c r="F4499" t="s">
        <v>13224</v>
      </c>
      <c r="J4499" t="s">
        <v>13228</v>
      </c>
      <c r="K4499" t="s">
        <v>13228</v>
      </c>
      <c r="L4499" t="s">
        <v>851</v>
      </c>
    </row>
    <row r="4500" spans="1:12">
      <c r="A4500" t="s">
        <v>13224</v>
      </c>
      <c r="B4500" t="s">
        <v>13225</v>
      </c>
      <c r="C4500" t="s">
        <v>13229</v>
      </c>
      <c r="D4500" t="s">
        <v>13227</v>
      </c>
      <c r="E4500" t="s">
        <v>655</v>
      </c>
      <c r="F4500" t="s">
        <v>656</v>
      </c>
    </row>
    <row r="4501" spans="1:12">
      <c r="A4501" t="s">
        <v>13230</v>
      </c>
      <c r="B4501" t="s">
        <v>13231</v>
      </c>
      <c r="C4501" t="s">
        <v>13232</v>
      </c>
      <c r="D4501" t="s">
        <v>13233</v>
      </c>
      <c r="E4501" t="s">
        <v>13234</v>
      </c>
      <c r="F4501" t="s">
        <v>13235</v>
      </c>
      <c r="J4501" t="s">
        <v>13234</v>
      </c>
      <c r="K4501" t="s">
        <v>13236</v>
      </c>
      <c r="L4501" t="s">
        <v>851</v>
      </c>
    </row>
    <row r="4502" spans="1:12">
      <c r="A4502" t="s">
        <v>13230</v>
      </c>
      <c r="B4502" t="s">
        <v>13231</v>
      </c>
      <c r="C4502" t="s">
        <v>13237</v>
      </c>
      <c r="D4502" t="s">
        <v>13233</v>
      </c>
      <c r="E4502" t="s">
        <v>8741</v>
      </c>
      <c r="F4502" t="s">
        <v>13238</v>
      </c>
    </row>
    <row r="4503" spans="1:12">
      <c r="A4503" t="s">
        <v>13230</v>
      </c>
      <c r="B4503" t="s">
        <v>13231</v>
      </c>
      <c r="C4503" t="s">
        <v>13239</v>
      </c>
      <c r="D4503" t="s">
        <v>13233</v>
      </c>
      <c r="E4503" t="s">
        <v>12484</v>
      </c>
      <c r="F4503" t="s">
        <v>13240</v>
      </c>
      <c r="J4503" t="s">
        <v>12484</v>
      </c>
      <c r="K4503" t="s">
        <v>13236</v>
      </c>
      <c r="L4503" t="s">
        <v>851</v>
      </c>
    </row>
    <row r="4504" spans="1:12">
      <c r="A4504" t="s">
        <v>13230</v>
      </c>
      <c r="B4504" t="s">
        <v>13231</v>
      </c>
      <c r="C4504" t="s">
        <v>13241</v>
      </c>
      <c r="D4504" t="s">
        <v>13233</v>
      </c>
      <c r="E4504" t="s">
        <v>13242</v>
      </c>
      <c r="F4504" t="s">
        <v>13243</v>
      </c>
    </row>
    <row r="4505" spans="1:12">
      <c r="A4505" t="s">
        <v>13230</v>
      </c>
      <c r="B4505" t="s">
        <v>13231</v>
      </c>
      <c r="C4505" t="s">
        <v>13244</v>
      </c>
      <c r="D4505" t="s">
        <v>13233</v>
      </c>
      <c r="E4505" t="s">
        <v>13245</v>
      </c>
      <c r="F4505" t="s">
        <v>13246</v>
      </c>
      <c r="J4505" t="s">
        <v>13245</v>
      </c>
      <c r="K4505" t="s">
        <v>13236</v>
      </c>
      <c r="L4505" t="s">
        <v>851</v>
      </c>
    </row>
    <row r="4506" spans="1:12">
      <c r="A4506" t="s">
        <v>13230</v>
      </c>
      <c r="B4506" t="s">
        <v>13231</v>
      </c>
      <c r="C4506" t="s">
        <v>13247</v>
      </c>
      <c r="D4506" t="s">
        <v>13233</v>
      </c>
      <c r="E4506" t="s">
        <v>13248</v>
      </c>
      <c r="F4506" t="s">
        <v>13249</v>
      </c>
    </row>
    <row r="4507" spans="1:12">
      <c r="A4507" t="s">
        <v>13230</v>
      </c>
      <c r="B4507" t="s">
        <v>13231</v>
      </c>
      <c r="C4507" t="s">
        <v>13250</v>
      </c>
      <c r="D4507" t="s">
        <v>13233</v>
      </c>
      <c r="E4507" t="s">
        <v>13251</v>
      </c>
      <c r="F4507" t="s">
        <v>13252</v>
      </c>
      <c r="J4507" t="s">
        <v>13251</v>
      </c>
      <c r="K4507" t="s">
        <v>13236</v>
      </c>
      <c r="L4507" t="s">
        <v>851</v>
      </c>
    </row>
    <row r="4508" spans="1:12">
      <c r="A4508" t="s">
        <v>13230</v>
      </c>
      <c r="B4508" t="s">
        <v>13231</v>
      </c>
      <c r="C4508" t="s">
        <v>13253</v>
      </c>
      <c r="D4508" t="s">
        <v>13233</v>
      </c>
      <c r="E4508" t="s">
        <v>13254</v>
      </c>
      <c r="F4508" t="s">
        <v>13255</v>
      </c>
      <c r="J4508" t="s">
        <v>13254</v>
      </c>
      <c r="K4508" t="s">
        <v>13236</v>
      </c>
      <c r="L4508" t="s">
        <v>851</v>
      </c>
    </row>
    <row r="4509" spans="1:12">
      <c r="A4509" t="s">
        <v>13230</v>
      </c>
      <c r="B4509" t="s">
        <v>13231</v>
      </c>
      <c r="C4509" t="s">
        <v>13256</v>
      </c>
      <c r="D4509" t="s">
        <v>13233</v>
      </c>
      <c r="E4509" t="s">
        <v>13257</v>
      </c>
      <c r="F4509" t="s">
        <v>13258</v>
      </c>
      <c r="J4509" t="s">
        <v>13257</v>
      </c>
      <c r="K4509" t="s">
        <v>13236</v>
      </c>
      <c r="L4509" t="s">
        <v>851</v>
      </c>
    </row>
    <row r="4510" spans="1:12">
      <c r="A4510" t="s">
        <v>13230</v>
      </c>
      <c r="B4510" t="s">
        <v>13231</v>
      </c>
      <c r="C4510" t="s">
        <v>13259</v>
      </c>
      <c r="D4510" t="s">
        <v>13233</v>
      </c>
      <c r="E4510" t="s">
        <v>13260</v>
      </c>
      <c r="F4510" t="s">
        <v>13261</v>
      </c>
      <c r="J4510" t="s">
        <v>13260</v>
      </c>
      <c r="K4510" t="s">
        <v>13236</v>
      </c>
      <c r="L4510" t="s">
        <v>851</v>
      </c>
    </row>
    <row r="4511" spans="1:12">
      <c r="A4511" t="s">
        <v>13230</v>
      </c>
      <c r="B4511" t="s">
        <v>13231</v>
      </c>
      <c r="C4511" t="s">
        <v>13262</v>
      </c>
      <c r="D4511" t="s">
        <v>13233</v>
      </c>
      <c r="E4511" t="s">
        <v>13263</v>
      </c>
      <c r="F4511" t="s">
        <v>13264</v>
      </c>
      <c r="J4511" t="s">
        <v>13263</v>
      </c>
      <c r="K4511" t="s">
        <v>13236</v>
      </c>
      <c r="L4511" t="s">
        <v>851</v>
      </c>
    </row>
    <row r="4512" spans="1:12">
      <c r="A4512" t="s">
        <v>13230</v>
      </c>
      <c r="B4512" t="s">
        <v>13231</v>
      </c>
      <c r="C4512" t="s">
        <v>13265</v>
      </c>
      <c r="D4512" t="s">
        <v>13233</v>
      </c>
      <c r="E4512" t="s">
        <v>13266</v>
      </c>
      <c r="F4512" t="s">
        <v>13267</v>
      </c>
      <c r="J4512" t="s">
        <v>13266</v>
      </c>
      <c r="K4512" t="s">
        <v>13236</v>
      </c>
      <c r="L4512" t="s">
        <v>851</v>
      </c>
    </row>
    <row r="4513" spans="1:12">
      <c r="A4513" t="s">
        <v>13230</v>
      </c>
      <c r="B4513" t="s">
        <v>13231</v>
      </c>
      <c r="C4513" t="s">
        <v>13268</v>
      </c>
      <c r="D4513" t="s">
        <v>13233</v>
      </c>
      <c r="E4513" t="s">
        <v>13269</v>
      </c>
      <c r="F4513" t="s">
        <v>13270</v>
      </c>
      <c r="J4513" t="s">
        <v>13269</v>
      </c>
      <c r="K4513" t="s">
        <v>13236</v>
      </c>
      <c r="L4513" t="s">
        <v>851</v>
      </c>
    </row>
    <row r="4514" spans="1:12">
      <c r="A4514" t="s">
        <v>13230</v>
      </c>
      <c r="B4514" t="s">
        <v>13231</v>
      </c>
      <c r="C4514" t="s">
        <v>13271</v>
      </c>
      <c r="D4514" t="s">
        <v>13233</v>
      </c>
      <c r="E4514" t="s">
        <v>13272</v>
      </c>
      <c r="F4514" t="s">
        <v>13273</v>
      </c>
      <c r="J4514" t="s">
        <v>13272</v>
      </c>
      <c r="K4514" t="s">
        <v>13236</v>
      </c>
      <c r="L4514" t="s">
        <v>851</v>
      </c>
    </row>
    <row r="4515" spans="1:12">
      <c r="A4515" t="s">
        <v>13230</v>
      </c>
      <c r="B4515" t="s">
        <v>13231</v>
      </c>
      <c r="C4515" t="s">
        <v>13274</v>
      </c>
      <c r="D4515" t="s">
        <v>13233</v>
      </c>
      <c r="E4515" t="s">
        <v>13275</v>
      </c>
      <c r="F4515" t="s">
        <v>13276</v>
      </c>
      <c r="J4515" t="s">
        <v>13275</v>
      </c>
      <c r="K4515" t="s">
        <v>13236</v>
      </c>
      <c r="L4515" t="s">
        <v>851</v>
      </c>
    </row>
    <row r="4516" spans="1:12">
      <c r="A4516" t="s">
        <v>13230</v>
      </c>
      <c r="B4516" t="s">
        <v>13231</v>
      </c>
      <c r="C4516" t="s">
        <v>13277</v>
      </c>
      <c r="D4516" t="s">
        <v>13233</v>
      </c>
      <c r="E4516" t="s">
        <v>13278</v>
      </c>
      <c r="F4516" t="s">
        <v>13279</v>
      </c>
      <c r="J4516" t="s">
        <v>13278</v>
      </c>
      <c r="K4516" t="s">
        <v>13236</v>
      </c>
      <c r="L4516" t="s">
        <v>851</v>
      </c>
    </row>
    <row r="4517" spans="1:12">
      <c r="A4517" t="s">
        <v>13230</v>
      </c>
      <c r="B4517" t="s">
        <v>13231</v>
      </c>
      <c r="C4517" t="s">
        <v>13280</v>
      </c>
      <c r="D4517" t="s">
        <v>13233</v>
      </c>
      <c r="E4517" t="s">
        <v>13281</v>
      </c>
      <c r="F4517" t="s">
        <v>13282</v>
      </c>
      <c r="J4517" t="s">
        <v>13281</v>
      </c>
      <c r="K4517" t="s">
        <v>13236</v>
      </c>
      <c r="L4517" t="s">
        <v>851</v>
      </c>
    </row>
    <row r="4518" spans="1:12">
      <c r="A4518" t="s">
        <v>13230</v>
      </c>
      <c r="B4518" t="s">
        <v>13231</v>
      </c>
      <c r="C4518" t="s">
        <v>13283</v>
      </c>
      <c r="D4518" t="s">
        <v>13233</v>
      </c>
      <c r="E4518" t="s">
        <v>13284</v>
      </c>
      <c r="F4518" t="s">
        <v>13285</v>
      </c>
    </row>
    <row r="4519" spans="1:12">
      <c r="A4519" t="s">
        <v>13230</v>
      </c>
      <c r="B4519" t="s">
        <v>13231</v>
      </c>
      <c r="C4519" t="s">
        <v>13286</v>
      </c>
      <c r="D4519" t="s">
        <v>13233</v>
      </c>
      <c r="E4519" t="s">
        <v>11344</v>
      </c>
      <c r="F4519" t="s">
        <v>13287</v>
      </c>
      <c r="J4519" t="s">
        <v>11344</v>
      </c>
      <c r="K4519" t="s">
        <v>13236</v>
      </c>
      <c r="L4519" t="s">
        <v>851</v>
      </c>
    </row>
    <row r="4520" spans="1:12">
      <c r="A4520" t="s">
        <v>13230</v>
      </c>
      <c r="B4520" t="s">
        <v>13231</v>
      </c>
      <c r="C4520" t="s">
        <v>13288</v>
      </c>
      <c r="D4520" t="s">
        <v>13233</v>
      </c>
      <c r="E4520" t="s">
        <v>13289</v>
      </c>
      <c r="F4520" t="s">
        <v>13290</v>
      </c>
      <c r="J4520" t="s">
        <v>13289</v>
      </c>
      <c r="K4520" t="s">
        <v>13236</v>
      </c>
      <c r="L4520" t="s">
        <v>851</v>
      </c>
    </row>
    <row r="4521" spans="1:12">
      <c r="A4521" t="s">
        <v>13230</v>
      </c>
      <c r="B4521" t="s">
        <v>13231</v>
      </c>
      <c r="C4521" t="s">
        <v>13291</v>
      </c>
      <c r="D4521" t="s">
        <v>13233</v>
      </c>
      <c r="E4521" t="s">
        <v>13292</v>
      </c>
      <c r="F4521" t="s">
        <v>13293</v>
      </c>
      <c r="J4521" t="s">
        <v>13292</v>
      </c>
      <c r="K4521" t="s">
        <v>13236</v>
      </c>
      <c r="L4521" t="s">
        <v>851</v>
      </c>
    </row>
    <row r="4522" spans="1:12">
      <c r="A4522" t="s">
        <v>13230</v>
      </c>
      <c r="B4522" t="s">
        <v>13231</v>
      </c>
      <c r="C4522" t="s">
        <v>13294</v>
      </c>
      <c r="D4522" t="s">
        <v>13233</v>
      </c>
      <c r="E4522" t="s">
        <v>13295</v>
      </c>
      <c r="F4522" t="s">
        <v>13296</v>
      </c>
      <c r="J4522" t="s">
        <v>13295</v>
      </c>
      <c r="K4522" t="s">
        <v>13236</v>
      </c>
      <c r="L4522" t="s">
        <v>851</v>
      </c>
    </row>
    <row r="4523" spans="1:12">
      <c r="A4523" t="s">
        <v>13230</v>
      </c>
      <c r="B4523" t="s">
        <v>13231</v>
      </c>
      <c r="C4523" t="s">
        <v>13297</v>
      </c>
      <c r="D4523" t="s">
        <v>13233</v>
      </c>
      <c r="E4523" t="s">
        <v>13298</v>
      </c>
      <c r="F4523" t="s">
        <v>13299</v>
      </c>
      <c r="J4523" t="s">
        <v>13298</v>
      </c>
      <c r="K4523" t="s">
        <v>13236</v>
      </c>
      <c r="L4523" t="s">
        <v>851</v>
      </c>
    </row>
    <row r="4524" spans="1:12">
      <c r="A4524" t="s">
        <v>13230</v>
      </c>
      <c r="B4524" t="s">
        <v>13231</v>
      </c>
      <c r="C4524" t="s">
        <v>13300</v>
      </c>
      <c r="D4524" t="s">
        <v>13233</v>
      </c>
      <c r="E4524" t="s">
        <v>13301</v>
      </c>
      <c r="F4524" t="s">
        <v>13302</v>
      </c>
    </row>
    <row r="4525" spans="1:12">
      <c r="A4525" t="s">
        <v>13230</v>
      </c>
      <c r="B4525" t="s">
        <v>13231</v>
      </c>
      <c r="C4525" t="s">
        <v>13303</v>
      </c>
      <c r="D4525" t="s">
        <v>13233</v>
      </c>
      <c r="E4525" t="s">
        <v>13304</v>
      </c>
      <c r="F4525" t="s">
        <v>13305</v>
      </c>
      <c r="J4525" t="s">
        <v>13304</v>
      </c>
      <c r="K4525" t="s">
        <v>13236</v>
      </c>
      <c r="L4525" t="s">
        <v>851</v>
      </c>
    </row>
    <row r="4526" spans="1:12">
      <c r="A4526" t="s">
        <v>13230</v>
      </c>
      <c r="B4526" t="s">
        <v>13231</v>
      </c>
      <c r="C4526" t="s">
        <v>13306</v>
      </c>
      <c r="D4526" t="s">
        <v>13233</v>
      </c>
      <c r="E4526" t="s">
        <v>13307</v>
      </c>
      <c r="F4526" t="s">
        <v>13308</v>
      </c>
    </row>
    <row r="4527" spans="1:12">
      <c r="A4527" t="s">
        <v>13230</v>
      </c>
      <c r="B4527" t="s">
        <v>13231</v>
      </c>
      <c r="C4527" t="s">
        <v>13309</v>
      </c>
      <c r="D4527" t="s">
        <v>13233</v>
      </c>
      <c r="E4527" t="s">
        <v>655</v>
      </c>
      <c r="F4527" t="s">
        <v>656</v>
      </c>
    </row>
    <row r="4528" spans="1:12">
      <c r="A4528" t="s">
        <v>13230</v>
      </c>
      <c r="B4528" t="s">
        <v>13231</v>
      </c>
      <c r="D4528" t="s">
        <v>13233</v>
      </c>
      <c r="F4528" t="s">
        <v>13310</v>
      </c>
      <c r="J4528" t="s">
        <v>13311</v>
      </c>
      <c r="K4528" t="s">
        <v>13236</v>
      </c>
      <c r="L4528" t="s">
        <v>851</v>
      </c>
    </row>
    <row r="4529" spans="1:12">
      <c r="A4529" t="s">
        <v>13312</v>
      </c>
      <c r="B4529" t="s">
        <v>13313</v>
      </c>
      <c r="C4529" t="s">
        <v>13314</v>
      </c>
      <c r="D4529" t="s">
        <v>13315</v>
      </c>
      <c r="E4529" t="s">
        <v>13316</v>
      </c>
      <c r="F4529" t="s">
        <v>13317</v>
      </c>
      <c r="J4529" t="s">
        <v>13316</v>
      </c>
      <c r="K4529" t="s">
        <v>11257</v>
      </c>
      <c r="L4529" t="s">
        <v>916</v>
      </c>
    </row>
    <row r="4530" spans="1:12">
      <c r="A4530" t="s">
        <v>13312</v>
      </c>
      <c r="B4530" t="s">
        <v>13313</v>
      </c>
      <c r="C4530" t="s">
        <v>13318</v>
      </c>
      <c r="D4530" t="s">
        <v>13315</v>
      </c>
      <c r="E4530" t="s">
        <v>655</v>
      </c>
      <c r="F4530" t="s">
        <v>656</v>
      </c>
    </row>
    <row r="4531" spans="1:12">
      <c r="A4531" t="s">
        <v>13319</v>
      </c>
      <c r="B4531" t="s">
        <v>13320</v>
      </c>
      <c r="C4531" t="s">
        <v>13321</v>
      </c>
      <c r="D4531" t="s">
        <v>13322</v>
      </c>
      <c r="E4531" t="s">
        <v>13323</v>
      </c>
      <c r="F4531" t="s">
        <v>13324</v>
      </c>
      <c r="J4531" t="s">
        <v>13323</v>
      </c>
      <c r="K4531" t="s">
        <v>13325</v>
      </c>
      <c r="L4531" t="s">
        <v>916</v>
      </c>
    </row>
    <row r="4532" spans="1:12">
      <c r="A4532" t="s">
        <v>13319</v>
      </c>
      <c r="B4532" t="s">
        <v>13320</v>
      </c>
      <c r="C4532" t="s">
        <v>13326</v>
      </c>
      <c r="D4532" t="s">
        <v>13322</v>
      </c>
      <c r="E4532" t="s">
        <v>13327</v>
      </c>
      <c r="F4532" t="s">
        <v>13328</v>
      </c>
    </row>
    <row r="4533" spans="1:12">
      <c r="A4533" t="s">
        <v>13319</v>
      </c>
      <c r="B4533" t="s">
        <v>13320</v>
      </c>
      <c r="C4533" t="s">
        <v>13329</v>
      </c>
      <c r="D4533" t="s">
        <v>13322</v>
      </c>
      <c r="E4533" t="s">
        <v>13330</v>
      </c>
      <c r="F4533" t="s">
        <v>13331</v>
      </c>
      <c r="J4533" t="s">
        <v>13330</v>
      </c>
      <c r="K4533" t="s">
        <v>13325</v>
      </c>
      <c r="L4533" t="s">
        <v>916</v>
      </c>
    </row>
    <row r="4534" spans="1:12">
      <c r="A4534" t="s">
        <v>13319</v>
      </c>
      <c r="B4534" t="s">
        <v>13320</v>
      </c>
      <c r="C4534" t="s">
        <v>13332</v>
      </c>
      <c r="D4534" t="s">
        <v>13322</v>
      </c>
      <c r="E4534" t="s">
        <v>10312</v>
      </c>
      <c r="F4534" t="s">
        <v>13333</v>
      </c>
      <c r="J4534" t="s">
        <v>10312</v>
      </c>
      <c r="K4534" t="s">
        <v>13325</v>
      </c>
      <c r="L4534" t="s">
        <v>916</v>
      </c>
    </row>
    <row r="4535" spans="1:12">
      <c r="A4535" t="s">
        <v>13319</v>
      </c>
      <c r="B4535" t="s">
        <v>13320</v>
      </c>
      <c r="C4535" t="s">
        <v>13334</v>
      </c>
      <c r="D4535" t="s">
        <v>13322</v>
      </c>
      <c r="E4535" t="s">
        <v>13335</v>
      </c>
      <c r="F4535" t="s">
        <v>13336</v>
      </c>
      <c r="J4535" t="s">
        <v>13335</v>
      </c>
      <c r="K4535" t="s">
        <v>13325</v>
      </c>
      <c r="L4535" t="s">
        <v>916</v>
      </c>
    </row>
    <row r="4536" spans="1:12">
      <c r="A4536" t="s">
        <v>13319</v>
      </c>
      <c r="B4536" t="s">
        <v>13320</v>
      </c>
      <c r="C4536" t="s">
        <v>13337</v>
      </c>
      <c r="D4536" t="s">
        <v>13322</v>
      </c>
      <c r="E4536" t="s">
        <v>13338</v>
      </c>
      <c r="F4536" t="s">
        <v>13339</v>
      </c>
      <c r="J4536" t="s">
        <v>13338</v>
      </c>
      <c r="K4536" t="s">
        <v>13325</v>
      </c>
      <c r="L4536" t="s">
        <v>916</v>
      </c>
    </row>
    <row r="4537" spans="1:12">
      <c r="A4537" t="s">
        <v>13319</v>
      </c>
      <c r="B4537" t="s">
        <v>13320</v>
      </c>
      <c r="C4537" t="s">
        <v>13340</v>
      </c>
      <c r="D4537" t="s">
        <v>13322</v>
      </c>
      <c r="E4537" t="s">
        <v>13341</v>
      </c>
      <c r="F4537" t="s">
        <v>13342</v>
      </c>
    </row>
    <row r="4538" spans="1:12">
      <c r="A4538" t="s">
        <v>13319</v>
      </c>
      <c r="B4538" t="s">
        <v>13320</v>
      </c>
      <c r="C4538" t="s">
        <v>13343</v>
      </c>
      <c r="D4538" t="s">
        <v>13322</v>
      </c>
      <c r="E4538" t="s">
        <v>13344</v>
      </c>
      <c r="F4538" t="s">
        <v>13345</v>
      </c>
      <c r="J4538" t="s">
        <v>13344</v>
      </c>
      <c r="K4538" t="s">
        <v>13325</v>
      </c>
      <c r="L4538" t="s">
        <v>916</v>
      </c>
    </row>
    <row r="4539" spans="1:12">
      <c r="A4539" t="s">
        <v>13319</v>
      </c>
      <c r="B4539" t="s">
        <v>13320</v>
      </c>
      <c r="C4539" t="s">
        <v>13346</v>
      </c>
      <c r="D4539" t="s">
        <v>13322</v>
      </c>
      <c r="E4539" t="s">
        <v>13347</v>
      </c>
      <c r="F4539" t="s">
        <v>13348</v>
      </c>
      <c r="J4539" t="s">
        <v>13347</v>
      </c>
      <c r="K4539" t="s">
        <v>13325</v>
      </c>
      <c r="L4539" t="s">
        <v>916</v>
      </c>
    </row>
    <row r="4540" spans="1:12">
      <c r="A4540" t="s">
        <v>13319</v>
      </c>
      <c r="B4540" t="s">
        <v>13320</v>
      </c>
      <c r="C4540" t="s">
        <v>13349</v>
      </c>
      <c r="D4540" t="s">
        <v>13322</v>
      </c>
      <c r="E4540" t="s">
        <v>13350</v>
      </c>
      <c r="F4540" t="s">
        <v>13351</v>
      </c>
      <c r="J4540" t="s">
        <v>13350</v>
      </c>
      <c r="K4540" t="s">
        <v>13325</v>
      </c>
      <c r="L4540" t="s">
        <v>916</v>
      </c>
    </row>
    <row r="4541" spans="1:12">
      <c r="A4541" t="s">
        <v>13319</v>
      </c>
      <c r="B4541" t="s">
        <v>13320</v>
      </c>
      <c r="C4541" t="s">
        <v>13352</v>
      </c>
      <c r="D4541" t="s">
        <v>13322</v>
      </c>
      <c r="E4541" t="s">
        <v>13353</v>
      </c>
      <c r="F4541" t="s">
        <v>13354</v>
      </c>
      <c r="J4541" t="s">
        <v>13353</v>
      </c>
      <c r="K4541" t="s">
        <v>13325</v>
      </c>
      <c r="L4541" t="s">
        <v>916</v>
      </c>
    </row>
    <row r="4542" spans="1:12">
      <c r="A4542" t="s">
        <v>13319</v>
      </c>
      <c r="B4542" t="s">
        <v>13320</v>
      </c>
      <c r="C4542" t="s">
        <v>13355</v>
      </c>
      <c r="D4542" t="s">
        <v>13322</v>
      </c>
      <c r="E4542" t="s">
        <v>13356</v>
      </c>
      <c r="F4542" t="s">
        <v>13357</v>
      </c>
      <c r="J4542" t="s">
        <v>13356</v>
      </c>
      <c r="K4542" t="s">
        <v>13325</v>
      </c>
      <c r="L4542" t="s">
        <v>916</v>
      </c>
    </row>
    <row r="4543" spans="1:12">
      <c r="A4543" t="s">
        <v>13319</v>
      </c>
      <c r="B4543" t="s">
        <v>13320</v>
      </c>
      <c r="C4543" t="s">
        <v>13358</v>
      </c>
      <c r="D4543" t="s">
        <v>13322</v>
      </c>
      <c r="E4543" t="s">
        <v>13359</v>
      </c>
      <c r="F4543" t="s">
        <v>13360</v>
      </c>
      <c r="J4543" t="s">
        <v>13359</v>
      </c>
      <c r="K4543" t="s">
        <v>13325</v>
      </c>
      <c r="L4543" t="s">
        <v>916</v>
      </c>
    </row>
    <row r="4544" spans="1:12">
      <c r="A4544" t="s">
        <v>13319</v>
      </c>
      <c r="B4544" t="s">
        <v>13320</v>
      </c>
      <c r="C4544" t="s">
        <v>13361</v>
      </c>
      <c r="D4544" t="s">
        <v>13322</v>
      </c>
      <c r="E4544" t="s">
        <v>655</v>
      </c>
      <c r="F4544" t="s">
        <v>656</v>
      </c>
    </row>
    <row r="4545" spans="1:12">
      <c r="A4545" t="s">
        <v>13362</v>
      </c>
      <c r="B4545" t="s">
        <v>13363</v>
      </c>
      <c r="C4545" t="s">
        <v>13364</v>
      </c>
      <c r="D4545" t="s">
        <v>13365</v>
      </c>
      <c r="E4545" t="s">
        <v>8487</v>
      </c>
      <c r="F4545" t="s">
        <v>13366</v>
      </c>
      <c r="J4545" t="s">
        <v>8487</v>
      </c>
      <c r="K4545" t="s">
        <v>13367</v>
      </c>
      <c r="L4545" t="s">
        <v>814</v>
      </c>
    </row>
    <row r="4546" spans="1:12">
      <c r="A4546" t="s">
        <v>13362</v>
      </c>
      <c r="B4546" t="s">
        <v>13363</v>
      </c>
      <c r="C4546" t="s">
        <v>13368</v>
      </c>
      <c r="D4546" t="s">
        <v>13365</v>
      </c>
      <c r="E4546" t="s">
        <v>13369</v>
      </c>
      <c r="F4546" t="s">
        <v>13370</v>
      </c>
      <c r="J4546" t="s">
        <v>13369</v>
      </c>
      <c r="K4546" t="s">
        <v>13367</v>
      </c>
      <c r="L4546" t="s">
        <v>814</v>
      </c>
    </row>
    <row r="4547" spans="1:12">
      <c r="A4547" t="s">
        <v>13362</v>
      </c>
      <c r="B4547" t="s">
        <v>13363</v>
      </c>
      <c r="C4547" t="s">
        <v>13371</v>
      </c>
      <c r="D4547" t="s">
        <v>13365</v>
      </c>
      <c r="E4547" t="s">
        <v>13372</v>
      </c>
      <c r="F4547" t="s">
        <v>13373</v>
      </c>
      <c r="J4547" t="s">
        <v>13372</v>
      </c>
      <c r="K4547" t="s">
        <v>13367</v>
      </c>
      <c r="L4547" t="s">
        <v>814</v>
      </c>
    </row>
    <row r="4548" spans="1:12">
      <c r="A4548" t="s">
        <v>13362</v>
      </c>
      <c r="B4548" t="s">
        <v>13363</v>
      </c>
      <c r="C4548" t="s">
        <v>13374</v>
      </c>
      <c r="D4548" t="s">
        <v>13365</v>
      </c>
      <c r="E4548" t="s">
        <v>13375</v>
      </c>
      <c r="F4548" t="s">
        <v>13362</v>
      </c>
    </row>
    <row r="4549" spans="1:12">
      <c r="A4549" t="s">
        <v>13362</v>
      </c>
      <c r="B4549" t="s">
        <v>13363</v>
      </c>
      <c r="C4549" t="s">
        <v>13376</v>
      </c>
      <c r="D4549" t="s">
        <v>13365</v>
      </c>
      <c r="E4549" t="s">
        <v>13377</v>
      </c>
      <c r="F4549" t="s">
        <v>13378</v>
      </c>
      <c r="J4549" t="s">
        <v>13377</v>
      </c>
      <c r="K4549" t="s">
        <v>13367</v>
      </c>
      <c r="L4549" t="s">
        <v>814</v>
      </c>
    </row>
    <row r="4550" spans="1:12">
      <c r="A4550" t="s">
        <v>13362</v>
      </c>
      <c r="B4550" t="s">
        <v>13363</v>
      </c>
      <c r="C4550" t="s">
        <v>13379</v>
      </c>
      <c r="D4550" t="s">
        <v>13365</v>
      </c>
      <c r="E4550" t="s">
        <v>13380</v>
      </c>
      <c r="F4550" t="s">
        <v>13381</v>
      </c>
      <c r="J4550" t="s">
        <v>13380</v>
      </c>
      <c r="K4550" t="s">
        <v>13367</v>
      </c>
      <c r="L4550" t="s">
        <v>814</v>
      </c>
    </row>
    <row r="4551" spans="1:12">
      <c r="A4551" t="s">
        <v>13362</v>
      </c>
      <c r="B4551" t="s">
        <v>13363</v>
      </c>
      <c r="C4551" t="s">
        <v>13382</v>
      </c>
      <c r="D4551" t="s">
        <v>13365</v>
      </c>
      <c r="E4551" t="s">
        <v>655</v>
      </c>
      <c r="F4551" t="s">
        <v>656</v>
      </c>
    </row>
    <row r="4552" spans="1:12">
      <c r="A4552" t="s">
        <v>13362</v>
      </c>
      <c r="B4552" t="s">
        <v>13363</v>
      </c>
      <c r="D4552" t="s">
        <v>13365</v>
      </c>
      <c r="F4552" t="s">
        <v>13383</v>
      </c>
      <c r="J4552" t="s">
        <v>13384</v>
      </c>
      <c r="K4552" t="s">
        <v>13367</v>
      </c>
      <c r="L4552" t="s">
        <v>814</v>
      </c>
    </row>
    <row r="4553" spans="1:12">
      <c r="A4553" t="s">
        <v>13385</v>
      </c>
      <c r="B4553" t="s">
        <v>13386</v>
      </c>
      <c r="C4553" t="s">
        <v>13387</v>
      </c>
      <c r="D4553" t="s">
        <v>13388</v>
      </c>
      <c r="E4553" t="s">
        <v>666</v>
      </c>
      <c r="F4553" t="s">
        <v>13389</v>
      </c>
    </row>
    <row r="4554" spans="1:12">
      <c r="A4554" t="s">
        <v>13385</v>
      </c>
      <c r="B4554" t="s">
        <v>13386</v>
      </c>
      <c r="C4554" t="s">
        <v>13390</v>
      </c>
      <c r="D4554" t="s">
        <v>13388</v>
      </c>
      <c r="E4554" t="s">
        <v>13391</v>
      </c>
      <c r="F4554" t="s">
        <v>13392</v>
      </c>
      <c r="J4554" t="s">
        <v>13391</v>
      </c>
      <c r="K4554" t="s">
        <v>13393</v>
      </c>
      <c r="L4554" t="s">
        <v>916</v>
      </c>
    </row>
    <row r="4555" spans="1:12">
      <c r="A4555" t="s">
        <v>13385</v>
      </c>
      <c r="B4555" t="s">
        <v>13386</v>
      </c>
      <c r="C4555" t="s">
        <v>13394</v>
      </c>
      <c r="D4555" t="s">
        <v>13388</v>
      </c>
      <c r="E4555" t="s">
        <v>13395</v>
      </c>
      <c r="F4555" t="s">
        <v>13396</v>
      </c>
    </row>
    <row r="4556" spans="1:12">
      <c r="A4556" t="s">
        <v>13385</v>
      </c>
      <c r="B4556" t="s">
        <v>13386</v>
      </c>
      <c r="C4556" t="s">
        <v>13397</v>
      </c>
      <c r="D4556" t="s">
        <v>13388</v>
      </c>
      <c r="E4556" t="s">
        <v>13398</v>
      </c>
      <c r="F4556" t="s">
        <v>13399</v>
      </c>
    </row>
    <row r="4557" spans="1:12">
      <c r="A4557" t="s">
        <v>13385</v>
      </c>
      <c r="B4557" t="s">
        <v>13386</v>
      </c>
      <c r="C4557" t="s">
        <v>13400</v>
      </c>
      <c r="D4557" t="s">
        <v>13388</v>
      </c>
      <c r="E4557" t="s">
        <v>13401</v>
      </c>
      <c r="F4557" t="s">
        <v>4053</v>
      </c>
    </row>
    <row r="4558" spans="1:12">
      <c r="A4558" t="s">
        <v>13385</v>
      </c>
      <c r="B4558" t="s">
        <v>13386</v>
      </c>
      <c r="C4558" t="s">
        <v>13402</v>
      </c>
      <c r="D4558" t="s">
        <v>13388</v>
      </c>
      <c r="E4558" t="s">
        <v>11077</v>
      </c>
      <c r="F4558" t="s">
        <v>13403</v>
      </c>
      <c r="J4558" t="s">
        <v>11077</v>
      </c>
      <c r="K4558" t="s">
        <v>13393</v>
      </c>
      <c r="L4558" t="s">
        <v>916</v>
      </c>
    </row>
    <row r="4559" spans="1:12">
      <c r="A4559" t="s">
        <v>13385</v>
      </c>
      <c r="B4559" t="s">
        <v>13386</v>
      </c>
      <c r="C4559" t="s">
        <v>13404</v>
      </c>
      <c r="D4559" t="s">
        <v>13388</v>
      </c>
      <c r="E4559" t="s">
        <v>655</v>
      </c>
      <c r="F4559" t="s">
        <v>656</v>
      </c>
    </row>
    <row r="4560" spans="1:12">
      <c r="A4560" t="s">
        <v>13405</v>
      </c>
      <c r="B4560" t="s">
        <v>13406</v>
      </c>
      <c r="C4560" t="s">
        <v>13407</v>
      </c>
      <c r="D4560" t="s">
        <v>13408</v>
      </c>
      <c r="E4560" t="s">
        <v>13409</v>
      </c>
      <c r="F4560" t="s">
        <v>13410</v>
      </c>
      <c r="J4560" t="s">
        <v>13409</v>
      </c>
      <c r="K4560" t="s">
        <v>9027</v>
      </c>
      <c r="L4560" t="s">
        <v>851</v>
      </c>
    </row>
    <row r="4561" spans="1:12">
      <c r="A4561" t="s">
        <v>13405</v>
      </c>
      <c r="B4561" t="s">
        <v>13406</v>
      </c>
      <c r="C4561" t="s">
        <v>13411</v>
      </c>
      <c r="D4561" t="s">
        <v>13408</v>
      </c>
      <c r="E4561" t="s">
        <v>8442</v>
      </c>
      <c r="F4561" t="s">
        <v>13412</v>
      </c>
    </row>
    <row r="4562" spans="1:12">
      <c r="A4562" t="s">
        <v>13405</v>
      </c>
      <c r="B4562" t="s">
        <v>13406</v>
      </c>
      <c r="C4562" t="s">
        <v>13413</v>
      </c>
      <c r="D4562" t="s">
        <v>13408</v>
      </c>
      <c r="E4562" t="s">
        <v>13414</v>
      </c>
      <c r="F4562" t="s">
        <v>13415</v>
      </c>
    </row>
    <row r="4563" spans="1:12">
      <c r="A4563" t="s">
        <v>13405</v>
      </c>
      <c r="B4563" t="s">
        <v>13406</v>
      </c>
      <c r="C4563" t="s">
        <v>13416</v>
      </c>
      <c r="D4563" t="s">
        <v>13408</v>
      </c>
      <c r="E4563" t="s">
        <v>13417</v>
      </c>
      <c r="F4563" t="s">
        <v>13418</v>
      </c>
      <c r="J4563" t="s">
        <v>13417</v>
      </c>
      <c r="K4563" t="s">
        <v>9027</v>
      </c>
      <c r="L4563" t="s">
        <v>851</v>
      </c>
    </row>
    <row r="4564" spans="1:12">
      <c r="A4564" t="s">
        <v>13405</v>
      </c>
      <c r="B4564" t="s">
        <v>13406</v>
      </c>
      <c r="C4564" t="s">
        <v>13419</v>
      </c>
      <c r="D4564" t="s">
        <v>13408</v>
      </c>
      <c r="E4564" t="s">
        <v>3820</v>
      </c>
      <c r="F4564" t="s">
        <v>13420</v>
      </c>
    </row>
    <row r="4565" spans="1:12">
      <c r="A4565" t="s">
        <v>13405</v>
      </c>
      <c r="B4565" t="s">
        <v>13406</v>
      </c>
      <c r="C4565" t="s">
        <v>13421</v>
      </c>
      <c r="D4565" t="s">
        <v>13408</v>
      </c>
      <c r="E4565" t="s">
        <v>10882</v>
      </c>
      <c r="F4565" t="s">
        <v>13422</v>
      </c>
    </row>
    <row r="4566" spans="1:12">
      <c r="A4566" t="s">
        <v>13405</v>
      </c>
      <c r="B4566" t="s">
        <v>13406</v>
      </c>
      <c r="C4566" t="s">
        <v>13423</v>
      </c>
      <c r="D4566" t="s">
        <v>13408</v>
      </c>
      <c r="E4566" t="s">
        <v>13424</v>
      </c>
      <c r="F4566" t="s">
        <v>13425</v>
      </c>
      <c r="J4566" t="s">
        <v>13424</v>
      </c>
      <c r="K4566" t="s">
        <v>9027</v>
      </c>
      <c r="L4566" t="s">
        <v>851</v>
      </c>
    </row>
    <row r="4567" spans="1:12">
      <c r="A4567" t="s">
        <v>13405</v>
      </c>
      <c r="B4567" t="s">
        <v>13406</v>
      </c>
      <c r="C4567" t="s">
        <v>13426</v>
      </c>
      <c r="D4567" t="s">
        <v>13408</v>
      </c>
      <c r="E4567" t="s">
        <v>13427</v>
      </c>
      <c r="F4567" t="s">
        <v>13428</v>
      </c>
    </row>
    <row r="4568" spans="1:12">
      <c r="A4568" t="s">
        <v>13405</v>
      </c>
      <c r="B4568" t="s">
        <v>13406</v>
      </c>
      <c r="C4568" t="s">
        <v>13429</v>
      </c>
      <c r="D4568" t="s">
        <v>13408</v>
      </c>
      <c r="E4568" t="s">
        <v>13430</v>
      </c>
      <c r="F4568" t="s">
        <v>13431</v>
      </c>
      <c r="J4568" t="s">
        <v>13430</v>
      </c>
      <c r="K4568" t="s">
        <v>9027</v>
      </c>
      <c r="L4568" t="s">
        <v>851</v>
      </c>
    </row>
    <row r="4569" spans="1:12">
      <c r="A4569" t="s">
        <v>13405</v>
      </c>
      <c r="B4569" t="s">
        <v>13406</v>
      </c>
      <c r="C4569" t="s">
        <v>13432</v>
      </c>
      <c r="D4569" t="s">
        <v>13408</v>
      </c>
      <c r="E4569" t="s">
        <v>13433</v>
      </c>
      <c r="F4569" t="s">
        <v>13434</v>
      </c>
      <c r="J4569" t="s">
        <v>13433</v>
      </c>
      <c r="K4569" t="s">
        <v>9027</v>
      </c>
      <c r="L4569" t="s">
        <v>851</v>
      </c>
    </row>
    <row r="4570" spans="1:12">
      <c r="A4570" t="s">
        <v>13405</v>
      </c>
      <c r="B4570" t="s">
        <v>13406</v>
      </c>
      <c r="C4570" t="s">
        <v>13435</v>
      </c>
      <c r="D4570" t="s">
        <v>13408</v>
      </c>
      <c r="E4570" t="s">
        <v>13436</v>
      </c>
      <c r="F4570" t="s">
        <v>13437</v>
      </c>
      <c r="J4570" t="s">
        <v>13436</v>
      </c>
      <c r="K4570" t="s">
        <v>9027</v>
      </c>
      <c r="L4570" t="s">
        <v>851</v>
      </c>
    </row>
    <row r="4571" spans="1:12">
      <c r="A4571" t="s">
        <v>13405</v>
      </c>
      <c r="B4571" t="s">
        <v>13406</v>
      </c>
      <c r="C4571" t="s">
        <v>13438</v>
      </c>
      <c r="D4571" t="s">
        <v>13408</v>
      </c>
      <c r="E4571" t="s">
        <v>13439</v>
      </c>
      <c r="F4571" t="s">
        <v>13440</v>
      </c>
    </row>
    <row r="4572" spans="1:12">
      <c r="A4572" t="s">
        <v>13405</v>
      </c>
      <c r="B4572" t="s">
        <v>13406</v>
      </c>
      <c r="C4572" t="s">
        <v>13441</v>
      </c>
      <c r="D4572" t="s">
        <v>13408</v>
      </c>
      <c r="E4572" t="s">
        <v>13442</v>
      </c>
      <c r="F4572" t="s">
        <v>13443</v>
      </c>
    </row>
    <row r="4573" spans="1:12">
      <c r="A4573" t="s">
        <v>13405</v>
      </c>
      <c r="B4573" t="s">
        <v>13406</v>
      </c>
      <c r="C4573" t="s">
        <v>13444</v>
      </c>
      <c r="D4573" t="s">
        <v>13408</v>
      </c>
      <c r="E4573" t="s">
        <v>13445</v>
      </c>
      <c r="F4573" t="s">
        <v>13446</v>
      </c>
    </row>
    <row r="4574" spans="1:12">
      <c r="A4574" t="s">
        <v>13405</v>
      </c>
      <c r="B4574" t="s">
        <v>13406</v>
      </c>
      <c r="C4574" t="s">
        <v>13447</v>
      </c>
      <c r="D4574" t="s">
        <v>13408</v>
      </c>
      <c r="E4574" t="s">
        <v>13448</v>
      </c>
      <c r="F4574" t="s">
        <v>13449</v>
      </c>
    </row>
    <row r="4575" spans="1:12">
      <c r="A4575" t="s">
        <v>13405</v>
      </c>
      <c r="B4575" t="s">
        <v>13406</v>
      </c>
      <c r="C4575" t="s">
        <v>13450</v>
      </c>
      <c r="D4575" t="s">
        <v>13408</v>
      </c>
      <c r="E4575" t="s">
        <v>13451</v>
      </c>
      <c r="F4575" t="s">
        <v>13452</v>
      </c>
      <c r="J4575" t="s">
        <v>13451</v>
      </c>
      <c r="K4575" t="s">
        <v>9027</v>
      </c>
      <c r="L4575" t="s">
        <v>851</v>
      </c>
    </row>
    <row r="4576" spans="1:12">
      <c r="A4576" t="s">
        <v>13405</v>
      </c>
      <c r="B4576" t="s">
        <v>13406</v>
      </c>
      <c r="C4576" t="s">
        <v>13453</v>
      </c>
      <c r="D4576" t="s">
        <v>13408</v>
      </c>
      <c r="E4576" t="s">
        <v>13454</v>
      </c>
      <c r="F4576" t="s">
        <v>13455</v>
      </c>
    </row>
    <row r="4577" spans="1:12">
      <c r="A4577" t="s">
        <v>13405</v>
      </c>
      <c r="B4577" t="s">
        <v>13406</v>
      </c>
      <c r="C4577" t="s">
        <v>13456</v>
      </c>
      <c r="D4577" t="s">
        <v>13408</v>
      </c>
      <c r="E4577" t="s">
        <v>13457</v>
      </c>
      <c r="F4577" t="s">
        <v>13458</v>
      </c>
    </row>
    <row r="4578" spans="1:12">
      <c r="A4578" t="s">
        <v>13405</v>
      </c>
      <c r="B4578" t="s">
        <v>13406</v>
      </c>
      <c r="C4578" t="s">
        <v>13459</v>
      </c>
      <c r="D4578" t="s">
        <v>13408</v>
      </c>
      <c r="E4578" t="s">
        <v>9119</v>
      </c>
      <c r="F4578" t="s">
        <v>13460</v>
      </c>
      <c r="J4578" t="s">
        <v>9119</v>
      </c>
      <c r="K4578" t="s">
        <v>9027</v>
      </c>
      <c r="L4578" t="s">
        <v>851</v>
      </c>
    </row>
    <row r="4579" spans="1:12">
      <c r="A4579" t="s">
        <v>13405</v>
      </c>
      <c r="B4579" t="s">
        <v>13406</v>
      </c>
      <c r="C4579" t="s">
        <v>13461</v>
      </c>
      <c r="D4579" t="s">
        <v>13408</v>
      </c>
      <c r="E4579" t="s">
        <v>13462</v>
      </c>
      <c r="F4579" t="s">
        <v>13463</v>
      </c>
    </row>
    <row r="4580" spans="1:12">
      <c r="A4580" t="s">
        <v>13405</v>
      </c>
      <c r="B4580" t="s">
        <v>13406</v>
      </c>
      <c r="C4580" t="s">
        <v>13464</v>
      </c>
      <c r="D4580" t="s">
        <v>13408</v>
      </c>
      <c r="E4580" t="s">
        <v>7744</v>
      </c>
      <c r="F4580" t="s">
        <v>13465</v>
      </c>
    </row>
    <row r="4581" spans="1:12">
      <c r="A4581" t="s">
        <v>13405</v>
      </c>
      <c r="B4581" t="s">
        <v>13406</v>
      </c>
      <c r="C4581" t="s">
        <v>13466</v>
      </c>
      <c r="D4581" t="s">
        <v>13408</v>
      </c>
      <c r="E4581" t="s">
        <v>4067</v>
      </c>
      <c r="F4581" t="s">
        <v>13467</v>
      </c>
      <c r="J4581" t="s">
        <v>4067</v>
      </c>
      <c r="K4581" t="s">
        <v>9027</v>
      </c>
      <c r="L4581" t="s">
        <v>851</v>
      </c>
    </row>
    <row r="4582" spans="1:12">
      <c r="A4582" t="s">
        <v>13405</v>
      </c>
      <c r="B4582" t="s">
        <v>13406</v>
      </c>
      <c r="C4582" t="s">
        <v>13468</v>
      </c>
      <c r="D4582" t="s">
        <v>13408</v>
      </c>
      <c r="E4582" t="s">
        <v>4079</v>
      </c>
      <c r="F4582" t="s">
        <v>13469</v>
      </c>
    </row>
    <row r="4583" spans="1:12">
      <c r="A4583" t="s">
        <v>13405</v>
      </c>
      <c r="B4583" t="s">
        <v>13406</v>
      </c>
      <c r="C4583" t="s">
        <v>13470</v>
      </c>
      <c r="D4583" t="s">
        <v>13408</v>
      </c>
      <c r="E4583" t="s">
        <v>13471</v>
      </c>
      <c r="F4583" t="s">
        <v>13472</v>
      </c>
    </row>
    <row r="4584" spans="1:12">
      <c r="A4584" t="s">
        <v>13405</v>
      </c>
      <c r="B4584" t="s">
        <v>13406</v>
      </c>
      <c r="C4584" t="s">
        <v>13473</v>
      </c>
      <c r="D4584" t="s">
        <v>13408</v>
      </c>
      <c r="E4584" t="s">
        <v>13474</v>
      </c>
      <c r="F4584" t="s">
        <v>13475</v>
      </c>
      <c r="J4584" t="s">
        <v>13474</v>
      </c>
      <c r="K4584" t="s">
        <v>9027</v>
      </c>
      <c r="L4584" t="s">
        <v>851</v>
      </c>
    </row>
    <row r="4585" spans="1:12">
      <c r="A4585" t="s">
        <v>13405</v>
      </c>
      <c r="B4585" t="s">
        <v>13406</v>
      </c>
      <c r="C4585" t="s">
        <v>13476</v>
      </c>
      <c r="D4585" t="s">
        <v>13408</v>
      </c>
      <c r="E4585" t="s">
        <v>13477</v>
      </c>
      <c r="F4585" t="s">
        <v>13478</v>
      </c>
      <c r="J4585" t="s">
        <v>13477</v>
      </c>
      <c r="K4585" t="s">
        <v>9027</v>
      </c>
      <c r="L4585" t="s">
        <v>851</v>
      </c>
    </row>
    <row r="4586" spans="1:12">
      <c r="A4586" t="s">
        <v>13405</v>
      </c>
      <c r="B4586" t="s">
        <v>13406</v>
      </c>
      <c r="C4586" t="s">
        <v>13479</v>
      </c>
      <c r="D4586" t="s">
        <v>13408</v>
      </c>
      <c r="E4586" t="s">
        <v>13480</v>
      </c>
      <c r="F4586" t="s">
        <v>13481</v>
      </c>
    </row>
    <row r="4587" spans="1:12">
      <c r="A4587" t="s">
        <v>13405</v>
      </c>
      <c r="B4587" t="s">
        <v>13406</v>
      </c>
      <c r="C4587" t="s">
        <v>13482</v>
      </c>
      <c r="D4587" t="s">
        <v>13408</v>
      </c>
      <c r="E4587" t="s">
        <v>13483</v>
      </c>
      <c r="F4587" t="s">
        <v>13484</v>
      </c>
    </row>
    <row r="4588" spans="1:12">
      <c r="A4588" t="s">
        <v>13405</v>
      </c>
      <c r="B4588" t="s">
        <v>13406</v>
      </c>
      <c r="C4588" t="s">
        <v>13485</v>
      </c>
      <c r="D4588" t="s">
        <v>13408</v>
      </c>
      <c r="E4588" t="s">
        <v>13486</v>
      </c>
      <c r="F4588" t="s">
        <v>13487</v>
      </c>
      <c r="J4588" t="s">
        <v>13486</v>
      </c>
      <c r="K4588" t="s">
        <v>9027</v>
      </c>
      <c r="L4588" t="s">
        <v>851</v>
      </c>
    </row>
    <row r="4589" spans="1:12">
      <c r="A4589" t="s">
        <v>13405</v>
      </c>
      <c r="B4589" t="s">
        <v>13406</v>
      </c>
      <c r="C4589" t="s">
        <v>13488</v>
      </c>
      <c r="D4589" t="s">
        <v>13408</v>
      </c>
      <c r="E4589" t="s">
        <v>13489</v>
      </c>
      <c r="F4589" t="s">
        <v>13490</v>
      </c>
      <c r="J4589" t="s">
        <v>13489</v>
      </c>
      <c r="K4589" t="s">
        <v>9027</v>
      </c>
      <c r="L4589" t="s">
        <v>851</v>
      </c>
    </row>
    <row r="4590" spans="1:12">
      <c r="A4590" t="s">
        <v>13405</v>
      </c>
      <c r="B4590" t="s">
        <v>13406</v>
      </c>
      <c r="C4590" t="s">
        <v>13491</v>
      </c>
      <c r="D4590" t="s">
        <v>13408</v>
      </c>
      <c r="E4590" t="s">
        <v>13492</v>
      </c>
      <c r="F4590" t="s">
        <v>13493</v>
      </c>
    </row>
    <row r="4591" spans="1:12">
      <c r="A4591" t="s">
        <v>13405</v>
      </c>
      <c r="B4591" t="s">
        <v>13406</v>
      </c>
      <c r="C4591" t="s">
        <v>13494</v>
      </c>
      <c r="D4591" t="s">
        <v>13408</v>
      </c>
      <c r="E4591" t="s">
        <v>3486</v>
      </c>
      <c r="F4591" t="s">
        <v>13495</v>
      </c>
    </row>
    <row r="4592" spans="1:12">
      <c r="A4592" t="s">
        <v>13405</v>
      </c>
      <c r="B4592" t="s">
        <v>13406</v>
      </c>
      <c r="C4592" t="s">
        <v>13496</v>
      </c>
      <c r="D4592" t="s">
        <v>13408</v>
      </c>
      <c r="E4592" t="s">
        <v>13497</v>
      </c>
      <c r="F4592" t="s">
        <v>13498</v>
      </c>
    </row>
    <row r="4593" spans="1:12">
      <c r="A4593" t="s">
        <v>13405</v>
      </c>
      <c r="B4593" t="s">
        <v>13406</v>
      </c>
      <c r="C4593" t="s">
        <v>13499</v>
      </c>
      <c r="D4593" t="s">
        <v>13408</v>
      </c>
      <c r="E4593" t="s">
        <v>12682</v>
      </c>
      <c r="F4593" t="s">
        <v>13500</v>
      </c>
    </row>
    <row r="4594" spans="1:12">
      <c r="A4594" t="s">
        <v>13405</v>
      </c>
      <c r="B4594" t="s">
        <v>13406</v>
      </c>
      <c r="C4594" t="s">
        <v>13501</v>
      </c>
      <c r="D4594" t="s">
        <v>13408</v>
      </c>
      <c r="E4594" t="s">
        <v>13502</v>
      </c>
      <c r="F4594" t="s">
        <v>6790</v>
      </c>
      <c r="J4594" t="s">
        <v>13502</v>
      </c>
      <c r="K4594" t="s">
        <v>9027</v>
      </c>
      <c r="L4594" t="s">
        <v>851</v>
      </c>
    </row>
    <row r="4595" spans="1:12">
      <c r="A4595" t="s">
        <v>13405</v>
      </c>
      <c r="B4595" t="s">
        <v>13406</v>
      </c>
      <c r="C4595" t="s">
        <v>13503</v>
      </c>
      <c r="D4595" t="s">
        <v>13408</v>
      </c>
      <c r="E4595" t="s">
        <v>2250</v>
      </c>
      <c r="F4595" t="s">
        <v>13504</v>
      </c>
      <c r="J4595" t="s">
        <v>2250</v>
      </c>
      <c r="K4595" t="s">
        <v>9027</v>
      </c>
      <c r="L4595" t="s">
        <v>851</v>
      </c>
    </row>
    <row r="4596" spans="1:12">
      <c r="A4596" t="s">
        <v>13405</v>
      </c>
      <c r="B4596" t="s">
        <v>13406</v>
      </c>
      <c r="C4596" t="s">
        <v>13505</v>
      </c>
      <c r="D4596" t="s">
        <v>13408</v>
      </c>
      <c r="E4596" t="s">
        <v>13506</v>
      </c>
      <c r="F4596" t="s">
        <v>13507</v>
      </c>
    </row>
    <row r="4597" spans="1:12">
      <c r="A4597" t="s">
        <v>13405</v>
      </c>
      <c r="B4597" t="s">
        <v>13406</v>
      </c>
      <c r="C4597" t="s">
        <v>13508</v>
      </c>
      <c r="D4597" t="s">
        <v>13408</v>
      </c>
      <c r="E4597" t="s">
        <v>13509</v>
      </c>
      <c r="F4597" t="s">
        <v>13510</v>
      </c>
      <c r="J4597" t="s">
        <v>13509</v>
      </c>
      <c r="K4597" t="s">
        <v>9027</v>
      </c>
      <c r="L4597" t="s">
        <v>851</v>
      </c>
    </row>
    <row r="4598" spans="1:12">
      <c r="A4598" t="s">
        <v>13405</v>
      </c>
      <c r="B4598" t="s">
        <v>13406</v>
      </c>
      <c r="C4598" t="s">
        <v>13511</v>
      </c>
      <c r="D4598" t="s">
        <v>13408</v>
      </c>
      <c r="E4598" t="s">
        <v>13512</v>
      </c>
      <c r="F4598" t="s">
        <v>13513</v>
      </c>
    </row>
    <row r="4599" spans="1:12">
      <c r="A4599" t="s">
        <v>13405</v>
      </c>
      <c r="B4599" t="s">
        <v>13406</v>
      </c>
      <c r="C4599" t="s">
        <v>13514</v>
      </c>
      <c r="D4599" t="s">
        <v>13408</v>
      </c>
      <c r="E4599" t="s">
        <v>13515</v>
      </c>
      <c r="F4599" t="s">
        <v>13516</v>
      </c>
      <c r="J4599" t="s">
        <v>13515</v>
      </c>
      <c r="K4599" t="s">
        <v>9027</v>
      </c>
      <c r="L4599" t="s">
        <v>851</v>
      </c>
    </row>
    <row r="4600" spans="1:12">
      <c r="A4600" t="s">
        <v>13405</v>
      </c>
      <c r="B4600" t="s">
        <v>13406</v>
      </c>
      <c r="C4600" t="s">
        <v>13517</v>
      </c>
      <c r="D4600" t="s">
        <v>13408</v>
      </c>
      <c r="E4600" t="s">
        <v>13518</v>
      </c>
      <c r="F4600" t="s">
        <v>13519</v>
      </c>
      <c r="J4600" t="s">
        <v>13518</v>
      </c>
      <c r="K4600" t="s">
        <v>9027</v>
      </c>
      <c r="L4600" t="s">
        <v>851</v>
      </c>
    </row>
    <row r="4601" spans="1:12">
      <c r="A4601" t="s">
        <v>13405</v>
      </c>
      <c r="B4601" t="s">
        <v>13406</v>
      </c>
      <c r="C4601" t="s">
        <v>13520</v>
      </c>
      <c r="D4601" t="s">
        <v>13408</v>
      </c>
      <c r="E4601" t="s">
        <v>13521</v>
      </c>
      <c r="F4601" t="s">
        <v>13522</v>
      </c>
      <c r="J4601" t="s">
        <v>13521</v>
      </c>
      <c r="K4601" t="s">
        <v>9027</v>
      </c>
      <c r="L4601" t="s">
        <v>851</v>
      </c>
    </row>
    <row r="4602" spans="1:12">
      <c r="A4602" t="s">
        <v>13405</v>
      </c>
      <c r="B4602" t="s">
        <v>13406</v>
      </c>
      <c r="C4602" t="s">
        <v>13523</v>
      </c>
      <c r="D4602" t="s">
        <v>13408</v>
      </c>
      <c r="E4602" t="s">
        <v>11922</v>
      </c>
      <c r="F4602" t="s">
        <v>13524</v>
      </c>
    </row>
    <row r="4603" spans="1:12">
      <c r="A4603" t="s">
        <v>13405</v>
      </c>
      <c r="B4603" t="s">
        <v>13406</v>
      </c>
      <c r="C4603" t="s">
        <v>13525</v>
      </c>
      <c r="D4603" t="s">
        <v>13408</v>
      </c>
      <c r="E4603" t="s">
        <v>5084</v>
      </c>
      <c r="F4603" t="s">
        <v>13526</v>
      </c>
    </row>
    <row r="4604" spans="1:12">
      <c r="A4604" t="s">
        <v>13405</v>
      </c>
      <c r="B4604" t="s">
        <v>13406</v>
      </c>
      <c r="C4604" t="s">
        <v>13527</v>
      </c>
      <c r="D4604" t="s">
        <v>13408</v>
      </c>
      <c r="E4604" t="s">
        <v>13528</v>
      </c>
      <c r="F4604" t="s">
        <v>13529</v>
      </c>
    </row>
    <row r="4605" spans="1:12">
      <c r="A4605" t="s">
        <v>13405</v>
      </c>
      <c r="B4605" t="s">
        <v>13406</v>
      </c>
      <c r="C4605" t="s">
        <v>13530</v>
      </c>
      <c r="D4605" t="s">
        <v>13408</v>
      </c>
      <c r="E4605" t="s">
        <v>13531</v>
      </c>
      <c r="F4605" t="s">
        <v>13532</v>
      </c>
      <c r="J4605" t="s">
        <v>13531</v>
      </c>
      <c r="K4605" t="s">
        <v>9027</v>
      </c>
      <c r="L4605" t="s">
        <v>851</v>
      </c>
    </row>
    <row r="4606" spans="1:12">
      <c r="A4606" t="s">
        <v>13405</v>
      </c>
      <c r="B4606" t="s">
        <v>13406</v>
      </c>
      <c r="C4606" t="s">
        <v>13533</v>
      </c>
      <c r="D4606" t="s">
        <v>13408</v>
      </c>
      <c r="E4606" t="s">
        <v>13534</v>
      </c>
      <c r="F4606" t="s">
        <v>13535</v>
      </c>
    </row>
    <row r="4607" spans="1:12">
      <c r="A4607" t="s">
        <v>13405</v>
      </c>
      <c r="B4607" t="s">
        <v>13406</v>
      </c>
      <c r="C4607" t="s">
        <v>13536</v>
      </c>
      <c r="D4607" t="s">
        <v>13408</v>
      </c>
      <c r="E4607" t="s">
        <v>13537</v>
      </c>
      <c r="F4607" t="s">
        <v>13538</v>
      </c>
      <c r="J4607" t="s">
        <v>13537</v>
      </c>
      <c r="K4607" t="s">
        <v>9027</v>
      </c>
      <c r="L4607" t="s">
        <v>851</v>
      </c>
    </row>
    <row r="4608" spans="1:12">
      <c r="A4608" t="s">
        <v>13405</v>
      </c>
      <c r="B4608" t="s">
        <v>13406</v>
      </c>
      <c r="C4608" t="s">
        <v>13539</v>
      </c>
      <c r="D4608" t="s">
        <v>13408</v>
      </c>
      <c r="E4608" t="s">
        <v>9466</v>
      </c>
      <c r="F4608" t="s">
        <v>13540</v>
      </c>
    </row>
    <row r="4609" spans="1:12">
      <c r="A4609" t="s">
        <v>13405</v>
      </c>
      <c r="B4609" t="s">
        <v>13406</v>
      </c>
      <c r="C4609" t="s">
        <v>13541</v>
      </c>
      <c r="D4609" t="s">
        <v>13408</v>
      </c>
      <c r="E4609" t="s">
        <v>984</v>
      </c>
      <c r="F4609" t="s">
        <v>13542</v>
      </c>
    </row>
    <row r="4610" spans="1:12">
      <c r="A4610" t="s">
        <v>13405</v>
      </c>
      <c r="B4610" t="s">
        <v>13406</v>
      </c>
      <c r="C4610" t="s">
        <v>13543</v>
      </c>
      <c r="D4610" t="s">
        <v>13408</v>
      </c>
      <c r="E4610" t="s">
        <v>2439</v>
      </c>
      <c r="F4610" t="s">
        <v>13544</v>
      </c>
    </row>
    <row r="4611" spans="1:12">
      <c r="A4611" t="s">
        <v>13405</v>
      </c>
      <c r="B4611" t="s">
        <v>13406</v>
      </c>
      <c r="C4611" t="s">
        <v>13545</v>
      </c>
      <c r="D4611" t="s">
        <v>13408</v>
      </c>
      <c r="E4611" t="s">
        <v>5105</v>
      </c>
      <c r="F4611" t="s">
        <v>13546</v>
      </c>
    </row>
    <row r="4612" spans="1:12">
      <c r="A4612" t="s">
        <v>13405</v>
      </c>
      <c r="B4612" t="s">
        <v>13406</v>
      </c>
      <c r="C4612" t="s">
        <v>13547</v>
      </c>
      <c r="D4612" t="s">
        <v>13408</v>
      </c>
      <c r="E4612" t="s">
        <v>13548</v>
      </c>
      <c r="F4612" t="s">
        <v>13549</v>
      </c>
      <c r="J4612" t="s">
        <v>13548</v>
      </c>
      <c r="K4612" t="s">
        <v>9027</v>
      </c>
      <c r="L4612" t="s">
        <v>851</v>
      </c>
    </row>
    <row r="4613" spans="1:12">
      <c r="A4613" t="s">
        <v>13405</v>
      </c>
      <c r="B4613" t="s">
        <v>13406</v>
      </c>
      <c r="C4613" t="s">
        <v>13550</v>
      </c>
      <c r="D4613" t="s">
        <v>13408</v>
      </c>
      <c r="E4613" t="s">
        <v>13551</v>
      </c>
      <c r="F4613" t="s">
        <v>13552</v>
      </c>
      <c r="J4613" t="s">
        <v>13551</v>
      </c>
      <c r="K4613" t="s">
        <v>9027</v>
      </c>
      <c r="L4613" t="s">
        <v>851</v>
      </c>
    </row>
    <row r="4614" spans="1:12">
      <c r="A4614" t="s">
        <v>13405</v>
      </c>
      <c r="B4614" t="s">
        <v>13406</v>
      </c>
      <c r="C4614" t="s">
        <v>13553</v>
      </c>
      <c r="D4614" t="s">
        <v>13408</v>
      </c>
      <c r="E4614" t="s">
        <v>12817</v>
      </c>
      <c r="F4614" t="s">
        <v>13554</v>
      </c>
    </row>
    <row r="4615" spans="1:12">
      <c r="A4615" t="s">
        <v>13405</v>
      </c>
      <c r="B4615" t="s">
        <v>13406</v>
      </c>
      <c r="C4615" t="s">
        <v>13555</v>
      </c>
      <c r="D4615" t="s">
        <v>13408</v>
      </c>
      <c r="E4615" t="s">
        <v>13556</v>
      </c>
      <c r="F4615" t="s">
        <v>13557</v>
      </c>
    </row>
    <row r="4616" spans="1:12">
      <c r="A4616" t="s">
        <v>13405</v>
      </c>
      <c r="B4616" t="s">
        <v>13406</v>
      </c>
      <c r="C4616" t="s">
        <v>13558</v>
      </c>
      <c r="D4616" t="s">
        <v>13408</v>
      </c>
      <c r="E4616" t="s">
        <v>13559</v>
      </c>
      <c r="F4616" t="s">
        <v>13560</v>
      </c>
    </row>
    <row r="4617" spans="1:12">
      <c r="A4617" t="s">
        <v>13405</v>
      </c>
      <c r="B4617" t="s">
        <v>13406</v>
      </c>
      <c r="C4617" t="s">
        <v>13561</v>
      </c>
      <c r="D4617" t="s">
        <v>13408</v>
      </c>
      <c r="E4617" t="s">
        <v>5168</v>
      </c>
      <c r="F4617" t="s">
        <v>13562</v>
      </c>
    </row>
    <row r="4618" spans="1:12">
      <c r="A4618" t="s">
        <v>13405</v>
      </c>
      <c r="B4618" t="s">
        <v>13406</v>
      </c>
      <c r="C4618" t="s">
        <v>13563</v>
      </c>
      <c r="D4618" t="s">
        <v>13408</v>
      </c>
      <c r="E4618" t="s">
        <v>8016</v>
      </c>
      <c r="F4618" t="s">
        <v>13564</v>
      </c>
      <c r="J4618" t="s">
        <v>8016</v>
      </c>
      <c r="K4618" t="s">
        <v>9027</v>
      </c>
      <c r="L4618" t="s">
        <v>851</v>
      </c>
    </row>
    <row r="4619" spans="1:12">
      <c r="A4619" t="s">
        <v>13405</v>
      </c>
      <c r="B4619" t="s">
        <v>13406</v>
      </c>
      <c r="C4619" t="s">
        <v>13565</v>
      </c>
      <c r="D4619" t="s">
        <v>13408</v>
      </c>
      <c r="E4619" t="s">
        <v>8163</v>
      </c>
      <c r="F4619" t="s">
        <v>13566</v>
      </c>
    </row>
    <row r="4620" spans="1:12">
      <c r="A4620" t="s">
        <v>13405</v>
      </c>
      <c r="B4620" t="s">
        <v>13406</v>
      </c>
      <c r="C4620" t="s">
        <v>13567</v>
      </c>
      <c r="D4620" t="s">
        <v>13408</v>
      </c>
      <c r="E4620" t="s">
        <v>9738</v>
      </c>
      <c r="F4620" t="s">
        <v>13568</v>
      </c>
    </row>
    <row r="4621" spans="1:12">
      <c r="A4621" t="s">
        <v>13405</v>
      </c>
      <c r="B4621" t="s">
        <v>13406</v>
      </c>
      <c r="C4621" t="s">
        <v>13569</v>
      </c>
      <c r="D4621" t="s">
        <v>13408</v>
      </c>
      <c r="E4621" t="s">
        <v>13570</v>
      </c>
      <c r="F4621" t="s">
        <v>13571</v>
      </c>
      <c r="J4621" t="s">
        <v>13570</v>
      </c>
      <c r="K4621" t="s">
        <v>9027</v>
      </c>
      <c r="L4621" t="s">
        <v>851</v>
      </c>
    </row>
    <row r="4622" spans="1:12">
      <c r="A4622" t="s">
        <v>13405</v>
      </c>
      <c r="B4622" t="s">
        <v>13406</v>
      </c>
      <c r="C4622" t="s">
        <v>13572</v>
      </c>
      <c r="D4622" t="s">
        <v>13408</v>
      </c>
      <c r="E4622" t="s">
        <v>2804</v>
      </c>
      <c r="F4622" t="s">
        <v>13573</v>
      </c>
    </row>
    <row r="4623" spans="1:12">
      <c r="A4623" t="s">
        <v>13405</v>
      </c>
      <c r="B4623" t="s">
        <v>13406</v>
      </c>
      <c r="C4623" t="s">
        <v>13574</v>
      </c>
      <c r="D4623" t="s">
        <v>13408</v>
      </c>
      <c r="E4623" t="s">
        <v>13575</v>
      </c>
      <c r="F4623" t="s">
        <v>13576</v>
      </c>
      <c r="J4623" t="s">
        <v>13575</v>
      </c>
      <c r="K4623" t="s">
        <v>9027</v>
      </c>
      <c r="L4623" t="s">
        <v>851</v>
      </c>
    </row>
    <row r="4624" spans="1:12">
      <c r="A4624" t="s">
        <v>13405</v>
      </c>
      <c r="B4624" t="s">
        <v>13406</v>
      </c>
      <c r="C4624" t="s">
        <v>13577</v>
      </c>
      <c r="D4624" t="s">
        <v>13408</v>
      </c>
      <c r="E4624" t="s">
        <v>13578</v>
      </c>
      <c r="F4624" t="s">
        <v>13579</v>
      </c>
    </row>
    <row r="4625" spans="1:12">
      <c r="A4625" t="s">
        <v>13405</v>
      </c>
      <c r="B4625" t="s">
        <v>13406</v>
      </c>
      <c r="C4625" t="s">
        <v>13580</v>
      </c>
      <c r="D4625" t="s">
        <v>13408</v>
      </c>
      <c r="E4625" t="s">
        <v>13581</v>
      </c>
      <c r="F4625" t="s">
        <v>13582</v>
      </c>
      <c r="J4625" t="s">
        <v>13581</v>
      </c>
      <c r="K4625" t="s">
        <v>9027</v>
      </c>
      <c r="L4625" t="s">
        <v>851</v>
      </c>
    </row>
    <row r="4626" spans="1:12">
      <c r="A4626" t="s">
        <v>13405</v>
      </c>
      <c r="B4626" t="s">
        <v>13406</v>
      </c>
      <c r="C4626" t="s">
        <v>13583</v>
      </c>
      <c r="D4626" t="s">
        <v>13408</v>
      </c>
      <c r="E4626" t="s">
        <v>13584</v>
      </c>
      <c r="F4626" t="s">
        <v>13585</v>
      </c>
    </row>
    <row r="4627" spans="1:12">
      <c r="A4627" t="s">
        <v>13405</v>
      </c>
      <c r="B4627" t="s">
        <v>13406</v>
      </c>
      <c r="C4627" t="s">
        <v>13586</v>
      </c>
      <c r="D4627" t="s">
        <v>13408</v>
      </c>
      <c r="E4627" t="s">
        <v>13587</v>
      </c>
      <c r="F4627" t="s">
        <v>13588</v>
      </c>
      <c r="J4627" t="s">
        <v>13587</v>
      </c>
      <c r="K4627" t="s">
        <v>9027</v>
      </c>
      <c r="L4627" t="s">
        <v>851</v>
      </c>
    </row>
    <row r="4628" spans="1:12">
      <c r="A4628" t="s">
        <v>13405</v>
      </c>
      <c r="B4628" t="s">
        <v>13406</v>
      </c>
      <c r="C4628" t="s">
        <v>13589</v>
      </c>
      <c r="D4628" t="s">
        <v>13408</v>
      </c>
      <c r="E4628" t="s">
        <v>9851</v>
      </c>
      <c r="F4628" t="s">
        <v>13590</v>
      </c>
    </row>
    <row r="4629" spans="1:12">
      <c r="A4629" t="s">
        <v>13405</v>
      </c>
      <c r="B4629" t="s">
        <v>13406</v>
      </c>
      <c r="C4629" t="s">
        <v>13591</v>
      </c>
      <c r="D4629" t="s">
        <v>13408</v>
      </c>
      <c r="E4629" t="s">
        <v>3649</v>
      </c>
      <c r="F4629" t="s">
        <v>13592</v>
      </c>
    </row>
    <row r="4630" spans="1:12">
      <c r="A4630" t="s">
        <v>13405</v>
      </c>
      <c r="B4630" t="s">
        <v>13406</v>
      </c>
      <c r="C4630" t="s">
        <v>13593</v>
      </c>
      <c r="D4630" t="s">
        <v>13408</v>
      </c>
      <c r="E4630" t="s">
        <v>13594</v>
      </c>
      <c r="F4630" t="s">
        <v>13595</v>
      </c>
    </row>
    <row r="4631" spans="1:12">
      <c r="A4631" t="s">
        <v>13405</v>
      </c>
      <c r="B4631" t="s">
        <v>13406</v>
      </c>
      <c r="C4631" t="s">
        <v>13596</v>
      </c>
      <c r="D4631" t="s">
        <v>13408</v>
      </c>
      <c r="E4631" t="s">
        <v>13597</v>
      </c>
      <c r="F4631" t="s">
        <v>13598</v>
      </c>
    </row>
    <row r="4632" spans="1:12">
      <c r="A4632" t="s">
        <v>13405</v>
      </c>
      <c r="B4632" t="s">
        <v>13406</v>
      </c>
      <c r="C4632" t="s">
        <v>13599</v>
      </c>
      <c r="D4632" t="s">
        <v>13408</v>
      </c>
      <c r="E4632" t="s">
        <v>10467</v>
      </c>
      <c r="F4632" t="s">
        <v>13600</v>
      </c>
    </row>
    <row r="4633" spans="1:12">
      <c r="A4633" t="s">
        <v>13405</v>
      </c>
      <c r="B4633" t="s">
        <v>13406</v>
      </c>
      <c r="C4633" t="s">
        <v>13601</v>
      </c>
      <c r="D4633" t="s">
        <v>13408</v>
      </c>
      <c r="E4633" t="s">
        <v>13602</v>
      </c>
      <c r="F4633" t="s">
        <v>13603</v>
      </c>
      <c r="J4633" t="s">
        <v>13602</v>
      </c>
      <c r="K4633" t="s">
        <v>9027</v>
      </c>
      <c r="L4633" t="s">
        <v>851</v>
      </c>
    </row>
    <row r="4634" spans="1:12">
      <c r="A4634" t="s">
        <v>13405</v>
      </c>
      <c r="B4634" t="s">
        <v>13406</v>
      </c>
      <c r="C4634" t="s">
        <v>13604</v>
      </c>
      <c r="D4634" t="s">
        <v>13408</v>
      </c>
      <c r="E4634" t="s">
        <v>13605</v>
      </c>
      <c r="F4634" t="s">
        <v>13606</v>
      </c>
      <c r="J4634" t="s">
        <v>13605</v>
      </c>
      <c r="K4634" t="s">
        <v>9027</v>
      </c>
      <c r="L4634" t="s">
        <v>851</v>
      </c>
    </row>
    <row r="4635" spans="1:12">
      <c r="A4635" t="s">
        <v>13405</v>
      </c>
      <c r="B4635" t="s">
        <v>13406</v>
      </c>
      <c r="C4635" t="s">
        <v>13607</v>
      </c>
      <c r="D4635" t="s">
        <v>13408</v>
      </c>
      <c r="E4635" t="s">
        <v>1052</v>
      </c>
      <c r="F4635" t="s">
        <v>13608</v>
      </c>
      <c r="J4635" t="s">
        <v>1052</v>
      </c>
      <c r="K4635" t="s">
        <v>9027</v>
      </c>
      <c r="L4635" t="s">
        <v>851</v>
      </c>
    </row>
    <row r="4636" spans="1:12">
      <c r="A4636" t="s">
        <v>13405</v>
      </c>
      <c r="B4636" t="s">
        <v>13406</v>
      </c>
      <c r="C4636" t="s">
        <v>13609</v>
      </c>
      <c r="D4636" t="s">
        <v>13408</v>
      </c>
      <c r="E4636" t="s">
        <v>7438</v>
      </c>
      <c r="F4636" t="s">
        <v>13610</v>
      </c>
    </row>
    <row r="4637" spans="1:12">
      <c r="A4637" t="s">
        <v>13405</v>
      </c>
      <c r="B4637" t="s">
        <v>13406</v>
      </c>
      <c r="C4637" t="s">
        <v>13611</v>
      </c>
      <c r="D4637" t="s">
        <v>13408</v>
      </c>
      <c r="E4637" t="s">
        <v>13612</v>
      </c>
      <c r="F4637" t="s">
        <v>13613</v>
      </c>
    </row>
    <row r="4638" spans="1:12">
      <c r="A4638" t="s">
        <v>13405</v>
      </c>
      <c r="B4638" t="s">
        <v>13406</v>
      </c>
      <c r="C4638" t="s">
        <v>13614</v>
      </c>
      <c r="D4638" t="s">
        <v>13408</v>
      </c>
      <c r="E4638" t="s">
        <v>13615</v>
      </c>
      <c r="F4638" t="s">
        <v>13616</v>
      </c>
    </row>
    <row r="4639" spans="1:12">
      <c r="A4639" t="s">
        <v>13405</v>
      </c>
      <c r="B4639" t="s">
        <v>13406</v>
      </c>
      <c r="C4639" t="s">
        <v>13617</v>
      </c>
      <c r="D4639" t="s">
        <v>13408</v>
      </c>
      <c r="E4639" t="s">
        <v>10022</v>
      </c>
      <c r="F4639" t="s">
        <v>13618</v>
      </c>
    </row>
    <row r="4640" spans="1:12">
      <c r="A4640" t="s">
        <v>13405</v>
      </c>
      <c r="B4640" t="s">
        <v>13406</v>
      </c>
      <c r="C4640" t="s">
        <v>13619</v>
      </c>
      <c r="D4640" t="s">
        <v>13408</v>
      </c>
      <c r="E4640" t="s">
        <v>13620</v>
      </c>
      <c r="F4640" t="s">
        <v>13621</v>
      </c>
      <c r="J4640" t="s">
        <v>13620</v>
      </c>
      <c r="K4640" t="s">
        <v>9027</v>
      </c>
      <c r="L4640" t="s">
        <v>851</v>
      </c>
    </row>
    <row r="4641" spans="1:12">
      <c r="A4641" t="s">
        <v>13405</v>
      </c>
      <c r="B4641" t="s">
        <v>13406</v>
      </c>
      <c r="C4641" t="s">
        <v>13622</v>
      </c>
      <c r="D4641" t="s">
        <v>13408</v>
      </c>
      <c r="E4641" t="s">
        <v>13623</v>
      </c>
      <c r="F4641" t="s">
        <v>13624</v>
      </c>
    </row>
    <row r="4642" spans="1:12">
      <c r="A4642" t="s">
        <v>13405</v>
      </c>
      <c r="B4642" t="s">
        <v>13406</v>
      </c>
      <c r="C4642" t="s">
        <v>13625</v>
      </c>
      <c r="D4642" t="s">
        <v>13408</v>
      </c>
      <c r="E4642" t="s">
        <v>13626</v>
      </c>
      <c r="F4642" t="s">
        <v>13627</v>
      </c>
    </row>
    <row r="4643" spans="1:12">
      <c r="A4643" t="s">
        <v>13405</v>
      </c>
      <c r="B4643" t="s">
        <v>13406</v>
      </c>
      <c r="C4643" t="s">
        <v>13628</v>
      </c>
      <c r="D4643" t="s">
        <v>13408</v>
      </c>
      <c r="E4643" t="s">
        <v>13629</v>
      </c>
      <c r="F4643" t="s">
        <v>13630</v>
      </c>
      <c r="J4643" t="s">
        <v>13629</v>
      </c>
      <c r="K4643" t="s">
        <v>9027</v>
      </c>
      <c r="L4643" t="s">
        <v>851</v>
      </c>
    </row>
    <row r="4644" spans="1:12">
      <c r="A4644" t="s">
        <v>13405</v>
      </c>
      <c r="B4644" t="s">
        <v>13406</v>
      </c>
      <c r="C4644" t="s">
        <v>13631</v>
      </c>
      <c r="D4644" t="s">
        <v>13408</v>
      </c>
      <c r="E4644" t="s">
        <v>655</v>
      </c>
      <c r="F4644" t="s">
        <v>656</v>
      </c>
    </row>
    <row r="4645" spans="1:12">
      <c r="A4645" t="s">
        <v>13405</v>
      </c>
      <c r="B4645" t="s">
        <v>13406</v>
      </c>
      <c r="D4645" t="s">
        <v>13408</v>
      </c>
      <c r="F4645" t="s">
        <v>13632</v>
      </c>
      <c r="J4645" t="s">
        <v>13633</v>
      </c>
      <c r="K4645" t="s">
        <v>9027</v>
      </c>
      <c r="L4645" t="s">
        <v>851</v>
      </c>
    </row>
    <row r="4646" spans="1:12">
      <c r="A4646" t="s">
        <v>13405</v>
      </c>
      <c r="B4646" t="s">
        <v>13406</v>
      </c>
      <c r="D4646" t="s">
        <v>13408</v>
      </c>
      <c r="F4646" t="s">
        <v>13634</v>
      </c>
      <c r="J4646" t="s">
        <v>13635</v>
      </c>
      <c r="K4646" t="s">
        <v>9027</v>
      </c>
      <c r="L4646" t="s">
        <v>851</v>
      </c>
    </row>
    <row r="4647" spans="1:12">
      <c r="A4647" t="s">
        <v>13405</v>
      </c>
      <c r="B4647" t="s">
        <v>13406</v>
      </c>
      <c r="D4647" t="s">
        <v>13408</v>
      </c>
      <c r="F4647" t="s">
        <v>13636</v>
      </c>
      <c r="J4647" t="s">
        <v>11466</v>
      </c>
      <c r="K4647" t="s">
        <v>9027</v>
      </c>
      <c r="L4647" t="s">
        <v>851</v>
      </c>
    </row>
    <row r="4648" spans="1:12">
      <c r="A4648" t="s">
        <v>13637</v>
      </c>
      <c r="B4648" t="s">
        <v>13638</v>
      </c>
      <c r="C4648" t="s">
        <v>13639</v>
      </c>
      <c r="D4648" t="s">
        <v>13640</v>
      </c>
      <c r="E4648" t="s">
        <v>11907</v>
      </c>
      <c r="F4648" t="s">
        <v>13641</v>
      </c>
    </row>
    <row r="4649" spans="1:12">
      <c r="A4649" t="s">
        <v>13637</v>
      </c>
      <c r="B4649" t="s">
        <v>13638</v>
      </c>
      <c r="C4649" t="s">
        <v>13642</v>
      </c>
      <c r="D4649" t="s">
        <v>13640</v>
      </c>
      <c r="E4649" t="s">
        <v>9379</v>
      </c>
      <c r="F4649" t="s">
        <v>13643</v>
      </c>
    </row>
    <row r="4650" spans="1:12">
      <c r="A4650" t="s">
        <v>13637</v>
      </c>
      <c r="B4650" t="s">
        <v>13638</v>
      </c>
      <c r="C4650" t="s">
        <v>13644</v>
      </c>
      <c r="D4650" t="s">
        <v>13640</v>
      </c>
      <c r="E4650" t="s">
        <v>655</v>
      </c>
      <c r="F4650" t="s">
        <v>656</v>
      </c>
    </row>
    <row r="4651" spans="1:12">
      <c r="A4651" t="s">
        <v>13645</v>
      </c>
      <c r="B4651" t="s">
        <v>13646</v>
      </c>
      <c r="C4651" t="s">
        <v>13647</v>
      </c>
      <c r="D4651" t="s">
        <v>13648</v>
      </c>
      <c r="E4651" t="s">
        <v>13649</v>
      </c>
      <c r="F4651" t="s">
        <v>13650</v>
      </c>
      <c r="J4651" t="s">
        <v>13649</v>
      </c>
      <c r="K4651" t="s">
        <v>13651</v>
      </c>
      <c r="L4651" t="s">
        <v>814</v>
      </c>
    </row>
    <row r="4652" spans="1:12">
      <c r="A4652" t="s">
        <v>13645</v>
      </c>
      <c r="B4652" t="s">
        <v>13646</v>
      </c>
      <c r="C4652" t="s">
        <v>13652</v>
      </c>
      <c r="D4652" t="s">
        <v>13648</v>
      </c>
      <c r="E4652" t="s">
        <v>11816</v>
      </c>
      <c r="F4652" t="s">
        <v>13653</v>
      </c>
    </row>
    <row r="4653" spans="1:12">
      <c r="A4653" t="s">
        <v>13645</v>
      </c>
      <c r="B4653" t="s">
        <v>13646</v>
      </c>
      <c r="C4653" t="s">
        <v>13654</v>
      </c>
      <c r="D4653" t="s">
        <v>13648</v>
      </c>
      <c r="E4653" t="s">
        <v>13655</v>
      </c>
      <c r="F4653" t="s">
        <v>13656</v>
      </c>
      <c r="J4653" t="s">
        <v>13655</v>
      </c>
      <c r="K4653" t="s">
        <v>13651</v>
      </c>
      <c r="L4653" t="s">
        <v>814</v>
      </c>
    </row>
    <row r="4654" spans="1:12">
      <c r="A4654" t="s">
        <v>13645</v>
      </c>
      <c r="B4654" t="s">
        <v>13646</v>
      </c>
      <c r="C4654" t="s">
        <v>13657</v>
      </c>
      <c r="D4654" t="s">
        <v>13648</v>
      </c>
      <c r="E4654" t="s">
        <v>13658</v>
      </c>
      <c r="F4654" t="s">
        <v>13659</v>
      </c>
      <c r="J4654" t="s">
        <v>13658</v>
      </c>
      <c r="K4654" t="s">
        <v>13651</v>
      </c>
      <c r="L4654" t="s">
        <v>814</v>
      </c>
    </row>
    <row r="4655" spans="1:12">
      <c r="A4655" t="s">
        <v>13645</v>
      </c>
      <c r="B4655" t="s">
        <v>13646</v>
      </c>
      <c r="C4655" t="s">
        <v>13660</v>
      </c>
      <c r="D4655" t="s">
        <v>13648</v>
      </c>
      <c r="E4655" t="s">
        <v>13661</v>
      </c>
      <c r="F4655" t="s">
        <v>13662</v>
      </c>
      <c r="J4655" t="s">
        <v>13661</v>
      </c>
      <c r="K4655" t="s">
        <v>13651</v>
      </c>
      <c r="L4655" t="s">
        <v>814</v>
      </c>
    </row>
    <row r="4656" spans="1:12">
      <c r="A4656" t="s">
        <v>13645</v>
      </c>
      <c r="B4656" t="s">
        <v>13646</v>
      </c>
      <c r="C4656" t="s">
        <v>13663</v>
      </c>
      <c r="D4656" t="s">
        <v>13648</v>
      </c>
      <c r="E4656" t="s">
        <v>8942</v>
      </c>
      <c r="F4656" t="s">
        <v>13664</v>
      </c>
      <c r="J4656" t="s">
        <v>8942</v>
      </c>
      <c r="K4656" t="s">
        <v>13651</v>
      </c>
      <c r="L4656" t="s">
        <v>814</v>
      </c>
    </row>
    <row r="4657" spans="1:12">
      <c r="A4657" t="s">
        <v>13645</v>
      </c>
      <c r="B4657" t="s">
        <v>13646</v>
      </c>
      <c r="C4657" t="s">
        <v>13665</v>
      </c>
      <c r="D4657" t="s">
        <v>13648</v>
      </c>
      <c r="E4657" t="s">
        <v>10945</v>
      </c>
      <c r="F4657" t="s">
        <v>13666</v>
      </c>
      <c r="J4657" t="s">
        <v>10945</v>
      </c>
      <c r="K4657" t="s">
        <v>13651</v>
      </c>
      <c r="L4657" t="s">
        <v>814</v>
      </c>
    </row>
    <row r="4658" spans="1:12">
      <c r="A4658" t="s">
        <v>13645</v>
      </c>
      <c r="B4658" t="s">
        <v>13646</v>
      </c>
      <c r="C4658" t="s">
        <v>13667</v>
      </c>
      <c r="D4658" t="s">
        <v>13648</v>
      </c>
      <c r="E4658" t="s">
        <v>13668</v>
      </c>
      <c r="F4658" t="s">
        <v>13669</v>
      </c>
      <c r="J4658" t="s">
        <v>13668</v>
      </c>
      <c r="K4658" t="s">
        <v>13651</v>
      </c>
      <c r="L4658" t="s">
        <v>814</v>
      </c>
    </row>
    <row r="4659" spans="1:12">
      <c r="A4659" t="s">
        <v>13645</v>
      </c>
      <c r="B4659" t="s">
        <v>13646</v>
      </c>
      <c r="C4659" t="s">
        <v>13670</v>
      </c>
      <c r="D4659" t="s">
        <v>13648</v>
      </c>
      <c r="E4659" t="s">
        <v>5087</v>
      </c>
      <c r="F4659" t="s">
        <v>13671</v>
      </c>
    </row>
    <row r="4660" spans="1:12">
      <c r="A4660" t="s">
        <v>13645</v>
      </c>
      <c r="B4660" t="s">
        <v>13646</v>
      </c>
      <c r="C4660" t="s">
        <v>13672</v>
      </c>
      <c r="D4660" t="s">
        <v>13648</v>
      </c>
      <c r="E4660" t="s">
        <v>13673</v>
      </c>
      <c r="F4660" t="s">
        <v>13674</v>
      </c>
      <c r="J4660" t="s">
        <v>13673</v>
      </c>
      <c r="K4660" t="s">
        <v>13651</v>
      </c>
      <c r="L4660" t="s">
        <v>814</v>
      </c>
    </row>
    <row r="4661" spans="1:12">
      <c r="A4661" t="s">
        <v>13645</v>
      </c>
      <c r="B4661" t="s">
        <v>13646</v>
      </c>
      <c r="C4661" t="s">
        <v>13675</v>
      </c>
      <c r="D4661" t="s">
        <v>13648</v>
      </c>
      <c r="E4661" t="s">
        <v>13676</v>
      </c>
      <c r="F4661" t="s">
        <v>13677</v>
      </c>
      <c r="J4661" t="s">
        <v>13676</v>
      </c>
      <c r="K4661" t="s">
        <v>13651</v>
      </c>
      <c r="L4661" t="s">
        <v>814</v>
      </c>
    </row>
    <row r="4662" spans="1:12">
      <c r="A4662" t="s">
        <v>13645</v>
      </c>
      <c r="B4662" t="s">
        <v>13646</v>
      </c>
      <c r="C4662" t="s">
        <v>13678</v>
      </c>
      <c r="D4662" t="s">
        <v>13648</v>
      </c>
      <c r="E4662" t="s">
        <v>13679</v>
      </c>
      <c r="F4662" t="s">
        <v>13680</v>
      </c>
      <c r="J4662" t="s">
        <v>13679</v>
      </c>
      <c r="K4662" t="s">
        <v>13651</v>
      </c>
      <c r="L4662" t="s">
        <v>814</v>
      </c>
    </row>
    <row r="4663" spans="1:12">
      <c r="A4663" t="s">
        <v>13645</v>
      </c>
      <c r="B4663" t="s">
        <v>13646</v>
      </c>
      <c r="C4663" t="s">
        <v>13681</v>
      </c>
      <c r="D4663" t="s">
        <v>13648</v>
      </c>
      <c r="E4663" t="s">
        <v>13682</v>
      </c>
      <c r="F4663" t="s">
        <v>13683</v>
      </c>
      <c r="J4663" t="s">
        <v>13682</v>
      </c>
      <c r="K4663" t="s">
        <v>13651</v>
      </c>
      <c r="L4663" t="s">
        <v>814</v>
      </c>
    </row>
    <row r="4664" spans="1:12">
      <c r="A4664" t="s">
        <v>13645</v>
      </c>
      <c r="B4664" t="s">
        <v>13646</v>
      </c>
      <c r="C4664" t="s">
        <v>13684</v>
      </c>
      <c r="D4664" t="s">
        <v>13648</v>
      </c>
      <c r="E4664" t="s">
        <v>1266</v>
      </c>
      <c r="F4664" t="s">
        <v>13685</v>
      </c>
    </row>
    <row r="4665" spans="1:12">
      <c r="A4665" t="s">
        <v>13645</v>
      </c>
      <c r="B4665" t="s">
        <v>13646</v>
      </c>
      <c r="C4665" t="s">
        <v>13686</v>
      </c>
      <c r="D4665" t="s">
        <v>13648</v>
      </c>
      <c r="E4665" t="s">
        <v>8196</v>
      </c>
      <c r="F4665" t="s">
        <v>3727</v>
      </c>
    </row>
    <row r="4666" spans="1:12">
      <c r="A4666" t="s">
        <v>13645</v>
      </c>
      <c r="B4666" t="s">
        <v>13646</v>
      </c>
      <c r="C4666" t="s">
        <v>13687</v>
      </c>
      <c r="D4666" t="s">
        <v>13648</v>
      </c>
      <c r="E4666" t="s">
        <v>13688</v>
      </c>
      <c r="F4666" t="s">
        <v>13689</v>
      </c>
    </row>
    <row r="4667" spans="1:12">
      <c r="A4667" t="s">
        <v>13645</v>
      </c>
      <c r="B4667" t="s">
        <v>13646</v>
      </c>
      <c r="C4667" t="s">
        <v>13690</v>
      </c>
      <c r="D4667" t="s">
        <v>13648</v>
      </c>
      <c r="E4667" t="s">
        <v>13691</v>
      </c>
      <c r="F4667" t="s">
        <v>13692</v>
      </c>
      <c r="J4667" t="s">
        <v>13691</v>
      </c>
      <c r="K4667" t="s">
        <v>13651</v>
      </c>
      <c r="L4667" t="s">
        <v>814</v>
      </c>
    </row>
    <row r="4668" spans="1:12">
      <c r="A4668" t="s">
        <v>13645</v>
      </c>
      <c r="B4668" t="s">
        <v>13646</v>
      </c>
      <c r="C4668" t="s">
        <v>13693</v>
      </c>
      <c r="D4668" t="s">
        <v>13648</v>
      </c>
      <c r="E4668" t="s">
        <v>13694</v>
      </c>
      <c r="F4668" t="s">
        <v>13695</v>
      </c>
      <c r="J4668" t="s">
        <v>13694</v>
      </c>
      <c r="K4668" t="s">
        <v>13651</v>
      </c>
      <c r="L4668" t="s">
        <v>814</v>
      </c>
    </row>
    <row r="4669" spans="1:12">
      <c r="A4669" t="s">
        <v>13645</v>
      </c>
      <c r="B4669" t="s">
        <v>13646</v>
      </c>
      <c r="C4669" t="s">
        <v>13696</v>
      </c>
      <c r="D4669" t="s">
        <v>13648</v>
      </c>
      <c r="E4669" t="s">
        <v>655</v>
      </c>
      <c r="F4669" t="s">
        <v>656</v>
      </c>
    </row>
    <row r="4670" spans="1:12">
      <c r="A4670" t="s">
        <v>13645</v>
      </c>
      <c r="B4670" t="s">
        <v>13646</v>
      </c>
      <c r="D4670" t="s">
        <v>13648</v>
      </c>
      <c r="F4670" t="s">
        <v>13697</v>
      </c>
      <c r="J4670" t="s">
        <v>8782</v>
      </c>
      <c r="K4670" t="s">
        <v>13651</v>
      </c>
      <c r="L4670" t="s">
        <v>814</v>
      </c>
    </row>
    <row r="4671" spans="1:12">
      <c r="A4671" t="s">
        <v>13698</v>
      </c>
      <c r="B4671" t="s">
        <v>13699</v>
      </c>
      <c r="C4671" t="s">
        <v>13700</v>
      </c>
      <c r="D4671" t="s">
        <v>13701</v>
      </c>
      <c r="E4671" t="s">
        <v>13702</v>
      </c>
      <c r="F4671" t="s">
        <v>13703</v>
      </c>
    </row>
    <row r="4672" spans="1:12">
      <c r="A4672" t="s">
        <v>13698</v>
      </c>
      <c r="B4672" t="s">
        <v>13699</v>
      </c>
      <c r="C4672" t="s">
        <v>13704</v>
      </c>
      <c r="D4672" t="s">
        <v>13701</v>
      </c>
      <c r="E4672" t="s">
        <v>9049</v>
      </c>
      <c r="F4672" t="s">
        <v>13698</v>
      </c>
      <c r="J4672" t="s">
        <v>9049</v>
      </c>
      <c r="K4672" t="s">
        <v>13698</v>
      </c>
      <c r="L4672" t="s">
        <v>1389</v>
      </c>
    </row>
    <row r="4673" spans="1:12">
      <c r="A4673" t="s">
        <v>13698</v>
      </c>
      <c r="B4673" t="s">
        <v>13699</v>
      </c>
      <c r="C4673" t="s">
        <v>13705</v>
      </c>
      <c r="D4673" t="s">
        <v>13701</v>
      </c>
      <c r="E4673" t="s">
        <v>655</v>
      </c>
      <c r="F4673" t="s">
        <v>656</v>
      </c>
    </row>
    <row r="4674" spans="1:12">
      <c r="A4674" t="s">
        <v>13698</v>
      </c>
      <c r="B4674" t="s">
        <v>13699</v>
      </c>
      <c r="D4674" t="s">
        <v>13701</v>
      </c>
      <c r="F4674" t="s">
        <v>13706</v>
      </c>
      <c r="J4674" t="s">
        <v>13707</v>
      </c>
      <c r="K4674" t="s">
        <v>13698</v>
      </c>
      <c r="L4674" t="s">
        <v>1389</v>
      </c>
    </row>
    <row r="4675" spans="1:12">
      <c r="A4675" t="s">
        <v>13708</v>
      </c>
      <c r="B4675" t="s">
        <v>13709</v>
      </c>
      <c r="C4675" t="s">
        <v>13710</v>
      </c>
      <c r="D4675" t="s">
        <v>13711</v>
      </c>
      <c r="E4675" t="s">
        <v>3661</v>
      </c>
      <c r="F4675" t="s">
        <v>13712</v>
      </c>
    </row>
    <row r="4676" spans="1:12">
      <c r="A4676" t="s">
        <v>13708</v>
      </c>
      <c r="B4676" t="s">
        <v>13709</v>
      </c>
      <c r="C4676" t="s">
        <v>13713</v>
      </c>
      <c r="D4676" t="s">
        <v>13711</v>
      </c>
      <c r="E4676" t="s">
        <v>3888</v>
      </c>
      <c r="F4676" t="s">
        <v>13714</v>
      </c>
    </row>
    <row r="4677" spans="1:12">
      <c r="A4677" t="s">
        <v>13708</v>
      </c>
      <c r="B4677" t="s">
        <v>13709</v>
      </c>
      <c r="C4677" t="s">
        <v>13715</v>
      </c>
      <c r="D4677" t="s">
        <v>13711</v>
      </c>
      <c r="E4677" t="s">
        <v>13716</v>
      </c>
      <c r="F4677" t="s">
        <v>13717</v>
      </c>
      <c r="J4677" t="s">
        <v>13716</v>
      </c>
      <c r="K4677" t="s">
        <v>13718</v>
      </c>
      <c r="L4677" t="s">
        <v>916</v>
      </c>
    </row>
    <row r="4678" spans="1:12">
      <c r="A4678" t="s">
        <v>13708</v>
      </c>
      <c r="B4678" t="s">
        <v>13709</v>
      </c>
      <c r="C4678" t="s">
        <v>13719</v>
      </c>
      <c r="D4678" t="s">
        <v>13711</v>
      </c>
      <c r="E4678" t="s">
        <v>655</v>
      </c>
      <c r="F4678" t="s">
        <v>656</v>
      </c>
    </row>
    <row r="4679" spans="1:12">
      <c r="A4679" t="s">
        <v>13720</v>
      </c>
      <c r="B4679" t="s">
        <v>13721</v>
      </c>
      <c r="C4679" t="s">
        <v>13722</v>
      </c>
      <c r="D4679" t="s">
        <v>13723</v>
      </c>
      <c r="E4679" t="s">
        <v>8410</v>
      </c>
      <c r="F4679" t="s">
        <v>13724</v>
      </c>
      <c r="J4679" t="s">
        <v>8410</v>
      </c>
      <c r="K4679" t="s">
        <v>13725</v>
      </c>
      <c r="L4679" t="s">
        <v>814</v>
      </c>
    </row>
    <row r="4680" spans="1:12">
      <c r="A4680" t="s">
        <v>13720</v>
      </c>
      <c r="B4680" t="s">
        <v>13721</v>
      </c>
      <c r="C4680" t="s">
        <v>13726</v>
      </c>
      <c r="D4680" t="s">
        <v>13723</v>
      </c>
      <c r="E4680" t="s">
        <v>13727</v>
      </c>
      <c r="F4680" t="s">
        <v>13728</v>
      </c>
      <c r="J4680" t="s">
        <v>13727</v>
      </c>
      <c r="K4680" t="s">
        <v>13725</v>
      </c>
      <c r="L4680" t="s">
        <v>814</v>
      </c>
    </row>
    <row r="4681" spans="1:12">
      <c r="A4681" t="s">
        <v>13720</v>
      </c>
      <c r="B4681" t="s">
        <v>13721</v>
      </c>
      <c r="C4681" t="s">
        <v>13729</v>
      </c>
      <c r="D4681" t="s">
        <v>13723</v>
      </c>
      <c r="E4681" t="s">
        <v>13730</v>
      </c>
      <c r="F4681" t="s">
        <v>13731</v>
      </c>
      <c r="J4681" t="s">
        <v>13730</v>
      </c>
      <c r="K4681" t="s">
        <v>13725</v>
      </c>
      <c r="L4681" t="s">
        <v>814</v>
      </c>
    </row>
    <row r="4682" spans="1:12">
      <c r="A4682" t="s">
        <v>13720</v>
      </c>
      <c r="B4682" t="s">
        <v>13721</v>
      </c>
      <c r="C4682" t="s">
        <v>13732</v>
      </c>
      <c r="D4682" t="s">
        <v>13723</v>
      </c>
      <c r="E4682" t="s">
        <v>13733</v>
      </c>
      <c r="F4682" t="s">
        <v>13734</v>
      </c>
      <c r="J4682" t="s">
        <v>13733</v>
      </c>
      <c r="K4682" t="s">
        <v>13725</v>
      </c>
      <c r="L4682" t="s">
        <v>814</v>
      </c>
    </row>
    <row r="4683" spans="1:12">
      <c r="A4683" t="s">
        <v>13720</v>
      </c>
      <c r="B4683" t="s">
        <v>13721</v>
      </c>
      <c r="C4683" t="s">
        <v>13735</v>
      </c>
      <c r="D4683" t="s">
        <v>13723</v>
      </c>
      <c r="E4683" t="s">
        <v>13736</v>
      </c>
      <c r="F4683" t="s">
        <v>13737</v>
      </c>
      <c r="J4683" t="s">
        <v>13736</v>
      </c>
      <c r="K4683" t="s">
        <v>13725</v>
      </c>
      <c r="L4683" t="s">
        <v>814</v>
      </c>
    </row>
    <row r="4684" spans="1:12">
      <c r="A4684" t="s">
        <v>13720</v>
      </c>
      <c r="B4684" t="s">
        <v>13721</v>
      </c>
      <c r="C4684" t="s">
        <v>13738</v>
      </c>
      <c r="D4684" t="s">
        <v>13723</v>
      </c>
      <c r="E4684" t="s">
        <v>13739</v>
      </c>
      <c r="F4684" t="s">
        <v>13740</v>
      </c>
      <c r="J4684" t="s">
        <v>13739</v>
      </c>
      <c r="K4684" t="s">
        <v>13725</v>
      </c>
      <c r="L4684" t="s">
        <v>814</v>
      </c>
    </row>
    <row r="4685" spans="1:12">
      <c r="A4685" t="s">
        <v>13720</v>
      </c>
      <c r="B4685" t="s">
        <v>13721</v>
      </c>
      <c r="C4685" t="s">
        <v>13741</v>
      </c>
      <c r="D4685" t="s">
        <v>13723</v>
      </c>
      <c r="E4685" t="s">
        <v>13742</v>
      </c>
      <c r="F4685" t="s">
        <v>13743</v>
      </c>
      <c r="J4685" t="s">
        <v>13742</v>
      </c>
      <c r="K4685" t="s">
        <v>13725</v>
      </c>
      <c r="L4685" t="s">
        <v>814</v>
      </c>
    </row>
    <row r="4686" spans="1:12">
      <c r="A4686" t="s">
        <v>13720</v>
      </c>
      <c r="B4686" t="s">
        <v>13721</v>
      </c>
      <c r="C4686" t="s">
        <v>13744</v>
      </c>
      <c r="D4686" t="s">
        <v>13723</v>
      </c>
      <c r="E4686" t="s">
        <v>9255</v>
      </c>
      <c r="F4686" t="s">
        <v>13745</v>
      </c>
      <c r="J4686" t="s">
        <v>9255</v>
      </c>
      <c r="K4686" t="s">
        <v>13725</v>
      </c>
      <c r="L4686" t="s">
        <v>814</v>
      </c>
    </row>
    <row r="4687" spans="1:12">
      <c r="A4687" t="s">
        <v>13720</v>
      </c>
      <c r="B4687" t="s">
        <v>13721</v>
      </c>
      <c r="C4687" t="s">
        <v>13746</v>
      </c>
      <c r="D4687" t="s">
        <v>13723</v>
      </c>
      <c r="E4687" t="s">
        <v>3486</v>
      </c>
      <c r="F4687" t="s">
        <v>13747</v>
      </c>
      <c r="J4687" t="s">
        <v>3486</v>
      </c>
      <c r="K4687" t="s">
        <v>13725</v>
      </c>
      <c r="L4687" t="s">
        <v>814</v>
      </c>
    </row>
    <row r="4688" spans="1:12">
      <c r="A4688" t="s">
        <v>13720</v>
      </c>
      <c r="B4688" t="s">
        <v>13721</v>
      </c>
      <c r="C4688" t="s">
        <v>13748</v>
      </c>
      <c r="D4688" t="s">
        <v>13723</v>
      </c>
      <c r="E4688" t="s">
        <v>13749</v>
      </c>
      <c r="F4688" t="s">
        <v>13750</v>
      </c>
      <c r="J4688" t="s">
        <v>13749</v>
      </c>
      <c r="K4688" t="s">
        <v>13725</v>
      </c>
      <c r="L4688" t="s">
        <v>814</v>
      </c>
    </row>
    <row r="4689" spans="1:12">
      <c r="A4689" t="s">
        <v>13720</v>
      </c>
      <c r="B4689" t="s">
        <v>13721</v>
      </c>
      <c r="C4689" t="s">
        <v>13751</v>
      </c>
      <c r="D4689" t="s">
        <v>13723</v>
      </c>
      <c r="E4689" t="s">
        <v>13752</v>
      </c>
      <c r="F4689" t="s">
        <v>13753</v>
      </c>
      <c r="J4689" t="s">
        <v>13752</v>
      </c>
      <c r="K4689" t="s">
        <v>13725</v>
      </c>
      <c r="L4689" t="s">
        <v>814</v>
      </c>
    </row>
    <row r="4690" spans="1:12">
      <c r="A4690" t="s">
        <v>13720</v>
      </c>
      <c r="B4690" t="s">
        <v>13721</v>
      </c>
      <c r="C4690" t="s">
        <v>13754</v>
      </c>
      <c r="D4690" t="s">
        <v>13723</v>
      </c>
      <c r="E4690" t="s">
        <v>13755</v>
      </c>
      <c r="F4690" t="s">
        <v>13756</v>
      </c>
      <c r="J4690" t="s">
        <v>13755</v>
      </c>
      <c r="K4690" t="s">
        <v>13725</v>
      </c>
      <c r="L4690" t="s">
        <v>814</v>
      </c>
    </row>
    <row r="4691" spans="1:12">
      <c r="A4691" t="s">
        <v>13720</v>
      </c>
      <c r="B4691" t="s">
        <v>13721</v>
      </c>
      <c r="C4691" t="s">
        <v>13757</v>
      </c>
      <c r="D4691" t="s">
        <v>13723</v>
      </c>
      <c r="E4691" t="s">
        <v>13758</v>
      </c>
      <c r="F4691" t="s">
        <v>13759</v>
      </c>
      <c r="J4691" t="s">
        <v>13758</v>
      </c>
      <c r="K4691" t="s">
        <v>13725</v>
      </c>
      <c r="L4691" t="s">
        <v>814</v>
      </c>
    </row>
    <row r="4692" spans="1:12">
      <c r="A4692" t="s">
        <v>13720</v>
      </c>
      <c r="B4692" t="s">
        <v>13721</v>
      </c>
      <c r="C4692" t="s">
        <v>13760</v>
      </c>
      <c r="D4692" t="s">
        <v>13723</v>
      </c>
      <c r="E4692" t="s">
        <v>13761</v>
      </c>
      <c r="F4692" t="s">
        <v>13762</v>
      </c>
      <c r="J4692" t="s">
        <v>13761</v>
      </c>
      <c r="K4692" t="s">
        <v>13725</v>
      </c>
      <c r="L4692" t="s">
        <v>814</v>
      </c>
    </row>
    <row r="4693" spans="1:12">
      <c r="A4693" t="s">
        <v>13720</v>
      </c>
      <c r="B4693" t="s">
        <v>13721</v>
      </c>
      <c r="C4693" t="s">
        <v>13763</v>
      </c>
      <c r="D4693" t="s">
        <v>13723</v>
      </c>
      <c r="E4693" t="s">
        <v>13764</v>
      </c>
      <c r="F4693" t="s">
        <v>13765</v>
      </c>
      <c r="J4693" t="s">
        <v>13764</v>
      </c>
      <c r="K4693" t="s">
        <v>13725</v>
      </c>
      <c r="L4693" t="s">
        <v>814</v>
      </c>
    </row>
    <row r="4694" spans="1:12">
      <c r="A4694" t="s">
        <v>13720</v>
      </c>
      <c r="B4694" t="s">
        <v>13721</v>
      </c>
      <c r="C4694" t="s">
        <v>13766</v>
      </c>
      <c r="D4694" t="s">
        <v>13723</v>
      </c>
      <c r="E4694" t="s">
        <v>13767</v>
      </c>
      <c r="F4694" t="s">
        <v>13768</v>
      </c>
      <c r="J4694" t="s">
        <v>13767</v>
      </c>
      <c r="K4694" t="s">
        <v>13725</v>
      </c>
      <c r="L4694" t="s">
        <v>814</v>
      </c>
    </row>
    <row r="4695" spans="1:12">
      <c r="A4695" t="s">
        <v>13720</v>
      </c>
      <c r="B4695" t="s">
        <v>13721</v>
      </c>
      <c r="C4695" t="s">
        <v>13769</v>
      </c>
      <c r="D4695" t="s">
        <v>13723</v>
      </c>
      <c r="E4695" t="s">
        <v>13770</v>
      </c>
      <c r="F4695" t="s">
        <v>13771</v>
      </c>
      <c r="J4695" t="s">
        <v>13770</v>
      </c>
      <c r="K4695" t="s">
        <v>13725</v>
      </c>
      <c r="L4695" t="s">
        <v>814</v>
      </c>
    </row>
    <row r="4696" spans="1:12">
      <c r="A4696" t="s">
        <v>13720</v>
      </c>
      <c r="B4696" t="s">
        <v>13721</v>
      </c>
      <c r="C4696" t="s">
        <v>13772</v>
      </c>
      <c r="D4696" t="s">
        <v>13723</v>
      </c>
      <c r="E4696" t="s">
        <v>13773</v>
      </c>
      <c r="F4696" t="s">
        <v>13774</v>
      </c>
      <c r="J4696" t="s">
        <v>13773</v>
      </c>
      <c r="K4696" t="s">
        <v>13725</v>
      </c>
      <c r="L4696" t="s">
        <v>814</v>
      </c>
    </row>
    <row r="4697" spans="1:12">
      <c r="A4697" t="s">
        <v>13720</v>
      </c>
      <c r="B4697" t="s">
        <v>13721</v>
      </c>
      <c r="C4697" t="s">
        <v>13775</v>
      </c>
      <c r="D4697" t="s">
        <v>13723</v>
      </c>
      <c r="E4697" t="s">
        <v>5120</v>
      </c>
      <c r="F4697" t="s">
        <v>13776</v>
      </c>
      <c r="J4697" t="s">
        <v>5120</v>
      </c>
      <c r="K4697" t="s">
        <v>13725</v>
      </c>
      <c r="L4697" t="s">
        <v>814</v>
      </c>
    </row>
    <row r="4698" spans="1:12">
      <c r="A4698" t="s">
        <v>13720</v>
      </c>
      <c r="B4698" t="s">
        <v>13721</v>
      </c>
      <c r="C4698" t="s">
        <v>13777</v>
      </c>
      <c r="D4698" t="s">
        <v>13723</v>
      </c>
      <c r="E4698" t="s">
        <v>13778</v>
      </c>
      <c r="F4698" t="s">
        <v>13779</v>
      </c>
      <c r="J4698" t="s">
        <v>13778</v>
      </c>
      <c r="K4698" t="s">
        <v>13725</v>
      </c>
      <c r="L4698" t="s">
        <v>814</v>
      </c>
    </row>
    <row r="4699" spans="1:12">
      <c r="A4699" t="s">
        <v>13720</v>
      </c>
      <c r="B4699" t="s">
        <v>13721</v>
      </c>
      <c r="C4699" t="s">
        <v>13780</v>
      </c>
      <c r="D4699" t="s">
        <v>13723</v>
      </c>
      <c r="E4699" t="s">
        <v>3235</v>
      </c>
      <c r="F4699" t="s">
        <v>13781</v>
      </c>
      <c r="J4699" t="s">
        <v>3235</v>
      </c>
      <c r="K4699" t="s">
        <v>13725</v>
      </c>
      <c r="L4699" t="s">
        <v>814</v>
      </c>
    </row>
    <row r="4700" spans="1:12">
      <c r="A4700" t="s">
        <v>13720</v>
      </c>
      <c r="B4700" t="s">
        <v>13721</v>
      </c>
      <c r="C4700" t="s">
        <v>13782</v>
      </c>
      <c r="D4700" t="s">
        <v>13723</v>
      </c>
      <c r="E4700" t="s">
        <v>13783</v>
      </c>
      <c r="F4700" t="s">
        <v>13784</v>
      </c>
      <c r="J4700" t="s">
        <v>13783</v>
      </c>
      <c r="K4700" t="s">
        <v>13725</v>
      </c>
      <c r="L4700" t="s">
        <v>814</v>
      </c>
    </row>
    <row r="4701" spans="1:12">
      <c r="A4701" t="s">
        <v>13720</v>
      </c>
      <c r="B4701" t="s">
        <v>13721</v>
      </c>
      <c r="C4701" t="s">
        <v>13785</v>
      </c>
      <c r="D4701" t="s">
        <v>13723</v>
      </c>
      <c r="E4701" t="s">
        <v>13786</v>
      </c>
      <c r="F4701" t="s">
        <v>13787</v>
      </c>
      <c r="J4701" t="s">
        <v>13786</v>
      </c>
      <c r="K4701" t="s">
        <v>13725</v>
      </c>
      <c r="L4701" t="s">
        <v>814</v>
      </c>
    </row>
    <row r="4702" spans="1:12">
      <c r="A4702" t="s">
        <v>13720</v>
      </c>
      <c r="B4702" t="s">
        <v>13721</v>
      </c>
      <c r="C4702" t="s">
        <v>13788</v>
      </c>
      <c r="D4702" t="s">
        <v>13723</v>
      </c>
      <c r="E4702" t="s">
        <v>13789</v>
      </c>
      <c r="F4702" t="s">
        <v>13790</v>
      </c>
      <c r="J4702" t="s">
        <v>13789</v>
      </c>
      <c r="K4702" t="s">
        <v>13725</v>
      </c>
      <c r="L4702" t="s">
        <v>814</v>
      </c>
    </row>
    <row r="4703" spans="1:12">
      <c r="A4703" t="s">
        <v>13720</v>
      </c>
      <c r="B4703" t="s">
        <v>13721</v>
      </c>
      <c r="C4703" t="s">
        <v>13791</v>
      </c>
      <c r="D4703" t="s">
        <v>13723</v>
      </c>
      <c r="E4703" t="s">
        <v>13792</v>
      </c>
      <c r="F4703" t="s">
        <v>13793</v>
      </c>
      <c r="J4703" t="s">
        <v>13792</v>
      </c>
      <c r="K4703" t="s">
        <v>13725</v>
      </c>
      <c r="L4703" t="s">
        <v>814</v>
      </c>
    </row>
    <row r="4704" spans="1:12">
      <c r="A4704" t="s">
        <v>13720</v>
      </c>
      <c r="B4704" t="s">
        <v>13721</v>
      </c>
      <c r="C4704" t="s">
        <v>13794</v>
      </c>
      <c r="D4704" t="s">
        <v>13723</v>
      </c>
      <c r="E4704" t="s">
        <v>13795</v>
      </c>
      <c r="F4704" t="s">
        <v>13796</v>
      </c>
      <c r="J4704" t="s">
        <v>13795</v>
      </c>
      <c r="K4704" t="s">
        <v>13725</v>
      </c>
      <c r="L4704" t="s">
        <v>814</v>
      </c>
    </row>
    <row r="4705" spans="1:12">
      <c r="A4705" t="s">
        <v>13720</v>
      </c>
      <c r="B4705" t="s">
        <v>13721</v>
      </c>
      <c r="C4705" t="s">
        <v>13797</v>
      </c>
      <c r="D4705" t="s">
        <v>13723</v>
      </c>
      <c r="E4705" t="s">
        <v>13798</v>
      </c>
      <c r="F4705" t="s">
        <v>13799</v>
      </c>
      <c r="J4705" t="s">
        <v>13798</v>
      </c>
      <c r="K4705" t="s">
        <v>13725</v>
      </c>
      <c r="L4705" t="s">
        <v>814</v>
      </c>
    </row>
    <row r="4706" spans="1:12">
      <c r="A4706" t="s">
        <v>13720</v>
      </c>
      <c r="B4706" t="s">
        <v>13721</v>
      </c>
      <c r="C4706" t="s">
        <v>13800</v>
      </c>
      <c r="D4706" t="s">
        <v>13723</v>
      </c>
      <c r="E4706" t="s">
        <v>655</v>
      </c>
      <c r="F4706" t="s">
        <v>656</v>
      </c>
    </row>
    <row r="4707" spans="1:12">
      <c r="A4707" t="s">
        <v>13801</v>
      </c>
      <c r="B4707" t="s">
        <v>13802</v>
      </c>
      <c r="C4707" t="s">
        <v>13803</v>
      </c>
      <c r="D4707" t="s">
        <v>13804</v>
      </c>
      <c r="E4707" t="s">
        <v>13805</v>
      </c>
      <c r="F4707" t="s">
        <v>13801</v>
      </c>
      <c r="J4707" t="s">
        <v>13805</v>
      </c>
      <c r="K4707" t="s">
        <v>13806</v>
      </c>
      <c r="L4707" t="s">
        <v>3638</v>
      </c>
    </row>
    <row r="4708" spans="1:12">
      <c r="A4708" t="s">
        <v>13801</v>
      </c>
      <c r="B4708" t="s">
        <v>13802</v>
      </c>
      <c r="C4708" t="s">
        <v>13807</v>
      </c>
      <c r="D4708" t="s">
        <v>13804</v>
      </c>
      <c r="E4708" t="s">
        <v>13808</v>
      </c>
      <c r="F4708" t="s">
        <v>13809</v>
      </c>
    </row>
    <row r="4709" spans="1:12">
      <c r="A4709" t="s">
        <v>13801</v>
      </c>
      <c r="B4709" t="s">
        <v>13802</v>
      </c>
      <c r="C4709" t="s">
        <v>13810</v>
      </c>
      <c r="D4709" t="s">
        <v>13804</v>
      </c>
      <c r="E4709" t="s">
        <v>3542</v>
      </c>
      <c r="F4709" t="s">
        <v>13811</v>
      </c>
    </row>
    <row r="4710" spans="1:12">
      <c r="A4710" t="s">
        <v>13801</v>
      </c>
      <c r="B4710" t="s">
        <v>13802</v>
      </c>
      <c r="C4710" t="s">
        <v>13812</v>
      </c>
      <c r="D4710" t="s">
        <v>13804</v>
      </c>
      <c r="E4710" t="s">
        <v>5335</v>
      </c>
      <c r="F4710" t="s">
        <v>7045</v>
      </c>
    </row>
    <row r="4711" spans="1:12">
      <c r="A4711" t="s">
        <v>13801</v>
      </c>
      <c r="B4711" t="s">
        <v>13802</v>
      </c>
      <c r="C4711" t="s">
        <v>13813</v>
      </c>
      <c r="D4711" t="s">
        <v>13804</v>
      </c>
      <c r="E4711" t="s">
        <v>655</v>
      </c>
      <c r="F4711" t="s">
        <v>656</v>
      </c>
    </row>
    <row r="4712" spans="1:12">
      <c r="A4712" t="s">
        <v>13801</v>
      </c>
      <c r="B4712" t="s">
        <v>13802</v>
      </c>
      <c r="D4712" t="s">
        <v>13804</v>
      </c>
      <c r="E4712" t="s">
        <v>13814</v>
      </c>
      <c r="F4712" t="s">
        <v>13801</v>
      </c>
      <c r="J4712" t="s">
        <v>13814</v>
      </c>
      <c r="K4712" t="s">
        <v>13806</v>
      </c>
      <c r="L4712" t="s">
        <v>3638</v>
      </c>
    </row>
    <row r="4713" spans="1:12">
      <c r="A4713" t="s">
        <v>13815</v>
      </c>
      <c r="B4713" t="s">
        <v>13816</v>
      </c>
      <c r="C4713" t="s">
        <v>13817</v>
      </c>
      <c r="D4713" t="s">
        <v>13818</v>
      </c>
      <c r="E4713" t="s">
        <v>13819</v>
      </c>
      <c r="F4713" t="s">
        <v>13820</v>
      </c>
      <c r="J4713" t="s">
        <v>13819</v>
      </c>
      <c r="K4713" t="s">
        <v>13821</v>
      </c>
      <c r="L4713" t="s">
        <v>814</v>
      </c>
    </row>
    <row r="4714" spans="1:12">
      <c r="A4714" t="s">
        <v>13815</v>
      </c>
      <c r="B4714" t="s">
        <v>13816</v>
      </c>
      <c r="C4714" t="s">
        <v>13822</v>
      </c>
      <c r="D4714" t="s">
        <v>13818</v>
      </c>
      <c r="E4714" t="s">
        <v>13823</v>
      </c>
      <c r="F4714" t="s">
        <v>13824</v>
      </c>
    </row>
    <row r="4715" spans="1:12">
      <c r="A4715" t="s">
        <v>13815</v>
      </c>
      <c r="B4715" t="s">
        <v>13816</v>
      </c>
      <c r="C4715" t="s">
        <v>13825</v>
      </c>
      <c r="D4715" t="s">
        <v>13818</v>
      </c>
      <c r="E4715" t="s">
        <v>13826</v>
      </c>
      <c r="F4715" t="s">
        <v>13827</v>
      </c>
      <c r="J4715" t="s">
        <v>13826</v>
      </c>
      <c r="K4715" t="s">
        <v>13821</v>
      </c>
      <c r="L4715" t="s">
        <v>814</v>
      </c>
    </row>
    <row r="4716" spans="1:12">
      <c r="A4716" t="s">
        <v>13815</v>
      </c>
      <c r="B4716" t="s">
        <v>13816</v>
      </c>
      <c r="C4716" t="s">
        <v>13828</v>
      </c>
      <c r="D4716" t="s">
        <v>13818</v>
      </c>
      <c r="E4716" t="s">
        <v>13829</v>
      </c>
      <c r="F4716" t="s">
        <v>13830</v>
      </c>
      <c r="J4716" t="s">
        <v>13829</v>
      </c>
      <c r="K4716" t="s">
        <v>13821</v>
      </c>
      <c r="L4716" t="s">
        <v>814</v>
      </c>
    </row>
    <row r="4717" spans="1:12">
      <c r="A4717" t="s">
        <v>13815</v>
      </c>
      <c r="B4717" t="s">
        <v>13816</v>
      </c>
      <c r="C4717" t="s">
        <v>13831</v>
      </c>
      <c r="D4717" t="s">
        <v>13818</v>
      </c>
      <c r="E4717" t="s">
        <v>13832</v>
      </c>
      <c r="F4717" t="s">
        <v>13833</v>
      </c>
      <c r="J4717" t="s">
        <v>13832</v>
      </c>
      <c r="K4717" t="s">
        <v>13821</v>
      </c>
      <c r="L4717" t="s">
        <v>814</v>
      </c>
    </row>
    <row r="4718" spans="1:12">
      <c r="A4718" t="s">
        <v>13815</v>
      </c>
      <c r="B4718" t="s">
        <v>13816</v>
      </c>
      <c r="C4718" t="s">
        <v>13834</v>
      </c>
      <c r="D4718" t="s">
        <v>13818</v>
      </c>
      <c r="E4718" t="s">
        <v>13835</v>
      </c>
      <c r="F4718" t="s">
        <v>13836</v>
      </c>
      <c r="J4718" t="s">
        <v>13835</v>
      </c>
      <c r="K4718" t="s">
        <v>13821</v>
      </c>
      <c r="L4718" t="s">
        <v>814</v>
      </c>
    </row>
    <row r="4719" spans="1:12">
      <c r="A4719" t="s">
        <v>13815</v>
      </c>
      <c r="B4719" t="s">
        <v>13816</v>
      </c>
      <c r="C4719" t="s">
        <v>13837</v>
      </c>
      <c r="D4719" t="s">
        <v>13818</v>
      </c>
      <c r="E4719" t="s">
        <v>13838</v>
      </c>
      <c r="F4719" t="s">
        <v>13839</v>
      </c>
      <c r="J4719" t="s">
        <v>13838</v>
      </c>
      <c r="K4719" t="s">
        <v>13821</v>
      </c>
      <c r="L4719" t="s">
        <v>814</v>
      </c>
    </row>
    <row r="4720" spans="1:12">
      <c r="A4720" t="s">
        <v>13815</v>
      </c>
      <c r="B4720" t="s">
        <v>13816</v>
      </c>
      <c r="C4720" t="s">
        <v>13840</v>
      </c>
      <c r="D4720" t="s">
        <v>13818</v>
      </c>
      <c r="E4720" t="s">
        <v>13841</v>
      </c>
      <c r="F4720" t="s">
        <v>13842</v>
      </c>
      <c r="J4720" t="s">
        <v>13841</v>
      </c>
      <c r="K4720" t="s">
        <v>13821</v>
      </c>
      <c r="L4720" t="s">
        <v>814</v>
      </c>
    </row>
    <row r="4721" spans="1:12">
      <c r="A4721" t="s">
        <v>13815</v>
      </c>
      <c r="B4721" t="s">
        <v>13816</v>
      </c>
      <c r="C4721" t="s">
        <v>13843</v>
      </c>
      <c r="D4721" t="s">
        <v>13818</v>
      </c>
      <c r="E4721" t="s">
        <v>13844</v>
      </c>
      <c r="F4721" t="s">
        <v>13845</v>
      </c>
      <c r="J4721" t="s">
        <v>13844</v>
      </c>
      <c r="K4721" t="s">
        <v>13821</v>
      </c>
      <c r="L4721" t="s">
        <v>814</v>
      </c>
    </row>
    <row r="4722" spans="1:12">
      <c r="A4722" t="s">
        <v>13815</v>
      </c>
      <c r="B4722" t="s">
        <v>13816</v>
      </c>
      <c r="C4722" t="s">
        <v>13846</v>
      </c>
      <c r="D4722" t="s">
        <v>13818</v>
      </c>
      <c r="E4722" t="s">
        <v>13847</v>
      </c>
      <c r="F4722" t="s">
        <v>13848</v>
      </c>
    </row>
    <row r="4723" spans="1:12">
      <c r="A4723" t="s">
        <v>13815</v>
      </c>
      <c r="B4723" t="s">
        <v>13816</v>
      </c>
      <c r="C4723" t="s">
        <v>13849</v>
      </c>
      <c r="D4723" t="s">
        <v>13818</v>
      </c>
      <c r="E4723" t="s">
        <v>13850</v>
      </c>
      <c r="F4723" t="s">
        <v>13851</v>
      </c>
      <c r="J4723" t="s">
        <v>13850</v>
      </c>
      <c r="K4723" t="s">
        <v>13821</v>
      </c>
      <c r="L4723" t="s">
        <v>814</v>
      </c>
    </row>
    <row r="4724" spans="1:12">
      <c r="A4724" t="s">
        <v>13815</v>
      </c>
      <c r="B4724" t="s">
        <v>13816</v>
      </c>
      <c r="C4724" t="s">
        <v>13852</v>
      </c>
      <c r="D4724" t="s">
        <v>13818</v>
      </c>
      <c r="E4724" t="s">
        <v>13853</v>
      </c>
      <c r="F4724" t="s">
        <v>13854</v>
      </c>
      <c r="J4724" t="s">
        <v>13853</v>
      </c>
      <c r="K4724" t="s">
        <v>13821</v>
      </c>
      <c r="L4724" t="s">
        <v>814</v>
      </c>
    </row>
    <row r="4725" spans="1:12">
      <c r="A4725" t="s">
        <v>13815</v>
      </c>
      <c r="B4725" t="s">
        <v>13816</v>
      </c>
      <c r="C4725" t="s">
        <v>13855</v>
      </c>
      <c r="D4725" t="s">
        <v>13818</v>
      </c>
      <c r="E4725" t="s">
        <v>13856</v>
      </c>
      <c r="F4725" t="s">
        <v>13857</v>
      </c>
      <c r="J4725" t="s">
        <v>13856</v>
      </c>
      <c r="K4725" t="s">
        <v>13821</v>
      </c>
      <c r="L4725" t="s">
        <v>814</v>
      </c>
    </row>
    <row r="4726" spans="1:12">
      <c r="A4726" t="s">
        <v>13815</v>
      </c>
      <c r="B4726" t="s">
        <v>13816</v>
      </c>
      <c r="C4726" t="s">
        <v>13858</v>
      </c>
      <c r="D4726" t="s">
        <v>13818</v>
      </c>
      <c r="E4726" t="s">
        <v>13859</v>
      </c>
      <c r="F4726" t="s">
        <v>13860</v>
      </c>
      <c r="J4726" t="s">
        <v>13859</v>
      </c>
      <c r="K4726" t="s">
        <v>13821</v>
      </c>
      <c r="L4726" t="s">
        <v>814</v>
      </c>
    </row>
    <row r="4727" spans="1:12">
      <c r="A4727" t="s">
        <v>13815</v>
      </c>
      <c r="B4727" t="s">
        <v>13816</v>
      </c>
      <c r="C4727" t="s">
        <v>13861</v>
      </c>
      <c r="D4727" t="s">
        <v>13818</v>
      </c>
      <c r="E4727" t="s">
        <v>13862</v>
      </c>
      <c r="F4727" t="s">
        <v>13863</v>
      </c>
      <c r="J4727" t="s">
        <v>13862</v>
      </c>
      <c r="K4727" t="s">
        <v>13821</v>
      </c>
      <c r="L4727" t="s">
        <v>814</v>
      </c>
    </row>
    <row r="4728" spans="1:12">
      <c r="A4728" t="s">
        <v>13815</v>
      </c>
      <c r="B4728" t="s">
        <v>13816</v>
      </c>
      <c r="C4728" t="s">
        <v>13864</v>
      </c>
      <c r="D4728" t="s">
        <v>13818</v>
      </c>
      <c r="E4728" t="s">
        <v>13865</v>
      </c>
      <c r="F4728" t="s">
        <v>13866</v>
      </c>
      <c r="J4728" t="s">
        <v>13865</v>
      </c>
      <c r="K4728" t="s">
        <v>13821</v>
      </c>
      <c r="L4728" t="s">
        <v>814</v>
      </c>
    </row>
    <row r="4729" spans="1:12">
      <c r="A4729" t="s">
        <v>13815</v>
      </c>
      <c r="B4729" t="s">
        <v>13816</v>
      </c>
      <c r="C4729" t="s">
        <v>13867</v>
      </c>
      <c r="D4729" t="s">
        <v>13818</v>
      </c>
      <c r="E4729" t="s">
        <v>13868</v>
      </c>
      <c r="F4729" t="s">
        <v>13869</v>
      </c>
      <c r="J4729" t="s">
        <v>13868</v>
      </c>
      <c r="K4729" t="s">
        <v>13821</v>
      </c>
      <c r="L4729" t="s">
        <v>814</v>
      </c>
    </row>
    <row r="4730" spans="1:12">
      <c r="A4730" t="s">
        <v>13815</v>
      </c>
      <c r="B4730" t="s">
        <v>13816</v>
      </c>
      <c r="C4730" t="s">
        <v>13870</v>
      </c>
      <c r="D4730" t="s">
        <v>13818</v>
      </c>
      <c r="E4730" t="s">
        <v>13871</v>
      </c>
      <c r="F4730" t="s">
        <v>13872</v>
      </c>
      <c r="J4730" t="s">
        <v>13871</v>
      </c>
      <c r="K4730" t="s">
        <v>13821</v>
      </c>
      <c r="L4730" t="s">
        <v>814</v>
      </c>
    </row>
    <row r="4731" spans="1:12">
      <c r="A4731" t="s">
        <v>13815</v>
      </c>
      <c r="B4731" t="s">
        <v>13816</v>
      </c>
      <c r="C4731" t="s">
        <v>13873</v>
      </c>
      <c r="D4731" t="s">
        <v>13818</v>
      </c>
      <c r="E4731" t="s">
        <v>13874</v>
      </c>
      <c r="F4731" t="s">
        <v>13875</v>
      </c>
      <c r="J4731" t="s">
        <v>13874</v>
      </c>
      <c r="K4731" t="s">
        <v>13821</v>
      </c>
      <c r="L4731" t="s">
        <v>814</v>
      </c>
    </row>
    <row r="4732" spans="1:12">
      <c r="A4732" t="s">
        <v>13815</v>
      </c>
      <c r="B4732" t="s">
        <v>13816</v>
      </c>
      <c r="C4732" t="s">
        <v>13876</v>
      </c>
      <c r="D4732" t="s">
        <v>13818</v>
      </c>
      <c r="E4732" t="s">
        <v>13877</v>
      </c>
      <c r="F4732" t="s">
        <v>13878</v>
      </c>
      <c r="J4732" t="s">
        <v>13877</v>
      </c>
      <c r="K4732" t="s">
        <v>13821</v>
      </c>
      <c r="L4732" t="s">
        <v>814</v>
      </c>
    </row>
    <row r="4733" spans="1:12">
      <c r="A4733" t="s">
        <v>13815</v>
      </c>
      <c r="B4733" t="s">
        <v>13816</v>
      </c>
      <c r="C4733" t="s">
        <v>13879</v>
      </c>
      <c r="D4733" t="s">
        <v>13818</v>
      </c>
      <c r="E4733" t="s">
        <v>5181</v>
      </c>
      <c r="F4733" t="s">
        <v>13880</v>
      </c>
    </row>
    <row r="4734" spans="1:12">
      <c r="A4734" t="s">
        <v>13815</v>
      </c>
      <c r="B4734" t="s">
        <v>13816</v>
      </c>
      <c r="C4734" t="s">
        <v>13881</v>
      </c>
      <c r="D4734" t="s">
        <v>13818</v>
      </c>
      <c r="E4734" t="s">
        <v>13882</v>
      </c>
      <c r="F4734" t="s">
        <v>13883</v>
      </c>
      <c r="J4734" t="s">
        <v>13882</v>
      </c>
      <c r="K4734" t="s">
        <v>13821</v>
      </c>
      <c r="L4734" t="s">
        <v>814</v>
      </c>
    </row>
    <row r="4735" spans="1:12">
      <c r="A4735" t="s">
        <v>13815</v>
      </c>
      <c r="B4735" t="s">
        <v>13816</v>
      </c>
      <c r="C4735" t="s">
        <v>13884</v>
      </c>
      <c r="D4735" t="s">
        <v>13818</v>
      </c>
      <c r="E4735" t="s">
        <v>13885</v>
      </c>
      <c r="F4735" t="s">
        <v>13886</v>
      </c>
      <c r="J4735" t="s">
        <v>13885</v>
      </c>
      <c r="K4735" t="s">
        <v>13821</v>
      </c>
      <c r="L4735" t="s">
        <v>814</v>
      </c>
    </row>
    <row r="4736" spans="1:12">
      <c r="A4736" t="s">
        <v>13815</v>
      </c>
      <c r="B4736" t="s">
        <v>13816</v>
      </c>
      <c r="C4736" t="s">
        <v>13887</v>
      </c>
      <c r="D4736" t="s">
        <v>13818</v>
      </c>
      <c r="E4736" t="s">
        <v>13888</v>
      </c>
      <c r="F4736" t="s">
        <v>13889</v>
      </c>
      <c r="J4736" t="s">
        <v>13888</v>
      </c>
      <c r="K4736" t="s">
        <v>13821</v>
      </c>
      <c r="L4736" t="s">
        <v>814</v>
      </c>
    </row>
    <row r="4737" spans="1:12">
      <c r="A4737" t="s">
        <v>13815</v>
      </c>
      <c r="B4737" t="s">
        <v>13816</v>
      </c>
      <c r="C4737" t="s">
        <v>13890</v>
      </c>
      <c r="D4737" t="s">
        <v>13818</v>
      </c>
      <c r="E4737" t="s">
        <v>13891</v>
      </c>
      <c r="F4737" t="s">
        <v>13892</v>
      </c>
      <c r="J4737" t="s">
        <v>13891</v>
      </c>
      <c r="K4737" t="s">
        <v>13821</v>
      </c>
      <c r="L4737" t="s">
        <v>814</v>
      </c>
    </row>
    <row r="4738" spans="1:12">
      <c r="A4738" t="s">
        <v>13815</v>
      </c>
      <c r="B4738" t="s">
        <v>13816</v>
      </c>
      <c r="C4738" t="s">
        <v>13893</v>
      </c>
      <c r="D4738" t="s">
        <v>13818</v>
      </c>
      <c r="E4738" t="s">
        <v>13894</v>
      </c>
      <c r="F4738" t="s">
        <v>13895</v>
      </c>
      <c r="J4738" t="s">
        <v>13894</v>
      </c>
      <c r="K4738" t="s">
        <v>13821</v>
      </c>
      <c r="L4738" t="s">
        <v>814</v>
      </c>
    </row>
    <row r="4739" spans="1:12">
      <c r="A4739" t="s">
        <v>13815</v>
      </c>
      <c r="B4739" t="s">
        <v>13816</v>
      </c>
      <c r="C4739" t="s">
        <v>13896</v>
      </c>
      <c r="D4739" t="s">
        <v>13818</v>
      </c>
      <c r="E4739" t="s">
        <v>13897</v>
      </c>
      <c r="F4739" t="s">
        <v>13898</v>
      </c>
      <c r="J4739" t="s">
        <v>13897</v>
      </c>
      <c r="K4739" t="s">
        <v>13821</v>
      </c>
      <c r="L4739" t="s">
        <v>814</v>
      </c>
    </row>
    <row r="4740" spans="1:12">
      <c r="A4740" t="s">
        <v>13815</v>
      </c>
      <c r="B4740" t="s">
        <v>13816</v>
      </c>
      <c r="C4740" t="s">
        <v>13899</v>
      </c>
      <c r="D4740" t="s">
        <v>13818</v>
      </c>
      <c r="E4740" t="s">
        <v>12098</v>
      </c>
      <c r="F4740" t="s">
        <v>13900</v>
      </c>
      <c r="J4740" t="s">
        <v>12098</v>
      </c>
      <c r="K4740" t="s">
        <v>13821</v>
      </c>
      <c r="L4740" t="s">
        <v>814</v>
      </c>
    </row>
    <row r="4741" spans="1:12">
      <c r="A4741" t="s">
        <v>13815</v>
      </c>
      <c r="B4741" t="s">
        <v>13816</v>
      </c>
      <c r="C4741" t="s">
        <v>13901</v>
      </c>
      <c r="D4741" t="s">
        <v>13818</v>
      </c>
      <c r="E4741" t="s">
        <v>1323</v>
      </c>
      <c r="F4741" t="s">
        <v>1324</v>
      </c>
    </row>
    <row r="4742" spans="1:12">
      <c r="A4742" t="s">
        <v>13815</v>
      </c>
      <c r="B4742" t="s">
        <v>13816</v>
      </c>
      <c r="C4742" t="s">
        <v>13902</v>
      </c>
      <c r="D4742" t="s">
        <v>13818</v>
      </c>
      <c r="E4742" t="s">
        <v>13903</v>
      </c>
      <c r="F4742" t="s">
        <v>13904</v>
      </c>
      <c r="J4742" t="s">
        <v>13903</v>
      </c>
      <c r="K4742" t="s">
        <v>13821</v>
      </c>
      <c r="L4742" t="s">
        <v>814</v>
      </c>
    </row>
    <row r="4743" spans="1:12">
      <c r="A4743" t="s">
        <v>13815</v>
      </c>
      <c r="B4743" t="s">
        <v>13816</v>
      </c>
      <c r="C4743" t="s">
        <v>13905</v>
      </c>
      <c r="D4743" t="s">
        <v>13818</v>
      </c>
      <c r="E4743" t="s">
        <v>8374</v>
      </c>
      <c r="F4743" t="s">
        <v>13906</v>
      </c>
      <c r="J4743" t="s">
        <v>8374</v>
      </c>
      <c r="K4743" t="s">
        <v>13821</v>
      </c>
      <c r="L4743" t="s">
        <v>814</v>
      </c>
    </row>
    <row r="4744" spans="1:12">
      <c r="A4744" t="s">
        <v>13815</v>
      </c>
      <c r="B4744" t="s">
        <v>13816</v>
      </c>
      <c r="C4744" t="s">
        <v>13907</v>
      </c>
      <c r="D4744" t="s">
        <v>13818</v>
      </c>
      <c r="E4744" t="s">
        <v>7477</v>
      </c>
      <c r="F4744" t="s">
        <v>13908</v>
      </c>
      <c r="J4744" t="s">
        <v>7477</v>
      </c>
      <c r="K4744" t="s">
        <v>13821</v>
      </c>
      <c r="L4744" t="s">
        <v>814</v>
      </c>
    </row>
    <row r="4745" spans="1:12">
      <c r="A4745" t="s">
        <v>13815</v>
      </c>
      <c r="B4745" t="s">
        <v>13816</v>
      </c>
      <c r="C4745" t="s">
        <v>13909</v>
      </c>
      <c r="D4745" t="s">
        <v>13818</v>
      </c>
      <c r="E4745" t="s">
        <v>13910</v>
      </c>
      <c r="F4745" t="s">
        <v>13911</v>
      </c>
      <c r="J4745" t="s">
        <v>13910</v>
      </c>
      <c r="K4745" t="s">
        <v>13821</v>
      </c>
      <c r="L4745" t="s">
        <v>814</v>
      </c>
    </row>
    <row r="4746" spans="1:12">
      <c r="A4746" t="s">
        <v>13815</v>
      </c>
      <c r="B4746" t="s">
        <v>13816</v>
      </c>
      <c r="C4746" t="s">
        <v>13912</v>
      </c>
      <c r="D4746" t="s">
        <v>13818</v>
      </c>
      <c r="E4746" t="s">
        <v>13913</v>
      </c>
      <c r="F4746" t="s">
        <v>13914</v>
      </c>
      <c r="J4746" t="s">
        <v>13913</v>
      </c>
      <c r="K4746" t="s">
        <v>13821</v>
      </c>
      <c r="L4746" t="s">
        <v>814</v>
      </c>
    </row>
    <row r="4747" spans="1:12">
      <c r="A4747" t="s">
        <v>13815</v>
      </c>
      <c r="B4747" t="s">
        <v>13816</v>
      </c>
      <c r="C4747" t="s">
        <v>13915</v>
      </c>
      <c r="D4747" t="s">
        <v>13818</v>
      </c>
      <c r="E4747" t="s">
        <v>13916</v>
      </c>
      <c r="F4747" t="s">
        <v>7045</v>
      </c>
      <c r="J4747" t="s">
        <v>13916</v>
      </c>
      <c r="K4747" t="s">
        <v>13821</v>
      </c>
      <c r="L4747" t="s">
        <v>814</v>
      </c>
    </row>
    <row r="4748" spans="1:12">
      <c r="A4748" t="s">
        <v>13815</v>
      </c>
      <c r="B4748" t="s">
        <v>13816</v>
      </c>
      <c r="C4748" t="s">
        <v>13917</v>
      </c>
      <c r="D4748" t="s">
        <v>13818</v>
      </c>
      <c r="E4748" t="s">
        <v>655</v>
      </c>
      <c r="F4748" t="s">
        <v>656</v>
      </c>
    </row>
    <row r="4749" spans="1:12">
      <c r="A4749" t="s">
        <v>13918</v>
      </c>
      <c r="B4749" t="s">
        <v>13919</v>
      </c>
      <c r="C4749" t="s">
        <v>13920</v>
      </c>
      <c r="D4749" t="s">
        <v>13921</v>
      </c>
      <c r="E4749" t="s">
        <v>13922</v>
      </c>
      <c r="F4749" t="s">
        <v>13923</v>
      </c>
      <c r="J4749" t="s">
        <v>13922</v>
      </c>
      <c r="K4749" t="s">
        <v>13924</v>
      </c>
      <c r="L4749" t="s">
        <v>851</v>
      </c>
    </row>
    <row r="4750" spans="1:12">
      <c r="A4750" t="s">
        <v>13918</v>
      </c>
      <c r="B4750" t="s">
        <v>13919</v>
      </c>
      <c r="C4750" t="s">
        <v>13925</v>
      </c>
      <c r="D4750" t="s">
        <v>13921</v>
      </c>
      <c r="E4750" t="s">
        <v>13926</v>
      </c>
      <c r="F4750" t="s">
        <v>13927</v>
      </c>
    </row>
    <row r="4751" spans="1:12">
      <c r="A4751" t="s">
        <v>13918</v>
      </c>
      <c r="B4751" t="s">
        <v>13919</v>
      </c>
      <c r="C4751" t="s">
        <v>13928</v>
      </c>
      <c r="D4751" t="s">
        <v>13921</v>
      </c>
      <c r="E4751" t="s">
        <v>11325</v>
      </c>
      <c r="F4751" t="s">
        <v>13929</v>
      </c>
    </row>
    <row r="4752" spans="1:12">
      <c r="A4752" t="s">
        <v>13918</v>
      </c>
      <c r="B4752" t="s">
        <v>13919</v>
      </c>
      <c r="C4752" t="s">
        <v>13930</v>
      </c>
      <c r="D4752" t="s">
        <v>13921</v>
      </c>
      <c r="E4752" t="s">
        <v>13931</v>
      </c>
      <c r="F4752" t="s">
        <v>13932</v>
      </c>
      <c r="J4752" t="s">
        <v>13931</v>
      </c>
      <c r="K4752" t="s">
        <v>13924</v>
      </c>
      <c r="L4752" t="s">
        <v>851</v>
      </c>
    </row>
    <row r="4753" spans="1:12">
      <c r="A4753" t="s">
        <v>13918</v>
      </c>
      <c r="B4753" t="s">
        <v>13919</v>
      </c>
      <c r="C4753" t="s">
        <v>13933</v>
      </c>
      <c r="D4753" t="s">
        <v>13921</v>
      </c>
      <c r="E4753" t="s">
        <v>1008</v>
      </c>
      <c r="F4753" t="s">
        <v>13934</v>
      </c>
    </row>
    <row r="4754" spans="1:12">
      <c r="A4754" t="s">
        <v>13918</v>
      </c>
      <c r="B4754" t="s">
        <v>13919</v>
      </c>
      <c r="C4754" t="s">
        <v>13935</v>
      </c>
      <c r="D4754" t="s">
        <v>13921</v>
      </c>
      <c r="E4754" t="s">
        <v>13936</v>
      </c>
      <c r="F4754" t="s">
        <v>13937</v>
      </c>
      <c r="J4754" t="s">
        <v>13936</v>
      </c>
      <c r="K4754" t="s">
        <v>13924</v>
      </c>
      <c r="L4754" t="s">
        <v>851</v>
      </c>
    </row>
    <row r="4755" spans="1:12">
      <c r="A4755" t="s">
        <v>13918</v>
      </c>
      <c r="B4755" t="s">
        <v>13919</v>
      </c>
      <c r="C4755" t="s">
        <v>13938</v>
      </c>
      <c r="D4755" t="s">
        <v>13921</v>
      </c>
      <c r="E4755" t="s">
        <v>13939</v>
      </c>
      <c r="F4755" t="s">
        <v>13940</v>
      </c>
      <c r="J4755" t="s">
        <v>13939</v>
      </c>
      <c r="K4755" t="s">
        <v>13924</v>
      </c>
      <c r="L4755" t="s">
        <v>851</v>
      </c>
    </row>
    <row r="4756" spans="1:12">
      <c r="A4756" t="s">
        <v>13918</v>
      </c>
      <c r="B4756" t="s">
        <v>13919</v>
      </c>
      <c r="C4756" t="s">
        <v>13941</v>
      </c>
      <c r="D4756" t="s">
        <v>13921</v>
      </c>
      <c r="E4756" t="s">
        <v>13942</v>
      </c>
      <c r="F4756" t="s">
        <v>13943</v>
      </c>
    </row>
    <row r="4757" spans="1:12">
      <c r="A4757" t="s">
        <v>13918</v>
      </c>
      <c r="B4757" t="s">
        <v>13919</v>
      </c>
      <c r="C4757" t="s">
        <v>13944</v>
      </c>
      <c r="D4757" t="s">
        <v>13921</v>
      </c>
      <c r="E4757" t="s">
        <v>12970</v>
      </c>
      <c r="F4757" t="s">
        <v>13945</v>
      </c>
    </row>
    <row r="4758" spans="1:12">
      <c r="A4758" t="s">
        <v>13918</v>
      </c>
      <c r="B4758" t="s">
        <v>13919</v>
      </c>
      <c r="C4758" t="s">
        <v>13946</v>
      </c>
      <c r="D4758" t="s">
        <v>13921</v>
      </c>
      <c r="E4758" t="s">
        <v>6700</v>
      </c>
      <c r="F4758" t="s">
        <v>13947</v>
      </c>
    </row>
    <row r="4759" spans="1:12">
      <c r="A4759" t="s">
        <v>13918</v>
      </c>
      <c r="B4759" t="s">
        <v>13919</v>
      </c>
      <c r="C4759" t="s">
        <v>13948</v>
      </c>
      <c r="D4759" t="s">
        <v>13921</v>
      </c>
      <c r="E4759" t="s">
        <v>13949</v>
      </c>
      <c r="F4759" t="s">
        <v>13950</v>
      </c>
      <c r="J4759" t="s">
        <v>13949</v>
      </c>
      <c r="K4759" t="s">
        <v>13924</v>
      </c>
      <c r="L4759" t="s">
        <v>851</v>
      </c>
    </row>
    <row r="4760" spans="1:12">
      <c r="A4760" t="s">
        <v>13918</v>
      </c>
      <c r="B4760" t="s">
        <v>13919</v>
      </c>
      <c r="C4760" t="s">
        <v>13951</v>
      </c>
      <c r="D4760" t="s">
        <v>13921</v>
      </c>
      <c r="E4760" t="s">
        <v>13952</v>
      </c>
      <c r="F4760" t="s">
        <v>13953</v>
      </c>
    </row>
    <row r="4761" spans="1:12">
      <c r="A4761" t="s">
        <v>13918</v>
      </c>
      <c r="B4761" t="s">
        <v>13919</v>
      </c>
      <c r="C4761" t="s">
        <v>13954</v>
      </c>
      <c r="D4761" t="s">
        <v>13921</v>
      </c>
      <c r="E4761" t="s">
        <v>13955</v>
      </c>
      <c r="F4761" t="s">
        <v>13956</v>
      </c>
      <c r="J4761" t="s">
        <v>13955</v>
      </c>
      <c r="K4761" t="s">
        <v>13924</v>
      </c>
      <c r="L4761" t="s">
        <v>851</v>
      </c>
    </row>
    <row r="4762" spans="1:12">
      <c r="A4762" t="s">
        <v>13918</v>
      </c>
      <c r="B4762" t="s">
        <v>13919</v>
      </c>
      <c r="C4762" t="s">
        <v>13957</v>
      </c>
      <c r="D4762" t="s">
        <v>13921</v>
      </c>
      <c r="E4762" t="s">
        <v>13958</v>
      </c>
      <c r="F4762" t="s">
        <v>13959</v>
      </c>
      <c r="J4762" t="s">
        <v>13958</v>
      </c>
      <c r="K4762" t="s">
        <v>13924</v>
      </c>
      <c r="L4762" t="s">
        <v>851</v>
      </c>
    </row>
    <row r="4763" spans="1:12">
      <c r="A4763" t="s">
        <v>13918</v>
      </c>
      <c r="B4763" t="s">
        <v>13919</v>
      </c>
      <c r="C4763" t="s">
        <v>13960</v>
      </c>
      <c r="D4763" t="s">
        <v>13921</v>
      </c>
      <c r="E4763" t="s">
        <v>655</v>
      </c>
      <c r="F4763" t="s">
        <v>656</v>
      </c>
    </row>
    <row r="4764" spans="1:12">
      <c r="A4764" t="s">
        <v>13961</v>
      </c>
      <c r="B4764" t="s">
        <v>13962</v>
      </c>
      <c r="C4764" t="s">
        <v>13963</v>
      </c>
      <c r="D4764" t="s">
        <v>13964</v>
      </c>
      <c r="E4764" t="s">
        <v>13965</v>
      </c>
      <c r="F4764" t="s">
        <v>13966</v>
      </c>
    </row>
    <row r="4765" spans="1:12">
      <c r="A4765" t="s">
        <v>13961</v>
      </c>
      <c r="B4765" t="s">
        <v>13962</v>
      </c>
      <c r="C4765" t="s">
        <v>13967</v>
      </c>
      <c r="D4765" t="s">
        <v>13964</v>
      </c>
      <c r="E4765" t="s">
        <v>13968</v>
      </c>
      <c r="F4765" t="s">
        <v>13969</v>
      </c>
      <c r="J4765" t="s">
        <v>13968</v>
      </c>
      <c r="K4765" t="s">
        <v>13961</v>
      </c>
      <c r="L4765" t="s">
        <v>814</v>
      </c>
    </row>
    <row r="4766" spans="1:12">
      <c r="A4766" t="s">
        <v>13961</v>
      </c>
      <c r="B4766" t="s">
        <v>13962</v>
      </c>
      <c r="C4766" t="s">
        <v>13970</v>
      </c>
      <c r="D4766" t="s">
        <v>13964</v>
      </c>
      <c r="E4766" t="s">
        <v>13971</v>
      </c>
      <c r="F4766" t="s">
        <v>13972</v>
      </c>
    </row>
    <row r="4767" spans="1:12">
      <c r="A4767" t="s">
        <v>13961</v>
      </c>
      <c r="B4767" t="s">
        <v>13962</v>
      </c>
      <c r="C4767" t="s">
        <v>13973</v>
      </c>
      <c r="D4767" t="s">
        <v>13964</v>
      </c>
      <c r="E4767" t="s">
        <v>12609</v>
      </c>
      <c r="F4767" t="s">
        <v>13974</v>
      </c>
    </row>
    <row r="4768" spans="1:12">
      <c r="A4768" t="s">
        <v>13961</v>
      </c>
      <c r="B4768" t="s">
        <v>13962</v>
      </c>
      <c r="C4768" t="s">
        <v>13975</v>
      </c>
      <c r="D4768" t="s">
        <v>13964</v>
      </c>
      <c r="E4768" t="s">
        <v>13976</v>
      </c>
      <c r="F4768" t="s">
        <v>13977</v>
      </c>
      <c r="J4768" t="s">
        <v>13976</v>
      </c>
      <c r="K4768" t="s">
        <v>13961</v>
      </c>
      <c r="L4768" t="s">
        <v>814</v>
      </c>
    </row>
    <row r="4769" spans="1:12">
      <c r="A4769" t="s">
        <v>13961</v>
      </c>
      <c r="B4769" t="s">
        <v>13962</v>
      </c>
      <c r="C4769" t="s">
        <v>13978</v>
      </c>
      <c r="D4769" t="s">
        <v>13964</v>
      </c>
      <c r="E4769" t="s">
        <v>13979</v>
      </c>
      <c r="F4769" t="s">
        <v>13980</v>
      </c>
      <c r="J4769" t="s">
        <v>13979</v>
      </c>
      <c r="K4769" t="s">
        <v>13961</v>
      </c>
      <c r="L4769" t="s">
        <v>814</v>
      </c>
    </row>
    <row r="4770" spans="1:12">
      <c r="A4770" t="s">
        <v>13961</v>
      </c>
      <c r="B4770" t="s">
        <v>13962</v>
      </c>
      <c r="C4770" t="s">
        <v>13981</v>
      </c>
      <c r="D4770" t="s">
        <v>13964</v>
      </c>
      <c r="E4770" t="s">
        <v>13982</v>
      </c>
      <c r="F4770" t="s">
        <v>13983</v>
      </c>
    </row>
    <row r="4771" spans="1:12">
      <c r="A4771" t="s">
        <v>13961</v>
      </c>
      <c r="B4771" t="s">
        <v>13962</v>
      </c>
      <c r="C4771" t="s">
        <v>13984</v>
      </c>
      <c r="D4771" t="s">
        <v>13964</v>
      </c>
      <c r="E4771" t="s">
        <v>5102</v>
      </c>
      <c r="F4771" t="s">
        <v>13985</v>
      </c>
    </row>
    <row r="4772" spans="1:12">
      <c r="A4772" t="s">
        <v>13961</v>
      </c>
      <c r="B4772" t="s">
        <v>13962</v>
      </c>
      <c r="C4772" t="s">
        <v>13986</v>
      </c>
      <c r="D4772" t="s">
        <v>13964</v>
      </c>
      <c r="E4772" t="s">
        <v>9712</v>
      </c>
      <c r="F4772" t="s">
        <v>13987</v>
      </c>
      <c r="J4772" t="s">
        <v>9712</v>
      </c>
      <c r="K4772" t="s">
        <v>13961</v>
      </c>
      <c r="L4772" t="s">
        <v>814</v>
      </c>
    </row>
    <row r="4773" spans="1:12">
      <c r="A4773" t="s">
        <v>13961</v>
      </c>
      <c r="B4773" t="s">
        <v>13962</v>
      </c>
      <c r="C4773" t="s">
        <v>13988</v>
      </c>
      <c r="D4773" t="s">
        <v>13964</v>
      </c>
      <c r="E4773" t="s">
        <v>13989</v>
      </c>
      <c r="F4773" t="s">
        <v>13990</v>
      </c>
      <c r="J4773" t="s">
        <v>13989</v>
      </c>
      <c r="K4773" t="s">
        <v>13961</v>
      </c>
      <c r="L4773" t="s">
        <v>814</v>
      </c>
    </row>
    <row r="4774" spans="1:12">
      <c r="A4774" t="s">
        <v>13961</v>
      </c>
      <c r="B4774" t="s">
        <v>13962</v>
      </c>
      <c r="C4774" t="s">
        <v>13991</v>
      </c>
      <c r="D4774" t="s">
        <v>13964</v>
      </c>
      <c r="E4774" t="s">
        <v>7964</v>
      </c>
      <c r="F4774" t="s">
        <v>13992</v>
      </c>
    </row>
    <row r="4775" spans="1:12">
      <c r="A4775" t="s">
        <v>13961</v>
      </c>
      <c r="B4775" t="s">
        <v>13962</v>
      </c>
      <c r="C4775" t="s">
        <v>13993</v>
      </c>
      <c r="D4775" t="s">
        <v>13964</v>
      </c>
      <c r="E4775" t="s">
        <v>655</v>
      </c>
      <c r="F4775" t="s">
        <v>656</v>
      </c>
    </row>
    <row r="4776" spans="1:12">
      <c r="A4776" t="s">
        <v>13961</v>
      </c>
      <c r="B4776" t="s">
        <v>13962</v>
      </c>
      <c r="D4776" t="s">
        <v>13964</v>
      </c>
      <c r="F4776" t="s">
        <v>13994</v>
      </c>
      <c r="J4776" t="s">
        <v>13995</v>
      </c>
      <c r="K4776" t="s">
        <v>13961</v>
      </c>
      <c r="L4776" t="s">
        <v>814</v>
      </c>
    </row>
    <row r="4777" spans="1:12">
      <c r="A4777" t="s">
        <v>13996</v>
      </c>
      <c r="B4777" t="s">
        <v>13997</v>
      </c>
      <c r="C4777" t="s">
        <v>13998</v>
      </c>
      <c r="D4777" t="s">
        <v>13999</v>
      </c>
      <c r="E4777" t="s">
        <v>8407</v>
      </c>
      <c r="F4777" t="s">
        <v>14000</v>
      </c>
    </row>
    <row r="4778" spans="1:12">
      <c r="A4778" t="s">
        <v>13996</v>
      </c>
      <c r="B4778" t="s">
        <v>13997</v>
      </c>
      <c r="C4778" t="s">
        <v>14001</v>
      </c>
      <c r="D4778" t="s">
        <v>13999</v>
      </c>
      <c r="E4778" t="s">
        <v>11719</v>
      </c>
      <c r="F4778" t="s">
        <v>14002</v>
      </c>
    </row>
    <row r="4779" spans="1:12">
      <c r="A4779" t="s">
        <v>13996</v>
      </c>
      <c r="B4779" t="s">
        <v>13997</v>
      </c>
      <c r="C4779" t="s">
        <v>14003</v>
      </c>
      <c r="D4779" t="s">
        <v>13999</v>
      </c>
      <c r="E4779" t="s">
        <v>14004</v>
      </c>
      <c r="F4779" t="s">
        <v>14005</v>
      </c>
    </row>
    <row r="4780" spans="1:12">
      <c r="A4780" t="s">
        <v>13996</v>
      </c>
      <c r="B4780" t="s">
        <v>13997</v>
      </c>
      <c r="C4780" t="s">
        <v>14006</v>
      </c>
      <c r="D4780" t="s">
        <v>13999</v>
      </c>
      <c r="E4780" t="s">
        <v>14007</v>
      </c>
      <c r="F4780" t="s">
        <v>14008</v>
      </c>
    </row>
    <row r="4781" spans="1:12">
      <c r="A4781" t="s">
        <v>13996</v>
      </c>
      <c r="B4781" t="s">
        <v>13997</v>
      </c>
      <c r="C4781" t="s">
        <v>14009</v>
      </c>
      <c r="D4781" t="s">
        <v>13999</v>
      </c>
      <c r="E4781" t="s">
        <v>14010</v>
      </c>
      <c r="F4781" t="s">
        <v>14011</v>
      </c>
    </row>
    <row r="4782" spans="1:12">
      <c r="A4782" t="s">
        <v>13996</v>
      </c>
      <c r="B4782" t="s">
        <v>13997</v>
      </c>
      <c r="C4782" t="s">
        <v>14012</v>
      </c>
      <c r="D4782" t="s">
        <v>13999</v>
      </c>
      <c r="E4782" t="s">
        <v>3452</v>
      </c>
      <c r="F4782" t="s">
        <v>14013</v>
      </c>
    </row>
    <row r="4783" spans="1:12">
      <c r="A4783" t="s">
        <v>13996</v>
      </c>
      <c r="B4783" t="s">
        <v>13997</v>
      </c>
      <c r="C4783" t="s">
        <v>14014</v>
      </c>
      <c r="D4783" t="s">
        <v>13999</v>
      </c>
      <c r="E4783" t="s">
        <v>6348</v>
      </c>
      <c r="F4783" t="s">
        <v>14015</v>
      </c>
    </row>
    <row r="4784" spans="1:12">
      <c r="A4784" t="s">
        <v>13996</v>
      </c>
      <c r="B4784" t="s">
        <v>13997</v>
      </c>
      <c r="C4784" t="s">
        <v>14016</v>
      </c>
      <c r="D4784" t="s">
        <v>13999</v>
      </c>
      <c r="E4784" t="s">
        <v>14017</v>
      </c>
      <c r="F4784" t="s">
        <v>14018</v>
      </c>
    </row>
    <row r="4785" spans="1:12">
      <c r="A4785" t="s">
        <v>13996</v>
      </c>
      <c r="B4785" t="s">
        <v>13997</v>
      </c>
      <c r="C4785" t="s">
        <v>14019</v>
      </c>
      <c r="D4785" t="s">
        <v>13999</v>
      </c>
      <c r="E4785" t="s">
        <v>1642</v>
      </c>
      <c r="F4785" t="s">
        <v>14020</v>
      </c>
    </row>
    <row r="4786" spans="1:12">
      <c r="A4786" t="s">
        <v>13996</v>
      </c>
      <c r="B4786" t="s">
        <v>13997</v>
      </c>
      <c r="C4786" t="s">
        <v>14021</v>
      </c>
      <c r="D4786" t="s">
        <v>13999</v>
      </c>
      <c r="E4786" t="s">
        <v>14022</v>
      </c>
      <c r="F4786" t="s">
        <v>14023</v>
      </c>
      <c r="J4786" t="s">
        <v>14022</v>
      </c>
      <c r="K4786" t="s">
        <v>14024</v>
      </c>
      <c r="L4786" t="s">
        <v>851</v>
      </c>
    </row>
    <row r="4787" spans="1:12">
      <c r="A4787" t="s">
        <v>13996</v>
      </c>
      <c r="B4787" t="s">
        <v>13997</v>
      </c>
      <c r="C4787" t="s">
        <v>14025</v>
      </c>
      <c r="D4787" t="s">
        <v>13999</v>
      </c>
      <c r="E4787" t="s">
        <v>14026</v>
      </c>
      <c r="F4787" t="s">
        <v>14027</v>
      </c>
    </row>
    <row r="4788" spans="1:12">
      <c r="A4788" t="s">
        <v>13996</v>
      </c>
      <c r="B4788" t="s">
        <v>13997</v>
      </c>
      <c r="C4788" t="s">
        <v>14028</v>
      </c>
      <c r="D4788" t="s">
        <v>13999</v>
      </c>
      <c r="E4788" t="s">
        <v>14029</v>
      </c>
      <c r="F4788" t="s">
        <v>14030</v>
      </c>
      <c r="J4788" t="s">
        <v>14029</v>
      </c>
      <c r="K4788" t="s">
        <v>14024</v>
      </c>
      <c r="L4788" t="s">
        <v>851</v>
      </c>
    </row>
    <row r="4789" spans="1:12">
      <c r="A4789" t="s">
        <v>13996</v>
      </c>
      <c r="B4789" t="s">
        <v>13997</v>
      </c>
      <c r="C4789" t="s">
        <v>14031</v>
      </c>
      <c r="D4789" t="s">
        <v>13999</v>
      </c>
      <c r="E4789" t="s">
        <v>10306</v>
      </c>
      <c r="F4789" t="s">
        <v>14032</v>
      </c>
    </row>
    <row r="4790" spans="1:12">
      <c r="A4790" t="s">
        <v>13996</v>
      </c>
      <c r="B4790" t="s">
        <v>13997</v>
      </c>
      <c r="C4790" t="s">
        <v>14033</v>
      </c>
      <c r="D4790" t="s">
        <v>13999</v>
      </c>
      <c r="E4790" t="s">
        <v>14034</v>
      </c>
      <c r="F4790" t="s">
        <v>14035</v>
      </c>
    </row>
    <row r="4791" spans="1:12">
      <c r="A4791" t="s">
        <v>13996</v>
      </c>
      <c r="B4791" t="s">
        <v>13997</v>
      </c>
      <c r="C4791" t="s">
        <v>14036</v>
      </c>
      <c r="D4791" t="s">
        <v>13999</v>
      </c>
      <c r="E4791" t="s">
        <v>14037</v>
      </c>
      <c r="F4791" t="s">
        <v>14038</v>
      </c>
    </row>
    <row r="4792" spans="1:12">
      <c r="A4792" t="s">
        <v>13996</v>
      </c>
      <c r="B4792" t="s">
        <v>13997</v>
      </c>
      <c r="C4792" t="s">
        <v>14039</v>
      </c>
      <c r="D4792" t="s">
        <v>13999</v>
      </c>
      <c r="E4792" t="s">
        <v>10926</v>
      </c>
      <c r="F4792" t="s">
        <v>14040</v>
      </c>
    </row>
    <row r="4793" spans="1:12">
      <c r="A4793" t="s">
        <v>13996</v>
      </c>
      <c r="B4793" t="s">
        <v>13997</v>
      </c>
      <c r="C4793" t="s">
        <v>14041</v>
      </c>
      <c r="D4793" t="s">
        <v>13999</v>
      </c>
      <c r="E4793" t="s">
        <v>10677</v>
      </c>
      <c r="F4793" t="s">
        <v>14042</v>
      </c>
    </row>
    <row r="4794" spans="1:12">
      <c r="A4794" t="s">
        <v>13996</v>
      </c>
      <c r="B4794" t="s">
        <v>13997</v>
      </c>
      <c r="C4794" t="s">
        <v>14043</v>
      </c>
      <c r="D4794" t="s">
        <v>13999</v>
      </c>
      <c r="E4794" t="s">
        <v>14044</v>
      </c>
      <c r="F4794" t="s">
        <v>14045</v>
      </c>
    </row>
    <row r="4795" spans="1:12">
      <c r="A4795" t="s">
        <v>13996</v>
      </c>
      <c r="B4795" t="s">
        <v>13997</v>
      </c>
      <c r="C4795" t="s">
        <v>14046</v>
      </c>
      <c r="D4795" t="s">
        <v>13999</v>
      </c>
      <c r="E4795" t="s">
        <v>14047</v>
      </c>
      <c r="F4795" t="s">
        <v>14048</v>
      </c>
    </row>
    <row r="4796" spans="1:12">
      <c r="A4796" t="s">
        <v>13996</v>
      </c>
      <c r="B4796" t="s">
        <v>13997</v>
      </c>
      <c r="C4796" t="s">
        <v>14049</v>
      </c>
      <c r="D4796" t="s">
        <v>13999</v>
      </c>
      <c r="E4796" t="s">
        <v>9104</v>
      </c>
      <c r="F4796" t="s">
        <v>14050</v>
      </c>
    </row>
    <row r="4797" spans="1:12">
      <c r="A4797" t="s">
        <v>13996</v>
      </c>
      <c r="B4797" t="s">
        <v>13997</v>
      </c>
      <c r="C4797" t="s">
        <v>14051</v>
      </c>
      <c r="D4797" t="s">
        <v>13999</v>
      </c>
      <c r="E4797" t="s">
        <v>9119</v>
      </c>
      <c r="F4797" t="s">
        <v>14052</v>
      </c>
    </row>
    <row r="4798" spans="1:12">
      <c r="A4798" t="s">
        <v>13996</v>
      </c>
      <c r="B4798" t="s">
        <v>13997</v>
      </c>
      <c r="C4798" t="s">
        <v>14053</v>
      </c>
      <c r="D4798" t="s">
        <v>13999</v>
      </c>
      <c r="E4798" t="s">
        <v>2121</v>
      </c>
      <c r="F4798" t="s">
        <v>14054</v>
      </c>
    </row>
    <row r="4799" spans="1:12">
      <c r="A4799" t="s">
        <v>13996</v>
      </c>
      <c r="B4799" t="s">
        <v>13997</v>
      </c>
      <c r="C4799" t="s">
        <v>14055</v>
      </c>
      <c r="D4799" t="s">
        <v>13999</v>
      </c>
      <c r="E4799" t="s">
        <v>14056</v>
      </c>
      <c r="F4799" t="s">
        <v>14057</v>
      </c>
    </row>
    <row r="4800" spans="1:12">
      <c r="A4800" t="s">
        <v>13996</v>
      </c>
      <c r="B4800" t="s">
        <v>13997</v>
      </c>
      <c r="C4800" t="s">
        <v>14058</v>
      </c>
      <c r="D4800" t="s">
        <v>13999</v>
      </c>
      <c r="E4800" t="s">
        <v>9278</v>
      </c>
      <c r="F4800" t="s">
        <v>14059</v>
      </c>
    </row>
    <row r="4801" spans="1:12">
      <c r="A4801" t="s">
        <v>13996</v>
      </c>
      <c r="B4801" t="s">
        <v>13997</v>
      </c>
      <c r="C4801" t="s">
        <v>14060</v>
      </c>
      <c r="D4801" t="s">
        <v>13999</v>
      </c>
      <c r="E4801" t="s">
        <v>14061</v>
      </c>
      <c r="F4801" t="s">
        <v>14062</v>
      </c>
    </row>
    <row r="4802" spans="1:12">
      <c r="A4802" t="s">
        <v>13996</v>
      </c>
      <c r="B4802" t="s">
        <v>13997</v>
      </c>
      <c r="C4802" t="s">
        <v>14063</v>
      </c>
      <c r="D4802" t="s">
        <v>13999</v>
      </c>
      <c r="E4802" t="s">
        <v>6790</v>
      </c>
      <c r="F4802" t="s">
        <v>14064</v>
      </c>
    </row>
    <row r="4803" spans="1:12">
      <c r="A4803" t="s">
        <v>13996</v>
      </c>
      <c r="B4803" t="s">
        <v>13997</v>
      </c>
      <c r="C4803" t="s">
        <v>14065</v>
      </c>
      <c r="D4803" t="s">
        <v>13999</v>
      </c>
      <c r="E4803" t="s">
        <v>14066</v>
      </c>
      <c r="F4803" t="s">
        <v>14067</v>
      </c>
    </row>
    <row r="4804" spans="1:12">
      <c r="A4804" t="s">
        <v>13996</v>
      </c>
      <c r="B4804" t="s">
        <v>13997</v>
      </c>
      <c r="C4804" t="s">
        <v>14068</v>
      </c>
      <c r="D4804" t="s">
        <v>13999</v>
      </c>
      <c r="E4804" t="s">
        <v>7750</v>
      </c>
      <c r="F4804" t="s">
        <v>14069</v>
      </c>
    </row>
    <row r="4805" spans="1:12">
      <c r="A4805" t="s">
        <v>13996</v>
      </c>
      <c r="B4805" t="s">
        <v>13997</v>
      </c>
      <c r="C4805" t="s">
        <v>14070</v>
      </c>
      <c r="D4805" t="s">
        <v>13999</v>
      </c>
      <c r="E4805" t="s">
        <v>14071</v>
      </c>
      <c r="F4805" t="s">
        <v>14072</v>
      </c>
    </row>
    <row r="4806" spans="1:12">
      <c r="A4806" t="s">
        <v>13996</v>
      </c>
      <c r="B4806" t="s">
        <v>13997</v>
      </c>
      <c r="C4806" t="s">
        <v>14073</v>
      </c>
      <c r="D4806" t="s">
        <v>13999</v>
      </c>
      <c r="E4806" t="s">
        <v>14074</v>
      </c>
      <c r="F4806" t="s">
        <v>14075</v>
      </c>
      <c r="J4806" t="s">
        <v>14074</v>
      </c>
      <c r="K4806" t="s">
        <v>14024</v>
      </c>
      <c r="L4806" t="s">
        <v>851</v>
      </c>
    </row>
    <row r="4807" spans="1:12">
      <c r="A4807" t="s">
        <v>13996</v>
      </c>
      <c r="B4807" t="s">
        <v>13997</v>
      </c>
      <c r="C4807" t="s">
        <v>14076</v>
      </c>
      <c r="D4807" t="s">
        <v>13999</v>
      </c>
      <c r="E4807" t="s">
        <v>2448</v>
      </c>
      <c r="F4807" t="s">
        <v>14077</v>
      </c>
    </row>
    <row r="4808" spans="1:12">
      <c r="A4808" t="s">
        <v>13996</v>
      </c>
      <c r="B4808" t="s">
        <v>13997</v>
      </c>
      <c r="C4808" t="s">
        <v>14078</v>
      </c>
      <c r="D4808" t="s">
        <v>13999</v>
      </c>
      <c r="E4808" t="s">
        <v>4169</v>
      </c>
      <c r="F4808" t="s">
        <v>14079</v>
      </c>
    </row>
    <row r="4809" spans="1:12">
      <c r="A4809" t="s">
        <v>13996</v>
      </c>
      <c r="B4809" t="s">
        <v>13997</v>
      </c>
      <c r="C4809" t="s">
        <v>14080</v>
      </c>
      <c r="D4809" t="s">
        <v>13999</v>
      </c>
      <c r="E4809" t="s">
        <v>14081</v>
      </c>
      <c r="F4809" t="s">
        <v>14082</v>
      </c>
    </row>
    <row r="4810" spans="1:12">
      <c r="A4810" t="s">
        <v>13996</v>
      </c>
      <c r="B4810" t="s">
        <v>13997</v>
      </c>
      <c r="C4810" t="s">
        <v>14083</v>
      </c>
      <c r="D4810" t="s">
        <v>13999</v>
      </c>
      <c r="E4810" t="s">
        <v>9559</v>
      </c>
      <c r="F4810" t="s">
        <v>14084</v>
      </c>
    </row>
    <row r="4811" spans="1:12">
      <c r="A4811" t="s">
        <v>13996</v>
      </c>
      <c r="B4811" t="s">
        <v>13997</v>
      </c>
      <c r="C4811" t="s">
        <v>14085</v>
      </c>
      <c r="D4811" t="s">
        <v>13999</v>
      </c>
      <c r="E4811" t="s">
        <v>9565</v>
      </c>
      <c r="F4811" t="s">
        <v>14086</v>
      </c>
    </row>
    <row r="4812" spans="1:12">
      <c r="A4812" t="s">
        <v>13996</v>
      </c>
      <c r="B4812" t="s">
        <v>13997</v>
      </c>
      <c r="C4812" t="s">
        <v>14087</v>
      </c>
      <c r="D4812" t="s">
        <v>13999</v>
      </c>
      <c r="E4812" t="s">
        <v>13205</v>
      </c>
      <c r="F4812" t="s">
        <v>14088</v>
      </c>
    </row>
    <row r="4813" spans="1:12">
      <c r="A4813" t="s">
        <v>13996</v>
      </c>
      <c r="B4813" t="s">
        <v>13997</v>
      </c>
      <c r="C4813" t="s">
        <v>14089</v>
      </c>
      <c r="D4813" t="s">
        <v>13999</v>
      </c>
      <c r="E4813" t="s">
        <v>5168</v>
      </c>
      <c r="F4813" t="s">
        <v>14090</v>
      </c>
    </row>
    <row r="4814" spans="1:12">
      <c r="A4814" t="s">
        <v>13996</v>
      </c>
      <c r="B4814" t="s">
        <v>13997</v>
      </c>
      <c r="C4814" t="s">
        <v>14091</v>
      </c>
      <c r="D4814" t="s">
        <v>13999</v>
      </c>
      <c r="E4814" t="s">
        <v>2822</v>
      </c>
      <c r="F4814" t="s">
        <v>14092</v>
      </c>
    </row>
    <row r="4815" spans="1:12">
      <c r="A4815" t="s">
        <v>13996</v>
      </c>
      <c r="B4815" t="s">
        <v>13997</v>
      </c>
      <c r="C4815" t="s">
        <v>14093</v>
      </c>
      <c r="D4815" t="s">
        <v>13999</v>
      </c>
      <c r="E4815" t="s">
        <v>9786</v>
      </c>
      <c r="F4815" t="s">
        <v>14094</v>
      </c>
    </row>
    <row r="4816" spans="1:12">
      <c r="A4816" t="s">
        <v>13996</v>
      </c>
      <c r="B4816" t="s">
        <v>13997</v>
      </c>
      <c r="C4816" t="s">
        <v>14095</v>
      </c>
      <c r="D4816" t="s">
        <v>13999</v>
      </c>
      <c r="E4816" t="s">
        <v>14096</v>
      </c>
      <c r="F4816" t="s">
        <v>14097</v>
      </c>
    </row>
    <row r="4817" spans="1:6">
      <c r="A4817" t="s">
        <v>13996</v>
      </c>
      <c r="B4817" t="s">
        <v>13997</v>
      </c>
      <c r="C4817" t="s">
        <v>14098</v>
      </c>
      <c r="D4817" t="s">
        <v>13999</v>
      </c>
      <c r="E4817" t="s">
        <v>13939</v>
      </c>
      <c r="F4817" t="s">
        <v>14099</v>
      </c>
    </row>
    <row r="4818" spans="1:6">
      <c r="A4818" t="s">
        <v>13996</v>
      </c>
      <c r="B4818" t="s">
        <v>13997</v>
      </c>
      <c r="C4818" t="s">
        <v>14100</v>
      </c>
      <c r="D4818" t="s">
        <v>13999</v>
      </c>
      <c r="E4818" t="s">
        <v>1296</v>
      </c>
      <c r="F4818" t="s">
        <v>14101</v>
      </c>
    </row>
    <row r="4819" spans="1:6">
      <c r="A4819" t="s">
        <v>13996</v>
      </c>
      <c r="B4819" t="s">
        <v>13997</v>
      </c>
      <c r="C4819" t="s">
        <v>14102</v>
      </c>
      <c r="D4819" t="s">
        <v>13999</v>
      </c>
      <c r="E4819" t="s">
        <v>9851</v>
      </c>
      <c r="F4819" t="s">
        <v>14103</v>
      </c>
    </row>
    <row r="4820" spans="1:6">
      <c r="A4820" t="s">
        <v>13996</v>
      </c>
      <c r="B4820" t="s">
        <v>13997</v>
      </c>
      <c r="C4820" t="s">
        <v>14104</v>
      </c>
      <c r="D4820" t="s">
        <v>13999</v>
      </c>
      <c r="E4820" t="s">
        <v>5255</v>
      </c>
      <c r="F4820" t="s">
        <v>14105</v>
      </c>
    </row>
    <row r="4821" spans="1:6">
      <c r="A4821" t="s">
        <v>13996</v>
      </c>
      <c r="B4821" t="s">
        <v>13997</v>
      </c>
      <c r="C4821" t="s">
        <v>14106</v>
      </c>
      <c r="D4821" t="s">
        <v>13999</v>
      </c>
      <c r="E4821" t="s">
        <v>3524</v>
      </c>
      <c r="F4821" t="s">
        <v>14107</v>
      </c>
    </row>
    <row r="4822" spans="1:6">
      <c r="A4822" t="s">
        <v>13996</v>
      </c>
      <c r="B4822" t="s">
        <v>13997</v>
      </c>
      <c r="C4822" t="s">
        <v>14108</v>
      </c>
      <c r="D4822" t="s">
        <v>13999</v>
      </c>
      <c r="E4822" t="s">
        <v>14109</v>
      </c>
      <c r="F4822" t="s">
        <v>14110</v>
      </c>
    </row>
    <row r="4823" spans="1:6">
      <c r="A4823" t="s">
        <v>13996</v>
      </c>
      <c r="B4823" t="s">
        <v>13997</v>
      </c>
      <c r="C4823" t="s">
        <v>14111</v>
      </c>
      <c r="D4823" t="s">
        <v>13999</v>
      </c>
      <c r="E4823" t="s">
        <v>14112</v>
      </c>
      <c r="F4823" t="s">
        <v>14113</v>
      </c>
    </row>
    <row r="4824" spans="1:6">
      <c r="A4824" t="s">
        <v>13996</v>
      </c>
      <c r="B4824" t="s">
        <v>13997</v>
      </c>
      <c r="C4824" t="s">
        <v>14114</v>
      </c>
      <c r="D4824" t="s">
        <v>13999</v>
      </c>
      <c r="E4824" t="s">
        <v>14115</v>
      </c>
      <c r="F4824" t="s">
        <v>14116</v>
      </c>
    </row>
    <row r="4825" spans="1:6">
      <c r="A4825" t="s">
        <v>13996</v>
      </c>
      <c r="B4825" t="s">
        <v>13997</v>
      </c>
      <c r="C4825" t="s">
        <v>14117</v>
      </c>
      <c r="D4825" t="s">
        <v>13999</v>
      </c>
      <c r="E4825" t="s">
        <v>1431</v>
      </c>
      <c r="F4825" t="s">
        <v>14118</v>
      </c>
    </row>
    <row r="4826" spans="1:6">
      <c r="A4826" t="s">
        <v>13996</v>
      </c>
      <c r="B4826" t="s">
        <v>13997</v>
      </c>
      <c r="C4826" t="s">
        <v>14119</v>
      </c>
      <c r="D4826" t="s">
        <v>13999</v>
      </c>
      <c r="E4826" t="s">
        <v>14120</v>
      </c>
      <c r="F4826" t="s">
        <v>14121</v>
      </c>
    </row>
    <row r="4827" spans="1:6">
      <c r="A4827" t="s">
        <v>13996</v>
      </c>
      <c r="B4827" t="s">
        <v>13997</v>
      </c>
      <c r="C4827" t="s">
        <v>14122</v>
      </c>
      <c r="D4827" t="s">
        <v>13999</v>
      </c>
      <c r="E4827" t="s">
        <v>14123</v>
      </c>
      <c r="F4827" t="s">
        <v>14124</v>
      </c>
    </row>
    <row r="4828" spans="1:6">
      <c r="A4828" t="s">
        <v>13996</v>
      </c>
      <c r="B4828" t="s">
        <v>13997</v>
      </c>
      <c r="C4828" t="s">
        <v>14125</v>
      </c>
      <c r="D4828" t="s">
        <v>13999</v>
      </c>
      <c r="E4828" t="s">
        <v>7009</v>
      </c>
      <c r="F4828" t="s">
        <v>14126</v>
      </c>
    </row>
    <row r="4829" spans="1:6">
      <c r="A4829" t="s">
        <v>13996</v>
      </c>
      <c r="B4829" t="s">
        <v>13997</v>
      </c>
      <c r="C4829" t="s">
        <v>14127</v>
      </c>
      <c r="D4829" t="s">
        <v>13999</v>
      </c>
      <c r="E4829" t="s">
        <v>12126</v>
      </c>
      <c r="F4829" t="s">
        <v>14128</v>
      </c>
    </row>
    <row r="4830" spans="1:6">
      <c r="A4830" t="s">
        <v>13996</v>
      </c>
      <c r="B4830" t="s">
        <v>13997</v>
      </c>
      <c r="C4830" t="s">
        <v>14129</v>
      </c>
      <c r="D4830" t="s">
        <v>13999</v>
      </c>
      <c r="E4830" t="s">
        <v>14130</v>
      </c>
      <c r="F4830" t="s">
        <v>14131</v>
      </c>
    </row>
    <row r="4831" spans="1:6">
      <c r="A4831" t="s">
        <v>13996</v>
      </c>
      <c r="B4831" t="s">
        <v>13997</v>
      </c>
      <c r="C4831" t="s">
        <v>14132</v>
      </c>
      <c r="D4831" t="s">
        <v>13999</v>
      </c>
      <c r="E4831" t="s">
        <v>14133</v>
      </c>
      <c r="F4831" t="s">
        <v>14134</v>
      </c>
    </row>
    <row r="4832" spans="1:6">
      <c r="A4832" t="s">
        <v>13996</v>
      </c>
      <c r="B4832" t="s">
        <v>13997</v>
      </c>
      <c r="C4832" t="s">
        <v>14135</v>
      </c>
      <c r="D4832" t="s">
        <v>13999</v>
      </c>
      <c r="E4832" t="s">
        <v>14136</v>
      </c>
      <c r="F4832" t="s">
        <v>14137</v>
      </c>
    </row>
    <row r="4833" spans="1:12">
      <c r="A4833" t="s">
        <v>13996</v>
      </c>
      <c r="B4833" t="s">
        <v>13997</v>
      </c>
      <c r="C4833" t="s">
        <v>14138</v>
      </c>
      <c r="D4833" t="s">
        <v>13999</v>
      </c>
      <c r="E4833" t="s">
        <v>655</v>
      </c>
      <c r="F4833" t="s">
        <v>656</v>
      </c>
    </row>
    <row r="4834" spans="1:12">
      <c r="A4834" t="s">
        <v>14139</v>
      </c>
      <c r="B4834" t="s">
        <v>14140</v>
      </c>
      <c r="C4834" t="s">
        <v>14141</v>
      </c>
      <c r="D4834" t="s">
        <v>14142</v>
      </c>
      <c r="E4834" t="s">
        <v>666</v>
      </c>
      <c r="F4834" t="s">
        <v>14143</v>
      </c>
      <c r="J4834" t="s">
        <v>666</v>
      </c>
      <c r="K4834" t="s">
        <v>14144</v>
      </c>
      <c r="L4834" t="s">
        <v>3638</v>
      </c>
    </row>
    <row r="4835" spans="1:12">
      <c r="A4835" t="s">
        <v>14139</v>
      </c>
      <c r="B4835" t="s">
        <v>14140</v>
      </c>
      <c r="C4835" t="s">
        <v>14145</v>
      </c>
      <c r="D4835" t="s">
        <v>14142</v>
      </c>
      <c r="E4835" t="s">
        <v>14146</v>
      </c>
      <c r="F4835" t="s">
        <v>14147</v>
      </c>
    </row>
    <row r="4836" spans="1:12">
      <c r="A4836" t="s">
        <v>14139</v>
      </c>
      <c r="B4836" t="s">
        <v>14140</v>
      </c>
      <c r="C4836" t="s">
        <v>14148</v>
      </c>
      <c r="D4836" t="s">
        <v>14142</v>
      </c>
      <c r="E4836" t="s">
        <v>14149</v>
      </c>
      <c r="F4836" t="s">
        <v>14150</v>
      </c>
      <c r="J4836" t="s">
        <v>14149</v>
      </c>
      <c r="K4836" t="s">
        <v>14144</v>
      </c>
      <c r="L4836" t="s">
        <v>3638</v>
      </c>
    </row>
    <row r="4837" spans="1:12">
      <c r="A4837" t="s">
        <v>14139</v>
      </c>
      <c r="B4837" t="s">
        <v>14140</v>
      </c>
      <c r="C4837" t="s">
        <v>14151</v>
      </c>
      <c r="D4837" t="s">
        <v>14142</v>
      </c>
      <c r="E4837" t="s">
        <v>14152</v>
      </c>
      <c r="F4837" t="s">
        <v>14153</v>
      </c>
    </row>
    <row r="4838" spans="1:12">
      <c r="A4838" t="s">
        <v>14139</v>
      </c>
      <c r="B4838" t="s">
        <v>14140</v>
      </c>
      <c r="C4838" t="s">
        <v>14154</v>
      </c>
      <c r="D4838" t="s">
        <v>14142</v>
      </c>
      <c r="E4838" t="s">
        <v>14155</v>
      </c>
      <c r="F4838" t="s">
        <v>14156</v>
      </c>
      <c r="J4838" t="s">
        <v>14155</v>
      </c>
      <c r="K4838" t="s">
        <v>14144</v>
      </c>
      <c r="L4838" t="s">
        <v>3638</v>
      </c>
    </row>
    <row r="4839" spans="1:12">
      <c r="A4839" t="s">
        <v>14139</v>
      </c>
      <c r="B4839" t="s">
        <v>14140</v>
      </c>
      <c r="C4839" t="s">
        <v>14157</v>
      </c>
      <c r="D4839" t="s">
        <v>14142</v>
      </c>
      <c r="E4839" t="s">
        <v>13823</v>
      </c>
      <c r="F4839" t="s">
        <v>14158</v>
      </c>
    </row>
    <row r="4840" spans="1:12">
      <c r="A4840" t="s">
        <v>14139</v>
      </c>
      <c r="B4840" t="s">
        <v>14140</v>
      </c>
      <c r="C4840" t="s">
        <v>14159</v>
      </c>
      <c r="D4840" t="s">
        <v>14142</v>
      </c>
      <c r="E4840" t="s">
        <v>14160</v>
      </c>
      <c r="F4840" t="s">
        <v>14161</v>
      </c>
      <c r="J4840" t="s">
        <v>14160</v>
      </c>
      <c r="K4840" t="s">
        <v>14144</v>
      </c>
      <c r="L4840" t="s">
        <v>3638</v>
      </c>
    </row>
    <row r="4841" spans="1:12">
      <c r="A4841" t="s">
        <v>14139</v>
      </c>
      <c r="B4841" t="s">
        <v>14140</v>
      </c>
      <c r="C4841" t="s">
        <v>14162</v>
      </c>
      <c r="D4841" t="s">
        <v>14142</v>
      </c>
      <c r="E4841" t="s">
        <v>1487</v>
      </c>
      <c r="F4841" t="s">
        <v>14163</v>
      </c>
      <c r="J4841" t="s">
        <v>1487</v>
      </c>
      <c r="K4841" t="s">
        <v>14144</v>
      </c>
      <c r="L4841" t="s">
        <v>3638</v>
      </c>
    </row>
    <row r="4842" spans="1:12">
      <c r="A4842" t="s">
        <v>14139</v>
      </c>
      <c r="B4842" t="s">
        <v>14140</v>
      </c>
      <c r="C4842" t="s">
        <v>14164</v>
      </c>
      <c r="D4842" t="s">
        <v>14142</v>
      </c>
      <c r="E4842" t="s">
        <v>14165</v>
      </c>
      <c r="F4842" t="s">
        <v>14166</v>
      </c>
      <c r="J4842" t="s">
        <v>14165</v>
      </c>
      <c r="K4842" t="s">
        <v>14144</v>
      </c>
      <c r="L4842" t="s">
        <v>3638</v>
      </c>
    </row>
    <row r="4843" spans="1:12">
      <c r="A4843" t="s">
        <v>14139</v>
      </c>
      <c r="B4843" t="s">
        <v>14140</v>
      </c>
      <c r="C4843" t="s">
        <v>14167</v>
      </c>
      <c r="D4843" t="s">
        <v>14142</v>
      </c>
      <c r="E4843" t="s">
        <v>1544</v>
      </c>
      <c r="F4843" t="s">
        <v>14168</v>
      </c>
      <c r="J4843" t="s">
        <v>1544</v>
      </c>
      <c r="K4843" t="s">
        <v>14144</v>
      </c>
      <c r="L4843" t="s">
        <v>3638</v>
      </c>
    </row>
    <row r="4844" spans="1:12">
      <c r="A4844" t="s">
        <v>14139</v>
      </c>
      <c r="B4844" t="s">
        <v>14140</v>
      </c>
      <c r="C4844" t="s">
        <v>14169</v>
      </c>
      <c r="D4844" t="s">
        <v>14142</v>
      </c>
      <c r="E4844" t="s">
        <v>14170</v>
      </c>
      <c r="F4844" t="s">
        <v>14171</v>
      </c>
      <c r="J4844" t="s">
        <v>14170</v>
      </c>
      <c r="K4844" t="s">
        <v>14144</v>
      </c>
      <c r="L4844" t="s">
        <v>3638</v>
      </c>
    </row>
    <row r="4845" spans="1:12">
      <c r="A4845" t="s">
        <v>14139</v>
      </c>
      <c r="B4845" t="s">
        <v>14140</v>
      </c>
      <c r="C4845" t="s">
        <v>14172</v>
      </c>
      <c r="D4845" t="s">
        <v>14142</v>
      </c>
      <c r="E4845" t="s">
        <v>14173</v>
      </c>
      <c r="F4845" t="s">
        <v>14174</v>
      </c>
      <c r="J4845" t="s">
        <v>14173</v>
      </c>
      <c r="K4845" t="s">
        <v>14144</v>
      </c>
      <c r="L4845" t="s">
        <v>3638</v>
      </c>
    </row>
    <row r="4846" spans="1:12">
      <c r="A4846" t="s">
        <v>14139</v>
      </c>
      <c r="B4846" t="s">
        <v>14140</v>
      </c>
      <c r="C4846" t="s">
        <v>14175</v>
      </c>
      <c r="D4846" t="s">
        <v>14142</v>
      </c>
      <c r="E4846" t="s">
        <v>14176</v>
      </c>
      <c r="F4846" t="s">
        <v>14177</v>
      </c>
      <c r="J4846" t="s">
        <v>14176</v>
      </c>
      <c r="K4846" t="s">
        <v>14144</v>
      </c>
      <c r="L4846" t="s">
        <v>3638</v>
      </c>
    </row>
    <row r="4847" spans="1:12">
      <c r="A4847" t="s">
        <v>14139</v>
      </c>
      <c r="B4847" t="s">
        <v>14140</v>
      </c>
      <c r="C4847" t="s">
        <v>14178</v>
      </c>
      <c r="D4847" t="s">
        <v>14142</v>
      </c>
      <c r="E4847" t="s">
        <v>8516</v>
      </c>
      <c r="F4847" t="s">
        <v>14179</v>
      </c>
    </row>
    <row r="4848" spans="1:12">
      <c r="A4848" t="s">
        <v>14139</v>
      </c>
      <c r="B4848" t="s">
        <v>14140</v>
      </c>
      <c r="C4848" t="s">
        <v>14180</v>
      </c>
      <c r="D4848" t="s">
        <v>14142</v>
      </c>
      <c r="E4848" t="s">
        <v>6756</v>
      </c>
      <c r="F4848" t="s">
        <v>14181</v>
      </c>
    </row>
    <row r="4849" spans="1:12">
      <c r="A4849" t="s">
        <v>14139</v>
      </c>
      <c r="B4849" t="s">
        <v>14140</v>
      </c>
      <c r="C4849" t="s">
        <v>14182</v>
      </c>
      <c r="D4849" t="s">
        <v>14142</v>
      </c>
      <c r="E4849" t="s">
        <v>14183</v>
      </c>
      <c r="F4849" t="s">
        <v>14184</v>
      </c>
      <c r="J4849" t="s">
        <v>14183</v>
      </c>
      <c r="K4849" t="s">
        <v>14144</v>
      </c>
      <c r="L4849" t="s">
        <v>3638</v>
      </c>
    </row>
    <row r="4850" spans="1:12">
      <c r="A4850" t="s">
        <v>14139</v>
      </c>
      <c r="B4850" t="s">
        <v>14140</v>
      </c>
      <c r="C4850" t="s">
        <v>14185</v>
      </c>
      <c r="D4850" t="s">
        <v>14142</v>
      </c>
      <c r="E4850" t="s">
        <v>8566</v>
      </c>
      <c r="F4850" t="s">
        <v>14186</v>
      </c>
    </row>
    <row r="4851" spans="1:12">
      <c r="A4851" t="s">
        <v>14139</v>
      </c>
      <c r="B4851" t="s">
        <v>14140</v>
      </c>
      <c r="C4851" t="s">
        <v>14187</v>
      </c>
      <c r="D4851" t="s">
        <v>14142</v>
      </c>
      <c r="E4851" t="s">
        <v>14188</v>
      </c>
      <c r="F4851" t="s">
        <v>14189</v>
      </c>
      <c r="J4851" t="s">
        <v>14188</v>
      </c>
      <c r="K4851" t="s">
        <v>14144</v>
      </c>
      <c r="L4851" t="s">
        <v>3638</v>
      </c>
    </row>
    <row r="4852" spans="1:12">
      <c r="A4852" t="s">
        <v>14139</v>
      </c>
      <c r="B4852" t="s">
        <v>14140</v>
      </c>
      <c r="C4852" t="s">
        <v>14190</v>
      </c>
      <c r="D4852" t="s">
        <v>14142</v>
      </c>
      <c r="E4852" t="s">
        <v>14191</v>
      </c>
      <c r="F4852" t="s">
        <v>14192</v>
      </c>
    </row>
    <row r="4853" spans="1:12">
      <c r="A4853" t="s">
        <v>14139</v>
      </c>
      <c r="B4853" t="s">
        <v>14140</v>
      </c>
      <c r="C4853" t="s">
        <v>14193</v>
      </c>
      <c r="D4853" t="s">
        <v>14142</v>
      </c>
      <c r="E4853" t="s">
        <v>14194</v>
      </c>
      <c r="F4853" t="s">
        <v>14195</v>
      </c>
      <c r="J4853" t="s">
        <v>14194</v>
      </c>
      <c r="K4853" t="s">
        <v>14144</v>
      </c>
      <c r="L4853" t="s">
        <v>3638</v>
      </c>
    </row>
    <row r="4854" spans="1:12">
      <c r="A4854" t="s">
        <v>14139</v>
      </c>
      <c r="B4854" t="s">
        <v>14140</v>
      </c>
      <c r="C4854" t="s">
        <v>14196</v>
      </c>
      <c r="D4854" t="s">
        <v>14142</v>
      </c>
      <c r="E4854" t="s">
        <v>14197</v>
      </c>
      <c r="F4854" t="s">
        <v>14198</v>
      </c>
      <c r="J4854" t="s">
        <v>14197</v>
      </c>
      <c r="K4854" t="s">
        <v>14144</v>
      </c>
      <c r="L4854" t="s">
        <v>3638</v>
      </c>
    </row>
    <row r="4855" spans="1:12">
      <c r="A4855" t="s">
        <v>14139</v>
      </c>
      <c r="B4855" t="s">
        <v>14140</v>
      </c>
      <c r="C4855" t="s">
        <v>14199</v>
      </c>
      <c r="D4855" t="s">
        <v>14142</v>
      </c>
      <c r="E4855" t="s">
        <v>10297</v>
      </c>
      <c r="F4855" t="s">
        <v>14200</v>
      </c>
    </row>
    <row r="4856" spans="1:12">
      <c r="A4856" t="s">
        <v>14139</v>
      </c>
      <c r="B4856" t="s">
        <v>14140</v>
      </c>
      <c r="C4856" t="s">
        <v>14201</v>
      </c>
      <c r="D4856" t="s">
        <v>14142</v>
      </c>
      <c r="E4856" t="s">
        <v>14202</v>
      </c>
      <c r="F4856" t="s">
        <v>14203</v>
      </c>
    </row>
    <row r="4857" spans="1:12">
      <c r="A4857" t="s">
        <v>14139</v>
      </c>
      <c r="B4857" t="s">
        <v>14140</v>
      </c>
      <c r="C4857" t="s">
        <v>14204</v>
      </c>
      <c r="D4857" t="s">
        <v>14142</v>
      </c>
      <c r="E4857" t="s">
        <v>14205</v>
      </c>
      <c r="F4857" t="s">
        <v>14206</v>
      </c>
    </row>
    <row r="4858" spans="1:12">
      <c r="A4858" t="s">
        <v>14139</v>
      </c>
      <c r="B4858" t="s">
        <v>14140</v>
      </c>
      <c r="C4858" t="s">
        <v>14207</v>
      </c>
      <c r="D4858" t="s">
        <v>14142</v>
      </c>
      <c r="E4858" t="s">
        <v>14208</v>
      </c>
      <c r="F4858" t="s">
        <v>14209</v>
      </c>
      <c r="J4858" t="s">
        <v>14208</v>
      </c>
      <c r="K4858" t="s">
        <v>14144</v>
      </c>
      <c r="L4858" t="s">
        <v>3638</v>
      </c>
    </row>
    <row r="4859" spans="1:12">
      <c r="A4859" t="s">
        <v>14139</v>
      </c>
      <c r="B4859" t="s">
        <v>14140</v>
      </c>
      <c r="C4859" t="s">
        <v>14210</v>
      </c>
      <c r="D4859" t="s">
        <v>14142</v>
      </c>
      <c r="E4859" t="s">
        <v>6372</v>
      </c>
      <c r="F4859" t="s">
        <v>14211</v>
      </c>
    </row>
    <row r="4860" spans="1:12">
      <c r="A4860" t="s">
        <v>14139</v>
      </c>
      <c r="B4860" t="s">
        <v>14140</v>
      </c>
      <c r="C4860" t="s">
        <v>14212</v>
      </c>
      <c r="D4860" t="s">
        <v>14142</v>
      </c>
      <c r="E4860" t="s">
        <v>14213</v>
      </c>
      <c r="F4860" t="s">
        <v>14214</v>
      </c>
      <c r="J4860" t="s">
        <v>14213</v>
      </c>
      <c r="K4860" t="s">
        <v>14144</v>
      </c>
      <c r="L4860" t="s">
        <v>3638</v>
      </c>
    </row>
    <row r="4861" spans="1:12">
      <c r="A4861" t="s">
        <v>14139</v>
      </c>
      <c r="B4861" t="s">
        <v>14140</v>
      </c>
      <c r="C4861" t="s">
        <v>14215</v>
      </c>
      <c r="D4861" t="s">
        <v>14142</v>
      </c>
      <c r="E4861" t="s">
        <v>14216</v>
      </c>
      <c r="F4861" t="s">
        <v>14217</v>
      </c>
      <c r="J4861" t="s">
        <v>14216</v>
      </c>
      <c r="K4861" t="s">
        <v>14144</v>
      </c>
      <c r="L4861" t="s">
        <v>3638</v>
      </c>
    </row>
    <row r="4862" spans="1:12">
      <c r="A4862" t="s">
        <v>14139</v>
      </c>
      <c r="B4862" t="s">
        <v>14140</v>
      </c>
      <c r="C4862" t="s">
        <v>14218</v>
      </c>
      <c r="D4862" t="s">
        <v>14142</v>
      </c>
      <c r="E4862" t="s">
        <v>14219</v>
      </c>
      <c r="F4862" t="s">
        <v>14220</v>
      </c>
    </row>
    <row r="4863" spans="1:12">
      <c r="A4863" t="s">
        <v>14139</v>
      </c>
      <c r="B4863" t="s">
        <v>14140</v>
      </c>
      <c r="C4863" t="s">
        <v>14221</v>
      </c>
      <c r="D4863" t="s">
        <v>14142</v>
      </c>
      <c r="E4863" t="s">
        <v>4900</v>
      </c>
      <c r="F4863" t="s">
        <v>14222</v>
      </c>
      <c r="J4863" t="s">
        <v>4900</v>
      </c>
      <c r="K4863" t="s">
        <v>14144</v>
      </c>
      <c r="L4863" t="s">
        <v>3638</v>
      </c>
    </row>
    <row r="4864" spans="1:12">
      <c r="A4864" t="s">
        <v>14139</v>
      </c>
      <c r="B4864" t="s">
        <v>14140</v>
      </c>
      <c r="C4864" t="s">
        <v>14223</v>
      </c>
      <c r="D4864" t="s">
        <v>14142</v>
      </c>
      <c r="E4864" t="s">
        <v>14224</v>
      </c>
      <c r="F4864" t="s">
        <v>14225</v>
      </c>
      <c r="J4864" t="s">
        <v>14224</v>
      </c>
      <c r="K4864" t="s">
        <v>14144</v>
      </c>
      <c r="L4864" t="s">
        <v>3638</v>
      </c>
    </row>
    <row r="4865" spans="1:12">
      <c r="A4865" t="s">
        <v>14139</v>
      </c>
      <c r="B4865" t="s">
        <v>14140</v>
      </c>
      <c r="C4865" t="s">
        <v>14226</v>
      </c>
      <c r="D4865" t="s">
        <v>14142</v>
      </c>
      <c r="E4865" t="s">
        <v>14227</v>
      </c>
      <c r="F4865" t="s">
        <v>14228</v>
      </c>
      <c r="J4865" t="s">
        <v>14227</v>
      </c>
      <c r="K4865" t="s">
        <v>14144</v>
      </c>
      <c r="L4865" t="s">
        <v>3638</v>
      </c>
    </row>
    <row r="4866" spans="1:12">
      <c r="A4866" t="s">
        <v>14139</v>
      </c>
      <c r="B4866" t="s">
        <v>14140</v>
      </c>
      <c r="C4866" t="s">
        <v>14229</v>
      </c>
      <c r="D4866" t="s">
        <v>14142</v>
      </c>
      <c r="E4866" t="s">
        <v>14230</v>
      </c>
      <c r="F4866" t="s">
        <v>14231</v>
      </c>
      <c r="J4866" t="s">
        <v>14230</v>
      </c>
      <c r="K4866" t="s">
        <v>14144</v>
      </c>
      <c r="L4866" t="s">
        <v>3638</v>
      </c>
    </row>
    <row r="4867" spans="1:12">
      <c r="A4867" t="s">
        <v>14139</v>
      </c>
      <c r="B4867" t="s">
        <v>14140</v>
      </c>
      <c r="C4867" t="s">
        <v>14232</v>
      </c>
      <c r="D4867" t="s">
        <v>14142</v>
      </c>
      <c r="E4867" t="s">
        <v>14233</v>
      </c>
      <c r="F4867" t="s">
        <v>14234</v>
      </c>
      <c r="J4867" t="s">
        <v>14233</v>
      </c>
      <c r="K4867" t="s">
        <v>14144</v>
      </c>
      <c r="L4867" t="s">
        <v>3638</v>
      </c>
    </row>
    <row r="4868" spans="1:12">
      <c r="A4868" t="s">
        <v>14139</v>
      </c>
      <c r="B4868" t="s">
        <v>14140</v>
      </c>
      <c r="C4868" t="s">
        <v>14235</v>
      </c>
      <c r="D4868" t="s">
        <v>14142</v>
      </c>
      <c r="E4868" t="s">
        <v>14236</v>
      </c>
      <c r="F4868" t="s">
        <v>14237</v>
      </c>
      <c r="J4868" t="s">
        <v>14236</v>
      </c>
      <c r="K4868" t="s">
        <v>14144</v>
      </c>
      <c r="L4868" t="s">
        <v>3638</v>
      </c>
    </row>
    <row r="4869" spans="1:12">
      <c r="A4869" t="s">
        <v>14139</v>
      </c>
      <c r="B4869" t="s">
        <v>14140</v>
      </c>
      <c r="C4869" t="s">
        <v>14238</v>
      </c>
      <c r="D4869" t="s">
        <v>14142</v>
      </c>
      <c r="E4869" t="s">
        <v>14239</v>
      </c>
      <c r="F4869" t="s">
        <v>14240</v>
      </c>
    </row>
    <row r="4870" spans="1:12">
      <c r="A4870" t="s">
        <v>14139</v>
      </c>
      <c r="B4870" t="s">
        <v>14140</v>
      </c>
      <c r="C4870" t="s">
        <v>14241</v>
      </c>
      <c r="D4870" t="s">
        <v>14142</v>
      </c>
      <c r="E4870" t="s">
        <v>14242</v>
      </c>
      <c r="F4870" t="s">
        <v>14243</v>
      </c>
    </row>
    <row r="4871" spans="1:12">
      <c r="A4871" t="s">
        <v>14139</v>
      </c>
      <c r="B4871" t="s">
        <v>14140</v>
      </c>
      <c r="C4871" t="s">
        <v>14244</v>
      </c>
      <c r="D4871" t="s">
        <v>14142</v>
      </c>
      <c r="E4871" t="s">
        <v>14245</v>
      </c>
      <c r="F4871" t="s">
        <v>14246</v>
      </c>
    </row>
    <row r="4872" spans="1:12">
      <c r="A4872" t="s">
        <v>14139</v>
      </c>
      <c r="B4872" t="s">
        <v>14140</v>
      </c>
      <c r="C4872" t="s">
        <v>14247</v>
      </c>
      <c r="D4872" t="s">
        <v>14142</v>
      </c>
      <c r="E4872" t="s">
        <v>14248</v>
      </c>
      <c r="F4872" t="s">
        <v>14249</v>
      </c>
      <c r="J4872" t="s">
        <v>14248</v>
      </c>
      <c r="K4872" t="s">
        <v>14144</v>
      </c>
      <c r="L4872" t="s">
        <v>3638</v>
      </c>
    </row>
    <row r="4873" spans="1:12">
      <c r="A4873" t="s">
        <v>14139</v>
      </c>
      <c r="B4873" t="s">
        <v>14140</v>
      </c>
      <c r="C4873" t="s">
        <v>14250</v>
      </c>
      <c r="D4873" t="s">
        <v>14142</v>
      </c>
      <c r="E4873" t="s">
        <v>675</v>
      </c>
      <c r="F4873" t="s">
        <v>14251</v>
      </c>
    </row>
    <row r="4874" spans="1:12">
      <c r="A4874" t="s">
        <v>14139</v>
      </c>
      <c r="B4874" t="s">
        <v>14140</v>
      </c>
      <c r="C4874" t="s">
        <v>14252</v>
      </c>
      <c r="D4874" t="s">
        <v>14142</v>
      </c>
      <c r="E4874" t="s">
        <v>14253</v>
      </c>
      <c r="F4874" t="s">
        <v>14254</v>
      </c>
      <c r="J4874" t="s">
        <v>14253</v>
      </c>
      <c r="K4874" t="s">
        <v>14144</v>
      </c>
      <c r="L4874" t="s">
        <v>3638</v>
      </c>
    </row>
    <row r="4875" spans="1:12">
      <c r="A4875" t="s">
        <v>14139</v>
      </c>
      <c r="B4875" t="s">
        <v>14140</v>
      </c>
      <c r="C4875" t="s">
        <v>14255</v>
      </c>
      <c r="D4875" t="s">
        <v>14142</v>
      </c>
      <c r="E4875" t="s">
        <v>14256</v>
      </c>
      <c r="F4875" t="s">
        <v>14257</v>
      </c>
      <c r="J4875" t="s">
        <v>14256</v>
      </c>
      <c r="K4875" t="s">
        <v>14144</v>
      </c>
      <c r="L4875" t="s">
        <v>3638</v>
      </c>
    </row>
    <row r="4876" spans="1:12">
      <c r="A4876" t="s">
        <v>14139</v>
      </c>
      <c r="B4876" t="s">
        <v>14140</v>
      </c>
      <c r="C4876" t="s">
        <v>14258</v>
      </c>
      <c r="D4876" t="s">
        <v>14142</v>
      </c>
      <c r="E4876" t="s">
        <v>14259</v>
      </c>
      <c r="F4876" t="s">
        <v>14260</v>
      </c>
      <c r="J4876" t="s">
        <v>14259</v>
      </c>
      <c r="K4876" t="s">
        <v>14144</v>
      </c>
      <c r="L4876" t="s">
        <v>3638</v>
      </c>
    </row>
    <row r="4877" spans="1:12">
      <c r="A4877" t="s">
        <v>14139</v>
      </c>
      <c r="B4877" t="s">
        <v>14140</v>
      </c>
      <c r="C4877" t="s">
        <v>14261</v>
      </c>
      <c r="D4877" t="s">
        <v>14142</v>
      </c>
      <c r="E4877" t="s">
        <v>12481</v>
      </c>
      <c r="F4877" t="s">
        <v>14262</v>
      </c>
    </row>
    <row r="4878" spans="1:12">
      <c r="A4878" t="s">
        <v>14139</v>
      </c>
      <c r="B4878" t="s">
        <v>14140</v>
      </c>
      <c r="C4878" t="s">
        <v>14263</v>
      </c>
      <c r="D4878" t="s">
        <v>14142</v>
      </c>
      <c r="E4878" t="s">
        <v>14264</v>
      </c>
      <c r="F4878" t="s">
        <v>14265</v>
      </c>
      <c r="J4878" t="s">
        <v>14264</v>
      </c>
      <c r="K4878" t="s">
        <v>14144</v>
      </c>
      <c r="L4878" t="s">
        <v>3638</v>
      </c>
    </row>
    <row r="4879" spans="1:12">
      <c r="A4879" t="s">
        <v>14139</v>
      </c>
      <c r="B4879" t="s">
        <v>14140</v>
      </c>
      <c r="C4879" t="s">
        <v>14266</v>
      </c>
      <c r="D4879" t="s">
        <v>14142</v>
      </c>
      <c r="E4879" t="s">
        <v>14267</v>
      </c>
      <c r="F4879" t="s">
        <v>14268</v>
      </c>
      <c r="J4879" t="s">
        <v>14267</v>
      </c>
      <c r="K4879" t="s">
        <v>14144</v>
      </c>
      <c r="L4879" t="s">
        <v>3638</v>
      </c>
    </row>
    <row r="4880" spans="1:12">
      <c r="A4880" t="s">
        <v>14139</v>
      </c>
      <c r="B4880" t="s">
        <v>14140</v>
      </c>
      <c r="C4880" t="s">
        <v>14269</v>
      </c>
      <c r="D4880" t="s">
        <v>14142</v>
      </c>
      <c r="E4880" t="s">
        <v>14270</v>
      </c>
      <c r="F4880" t="s">
        <v>14271</v>
      </c>
      <c r="J4880" t="s">
        <v>14270</v>
      </c>
      <c r="K4880" t="s">
        <v>14144</v>
      </c>
      <c r="L4880" t="s">
        <v>3638</v>
      </c>
    </row>
    <row r="4881" spans="1:12">
      <c r="A4881" t="s">
        <v>14139</v>
      </c>
      <c r="B4881" t="s">
        <v>14140</v>
      </c>
      <c r="C4881" t="s">
        <v>14272</v>
      </c>
      <c r="D4881" t="s">
        <v>14142</v>
      </c>
      <c r="E4881" t="s">
        <v>14273</v>
      </c>
      <c r="F4881" t="s">
        <v>14274</v>
      </c>
      <c r="J4881" t="s">
        <v>14273</v>
      </c>
      <c r="K4881" t="s">
        <v>14144</v>
      </c>
      <c r="L4881" t="s">
        <v>3638</v>
      </c>
    </row>
    <row r="4882" spans="1:12">
      <c r="A4882" t="s">
        <v>14139</v>
      </c>
      <c r="B4882" t="s">
        <v>14140</v>
      </c>
      <c r="C4882" t="s">
        <v>14275</v>
      </c>
      <c r="D4882" t="s">
        <v>14142</v>
      </c>
      <c r="E4882" t="s">
        <v>8975</v>
      </c>
      <c r="F4882" t="s">
        <v>14276</v>
      </c>
      <c r="J4882" t="s">
        <v>8975</v>
      </c>
      <c r="K4882" t="s">
        <v>14144</v>
      </c>
      <c r="L4882" t="s">
        <v>3638</v>
      </c>
    </row>
    <row r="4883" spans="1:12">
      <c r="A4883" t="s">
        <v>14139</v>
      </c>
      <c r="B4883" t="s">
        <v>14140</v>
      </c>
      <c r="C4883" t="s">
        <v>14277</v>
      </c>
      <c r="D4883" t="s">
        <v>14142</v>
      </c>
      <c r="E4883" t="s">
        <v>14278</v>
      </c>
      <c r="F4883" t="s">
        <v>14279</v>
      </c>
    </row>
    <row r="4884" spans="1:12">
      <c r="A4884" t="s">
        <v>14139</v>
      </c>
      <c r="B4884" t="s">
        <v>14140</v>
      </c>
      <c r="C4884" t="s">
        <v>14280</v>
      </c>
      <c r="D4884" t="s">
        <v>14142</v>
      </c>
      <c r="E4884" t="s">
        <v>14281</v>
      </c>
      <c r="F4884" t="s">
        <v>14282</v>
      </c>
      <c r="J4884" t="s">
        <v>14281</v>
      </c>
      <c r="K4884" t="s">
        <v>14144</v>
      </c>
      <c r="L4884" t="s">
        <v>3638</v>
      </c>
    </row>
    <row r="4885" spans="1:12">
      <c r="A4885" t="s">
        <v>14139</v>
      </c>
      <c r="B4885" t="s">
        <v>14140</v>
      </c>
      <c r="C4885" t="s">
        <v>14283</v>
      </c>
      <c r="D4885" t="s">
        <v>14142</v>
      </c>
      <c r="E4885" t="s">
        <v>14284</v>
      </c>
      <c r="F4885" t="s">
        <v>14285</v>
      </c>
      <c r="J4885" t="s">
        <v>14284</v>
      </c>
      <c r="K4885" t="s">
        <v>14144</v>
      </c>
      <c r="L4885" t="s">
        <v>3638</v>
      </c>
    </row>
    <row r="4886" spans="1:12">
      <c r="A4886" t="s">
        <v>14139</v>
      </c>
      <c r="B4886" t="s">
        <v>14140</v>
      </c>
      <c r="C4886" t="s">
        <v>14286</v>
      </c>
      <c r="D4886" t="s">
        <v>14142</v>
      </c>
      <c r="E4886" t="s">
        <v>9027</v>
      </c>
      <c r="F4886" t="s">
        <v>14287</v>
      </c>
    </row>
    <row r="4887" spans="1:12">
      <c r="A4887" t="s">
        <v>14139</v>
      </c>
      <c r="B4887" t="s">
        <v>14140</v>
      </c>
      <c r="C4887" t="s">
        <v>14288</v>
      </c>
      <c r="D4887" t="s">
        <v>14142</v>
      </c>
      <c r="E4887" t="s">
        <v>14289</v>
      </c>
      <c r="F4887" t="s">
        <v>14290</v>
      </c>
      <c r="J4887" t="s">
        <v>14289</v>
      </c>
      <c r="K4887" t="s">
        <v>14144</v>
      </c>
      <c r="L4887" t="s">
        <v>3638</v>
      </c>
    </row>
    <row r="4888" spans="1:12">
      <c r="A4888" t="s">
        <v>14139</v>
      </c>
      <c r="B4888" t="s">
        <v>14140</v>
      </c>
      <c r="C4888" t="s">
        <v>14291</v>
      </c>
      <c r="D4888" t="s">
        <v>14142</v>
      </c>
      <c r="E4888" t="s">
        <v>14292</v>
      </c>
      <c r="F4888" t="s">
        <v>14293</v>
      </c>
      <c r="J4888" t="s">
        <v>14292</v>
      </c>
      <c r="K4888" t="s">
        <v>14144</v>
      </c>
      <c r="L4888" t="s">
        <v>3638</v>
      </c>
    </row>
    <row r="4889" spans="1:12">
      <c r="A4889" t="s">
        <v>14139</v>
      </c>
      <c r="B4889" t="s">
        <v>14140</v>
      </c>
      <c r="C4889" t="s">
        <v>14294</v>
      </c>
      <c r="D4889" t="s">
        <v>14142</v>
      </c>
      <c r="E4889" t="s">
        <v>14295</v>
      </c>
      <c r="F4889" t="s">
        <v>14296</v>
      </c>
      <c r="J4889" t="s">
        <v>14295</v>
      </c>
      <c r="K4889" t="s">
        <v>14144</v>
      </c>
      <c r="L4889" t="s">
        <v>3638</v>
      </c>
    </row>
    <row r="4890" spans="1:12">
      <c r="A4890" t="s">
        <v>14139</v>
      </c>
      <c r="B4890" t="s">
        <v>14140</v>
      </c>
      <c r="C4890" t="s">
        <v>14297</v>
      </c>
      <c r="D4890" t="s">
        <v>14142</v>
      </c>
      <c r="E4890" t="s">
        <v>14298</v>
      </c>
      <c r="F4890" t="s">
        <v>14299</v>
      </c>
      <c r="J4890" t="s">
        <v>14298</v>
      </c>
      <c r="K4890" t="s">
        <v>14144</v>
      </c>
      <c r="L4890" t="s">
        <v>3638</v>
      </c>
    </row>
    <row r="4891" spans="1:12">
      <c r="A4891" t="s">
        <v>14139</v>
      </c>
      <c r="B4891" t="s">
        <v>14140</v>
      </c>
      <c r="C4891" t="s">
        <v>14300</v>
      </c>
      <c r="D4891" t="s">
        <v>14142</v>
      </c>
      <c r="E4891" t="s">
        <v>3486</v>
      </c>
      <c r="F4891" t="s">
        <v>14301</v>
      </c>
    </row>
    <row r="4892" spans="1:12">
      <c r="A4892" t="s">
        <v>14139</v>
      </c>
      <c r="B4892" t="s">
        <v>14140</v>
      </c>
      <c r="C4892" t="s">
        <v>14302</v>
      </c>
      <c r="D4892" t="s">
        <v>14142</v>
      </c>
      <c r="E4892" t="s">
        <v>14303</v>
      </c>
      <c r="F4892" t="s">
        <v>14304</v>
      </c>
      <c r="J4892" t="s">
        <v>14303</v>
      </c>
      <c r="K4892" t="s">
        <v>14144</v>
      </c>
      <c r="L4892" t="s">
        <v>3638</v>
      </c>
    </row>
    <row r="4893" spans="1:12">
      <c r="A4893" t="s">
        <v>14139</v>
      </c>
      <c r="B4893" t="s">
        <v>14140</v>
      </c>
      <c r="C4893" t="s">
        <v>14305</v>
      </c>
      <c r="D4893" t="s">
        <v>14142</v>
      </c>
      <c r="E4893" t="s">
        <v>14306</v>
      </c>
      <c r="F4893" t="s">
        <v>9307</v>
      </c>
      <c r="J4893" t="s">
        <v>14306</v>
      </c>
      <c r="K4893" t="s">
        <v>14144</v>
      </c>
      <c r="L4893" t="s">
        <v>3638</v>
      </c>
    </row>
    <row r="4894" spans="1:12">
      <c r="A4894" t="s">
        <v>14139</v>
      </c>
      <c r="B4894" t="s">
        <v>14140</v>
      </c>
      <c r="C4894" t="s">
        <v>14307</v>
      </c>
      <c r="D4894" t="s">
        <v>14142</v>
      </c>
      <c r="E4894" t="s">
        <v>14308</v>
      </c>
      <c r="F4894" t="s">
        <v>14309</v>
      </c>
      <c r="J4894" t="s">
        <v>14308</v>
      </c>
      <c r="K4894" t="s">
        <v>14144</v>
      </c>
      <c r="L4894" t="s">
        <v>3638</v>
      </c>
    </row>
    <row r="4895" spans="1:12">
      <c r="A4895" t="s">
        <v>14139</v>
      </c>
      <c r="B4895" t="s">
        <v>14140</v>
      </c>
      <c r="C4895" t="s">
        <v>14310</v>
      </c>
      <c r="D4895" t="s">
        <v>14142</v>
      </c>
      <c r="E4895" t="s">
        <v>9275</v>
      </c>
      <c r="F4895" t="s">
        <v>14311</v>
      </c>
      <c r="J4895" t="s">
        <v>9275</v>
      </c>
      <c r="K4895" t="s">
        <v>14144</v>
      </c>
      <c r="L4895" t="s">
        <v>3638</v>
      </c>
    </row>
    <row r="4896" spans="1:12">
      <c r="A4896" t="s">
        <v>14139</v>
      </c>
      <c r="B4896" t="s">
        <v>14140</v>
      </c>
      <c r="C4896" t="s">
        <v>14312</v>
      </c>
      <c r="D4896" t="s">
        <v>14142</v>
      </c>
      <c r="E4896" t="s">
        <v>14313</v>
      </c>
      <c r="F4896" t="s">
        <v>14314</v>
      </c>
      <c r="J4896" t="s">
        <v>14313</v>
      </c>
      <c r="K4896" t="s">
        <v>14144</v>
      </c>
      <c r="L4896" t="s">
        <v>3638</v>
      </c>
    </row>
    <row r="4897" spans="1:12">
      <c r="A4897" t="s">
        <v>14139</v>
      </c>
      <c r="B4897" t="s">
        <v>14140</v>
      </c>
      <c r="C4897" t="s">
        <v>14315</v>
      </c>
      <c r="D4897" t="s">
        <v>14142</v>
      </c>
      <c r="E4897" t="s">
        <v>14316</v>
      </c>
      <c r="F4897" t="s">
        <v>14317</v>
      </c>
    </row>
    <row r="4898" spans="1:12">
      <c r="A4898" t="s">
        <v>14139</v>
      </c>
      <c r="B4898" t="s">
        <v>14140</v>
      </c>
      <c r="C4898" t="s">
        <v>14318</v>
      </c>
      <c r="D4898" t="s">
        <v>14142</v>
      </c>
      <c r="E4898" t="s">
        <v>14319</v>
      </c>
      <c r="F4898" t="s">
        <v>14320</v>
      </c>
    </row>
    <row r="4899" spans="1:12">
      <c r="A4899" t="s">
        <v>14139</v>
      </c>
      <c r="B4899" t="s">
        <v>14140</v>
      </c>
      <c r="C4899" t="s">
        <v>14321</v>
      </c>
      <c r="D4899" t="s">
        <v>14142</v>
      </c>
      <c r="E4899" t="s">
        <v>14322</v>
      </c>
      <c r="F4899" t="s">
        <v>14323</v>
      </c>
      <c r="J4899" t="s">
        <v>14322</v>
      </c>
      <c r="K4899" t="s">
        <v>14144</v>
      </c>
      <c r="L4899" t="s">
        <v>3638</v>
      </c>
    </row>
    <row r="4900" spans="1:12">
      <c r="A4900" t="s">
        <v>14139</v>
      </c>
      <c r="B4900" t="s">
        <v>14140</v>
      </c>
      <c r="C4900" t="s">
        <v>14324</v>
      </c>
      <c r="D4900" t="s">
        <v>14142</v>
      </c>
      <c r="E4900" t="s">
        <v>14325</v>
      </c>
      <c r="F4900" t="s">
        <v>14326</v>
      </c>
      <c r="J4900" t="s">
        <v>14325</v>
      </c>
      <c r="K4900" t="s">
        <v>14144</v>
      </c>
      <c r="L4900" t="s">
        <v>3638</v>
      </c>
    </row>
    <row r="4901" spans="1:12">
      <c r="A4901" t="s">
        <v>14139</v>
      </c>
      <c r="B4901" t="s">
        <v>14140</v>
      </c>
      <c r="C4901" t="s">
        <v>14327</v>
      </c>
      <c r="D4901" t="s">
        <v>14142</v>
      </c>
      <c r="E4901" t="s">
        <v>3354</v>
      </c>
      <c r="F4901" t="s">
        <v>14328</v>
      </c>
      <c r="J4901" t="s">
        <v>3354</v>
      </c>
      <c r="K4901" t="s">
        <v>14144</v>
      </c>
      <c r="L4901" t="s">
        <v>3638</v>
      </c>
    </row>
    <row r="4902" spans="1:12">
      <c r="A4902" t="s">
        <v>14139</v>
      </c>
      <c r="B4902" t="s">
        <v>14140</v>
      </c>
      <c r="C4902" t="s">
        <v>14329</v>
      </c>
      <c r="D4902" t="s">
        <v>14142</v>
      </c>
      <c r="E4902" t="s">
        <v>14330</v>
      </c>
      <c r="F4902" t="s">
        <v>14331</v>
      </c>
      <c r="J4902" t="s">
        <v>14330</v>
      </c>
      <c r="K4902" t="s">
        <v>14144</v>
      </c>
      <c r="L4902" t="s">
        <v>3638</v>
      </c>
    </row>
    <row r="4903" spans="1:12">
      <c r="A4903" t="s">
        <v>14139</v>
      </c>
      <c r="B4903" t="s">
        <v>14140</v>
      </c>
      <c r="C4903" t="s">
        <v>14332</v>
      </c>
      <c r="D4903" t="s">
        <v>14142</v>
      </c>
      <c r="E4903" t="s">
        <v>14333</v>
      </c>
      <c r="F4903" t="s">
        <v>14334</v>
      </c>
      <c r="J4903" t="s">
        <v>14333</v>
      </c>
      <c r="K4903" t="s">
        <v>14144</v>
      </c>
      <c r="L4903" t="s">
        <v>3638</v>
      </c>
    </row>
    <row r="4904" spans="1:12">
      <c r="A4904" t="s">
        <v>14139</v>
      </c>
      <c r="B4904" t="s">
        <v>14140</v>
      </c>
      <c r="C4904" t="s">
        <v>14335</v>
      </c>
      <c r="D4904" t="s">
        <v>14142</v>
      </c>
      <c r="E4904" t="s">
        <v>14336</v>
      </c>
      <c r="F4904" t="s">
        <v>14337</v>
      </c>
      <c r="J4904" t="s">
        <v>14336</v>
      </c>
      <c r="K4904" t="s">
        <v>14144</v>
      </c>
      <c r="L4904" t="s">
        <v>3638</v>
      </c>
    </row>
    <row r="4905" spans="1:12">
      <c r="A4905" t="s">
        <v>14139</v>
      </c>
      <c r="B4905" t="s">
        <v>14140</v>
      </c>
      <c r="C4905" t="s">
        <v>14338</v>
      </c>
      <c r="D4905" t="s">
        <v>14142</v>
      </c>
      <c r="E4905" t="s">
        <v>14339</v>
      </c>
      <c r="F4905" t="s">
        <v>14340</v>
      </c>
      <c r="J4905" t="s">
        <v>14339</v>
      </c>
      <c r="K4905" t="s">
        <v>14144</v>
      </c>
      <c r="L4905" t="s">
        <v>3638</v>
      </c>
    </row>
    <row r="4906" spans="1:12">
      <c r="A4906" t="s">
        <v>14139</v>
      </c>
      <c r="B4906" t="s">
        <v>14140</v>
      </c>
      <c r="C4906" t="s">
        <v>14341</v>
      </c>
      <c r="D4906" t="s">
        <v>14142</v>
      </c>
      <c r="E4906" t="s">
        <v>9343</v>
      </c>
      <c r="F4906" t="s">
        <v>14342</v>
      </c>
      <c r="J4906" t="s">
        <v>9343</v>
      </c>
      <c r="K4906" t="s">
        <v>14144</v>
      </c>
      <c r="L4906" t="s">
        <v>3638</v>
      </c>
    </row>
    <row r="4907" spans="1:12">
      <c r="A4907" t="s">
        <v>14139</v>
      </c>
      <c r="B4907" t="s">
        <v>14140</v>
      </c>
      <c r="C4907" t="s">
        <v>14343</v>
      </c>
      <c r="D4907" t="s">
        <v>14142</v>
      </c>
      <c r="E4907" t="s">
        <v>14344</v>
      </c>
      <c r="F4907" t="s">
        <v>14345</v>
      </c>
    </row>
    <row r="4908" spans="1:12">
      <c r="A4908" t="s">
        <v>14139</v>
      </c>
      <c r="B4908" t="s">
        <v>14140</v>
      </c>
      <c r="C4908" t="s">
        <v>14346</v>
      </c>
      <c r="D4908" t="s">
        <v>14142</v>
      </c>
      <c r="E4908" t="s">
        <v>14347</v>
      </c>
      <c r="F4908" t="s">
        <v>14348</v>
      </c>
      <c r="J4908" t="s">
        <v>14347</v>
      </c>
      <c r="K4908" t="s">
        <v>14144</v>
      </c>
      <c r="L4908" t="s">
        <v>3638</v>
      </c>
    </row>
    <row r="4909" spans="1:12">
      <c r="A4909" t="s">
        <v>14139</v>
      </c>
      <c r="B4909" t="s">
        <v>14140</v>
      </c>
      <c r="C4909" t="s">
        <v>14349</v>
      </c>
      <c r="D4909" t="s">
        <v>14142</v>
      </c>
      <c r="E4909" t="s">
        <v>14350</v>
      </c>
      <c r="F4909" t="s">
        <v>14351</v>
      </c>
      <c r="J4909" t="s">
        <v>14350</v>
      </c>
      <c r="K4909" t="s">
        <v>14144</v>
      </c>
      <c r="L4909" t="s">
        <v>3638</v>
      </c>
    </row>
    <row r="4910" spans="1:12">
      <c r="A4910" t="s">
        <v>14139</v>
      </c>
      <c r="B4910" t="s">
        <v>14140</v>
      </c>
      <c r="C4910" t="s">
        <v>14352</v>
      </c>
      <c r="D4910" t="s">
        <v>14142</v>
      </c>
      <c r="E4910" t="s">
        <v>14353</v>
      </c>
      <c r="F4910" t="s">
        <v>14354</v>
      </c>
      <c r="J4910" t="s">
        <v>14353</v>
      </c>
      <c r="K4910" t="s">
        <v>14144</v>
      </c>
      <c r="L4910" t="s">
        <v>3638</v>
      </c>
    </row>
    <row r="4911" spans="1:12">
      <c r="A4911" t="s">
        <v>14139</v>
      </c>
      <c r="B4911" t="s">
        <v>14140</v>
      </c>
      <c r="C4911" t="s">
        <v>14355</v>
      </c>
      <c r="D4911" t="s">
        <v>14142</v>
      </c>
      <c r="E4911" t="s">
        <v>14356</v>
      </c>
      <c r="F4911" t="s">
        <v>14357</v>
      </c>
      <c r="J4911" t="s">
        <v>14356</v>
      </c>
      <c r="K4911" t="s">
        <v>14144</v>
      </c>
      <c r="L4911" t="s">
        <v>3638</v>
      </c>
    </row>
    <row r="4912" spans="1:12">
      <c r="A4912" t="s">
        <v>14139</v>
      </c>
      <c r="B4912" t="s">
        <v>14140</v>
      </c>
      <c r="C4912" t="s">
        <v>14358</v>
      </c>
      <c r="D4912" t="s">
        <v>14142</v>
      </c>
      <c r="E4912" t="s">
        <v>14359</v>
      </c>
      <c r="F4912" t="s">
        <v>14360</v>
      </c>
    </row>
    <row r="4913" spans="1:12">
      <c r="A4913" t="s">
        <v>14139</v>
      </c>
      <c r="B4913" t="s">
        <v>14140</v>
      </c>
      <c r="C4913" t="s">
        <v>14361</v>
      </c>
      <c r="D4913" t="s">
        <v>14142</v>
      </c>
      <c r="E4913" t="s">
        <v>11361</v>
      </c>
      <c r="F4913" t="s">
        <v>14362</v>
      </c>
      <c r="J4913" t="s">
        <v>11361</v>
      </c>
      <c r="K4913" t="s">
        <v>14144</v>
      </c>
      <c r="L4913" t="s">
        <v>3638</v>
      </c>
    </row>
    <row r="4914" spans="1:12">
      <c r="A4914" t="s">
        <v>14139</v>
      </c>
      <c r="B4914" t="s">
        <v>14140</v>
      </c>
      <c r="C4914" t="s">
        <v>14363</v>
      </c>
      <c r="D4914" t="s">
        <v>14142</v>
      </c>
      <c r="E4914" t="s">
        <v>9460</v>
      </c>
      <c r="F4914" t="s">
        <v>14364</v>
      </c>
      <c r="J4914" t="s">
        <v>9460</v>
      </c>
      <c r="K4914" t="s">
        <v>14144</v>
      </c>
      <c r="L4914" t="s">
        <v>3638</v>
      </c>
    </row>
    <row r="4915" spans="1:12">
      <c r="A4915" t="s">
        <v>14139</v>
      </c>
      <c r="B4915" t="s">
        <v>14140</v>
      </c>
      <c r="C4915" t="s">
        <v>14365</v>
      </c>
      <c r="D4915" t="s">
        <v>14142</v>
      </c>
      <c r="E4915" t="s">
        <v>14366</v>
      </c>
      <c r="F4915" t="s">
        <v>14367</v>
      </c>
    </row>
    <row r="4916" spans="1:12">
      <c r="A4916" t="s">
        <v>14139</v>
      </c>
      <c r="B4916" t="s">
        <v>14140</v>
      </c>
      <c r="C4916" t="s">
        <v>14368</v>
      </c>
      <c r="D4916" t="s">
        <v>14142</v>
      </c>
      <c r="E4916" t="s">
        <v>9466</v>
      </c>
      <c r="F4916" t="s">
        <v>14369</v>
      </c>
      <c r="J4916" t="s">
        <v>9466</v>
      </c>
      <c r="K4916" t="s">
        <v>14144</v>
      </c>
      <c r="L4916" t="s">
        <v>3638</v>
      </c>
    </row>
    <row r="4917" spans="1:12">
      <c r="A4917" t="s">
        <v>14139</v>
      </c>
      <c r="B4917" t="s">
        <v>14140</v>
      </c>
      <c r="C4917" t="s">
        <v>14370</v>
      </c>
      <c r="D4917" t="s">
        <v>14142</v>
      </c>
      <c r="E4917" t="s">
        <v>14371</v>
      </c>
      <c r="F4917" t="s">
        <v>14372</v>
      </c>
      <c r="J4917" t="s">
        <v>14371</v>
      </c>
      <c r="K4917" t="s">
        <v>14144</v>
      </c>
      <c r="L4917" t="s">
        <v>3638</v>
      </c>
    </row>
    <row r="4918" spans="1:12">
      <c r="A4918" t="s">
        <v>14139</v>
      </c>
      <c r="B4918" t="s">
        <v>14140</v>
      </c>
      <c r="C4918" t="s">
        <v>14373</v>
      </c>
      <c r="D4918" t="s">
        <v>14142</v>
      </c>
      <c r="E4918" t="s">
        <v>14374</v>
      </c>
      <c r="F4918" t="s">
        <v>14375</v>
      </c>
      <c r="J4918" t="s">
        <v>14374</v>
      </c>
      <c r="K4918" t="s">
        <v>14144</v>
      </c>
      <c r="L4918" t="s">
        <v>3638</v>
      </c>
    </row>
    <row r="4919" spans="1:12">
      <c r="A4919" t="s">
        <v>14139</v>
      </c>
      <c r="B4919" t="s">
        <v>14140</v>
      </c>
      <c r="C4919" t="s">
        <v>14376</v>
      </c>
      <c r="D4919" t="s">
        <v>14142</v>
      </c>
      <c r="E4919" t="s">
        <v>14377</v>
      </c>
      <c r="F4919" t="s">
        <v>14378</v>
      </c>
      <c r="J4919" t="s">
        <v>14377</v>
      </c>
      <c r="K4919" t="s">
        <v>14144</v>
      </c>
      <c r="L4919" t="s">
        <v>3638</v>
      </c>
    </row>
    <row r="4920" spans="1:12">
      <c r="A4920" t="s">
        <v>14139</v>
      </c>
      <c r="B4920" t="s">
        <v>14140</v>
      </c>
      <c r="C4920" t="s">
        <v>14379</v>
      </c>
      <c r="D4920" t="s">
        <v>14142</v>
      </c>
      <c r="E4920" t="s">
        <v>9496</v>
      </c>
      <c r="F4920" t="s">
        <v>14380</v>
      </c>
      <c r="J4920" t="s">
        <v>9496</v>
      </c>
      <c r="K4920" t="s">
        <v>14144</v>
      </c>
      <c r="L4920" t="s">
        <v>3638</v>
      </c>
    </row>
    <row r="4921" spans="1:12">
      <c r="A4921" t="s">
        <v>14139</v>
      </c>
      <c r="B4921" t="s">
        <v>14140</v>
      </c>
      <c r="C4921" t="s">
        <v>14381</v>
      </c>
      <c r="D4921" t="s">
        <v>14142</v>
      </c>
      <c r="E4921" t="s">
        <v>14382</v>
      </c>
      <c r="F4921" t="s">
        <v>14383</v>
      </c>
      <c r="J4921" t="s">
        <v>14382</v>
      </c>
      <c r="K4921" t="s">
        <v>14144</v>
      </c>
      <c r="L4921" t="s">
        <v>3638</v>
      </c>
    </row>
    <row r="4922" spans="1:12">
      <c r="A4922" t="s">
        <v>14139</v>
      </c>
      <c r="B4922" t="s">
        <v>14140</v>
      </c>
      <c r="C4922" t="s">
        <v>14384</v>
      </c>
      <c r="D4922" t="s">
        <v>14142</v>
      </c>
      <c r="E4922" t="s">
        <v>14385</v>
      </c>
      <c r="F4922" t="s">
        <v>14386</v>
      </c>
      <c r="J4922" t="s">
        <v>14385</v>
      </c>
      <c r="K4922" t="s">
        <v>14144</v>
      </c>
      <c r="L4922" t="s">
        <v>3638</v>
      </c>
    </row>
    <row r="4923" spans="1:12">
      <c r="A4923" t="s">
        <v>14139</v>
      </c>
      <c r="B4923" t="s">
        <v>14140</v>
      </c>
      <c r="C4923" t="s">
        <v>14387</v>
      </c>
      <c r="D4923" t="s">
        <v>14142</v>
      </c>
      <c r="E4923" t="s">
        <v>14388</v>
      </c>
      <c r="F4923" t="s">
        <v>14389</v>
      </c>
      <c r="J4923" t="s">
        <v>14388</v>
      </c>
      <c r="K4923" t="s">
        <v>14144</v>
      </c>
      <c r="L4923" t="s">
        <v>3638</v>
      </c>
    </row>
    <row r="4924" spans="1:12">
      <c r="A4924" t="s">
        <v>14139</v>
      </c>
      <c r="B4924" t="s">
        <v>14140</v>
      </c>
      <c r="C4924" t="s">
        <v>14390</v>
      </c>
      <c r="D4924" t="s">
        <v>14142</v>
      </c>
      <c r="E4924" t="s">
        <v>14391</v>
      </c>
      <c r="F4924" t="s">
        <v>14392</v>
      </c>
      <c r="J4924" t="s">
        <v>14391</v>
      </c>
      <c r="K4924" t="s">
        <v>14144</v>
      </c>
      <c r="L4924" t="s">
        <v>3638</v>
      </c>
    </row>
    <row r="4925" spans="1:12">
      <c r="A4925" t="s">
        <v>14139</v>
      </c>
      <c r="B4925" t="s">
        <v>14140</v>
      </c>
      <c r="C4925" t="s">
        <v>14393</v>
      </c>
      <c r="D4925" t="s">
        <v>14142</v>
      </c>
      <c r="E4925" t="s">
        <v>14394</v>
      </c>
      <c r="F4925" t="s">
        <v>14395</v>
      </c>
    </row>
    <row r="4926" spans="1:12">
      <c r="A4926" t="s">
        <v>14139</v>
      </c>
      <c r="B4926" t="s">
        <v>14140</v>
      </c>
      <c r="C4926" t="s">
        <v>14396</v>
      </c>
      <c r="D4926" t="s">
        <v>14142</v>
      </c>
      <c r="E4926" t="s">
        <v>14397</v>
      </c>
      <c r="F4926" t="s">
        <v>14398</v>
      </c>
      <c r="J4926" t="s">
        <v>14397</v>
      </c>
      <c r="K4926" t="s">
        <v>14144</v>
      </c>
      <c r="L4926" t="s">
        <v>3638</v>
      </c>
    </row>
    <row r="4927" spans="1:12">
      <c r="A4927" t="s">
        <v>14139</v>
      </c>
      <c r="B4927" t="s">
        <v>14140</v>
      </c>
      <c r="C4927" t="s">
        <v>14399</v>
      </c>
      <c r="D4927" t="s">
        <v>14142</v>
      </c>
      <c r="E4927" t="s">
        <v>5108</v>
      </c>
      <c r="F4927" t="s">
        <v>14400</v>
      </c>
    </row>
    <row r="4928" spans="1:12">
      <c r="A4928" t="s">
        <v>14139</v>
      </c>
      <c r="B4928" t="s">
        <v>14140</v>
      </c>
      <c r="C4928" t="s">
        <v>14401</v>
      </c>
      <c r="D4928" t="s">
        <v>14142</v>
      </c>
      <c r="E4928" t="s">
        <v>14402</v>
      </c>
      <c r="F4928" t="s">
        <v>14403</v>
      </c>
      <c r="J4928" t="s">
        <v>14402</v>
      </c>
      <c r="K4928" t="s">
        <v>14144</v>
      </c>
      <c r="L4928" t="s">
        <v>3638</v>
      </c>
    </row>
    <row r="4929" spans="1:12">
      <c r="A4929" t="s">
        <v>14139</v>
      </c>
      <c r="B4929" t="s">
        <v>14140</v>
      </c>
      <c r="C4929" t="s">
        <v>14404</v>
      </c>
      <c r="D4929" t="s">
        <v>14142</v>
      </c>
      <c r="E4929" t="s">
        <v>14405</v>
      </c>
      <c r="F4929" t="s">
        <v>14406</v>
      </c>
      <c r="J4929" t="s">
        <v>14405</v>
      </c>
      <c r="K4929" t="s">
        <v>14144</v>
      </c>
      <c r="L4929" t="s">
        <v>3638</v>
      </c>
    </row>
    <row r="4930" spans="1:12">
      <c r="A4930" t="s">
        <v>14139</v>
      </c>
      <c r="B4930" t="s">
        <v>14140</v>
      </c>
      <c r="C4930" t="s">
        <v>14407</v>
      </c>
      <c r="D4930" t="s">
        <v>14142</v>
      </c>
      <c r="E4930" t="s">
        <v>14408</v>
      </c>
      <c r="F4930" t="s">
        <v>14409</v>
      </c>
    </row>
    <row r="4931" spans="1:12">
      <c r="A4931" t="s">
        <v>14139</v>
      </c>
      <c r="B4931" t="s">
        <v>14140</v>
      </c>
      <c r="C4931" t="s">
        <v>14410</v>
      </c>
      <c r="D4931" t="s">
        <v>14142</v>
      </c>
      <c r="E4931" t="s">
        <v>14411</v>
      </c>
      <c r="F4931" t="s">
        <v>14412</v>
      </c>
      <c r="J4931" t="s">
        <v>14411</v>
      </c>
      <c r="K4931" t="s">
        <v>14144</v>
      </c>
      <c r="L4931" t="s">
        <v>3638</v>
      </c>
    </row>
    <row r="4932" spans="1:12">
      <c r="A4932" t="s">
        <v>14139</v>
      </c>
      <c r="B4932" t="s">
        <v>14140</v>
      </c>
      <c r="C4932" t="s">
        <v>14413</v>
      </c>
      <c r="D4932" t="s">
        <v>14142</v>
      </c>
      <c r="E4932" t="s">
        <v>9547</v>
      </c>
      <c r="F4932" t="s">
        <v>14414</v>
      </c>
      <c r="J4932" t="s">
        <v>9547</v>
      </c>
      <c r="K4932" t="s">
        <v>14144</v>
      </c>
      <c r="L4932" t="s">
        <v>3638</v>
      </c>
    </row>
    <row r="4933" spans="1:12">
      <c r="A4933" t="s">
        <v>14139</v>
      </c>
      <c r="B4933" t="s">
        <v>14140</v>
      </c>
      <c r="C4933" t="s">
        <v>14415</v>
      </c>
      <c r="D4933" t="s">
        <v>14142</v>
      </c>
      <c r="E4933" t="s">
        <v>14416</v>
      </c>
      <c r="F4933" t="s">
        <v>14417</v>
      </c>
    </row>
    <row r="4934" spans="1:12">
      <c r="A4934" t="s">
        <v>14139</v>
      </c>
      <c r="B4934" t="s">
        <v>14140</v>
      </c>
      <c r="C4934" t="s">
        <v>14418</v>
      </c>
      <c r="D4934" t="s">
        <v>14142</v>
      </c>
      <c r="E4934" t="s">
        <v>14419</v>
      </c>
      <c r="F4934" t="s">
        <v>14420</v>
      </c>
      <c r="J4934" t="s">
        <v>14419</v>
      </c>
      <c r="K4934" t="s">
        <v>14144</v>
      </c>
      <c r="L4934" t="s">
        <v>3638</v>
      </c>
    </row>
    <row r="4935" spans="1:12">
      <c r="A4935" t="s">
        <v>14139</v>
      </c>
      <c r="B4935" t="s">
        <v>14140</v>
      </c>
      <c r="C4935" t="s">
        <v>14421</v>
      </c>
      <c r="D4935" t="s">
        <v>14142</v>
      </c>
      <c r="E4935" t="s">
        <v>7351</v>
      </c>
      <c r="F4935" t="s">
        <v>14422</v>
      </c>
      <c r="J4935" t="s">
        <v>7351</v>
      </c>
      <c r="K4935" t="s">
        <v>14144</v>
      </c>
      <c r="L4935" t="s">
        <v>3638</v>
      </c>
    </row>
    <row r="4936" spans="1:12">
      <c r="A4936" t="s">
        <v>14139</v>
      </c>
      <c r="B4936" t="s">
        <v>14140</v>
      </c>
      <c r="C4936" t="s">
        <v>14423</v>
      </c>
      <c r="D4936" t="s">
        <v>14142</v>
      </c>
      <c r="E4936" t="s">
        <v>14424</v>
      </c>
      <c r="F4936" t="s">
        <v>14425</v>
      </c>
      <c r="J4936" t="s">
        <v>14424</v>
      </c>
      <c r="K4936" t="s">
        <v>14144</v>
      </c>
      <c r="L4936" t="s">
        <v>3638</v>
      </c>
    </row>
    <row r="4937" spans="1:12">
      <c r="A4937" t="s">
        <v>14139</v>
      </c>
      <c r="B4937" t="s">
        <v>14140</v>
      </c>
      <c r="C4937" t="s">
        <v>14426</v>
      </c>
      <c r="D4937" t="s">
        <v>14142</v>
      </c>
      <c r="E4937" t="s">
        <v>14427</v>
      </c>
      <c r="F4937" t="s">
        <v>14428</v>
      </c>
      <c r="J4937" t="s">
        <v>14427</v>
      </c>
      <c r="K4937" t="s">
        <v>14144</v>
      </c>
      <c r="L4937" t="s">
        <v>3638</v>
      </c>
    </row>
    <row r="4938" spans="1:12">
      <c r="A4938" t="s">
        <v>14139</v>
      </c>
      <c r="B4938" t="s">
        <v>14140</v>
      </c>
      <c r="C4938" t="s">
        <v>14429</v>
      </c>
      <c r="D4938" t="s">
        <v>14142</v>
      </c>
      <c r="E4938" t="s">
        <v>14430</v>
      </c>
      <c r="F4938" t="s">
        <v>14431</v>
      </c>
      <c r="J4938" t="s">
        <v>14430</v>
      </c>
      <c r="K4938" t="s">
        <v>14144</v>
      </c>
      <c r="L4938" t="s">
        <v>3638</v>
      </c>
    </row>
    <row r="4939" spans="1:12">
      <c r="A4939" t="s">
        <v>14139</v>
      </c>
      <c r="B4939" t="s">
        <v>14140</v>
      </c>
      <c r="C4939" t="s">
        <v>14432</v>
      </c>
      <c r="D4939" t="s">
        <v>14142</v>
      </c>
      <c r="E4939" t="s">
        <v>14433</v>
      </c>
      <c r="F4939" t="s">
        <v>14434</v>
      </c>
    </row>
    <row r="4940" spans="1:12">
      <c r="A4940" t="s">
        <v>14139</v>
      </c>
      <c r="B4940" t="s">
        <v>14140</v>
      </c>
      <c r="C4940" t="s">
        <v>14435</v>
      </c>
      <c r="D4940" t="s">
        <v>14142</v>
      </c>
      <c r="E4940" t="s">
        <v>14436</v>
      </c>
      <c r="F4940" t="s">
        <v>14437</v>
      </c>
      <c r="J4940" t="s">
        <v>14436</v>
      </c>
      <c r="K4940" t="s">
        <v>14144</v>
      </c>
      <c r="L4940" t="s">
        <v>3638</v>
      </c>
    </row>
    <row r="4941" spans="1:12">
      <c r="A4941" t="s">
        <v>14139</v>
      </c>
      <c r="B4941" t="s">
        <v>14140</v>
      </c>
      <c r="C4941" t="s">
        <v>14438</v>
      </c>
      <c r="D4941" t="s">
        <v>14142</v>
      </c>
      <c r="E4941" t="s">
        <v>14439</v>
      </c>
      <c r="F4941" t="s">
        <v>14440</v>
      </c>
      <c r="J4941" t="s">
        <v>14439</v>
      </c>
      <c r="K4941" t="s">
        <v>14144</v>
      </c>
      <c r="L4941" t="s">
        <v>3638</v>
      </c>
    </row>
    <row r="4942" spans="1:12">
      <c r="A4942" t="s">
        <v>14139</v>
      </c>
      <c r="B4942" t="s">
        <v>14140</v>
      </c>
      <c r="C4942" t="s">
        <v>14441</v>
      </c>
      <c r="D4942" t="s">
        <v>14142</v>
      </c>
      <c r="E4942" t="s">
        <v>14442</v>
      </c>
      <c r="F4942" t="s">
        <v>14443</v>
      </c>
      <c r="J4942" t="s">
        <v>14442</v>
      </c>
      <c r="K4942" t="s">
        <v>14144</v>
      </c>
      <c r="L4942" t="s">
        <v>3638</v>
      </c>
    </row>
    <row r="4943" spans="1:12">
      <c r="A4943" t="s">
        <v>14139</v>
      </c>
      <c r="B4943" t="s">
        <v>14140</v>
      </c>
      <c r="C4943" t="s">
        <v>14444</v>
      </c>
      <c r="D4943" t="s">
        <v>14142</v>
      </c>
      <c r="E4943" t="s">
        <v>8352</v>
      </c>
      <c r="F4943" t="s">
        <v>14445</v>
      </c>
    </row>
    <row r="4944" spans="1:12">
      <c r="A4944" t="s">
        <v>14139</v>
      </c>
      <c r="B4944" t="s">
        <v>14140</v>
      </c>
      <c r="C4944" t="s">
        <v>14446</v>
      </c>
      <c r="D4944" t="s">
        <v>14142</v>
      </c>
      <c r="E4944" t="s">
        <v>14447</v>
      </c>
      <c r="F4944" t="s">
        <v>14448</v>
      </c>
      <c r="J4944" t="s">
        <v>14447</v>
      </c>
      <c r="K4944" t="s">
        <v>14144</v>
      </c>
      <c r="L4944" t="s">
        <v>3638</v>
      </c>
    </row>
    <row r="4945" spans="1:12">
      <c r="A4945" t="s">
        <v>14139</v>
      </c>
      <c r="B4945" t="s">
        <v>14140</v>
      </c>
      <c r="C4945" t="s">
        <v>14449</v>
      </c>
      <c r="D4945" t="s">
        <v>14142</v>
      </c>
      <c r="E4945" t="s">
        <v>6969</v>
      </c>
      <c r="F4945" t="s">
        <v>14450</v>
      </c>
    </row>
    <row r="4946" spans="1:12">
      <c r="A4946" t="s">
        <v>14139</v>
      </c>
      <c r="B4946" t="s">
        <v>14140</v>
      </c>
      <c r="C4946" t="s">
        <v>14451</v>
      </c>
      <c r="D4946" t="s">
        <v>14142</v>
      </c>
      <c r="E4946" t="s">
        <v>8016</v>
      </c>
      <c r="F4946" t="s">
        <v>14452</v>
      </c>
    </row>
    <row r="4947" spans="1:12">
      <c r="A4947" t="s">
        <v>14139</v>
      </c>
      <c r="B4947" t="s">
        <v>14140</v>
      </c>
      <c r="C4947" t="s">
        <v>14453</v>
      </c>
      <c r="D4947" t="s">
        <v>14142</v>
      </c>
      <c r="E4947" t="s">
        <v>14454</v>
      </c>
      <c r="F4947" t="s">
        <v>14455</v>
      </c>
    </row>
    <row r="4948" spans="1:12">
      <c r="A4948" t="s">
        <v>14139</v>
      </c>
      <c r="B4948" t="s">
        <v>14140</v>
      </c>
      <c r="C4948" t="s">
        <v>14456</v>
      </c>
      <c r="D4948" t="s">
        <v>14142</v>
      </c>
      <c r="E4948" t="s">
        <v>14457</v>
      </c>
      <c r="F4948" t="s">
        <v>14458</v>
      </c>
      <c r="J4948" t="s">
        <v>14457</v>
      </c>
      <c r="K4948" t="s">
        <v>14144</v>
      </c>
      <c r="L4948" t="s">
        <v>3638</v>
      </c>
    </row>
    <row r="4949" spans="1:12">
      <c r="A4949" t="s">
        <v>14139</v>
      </c>
      <c r="B4949" t="s">
        <v>14140</v>
      </c>
      <c r="C4949" t="s">
        <v>14459</v>
      </c>
      <c r="D4949" t="s">
        <v>14142</v>
      </c>
      <c r="E4949" t="s">
        <v>14460</v>
      </c>
      <c r="F4949" t="s">
        <v>14461</v>
      </c>
      <c r="J4949" t="s">
        <v>14460</v>
      </c>
      <c r="K4949" t="s">
        <v>14144</v>
      </c>
      <c r="L4949" t="s">
        <v>3638</v>
      </c>
    </row>
    <row r="4950" spans="1:12">
      <c r="A4950" t="s">
        <v>14139</v>
      </c>
      <c r="B4950" t="s">
        <v>14140</v>
      </c>
      <c r="C4950" t="s">
        <v>14462</v>
      </c>
      <c r="D4950" t="s">
        <v>14142</v>
      </c>
      <c r="E4950" t="s">
        <v>14463</v>
      </c>
      <c r="F4950" t="s">
        <v>14464</v>
      </c>
    </row>
    <row r="4951" spans="1:12">
      <c r="A4951" t="s">
        <v>14139</v>
      </c>
      <c r="B4951" t="s">
        <v>14140</v>
      </c>
      <c r="C4951" t="s">
        <v>14465</v>
      </c>
      <c r="D4951" t="s">
        <v>14142</v>
      </c>
      <c r="E4951" t="s">
        <v>2742</v>
      </c>
      <c r="F4951" t="s">
        <v>14466</v>
      </c>
    </row>
    <row r="4952" spans="1:12">
      <c r="A4952" t="s">
        <v>14139</v>
      </c>
      <c r="B4952" t="s">
        <v>14140</v>
      </c>
      <c r="C4952" t="s">
        <v>14467</v>
      </c>
      <c r="D4952" t="s">
        <v>14142</v>
      </c>
      <c r="E4952" t="s">
        <v>14468</v>
      </c>
      <c r="F4952" t="s">
        <v>14469</v>
      </c>
      <c r="J4952" t="s">
        <v>14468</v>
      </c>
      <c r="K4952" t="s">
        <v>14144</v>
      </c>
      <c r="L4952" t="s">
        <v>3638</v>
      </c>
    </row>
    <row r="4953" spans="1:12">
      <c r="A4953" t="s">
        <v>14139</v>
      </c>
      <c r="B4953" t="s">
        <v>14140</v>
      </c>
      <c r="C4953" t="s">
        <v>14470</v>
      </c>
      <c r="D4953" t="s">
        <v>14142</v>
      </c>
      <c r="E4953" t="s">
        <v>12050</v>
      </c>
      <c r="F4953" t="s">
        <v>14471</v>
      </c>
    </row>
    <row r="4954" spans="1:12">
      <c r="A4954" t="s">
        <v>14139</v>
      </c>
      <c r="B4954" t="s">
        <v>14140</v>
      </c>
      <c r="C4954" t="s">
        <v>14472</v>
      </c>
      <c r="D4954" t="s">
        <v>14142</v>
      </c>
      <c r="E4954" t="s">
        <v>14473</v>
      </c>
      <c r="F4954" t="s">
        <v>14474</v>
      </c>
    </row>
    <row r="4955" spans="1:12">
      <c r="A4955" t="s">
        <v>14139</v>
      </c>
      <c r="B4955" t="s">
        <v>14140</v>
      </c>
      <c r="C4955" t="s">
        <v>14475</v>
      </c>
      <c r="D4955" t="s">
        <v>14142</v>
      </c>
      <c r="E4955" t="s">
        <v>14476</v>
      </c>
      <c r="F4955" t="s">
        <v>14477</v>
      </c>
      <c r="J4955" t="s">
        <v>14476</v>
      </c>
      <c r="K4955" t="s">
        <v>14144</v>
      </c>
      <c r="L4955" t="s">
        <v>3638</v>
      </c>
    </row>
    <row r="4956" spans="1:12">
      <c r="A4956" t="s">
        <v>14139</v>
      </c>
      <c r="B4956" t="s">
        <v>14140</v>
      </c>
      <c r="C4956" t="s">
        <v>14478</v>
      </c>
      <c r="D4956" t="s">
        <v>14142</v>
      </c>
      <c r="E4956" t="s">
        <v>14479</v>
      </c>
      <c r="F4956" t="s">
        <v>14480</v>
      </c>
    </row>
    <row r="4957" spans="1:12">
      <c r="A4957" t="s">
        <v>14139</v>
      </c>
      <c r="B4957" t="s">
        <v>14140</v>
      </c>
      <c r="C4957" t="s">
        <v>14481</v>
      </c>
      <c r="D4957" t="s">
        <v>14142</v>
      </c>
      <c r="E4957" t="s">
        <v>14482</v>
      </c>
      <c r="F4957" t="s">
        <v>14483</v>
      </c>
    </row>
    <row r="4958" spans="1:12">
      <c r="A4958" t="s">
        <v>14139</v>
      </c>
      <c r="B4958" t="s">
        <v>14140</v>
      </c>
      <c r="C4958" t="s">
        <v>14484</v>
      </c>
      <c r="D4958" t="s">
        <v>14142</v>
      </c>
      <c r="E4958" t="s">
        <v>14485</v>
      </c>
      <c r="F4958" t="s">
        <v>14486</v>
      </c>
      <c r="J4958" t="s">
        <v>14485</v>
      </c>
      <c r="K4958" t="s">
        <v>14144</v>
      </c>
      <c r="L4958" t="s">
        <v>3638</v>
      </c>
    </row>
    <row r="4959" spans="1:12">
      <c r="A4959" t="s">
        <v>14139</v>
      </c>
      <c r="B4959" t="s">
        <v>14140</v>
      </c>
      <c r="C4959" t="s">
        <v>14487</v>
      </c>
      <c r="D4959" t="s">
        <v>14142</v>
      </c>
      <c r="E4959" t="s">
        <v>14488</v>
      </c>
      <c r="F4959" t="s">
        <v>14489</v>
      </c>
      <c r="J4959" t="s">
        <v>14488</v>
      </c>
      <c r="K4959" t="s">
        <v>14144</v>
      </c>
      <c r="L4959" t="s">
        <v>3638</v>
      </c>
    </row>
    <row r="4960" spans="1:12">
      <c r="A4960" t="s">
        <v>14139</v>
      </c>
      <c r="B4960" t="s">
        <v>14140</v>
      </c>
      <c r="C4960" t="s">
        <v>14490</v>
      </c>
      <c r="D4960" t="s">
        <v>14142</v>
      </c>
      <c r="E4960" t="s">
        <v>2765</v>
      </c>
      <c r="F4960" t="s">
        <v>14491</v>
      </c>
    </row>
    <row r="4961" spans="1:12">
      <c r="A4961" t="s">
        <v>14139</v>
      </c>
      <c r="B4961" t="s">
        <v>14140</v>
      </c>
      <c r="C4961" t="s">
        <v>14492</v>
      </c>
      <c r="D4961" t="s">
        <v>14142</v>
      </c>
      <c r="E4961" t="s">
        <v>14493</v>
      </c>
      <c r="F4961" t="s">
        <v>14494</v>
      </c>
      <c r="J4961" t="s">
        <v>14493</v>
      </c>
      <c r="K4961" t="s">
        <v>14144</v>
      </c>
      <c r="L4961" t="s">
        <v>3638</v>
      </c>
    </row>
    <row r="4962" spans="1:12">
      <c r="A4962" t="s">
        <v>14139</v>
      </c>
      <c r="B4962" t="s">
        <v>14140</v>
      </c>
      <c r="C4962" t="s">
        <v>14495</v>
      </c>
      <c r="D4962" t="s">
        <v>14142</v>
      </c>
      <c r="E4962" t="s">
        <v>4265</v>
      </c>
      <c r="F4962" t="s">
        <v>14496</v>
      </c>
    </row>
    <row r="4963" spans="1:12">
      <c r="A4963" t="s">
        <v>14139</v>
      </c>
      <c r="B4963" t="s">
        <v>14140</v>
      </c>
      <c r="C4963" t="s">
        <v>14497</v>
      </c>
      <c r="D4963" t="s">
        <v>14142</v>
      </c>
      <c r="E4963" t="s">
        <v>14498</v>
      </c>
      <c r="F4963" t="s">
        <v>14474</v>
      </c>
    </row>
    <row r="4964" spans="1:12">
      <c r="A4964" t="s">
        <v>14139</v>
      </c>
      <c r="B4964" t="s">
        <v>14140</v>
      </c>
      <c r="C4964" t="s">
        <v>14499</v>
      </c>
      <c r="D4964" t="s">
        <v>14142</v>
      </c>
      <c r="E4964" t="s">
        <v>14500</v>
      </c>
      <c r="F4964" t="s">
        <v>14501</v>
      </c>
      <c r="J4964" t="s">
        <v>14500</v>
      </c>
      <c r="K4964" t="s">
        <v>14144</v>
      </c>
      <c r="L4964" t="s">
        <v>3638</v>
      </c>
    </row>
    <row r="4965" spans="1:12">
      <c r="A4965" t="s">
        <v>14139</v>
      </c>
      <c r="B4965" t="s">
        <v>14140</v>
      </c>
      <c r="C4965" t="s">
        <v>14502</v>
      </c>
      <c r="D4965" t="s">
        <v>14142</v>
      </c>
      <c r="E4965" t="s">
        <v>14503</v>
      </c>
      <c r="F4965" t="s">
        <v>14504</v>
      </c>
    </row>
    <row r="4966" spans="1:12">
      <c r="A4966" t="s">
        <v>14139</v>
      </c>
      <c r="B4966" t="s">
        <v>14140</v>
      </c>
      <c r="C4966" t="s">
        <v>14505</v>
      </c>
      <c r="D4966" t="s">
        <v>14142</v>
      </c>
      <c r="E4966" t="s">
        <v>4725</v>
      </c>
      <c r="F4966" t="s">
        <v>14506</v>
      </c>
    </row>
    <row r="4967" spans="1:12">
      <c r="A4967" t="s">
        <v>14139</v>
      </c>
      <c r="B4967" t="s">
        <v>14140</v>
      </c>
      <c r="C4967" t="s">
        <v>14507</v>
      </c>
      <c r="D4967" t="s">
        <v>14142</v>
      </c>
      <c r="E4967" t="s">
        <v>14508</v>
      </c>
      <c r="F4967" t="s">
        <v>14509</v>
      </c>
    </row>
    <row r="4968" spans="1:12">
      <c r="A4968" t="s">
        <v>14139</v>
      </c>
      <c r="B4968" t="s">
        <v>14140</v>
      </c>
      <c r="C4968" t="s">
        <v>14510</v>
      </c>
      <c r="D4968" t="s">
        <v>14142</v>
      </c>
      <c r="E4968" t="s">
        <v>14511</v>
      </c>
      <c r="F4968" t="s">
        <v>14512</v>
      </c>
    </row>
    <row r="4969" spans="1:12">
      <c r="A4969" t="s">
        <v>14139</v>
      </c>
      <c r="B4969" t="s">
        <v>14140</v>
      </c>
      <c r="C4969" t="s">
        <v>14513</v>
      </c>
      <c r="D4969" t="s">
        <v>14142</v>
      </c>
      <c r="E4969" t="s">
        <v>10694</v>
      </c>
      <c r="F4969" t="s">
        <v>14514</v>
      </c>
      <c r="J4969" t="s">
        <v>10694</v>
      </c>
      <c r="K4969" t="s">
        <v>14144</v>
      </c>
      <c r="L4969" t="s">
        <v>3638</v>
      </c>
    </row>
    <row r="4970" spans="1:12">
      <c r="A4970" t="s">
        <v>14139</v>
      </c>
      <c r="B4970" t="s">
        <v>14140</v>
      </c>
      <c r="C4970" t="s">
        <v>14515</v>
      </c>
      <c r="D4970" t="s">
        <v>14142</v>
      </c>
      <c r="E4970" t="s">
        <v>1269</v>
      </c>
      <c r="F4970" t="s">
        <v>14516</v>
      </c>
    </row>
    <row r="4971" spans="1:12">
      <c r="A4971" t="s">
        <v>14139</v>
      </c>
      <c r="B4971" t="s">
        <v>14140</v>
      </c>
      <c r="C4971" t="s">
        <v>14517</v>
      </c>
      <c r="D4971" t="s">
        <v>14142</v>
      </c>
      <c r="E4971" t="s">
        <v>14518</v>
      </c>
      <c r="F4971" t="s">
        <v>14519</v>
      </c>
      <c r="J4971" t="s">
        <v>14518</v>
      </c>
      <c r="K4971" t="s">
        <v>14144</v>
      </c>
      <c r="L4971" t="s">
        <v>3638</v>
      </c>
    </row>
    <row r="4972" spans="1:12">
      <c r="A4972" t="s">
        <v>14139</v>
      </c>
      <c r="B4972" t="s">
        <v>14140</v>
      </c>
      <c r="C4972" t="s">
        <v>14520</v>
      </c>
      <c r="D4972" t="s">
        <v>14142</v>
      </c>
      <c r="E4972" t="s">
        <v>8022</v>
      </c>
      <c r="F4972" t="s">
        <v>14521</v>
      </c>
      <c r="J4972" t="s">
        <v>8022</v>
      </c>
      <c r="K4972" t="s">
        <v>14144</v>
      </c>
      <c r="L4972" t="s">
        <v>3638</v>
      </c>
    </row>
    <row r="4973" spans="1:12">
      <c r="A4973" t="s">
        <v>14139</v>
      </c>
      <c r="B4973" t="s">
        <v>14140</v>
      </c>
      <c r="C4973" t="s">
        <v>14522</v>
      </c>
      <c r="D4973" t="s">
        <v>14142</v>
      </c>
      <c r="E4973" t="s">
        <v>9765</v>
      </c>
      <c r="F4973" t="s">
        <v>14523</v>
      </c>
    </row>
    <row r="4974" spans="1:12">
      <c r="A4974" t="s">
        <v>14139</v>
      </c>
      <c r="B4974" t="s">
        <v>14140</v>
      </c>
      <c r="C4974" t="s">
        <v>14524</v>
      </c>
      <c r="D4974" t="s">
        <v>14142</v>
      </c>
      <c r="E4974" t="s">
        <v>14525</v>
      </c>
      <c r="F4974" t="s">
        <v>14526</v>
      </c>
      <c r="J4974" t="s">
        <v>14525</v>
      </c>
      <c r="K4974" t="s">
        <v>14144</v>
      </c>
      <c r="L4974" t="s">
        <v>3638</v>
      </c>
    </row>
    <row r="4975" spans="1:12">
      <c r="A4975" t="s">
        <v>14139</v>
      </c>
      <c r="B4975" t="s">
        <v>14140</v>
      </c>
      <c r="C4975" t="s">
        <v>14527</v>
      </c>
      <c r="D4975" t="s">
        <v>14142</v>
      </c>
      <c r="E4975" t="s">
        <v>14528</v>
      </c>
      <c r="F4975" t="s">
        <v>14529</v>
      </c>
      <c r="J4975" t="s">
        <v>14528</v>
      </c>
      <c r="K4975" t="s">
        <v>14144</v>
      </c>
      <c r="L4975" t="s">
        <v>3638</v>
      </c>
    </row>
    <row r="4976" spans="1:12">
      <c r="A4976" t="s">
        <v>14139</v>
      </c>
      <c r="B4976" t="s">
        <v>14140</v>
      </c>
      <c r="C4976" t="s">
        <v>14530</v>
      </c>
      <c r="D4976" t="s">
        <v>14142</v>
      </c>
      <c r="E4976" t="s">
        <v>9836</v>
      </c>
      <c r="F4976" t="s">
        <v>14531</v>
      </c>
      <c r="J4976" t="s">
        <v>9836</v>
      </c>
      <c r="K4976" t="s">
        <v>14144</v>
      </c>
      <c r="L4976" t="s">
        <v>3638</v>
      </c>
    </row>
    <row r="4977" spans="1:12">
      <c r="A4977" t="s">
        <v>14139</v>
      </c>
      <c r="B4977" t="s">
        <v>14140</v>
      </c>
      <c r="C4977" t="s">
        <v>14532</v>
      </c>
      <c r="D4977" t="s">
        <v>14142</v>
      </c>
      <c r="E4977" t="s">
        <v>14533</v>
      </c>
      <c r="F4977" t="s">
        <v>14534</v>
      </c>
      <c r="J4977" t="s">
        <v>14533</v>
      </c>
      <c r="K4977" t="s">
        <v>14144</v>
      </c>
      <c r="L4977" t="s">
        <v>3638</v>
      </c>
    </row>
    <row r="4978" spans="1:12">
      <c r="A4978" t="s">
        <v>14139</v>
      </c>
      <c r="B4978" t="s">
        <v>14140</v>
      </c>
      <c r="C4978" t="s">
        <v>14535</v>
      </c>
      <c r="D4978" t="s">
        <v>14142</v>
      </c>
      <c r="E4978" t="s">
        <v>14536</v>
      </c>
      <c r="F4978" t="s">
        <v>14537</v>
      </c>
      <c r="J4978" t="s">
        <v>14536</v>
      </c>
      <c r="K4978" t="s">
        <v>14144</v>
      </c>
      <c r="L4978" t="s">
        <v>3638</v>
      </c>
    </row>
    <row r="4979" spans="1:12">
      <c r="A4979" t="s">
        <v>14139</v>
      </c>
      <c r="B4979" t="s">
        <v>14140</v>
      </c>
      <c r="C4979" t="s">
        <v>14538</v>
      </c>
      <c r="D4979" t="s">
        <v>14142</v>
      </c>
      <c r="E4979" t="s">
        <v>10459</v>
      </c>
      <c r="F4979" t="s">
        <v>14539</v>
      </c>
      <c r="J4979" t="s">
        <v>10459</v>
      </c>
      <c r="K4979" t="s">
        <v>14144</v>
      </c>
      <c r="L4979" t="s">
        <v>3638</v>
      </c>
    </row>
    <row r="4980" spans="1:12">
      <c r="A4980" t="s">
        <v>14139</v>
      </c>
      <c r="B4980" t="s">
        <v>14140</v>
      </c>
      <c r="C4980" t="s">
        <v>14540</v>
      </c>
      <c r="D4980" t="s">
        <v>14142</v>
      </c>
      <c r="E4980" t="s">
        <v>5258</v>
      </c>
      <c r="F4980" t="s">
        <v>14541</v>
      </c>
      <c r="J4980" t="s">
        <v>5258</v>
      </c>
      <c r="K4980" t="s">
        <v>14144</v>
      </c>
      <c r="L4980" t="s">
        <v>3638</v>
      </c>
    </row>
    <row r="4981" spans="1:12">
      <c r="A4981" t="s">
        <v>14139</v>
      </c>
      <c r="B4981" t="s">
        <v>14140</v>
      </c>
      <c r="C4981" t="s">
        <v>14542</v>
      </c>
      <c r="D4981" t="s">
        <v>14142</v>
      </c>
      <c r="E4981" t="s">
        <v>9861</v>
      </c>
      <c r="F4981" t="s">
        <v>14543</v>
      </c>
      <c r="J4981" t="s">
        <v>9861</v>
      </c>
      <c r="K4981" t="s">
        <v>14144</v>
      </c>
      <c r="L4981" t="s">
        <v>3638</v>
      </c>
    </row>
    <row r="4982" spans="1:12">
      <c r="A4982" t="s">
        <v>14139</v>
      </c>
      <c r="B4982" t="s">
        <v>14140</v>
      </c>
      <c r="C4982" t="s">
        <v>14544</v>
      </c>
      <c r="D4982" t="s">
        <v>14142</v>
      </c>
      <c r="E4982" t="s">
        <v>14545</v>
      </c>
      <c r="F4982" t="s">
        <v>14546</v>
      </c>
    </row>
    <row r="4983" spans="1:12">
      <c r="A4983" t="s">
        <v>14139</v>
      </c>
      <c r="B4983" t="s">
        <v>14140</v>
      </c>
      <c r="C4983" t="s">
        <v>14547</v>
      </c>
      <c r="D4983" t="s">
        <v>14142</v>
      </c>
      <c r="E4983" t="s">
        <v>14548</v>
      </c>
      <c r="F4983" t="s">
        <v>14549</v>
      </c>
    </row>
    <row r="4984" spans="1:12">
      <c r="A4984" t="s">
        <v>14139</v>
      </c>
      <c r="B4984" t="s">
        <v>14140</v>
      </c>
      <c r="C4984" t="s">
        <v>14550</v>
      </c>
      <c r="D4984" t="s">
        <v>14142</v>
      </c>
      <c r="E4984" t="s">
        <v>9895</v>
      </c>
      <c r="F4984" t="s">
        <v>14551</v>
      </c>
      <c r="J4984" t="s">
        <v>9895</v>
      </c>
      <c r="K4984" t="s">
        <v>14144</v>
      </c>
      <c r="L4984" t="s">
        <v>3638</v>
      </c>
    </row>
    <row r="4985" spans="1:12">
      <c r="A4985" t="s">
        <v>14139</v>
      </c>
      <c r="B4985" t="s">
        <v>14140</v>
      </c>
      <c r="C4985" t="s">
        <v>14552</v>
      </c>
      <c r="D4985" t="s">
        <v>14142</v>
      </c>
      <c r="E4985" t="s">
        <v>14553</v>
      </c>
      <c r="F4985" t="s">
        <v>14554</v>
      </c>
    </row>
    <row r="4986" spans="1:12">
      <c r="A4986" t="s">
        <v>14139</v>
      </c>
      <c r="B4986" t="s">
        <v>14140</v>
      </c>
      <c r="C4986" t="s">
        <v>14555</v>
      </c>
      <c r="D4986" t="s">
        <v>14142</v>
      </c>
      <c r="E4986" t="s">
        <v>7426</v>
      </c>
      <c r="F4986" t="s">
        <v>14556</v>
      </c>
    </row>
    <row r="4987" spans="1:12">
      <c r="A4987" t="s">
        <v>14139</v>
      </c>
      <c r="B4987" t="s">
        <v>14140</v>
      </c>
      <c r="C4987" t="s">
        <v>14557</v>
      </c>
      <c r="D4987" t="s">
        <v>14142</v>
      </c>
      <c r="E4987" t="s">
        <v>14558</v>
      </c>
      <c r="F4987" t="s">
        <v>14559</v>
      </c>
      <c r="J4987" t="s">
        <v>14558</v>
      </c>
      <c r="K4987" t="s">
        <v>14144</v>
      </c>
      <c r="L4987" t="s">
        <v>3638</v>
      </c>
    </row>
    <row r="4988" spans="1:12">
      <c r="A4988" t="s">
        <v>14139</v>
      </c>
      <c r="B4988" t="s">
        <v>14140</v>
      </c>
      <c r="C4988" t="s">
        <v>14560</v>
      </c>
      <c r="D4988" t="s">
        <v>14142</v>
      </c>
      <c r="E4988" t="s">
        <v>14561</v>
      </c>
      <c r="F4988" t="s">
        <v>14562</v>
      </c>
      <c r="J4988" t="s">
        <v>14561</v>
      </c>
      <c r="K4988" t="s">
        <v>14144</v>
      </c>
      <c r="L4988" t="s">
        <v>3638</v>
      </c>
    </row>
    <row r="4989" spans="1:12">
      <c r="A4989" t="s">
        <v>14139</v>
      </c>
      <c r="B4989" t="s">
        <v>14140</v>
      </c>
      <c r="C4989" t="s">
        <v>14563</v>
      </c>
      <c r="D4989" t="s">
        <v>14142</v>
      </c>
      <c r="E4989" t="s">
        <v>10625</v>
      </c>
      <c r="F4989" t="s">
        <v>14564</v>
      </c>
    </row>
    <row r="4990" spans="1:12">
      <c r="A4990" t="s">
        <v>14139</v>
      </c>
      <c r="B4990" t="s">
        <v>14140</v>
      </c>
      <c r="C4990" t="s">
        <v>14565</v>
      </c>
      <c r="D4990" t="s">
        <v>14142</v>
      </c>
      <c r="E4990" t="s">
        <v>14566</v>
      </c>
      <c r="F4990" t="s">
        <v>14567</v>
      </c>
    </row>
    <row r="4991" spans="1:12">
      <c r="A4991" t="s">
        <v>14139</v>
      </c>
      <c r="B4991" t="s">
        <v>14140</v>
      </c>
      <c r="C4991" t="s">
        <v>14568</v>
      </c>
      <c r="D4991" t="s">
        <v>14142</v>
      </c>
      <c r="E4991" t="s">
        <v>14569</v>
      </c>
      <c r="F4991" t="s">
        <v>14570</v>
      </c>
    </row>
    <row r="4992" spans="1:12">
      <c r="A4992" t="s">
        <v>14139</v>
      </c>
      <c r="B4992" t="s">
        <v>14140</v>
      </c>
      <c r="C4992" t="s">
        <v>14571</v>
      </c>
      <c r="D4992" t="s">
        <v>14142</v>
      </c>
      <c r="E4992" t="s">
        <v>14572</v>
      </c>
      <c r="F4992" t="s">
        <v>14573</v>
      </c>
      <c r="J4992" t="s">
        <v>14572</v>
      </c>
      <c r="K4992" t="s">
        <v>14144</v>
      </c>
      <c r="L4992" t="s">
        <v>3638</v>
      </c>
    </row>
    <row r="4993" spans="1:12">
      <c r="A4993" t="s">
        <v>14139</v>
      </c>
      <c r="B4993" t="s">
        <v>14140</v>
      </c>
      <c r="C4993" t="s">
        <v>14574</v>
      </c>
      <c r="D4993" t="s">
        <v>14142</v>
      </c>
      <c r="E4993" t="s">
        <v>14575</v>
      </c>
      <c r="F4993" t="s">
        <v>14576</v>
      </c>
      <c r="J4993" t="s">
        <v>14575</v>
      </c>
      <c r="K4993" t="s">
        <v>14144</v>
      </c>
      <c r="L4993" t="s">
        <v>3638</v>
      </c>
    </row>
    <row r="4994" spans="1:12">
      <c r="A4994" t="s">
        <v>14139</v>
      </c>
      <c r="B4994" t="s">
        <v>14140</v>
      </c>
      <c r="C4994" t="s">
        <v>14577</v>
      </c>
      <c r="D4994" t="s">
        <v>14142</v>
      </c>
      <c r="E4994" t="s">
        <v>14578</v>
      </c>
      <c r="F4994" t="s">
        <v>14579</v>
      </c>
      <c r="J4994" t="s">
        <v>14578</v>
      </c>
      <c r="K4994" t="s">
        <v>14144</v>
      </c>
      <c r="L4994" t="s">
        <v>3638</v>
      </c>
    </row>
    <row r="4995" spans="1:12">
      <c r="A4995" t="s">
        <v>14139</v>
      </c>
      <c r="B4995" t="s">
        <v>14140</v>
      </c>
      <c r="C4995" t="s">
        <v>14580</v>
      </c>
      <c r="D4995" t="s">
        <v>14142</v>
      </c>
      <c r="E4995" t="s">
        <v>14581</v>
      </c>
      <c r="F4995" t="s">
        <v>14582</v>
      </c>
    </row>
    <row r="4996" spans="1:12">
      <c r="A4996" t="s">
        <v>14139</v>
      </c>
      <c r="B4996" t="s">
        <v>14140</v>
      </c>
      <c r="C4996" t="s">
        <v>14583</v>
      </c>
      <c r="D4996" t="s">
        <v>14142</v>
      </c>
      <c r="E4996" t="s">
        <v>14584</v>
      </c>
      <c r="F4996" t="s">
        <v>14585</v>
      </c>
      <c r="J4996" t="s">
        <v>14584</v>
      </c>
      <c r="K4996" t="s">
        <v>14144</v>
      </c>
      <c r="L4996" t="s">
        <v>3638</v>
      </c>
    </row>
    <row r="4997" spans="1:12">
      <c r="A4997" t="s">
        <v>14139</v>
      </c>
      <c r="B4997" t="s">
        <v>14140</v>
      </c>
      <c r="C4997" t="s">
        <v>14586</v>
      </c>
      <c r="D4997" t="s">
        <v>14142</v>
      </c>
      <c r="E4997" t="s">
        <v>14587</v>
      </c>
      <c r="F4997" t="s">
        <v>14588</v>
      </c>
      <c r="J4997" t="s">
        <v>14587</v>
      </c>
      <c r="K4997" t="s">
        <v>14144</v>
      </c>
      <c r="L4997" t="s">
        <v>3638</v>
      </c>
    </row>
    <row r="4998" spans="1:12">
      <c r="A4998" t="s">
        <v>14139</v>
      </c>
      <c r="B4998" t="s">
        <v>14140</v>
      </c>
      <c r="C4998" t="s">
        <v>14589</v>
      </c>
      <c r="D4998" t="s">
        <v>14142</v>
      </c>
      <c r="E4998" t="s">
        <v>14590</v>
      </c>
      <c r="F4998" t="s">
        <v>14591</v>
      </c>
      <c r="J4998" t="s">
        <v>14590</v>
      </c>
      <c r="K4998" t="s">
        <v>14144</v>
      </c>
      <c r="L4998" t="s">
        <v>3638</v>
      </c>
    </row>
    <row r="4999" spans="1:12">
      <c r="A4999" t="s">
        <v>14139</v>
      </c>
      <c r="B4999" t="s">
        <v>14140</v>
      </c>
      <c r="C4999" t="s">
        <v>14592</v>
      </c>
      <c r="D4999" t="s">
        <v>14142</v>
      </c>
      <c r="E4999" t="s">
        <v>14593</v>
      </c>
      <c r="F4999" t="s">
        <v>14594</v>
      </c>
      <c r="J4999" t="s">
        <v>14593</v>
      </c>
      <c r="K4999" t="s">
        <v>14144</v>
      </c>
      <c r="L4999" t="s">
        <v>3638</v>
      </c>
    </row>
    <row r="5000" spans="1:12">
      <c r="A5000" t="s">
        <v>14139</v>
      </c>
      <c r="B5000" t="s">
        <v>14140</v>
      </c>
      <c r="C5000" t="s">
        <v>14595</v>
      </c>
      <c r="D5000" t="s">
        <v>14142</v>
      </c>
      <c r="E5000" t="s">
        <v>14596</v>
      </c>
      <c r="F5000" t="s">
        <v>14597</v>
      </c>
      <c r="J5000" t="s">
        <v>14596</v>
      </c>
      <c r="K5000" t="s">
        <v>14144</v>
      </c>
      <c r="L5000" t="s">
        <v>3638</v>
      </c>
    </row>
    <row r="5001" spans="1:12">
      <c r="A5001" t="s">
        <v>14139</v>
      </c>
      <c r="B5001" t="s">
        <v>14140</v>
      </c>
      <c r="C5001" t="s">
        <v>14598</v>
      </c>
      <c r="D5001" t="s">
        <v>14142</v>
      </c>
      <c r="E5001" t="s">
        <v>14599</v>
      </c>
      <c r="F5001" t="s">
        <v>14600</v>
      </c>
      <c r="J5001" t="s">
        <v>14599</v>
      </c>
      <c r="K5001" t="s">
        <v>14144</v>
      </c>
      <c r="L5001" t="s">
        <v>3638</v>
      </c>
    </row>
    <row r="5002" spans="1:12">
      <c r="A5002" t="s">
        <v>14139</v>
      </c>
      <c r="B5002" t="s">
        <v>14140</v>
      </c>
      <c r="C5002" t="s">
        <v>14601</v>
      </c>
      <c r="D5002" t="s">
        <v>14142</v>
      </c>
      <c r="E5002" t="s">
        <v>14602</v>
      </c>
      <c r="F5002" t="s">
        <v>14603</v>
      </c>
    </row>
    <row r="5003" spans="1:12">
      <c r="A5003" t="s">
        <v>14139</v>
      </c>
      <c r="B5003" t="s">
        <v>14140</v>
      </c>
      <c r="C5003" t="s">
        <v>14604</v>
      </c>
      <c r="D5003" t="s">
        <v>14142</v>
      </c>
      <c r="E5003" t="s">
        <v>14605</v>
      </c>
      <c r="F5003" t="s">
        <v>14606</v>
      </c>
    </row>
    <row r="5004" spans="1:12">
      <c r="A5004" t="s">
        <v>14139</v>
      </c>
      <c r="B5004" t="s">
        <v>14140</v>
      </c>
      <c r="C5004" t="s">
        <v>14607</v>
      </c>
      <c r="D5004" t="s">
        <v>14142</v>
      </c>
      <c r="E5004" t="s">
        <v>10722</v>
      </c>
      <c r="F5004" t="s">
        <v>14608</v>
      </c>
    </row>
    <row r="5005" spans="1:12">
      <c r="A5005" t="s">
        <v>14139</v>
      </c>
      <c r="B5005" t="s">
        <v>14140</v>
      </c>
      <c r="C5005" t="s">
        <v>14609</v>
      </c>
      <c r="D5005" t="s">
        <v>14142</v>
      </c>
      <c r="E5005" t="s">
        <v>13952</v>
      </c>
      <c r="F5005" t="s">
        <v>14610</v>
      </c>
    </row>
    <row r="5006" spans="1:12">
      <c r="A5006" t="s">
        <v>14139</v>
      </c>
      <c r="B5006" t="s">
        <v>14140</v>
      </c>
      <c r="C5006" t="s">
        <v>14611</v>
      </c>
      <c r="D5006" t="s">
        <v>14142</v>
      </c>
      <c r="E5006" t="s">
        <v>14612</v>
      </c>
      <c r="F5006" t="s">
        <v>14613</v>
      </c>
      <c r="J5006" t="s">
        <v>14612</v>
      </c>
      <c r="K5006" t="s">
        <v>14144</v>
      </c>
      <c r="L5006" t="s">
        <v>3638</v>
      </c>
    </row>
    <row r="5007" spans="1:12">
      <c r="A5007" t="s">
        <v>14139</v>
      </c>
      <c r="B5007" t="s">
        <v>14140</v>
      </c>
      <c r="C5007" t="s">
        <v>14614</v>
      </c>
      <c r="D5007" t="s">
        <v>14142</v>
      </c>
      <c r="E5007" t="s">
        <v>14615</v>
      </c>
      <c r="F5007" t="s">
        <v>14616</v>
      </c>
      <c r="J5007" t="s">
        <v>14615</v>
      </c>
      <c r="K5007" t="s">
        <v>14144</v>
      </c>
      <c r="L5007" t="s">
        <v>3638</v>
      </c>
    </row>
    <row r="5008" spans="1:12">
      <c r="A5008" t="s">
        <v>14139</v>
      </c>
      <c r="B5008" t="s">
        <v>14140</v>
      </c>
      <c r="C5008" t="s">
        <v>14617</v>
      </c>
      <c r="D5008" t="s">
        <v>14142</v>
      </c>
      <c r="E5008" t="s">
        <v>2963</v>
      </c>
      <c r="F5008" t="s">
        <v>14618</v>
      </c>
    </row>
    <row r="5009" spans="1:12">
      <c r="A5009" t="s">
        <v>14139</v>
      </c>
      <c r="B5009" t="s">
        <v>14140</v>
      </c>
      <c r="C5009" t="s">
        <v>14619</v>
      </c>
      <c r="D5009" t="s">
        <v>14142</v>
      </c>
      <c r="E5009" t="s">
        <v>14620</v>
      </c>
      <c r="F5009" t="s">
        <v>14621</v>
      </c>
      <c r="J5009" t="s">
        <v>14620</v>
      </c>
      <c r="K5009" t="s">
        <v>14144</v>
      </c>
      <c r="L5009" t="s">
        <v>3638</v>
      </c>
    </row>
    <row r="5010" spans="1:12">
      <c r="A5010" t="s">
        <v>14139</v>
      </c>
      <c r="B5010" t="s">
        <v>14140</v>
      </c>
      <c r="C5010" t="s">
        <v>14622</v>
      </c>
      <c r="D5010" t="s">
        <v>14142</v>
      </c>
      <c r="E5010" t="s">
        <v>14623</v>
      </c>
      <c r="F5010" t="s">
        <v>14624</v>
      </c>
    </row>
    <row r="5011" spans="1:12">
      <c r="A5011" t="s">
        <v>14139</v>
      </c>
      <c r="B5011" t="s">
        <v>14140</v>
      </c>
      <c r="C5011" t="s">
        <v>14625</v>
      </c>
      <c r="D5011" t="s">
        <v>14142</v>
      </c>
      <c r="E5011" t="s">
        <v>14626</v>
      </c>
      <c r="F5011" t="s">
        <v>14627</v>
      </c>
    </row>
    <row r="5012" spans="1:12">
      <c r="A5012" t="s">
        <v>14139</v>
      </c>
      <c r="B5012" t="s">
        <v>14140</v>
      </c>
      <c r="C5012" t="s">
        <v>14628</v>
      </c>
      <c r="D5012" t="s">
        <v>14142</v>
      </c>
      <c r="E5012" t="s">
        <v>14629</v>
      </c>
      <c r="F5012" t="s">
        <v>14630</v>
      </c>
    </row>
    <row r="5013" spans="1:12">
      <c r="A5013" t="s">
        <v>14139</v>
      </c>
      <c r="B5013" t="s">
        <v>14140</v>
      </c>
      <c r="C5013" t="s">
        <v>14631</v>
      </c>
      <c r="D5013" t="s">
        <v>14142</v>
      </c>
      <c r="E5013" t="s">
        <v>4576</v>
      </c>
      <c r="F5013" t="s">
        <v>14632</v>
      </c>
    </row>
    <row r="5014" spans="1:12">
      <c r="A5014" t="s">
        <v>14139</v>
      </c>
      <c r="B5014" t="s">
        <v>14140</v>
      </c>
      <c r="C5014" t="s">
        <v>14633</v>
      </c>
      <c r="D5014" t="s">
        <v>14142</v>
      </c>
      <c r="E5014" t="s">
        <v>3407</v>
      </c>
      <c r="F5014" t="s">
        <v>14634</v>
      </c>
    </row>
    <row r="5015" spans="1:12">
      <c r="A5015" t="s">
        <v>14139</v>
      </c>
      <c r="B5015" t="s">
        <v>14140</v>
      </c>
      <c r="C5015" t="s">
        <v>14635</v>
      </c>
      <c r="D5015" t="s">
        <v>14142</v>
      </c>
      <c r="E5015" t="s">
        <v>14636</v>
      </c>
      <c r="F5015" t="s">
        <v>14637</v>
      </c>
    </row>
    <row r="5016" spans="1:12">
      <c r="A5016" t="s">
        <v>14139</v>
      </c>
      <c r="B5016" t="s">
        <v>14140</v>
      </c>
      <c r="C5016" t="s">
        <v>14638</v>
      </c>
      <c r="D5016" t="s">
        <v>14142</v>
      </c>
      <c r="E5016" t="s">
        <v>14639</v>
      </c>
      <c r="F5016" t="s">
        <v>14640</v>
      </c>
      <c r="J5016" t="s">
        <v>14639</v>
      </c>
      <c r="K5016" t="s">
        <v>14144</v>
      </c>
      <c r="L5016" t="s">
        <v>3638</v>
      </c>
    </row>
    <row r="5017" spans="1:12">
      <c r="A5017" t="s">
        <v>14139</v>
      </c>
      <c r="B5017" t="s">
        <v>14140</v>
      </c>
      <c r="C5017" t="s">
        <v>14641</v>
      </c>
      <c r="D5017" t="s">
        <v>14142</v>
      </c>
      <c r="E5017" t="s">
        <v>14642</v>
      </c>
      <c r="F5017" t="s">
        <v>14643</v>
      </c>
      <c r="J5017" t="s">
        <v>14642</v>
      </c>
      <c r="K5017" t="s">
        <v>14144</v>
      </c>
      <c r="L5017" t="s">
        <v>3638</v>
      </c>
    </row>
    <row r="5018" spans="1:12">
      <c r="A5018" t="s">
        <v>14139</v>
      </c>
      <c r="B5018" t="s">
        <v>14140</v>
      </c>
      <c r="C5018" t="s">
        <v>14644</v>
      </c>
      <c r="D5018" t="s">
        <v>14142</v>
      </c>
      <c r="E5018" t="s">
        <v>13910</v>
      </c>
      <c r="F5018" t="s">
        <v>14645</v>
      </c>
    </row>
    <row r="5019" spans="1:12">
      <c r="A5019" t="s">
        <v>14139</v>
      </c>
      <c r="B5019" t="s">
        <v>14140</v>
      </c>
      <c r="C5019" t="s">
        <v>14646</v>
      </c>
      <c r="D5019" t="s">
        <v>14142</v>
      </c>
      <c r="E5019" t="s">
        <v>14647</v>
      </c>
      <c r="F5019" t="s">
        <v>14648</v>
      </c>
      <c r="J5019" t="s">
        <v>14647</v>
      </c>
      <c r="K5019" t="s">
        <v>14144</v>
      </c>
      <c r="L5019" t="s">
        <v>3638</v>
      </c>
    </row>
    <row r="5020" spans="1:12">
      <c r="A5020" t="s">
        <v>14139</v>
      </c>
      <c r="B5020" t="s">
        <v>14140</v>
      </c>
      <c r="C5020" t="s">
        <v>14649</v>
      </c>
      <c r="D5020" t="s">
        <v>14142</v>
      </c>
      <c r="E5020" t="s">
        <v>14650</v>
      </c>
      <c r="F5020" t="s">
        <v>14651</v>
      </c>
      <c r="J5020" t="s">
        <v>14650</v>
      </c>
      <c r="K5020" t="s">
        <v>14144</v>
      </c>
      <c r="L5020" t="s">
        <v>3638</v>
      </c>
    </row>
    <row r="5021" spans="1:12">
      <c r="A5021" t="s">
        <v>14139</v>
      </c>
      <c r="B5021" t="s">
        <v>14140</v>
      </c>
      <c r="C5021" t="s">
        <v>14652</v>
      </c>
      <c r="D5021" t="s">
        <v>14142</v>
      </c>
      <c r="E5021" t="s">
        <v>14653</v>
      </c>
      <c r="F5021" t="s">
        <v>14654</v>
      </c>
    </row>
    <row r="5022" spans="1:12">
      <c r="A5022" t="s">
        <v>14139</v>
      </c>
      <c r="B5022" t="s">
        <v>14140</v>
      </c>
      <c r="C5022" t="s">
        <v>14655</v>
      </c>
      <c r="D5022" t="s">
        <v>14142</v>
      </c>
      <c r="E5022" t="s">
        <v>14656</v>
      </c>
      <c r="F5022" t="s">
        <v>14657</v>
      </c>
      <c r="J5022" t="s">
        <v>14656</v>
      </c>
      <c r="K5022" t="s">
        <v>14144</v>
      </c>
      <c r="L5022" t="s">
        <v>3638</v>
      </c>
    </row>
    <row r="5023" spans="1:12">
      <c r="A5023" t="s">
        <v>14139</v>
      </c>
      <c r="B5023" t="s">
        <v>14140</v>
      </c>
      <c r="C5023" t="s">
        <v>14658</v>
      </c>
      <c r="D5023" t="s">
        <v>14142</v>
      </c>
      <c r="E5023" t="s">
        <v>14659</v>
      </c>
      <c r="F5023" t="s">
        <v>14660</v>
      </c>
      <c r="J5023" t="s">
        <v>14659</v>
      </c>
      <c r="K5023" t="s">
        <v>14144</v>
      </c>
      <c r="L5023" t="s">
        <v>3638</v>
      </c>
    </row>
    <row r="5024" spans="1:12">
      <c r="A5024" t="s">
        <v>14139</v>
      </c>
      <c r="B5024" t="s">
        <v>14140</v>
      </c>
      <c r="C5024" t="s">
        <v>14661</v>
      </c>
      <c r="D5024" t="s">
        <v>14142</v>
      </c>
      <c r="E5024" t="s">
        <v>14662</v>
      </c>
      <c r="F5024" t="s">
        <v>14663</v>
      </c>
      <c r="J5024" t="s">
        <v>14662</v>
      </c>
      <c r="K5024" t="s">
        <v>14144</v>
      </c>
      <c r="L5024" t="s">
        <v>3638</v>
      </c>
    </row>
    <row r="5025" spans="1:12">
      <c r="A5025" t="s">
        <v>14139</v>
      </c>
      <c r="B5025" t="s">
        <v>14140</v>
      </c>
      <c r="C5025" t="s">
        <v>14664</v>
      </c>
      <c r="D5025" t="s">
        <v>14142</v>
      </c>
      <c r="E5025" t="s">
        <v>14665</v>
      </c>
      <c r="F5025" t="s">
        <v>14666</v>
      </c>
      <c r="J5025" t="s">
        <v>14665</v>
      </c>
      <c r="K5025" t="s">
        <v>14144</v>
      </c>
      <c r="L5025" t="s">
        <v>3638</v>
      </c>
    </row>
    <row r="5026" spans="1:12">
      <c r="A5026" t="s">
        <v>14139</v>
      </c>
      <c r="B5026" t="s">
        <v>14140</v>
      </c>
      <c r="C5026" t="s">
        <v>14667</v>
      </c>
      <c r="D5026" t="s">
        <v>14142</v>
      </c>
      <c r="E5026" t="s">
        <v>14668</v>
      </c>
      <c r="F5026" t="s">
        <v>14669</v>
      </c>
    </row>
    <row r="5027" spans="1:12">
      <c r="A5027" t="s">
        <v>14139</v>
      </c>
      <c r="B5027" t="s">
        <v>14140</v>
      </c>
      <c r="C5027" t="s">
        <v>14670</v>
      </c>
      <c r="D5027" t="s">
        <v>14142</v>
      </c>
      <c r="E5027" t="s">
        <v>14671</v>
      </c>
      <c r="F5027" t="s">
        <v>14672</v>
      </c>
      <c r="J5027" t="s">
        <v>14671</v>
      </c>
      <c r="K5027" t="s">
        <v>14144</v>
      </c>
      <c r="L5027" t="s">
        <v>3638</v>
      </c>
    </row>
    <row r="5028" spans="1:12">
      <c r="A5028" t="s">
        <v>14139</v>
      </c>
      <c r="B5028" t="s">
        <v>14140</v>
      </c>
      <c r="C5028" t="s">
        <v>14673</v>
      </c>
      <c r="D5028" t="s">
        <v>14142</v>
      </c>
      <c r="E5028" t="s">
        <v>14674</v>
      </c>
      <c r="F5028" t="s">
        <v>14675</v>
      </c>
      <c r="J5028" t="s">
        <v>14674</v>
      </c>
      <c r="K5028" t="s">
        <v>14144</v>
      </c>
      <c r="L5028" t="s">
        <v>3638</v>
      </c>
    </row>
    <row r="5029" spans="1:12">
      <c r="A5029" t="s">
        <v>14139</v>
      </c>
      <c r="B5029" t="s">
        <v>14140</v>
      </c>
      <c r="C5029" t="s">
        <v>14676</v>
      </c>
      <c r="D5029" t="s">
        <v>14142</v>
      </c>
      <c r="E5029" t="s">
        <v>14677</v>
      </c>
      <c r="F5029" t="s">
        <v>14678</v>
      </c>
    </row>
    <row r="5030" spans="1:12">
      <c r="A5030" t="s">
        <v>14139</v>
      </c>
      <c r="B5030" t="s">
        <v>14140</v>
      </c>
      <c r="C5030" t="s">
        <v>14679</v>
      </c>
      <c r="D5030" t="s">
        <v>14142</v>
      </c>
      <c r="E5030" t="s">
        <v>14680</v>
      </c>
      <c r="F5030" t="s">
        <v>14681</v>
      </c>
      <c r="J5030" t="s">
        <v>14680</v>
      </c>
      <c r="K5030" t="s">
        <v>14144</v>
      </c>
      <c r="L5030" t="s">
        <v>3638</v>
      </c>
    </row>
    <row r="5031" spans="1:12">
      <c r="A5031" t="s">
        <v>14139</v>
      </c>
      <c r="B5031" t="s">
        <v>14140</v>
      </c>
      <c r="C5031" t="s">
        <v>14682</v>
      </c>
      <c r="D5031" t="s">
        <v>14142</v>
      </c>
      <c r="E5031" t="s">
        <v>14683</v>
      </c>
      <c r="F5031" t="s">
        <v>14684</v>
      </c>
      <c r="J5031" t="s">
        <v>14683</v>
      </c>
      <c r="K5031" t="s">
        <v>14144</v>
      </c>
      <c r="L5031" t="s">
        <v>3638</v>
      </c>
    </row>
    <row r="5032" spans="1:12">
      <c r="A5032" t="s">
        <v>14139</v>
      </c>
      <c r="B5032" t="s">
        <v>14140</v>
      </c>
      <c r="C5032" t="s">
        <v>14685</v>
      </c>
      <c r="D5032" t="s">
        <v>14142</v>
      </c>
      <c r="E5032" t="s">
        <v>14686</v>
      </c>
      <c r="F5032" t="s">
        <v>14687</v>
      </c>
      <c r="J5032" t="s">
        <v>14686</v>
      </c>
      <c r="K5032" t="s">
        <v>14144</v>
      </c>
      <c r="L5032" t="s">
        <v>3638</v>
      </c>
    </row>
    <row r="5033" spans="1:12">
      <c r="A5033" t="s">
        <v>14139</v>
      </c>
      <c r="B5033" t="s">
        <v>14140</v>
      </c>
      <c r="C5033" t="s">
        <v>14688</v>
      </c>
      <c r="D5033" t="s">
        <v>14142</v>
      </c>
      <c r="E5033" t="s">
        <v>14689</v>
      </c>
      <c r="F5033" t="s">
        <v>14690</v>
      </c>
      <c r="J5033" t="s">
        <v>14689</v>
      </c>
      <c r="K5033" t="s">
        <v>14144</v>
      </c>
      <c r="L5033" t="s">
        <v>3638</v>
      </c>
    </row>
    <row r="5034" spans="1:12">
      <c r="A5034" t="s">
        <v>14139</v>
      </c>
      <c r="B5034" t="s">
        <v>14140</v>
      </c>
      <c r="C5034" t="s">
        <v>14691</v>
      </c>
      <c r="D5034" t="s">
        <v>14142</v>
      </c>
      <c r="E5034" t="s">
        <v>14692</v>
      </c>
      <c r="F5034" t="s">
        <v>14693</v>
      </c>
      <c r="J5034" t="s">
        <v>14692</v>
      </c>
      <c r="K5034" t="s">
        <v>14144</v>
      </c>
      <c r="L5034" t="s">
        <v>3638</v>
      </c>
    </row>
    <row r="5035" spans="1:12">
      <c r="A5035" t="s">
        <v>14139</v>
      </c>
      <c r="B5035" t="s">
        <v>14140</v>
      </c>
      <c r="C5035" t="s">
        <v>14694</v>
      </c>
      <c r="D5035" t="s">
        <v>14142</v>
      </c>
      <c r="E5035" t="s">
        <v>14695</v>
      </c>
      <c r="F5035" t="s">
        <v>14696</v>
      </c>
      <c r="J5035" t="s">
        <v>14695</v>
      </c>
      <c r="K5035" t="s">
        <v>14144</v>
      </c>
      <c r="L5035" t="s">
        <v>3638</v>
      </c>
    </row>
    <row r="5036" spans="1:12">
      <c r="A5036" t="s">
        <v>14139</v>
      </c>
      <c r="B5036" t="s">
        <v>14140</v>
      </c>
      <c r="C5036" t="s">
        <v>14697</v>
      </c>
      <c r="D5036" t="s">
        <v>14142</v>
      </c>
      <c r="E5036" t="s">
        <v>14698</v>
      </c>
      <c r="F5036" t="s">
        <v>14699</v>
      </c>
      <c r="J5036" t="s">
        <v>14698</v>
      </c>
      <c r="K5036" t="s">
        <v>14144</v>
      </c>
      <c r="L5036" t="s">
        <v>3638</v>
      </c>
    </row>
    <row r="5037" spans="1:12">
      <c r="A5037" t="s">
        <v>14139</v>
      </c>
      <c r="B5037" t="s">
        <v>14140</v>
      </c>
      <c r="C5037" t="s">
        <v>14700</v>
      </c>
      <c r="D5037" t="s">
        <v>14142</v>
      </c>
      <c r="E5037" t="s">
        <v>10113</v>
      </c>
      <c r="F5037" t="s">
        <v>14701</v>
      </c>
      <c r="J5037" t="s">
        <v>10113</v>
      </c>
      <c r="K5037" t="s">
        <v>14144</v>
      </c>
      <c r="L5037" t="s">
        <v>3638</v>
      </c>
    </row>
    <row r="5038" spans="1:12">
      <c r="A5038" t="s">
        <v>14139</v>
      </c>
      <c r="B5038" t="s">
        <v>14140</v>
      </c>
      <c r="C5038" t="s">
        <v>14702</v>
      </c>
      <c r="D5038" t="s">
        <v>14142</v>
      </c>
      <c r="E5038" t="s">
        <v>10149</v>
      </c>
      <c r="F5038" t="s">
        <v>14703</v>
      </c>
      <c r="J5038" t="s">
        <v>10149</v>
      </c>
      <c r="K5038" t="s">
        <v>14144</v>
      </c>
      <c r="L5038" t="s">
        <v>3638</v>
      </c>
    </row>
    <row r="5039" spans="1:12">
      <c r="A5039" t="s">
        <v>14139</v>
      </c>
      <c r="B5039" t="s">
        <v>14140</v>
      </c>
      <c r="C5039" t="s">
        <v>14704</v>
      </c>
      <c r="D5039" t="s">
        <v>14142</v>
      </c>
      <c r="E5039" t="s">
        <v>14705</v>
      </c>
      <c r="F5039" t="s">
        <v>14706</v>
      </c>
      <c r="J5039" t="s">
        <v>14705</v>
      </c>
      <c r="K5039" t="s">
        <v>14144</v>
      </c>
      <c r="L5039" t="s">
        <v>3638</v>
      </c>
    </row>
    <row r="5040" spans="1:12">
      <c r="A5040" t="s">
        <v>14139</v>
      </c>
      <c r="B5040" t="s">
        <v>14140</v>
      </c>
      <c r="C5040" t="s">
        <v>14707</v>
      </c>
      <c r="D5040" t="s">
        <v>14142</v>
      </c>
      <c r="E5040" t="s">
        <v>14708</v>
      </c>
      <c r="F5040" t="s">
        <v>14709</v>
      </c>
      <c r="J5040" t="s">
        <v>14708</v>
      </c>
      <c r="K5040" t="s">
        <v>14144</v>
      </c>
      <c r="L5040" t="s">
        <v>3638</v>
      </c>
    </row>
    <row r="5041" spans="1:12">
      <c r="A5041" t="s">
        <v>14139</v>
      </c>
      <c r="B5041" t="s">
        <v>14140</v>
      </c>
      <c r="C5041" t="s">
        <v>14710</v>
      </c>
      <c r="D5041" t="s">
        <v>14142</v>
      </c>
      <c r="E5041" t="s">
        <v>14711</v>
      </c>
      <c r="F5041" t="s">
        <v>14712</v>
      </c>
      <c r="J5041" t="s">
        <v>14711</v>
      </c>
      <c r="K5041" t="s">
        <v>14144</v>
      </c>
      <c r="L5041" t="s">
        <v>3638</v>
      </c>
    </row>
    <row r="5042" spans="1:12">
      <c r="A5042" t="s">
        <v>14139</v>
      </c>
      <c r="B5042" t="s">
        <v>14140</v>
      </c>
      <c r="C5042" t="s">
        <v>14713</v>
      </c>
      <c r="D5042" t="s">
        <v>14142</v>
      </c>
      <c r="E5042" t="s">
        <v>14714</v>
      </c>
      <c r="F5042" t="s">
        <v>14715</v>
      </c>
      <c r="J5042" t="s">
        <v>14714</v>
      </c>
      <c r="K5042" t="s">
        <v>14144</v>
      </c>
      <c r="L5042" t="s">
        <v>3638</v>
      </c>
    </row>
    <row r="5043" spans="1:12">
      <c r="A5043" t="s">
        <v>14139</v>
      </c>
      <c r="B5043" t="s">
        <v>14140</v>
      </c>
      <c r="C5043" t="s">
        <v>14716</v>
      </c>
      <c r="D5043" t="s">
        <v>14142</v>
      </c>
      <c r="E5043" t="s">
        <v>14717</v>
      </c>
      <c r="F5043" t="s">
        <v>14718</v>
      </c>
      <c r="J5043" t="s">
        <v>14717</v>
      </c>
      <c r="K5043" t="s">
        <v>14144</v>
      </c>
      <c r="L5043" t="s">
        <v>3638</v>
      </c>
    </row>
    <row r="5044" spans="1:12">
      <c r="A5044" t="s">
        <v>14139</v>
      </c>
      <c r="B5044" t="s">
        <v>14140</v>
      </c>
      <c r="C5044" t="s">
        <v>14719</v>
      </c>
      <c r="D5044" t="s">
        <v>14142</v>
      </c>
      <c r="E5044" t="s">
        <v>14720</v>
      </c>
      <c r="F5044" t="s">
        <v>14721</v>
      </c>
      <c r="J5044" t="s">
        <v>14720</v>
      </c>
      <c r="K5044" t="s">
        <v>14144</v>
      </c>
      <c r="L5044" t="s">
        <v>3638</v>
      </c>
    </row>
    <row r="5045" spans="1:12">
      <c r="A5045" t="s">
        <v>14139</v>
      </c>
      <c r="B5045" t="s">
        <v>14140</v>
      </c>
      <c r="C5045" t="s">
        <v>14722</v>
      </c>
      <c r="D5045" t="s">
        <v>14142</v>
      </c>
      <c r="E5045" t="s">
        <v>655</v>
      </c>
      <c r="F5045" t="s">
        <v>656</v>
      </c>
    </row>
    <row r="5046" spans="1:12">
      <c r="A5046" t="s">
        <v>14139</v>
      </c>
      <c r="B5046" t="s">
        <v>14140</v>
      </c>
      <c r="D5046" t="s">
        <v>14142</v>
      </c>
      <c r="F5046" t="s">
        <v>14723</v>
      </c>
      <c r="J5046" t="s">
        <v>14724</v>
      </c>
      <c r="K5046" t="s">
        <v>14144</v>
      </c>
      <c r="L5046" t="s">
        <v>3638</v>
      </c>
    </row>
    <row r="5047" spans="1:12">
      <c r="A5047" t="s">
        <v>14139</v>
      </c>
      <c r="B5047" t="s">
        <v>14140</v>
      </c>
      <c r="D5047" t="s">
        <v>14142</v>
      </c>
      <c r="F5047" t="s">
        <v>14725</v>
      </c>
      <c r="J5047" t="s">
        <v>14726</v>
      </c>
      <c r="K5047" t="s">
        <v>14144</v>
      </c>
      <c r="L5047" t="s">
        <v>3638</v>
      </c>
    </row>
    <row r="5048" spans="1:12">
      <c r="A5048" t="s">
        <v>14139</v>
      </c>
      <c r="B5048" t="s">
        <v>14140</v>
      </c>
      <c r="D5048" t="s">
        <v>14142</v>
      </c>
      <c r="F5048" t="s">
        <v>14727</v>
      </c>
      <c r="J5048" t="s">
        <v>14728</v>
      </c>
      <c r="K5048" t="s">
        <v>14144</v>
      </c>
      <c r="L5048" t="s">
        <v>3638</v>
      </c>
    </row>
    <row r="5049" spans="1:12">
      <c r="A5049" t="s">
        <v>14139</v>
      </c>
      <c r="B5049" t="s">
        <v>14140</v>
      </c>
      <c r="D5049" t="s">
        <v>14142</v>
      </c>
      <c r="F5049" t="s">
        <v>14729</v>
      </c>
      <c r="J5049" t="s">
        <v>14730</v>
      </c>
      <c r="K5049" t="s">
        <v>14144</v>
      </c>
      <c r="L5049" t="s">
        <v>3638</v>
      </c>
    </row>
    <row r="5050" spans="1:12">
      <c r="A5050" t="s">
        <v>14139</v>
      </c>
      <c r="B5050" t="s">
        <v>14140</v>
      </c>
      <c r="D5050" t="s">
        <v>14142</v>
      </c>
      <c r="F5050" t="s">
        <v>14731</v>
      </c>
      <c r="J5050" t="s">
        <v>14732</v>
      </c>
      <c r="K5050" t="s">
        <v>14144</v>
      </c>
      <c r="L5050" t="s">
        <v>3638</v>
      </c>
    </row>
    <row r="5051" spans="1:12">
      <c r="A5051" t="s">
        <v>14139</v>
      </c>
      <c r="B5051" t="s">
        <v>14140</v>
      </c>
      <c r="D5051" t="s">
        <v>14142</v>
      </c>
      <c r="F5051" t="s">
        <v>14237</v>
      </c>
      <c r="J5051" t="s">
        <v>14733</v>
      </c>
      <c r="K5051" t="s">
        <v>14144</v>
      </c>
      <c r="L5051" t="s">
        <v>3638</v>
      </c>
    </row>
    <row r="5052" spans="1:12">
      <c r="A5052" t="s">
        <v>14139</v>
      </c>
      <c r="B5052" t="s">
        <v>14140</v>
      </c>
      <c r="D5052" t="s">
        <v>14142</v>
      </c>
      <c r="F5052" t="s">
        <v>14734</v>
      </c>
      <c r="J5052" t="s">
        <v>14735</v>
      </c>
      <c r="K5052" t="s">
        <v>14144</v>
      </c>
      <c r="L5052" t="s">
        <v>3638</v>
      </c>
    </row>
    <row r="5053" spans="1:12">
      <c r="A5053" t="s">
        <v>14139</v>
      </c>
      <c r="B5053" t="s">
        <v>14140</v>
      </c>
      <c r="D5053" t="s">
        <v>14142</v>
      </c>
      <c r="F5053" t="s">
        <v>9269</v>
      </c>
      <c r="J5053" t="s">
        <v>14736</v>
      </c>
      <c r="K5053" t="s">
        <v>14144</v>
      </c>
      <c r="L5053" t="s">
        <v>3638</v>
      </c>
    </row>
    <row r="5054" spans="1:12">
      <c r="A5054" t="s">
        <v>14139</v>
      </c>
      <c r="B5054" t="s">
        <v>14140</v>
      </c>
      <c r="D5054" t="s">
        <v>14142</v>
      </c>
      <c r="F5054" t="s">
        <v>14737</v>
      </c>
      <c r="J5054" t="s">
        <v>14738</v>
      </c>
      <c r="K5054" t="s">
        <v>14144</v>
      </c>
      <c r="L5054" t="s">
        <v>3638</v>
      </c>
    </row>
    <row r="5055" spans="1:12">
      <c r="A5055" t="s">
        <v>14139</v>
      </c>
      <c r="B5055" t="s">
        <v>14140</v>
      </c>
      <c r="D5055" t="s">
        <v>14142</v>
      </c>
      <c r="F5055" t="s">
        <v>14739</v>
      </c>
      <c r="J5055" t="s">
        <v>14740</v>
      </c>
      <c r="K5055" t="s">
        <v>14144</v>
      </c>
      <c r="L5055" t="s">
        <v>3638</v>
      </c>
    </row>
    <row r="5056" spans="1:12">
      <c r="A5056" t="s">
        <v>14139</v>
      </c>
      <c r="B5056" t="s">
        <v>14140</v>
      </c>
      <c r="D5056" t="s">
        <v>14142</v>
      </c>
      <c r="F5056" t="s">
        <v>14741</v>
      </c>
      <c r="J5056" t="s">
        <v>14742</v>
      </c>
      <c r="K5056" t="s">
        <v>14144</v>
      </c>
      <c r="L5056" t="s">
        <v>3638</v>
      </c>
    </row>
    <row r="5057" spans="1:12">
      <c r="A5057" t="s">
        <v>14139</v>
      </c>
      <c r="B5057" t="s">
        <v>14140</v>
      </c>
      <c r="D5057" t="s">
        <v>14142</v>
      </c>
      <c r="F5057" t="s">
        <v>14743</v>
      </c>
      <c r="J5057" t="s">
        <v>14744</v>
      </c>
      <c r="K5057" t="s">
        <v>14144</v>
      </c>
      <c r="L5057" t="s">
        <v>3638</v>
      </c>
    </row>
    <row r="5058" spans="1:12">
      <c r="A5058" t="s">
        <v>14745</v>
      </c>
      <c r="B5058" t="s">
        <v>14746</v>
      </c>
      <c r="C5058" t="s">
        <v>14747</v>
      </c>
      <c r="D5058" t="s">
        <v>14748</v>
      </c>
      <c r="E5058" t="s">
        <v>1487</v>
      </c>
      <c r="F5058" t="s">
        <v>14749</v>
      </c>
    </row>
    <row r="5059" spans="1:12">
      <c r="A5059" t="s">
        <v>14745</v>
      </c>
      <c r="B5059" t="s">
        <v>14746</v>
      </c>
      <c r="C5059" t="s">
        <v>14750</v>
      </c>
      <c r="D5059" t="s">
        <v>14748</v>
      </c>
      <c r="E5059" t="s">
        <v>14751</v>
      </c>
      <c r="F5059" t="s">
        <v>14752</v>
      </c>
    </row>
    <row r="5060" spans="1:12">
      <c r="A5060" t="s">
        <v>14745</v>
      </c>
      <c r="B5060" t="s">
        <v>14746</v>
      </c>
      <c r="C5060" t="s">
        <v>14753</v>
      </c>
      <c r="D5060" t="s">
        <v>14748</v>
      </c>
      <c r="E5060" t="s">
        <v>1541</v>
      </c>
      <c r="F5060" t="s">
        <v>14754</v>
      </c>
    </row>
    <row r="5061" spans="1:12">
      <c r="A5061" t="s">
        <v>14745</v>
      </c>
      <c r="B5061" t="s">
        <v>14746</v>
      </c>
      <c r="C5061" t="s">
        <v>14755</v>
      </c>
      <c r="D5061" t="s">
        <v>14748</v>
      </c>
      <c r="E5061" t="s">
        <v>10297</v>
      </c>
      <c r="F5061" t="s">
        <v>14756</v>
      </c>
    </row>
    <row r="5062" spans="1:12">
      <c r="A5062" t="s">
        <v>14745</v>
      </c>
      <c r="B5062" t="s">
        <v>14746</v>
      </c>
      <c r="C5062" t="s">
        <v>14757</v>
      </c>
      <c r="D5062" t="s">
        <v>14748</v>
      </c>
      <c r="E5062" t="s">
        <v>14219</v>
      </c>
      <c r="F5062" t="s">
        <v>14758</v>
      </c>
    </row>
    <row r="5063" spans="1:12">
      <c r="A5063" t="s">
        <v>14745</v>
      </c>
      <c r="B5063" t="s">
        <v>14746</v>
      </c>
      <c r="C5063" t="s">
        <v>14759</v>
      </c>
      <c r="D5063" t="s">
        <v>14748</v>
      </c>
      <c r="E5063" t="s">
        <v>10904</v>
      </c>
      <c r="F5063" t="s">
        <v>14760</v>
      </c>
    </row>
    <row r="5064" spans="1:12">
      <c r="A5064" t="s">
        <v>14745</v>
      </c>
      <c r="B5064" t="s">
        <v>14746</v>
      </c>
      <c r="C5064" t="s">
        <v>14761</v>
      </c>
      <c r="D5064" t="s">
        <v>14748</v>
      </c>
      <c r="E5064" t="s">
        <v>14762</v>
      </c>
      <c r="F5064" t="s">
        <v>14763</v>
      </c>
      <c r="J5064" t="s">
        <v>14762</v>
      </c>
      <c r="K5064" t="s">
        <v>4076</v>
      </c>
      <c r="L5064" t="s">
        <v>851</v>
      </c>
    </row>
    <row r="5065" spans="1:12">
      <c r="A5065" t="s">
        <v>14745</v>
      </c>
      <c r="B5065" t="s">
        <v>14746</v>
      </c>
      <c r="C5065" t="s">
        <v>14764</v>
      </c>
      <c r="D5065" t="s">
        <v>14748</v>
      </c>
      <c r="E5065" t="s">
        <v>8108</v>
      </c>
      <c r="F5065" t="s">
        <v>14765</v>
      </c>
    </row>
    <row r="5066" spans="1:12">
      <c r="A5066" t="s">
        <v>14745</v>
      </c>
      <c r="B5066" t="s">
        <v>14746</v>
      </c>
      <c r="C5066" t="s">
        <v>14766</v>
      </c>
      <c r="D5066" t="s">
        <v>14748</v>
      </c>
      <c r="E5066" t="s">
        <v>14767</v>
      </c>
      <c r="F5066" t="s">
        <v>14768</v>
      </c>
    </row>
    <row r="5067" spans="1:12">
      <c r="A5067" t="s">
        <v>14745</v>
      </c>
      <c r="B5067" t="s">
        <v>14746</v>
      </c>
      <c r="C5067" t="s">
        <v>14769</v>
      </c>
      <c r="D5067" t="s">
        <v>14748</v>
      </c>
      <c r="E5067" t="s">
        <v>10603</v>
      </c>
      <c r="F5067" t="s">
        <v>14770</v>
      </c>
      <c r="J5067" t="s">
        <v>10603</v>
      </c>
      <c r="K5067" t="s">
        <v>4076</v>
      </c>
      <c r="L5067" t="s">
        <v>851</v>
      </c>
    </row>
    <row r="5068" spans="1:12">
      <c r="A5068" t="s">
        <v>14745</v>
      </c>
      <c r="B5068" t="s">
        <v>14746</v>
      </c>
      <c r="C5068" t="s">
        <v>14771</v>
      </c>
      <c r="D5068" t="s">
        <v>14748</v>
      </c>
      <c r="E5068" t="s">
        <v>14772</v>
      </c>
      <c r="F5068" t="s">
        <v>14773</v>
      </c>
      <c r="J5068" t="s">
        <v>14772</v>
      </c>
      <c r="K5068" t="s">
        <v>4076</v>
      </c>
      <c r="L5068" t="s">
        <v>851</v>
      </c>
    </row>
    <row r="5069" spans="1:12">
      <c r="A5069" t="s">
        <v>14745</v>
      </c>
      <c r="B5069" t="s">
        <v>14746</v>
      </c>
      <c r="C5069" t="s">
        <v>14774</v>
      </c>
      <c r="D5069" t="s">
        <v>14748</v>
      </c>
      <c r="E5069" t="s">
        <v>1090</v>
      </c>
      <c r="F5069" t="s">
        <v>14775</v>
      </c>
    </row>
    <row r="5070" spans="1:12">
      <c r="A5070" t="s">
        <v>14745</v>
      </c>
      <c r="B5070" t="s">
        <v>14746</v>
      </c>
      <c r="C5070" t="s">
        <v>14776</v>
      </c>
      <c r="D5070" t="s">
        <v>14748</v>
      </c>
      <c r="E5070" t="s">
        <v>14777</v>
      </c>
      <c r="F5070" t="s">
        <v>14778</v>
      </c>
    </row>
    <row r="5071" spans="1:12">
      <c r="A5071" t="s">
        <v>14745</v>
      </c>
      <c r="B5071" t="s">
        <v>14746</v>
      </c>
      <c r="C5071" t="s">
        <v>14779</v>
      </c>
      <c r="D5071" t="s">
        <v>14748</v>
      </c>
      <c r="E5071" t="s">
        <v>3218</v>
      </c>
      <c r="F5071" t="s">
        <v>14780</v>
      </c>
    </row>
    <row r="5072" spans="1:12">
      <c r="A5072" t="s">
        <v>14745</v>
      </c>
      <c r="B5072" t="s">
        <v>14746</v>
      </c>
      <c r="C5072" t="s">
        <v>14781</v>
      </c>
      <c r="D5072" t="s">
        <v>14748</v>
      </c>
      <c r="E5072" t="s">
        <v>14782</v>
      </c>
      <c r="F5072" t="s">
        <v>14783</v>
      </c>
    </row>
    <row r="5073" spans="1:12">
      <c r="A5073" t="s">
        <v>14745</v>
      </c>
      <c r="B5073" t="s">
        <v>14746</v>
      </c>
      <c r="C5073" t="s">
        <v>14784</v>
      </c>
      <c r="D5073" t="s">
        <v>14748</v>
      </c>
      <c r="E5073" t="s">
        <v>4955</v>
      </c>
      <c r="F5073" t="s">
        <v>14785</v>
      </c>
    </row>
    <row r="5074" spans="1:12">
      <c r="A5074" t="s">
        <v>14745</v>
      </c>
      <c r="B5074" t="s">
        <v>14746</v>
      </c>
      <c r="C5074" t="s">
        <v>14786</v>
      </c>
      <c r="D5074" t="s">
        <v>14748</v>
      </c>
      <c r="E5074" t="s">
        <v>14787</v>
      </c>
      <c r="F5074" t="s">
        <v>14788</v>
      </c>
    </row>
    <row r="5075" spans="1:12">
      <c r="A5075" t="s">
        <v>14745</v>
      </c>
      <c r="B5075" t="s">
        <v>14746</v>
      </c>
      <c r="C5075" t="s">
        <v>14789</v>
      </c>
      <c r="D5075" t="s">
        <v>14748</v>
      </c>
      <c r="E5075" t="s">
        <v>14790</v>
      </c>
      <c r="F5075" t="s">
        <v>14791</v>
      </c>
    </row>
    <row r="5076" spans="1:12">
      <c r="A5076" t="s">
        <v>14745</v>
      </c>
      <c r="B5076" t="s">
        <v>14746</v>
      </c>
      <c r="C5076" t="s">
        <v>14792</v>
      </c>
      <c r="D5076" t="s">
        <v>14748</v>
      </c>
      <c r="E5076" t="s">
        <v>14793</v>
      </c>
      <c r="F5076" t="s">
        <v>14794</v>
      </c>
    </row>
    <row r="5077" spans="1:12">
      <c r="A5077" t="s">
        <v>14745</v>
      </c>
      <c r="B5077" t="s">
        <v>14746</v>
      </c>
      <c r="C5077" t="s">
        <v>14795</v>
      </c>
      <c r="D5077" t="s">
        <v>14748</v>
      </c>
      <c r="E5077" t="s">
        <v>1893</v>
      </c>
      <c r="F5077" t="s">
        <v>14796</v>
      </c>
    </row>
    <row r="5078" spans="1:12">
      <c r="A5078" t="s">
        <v>14745</v>
      </c>
      <c r="B5078" t="s">
        <v>14746</v>
      </c>
      <c r="C5078" t="s">
        <v>14797</v>
      </c>
      <c r="D5078" t="s">
        <v>14748</v>
      </c>
      <c r="E5078" t="s">
        <v>14798</v>
      </c>
      <c r="F5078" t="s">
        <v>14799</v>
      </c>
    </row>
    <row r="5079" spans="1:12">
      <c r="A5079" t="s">
        <v>14745</v>
      </c>
      <c r="B5079" t="s">
        <v>14746</v>
      </c>
      <c r="C5079" t="s">
        <v>14800</v>
      </c>
      <c r="D5079" t="s">
        <v>14748</v>
      </c>
      <c r="E5079" t="s">
        <v>14801</v>
      </c>
      <c r="F5079" t="s">
        <v>14802</v>
      </c>
      <c r="J5079" t="s">
        <v>14801</v>
      </c>
      <c r="K5079" t="s">
        <v>4076</v>
      </c>
      <c r="L5079" t="s">
        <v>851</v>
      </c>
    </row>
    <row r="5080" spans="1:12">
      <c r="A5080" t="s">
        <v>14745</v>
      </c>
      <c r="B5080" t="s">
        <v>14746</v>
      </c>
      <c r="C5080" t="s">
        <v>14803</v>
      </c>
      <c r="D5080" t="s">
        <v>14748</v>
      </c>
      <c r="E5080" t="s">
        <v>4005</v>
      </c>
      <c r="F5080" t="s">
        <v>14804</v>
      </c>
    </row>
    <row r="5081" spans="1:12">
      <c r="A5081" t="s">
        <v>14745</v>
      </c>
      <c r="B5081" t="s">
        <v>14746</v>
      </c>
      <c r="C5081" t="s">
        <v>14805</v>
      </c>
      <c r="D5081" t="s">
        <v>14748</v>
      </c>
      <c r="E5081" t="s">
        <v>14806</v>
      </c>
      <c r="F5081" t="s">
        <v>14807</v>
      </c>
    </row>
    <row r="5082" spans="1:12">
      <c r="A5082" t="s">
        <v>14745</v>
      </c>
      <c r="B5082" t="s">
        <v>14746</v>
      </c>
      <c r="C5082" t="s">
        <v>14808</v>
      </c>
      <c r="D5082" t="s">
        <v>14748</v>
      </c>
      <c r="E5082" t="s">
        <v>12592</v>
      </c>
      <c r="F5082" t="s">
        <v>14809</v>
      </c>
    </row>
    <row r="5083" spans="1:12">
      <c r="A5083" t="s">
        <v>14745</v>
      </c>
      <c r="B5083" t="s">
        <v>14746</v>
      </c>
      <c r="C5083" t="s">
        <v>14810</v>
      </c>
      <c r="D5083" t="s">
        <v>14748</v>
      </c>
      <c r="E5083" t="s">
        <v>10942</v>
      </c>
      <c r="F5083" t="s">
        <v>14811</v>
      </c>
    </row>
    <row r="5084" spans="1:12">
      <c r="A5084" t="s">
        <v>14745</v>
      </c>
      <c r="B5084" t="s">
        <v>14746</v>
      </c>
      <c r="C5084" t="s">
        <v>14812</v>
      </c>
      <c r="D5084" t="s">
        <v>14748</v>
      </c>
      <c r="E5084" t="s">
        <v>14813</v>
      </c>
      <c r="F5084" t="s">
        <v>14814</v>
      </c>
      <c r="J5084" t="s">
        <v>14813</v>
      </c>
      <c r="K5084" t="s">
        <v>4076</v>
      </c>
      <c r="L5084" t="s">
        <v>851</v>
      </c>
    </row>
    <row r="5085" spans="1:12">
      <c r="A5085" t="s">
        <v>14745</v>
      </c>
      <c r="B5085" t="s">
        <v>14746</v>
      </c>
      <c r="C5085" t="s">
        <v>14815</v>
      </c>
      <c r="D5085" t="s">
        <v>14748</v>
      </c>
      <c r="E5085" t="s">
        <v>14816</v>
      </c>
      <c r="F5085" t="s">
        <v>14817</v>
      </c>
    </row>
    <row r="5086" spans="1:12">
      <c r="A5086" t="s">
        <v>14745</v>
      </c>
      <c r="B5086" t="s">
        <v>14746</v>
      </c>
      <c r="C5086" t="s">
        <v>14818</v>
      </c>
      <c r="D5086" t="s">
        <v>14748</v>
      </c>
      <c r="E5086" t="s">
        <v>14819</v>
      </c>
      <c r="F5086" t="s">
        <v>14820</v>
      </c>
      <c r="J5086" t="s">
        <v>14819</v>
      </c>
      <c r="K5086" t="s">
        <v>4076</v>
      </c>
      <c r="L5086" t="s">
        <v>851</v>
      </c>
    </row>
    <row r="5087" spans="1:12">
      <c r="A5087" t="s">
        <v>14745</v>
      </c>
      <c r="B5087" t="s">
        <v>14746</v>
      </c>
      <c r="C5087" t="s">
        <v>14821</v>
      </c>
      <c r="D5087" t="s">
        <v>14748</v>
      </c>
      <c r="E5087" t="s">
        <v>14822</v>
      </c>
      <c r="F5087" t="s">
        <v>14823</v>
      </c>
      <c r="J5087" t="s">
        <v>14822</v>
      </c>
      <c r="K5087" t="s">
        <v>4076</v>
      </c>
      <c r="L5087" t="s">
        <v>851</v>
      </c>
    </row>
    <row r="5088" spans="1:12">
      <c r="A5088" t="s">
        <v>14745</v>
      </c>
      <c r="B5088" t="s">
        <v>14746</v>
      </c>
      <c r="C5088" t="s">
        <v>14824</v>
      </c>
      <c r="D5088" t="s">
        <v>14748</v>
      </c>
      <c r="E5088" t="s">
        <v>14825</v>
      </c>
      <c r="F5088" t="s">
        <v>14826</v>
      </c>
      <c r="J5088" t="s">
        <v>14825</v>
      </c>
      <c r="K5088" t="s">
        <v>4076</v>
      </c>
      <c r="L5088" t="s">
        <v>851</v>
      </c>
    </row>
    <row r="5089" spans="1:12">
      <c r="A5089" t="s">
        <v>14745</v>
      </c>
      <c r="B5089" t="s">
        <v>14746</v>
      </c>
      <c r="C5089" t="s">
        <v>14827</v>
      </c>
      <c r="D5089" t="s">
        <v>14748</v>
      </c>
      <c r="E5089" t="s">
        <v>14828</v>
      </c>
      <c r="F5089" t="s">
        <v>14829</v>
      </c>
    </row>
    <row r="5090" spans="1:12">
      <c r="A5090" t="s">
        <v>14745</v>
      </c>
      <c r="B5090" t="s">
        <v>14746</v>
      </c>
      <c r="C5090" t="s">
        <v>14830</v>
      </c>
      <c r="D5090" t="s">
        <v>14748</v>
      </c>
      <c r="E5090" t="s">
        <v>11319</v>
      </c>
      <c r="F5090" t="s">
        <v>14831</v>
      </c>
    </row>
    <row r="5091" spans="1:12">
      <c r="A5091" t="s">
        <v>14745</v>
      </c>
      <c r="B5091" t="s">
        <v>14746</v>
      </c>
      <c r="C5091" t="s">
        <v>14832</v>
      </c>
      <c r="D5091" t="s">
        <v>14748</v>
      </c>
      <c r="E5091" t="s">
        <v>8333</v>
      </c>
      <c r="F5091" t="s">
        <v>14833</v>
      </c>
    </row>
    <row r="5092" spans="1:12">
      <c r="A5092" t="s">
        <v>14745</v>
      </c>
      <c r="B5092" t="s">
        <v>14746</v>
      </c>
      <c r="C5092" t="s">
        <v>14834</v>
      </c>
      <c r="D5092" t="s">
        <v>14748</v>
      </c>
      <c r="E5092" t="s">
        <v>14835</v>
      </c>
      <c r="F5092" t="s">
        <v>14836</v>
      </c>
    </row>
    <row r="5093" spans="1:12">
      <c r="A5093" t="s">
        <v>14745</v>
      </c>
      <c r="B5093" t="s">
        <v>14746</v>
      </c>
      <c r="C5093" t="s">
        <v>14837</v>
      </c>
      <c r="D5093" t="s">
        <v>14748</v>
      </c>
      <c r="E5093" t="s">
        <v>8339</v>
      </c>
      <c r="F5093" t="s">
        <v>14838</v>
      </c>
    </row>
    <row r="5094" spans="1:12">
      <c r="A5094" t="s">
        <v>14745</v>
      </c>
      <c r="B5094" t="s">
        <v>14746</v>
      </c>
      <c r="C5094" t="s">
        <v>14839</v>
      </c>
      <c r="D5094" t="s">
        <v>14748</v>
      </c>
      <c r="E5094" t="s">
        <v>14840</v>
      </c>
      <c r="F5094" t="s">
        <v>14841</v>
      </c>
      <c r="J5094" t="s">
        <v>14840</v>
      </c>
      <c r="K5094" t="s">
        <v>4076</v>
      </c>
      <c r="L5094" t="s">
        <v>851</v>
      </c>
    </row>
    <row r="5095" spans="1:12">
      <c r="A5095" t="s">
        <v>14745</v>
      </c>
      <c r="B5095" t="s">
        <v>14746</v>
      </c>
      <c r="C5095" t="s">
        <v>14842</v>
      </c>
      <c r="D5095" t="s">
        <v>14748</v>
      </c>
      <c r="E5095" t="s">
        <v>11964</v>
      </c>
      <c r="F5095" t="s">
        <v>14843</v>
      </c>
      <c r="J5095" t="s">
        <v>11964</v>
      </c>
      <c r="K5095" t="s">
        <v>4076</v>
      </c>
      <c r="L5095" t="s">
        <v>851</v>
      </c>
    </row>
    <row r="5096" spans="1:12">
      <c r="A5096" t="s">
        <v>14745</v>
      </c>
      <c r="B5096" t="s">
        <v>14746</v>
      </c>
      <c r="C5096" t="s">
        <v>14844</v>
      </c>
      <c r="D5096" t="s">
        <v>14748</v>
      </c>
      <c r="E5096" t="s">
        <v>2517</v>
      </c>
      <c r="F5096" t="s">
        <v>14845</v>
      </c>
    </row>
    <row r="5097" spans="1:12">
      <c r="A5097" t="s">
        <v>14745</v>
      </c>
      <c r="B5097" t="s">
        <v>14746</v>
      </c>
      <c r="C5097" t="s">
        <v>14846</v>
      </c>
      <c r="D5097" t="s">
        <v>14748</v>
      </c>
      <c r="E5097" t="s">
        <v>10416</v>
      </c>
      <c r="F5097" t="s">
        <v>14847</v>
      </c>
    </row>
    <row r="5098" spans="1:12">
      <c r="A5098" t="s">
        <v>14745</v>
      </c>
      <c r="B5098" t="s">
        <v>14746</v>
      </c>
      <c r="C5098" t="s">
        <v>14848</v>
      </c>
      <c r="D5098" t="s">
        <v>14748</v>
      </c>
      <c r="E5098" t="s">
        <v>14849</v>
      </c>
      <c r="F5098" t="s">
        <v>14850</v>
      </c>
      <c r="J5098" t="s">
        <v>14849</v>
      </c>
      <c r="K5098" t="s">
        <v>4076</v>
      </c>
      <c r="L5098" t="s">
        <v>851</v>
      </c>
    </row>
    <row r="5099" spans="1:12">
      <c r="A5099" t="s">
        <v>14745</v>
      </c>
      <c r="B5099" t="s">
        <v>14746</v>
      </c>
      <c r="C5099" t="s">
        <v>14851</v>
      </c>
      <c r="D5099" t="s">
        <v>14748</v>
      </c>
      <c r="E5099" t="s">
        <v>9779</v>
      </c>
      <c r="F5099" t="s">
        <v>14852</v>
      </c>
    </row>
    <row r="5100" spans="1:12">
      <c r="A5100" t="s">
        <v>14745</v>
      </c>
      <c r="B5100" t="s">
        <v>14746</v>
      </c>
      <c r="C5100" t="s">
        <v>14853</v>
      </c>
      <c r="D5100" t="s">
        <v>14748</v>
      </c>
      <c r="E5100" t="s">
        <v>1296</v>
      </c>
      <c r="F5100" t="s">
        <v>14854</v>
      </c>
    </row>
    <row r="5101" spans="1:12">
      <c r="A5101" t="s">
        <v>14745</v>
      </c>
      <c r="B5101" t="s">
        <v>14746</v>
      </c>
      <c r="C5101" t="s">
        <v>14855</v>
      </c>
      <c r="D5101" t="s">
        <v>14748</v>
      </c>
      <c r="E5101" t="s">
        <v>9876</v>
      </c>
      <c r="F5101" t="s">
        <v>14856</v>
      </c>
    </row>
    <row r="5102" spans="1:12">
      <c r="A5102" t="s">
        <v>14745</v>
      </c>
      <c r="B5102" t="s">
        <v>14746</v>
      </c>
      <c r="C5102" t="s">
        <v>14857</v>
      </c>
      <c r="D5102" t="s">
        <v>14748</v>
      </c>
      <c r="E5102" t="s">
        <v>14858</v>
      </c>
      <c r="F5102" t="s">
        <v>14859</v>
      </c>
      <c r="J5102" t="s">
        <v>14858</v>
      </c>
      <c r="K5102" t="s">
        <v>4076</v>
      </c>
      <c r="L5102" t="s">
        <v>851</v>
      </c>
    </row>
    <row r="5103" spans="1:12">
      <c r="A5103" t="s">
        <v>14745</v>
      </c>
      <c r="B5103" t="s">
        <v>14746</v>
      </c>
      <c r="C5103" t="s">
        <v>14860</v>
      </c>
      <c r="D5103" t="s">
        <v>14748</v>
      </c>
      <c r="E5103" t="s">
        <v>14861</v>
      </c>
      <c r="F5103" t="s">
        <v>14862</v>
      </c>
      <c r="J5103" t="s">
        <v>14861</v>
      </c>
      <c r="K5103" t="s">
        <v>4076</v>
      </c>
      <c r="L5103" t="s">
        <v>851</v>
      </c>
    </row>
    <row r="5104" spans="1:12">
      <c r="A5104" t="s">
        <v>14745</v>
      </c>
      <c r="B5104" t="s">
        <v>14746</v>
      </c>
      <c r="C5104" t="s">
        <v>14863</v>
      </c>
      <c r="D5104" t="s">
        <v>14748</v>
      </c>
      <c r="E5104" t="s">
        <v>10034</v>
      </c>
      <c r="F5104" t="s">
        <v>14864</v>
      </c>
    </row>
    <row r="5105" spans="1:12">
      <c r="A5105" t="s">
        <v>14745</v>
      </c>
      <c r="B5105" t="s">
        <v>14746</v>
      </c>
      <c r="C5105" t="s">
        <v>14865</v>
      </c>
      <c r="D5105" t="s">
        <v>14748</v>
      </c>
      <c r="E5105" t="s">
        <v>5341</v>
      </c>
      <c r="F5105" t="s">
        <v>14866</v>
      </c>
      <c r="J5105" t="s">
        <v>5341</v>
      </c>
      <c r="K5105" t="s">
        <v>4076</v>
      </c>
      <c r="L5105" t="s">
        <v>851</v>
      </c>
    </row>
    <row r="5106" spans="1:12">
      <c r="A5106" t="s">
        <v>14745</v>
      </c>
      <c r="B5106" t="s">
        <v>14746</v>
      </c>
      <c r="C5106" t="s">
        <v>14867</v>
      </c>
      <c r="D5106" t="s">
        <v>14748</v>
      </c>
      <c r="E5106" t="s">
        <v>10146</v>
      </c>
      <c r="F5106" t="s">
        <v>14868</v>
      </c>
    </row>
    <row r="5107" spans="1:12">
      <c r="A5107" t="s">
        <v>14745</v>
      </c>
      <c r="B5107" t="s">
        <v>14746</v>
      </c>
      <c r="C5107" t="s">
        <v>14869</v>
      </c>
      <c r="D5107" t="s">
        <v>14748</v>
      </c>
      <c r="E5107" t="s">
        <v>14870</v>
      </c>
      <c r="F5107" t="s">
        <v>14871</v>
      </c>
      <c r="J5107" t="s">
        <v>14870</v>
      </c>
      <c r="K5107" t="s">
        <v>4076</v>
      </c>
      <c r="L5107" t="s">
        <v>851</v>
      </c>
    </row>
    <row r="5108" spans="1:12">
      <c r="A5108" t="s">
        <v>14745</v>
      </c>
      <c r="B5108" t="s">
        <v>14746</v>
      </c>
      <c r="C5108" t="s">
        <v>14872</v>
      </c>
      <c r="D5108" t="s">
        <v>14748</v>
      </c>
      <c r="E5108" t="s">
        <v>13084</v>
      </c>
      <c r="F5108" t="s">
        <v>14873</v>
      </c>
    </row>
    <row r="5109" spans="1:12">
      <c r="A5109" t="s">
        <v>14745</v>
      </c>
      <c r="B5109" t="s">
        <v>14746</v>
      </c>
      <c r="C5109" t="s">
        <v>14874</v>
      </c>
      <c r="D5109" t="s">
        <v>14748</v>
      </c>
      <c r="E5109" t="s">
        <v>14875</v>
      </c>
      <c r="F5109" t="s">
        <v>14876</v>
      </c>
    </row>
    <row r="5110" spans="1:12">
      <c r="A5110" t="s">
        <v>14745</v>
      </c>
      <c r="B5110" t="s">
        <v>14746</v>
      </c>
      <c r="C5110" t="s">
        <v>14877</v>
      </c>
      <c r="D5110" t="s">
        <v>14748</v>
      </c>
      <c r="E5110" t="s">
        <v>655</v>
      </c>
      <c r="F5110" t="s">
        <v>656</v>
      </c>
    </row>
    <row r="5111" spans="1:12">
      <c r="A5111" t="s">
        <v>14745</v>
      </c>
      <c r="B5111" t="s">
        <v>14746</v>
      </c>
      <c r="D5111" t="s">
        <v>14748</v>
      </c>
      <c r="F5111" t="s">
        <v>14878</v>
      </c>
      <c r="J5111" t="s">
        <v>12355</v>
      </c>
      <c r="K5111" t="s">
        <v>4076</v>
      </c>
      <c r="L5111" t="s">
        <v>851</v>
      </c>
    </row>
    <row r="5112" spans="1:12">
      <c r="A5112" t="s">
        <v>14745</v>
      </c>
      <c r="B5112" t="s">
        <v>14746</v>
      </c>
      <c r="D5112" t="s">
        <v>14748</v>
      </c>
      <c r="F5112" t="s">
        <v>14879</v>
      </c>
      <c r="J5112" t="s">
        <v>14880</v>
      </c>
      <c r="K5112" t="s">
        <v>4076</v>
      </c>
      <c r="L5112" t="s">
        <v>851</v>
      </c>
    </row>
    <row r="5113" spans="1:12">
      <c r="A5113" t="s">
        <v>14881</v>
      </c>
      <c r="B5113" t="s">
        <v>14882</v>
      </c>
      <c r="C5113" t="s">
        <v>14883</v>
      </c>
      <c r="D5113" t="s">
        <v>14884</v>
      </c>
      <c r="E5113" t="s">
        <v>7822</v>
      </c>
      <c r="F5113" t="s">
        <v>14885</v>
      </c>
    </row>
    <row r="5114" spans="1:12">
      <c r="A5114" t="s">
        <v>14881</v>
      </c>
      <c r="B5114" t="s">
        <v>14882</v>
      </c>
      <c r="C5114" t="s">
        <v>14886</v>
      </c>
      <c r="D5114" t="s">
        <v>14884</v>
      </c>
      <c r="E5114" t="s">
        <v>14887</v>
      </c>
      <c r="F5114" t="s">
        <v>14888</v>
      </c>
    </row>
    <row r="5115" spans="1:12">
      <c r="A5115" t="s">
        <v>14881</v>
      </c>
      <c r="B5115" t="s">
        <v>14882</v>
      </c>
      <c r="C5115" t="s">
        <v>14889</v>
      </c>
      <c r="D5115" t="s">
        <v>14884</v>
      </c>
      <c r="E5115" t="s">
        <v>14890</v>
      </c>
      <c r="F5115" t="s">
        <v>14891</v>
      </c>
      <c r="J5115" t="s">
        <v>14890</v>
      </c>
      <c r="K5115" t="s">
        <v>14892</v>
      </c>
      <c r="L5115" t="s">
        <v>664</v>
      </c>
    </row>
    <row r="5116" spans="1:12">
      <c r="A5116" t="s">
        <v>14881</v>
      </c>
      <c r="B5116" t="s">
        <v>14882</v>
      </c>
      <c r="C5116" t="s">
        <v>14893</v>
      </c>
      <c r="D5116" t="s">
        <v>14884</v>
      </c>
      <c r="E5116" t="s">
        <v>14894</v>
      </c>
      <c r="F5116" t="s">
        <v>14895</v>
      </c>
      <c r="J5116" t="s">
        <v>14894</v>
      </c>
      <c r="K5116" t="s">
        <v>14892</v>
      </c>
      <c r="L5116" t="s">
        <v>664</v>
      </c>
    </row>
    <row r="5117" spans="1:12">
      <c r="A5117" t="s">
        <v>14881</v>
      </c>
      <c r="B5117" t="s">
        <v>14882</v>
      </c>
      <c r="C5117" t="s">
        <v>14896</v>
      </c>
      <c r="D5117" t="s">
        <v>14884</v>
      </c>
      <c r="E5117" t="s">
        <v>11132</v>
      </c>
      <c r="F5117" t="s">
        <v>14897</v>
      </c>
      <c r="J5117" t="s">
        <v>11132</v>
      </c>
      <c r="K5117" t="s">
        <v>14892</v>
      </c>
      <c r="L5117" t="s">
        <v>664</v>
      </c>
    </row>
    <row r="5118" spans="1:12">
      <c r="A5118" t="s">
        <v>14881</v>
      </c>
      <c r="B5118" t="s">
        <v>14882</v>
      </c>
      <c r="C5118" t="s">
        <v>14898</v>
      </c>
      <c r="D5118" t="s">
        <v>14884</v>
      </c>
      <c r="E5118" t="s">
        <v>10337</v>
      </c>
      <c r="F5118" t="s">
        <v>14899</v>
      </c>
    </row>
    <row r="5119" spans="1:12">
      <c r="A5119" t="s">
        <v>14881</v>
      </c>
      <c r="B5119" t="s">
        <v>14882</v>
      </c>
      <c r="C5119" t="s">
        <v>14900</v>
      </c>
      <c r="D5119" t="s">
        <v>14884</v>
      </c>
      <c r="E5119" t="s">
        <v>14901</v>
      </c>
      <c r="F5119" t="s">
        <v>14902</v>
      </c>
      <c r="J5119" t="s">
        <v>14901</v>
      </c>
      <c r="K5119" t="s">
        <v>14892</v>
      </c>
      <c r="L5119" t="s">
        <v>664</v>
      </c>
    </row>
    <row r="5120" spans="1:12">
      <c r="A5120" t="s">
        <v>14881</v>
      </c>
      <c r="B5120" t="s">
        <v>14882</v>
      </c>
      <c r="C5120" t="s">
        <v>14903</v>
      </c>
      <c r="D5120" t="s">
        <v>14884</v>
      </c>
      <c r="E5120" t="s">
        <v>14904</v>
      </c>
      <c r="F5120" t="s">
        <v>14905</v>
      </c>
    </row>
    <row r="5121" spans="1:12">
      <c r="A5121" t="s">
        <v>14881</v>
      </c>
      <c r="B5121" t="s">
        <v>14882</v>
      </c>
      <c r="C5121" t="s">
        <v>14906</v>
      </c>
      <c r="D5121" t="s">
        <v>14884</v>
      </c>
      <c r="E5121" t="s">
        <v>14907</v>
      </c>
      <c r="F5121" t="s">
        <v>14908</v>
      </c>
      <c r="J5121" t="s">
        <v>14907</v>
      </c>
      <c r="K5121" t="s">
        <v>14892</v>
      </c>
      <c r="L5121" t="s">
        <v>664</v>
      </c>
    </row>
    <row r="5122" spans="1:12">
      <c r="A5122" t="s">
        <v>14881</v>
      </c>
      <c r="B5122" t="s">
        <v>14882</v>
      </c>
      <c r="C5122" t="s">
        <v>14909</v>
      </c>
      <c r="D5122" t="s">
        <v>14884</v>
      </c>
      <c r="E5122" t="s">
        <v>14910</v>
      </c>
      <c r="F5122" t="s">
        <v>14911</v>
      </c>
      <c r="J5122" t="s">
        <v>14910</v>
      </c>
      <c r="K5122" t="s">
        <v>14892</v>
      </c>
      <c r="L5122" t="s">
        <v>664</v>
      </c>
    </row>
    <row r="5123" spans="1:12">
      <c r="A5123" t="s">
        <v>14881</v>
      </c>
      <c r="B5123" t="s">
        <v>14882</v>
      </c>
      <c r="C5123" t="s">
        <v>14912</v>
      </c>
      <c r="D5123" t="s">
        <v>14884</v>
      </c>
      <c r="E5123" t="s">
        <v>14913</v>
      </c>
      <c r="F5123" t="s">
        <v>14914</v>
      </c>
      <c r="J5123" t="s">
        <v>14913</v>
      </c>
      <c r="K5123" t="s">
        <v>14892</v>
      </c>
      <c r="L5123" t="s">
        <v>664</v>
      </c>
    </row>
    <row r="5124" spans="1:12">
      <c r="A5124" t="s">
        <v>14881</v>
      </c>
      <c r="B5124" t="s">
        <v>14882</v>
      </c>
      <c r="C5124" t="s">
        <v>14915</v>
      </c>
      <c r="D5124" t="s">
        <v>14884</v>
      </c>
      <c r="E5124" t="s">
        <v>4193</v>
      </c>
      <c r="F5124" t="s">
        <v>14916</v>
      </c>
    </row>
    <row r="5125" spans="1:12">
      <c r="A5125" t="s">
        <v>14881</v>
      </c>
      <c r="B5125" t="s">
        <v>14882</v>
      </c>
      <c r="C5125" t="s">
        <v>14917</v>
      </c>
      <c r="D5125" t="s">
        <v>14884</v>
      </c>
      <c r="E5125" t="s">
        <v>14918</v>
      </c>
      <c r="F5125" t="s">
        <v>14919</v>
      </c>
      <c r="J5125" t="s">
        <v>14918</v>
      </c>
      <c r="K5125" t="s">
        <v>14892</v>
      </c>
      <c r="L5125" t="s">
        <v>664</v>
      </c>
    </row>
    <row r="5126" spans="1:12">
      <c r="A5126" t="s">
        <v>14881</v>
      </c>
      <c r="B5126" t="s">
        <v>14882</v>
      </c>
      <c r="C5126" t="s">
        <v>14920</v>
      </c>
      <c r="D5126" t="s">
        <v>14884</v>
      </c>
      <c r="E5126" t="s">
        <v>14921</v>
      </c>
      <c r="F5126" t="s">
        <v>14922</v>
      </c>
      <c r="J5126" t="s">
        <v>14921</v>
      </c>
      <c r="K5126" t="s">
        <v>14892</v>
      </c>
      <c r="L5126" t="s">
        <v>664</v>
      </c>
    </row>
    <row r="5127" spans="1:12">
      <c r="A5127" t="s">
        <v>14881</v>
      </c>
      <c r="B5127" t="s">
        <v>14882</v>
      </c>
      <c r="C5127" t="s">
        <v>14923</v>
      </c>
      <c r="D5127" t="s">
        <v>14884</v>
      </c>
      <c r="E5127" t="s">
        <v>14924</v>
      </c>
      <c r="F5127" t="s">
        <v>14925</v>
      </c>
      <c r="J5127" t="s">
        <v>14924</v>
      </c>
      <c r="K5127" t="s">
        <v>14892</v>
      </c>
      <c r="L5127" t="s">
        <v>664</v>
      </c>
    </row>
    <row r="5128" spans="1:12">
      <c r="A5128" t="s">
        <v>14881</v>
      </c>
      <c r="B5128" t="s">
        <v>14882</v>
      </c>
      <c r="C5128" t="s">
        <v>14926</v>
      </c>
      <c r="D5128" t="s">
        <v>14884</v>
      </c>
      <c r="E5128" t="s">
        <v>14927</v>
      </c>
      <c r="F5128" t="s">
        <v>14928</v>
      </c>
      <c r="J5128" t="s">
        <v>14927</v>
      </c>
      <c r="K5128" t="s">
        <v>14892</v>
      </c>
      <c r="L5128" t="s">
        <v>664</v>
      </c>
    </row>
    <row r="5129" spans="1:12">
      <c r="A5129" t="s">
        <v>14881</v>
      </c>
      <c r="B5129" t="s">
        <v>14882</v>
      </c>
      <c r="C5129" t="s">
        <v>14929</v>
      </c>
      <c r="D5129" t="s">
        <v>14884</v>
      </c>
      <c r="E5129" t="s">
        <v>655</v>
      </c>
      <c r="F5129" t="s">
        <v>656</v>
      </c>
    </row>
    <row r="5130" spans="1:12">
      <c r="A5130" t="s">
        <v>14930</v>
      </c>
      <c r="B5130" t="s">
        <v>14931</v>
      </c>
      <c r="C5130" t="s">
        <v>14932</v>
      </c>
      <c r="D5130" t="s">
        <v>14933</v>
      </c>
      <c r="E5130" t="s">
        <v>14934</v>
      </c>
      <c r="F5130" t="s">
        <v>14935</v>
      </c>
      <c r="J5130" t="s">
        <v>14934</v>
      </c>
      <c r="K5130" t="s">
        <v>14930</v>
      </c>
      <c r="L5130" t="s">
        <v>725</v>
      </c>
    </row>
    <row r="5131" spans="1:12">
      <c r="A5131" t="s">
        <v>14930</v>
      </c>
      <c r="B5131" t="s">
        <v>14931</v>
      </c>
      <c r="C5131" t="s">
        <v>14936</v>
      </c>
      <c r="D5131" t="s">
        <v>14933</v>
      </c>
      <c r="E5131" t="s">
        <v>8424</v>
      </c>
      <c r="F5131" t="s">
        <v>14937</v>
      </c>
    </row>
    <row r="5132" spans="1:12">
      <c r="A5132" t="s">
        <v>14930</v>
      </c>
      <c r="B5132" t="s">
        <v>14931</v>
      </c>
      <c r="C5132" t="s">
        <v>14938</v>
      </c>
      <c r="D5132" t="s">
        <v>14933</v>
      </c>
      <c r="E5132" t="s">
        <v>14939</v>
      </c>
      <c r="F5132" t="s">
        <v>14940</v>
      </c>
      <c r="J5132" t="s">
        <v>14939</v>
      </c>
      <c r="K5132" t="s">
        <v>14930</v>
      </c>
      <c r="L5132" t="s">
        <v>725</v>
      </c>
    </row>
    <row r="5133" spans="1:12">
      <c r="A5133" t="s">
        <v>14930</v>
      </c>
      <c r="B5133" t="s">
        <v>14931</v>
      </c>
      <c r="C5133" t="s">
        <v>14941</v>
      </c>
      <c r="D5133" t="s">
        <v>14933</v>
      </c>
      <c r="E5133" t="s">
        <v>14942</v>
      </c>
      <c r="F5133" t="s">
        <v>14943</v>
      </c>
      <c r="J5133" t="s">
        <v>14942</v>
      </c>
      <c r="K5133" t="s">
        <v>14930</v>
      </c>
      <c r="L5133" t="s">
        <v>725</v>
      </c>
    </row>
    <row r="5134" spans="1:12">
      <c r="A5134" t="s">
        <v>14930</v>
      </c>
      <c r="B5134" t="s">
        <v>14931</v>
      </c>
      <c r="C5134" t="s">
        <v>14944</v>
      </c>
      <c r="D5134" t="s">
        <v>14933</v>
      </c>
      <c r="E5134" t="s">
        <v>8484</v>
      </c>
      <c r="F5134" t="s">
        <v>14945</v>
      </c>
      <c r="J5134" t="s">
        <v>8484</v>
      </c>
      <c r="K5134" t="s">
        <v>14930</v>
      </c>
      <c r="L5134" t="s">
        <v>725</v>
      </c>
    </row>
    <row r="5135" spans="1:12">
      <c r="A5135" t="s">
        <v>14930</v>
      </c>
      <c r="B5135" t="s">
        <v>14931</v>
      </c>
      <c r="C5135" t="s">
        <v>14946</v>
      </c>
      <c r="D5135" t="s">
        <v>14933</v>
      </c>
      <c r="E5135" t="s">
        <v>14947</v>
      </c>
      <c r="F5135" t="s">
        <v>14948</v>
      </c>
      <c r="J5135" t="s">
        <v>14947</v>
      </c>
      <c r="K5135" t="s">
        <v>14930</v>
      </c>
      <c r="L5135" t="s">
        <v>725</v>
      </c>
    </row>
    <row r="5136" spans="1:12">
      <c r="A5136" t="s">
        <v>14930</v>
      </c>
      <c r="B5136" t="s">
        <v>14931</v>
      </c>
      <c r="C5136" t="s">
        <v>14949</v>
      </c>
      <c r="D5136" t="s">
        <v>14933</v>
      </c>
      <c r="E5136" t="s">
        <v>14950</v>
      </c>
      <c r="F5136" t="s">
        <v>14951</v>
      </c>
    </row>
    <row r="5137" spans="1:12">
      <c r="A5137" t="s">
        <v>14930</v>
      </c>
      <c r="B5137" t="s">
        <v>14931</v>
      </c>
      <c r="C5137" t="s">
        <v>14952</v>
      </c>
      <c r="D5137" t="s">
        <v>14933</v>
      </c>
      <c r="E5137" t="s">
        <v>8524</v>
      </c>
      <c r="F5137" t="s">
        <v>14953</v>
      </c>
    </row>
    <row r="5138" spans="1:12">
      <c r="A5138" t="s">
        <v>14930</v>
      </c>
      <c r="B5138" t="s">
        <v>14931</v>
      </c>
      <c r="C5138" t="s">
        <v>14954</v>
      </c>
      <c r="D5138" t="s">
        <v>14933</v>
      </c>
      <c r="E5138" t="s">
        <v>14955</v>
      </c>
      <c r="F5138" t="s">
        <v>14956</v>
      </c>
    </row>
    <row r="5139" spans="1:12">
      <c r="A5139" t="s">
        <v>14930</v>
      </c>
      <c r="B5139" t="s">
        <v>14931</v>
      </c>
      <c r="C5139" t="s">
        <v>14957</v>
      </c>
      <c r="D5139" t="s">
        <v>14933</v>
      </c>
      <c r="E5139" t="s">
        <v>14958</v>
      </c>
      <c r="F5139" t="s">
        <v>14959</v>
      </c>
      <c r="J5139" t="s">
        <v>14958</v>
      </c>
      <c r="K5139" t="s">
        <v>14930</v>
      </c>
      <c r="L5139" t="s">
        <v>725</v>
      </c>
    </row>
    <row r="5140" spans="1:12">
      <c r="A5140" t="s">
        <v>14930</v>
      </c>
      <c r="B5140" t="s">
        <v>14931</v>
      </c>
      <c r="C5140" t="s">
        <v>14960</v>
      </c>
      <c r="D5140" t="s">
        <v>14933</v>
      </c>
      <c r="E5140" t="s">
        <v>8089</v>
      </c>
      <c r="F5140" t="s">
        <v>14961</v>
      </c>
      <c r="J5140" t="s">
        <v>8089</v>
      </c>
      <c r="K5140" t="s">
        <v>14930</v>
      </c>
      <c r="L5140" t="s">
        <v>725</v>
      </c>
    </row>
    <row r="5141" spans="1:12">
      <c r="A5141" t="s">
        <v>14930</v>
      </c>
      <c r="B5141" t="s">
        <v>14931</v>
      </c>
      <c r="C5141" t="s">
        <v>14962</v>
      </c>
      <c r="D5141" t="s">
        <v>14933</v>
      </c>
      <c r="E5141" t="s">
        <v>8555</v>
      </c>
      <c r="F5141" t="s">
        <v>14963</v>
      </c>
      <c r="J5141" t="s">
        <v>8555</v>
      </c>
      <c r="K5141" t="s">
        <v>14930</v>
      </c>
      <c r="L5141" t="s">
        <v>725</v>
      </c>
    </row>
    <row r="5142" spans="1:12">
      <c r="A5142" t="s">
        <v>14930</v>
      </c>
      <c r="B5142" t="s">
        <v>14931</v>
      </c>
      <c r="C5142" t="s">
        <v>14964</v>
      </c>
      <c r="D5142" t="s">
        <v>14933</v>
      </c>
      <c r="E5142" t="s">
        <v>12350</v>
      </c>
      <c r="F5142" t="s">
        <v>14965</v>
      </c>
    </row>
    <row r="5143" spans="1:12">
      <c r="A5143" t="s">
        <v>14930</v>
      </c>
      <c r="B5143" t="s">
        <v>14931</v>
      </c>
      <c r="C5143" t="s">
        <v>14966</v>
      </c>
      <c r="D5143" t="s">
        <v>14933</v>
      </c>
      <c r="E5143" t="s">
        <v>14967</v>
      </c>
      <c r="F5143" t="s">
        <v>14968</v>
      </c>
      <c r="J5143" t="s">
        <v>14967</v>
      </c>
      <c r="K5143" t="s">
        <v>14930</v>
      </c>
      <c r="L5143" t="s">
        <v>725</v>
      </c>
    </row>
    <row r="5144" spans="1:12">
      <c r="A5144" t="s">
        <v>14930</v>
      </c>
      <c r="B5144" t="s">
        <v>14931</v>
      </c>
      <c r="C5144" t="s">
        <v>14969</v>
      </c>
      <c r="D5144" t="s">
        <v>14933</v>
      </c>
      <c r="E5144" t="s">
        <v>14970</v>
      </c>
      <c r="F5144" t="s">
        <v>14971</v>
      </c>
    </row>
    <row r="5145" spans="1:12">
      <c r="A5145" t="s">
        <v>14930</v>
      </c>
      <c r="B5145" t="s">
        <v>14931</v>
      </c>
      <c r="C5145" t="s">
        <v>14972</v>
      </c>
      <c r="D5145" t="s">
        <v>14933</v>
      </c>
      <c r="E5145" t="s">
        <v>8609</v>
      </c>
      <c r="F5145" t="s">
        <v>14973</v>
      </c>
      <c r="J5145" t="s">
        <v>8609</v>
      </c>
      <c r="K5145" t="s">
        <v>14930</v>
      </c>
      <c r="L5145" t="s">
        <v>725</v>
      </c>
    </row>
    <row r="5146" spans="1:12">
      <c r="A5146" t="s">
        <v>14930</v>
      </c>
      <c r="B5146" t="s">
        <v>14931</v>
      </c>
      <c r="C5146" t="s">
        <v>14974</v>
      </c>
      <c r="D5146" t="s">
        <v>14933</v>
      </c>
      <c r="E5146" t="s">
        <v>3669</v>
      </c>
      <c r="F5146" t="s">
        <v>14975</v>
      </c>
    </row>
    <row r="5147" spans="1:12">
      <c r="A5147" t="s">
        <v>14930</v>
      </c>
      <c r="B5147" t="s">
        <v>14931</v>
      </c>
      <c r="C5147" t="s">
        <v>14976</v>
      </c>
      <c r="D5147" t="s">
        <v>14933</v>
      </c>
      <c r="E5147" t="s">
        <v>8108</v>
      </c>
      <c r="F5147" t="s">
        <v>14977</v>
      </c>
    </row>
    <row r="5148" spans="1:12">
      <c r="A5148" t="s">
        <v>14930</v>
      </c>
      <c r="B5148" t="s">
        <v>14931</v>
      </c>
      <c r="C5148" t="s">
        <v>14978</v>
      </c>
      <c r="D5148" t="s">
        <v>14933</v>
      </c>
      <c r="E5148" t="s">
        <v>14979</v>
      </c>
      <c r="F5148" t="s">
        <v>14980</v>
      </c>
    </row>
    <row r="5149" spans="1:12">
      <c r="A5149" t="s">
        <v>14930</v>
      </c>
      <c r="B5149" t="s">
        <v>14931</v>
      </c>
      <c r="C5149" t="s">
        <v>14981</v>
      </c>
      <c r="D5149" t="s">
        <v>14933</v>
      </c>
      <c r="E5149" t="s">
        <v>14982</v>
      </c>
      <c r="F5149" t="s">
        <v>14983</v>
      </c>
      <c r="J5149" t="s">
        <v>14982</v>
      </c>
      <c r="K5149" t="s">
        <v>14930</v>
      </c>
      <c r="L5149" t="s">
        <v>725</v>
      </c>
    </row>
    <row r="5150" spans="1:12">
      <c r="A5150" t="s">
        <v>14930</v>
      </c>
      <c r="B5150" t="s">
        <v>14931</v>
      </c>
      <c r="C5150" t="s">
        <v>14984</v>
      </c>
      <c r="D5150" t="s">
        <v>14933</v>
      </c>
      <c r="E5150" t="s">
        <v>1699</v>
      </c>
      <c r="F5150" t="s">
        <v>14985</v>
      </c>
      <c r="J5150" t="s">
        <v>1699</v>
      </c>
      <c r="K5150" t="s">
        <v>14930</v>
      </c>
      <c r="L5150" t="s">
        <v>725</v>
      </c>
    </row>
    <row r="5151" spans="1:12">
      <c r="A5151" t="s">
        <v>14930</v>
      </c>
      <c r="B5151" t="s">
        <v>14931</v>
      </c>
      <c r="C5151" t="s">
        <v>14986</v>
      </c>
      <c r="D5151" t="s">
        <v>14933</v>
      </c>
      <c r="E5151" t="s">
        <v>14987</v>
      </c>
      <c r="F5151" t="s">
        <v>14988</v>
      </c>
    </row>
    <row r="5152" spans="1:12">
      <c r="A5152" t="s">
        <v>14930</v>
      </c>
      <c r="B5152" t="s">
        <v>14931</v>
      </c>
      <c r="C5152" t="s">
        <v>14989</v>
      </c>
      <c r="D5152" t="s">
        <v>14933</v>
      </c>
      <c r="E5152" t="s">
        <v>14990</v>
      </c>
      <c r="F5152" t="s">
        <v>14991</v>
      </c>
      <c r="J5152" t="s">
        <v>14990</v>
      </c>
      <c r="K5152" t="s">
        <v>14930</v>
      </c>
      <c r="L5152" t="s">
        <v>725</v>
      </c>
    </row>
    <row r="5153" spans="1:12">
      <c r="A5153" t="s">
        <v>14930</v>
      </c>
      <c r="B5153" t="s">
        <v>14931</v>
      </c>
      <c r="C5153" t="s">
        <v>14992</v>
      </c>
      <c r="D5153" t="s">
        <v>14933</v>
      </c>
      <c r="E5153" t="s">
        <v>1090</v>
      </c>
      <c r="F5153" t="s">
        <v>14993</v>
      </c>
    </row>
    <row r="5154" spans="1:12">
      <c r="A5154" t="s">
        <v>14930</v>
      </c>
      <c r="B5154" t="s">
        <v>14931</v>
      </c>
      <c r="C5154" t="s">
        <v>14994</v>
      </c>
      <c r="D5154" t="s">
        <v>14933</v>
      </c>
      <c r="E5154" t="s">
        <v>14995</v>
      </c>
      <c r="F5154" t="s">
        <v>14996</v>
      </c>
      <c r="J5154" t="s">
        <v>14995</v>
      </c>
      <c r="K5154" t="s">
        <v>14930</v>
      </c>
      <c r="L5154" t="s">
        <v>725</v>
      </c>
    </row>
    <row r="5155" spans="1:12">
      <c r="A5155" t="s">
        <v>14930</v>
      </c>
      <c r="B5155" t="s">
        <v>14931</v>
      </c>
      <c r="C5155" t="s">
        <v>14997</v>
      </c>
      <c r="D5155" t="s">
        <v>14933</v>
      </c>
      <c r="E5155" t="s">
        <v>14998</v>
      </c>
      <c r="F5155" t="s">
        <v>14999</v>
      </c>
      <c r="J5155" t="s">
        <v>14998</v>
      </c>
      <c r="K5155" t="s">
        <v>14930</v>
      </c>
      <c r="L5155" t="s">
        <v>725</v>
      </c>
    </row>
    <row r="5156" spans="1:12">
      <c r="A5156" t="s">
        <v>14930</v>
      </c>
      <c r="B5156" t="s">
        <v>14931</v>
      </c>
      <c r="C5156" t="s">
        <v>15000</v>
      </c>
      <c r="D5156" t="s">
        <v>14933</v>
      </c>
      <c r="E5156" t="s">
        <v>1108</v>
      </c>
      <c r="F5156" t="s">
        <v>15001</v>
      </c>
    </row>
    <row r="5157" spans="1:12">
      <c r="A5157" t="s">
        <v>14930</v>
      </c>
      <c r="B5157" t="s">
        <v>14931</v>
      </c>
      <c r="C5157" t="s">
        <v>15002</v>
      </c>
      <c r="D5157" t="s">
        <v>14933</v>
      </c>
      <c r="E5157" t="s">
        <v>3589</v>
      </c>
      <c r="F5157" t="s">
        <v>15003</v>
      </c>
    </row>
    <row r="5158" spans="1:12">
      <c r="A5158" t="s">
        <v>14930</v>
      </c>
      <c r="B5158" t="s">
        <v>14931</v>
      </c>
      <c r="C5158" t="s">
        <v>15004</v>
      </c>
      <c r="D5158" t="s">
        <v>14933</v>
      </c>
      <c r="E5158" t="s">
        <v>15005</v>
      </c>
      <c r="F5158" t="s">
        <v>15006</v>
      </c>
    </row>
    <row r="5159" spans="1:12">
      <c r="A5159" t="s">
        <v>14930</v>
      </c>
      <c r="B5159" t="s">
        <v>14931</v>
      </c>
      <c r="C5159" t="s">
        <v>15007</v>
      </c>
      <c r="D5159" t="s">
        <v>14933</v>
      </c>
      <c r="E5159" t="s">
        <v>15008</v>
      </c>
      <c r="F5159" t="s">
        <v>15009</v>
      </c>
    </row>
    <row r="5160" spans="1:12">
      <c r="A5160" t="s">
        <v>14930</v>
      </c>
      <c r="B5160" t="s">
        <v>14931</v>
      </c>
      <c r="C5160" t="s">
        <v>15010</v>
      </c>
      <c r="D5160" t="s">
        <v>14933</v>
      </c>
      <c r="E5160" t="s">
        <v>15011</v>
      </c>
      <c r="F5160" t="s">
        <v>15012</v>
      </c>
      <c r="J5160" t="s">
        <v>15011</v>
      </c>
      <c r="K5160" t="s">
        <v>14930</v>
      </c>
      <c r="L5160" t="s">
        <v>725</v>
      </c>
    </row>
    <row r="5161" spans="1:12">
      <c r="A5161" t="s">
        <v>14930</v>
      </c>
      <c r="B5161" t="s">
        <v>14931</v>
      </c>
      <c r="C5161" t="s">
        <v>15013</v>
      </c>
      <c r="D5161" t="s">
        <v>14933</v>
      </c>
      <c r="E5161" t="s">
        <v>1854</v>
      </c>
      <c r="F5161" t="s">
        <v>15014</v>
      </c>
    </row>
    <row r="5162" spans="1:12">
      <c r="A5162" t="s">
        <v>14930</v>
      </c>
      <c r="B5162" t="s">
        <v>14931</v>
      </c>
      <c r="C5162" t="s">
        <v>15015</v>
      </c>
      <c r="D5162" t="s">
        <v>14933</v>
      </c>
      <c r="E5162" t="s">
        <v>15016</v>
      </c>
      <c r="F5162" t="s">
        <v>15017</v>
      </c>
      <c r="J5162" t="s">
        <v>15016</v>
      </c>
      <c r="K5162" t="s">
        <v>14930</v>
      </c>
      <c r="L5162" t="s">
        <v>725</v>
      </c>
    </row>
    <row r="5163" spans="1:12">
      <c r="A5163" t="s">
        <v>14930</v>
      </c>
      <c r="B5163" t="s">
        <v>14931</v>
      </c>
      <c r="C5163" t="s">
        <v>15018</v>
      </c>
      <c r="D5163" t="s">
        <v>14933</v>
      </c>
      <c r="E5163" t="s">
        <v>8750</v>
      </c>
      <c r="F5163" t="s">
        <v>15019</v>
      </c>
      <c r="J5163" t="s">
        <v>8750</v>
      </c>
      <c r="K5163" t="s">
        <v>14930</v>
      </c>
      <c r="L5163" t="s">
        <v>725</v>
      </c>
    </row>
    <row r="5164" spans="1:12">
      <c r="A5164" t="s">
        <v>14930</v>
      </c>
      <c r="B5164" t="s">
        <v>14931</v>
      </c>
      <c r="C5164" t="s">
        <v>15020</v>
      </c>
      <c r="D5164" t="s">
        <v>14933</v>
      </c>
      <c r="E5164" t="s">
        <v>8759</v>
      </c>
      <c r="F5164" t="s">
        <v>15021</v>
      </c>
      <c r="J5164" t="s">
        <v>8759</v>
      </c>
      <c r="K5164" t="s">
        <v>14930</v>
      </c>
      <c r="L5164" t="s">
        <v>725</v>
      </c>
    </row>
    <row r="5165" spans="1:12">
      <c r="A5165" t="s">
        <v>14930</v>
      </c>
      <c r="B5165" t="s">
        <v>14931</v>
      </c>
      <c r="C5165" t="s">
        <v>15022</v>
      </c>
      <c r="D5165" t="s">
        <v>14933</v>
      </c>
      <c r="E5165" t="s">
        <v>15023</v>
      </c>
      <c r="F5165" t="s">
        <v>15023</v>
      </c>
    </row>
    <row r="5166" spans="1:12">
      <c r="A5166" t="s">
        <v>14930</v>
      </c>
      <c r="B5166" t="s">
        <v>14931</v>
      </c>
      <c r="C5166" t="s">
        <v>15024</v>
      </c>
      <c r="D5166" t="s">
        <v>14933</v>
      </c>
      <c r="E5166" t="s">
        <v>15025</v>
      </c>
      <c r="F5166" t="s">
        <v>15026</v>
      </c>
      <c r="J5166" t="s">
        <v>15025</v>
      </c>
      <c r="K5166" t="s">
        <v>14930</v>
      </c>
      <c r="L5166" t="s">
        <v>725</v>
      </c>
    </row>
    <row r="5167" spans="1:12">
      <c r="A5167" t="s">
        <v>14930</v>
      </c>
      <c r="B5167" t="s">
        <v>14931</v>
      </c>
      <c r="C5167" t="s">
        <v>15027</v>
      </c>
      <c r="D5167" t="s">
        <v>14933</v>
      </c>
      <c r="E5167" t="s">
        <v>15028</v>
      </c>
      <c r="F5167" t="s">
        <v>15029</v>
      </c>
    </row>
    <row r="5168" spans="1:12">
      <c r="A5168" t="s">
        <v>14930</v>
      </c>
      <c r="B5168" t="s">
        <v>14931</v>
      </c>
      <c r="C5168" t="s">
        <v>15030</v>
      </c>
      <c r="D5168" t="s">
        <v>14933</v>
      </c>
      <c r="E5168" t="s">
        <v>15031</v>
      </c>
      <c r="F5168" t="s">
        <v>15032</v>
      </c>
    </row>
    <row r="5169" spans="1:12">
      <c r="A5169" t="s">
        <v>14930</v>
      </c>
      <c r="B5169" t="s">
        <v>14931</v>
      </c>
      <c r="C5169" t="s">
        <v>15033</v>
      </c>
      <c r="D5169" t="s">
        <v>14933</v>
      </c>
      <c r="E5169" t="s">
        <v>15034</v>
      </c>
      <c r="F5169" t="s">
        <v>15035</v>
      </c>
    </row>
    <row r="5170" spans="1:12">
      <c r="A5170" t="s">
        <v>14930</v>
      </c>
      <c r="B5170" t="s">
        <v>14931</v>
      </c>
      <c r="C5170" t="s">
        <v>15036</v>
      </c>
      <c r="D5170" t="s">
        <v>14933</v>
      </c>
      <c r="E5170" t="s">
        <v>11252</v>
      </c>
      <c r="F5170" t="s">
        <v>15037</v>
      </c>
    </row>
    <row r="5171" spans="1:12">
      <c r="A5171" t="s">
        <v>14930</v>
      </c>
      <c r="B5171" t="s">
        <v>14931</v>
      </c>
      <c r="C5171" t="s">
        <v>15038</v>
      </c>
      <c r="D5171" t="s">
        <v>14933</v>
      </c>
      <c r="E5171" t="s">
        <v>8969</v>
      </c>
      <c r="F5171" t="s">
        <v>15039</v>
      </c>
      <c r="J5171" t="s">
        <v>8969</v>
      </c>
      <c r="K5171" t="s">
        <v>14930</v>
      </c>
      <c r="L5171" t="s">
        <v>725</v>
      </c>
    </row>
    <row r="5172" spans="1:12">
      <c r="A5172" t="s">
        <v>14930</v>
      </c>
      <c r="B5172" t="s">
        <v>14931</v>
      </c>
      <c r="C5172" t="s">
        <v>15040</v>
      </c>
      <c r="D5172" t="s">
        <v>14933</v>
      </c>
      <c r="E5172" t="s">
        <v>15041</v>
      </c>
      <c r="F5172" t="s">
        <v>15042</v>
      </c>
      <c r="J5172" t="s">
        <v>15041</v>
      </c>
      <c r="K5172" t="s">
        <v>14930</v>
      </c>
      <c r="L5172" t="s">
        <v>725</v>
      </c>
    </row>
    <row r="5173" spans="1:12">
      <c r="A5173" t="s">
        <v>14930</v>
      </c>
      <c r="B5173" t="s">
        <v>14931</v>
      </c>
      <c r="C5173" t="s">
        <v>15043</v>
      </c>
      <c r="D5173" t="s">
        <v>14933</v>
      </c>
      <c r="E5173" t="s">
        <v>15044</v>
      </c>
      <c r="F5173" t="s">
        <v>15045</v>
      </c>
      <c r="J5173" t="s">
        <v>15044</v>
      </c>
      <c r="K5173" t="s">
        <v>14930</v>
      </c>
      <c r="L5173" t="s">
        <v>725</v>
      </c>
    </row>
    <row r="5174" spans="1:12">
      <c r="A5174" t="s">
        <v>14930</v>
      </c>
      <c r="B5174" t="s">
        <v>14931</v>
      </c>
      <c r="C5174" t="s">
        <v>15046</v>
      </c>
      <c r="D5174" t="s">
        <v>14933</v>
      </c>
      <c r="E5174" t="s">
        <v>15047</v>
      </c>
      <c r="F5174" t="s">
        <v>15048</v>
      </c>
      <c r="J5174" t="s">
        <v>15047</v>
      </c>
      <c r="K5174" t="s">
        <v>14930</v>
      </c>
      <c r="L5174" t="s">
        <v>725</v>
      </c>
    </row>
    <row r="5175" spans="1:12">
      <c r="A5175" t="s">
        <v>14930</v>
      </c>
      <c r="B5175" t="s">
        <v>14931</v>
      </c>
      <c r="C5175" t="s">
        <v>15049</v>
      </c>
      <c r="D5175" t="s">
        <v>14933</v>
      </c>
      <c r="E5175" t="s">
        <v>15050</v>
      </c>
      <c r="F5175" t="s">
        <v>15051</v>
      </c>
    </row>
    <row r="5176" spans="1:12">
      <c r="A5176" t="s">
        <v>14930</v>
      </c>
      <c r="B5176" t="s">
        <v>14931</v>
      </c>
      <c r="C5176" t="s">
        <v>15052</v>
      </c>
      <c r="D5176" t="s">
        <v>14933</v>
      </c>
      <c r="E5176" t="s">
        <v>15053</v>
      </c>
      <c r="F5176" t="s">
        <v>15054</v>
      </c>
    </row>
    <row r="5177" spans="1:12">
      <c r="A5177" t="s">
        <v>14930</v>
      </c>
      <c r="B5177" t="s">
        <v>14931</v>
      </c>
      <c r="C5177" t="s">
        <v>15055</v>
      </c>
      <c r="D5177" t="s">
        <v>14933</v>
      </c>
      <c r="E5177" t="s">
        <v>15056</v>
      </c>
      <c r="F5177" t="s">
        <v>15057</v>
      </c>
      <c r="J5177" t="s">
        <v>15056</v>
      </c>
      <c r="K5177" t="s">
        <v>14930</v>
      </c>
      <c r="L5177" t="s">
        <v>725</v>
      </c>
    </row>
    <row r="5178" spans="1:12">
      <c r="A5178" t="s">
        <v>14930</v>
      </c>
      <c r="B5178" t="s">
        <v>14931</v>
      </c>
      <c r="C5178" t="s">
        <v>15058</v>
      </c>
      <c r="D5178" t="s">
        <v>14933</v>
      </c>
      <c r="E5178" t="s">
        <v>5023</v>
      </c>
      <c r="F5178" t="s">
        <v>15059</v>
      </c>
    </row>
    <row r="5179" spans="1:12">
      <c r="A5179" t="s">
        <v>14930</v>
      </c>
      <c r="B5179" t="s">
        <v>14931</v>
      </c>
      <c r="C5179" t="s">
        <v>15060</v>
      </c>
      <c r="D5179" t="s">
        <v>14933</v>
      </c>
      <c r="E5179" t="s">
        <v>15061</v>
      </c>
      <c r="F5179" t="s">
        <v>15062</v>
      </c>
      <c r="J5179" t="s">
        <v>15061</v>
      </c>
      <c r="K5179" t="s">
        <v>14930</v>
      </c>
      <c r="L5179" t="s">
        <v>725</v>
      </c>
    </row>
    <row r="5180" spans="1:12">
      <c r="A5180" t="s">
        <v>14930</v>
      </c>
      <c r="B5180" t="s">
        <v>14931</v>
      </c>
      <c r="C5180" t="s">
        <v>15063</v>
      </c>
      <c r="D5180" t="s">
        <v>14933</v>
      </c>
      <c r="E5180" t="s">
        <v>11910</v>
      </c>
      <c r="F5180" t="s">
        <v>15064</v>
      </c>
    </row>
    <row r="5181" spans="1:12">
      <c r="A5181" t="s">
        <v>14930</v>
      </c>
      <c r="B5181" t="s">
        <v>14931</v>
      </c>
      <c r="C5181" t="s">
        <v>15065</v>
      </c>
      <c r="D5181" t="s">
        <v>14933</v>
      </c>
      <c r="E5181" t="s">
        <v>13462</v>
      </c>
      <c r="F5181" t="s">
        <v>15066</v>
      </c>
      <c r="J5181" t="s">
        <v>13462</v>
      </c>
      <c r="K5181" t="s">
        <v>14930</v>
      </c>
      <c r="L5181" t="s">
        <v>725</v>
      </c>
    </row>
    <row r="5182" spans="1:12">
      <c r="A5182" t="s">
        <v>14930</v>
      </c>
      <c r="B5182" t="s">
        <v>14931</v>
      </c>
      <c r="C5182" t="s">
        <v>15067</v>
      </c>
      <c r="D5182" t="s">
        <v>14933</v>
      </c>
      <c r="E5182" t="s">
        <v>9222</v>
      </c>
      <c r="F5182" t="s">
        <v>15068</v>
      </c>
    </row>
    <row r="5183" spans="1:12">
      <c r="A5183" t="s">
        <v>14930</v>
      </c>
      <c r="B5183" t="s">
        <v>14931</v>
      </c>
      <c r="C5183" t="s">
        <v>15069</v>
      </c>
      <c r="D5183" t="s">
        <v>14933</v>
      </c>
      <c r="E5183" t="s">
        <v>15070</v>
      </c>
      <c r="F5183" t="s">
        <v>15071</v>
      </c>
      <c r="J5183" t="s">
        <v>15070</v>
      </c>
      <c r="K5183" t="s">
        <v>14930</v>
      </c>
      <c r="L5183" t="s">
        <v>725</v>
      </c>
    </row>
    <row r="5184" spans="1:12">
      <c r="A5184" t="s">
        <v>14930</v>
      </c>
      <c r="B5184" t="s">
        <v>14931</v>
      </c>
      <c r="C5184" t="s">
        <v>15072</v>
      </c>
      <c r="D5184" t="s">
        <v>14933</v>
      </c>
      <c r="E5184" t="s">
        <v>15073</v>
      </c>
      <c r="F5184" t="s">
        <v>15074</v>
      </c>
      <c r="J5184" t="s">
        <v>15073</v>
      </c>
      <c r="K5184" t="s">
        <v>14930</v>
      </c>
      <c r="L5184" t="s">
        <v>725</v>
      </c>
    </row>
    <row r="5185" spans="1:12">
      <c r="A5185" t="s">
        <v>14930</v>
      </c>
      <c r="B5185" t="s">
        <v>14931</v>
      </c>
      <c r="C5185" t="s">
        <v>15075</v>
      </c>
      <c r="D5185" t="s">
        <v>14933</v>
      </c>
      <c r="E5185" t="s">
        <v>15076</v>
      </c>
      <c r="F5185" t="s">
        <v>15077</v>
      </c>
      <c r="J5185" t="s">
        <v>15076</v>
      </c>
      <c r="K5185" t="s">
        <v>14930</v>
      </c>
      <c r="L5185" t="s">
        <v>725</v>
      </c>
    </row>
    <row r="5186" spans="1:12">
      <c r="A5186" t="s">
        <v>14930</v>
      </c>
      <c r="B5186" t="s">
        <v>14931</v>
      </c>
      <c r="C5186" t="s">
        <v>15078</v>
      </c>
      <c r="D5186" t="s">
        <v>14933</v>
      </c>
      <c r="E5186" t="s">
        <v>15079</v>
      </c>
      <c r="F5186" t="s">
        <v>15080</v>
      </c>
      <c r="J5186" t="s">
        <v>15079</v>
      </c>
      <c r="K5186" t="s">
        <v>14930</v>
      </c>
      <c r="L5186" t="s">
        <v>725</v>
      </c>
    </row>
    <row r="5187" spans="1:12">
      <c r="A5187" t="s">
        <v>14930</v>
      </c>
      <c r="B5187" t="s">
        <v>14931</v>
      </c>
      <c r="C5187" t="s">
        <v>15081</v>
      </c>
      <c r="D5187" t="s">
        <v>14933</v>
      </c>
      <c r="E5187" t="s">
        <v>15082</v>
      </c>
      <c r="F5187" t="s">
        <v>15083</v>
      </c>
      <c r="J5187" t="s">
        <v>15082</v>
      </c>
      <c r="K5187" t="s">
        <v>14930</v>
      </c>
      <c r="L5187" t="s">
        <v>725</v>
      </c>
    </row>
    <row r="5188" spans="1:12">
      <c r="A5188" t="s">
        <v>14930</v>
      </c>
      <c r="B5188" t="s">
        <v>14931</v>
      </c>
      <c r="C5188" t="s">
        <v>15084</v>
      </c>
      <c r="D5188" t="s">
        <v>14933</v>
      </c>
      <c r="E5188" t="s">
        <v>15085</v>
      </c>
      <c r="F5188" t="s">
        <v>15086</v>
      </c>
      <c r="J5188" t="s">
        <v>15085</v>
      </c>
      <c r="K5188" t="s">
        <v>14930</v>
      </c>
      <c r="L5188" t="s">
        <v>725</v>
      </c>
    </row>
    <row r="5189" spans="1:12">
      <c r="A5189" t="s">
        <v>14930</v>
      </c>
      <c r="B5189" t="s">
        <v>14931</v>
      </c>
      <c r="C5189" t="s">
        <v>15087</v>
      </c>
      <c r="D5189" t="s">
        <v>14933</v>
      </c>
      <c r="E5189" t="s">
        <v>15088</v>
      </c>
      <c r="F5189" t="s">
        <v>15089</v>
      </c>
      <c r="J5189" t="s">
        <v>15088</v>
      </c>
      <c r="K5189" t="s">
        <v>14930</v>
      </c>
      <c r="L5189" t="s">
        <v>725</v>
      </c>
    </row>
    <row r="5190" spans="1:12">
      <c r="A5190" t="s">
        <v>14930</v>
      </c>
      <c r="B5190" t="s">
        <v>14931</v>
      </c>
      <c r="C5190" t="s">
        <v>15090</v>
      </c>
      <c r="D5190" t="s">
        <v>14933</v>
      </c>
      <c r="E5190" t="s">
        <v>15091</v>
      </c>
      <c r="F5190" t="s">
        <v>15092</v>
      </c>
      <c r="J5190" t="s">
        <v>15091</v>
      </c>
      <c r="K5190" t="s">
        <v>14930</v>
      </c>
      <c r="L5190" t="s">
        <v>725</v>
      </c>
    </row>
    <row r="5191" spans="1:12">
      <c r="A5191" t="s">
        <v>14930</v>
      </c>
      <c r="B5191" t="s">
        <v>14931</v>
      </c>
      <c r="C5191" t="s">
        <v>15093</v>
      </c>
      <c r="D5191" t="s">
        <v>14933</v>
      </c>
      <c r="E5191" t="s">
        <v>15094</v>
      </c>
      <c r="F5191" t="s">
        <v>15095</v>
      </c>
      <c r="J5191" t="s">
        <v>15094</v>
      </c>
      <c r="K5191" t="s">
        <v>14930</v>
      </c>
      <c r="L5191" t="s">
        <v>725</v>
      </c>
    </row>
    <row r="5192" spans="1:12">
      <c r="A5192" t="s">
        <v>14930</v>
      </c>
      <c r="B5192" t="s">
        <v>14931</v>
      </c>
      <c r="C5192" t="s">
        <v>15096</v>
      </c>
      <c r="D5192" t="s">
        <v>14933</v>
      </c>
      <c r="E5192" t="s">
        <v>15097</v>
      </c>
      <c r="F5192" t="s">
        <v>15098</v>
      </c>
      <c r="J5192" t="s">
        <v>15097</v>
      </c>
      <c r="K5192" t="s">
        <v>14930</v>
      </c>
      <c r="L5192" t="s">
        <v>725</v>
      </c>
    </row>
    <row r="5193" spans="1:12">
      <c r="A5193" t="s">
        <v>14930</v>
      </c>
      <c r="B5193" t="s">
        <v>14931</v>
      </c>
      <c r="C5193" t="s">
        <v>15099</v>
      </c>
      <c r="D5193" t="s">
        <v>14933</v>
      </c>
      <c r="E5193" t="s">
        <v>15100</v>
      </c>
      <c r="F5193" t="s">
        <v>15101</v>
      </c>
      <c r="J5193" t="s">
        <v>15100</v>
      </c>
      <c r="K5193" t="s">
        <v>14930</v>
      </c>
      <c r="L5193" t="s">
        <v>725</v>
      </c>
    </row>
    <row r="5194" spans="1:12">
      <c r="A5194" t="s">
        <v>14930</v>
      </c>
      <c r="B5194" t="s">
        <v>14931</v>
      </c>
      <c r="C5194" t="s">
        <v>15102</v>
      </c>
      <c r="D5194" t="s">
        <v>14933</v>
      </c>
      <c r="E5194" t="s">
        <v>15103</v>
      </c>
      <c r="F5194" t="s">
        <v>15104</v>
      </c>
      <c r="J5194" t="s">
        <v>15103</v>
      </c>
      <c r="K5194" t="s">
        <v>14930</v>
      </c>
      <c r="L5194" t="s">
        <v>725</v>
      </c>
    </row>
    <row r="5195" spans="1:12">
      <c r="A5195" t="s">
        <v>14930</v>
      </c>
      <c r="B5195" t="s">
        <v>14931</v>
      </c>
      <c r="C5195" t="s">
        <v>15105</v>
      </c>
      <c r="D5195" t="s">
        <v>14933</v>
      </c>
      <c r="E5195" t="s">
        <v>15106</v>
      </c>
      <c r="F5195" t="s">
        <v>15107</v>
      </c>
      <c r="J5195" t="s">
        <v>15106</v>
      </c>
      <c r="K5195" t="s">
        <v>14930</v>
      </c>
      <c r="L5195" t="s">
        <v>725</v>
      </c>
    </row>
    <row r="5196" spans="1:12">
      <c r="A5196" t="s">
        <v>14930</v>
      </c>
      <c r="B5196" t="s">
        <v>14931</v>
      </c>
      <c r="C5196" t="s">
        <v>15108</v>
      </c>
      <c r="D5196" t="s">
        <v>14933</v>
      </c>
      <c r="E5196" t="s">
        <v>15109</v>
      </c>
      <c r="F5196" t="s">
        <v>9379</v>
      </c>
      <c r="J5196" t="s">
        <v>15109</v>
      </c>
      <c r="K5196" t="s">
        <v>14930</v>
      </c>
      <c r="L5196" t="s">
        <v>725</v>
      </c>
    </row>
    <row r="5197" spans="1:12">
      <c r="A5197" t="s">
        <v>14930</v>
      </c>
      <c r="B5197" t="s">
        <v>14931</v>
      </c>
      <c r="C5197" t="s">
        <v>15110</v>
      </c>
      <c r="D5197" t="s">
        <v>14933</v>
      </c>
      <c r="E5197" t="s">
        <v>15111</v>
      </c>
      <c r="F5197" t="s">
        <v>15112</v>
      </c>
      <c r="J5197" t="s">
        <v>15111</v>
      </c>
      <c r="K5197" t="s">
        <v>14930</v>
      </c>
      <c r="L5197" t="s">
        <v>725</v>
      </c>
    </row>
    <row r="5198" spans="1:12">
      <c r="A5198" t="s">
        <v>14930</v>
      </c>
      <c r="B5198" t="s">
        <v>14931</v>
      </c>
      <c r="C5198" t="s">
        <v>15113</v>
      </c>
      <c r="D5198" t="s">
        <v>14933</v>
      </c>
      <c r="E5198" t="s">
        <v>15114</v>
      </c>
      <c r="F5198" t="s">
        <v>15115</v>
      </c>
      <c r="J5198" t="s">
        <v>15114</v>
      </c>
      <c r="K5198" t="s">
        <v>14930</v>
      </c>
      <c r="L5198" t="s">
        <v>725</v>
      </c>
    </row>
    <row r="5199" spans="1:12">
      <c r="A5199" t="s">
        <v>14930</v>
      </c>
      <c r="B5199" t="s">
        <v>14931</v>
      </c>
      <c r="C5199" t="s">
        <v>15116</v>
      </c>
      <c r="D5199" t="s">
        <v>14933</v>
      </c>
      <c r="E5199" t="s">
        <v>15117</v>
      </c>
      <c r="F5199" t="s">
        <v>15118</v>
      </c>
      <c r="J5199" t="s">
        <v>15117</v>
      </c>
      <c r="K5199" t="s">
        <v>14930</v>
      </c>
      <c r="L5199" t="s">
        <v>725</v>
      </c>
    </row>
    <row r="5200" spans="1:12">
      <c r="A5200" t="s">
        <v>14930</v>
      </c>
      <c r="B5200" t="s">
        <v>14931</v>
      </c>
      <c r="C5200" t="s">
        <v>15119</v>
      </c>
      <c r="D5200" t="s">
        <v>14933</v>
      </c>
      <c r="E5200" t="s">
        <v>15120</v>
      </c>
      <c r="F5200" t="s">
        <v>15121</v>
      </c>
      <c r="J5200" t="s">
        <v>15120</v>
      </c>
      <c r="K5200" t="s">
        <v>14930</v>
      </c>
      <c r="L5200" t="s">
        <v>725</v>
      </c>
    </row>
    <row r="5201" spans="1:12">
      <c r="A5201" t="s">
        <v>14930</v>
      </c>
      <c r="B5201" t="s">
        <v>14931</v>
      </c>
      <c r="C5201" t="s">
        <v>15122</v>
      </c>
      <c r="D5201" t="s">
        <v>14933</v>
      </c>
      <c r="E5201" t="s">
        <v>15123</v>
      </c>
      <c r="F5201" t="s">
        <v>15124</v>
      </c>
      <c r="J5201" t="s">
        <v>15123</v>
      </c>
      <c r="K5201" t="s">
        <v>14930</v>
      </c>
      <c r="L5201" t="s">
        <v>725</v>
      </c>
    </row>
    <row r="5202" spans="1:12">
      <c r="A5202" t="s">
        <v>14930</v>
      </c>
      <c r="B5202" t="s">
        <v>14931</v>
      </c>
      <c r="C5202" t="s">
        <v>15125</v>
      </c>
      <c r="D5202" t="s">
        <v>14933</v>
      </c>
      <c r="E5202" t="s">
        <v>15126</v>
      </c>
      <c r="F5202" t="s">
        <v>15127</v>
      </c>
      <c r="J5202" t="s">
        <v>15126</v>
      </c>
      <c r="K5202" t="s">
        <v>14930</v>
      </c>
      <c r="L5202" t="s">
        <v>725</v>
      </c>
    </row>
    <row r="5203" spans="1:12">
      <c r="A5203" t="s">
        <v>14930</v>
      </c>
      <c r="B5203" t="s">
        <v>14931</v>
      </c>
      <c r="C5203" t="s">
        <v>15128</v>
      </c>
      <c r="D5203" t="s">
        <v>14933</v>
      </c>
      <c r="E5203" t="s">
        <v>15129</v>
      </c>
      <c r="F5203" t="s">
        <v>15130</v>
      </c>
      <c r="J5203" t="s">
        <v>15129</v>
      </c>
      <c r="K5203" t="s">
        <v>14930</v>
      </c>
      <c r="L5203" t="s">
        <v>725</v>
      </c>
    </row>
    <row r="5204" spans="1:12">
      <c r="A5204" t="s">
        <v>14930</v>
      </c>
      <c r="B5204" t="s">
        <v>14931</v>
      </c>
      <c r="C5204" t="s">
        <v>15131</v>
      </c>
      <c r="D5204" t="s">
        <v>14933</v>
      </c>
      <c r="E5204" t="s">
        <v>15132</v>
      </c>
      <c r="F5204" t="s">
        <v>15133</v>
      </c>
      <c r="J5204" t="s">
        <v>15132</v>
      </c>
      <c r="K5204" t="s">
        <v>14930</v>
      </c>
      <c r="L5204" t="s">
        <v>725</v>
      </c>
    </row>
    <row r="5205" spans="1:12">
      <c r="A5205" t="s">
        <v>14930</v>
      </c>
      <c r="B5205" t="s">
        <v>14931</v>
      </c>
      <c r="C5205" t="s">
        <v>15134</v>
      </c>
      <c r="D5205" t="s">
        <v>14933</v>
      </c>
      <c r="E5205" t="s">
        <v>15135</v>
      </c>
      <c r="F5205" t="s">
        <v>15136</v>
      </c>
      <c r="J5205" t="s">
        <v>15135</v>
      </c>
      <c r="K5205" t="s">
        <v>14930</v>
      </c>
      <c r="L5205" t="s">
        <v>725</v>
      </c>
    </row>
    <row r="5206" spans="1:12">
      <c r="A5206" t="s">
        <v>14930</v>
      </c>
      <c r="B5206" t="s">
        <v>14931</v>
      </c>
      <c r="C5206" t="s">
        <v>15137</v>
      </c>
      <c r="D5206" t="s">
        <v>14933</v>
      </c>
      <c r="E5206" t="s">
        <v>15138</v>
      </c>
      <c r="F5206" t="s">
        <v>15139</v>
      </c>
      <c r="J5206" t="s">
        <v>15138</v>
      </c>
      <c r="K5206" t="s">
        <v>14930</v>
      </c>
      <c r="L5206" t="s">
        <v>725</v>
      </c>
    </row>
    <row r="5207" spans="1:12">
      <c r="A5207" t="s">
        <v>14930</v>
      </c>
      <c r="B5207" t="s">
        <v>14931</v>
      </c>
      <c r="C5207" t="s">
        <v>15140</v>
      </c>
      <c r="D5207" t="s">
        <v>14933</v>
      </c>
      <c r="E5207" t="s">
        <v>15141</v>
      </c>
      <c r="F5207" t="s">
        <v>15142</v>
      </c>
      <c r="J5207" t="s">
        <v>15141</v>
      </c>
      <c r="K5207" t="s">
        <v>14930</v>
      </c>
      <c r="L5207" t="s">
        <v>725</v>
      </c>
    </row>
    <row r="5208" spans="1:12">
      <c r="A5208" t="s">
        <v>14930</v>
      </c>
      <c r="B5208" t="s">
        <v>14931</v>
      </c>
      <c r="C5208" t="s">
        <v>15143</v>
      </c>
      <c r="D5208" t="s">
        <v>14933</v>
      </c>
      <c r="E5208" t="s">
        <v>15144</v>
      </c>
      <c r="F5208" t="s">
        <v>15145</v>
      </c>
      <c r="J5208" t="s">
        <v>15144</v>
      </c>
      <c r="K5208" t="s">
        <v>14930</v>
      </c>
      <c r="L5208" t="s">
        <v>725</v>
      </c>
    </row>
    <row r="5209" spans="1:12">
      <c r="A5209" t="s">
        <v>14930</v>
      </c>
      <c r="B5209" t="s">
        <v>14931</v>
      </c>
      <c r="C5209" t="s">
        <v>15146</v>
      </c>
      <c r="D5209" t="s">
        <v>14933</v>
      </c>
      <c r="E5209" t="s">
        <v>13976</v>
      </c>
      <c r="F5209" t="s">
        <v>15147</v>
      </c>
    </row>
    <row r="5210" spans="1:12">
      <c r="A5210" t="s">
        <v>14930</v>
      </c>
      <c r="B5210" t="s">
        <v>14931</v>
      </c>
      <c r="C5210" t="s">
        <v>15148</v>
      </c>
      <c r="D5210" t="s">
        <v>14933</v>
      </c>
      <c r="E5210" t="s">
        <v>15149</v>
      </c>
      <c r="F5210" t="s">
        <v>15150</v>
      </c>
      <c r="J5210" t="s">
        <v>15149</v>
      </c>
      <c r="K5210" t="s">
        <v>14930</v>
      </c>
      <c r="L5210" t="s">
        <v>725</v>
      </c>
    </row>
    <row r="5211" spans="1:12">
      <c r="A5211" t="s">
        <v>14930</v>
      </c>
      <c r="B5211" t="s">
        <v>14931</v>
      </c>
      <c r="C5211" t="s">
        <v>15151</v>
      </c>
      <c r="D5211" t="s">
        <v>14933</v>
      </c>
      <c r="E5211" t="s">
        <v>15152</v>
      </c>
      <c r="F5211" t="s">
        <v>15153</v>
      </c>
      <c r="J5211" t="s">
        <v>15152</v>
      </c>
      <c r="K5211" t="s">
        <v>14930</v>
      </c>
      <c r="L5211" t="s">
        <v>725</v>
      </c>
    </row>
    <row r="5212" spans="1:12">
      <c r="A5212" t="s">
        <v>14930</v>
      </c>
      <c r="B5212" t="s">
        <v>14931</v>
      </c>
      <c r="C5212" t="s">
        <v>15154</v>
      </c>
      <c r="D5212" t="s">
        <v>14933</v>
      </c>
      <c r="E5212" t="s">
        <v>15155</v>
      </c>
      <c r="F5212" t="s">
        <v>15156</v>
      </c>
      <c r="J5212" t="s">
        <v>15155</v>
      </c>
      <c r="K5212" t="s">
        <v>14930</v>
      </c>
      <c r="L5212" t="s">
        <v>725</v>
      </c>
    </row>
    <row r="5213" spans="1:12">
      <c r="A5213" t="s">
        <v>14930</v>
      </c>
      <c r="B5213" t="s">
        <v>14931</v>
      </c>
      <c r="C5213" t="s">
        <v>15157</v>
      </c>
      <c r="D5213" t="s">
        <v>14933</v>
      </c>
      <c r="E5213" t="s">
        <v>15158</v>
      </c>
      <c r="F5213" t="s">
        <v>15159</v>
      </c>
      <c r="J5213" t="s">
        <v>15158</v>
      </c>
      <c r="K5213" t="s">
        <v>14930</v>
      </c>
      <c r="L5213" t="s">
        <v>725</v>
      </c>
    </row>
    <row r="5214" spans="1:12">
      <c r="A5214" t="s">
        <v>14930</v>
      </c>
      <c r="B5214" t="s">
        <v>14931</v>
      </c>
      <c r="C5214" t="s">
        <v>15160</v>
      </c>
      <c r="D5214" t="s">
        <v>14933</v>
      </c>
      <c r="E5214" t="s">
        <v>15161</v>
      </c>
      <c r="F5214" t="s">
        <v>15162</v>
      </c>
    </row>
    <row r="5215" spans="1:12">
      <c r="A5215" t="s">
        <v>14930</v>
      </c>
      <c r="B5215" t="s">
        <v>14931</v>
      </c>
      <c r="C5215" t="s">
        <v>15163</v>
      </c>
      <c r="D5215" t="s">
        <v>14933</v>
      </c>
      <c r="E5215" t="s">
        <v>13497</v>
      </c>
      <c r="F5215" t="s">
        <v>15164</v>
      </c>
    </row>
    <row r="5216" spans="1:12">
      <c r="A5216" t="s">
        <v>14930</v>
      </c>
      <c r="B5216" t="s">
        <v>14931</v>
      </c>
      <c r="C5216" t="s">
        <v>15165</v>
      </c>
      <c r="D5216" t="s">
        <v>14933</v>
      </c>
      <c r="E5216" t="s">
        <v>15166</v>
      </c>
      <c r="F5216" t="s">
        <v>15167</v>
      </c>
    </row>
    <row r="5217" spans="1:12">
      <c r="A5217" t="s">
        <v>14930</v>
      </c>
      <c r="B5217" t="s">
        <v>14931</v>
      </c>
      <c r="C5217" t="s">
        <v>15168</v>
      </c>
      <c r="D5217" t="s">
        <v>14933</v>
      </c>
      <c r="E5217" t="s">
        <v>15169</v>
      </c>
      <c r="F5217" t="s">
        <v>15170</v>
      </c>
      <c r="J5217" t="s">
        <v>15169</v>
      </c>
      <c r="K5217" t="s">
        <v>14930</v>
      </c>
      <c r="L5217" t="s">
        <v>725</v>
      </c>
    </row>
    <row r="5218" spans="1:12">
      <c r="A5218" t="s">
        <v>14930</v>
      </c>
      <c r="B5218" t="s">
        <v>14931</v>
      </c>
      <c r="C5218" t="s">
        <v>15171</v>
      </c>
      <c r="D5218" t="s">
        <v>14933</v>
      </c>
      <c r="E5218" t="s">
        <v>15172</v>
      </c>
      <c r="F5218" t="s">
        <v>15173</v>
      </c>
    </row>
    <row r="5219" spans="1:12">
      <c r="A5219" t="s">
        <v>14930</v>
      </c>
      <c r="B5219" t="s">
        <v>14931</v>
      </c>
      <c r="C5219" t="s">
        <v>15174</v>
      </c>
      <c r="D5219" t="s">
        <v>14933</v>
      </c>
      <c r="E5219" t="s">
        <v>2274</v>
      </c>
      <c r="F5219" t="s">
        <v>15175</v>
      </c>
    </row>
    <row r="5220" spans="1:12">
      <c r="A5220" t="s">
        <v>14930</v>
      </c>
      <c r="B5220" t="s">
        <v>14931</v>
      </c>
      <c r="C5220" t="s">
        <v>15176</v>
      </c>
      <c r="D5220" t="s">
        <v>14933</v>
      </c>
      <c r="E5220" t="s">
        <v>11322</v>
      </c>
      <c r="F5220" t="s">
        <v>15177</v>
      </c>
    </row>
    <row r="5221" spans="1:12">
      <c r="A5221" t="s">
        <v>14930</v>
      </c>
      <c r="B5221" t="s">
        <v>14931</v>
      </c>
      <c r="C5221" t="s">
        <v>15178</v>
      </c>
      <c r="D5221" t="s">
        <v>14933</v>
      </c>
      <c r="E5221" t="s">
        <v>15179</v>
      </c>
      <c r="F5221" t="s">
        <v>15180</v>
      </c>
    </row>
    <row r="5222" spans="1:12">
      <c r="A5222" t="s">
        <v>14930</v>
      </c>
      <c r="B5222" t="s">
        <v>14931</v>
      </c>
      <c r="C5222" t="s">
        <v>15181</v>
      </c>
      <c r="D5222" t="s">
        <v>14933</v>
      </c>
      <c r="E5222" t="s">
        <v>15182</v>
      </c>
      <c r="F5222" t="s">
        <v>15183</v>
      </c>
    </row>
    <row r="5223" spans="1:12">
      <c r="A5223" t="s">
        <v>14930</v>
      </c>
      <c r="B5223" t="s">
        <v>14931</v>
      </c>
      <c r="C5223" t="s">
        <v>15184</v>
      </c>
      <c r="D5223" t="s">
        <v>14933</v>
      </c>
      <c r="E5223" t="s">
        <v>15185</v>
      </c>
      <c r="F5223" t="s">
        <v>15186</v>
      </c>
    </row>
    <row r="5224" spans="1:12">
      <c r="A5224" t="s">
        <v>14930</v>
      </c>
      <c r="B5224" t="s">
        <v>14931</v>
      </c>
      <c r="C5224" t="s">
        <v>15187</v>
      </c>
      <c r="D5224" t="s">
        <v>14933</v>
      </c>
      <c r="E5224" t="s">
        <v>10385</v>
      </c>
      <c r="F5224" t="s">
        <v>15188</v>
      </c>
    </row>
    <row r="5225" spans="1:12">
      <c r="A5225" t="s">
        <v>14930</v>
      </c>
      <c r="B5225" t="s">
        <v>14931</v>
      </c>
      <c r="C5225" t="s">
        <v>15189</v>
      </c>
      <c r="D5225" t="s">
        <v>14933</v>
      </c>
      <c r="E5225" t="s">
        <v>15190</v>
      </c>
      <c r="F5225" t="s">
        <v>15191</v>
      </c>
      <c r="J5225" t="s">
        <v>15190</v>
      </c>
      <c r="K5225" t="s">
        <v>14930</v>
      </c>
      <c r="L5225" t="s">
        <v>725</v>
      </c>
    </row>
    <row r="5226" spans="1:12">
      <c r="A5226" t="s">
        <v>14930</v>
      </c>
      <c r="B5226" t="s">
        <v>14931</v>
      </c>
      <c r="C5226" t="s">
        <v>15192</v>
      </c>
      <c r="D5226" t="s">
        <v>14933</v>
      </c>
      <c r="E5226" t="s">
        <v>15193</v>
      </c>
      <c r="F5226" t="s">
        <v>15194</v>
      </c>
      <c r="J5226" t="s">
        <v>15193</v>
      </c>
      <c r="K5226" t="s">
        <v>14930</v>
      </c>
      <c r="L5226" t="s">
        <v>725</v>
      </c>
    </row>
    <row r="5227" spans="1:12">
      <c r="A5227" t="s">
        <v>14930</v>
      </c>
      <c r="B5227" t="s">
        <v>14931</v>
      </c>
      <c r="C5227" t="s">
        <v>15195</v>
      </c>
      <c r="D5227" t="s">
        <v>14933</v>
      </c>
      <c r="E5227" t="s">
        <v>7336</v>
      </c>
      <c r="F5227" t="s">
        <v>15196</v>
      </c>
      <c r="J5227" t="s">
        <v>7336</v>
      </c>
      <c r="K5227" t="s">
        <v>14930</v>
      </c>
      <c r="L5227" t="s">
        <v>725</v>
      </c>
    </row>
    <row r="5228" spans="1:12">
      <c r="A5228" t="s">
        <v>14930</v>
      </c>
      <c r="B5228" t="s">
        <v>14931</v>
      </c>
      <c r="C5228" t="s">
        <v>15197</v>
      </c>
      <c r="D5228" t="s">
        <v>14933</v>
      </c>
      <c r="E5228" t="s">
        <v>10996</v>
      </c>
      <c r="F5228" t="s">
        <v>15198</v>
      </c>
    </row>
    <row r="5229" spans="1:12">
      <c r="A5229" t="s">
        <v>14930</v>
      </c>
      <c r="B5229" t="s">
        <v>14931</v>
      </c>
      <c r="C5229" t="s">
        <v>15199</v>
      </c>
      <c r="D5229" t="s">
        <v>14933</v>
      </c>
      <c r="E5229" t="s">
        <v>9466</v>
      </c>
      <c r="F5229" t="s">
        <v>15200</v>
      </c>
    </row>
    <row r="5230" spans="1:12">
      <c r="A5230" t="s">
        <v>14930</v>
      </c>
      <c r="B5230" t="s">
        <v>14931</v>
      </c>
      <c r="C5230" t="s">
        <v>15201</v>
      </c>
      <c r="D5230" t="s">
        <v>14933</v>
      </c>
      <c r="E5230" t="s">
        <v>15202</v>
      </c>
      <c r="F5230" t="s">
        <v>15203</v>
      </c>
    </row>
    <row r="5231" spans="1:12">
      <c r="A5231" t="s">
        <v>14930</v>
      </c>
      <c r="B5231" t="s">
        <v>14931</v>
      </c>
      <c r="C5231" t="s">
        <v>15204</v>
      </c>
      <c r="D5231" t="s">
        <v>14933</v>
      </c>
      <c r="E5231" t="s">
        <v>15205</v>
      </c>
      <c r="F5231" t="s">
        <v>15206</v>
      </c>
    </row>
    <row r="5232" spans="1:12">
      <c r="A5232" t="s">
        <v>14930</v>
      </c>
      <c r="B5232" t="s">
        <v>14931</v>
      </c>
      <c r="C5232" t="s">
        <v>15207</v>
      </c>
      <c r="D5232" t="s">
        <v>14933</v>
      </c>
      <c r="E5232" t="s">
        <v>14374</v>
      </c>
      <c r="F5232" t="s">
        <v>15208</v>
      </c>
    </row>
    <row r="5233" spans="1:12">
      <c r="A5233" t="s">
        <v>14930</v>
      </c>
      <c r="B5233" t="s">
        <v>14931</v>
      </c>
      <c r="C5233" t="s">
        <v>15209</v>
      </c>
      <c r="D5233" t="s">
        <v>14933</v>
      </c>
      <c r="E5233" t="s">
        <v>15210</v>
      </c>
      <c r="F5233" t="s">
        <v>15211</v>
      </c>
    </row>
    <row r="5234" spans="1:12">
      <c r="A5234" t="s">
        <v>14930</v>
      </c>
      <c r="B5234" t="s">
        <v>14931</v>
      </c>
      <c r="C5234" t="s">
        <v>15212</v>
      </c>
      <c r="D5234" t="s">
        <v>14933</v>
      </c>
      <c r="E5234" t="s">
        <v>14394</v>
      </c>
      <c r="F5234" t="s">
        <v>15213</v>
      </c>
    </row>
    <row r="5235" spans="1:12">
      <c r="A5235" t="s">
        <v>14930</v>
      </c>
      <c r="B5235" t="s">
        <v>14931</v>
      </c>
      <c r="C5235" t="s">
        <v>15214</v>
      </c>
      <c r="D5235" t="s">
        <v>14933</v>
      </c>
      <c r="E5235" t="s">
        <v>14081</v>
      </c>
      <c r="F5235" t="s">
        <v>15215</v>
      </c>
      <c r="J5235" t="s">
        <v>14081</v>
      </c>
      <c r="K5235" t="s">
        <v>14930</v>
      </c>
      <c r="L5235" t="s">
        <v>725</v>
      </c>
    </row>
    <row r="5236" spans="1:12">
      <c r="A5236" t="s">
        <v>14930</v>
      </c>
      <c r="B5236" t="s">
        <v>14931</v>
      </c>
      <c r="C5236" t="s">
        <v>15216</v>
      </c>
      <c r="D5236" t="s">
        <v>14933</v>
      </c>
      <c r="E5236" t="s">
        <v>9533</v>
      </c>
      <c r="F5236" t="s">
        <v>15217</v>
      </c>
    </row>
    <row r="5237" spans="1:12">
      <c r="A5237" t="s">
        <v>14930</v>
      </c>
      <c r="B5237" t="s">
        <v>14931</v>
      </c>
      <c r="C5237" t="s">
        <v>15218</v>
      </c>
      <c r="D5237" t="s">
        <v>14933</v>
      </c>
      <c r="E5237" t="s">
        <v>15219</v>
      </c>
      <c r="F5237" t="s">
        <v>15220</v>
      </c>
    </row>
    <row r="5238" spans="1:12">
      <c r="A5238" t="s">
        <v>14930</v>
      </c>
      <c r="B5238" t="s">
        <v>14931</v>
      </c>
      <c r="C5238" t="s">
        <v>15221</v>
      </c>
      <c r="D5238" t="s">
        <v>14933</v>
      </c>
      <c r="E5238" t="s">
        <v>9559</v>
      </c>
      <c r="F5238" t="s">
        <v>15222</v>
      </c>
    </row>
    <row r="5239" spans="1:12">
      <c r="A5239" t="s">
        <v>14930</v>
      </c>
      <c r="B5239" t="s">
        <v>14931</v>
      </c>
      <c r="C5239" t="s">
        <v>15223</v>
      </c>
      <c r="D5239" t="s">
        <v>14933</v>
      </c>
      <c r="E5239" t="s">
        <v>15224</v>
      </c>
      <c r="F5239" t="s">
        <v>15225</v>
      </c>
      <c r="J5239" t="s">
        <v>15224</v>
      </c>
      <c r="K5239" t="s">
        <v>14930</v>
      </c>
      <c r="L5239" t="s">
        <v>725</v>
      </c>
    </row>
    <row r="5240" spans="1:12">
      <c r="A5240" t="s">
        <v>14930</v>
      </c>
      <c r="B5240" t="s">
        <v>14931</v>
      </c>
      <c r="C5240" t="s">
        <v>15226</v>
      </c>
      <c r="D5240" t="s">
        <v>14933</v>
      </c>
      <c r="E5240" t="s">
        <v>15227</v>
      </c>
      <c r="F5240" t="s">
        <v>15228</v>
      </c>
      <c r="J5240" t="s">
        <v>15227</v>
      </c>
      <c r="K5240" t="s">
        <v>14930</v>
      </c>
      <c r="L5240" t="s">
        <v>725</v>
      </c>
    </row>
    <row r="5241" spans="1:12">
      <c r="A5241" t="s">
        <v>14930</v>
      </c>
      <c r="B5241" t="s">
        <v>14931</v>
      </c>
      <c r="C5241" t="s">
        <v>15229</v>
      </c>
      <c r="D5241" t="s">
        <v>14933</v>
      </c>
      <c r="E5241" t="s">
        <v>9565</v>
      </c>
      <c r="F5241" t="s">
        <v>15230</v>
      </c>
      <c r="J5241" t="s">
        <v>9565</v>
      </c>
      <c r="K5241" t="s">
        <v>14930</v>
      </c>
      <c r="L5241" t="s">
        <v>725</v>
      </c>
    </row>
    <row r="5242" spans="1:12">
      <c r="A5242" t="s">
        <v>14930</v>
      </c>
      <c r="B5242" t="s">
        <v>14931</v>
      </c>
      <c r="C5242" t="s">
        <v>15231</v>
      </c>
      <c r="D5242" t="s">
        <v>14933</v>
      </c>
      <c r="E5242" t="s">
        <v>11598</v>
      </c>
      <c r="F5242" t="s">
        <v>15232</v>
      </c>
    </row>
    <row r="5243" spans="1:12">
      <c r="A5243" t="s">
        <v>14930</v>
      </c>
      <c r="B5243" t="s">
        <v>14931</v>
      </c>
      <c r="C5243" t="s">
        <v>15233</v>
      </c>
      <c r="D5243" t="s">
        <v>14933</v>
      </c>
      <c r="E5243" t="s">
        <v>15234</v>
      </c>
      <c r="F5243" t="s">
        <v>15235</v>
      </c>
    </row>
    <row r="5244" spans="1:12">
      <c r="A5244" t="s">
        <v>14930</v>
      </c>
      <c r="B5244" t="s">
        <v>14931</v>
      </c>
      <c r="C5244" t="s">
        <v>15236</v>
      </c>
      <c r="D5244" t="s">
        <v>14933</v>
      </c>
      <c r="E5244" t="s">
        <v>15237</v>
      </c>
      <c r="F5244" t="s">
        <v>15238</v>
      </c>
    </row>
    <row r="5245" spans="1:12">
      <c r="A5245" t="s">
        <v>14930</v>
      </c>
      <c r="B5245" t="s">
        <v>14931</v>
      </c>
      <c r="C5245" t="s">
        <v>15239</v>
      </c>
      <c r="D5245" t="s">
        <v>14933</v>
      </c>
      <c r="E5245" t="s">
        <v>9580</v>
      </c>
      <c r="F5245" t="s">
        <v>15240</v>
      </c>
    </row>
    <row r="5246" spans="1:12">
      <c r="A5246" t="s">
        <v>14930</v>
      </c>
      <c r="B5246" t="s">
        <v>14931</v>
      </c>
      <c r="C5246" t="s">
        <v>15241</v>
      </c>
      <c r="D5246" t="s">
        <v>14933</v>
      </c>
      <c r="E5246" t="s">
        <v>15242</v>
      </c>
      <c r="F5246" t="s">
        <v>15243</v>
      </c>
    </row>
    <row r="5247" spans="1:12">
      <c r="A5247" t="s">
        <v>14930</v>
      </c>
      <c r="B5247" t="s">
        <v>14931</v>
      </c>
      <c r="C5247" t="s">
        <v>15244</v>
      </c>
      <c r="D5247" t="s">
        <v>14933</v>
      </c>
      <c r="E5247" t="s">
        <v>12830</v>
      </c>
      <c r="F5247" t="s">
        <v>15245</v>
      </c>
    </row>
    <row r="5248" spans="1:12">
      <c r="A5248" t="s">
        <v>14930</v>
      </c>
      <c r="B5248" t="s">
        <v>14931</v>
      </c>
      <c r="C5248" t="s">
        <v>15246</v>
      </c>
      <c r="D5248" t="s">
        <v>14933</v>
      </c>
      <c r="E5248" t="s">
        <v>2634</v>
      </c>
      <c r="F5248" t="s">
        <v>15247</v>
      </c>
    </row>
    <row r="5249" spans="1:12">
      <c r="A5249" t="s">
        <v>14930</v>
      </c>
      <c r="B5249" t="s">
        <v>14931</v>
      </c>
      <c r="C5249" t="s">
        <v>15248</v>
      </c>
      <c r="D5249" t="s">
        <v>14933</v>
      </c>
      <c r="E5249" t="s">
        <v>15249</v>
      </c>
      <c r="F5249" t="s">
        <v>15250</v>
      </c>
    </row>
    <row r="5250" spans="1:12">
      <c r="A5250" t="s">
        <v>14930</v>
      </c>
      <c r="B5250" t="s">
        <v>14931</v>
      </c>
      <c r="C5250" t="s">
        <v>15251</v>
      </c>
      <c r="D5250" t="s">
        <v>14933</v>
      </c>
      <c r="E5250" t="s">
        <v>13559</v>
      </c>
      <c r="F5250" t="s">
        <v>15252</v>
      </c>
    </row>
    <row r="5251" spans="1:12">
      <c r="A5251" t="s">
        <v>14930</v>
      </c>
      <c r="B5251" t="s">
        <v>14931</v>
      </c>
      <c r="C5251" t="s">
        <v>15253</v>
      </c>
      <c r="D5251" t="s">
        <v>14933</v>
      </c>
      <c r="E5251" t="s">
        <v>15254</v>
      </c>
      <c r="F5251" t="s">
        <v>15255</v>
      </c>
      <c r="J5251" t="s">
        <v>15254</v>
      </c>
      <c r="K5251" t="s">
        <v>14930</v>
      </c>
      <c r="L5251" t="s">
        <v>725</v>
      </c>
    </row>
    <row r="5252" spans="1:12">
      <c r="A5252" t="s">
        <v>14930</v>
      </c>
      <c r="B5252" t="s">
        <v>14931</v>
      </c>
      <c r="C5252" t="s">
        <v>15256</v>
      </c>
      <c r="D5252" t="s">
        <v>14933</v>
      </c>
      <c r="E5252" t="s">
        <v>4226</v>
      </c>
      <c r="F5252" t="s">
        <v>15257</v>
      </c>
    </row>
    <row r="5253" spans="1:12">
      <c r="A5253" t="s">
        <v>14930</v>
      </c>
      <c r="B5253" t="s">
        <v>14931</v>
      </c>
      <c r="C5253" t="s">
        <v>15258</v>
      </c>
      <c r="D5253" t="s">
        <v>14933</v>
      </c>
      <c r="E5253" t="s">
        <v>15259</v>
      </c>
      <c r="F5253" t="s">
        <v>15260</v>
      </c>
      <c r="J5253" t="s">
        <v>15259</v>
      </c>
      <c r="K5253" t="s">
        <v>14930</v>
      </c>
      <c r="L5253" t="s">
        <v>725</v>
      </c>
    </row>
    <row r="5254" spans="1:12">
      <c r="A5254" t="s">
        <v>14930</v>
      </c>
      <c r="B5254" t="s">
        <v>14931</v>
      </c>
      <c r="C5254" t="s">
        <v>15261</v>
      </c>
      <c r="D5254" t="s">
        <v>14933</v>
      </c>
      <c r="E5254" t="s">
        <v>15262</v>
      </c>
      <c r="F5254" t="s">
        <v>15263</v>
      </c>
      <c r="J5254" t="s">
        <v>15262</v>
      </c>
      <c r="K5254" t="s">
        <v>14930</v>
      </c>
      <c r="L5254" t="s">
        <v>725</v>
      </c>
    </row>
    <row r="5255" spans="1:12">
      <c r="A5255" t="s">
        <v>14930</v>
      </c>
      <c r="B5255" t="s">
        <v>14931</v>
      </c>
      <c r="C5255" t="s">
        <v>15264</v>
      </c>
      <c r="D5255" t="s">
        <v>14933</v>
      </c>
      <c r="E5255" t="s">
        <v>15265</v>
      </c>
      <c r="F5255" t="s">
        <v>15266</v>
      </c>
    </row>
    <row r="5256" spans="1:12">
      <c r="A5256" t="s">
        <v>14930</v>
      </c>
      <c r="B5256" t="s">
        <v>14931</v>
      </c>
      <c r="C5256" t="s">
        <v>15267</v>
      </c>
      <c r="D5256" t="s">
        <v>14933</v>
      </c>
      <c r="E5256" t="s">
        <v>4256</v>
      </c>
      <c r="F5256" t="s">
        <v>15268</v>
      </c>
    </row>
    <row r="5257" spans="1:12">
      <c r="A5257" t="s">
        <v>14930</v>
      </c>
      <c r="B5257" t="s">
        <v>14931</v>
      </c>
      <c r="C5257" t="s">
        <v>15269</v>
      </c>
      <c r="D5257" t="s">
        <v>14933</v>
      </c>
      <c r="E5257" t="s">
        <v>15270</v>
      </c>
      <c r="F5257" t="s">
        <v>15271</v>
      </c>
      <c r="J5257" t="s">
        <v>15270</v>
      </c>
      <c r="K5257" t="s">
        <v>14930</v>
      </c>
      <c r="L5257" t="s">
        <v>725</v>
      </c>
    </row>
    <row r="5258" spans="1:12">
      <c r="A5258" t="s">
        <v>14930</v>
      </c>
      <c r="B5258" t="s">
        <v>14931</v>
      </c>
      <c r="C5258" t="s">
        <v>15272</v>
      </c>
      <c r="D5258" t="s">
        <v>14933</v>
      </c>
      <c r="E5258" t="s">
        <v>15273</v>
      </c>
      <c r="F5258" t="s">
        <v>15274</v>
      </c>
    </row>
    <row r="5259" spans="1:12">
      <c r="A5259" t="s">
        <v>14930</v>
      </c>
      <c r="B5259" t="s">
        <v>14931</v>
      </c>
      <c r="C5259" t="s">
        <v>15275</v>
      </c>
      <c r="D5259" t="s">
        <v>14933</v>
      </c>
      <c r="E5259" t="s">
        <v>15276</v>
      </c>
      <c r="F5259" t="s">
        <v>15277</v>
      </c>
    </row>
    <row r="5260" spans="1:12">
      <c r="A5260" t="s">
        <v>14930</v>
      </c>
      <c r="B5260" t="s">
        <v>14931</v>
      </c>
      <c r="C5260" t="s">
        <v>15278</v>
      </c>
      <c r="D5260" t="s">
        <v>14933</v>
      </c>
      <c r="E5260" t="s">
        <v>15279</v>
      </c>
      <c r="F5260" t="s">
        <v>15280</v>
      </c>
    </row>
    <row r="5261" spans="1:12">
      <c r="A5261" t="s">
        <v>14930</v>
      </c>
      <c r="B5261" t="s">
        <v>14931</v>
      </c>
      <c r="C5261" t="s">
        <v>15281</v>
      </c>
      <c r="D5261" t="s">
        <v>14933</v>
      </c>
      <c r="E5261" t="s">
        <v>3705</v>
      </c>
      <c r="F5261" t="s">
        <v>15282</v>
      </c>
    </row>
    <row r="5262" spans="1:12">
      <c r="A5262" t="s">
        <v>14930</v>
      </c>
      <c r="B5262" t="s">
        <v>14931</v>
      </c>
      <c r="C5262" t="s">
        <v>15283</v>
      </c>
      <c r="D5262" t="s">
        <v>14933</v>
      </c>
      <c r="E5262" t="s">
        <v>15284</v>
      </c>
      <c r="F5262" t="s">
        <v>15285</v>
      </c>
    </row>
    <row r="5263" spans="1:12">
      <c r="A5263" t="s">
        <v>14930</v>
      </c>
      <c r="B5263" t="s">
        <v>14931</v>
      </c>
      <c r="C5263" t="s">
        <v>15286</v>
      </c>
      <c r="D5263" t="s">
        <v>14933</v>
      </c>
      <c r="E5263" t="s">
        <v>15287</v>
      </c>
      <c r="F5263" t="s">
        <v>15288</v>
      </c>
      <c r="J5263" t="s">
        <v>15287</v>
      </c>
      <c r="K5263" t="s">
        <v>14930</v>
      </c>
      <c r="L5263" t="s">
        <v>725</v>
      </c>
    </row>
    <row r="5264" spans="1:12">
      <c r="A5264" t="s">
        <v>14930</v>
      </c>
      <c r="B5264" t="s">
        <v>14931</v>
      </c>
      <c r="C5264" t="s">
        <v>15289</v>
      </c>
      <c r="D5264" t="s">
        <v>14933</v>
      </c>
      <c r="E5264" t="s">
        <v>2825</v>
      </c>
      <c r="F5264" t="s">
        <v>15290</v>
      </c>
    </row>
    <row r="5265" spans="1:12">
      <c r="A5265" t="s">
        <v>14930</v>
      </c>
      <c r="B5265" t="s">
        <v>14931</v>
      </c>
      <c r="C5265" t="s">
        <v>15291</v>
      </c>
      <c r="D5265" t="s">
        <v>14933</v>
      </c>
      <c r="E5265" t="s">
        <v>9786</v>
      </c>
      <c r="F5265" t="s">
        <v>15292</v>
      </c>
    </row>
    <row r="5266" spans="1:12">
      <c r="A5266" t="s">
        <v>14930</v>
      </c>
      <c r="B5266" t="s">
        <v>14931</v>
      </c>
      <c r="C5266" t="s">
        <v>15293</v>
      </c>
      <c r="D5266" t="s">
        <v>14933</v>
      </c>
      <c r="E5266" t="s">
        <v>15294</v>
      </c>
      <c r="F5266" t="s">
        <v>15295</v>
      </c>
      <c r="J5266" t="s">
        <v>15294</v>
      </c>
      <c r="K5266" t="s">
        <v>14930</v>
      </c>
      <c r="L5266" t="s">
        <v>725</v>
      </c>
    </row>
    <row r="5267" spans="1:12">
      <c r="A5267" t="s">
        <v>14930</v>
      </c>
      <c r="B5267" t="s">
        <v>14931</v>
      </c>
      <c r="C5267" t="s">
        <v>15296</v>
      </c>
      <c r="D5267" t="s">
        <v>14933</v>
      </c>
      <c r="E5267" t="s">
        <v>15297</v>
      </c>
      <c r="F5267" t="s">
        <v>15298</v>
      </c>
    </row>
    <row r="5268" spans="1:12">
      <c r="A5268" t="s">
        <v>14930</v>
      </c>
      <c r="B5268" t="s">
        <v>14931</v>
      </c>
      <c r="C5268" t="s">
        <v>15299</v>
      </c>
      <c r="D5268" t="s">
        <v>14933</v>
      </c>
      <c r="E5268" t="s">
        <v>15300</v>
      </c>
      <c r="F5268" t="s">
        <v>15301</v>
      </c>
      <c r="J5268" t="s">
        <v>15300</v>
      </c>
      <c r="K5268" t="s">
        <v>14930</v>
      </c>
      <c r="L5268" t="s">
        <v>725</v>
      </c>
    </row>
    <row r="5269" spans="1:12">
      <c r="A5269" t="s">
        <v>14930</v>
      </c>
      <c r="B5269" t="s">
        <v>14931</v>
      </c>
      <c r="C5269" t="s">
        <v>15302</v>
      </c>
      <c r="D5269" t="s">
        <v>14933</v>
      </c>
      <c r="E5269" t="s">
        <v>15303</v>
      </c>
      <c r="F5269" t="s">
        <v>15304</v>
      </c>
    </row>
    <row r="5270" spans="1:12">
      <c r="A5270" t="s">
        <v>14930</v>
      </c>
      <c r="B5270" t="s">
        <v>14931</v>
      </c>
      <c r="C5270" t="s">
        <v>15305</v>
      </c>
      <c r="D5270" t="s">
        <v>14933</v>
      </c>
      <c r="E5270" t="s">
        <v>15306</v>
      </c>
      <c r="F5270" t="s">
        <v>15307</v>
      </c>
      <c r="J5270" t="s">
        <v>15306</v>
      </c>
      <c r="K5270" t="s">
        <v>14930</v>
      </c>
      <c r="L5270" t="s">
        <v>725</v>
      </c>
    </row>
    <row r="5271" spans="1:12">
      <c r="A5271" t="s">
        <v>14930</v>
      </c>
      <c r="B5271" t="s">
        <v>14931</v>
      </c>
      <c r="C5271" t="s">
        <v>15308</v>
      </c>
      <c r="D5271" t="s">
        <v>14933</v>
      </c>
      <c r="E5271" t="s">
        <v>9851</v>
      </c>
      <c r="F5271" t="s">
        <v>15309</v>
      </c>
    </row>
    <row r="5272" spans="1:12">
      <c r="A5272" t="s">
        <v>14930</v>
      </c>
      <c r="B5272" t="s">
        <v>14931</v>
      </c>
      <c r="C5272" t="s">
        <v>15310</v>
      </c>
      <c r="D5272" t="s">
        <v>14933</v>
      </c>
      <c r="E5272" t="s">
        <v>9912</v>
      </c>
      <c r="F5272" t="s">
        <v>15311</v>
      </c>
    </row>
    <row r="5273" spans="1:12">
      <c r="A5273" t="s">
        <v>14930</v>
      </c>
      <c r="B5273" t="s">
        <v>14931</v>
      </c>
      <c r="C5273" t="s">
        <v>15312</v>
      </c>
      <c r="D5273" t="s">
        <v>14933</v>
      </c>
      <c r="E5273" t="s">
        <v>9915</v>
      </c>
      <c r="F5273" t="s">
        <v>15313</v>
      </c>
      <c r="J5273" t="s">
        <v>9915</v>
      </c>
      <c r="K5273" t="s">
        <v>14930</v>
      </c>
      <c r="L5273" t="s">
        <v>725</v>
      </c>
    </row>
    <row r="5274" spans="1:12">
      <c r="A5274" t="s">
        <v>14930</v>
      </c>
      <c r="B5274" t="s">
        <v>14931</v>
      </c>
      <c r="C5274" t="s">
        <v>15314</v>
      </c>
      <c r="D5274" t="s">
        <v>14933</v>
      </c>
      <c r="E5274" t="s">
        <v>13597</v>
      </c>
      <c r="F5274" t="s">
        <v>15315</v>
      </c>
    </row>
    <row r="5275" spans="1:12">
      <c r="A5275" t="s">
        <v>14930</v>
      </c>
      <c r="B5275" t="s">
        <v>14931</v>
      </c>
      <c r="C5275" t="s">
        <v>15316</v>
      </c>
      <c r="D5275" t="s">
        <v>14933</v>
      </c>
      <c r="E5275" t="s">
        <v>8229</v>
      </c>
      <c r="F5275" t="s">
        <v>15317</v>
      </c>
    </row>
    <row r="5276" spans="1:12">
      <c r="A5276" t="s">
        <v>14930</v>
      </c>
      <c r="B5276" t="s">
        <v>14931</v>
      </c>
      <c r="C5276" t="s">
        <v>15318</v>
      </c>
      <c r="D5276" t="s">
        <v>14933</v>
      </c>
      <c r="E5276" t="s">
        <v>15319</v>
      </c>
      <c r="F5276" t="s">
        <v>15320</v>
      </c>
      <c r="J5276" t="s">
        <v>15319</v>
      </c>
      <c r="K5276" t="s">
        <v>14930</v>
      </c>
      <c r="L5276" t="s">
        <v>725</v>
      </c>
    </row>
    <row r="5277" spans="1:12">
      <c r="A5277" t="s">
        <v>14930</v>
      </c>
      <c r="B5277" t="s">
        <v>14931</v>
      </c>
      <c r="C5277" t="s">
        <v>15321</v>
      </c>
      <c r="D5277" t="s">
        <v>14933</v>
      </c>
      <c r="E5277" t="s">
        <v>15322</v>
      </c>
      <c r="F5277" t="s">
        <v>15323</v>
      </c>
    </row>
    <row r="5278" spans="1:12">
      <c r="A5278" t="s">
        <v>14930</v>
      </c>
      <c r="B5278" t="s">
        <v>14931</v>
      </c>
      <c r="C5278" t="s">
        <v>15324</v>
      </c>
      <c r="D5278" t="s">
        <v>14933</v>
      </c>
      <c r="E5278" t="s">
        <v>11480</v>
      </c>
      <c r="F5278" t="s">
        <v>15325</v>
      </c>
      <c r="J5278" t="s">
        <v>11480</v>
      </c>
      <c r="K5278" t="s">
        <v>14930</v>
      </c>
      <c r="L5278" t="s">
        <v>725</v>
      </c>
    </row>
    <row r="5279" spans="1:12">
      <c r="A5279" t="s">
        <v>14930</v>
      </c>
      <c r="B5279" t="s">
        <v>14931</v>
      </c>
      <c r="C5279" t="s">
        <v>15326</v>
      </c>
      <c r="D5279" t="s">
        <v>14933</v>
      </c>
      <c r="E5279" t="s">
        <v>15327</v>
      </c>
      <c r="F5279" t="s">
        <v>15328</v>
      </c>
    </row>
    <row r="5280" spans="1:12">
      <c r="A5280" t="s">
        <v>14930</v>
      </c>
      <c r="B5280" t="s">
        <v>14931</v>
      </c>
      <c r="C5280" t="s">
        <v>15329</v>
      </c>
      <c r="D5280" t="s">
        <v>14933</v>
      </c>
      <c r="E5280" t="s">
        <v>15330</v>
      </c>
      <c r="F5280" t="s">
        <v>15331</v>
      </c>
      <c r="J5280" t="s">
        <v>15330</v>
      </c>
      <c r="K5280" t="s">
        <v>14930</v>
      </c>
      <c r="L5280" t="s">
        <v>725</v>
      </c>
    </row>
    <row r="5281" spans="1:12">
      <c r="A5281" t="s">
        <v>14930</v>
      </c>
      <c r="B5281" t="s">
        <v>14931</v>
      </c>
      <c r="C5281" t="s">
        <v>15332</v>
      </c>
      <c r="D5281" t="s">
        <v>14933</v>
      </c>
      <c r="E5281" t="s">
        <v>15333</v>
      </c>
      <c r="F5281" t="s">
        <v>15334</v>
      </c>
      <c r="J5281" t="s">
        <v>15333</v>
      </c>
      <c r="K5281" t="s">
        <v>14930</v>
      </c>
      <c r="L5281" t="s">
        <v>725</v>
      </c>
    </row>
    <row r="5282" spans="1:12">
      <c r="A5282" t="s">
        <v>14930</v>
      </c>
      <c r="B5282" t="s">
        <v>14931</v>
      </c>
      <c r="C5282" t="s">
        <v>15335</v>
      </c>
      <c r="D5282" t="s">
        <v>14933</v>
      </c>
      <c r="E5282" t="s">
        <v>15336</v>
      </c>
      <c r="F5282" t="s">
        <v>15337</v>
      </c>
    </row>
    <row r="5283" spans="1:12">
      <c r="A5283" t="s">
        <v>14930</v>
      </c>
      <c r="B5283" t="s">
        <v>14931</v>
      </c>
      <c r="C5283" t="s">
        <v>15338</v>
      </c>
      <c r="D5283" t="s">
        <v>14933</v>
      </c>
      <c r="E5283" t="s">
        <v>10034</v>
      </c>
      <c r="F5283" t="s">
        <v>15339</v>
      </c>
    </row>
    <row r="5284" spans="1:12">
      <c r="A5284" t="s">
        <v>14930</v>
      </c>
      <c r="B5284" t="s">
        <v>14931</v>
      </c>
      <c r="C5284" t="s">
        <v>15340</v>
      </c>
      <c r="D5284" t="s">
        <v>14933</v>
      </c>
      <c r="E5284" t="s">
        <v>15341</v>
      </c>
      <c r="F5284" t="s">
        <v>15342</v>
      </c>
      <c r="J5284" t="s">
        <v>15341</v>
      </c>
      <c r="K5284" t="s">
        <v>14930</v>
      </c>
      <c r="L5284" t="s">
        <v>725</v>
      </c>
    </row>
    <row r="5285" spans="1:12">
      <c r="A5285" t="s">
        <v>14930</v>
      </c>
      <c r="B5285" t="s">
        <v>14931</v>
      </c>
      <c r="C5285" t="s">
        <v>15343</v>
      </c>
      <c r="D5285" t="s">
        <v>14933</v>
      </c>
      <c r="E5285" t="s">
        <v>15344</v>
      </c>
      <c r="F5285" t="s">
        <v>15345</v>
      </c>
      <c r="J5285" t="s">
        <v>15344</v>
      </c>
      <c r="K5285" t="s">
        <v>14930</v>
      </c>
      <c r="L5285" t="s">
        <v>725</v>
      </c>
    </row>
    <row r="5286" spans="1:12">
      <c r="A5286" t="s">
        <v>14930</v>
      </c>
      <c r="B5286" t="s">
        <v>14931</v>
      </c>
      <c r="C5286" t="s">
        <v>15346</v>
      </c>
      <c r="D5286" t="s">
        <v>14933</v>
      </c>
      <c r="E5286" t="s">
        <v>10054</v>
      </c>
      <c r="F5286" t="s">
        <v>15347</v>
      </c>
    </row>
    <row r="5287" spans="1:12">
      <c r="A5287" t="s">
        <v>14930</v>
      </c>
      <c r="B5287" t="s">
        <v>14931</v>
      </c>
      <c r="C5287" t="s">
        <v>15348</v>
      </c>
      <c r="D5287" t="s">
        <v>14933</v>
      </c>
      <c r="E5287" t="s">
        <v>15349</v>
      </c>
      <c r="F5287" t="s">
        <v>15350</v>
      </c>
      <c r="J5287" t="s">
        <v>15349</v>
      </c>
      <c r="K5287" t="s">
        <v>14930</v>
      </c>
      <c r="L5287" t="s">
        <v>725</v>
      </c>
    </row>
    <row r="5288" spans="1:12">
      <c r="A5288" t="s">
        <v>14930</v>
      </c>
      <c r="B5288" t="s">
        <v>14931</v>
      </c>
      <c r="C5288" t="s">
        <v>15351</v>
      </c>
      <c r="D5288" t="s">
        <v>14933</v>
      </c>
      <c r="E5288" t="s">
        <v>15352</v>
      </c>
      <c r="F5288" t="s">
        <v>15353</v>
      </c>
    </row>
    <row r="5289" spans="1:12">
      <c r="A5289" t="s">
        <v>14930</v>
      </c>
      <c r="B5289" t="s">
        <v>14931</v>
      </c>
      <c r="C5289" t="s">
        <v>15354</v>
      </c>
      <c r="D5289" t="s">
        <v>14933</v>
      </c>
      <c r="E5289" t="s">
        <v>15355</v>
      </c>
      <c r="F5289" t="s">
        <v>15356</v>
      </c>
    </row>
    <row r="5290" spans="1:12">
      <c r="A5290" t="s">
        <v>14930</v>
      </c>
      <c r="B5290" t="s">
        <v>14931</v>
      </c>
      <c r="C5290" t="s">
        <v>15357</v>
      </c>
      <c r="D5290" t="s">
        <v>14933</v>
      </c>
      <c r="E5290" t="s">
        <v>15358</v>
      </c>
      <c r="F5290" t="s">
        <v>15359</v>
      </c>
    </row>
    <row r="5291" spans="1:12">
      <c r="A5291" t="s">
        <v>14930</v>
      </c>
      <c r="B5291" t="s">
        <v>14931</v>
      </c>
      <c r="C5291" t="s">
        <v>15360</v>
      </c>
      <c r="D5291" t="s">
        <v>14933</v>
      </c>
      <c r="E5291" t="s">
        <v>15361</v>
      </c>
      <c r="F5291" t="s">
        <v>15362</v>
      </c>
      <c r="J5291" t="s">
        <v>15361</v>
      </c>
      <c r="K5291" t="s">
        <v>14930</v>
      </c>
      <c r="L5291" t="s">
        <v>725</v>
      </c>
    </row>
    <row r="5292" spans="1:12">
      <c r="A5292" t="s">
        <v>14930</v>
      </c>
      <c r="B5292" t="s">
        <v>14931</v>
      </c>
      <c r="C5292" t="s">
        <v>15363</v>
      </c>
      <c r="D5292" t="s">
        <v>14933</v>
      </c>
      <c r="E5292" t="s">
        <v>15364</v>
      </c>
      <c r="F5292" t="s">
        <v>15365</v>
      </c>
      <c r="J5292" t="s">
        <v>15364</v>
      </c>
      <c r="K5292" t="s">
        <v>14930</v>
      </c>
      <c r="L5292" t="s">
        <v>725</v>
      </c>
    </row>
    <row r="5293" spans="1:12">
      <c r="A5293" t="s">
        <v>14930</v>
      </c>
      <c r="B5293" t="s">
        <v>14931</v>
      </c>
      <c r="C5293" t="s">
        <v>15366</v>
      </c>
      <c r="D5293" t="s">
        <v>14933</v>
      </c>
      <c r="E5293" t="s">
        <v>15367</v>
      </c>
      <c r="F5293" t="s">
        <v>15368</v>
      </c>
      <c r="J5293" t="s">
        <v>15367</v>
      </c>
      <c r="K5293" t="s">
        <v>14930</v>
      </c>
      <c r="L5293" t="s">
        <v>725</v>
      </c>
    </row>
    <row r="5294" spans="1:12">
      <c r="A5294" t="s">
        <v>14930</v>
      </c>
      <c r="B5294" t="s">
        <v>14931</v>
      </c>
      <c r="C5294" t="s">
        <v>15369</v>
      </c>
      <c r="D5294" t="s">
        <v>14933</v>
      </c>
      <c r="E5294" t="s">
        <v>15370</v>
      </c>
      <c r="F5294" t="s">
        <v>15371</v>
      </c>
    </row>
    <row r="5295" spans="1:12">
      <c r="A5295" t="s">
        <v>14930</v>
      </c>
      <c r="B5295" t="s">
        <v>14931</v>
      </c>
      <c r="C5295" t="s">
        <v>15372</v>
      </c>
      <c r="D5295" t="s">
        <v>14933</v>
      </c>
      <c r="E5295" t="s">
        <v>655</v>
      </c>
      <c r="F5295" t="s">
        <v>656</v>
      </c>
    </row>
    <row r="5296" spans="1:12">
      <c r="A5296" t="s">
        <v>14930</v>
      </c>
      <c r="B5296" t="s">
        <v>14931</v>
      </c>
      <c r="D5296" t="s">
        <v>14933</v>
      </c>
      <c r="F5296" t="s">
        <v>15373</v>
      </c>
      <c r="J5296" t="s">
        <v>15374</v>
      </c>
      <c r="K5296" t="s">
        <v>14930</v>
      </c>
      <c r="L5296" t="s">
        <v>725</v>
      </c>
    </row>
    <row r="5297" spans="1:12">
      <c r="A5297" t="s">
        <v>15375</v>
      </c>
      <c r="B5297" t="s">
        <v>15376</v>
      </c>
      <c r="C5297" t="s">
        <v>15377</v>
      </c>
      <c r="D5297" t="s">
        <v>15378</v>
      </c>
      <c r="E5297" t="s">
        <v>15379</v>
      </c>
      <c r="F5297" t="s">
        <v>15380</v>
      </c>
    </row>
    <row r="5298" spans="1:12">
      <c r="A5298" t="s">
        <v>15375</v>
      </c>
      <c r="B5298" t="s">
        <v>15376</v>
      </c>
      <c r="C5298" t="s">
        <v>15381</v>
      </c>
      <c r="D5298" t="s">
        <v>15378</v>
      </c>
      <c r="E5298" t="s">
        <v>655</v>
      </c>
      <c r="F5298" t="s">
        <v>656</v>
      </c>
    </row>
    <row r="5299" spans="1:12">
      <c r="A5299" t="s">
        <v>15382</v>
      </c>
      <c r="B5299" t="s">
        <v>15383</v>
      </c>
      <c r="C5299" t="s">
        <v>15384</v>
      </c>
      <c r="D5299" t="s">
        <v>15385</v>
      </c>
      <c r="E5299" t="s">
        <v>15386</v>
      </c>
      <c r="F5299" t="s">
        <v>15387</v>
      </c>
      <c r="J5299" t="s">
        <v>15386</v>
      </c>
      <c r="K5299" t="s">
        <v>15382</v>
      </c>
      <c r="L5299" t="s">
        <v>664</v>
      </c>
    </row>
    <row r="5300" spans="1:12">
      <c r="A5300" t="s">
        <v>15382</v>
      </c>
      <c r="B5300" t="s">
        <v>15383</v>
      </c>
      <c r="C5300" t="s">
        <v>15388</v>
      </c>
      <c r="D5300" t="s">
        <v>15385</v>
      </c>
      <c r="E5300" t="s">
        <v>15389</v>
      </c>
      <c r="F5300" t="s">
        <v>15390</v>
      </c>
      <c r="J5300" t="s">
        <v>15389</v>
      </c>
      <c r="K5300" t="s">
        <v>15382</v>
      </c>
      <c r="L5300" t="s">
        <v>664</v>
      </c>
    </row>
    <row r="5301" spans="1:12">
      <c r="A5301" t="s">
        <v>15382</v>
      </c>
      <c r="B5301" t="s">
        <v>15383</v>
      </c>
      <c r="C5301" t="s">
        <v>15391</v>
      </c>
      <c r="D5301" t="s">
        <v>15385</v>
      </c>
      <c r="E5301" t="s">
        <v>10668</v>
      </c>
      <c r="F5301" t="s">
        <v>15392</v>
      </c>
      <c r="J5301" t="s">
        <v>10668</v>
      </c>
      <c r="K5301" t="s">
        <v>15393</v>
      </c>
      <c r="L5301" t="s">
        <v>664</v>
      </c>
    </row>
    <row r="5302" spans="1:12">
      <c r="A5302" t="s">
        <v>15382</v>
      </c>
      <c r="B5302" t="s">
        <v>15383</v>
      </c>
      <c r="C5302" t="s">
        <v>15394</v>
      </c>
      <c r="D5302" t="s">
        <v>15385</v>
      </c>
      <c r="E5302" t="s">
        <v>15395</v>
      </c>
      <c r="F5302" t="s">
        <v>15395</v>
      </c>
    </row>
    <row r="5303" spans="1:12">
      <c r="A5303" t="s">
        <v>15382</v>
      </c>
      <c r="B5303" t="s">
        <v>15383</v>
      </c>
      <c r="C5303" t="s">
        <v>15396</v>
      </c>
      <c r="D5303" t="s">
        <v>15385</v>
      </c>
      <c r="E5303" t="s">
        <v>9143</v>
      </c>
      <c r="F5303" t="s">
        <v>15397</v>
      </c>
    </row>
    <row r="5304" spans="1:12">
      <c r="A5304" t="s">
        <v>15382</v>
      </c>
      <c r="B5304" t="s">
        <v>15383</v>
      </c>
      <c r="C5304" t="s">
        <v>15398</v>
      </c>
      <c r="D5304" t="s">
        <v>15385</v>
      </c>
      <c r="E5304" t="s">
        <v>15399</v>
      </c>
      <c r="F5304" t="s">
        <v>15400</v>
      </c>
    </row>
    <row r="5305" spans="1:12">
      <c r="A5305" t="s">
        <v>15382</v>
      </c>
      <c r="B5305" t="s">
        <v>15383</v>
      </c>
      <c r="C5305" t="s">
        <v>15401</v>
      </c>
      <c r="D5305" t="s">
        <v>15385</v>
      </c>
      <c r="E5305" t="s">
        <v>3486</v>
      </c>
      <c r="F5305" t="s">
        <v>15402</v>
      </c>
    </row>
    <row r="5306" spans="1:12">
      <c r="A5306" t="s">
        <v>15382</v>
      </c>
      <c r="B5306" t="s">
        <v>15383</v>
      </c>
      <c r="C5306" t="s">
        <v>15403</v>
      </c>
      <c r="D5306" t="s">
        <v>15385</v>
      </c>
      <c r="E5306" t="s">
        <v>15404</v>
      </c>
      <c r="F5306" t="s">
        <v>15405</v>
      </c>
    </row>
    <row r="5307" spans="1:12">
      <c r="A5307" t="s">
        <v>15382</v>
      </c>
      <c r="B5307" t="s">
        <v>15383</v>
      </c>
      <c r="C5307" t="s">
        <v>15406</v>
      </c>
      <c r="D5307" t="s">
        <v>15385</v>
      </c>
      <c r="E5307" t="s">
        <v>15407</v>
      </c>
      <c r="F5307" t="s">
        <v>15408</v>
      </c>
      <c r="J5307" t="s">
        <v>15407</v>
      </c>
      <c r="K5307" t="s">
        <v>15382</v>
      </c>
      <c r="L5307" t="s">
        <v>664</v>
      </c>
    </row>
    <row r="5308" spans="1:12">
      <c r="A5308" t="s">
        <v>15382</v>
      </c>
      <c r="B5308" t="s">
        <v>15383</v>
      </c>
      <c r="C5308" t="s">
        <v>15409</v>
      </c>
      <c r="D5308" t="s">
        <v>15385</v>
      </c>
      <c r="E5308" t="s">
        <v>4145</v>
      </c>
      <c r="F5308" t="s">
        <v>15410</v>
      </c>
    </row>
    <row r="5309" spans="1:12">
      <c r="A5309" t="s">
        <v>15382</v>
      </c>
      <c r="B5309" t="s">
        <v>15383</v>
      </c>
      <c r="C5309" t="s">
        <v>15411</v>
      </c>
      <c r="D5309" t="s">
        <v>15385</v>
      </c>
      <c r="E5309" t="s">
        <v>3566</v>
      </c>
      <c r="F5309" t="s">
        <v>15412</v>
      </c>
    </row>
    <row r="5310" spans="1:12">
      <c r="A5310" t="s">
        <v>15382</v>
      </c>
      <c r="B5310" t="s">
        <v>15383</v>
      </c>
      <c r="C5310" t="s">
        <v>15413</v>
      </c>
      <c r="D5310" t="s">
        <v>15385</v>
      </c>
      <c r="E5310" t="s">
        <v>7339</v>
      </c>
      <c r="F5310" t="s">
        <v>15414</v>
      </c>
    </row>
    <row r="5311" spans="1:12">
      <c r="A5311" t="s">
        <v>15382</v>
      </c>
      <c r="B5311" t="s">
        <v>15383</v>
      </c>
      <c r="C5311" t="s">
        <v>15415</v>
      </c>
      <c r="D5311" t="s">
        <v>15385</v>
      </c>
      <c r="E5311" t="s">
        <v>4719</v>
      </c>
      <c r="F5311" t="s">
        <v>15416</v>
      </c>
    </row>
    <row r="5312" spans="1:12">
      <c r="A5312" t="s">
        <v>15382</v>
      </c>
      <c r="B5312" t="s">
        <v>15383</v>
      </c>
      <c r="C5312" t="s">
        <v>15417</v>
      </c>
      <c r="D5312" t="s">
        <v>15385</v>
      </c>
      <c r="E5312" t="s">
        <v>15418</v>
      </c>
      <c r="F5312" t="s">
        <v>15419</v>
      </c>
      <c r="J5312" t="s">
        <v>15418</v>
      </c>
      <c r="K5312" t="s">
        <v>15382</v>
      </c>
      <c r="L5312" t="s">
        <v>664</v>
      </c>
    </row>
    <row r="5313" spans="1:12">
      <c r="A5313" t="s">
        <v>15382</v>
      </c>
      <c r="B5313" t="s">
        <v>15383</v>
      </c>
      <c r="C5313" t="s">
        <v>15420</v>
      </c>
      <c r="D5313" t="s">
        <v>15385</v>
      </c>
      <c r="E5313" t="s">
        <v>15421</v>
      </c>
      <c r="F5313" t="s">
        <v>15422</v>
      </c>
    </row>
    <row r="5314" spans="1:12">
      <c r="A5314" t="s">
        <v>15382</v>
      </c>
      <c r="B5314" t="s">
        <v>15383</v>
      </c>
      <c r="C5314" t="s">
        <v>15423</v>
      </c>
      <c r="D5314" t="s">
        <v>15385</v>
      </c>
      <c r="E5314" t="s">
        <v>15424</v>
      </c>
      <c r="F5314" t="s">
        <v>15387</v>
      </c>
      <c r="J5314" t="s">
        <v>15424</v>
      </c>
      <c r="K5314" t="s">
        <v>15382</v>
      </c>
      <c r="L5314" t="s">
        <v>664</v>
      </c>
    </row>
    <row r="5315" spans="1:12">
      <c r="A5315" t="s">
        <v>15382</v>
      </c>
      <c r="B5315" t="s">
        <v>15383</v>
      </c>
      <c r="C5315" t="s">
        <v>15425</v>
      </c>
      <c r="D5315" t="s">
        <v>15385</v>
      </c>
      <c r="E5315" t="s">
        <v>15426</v>
      </c>
      <c r="F5315" t="s">
        <v>15427</v>
      </c>
    </row>
    <row r="5316" spans="1:12">
      <c r="A5316" t="s">
        <v>15382</v>
      </c>
      <c r="B5316" t="s">
        <v>15383</v>
      </c>
      <c r="C5316" t="s">
        <v>15428</v>
      </c>
      <c r="D5316" t="s">
        <v>15385</v>
      </c>
      <c r="E5316" t="s">
        <v>655</v>
      </c>
      <c r="F5316" t="s">
        <v>656</v>
      </c>
    </row>
    <row r="5317" spans="1:12">
      <c r="A5317" t="s">
        <v>15382</v>
      </c>
      <c r="B5317" t="s">
        <v>15383</v>
      </c>
      <c r="D5317" t="s">
        <v>15385</v>
      </c>
      <c r="F5317" t="s">
        <v>15429</v>
      </c>
      <c r="J5317" t="s">
        <v>15430</v>
      </c>
      <c r="K5317" t="s">
        <v>15382</v>
      </c>
      <c r="L5317" t="s">
        <v>664</v>
      </c>
    </row>
    <row r="5318" spans="1:12">
      <c r="A5318" t="s">
        <v>15431</v>
      </c>
      <c r="B5318" t="s">
        <v>15432</v>
      </c>
      <c r="C5318" t="s">
        <v>15433</v>
      </c>
      <c r="D5318" t="s">
        <v>15434</v>
      </c>
      <c r="E5318" t="s">
        <v>12293</v>
      </c>
      <c r="F5318" t="s">
        <v>15435</v>
      </c>
      <c r="J5318" t="s">
        <v>12293</v>
      </c>
      <c r="K5318" t="s">
        <v>15436</v>
      </c>
      <c r="L5318" t="s">
        <v>664</v>
      </c>
    </row>
    <row r="5319" spans="1:12">
      <c r="A5319" t="s">
        <v>15431</v>
      </c>
      <c r="B5319" t="s">
        <v>15432</v>
      </c>
      <c r="C5319" t="s">
        <v>15437</v>
      </c>
      <c r="D5319" t="s">
        <v>15434</v>
      </c>
      <c r="E5319" t="s">
        <v>15438</v>
      </c>
      <c r="F5319" t="s">
        <v>15439</v>
      </c>
      <c r="J5319" t="s">
        <v>15438</v>
      </c>
      <c r="K5319" t="s">
        <v>15436</v>
      </c>
      <c r="L5319" t="s">
        <v>664</v>
      </c>
    </row>
    <row r="5320" spans="1:12">
      <c r="A5320" t="s">
        <v>15431</v>
      </c>
      <c r="B5320" t="s">
        <v>15432</v>
      </c>
      <c r="C5320" t="s">
        <v>15440</v>
      </c>
      <c r="D5320" t="s">
        <v>15434</v>
      </c>
      <c r="E5320" t="s">
        <v>15441</v>
      </c>
      <c r="F5320" t="s">
        <v>15442</v>
      </c>
      <c r="J5320" t="s">
        <v>15441</v>
      </c>
      <c r="K5320" t="s">
        <v>15436</v>
      </c>
      <c r="L5320" t="s">
        <v>664</v>
      </c>
    </row>
    <row r="5321" spans="1:12">
      <c r="A5321" t="s">
        <v>15431</v>
      </c>
      <c r="B5321" t="s">
        <v>15432</v>
      </c>
      <c r="C5321" t="s">
        <v>15443</v>
      </c>
      <c r="D5321" t="s">
        <v>15434</v>
      </c>
      <c r="E5321" t="s">
        <v>15444</v>
      </c>
      <c r="F5321" t="s">
        <v>15445</v>
      </c>
      <c r="J5321" t="s">
        <v>15444</v>
      </c>
      <c r="K5321" t="s">
        <v>15436</v>
      </c>
      <c r="L5321" t="s">
        <v>664</v>
      </c>
    </row>
    <row r="5322" spans="1:12">
      <c r="A5322" t="s">
        <v>15431</v>
      </c>
      <c r="B5322" t="s">
        <v>15432</v>
      </c>
      <c r="C5322" t="s">
        <v>15446</v>
      </c>
      <c r="D5322" t="s">
        <v>15434</v>
      </c>
      <c r="E5322" t="s">
        <v>15447</v>
      </c>
      <c r="F5322" t="s">
        <v>15448</v>
      </c>
      <c r="J5322" t="s">
        <v>15447</v>
      </c>
      <c r="K5322" t="s">
        <v>15436</v>
      </c>
      <c r="L5322" t="s">
        <v>664</v>
      </c>
    </row>
    <row r="5323" spans="1:12">
      <c r="A5323" t="s">
        <v>15431</v>
      </c>
      <c r="B5323" t="s">
        <v>15432</v>
      </c>
      <c r="C5323" t="s">
        <v>15449</v>
      </c>
      <c r="D5323" t="s">
        <v>15434</v>
      </c>
      <c r="E5323" t="s">
        <v>15450</v>
      </c>
      <c r="F5323" t="s">
        <v>15451</v>
      </c>
    </row>
    <row r="5324" spans="1:12">
      <c r="A5324" t="s">
        <v>15431</v>
      </c>
      <c r="B5324" t="s">
        <v>15432</v>
      </c>
      <c r="C5324" t="s">
        <v>15452</v>
      </c>
      <c r="D5324" t="s">
        <v>15434</v>
      </c>
      <c r="E5324" t="s">
        <v>8588</v>
      </c>
      <c r="F5324" t="s">
        <v>15453</v>
      </c>
    </row>
    <row r="5325" spans="1:12">
      <c r="A5325" t="s">
        <v>15431</v>
      </c>
      <c r="B5325" t="s">
        <v>15432</v>
      </c>
      <c r="C5325" t="s">
        <v>15454</v>
      </c>
      <c r="D5325" t="s">
        <v>15434</v>
      </c>
      <c r="E5325" t="s">
        <v>14970</v>
      </c>
      <c r="F5325" t="s">
        <v>15455</v>
      </c>
      <c r="J5325" t="s">
        <v>14970</v>
      </c>
      <c r="K5325" t="s">
        <v>15436</v>
      </c>
      <c r="L5325" t="s">
        <v>664</v>
      </c>
    </row>
    <row r="5326" spans="1:12">
      <c r="A5326" t="s">
        <v>15431</v>
      </c>
      <c r="B5326" t="s">
        <v>15432</v>
      </c>
      <c r="C5326" t="s">
        <v>15456</v>
      </c>
      <c r="D5326" t="s">
        <v>15434</v>
      </c>
      <c r="E5326" t="s">
        <v>8691</v>
      </c>
      <c r="F5326" t="s">
        <v>15457</v>
      </c>
      <c r="J5326" t="s">
        <v>8691</v>
      </c>
      <c r="K5326" t="s">
        <v>15436</v>
      </c>
      <c r="L5326" t="s">
        <v>664</v>
      </c>
    </row>
    <row r="5327" spans="1:12">
      <c r="A5327" t="s">
        <v>15431</v>
      </c>
      <c r="B5327" t="s">
        <v>15432</v>
      </c>
      <c r="C5327" t="s">
        <v>15458</v>
      </c>
      <c r="D5327" t="s">
        <v>15434</v>
      </c>
      <c r="E5327" t="s">
        <v>15459</v>
      </c>
      <c r="F5327" t="s">
        <v>15460</v>
      </c>
    </row>
    <row r="5328" spans="1:12">
      <c r="A5328" t="s">
        <v>15431</v>
      </c>
      <c r="B5328" t="s">
        <v>15432</v>
      </c>
      <c r="C5328" t="s">
        <v>15461</v>
      </c>
      <c r="D5328" t="s">
        <v>15434</v>
      </c>
      <c r="E5328" t="s">
        <v>15462</v>
      </c>
      <c r="F5328" t="s">
        <v>15463</v>
      </c>
      <c r="J5328" t="s">
        <v>15462</v>
      </c>
      <c r="K5328" t="s">
        <v>15436</v>
      </c>
      <c r="L5328" t="s">
        <v>664</v>
      </c>
    </row>
    <row r="5329" spans="1:12">
      <c r="A5329" t="s">
        <v>15431</v>
      </c>
      <c r="B5329" t="s">
        <v>15432</v>
      </c>
      <c r="C5329" t="s">
        <v>15464</v>
      </c>
      <c r="D5329" t="s">
        <v>15434</v>
      </c>
      <c r="E5329" t="s">
        <v>12637</v>
      </c>
      <c r="F5329" t="s">
        <v>15465</v>
      </c>
    </row>
    <row r="5330" spans="1:12">
      <c r="A5330" t="s">
        <v>15431</v>
      </c>
      <c r="B5330" t="s">
        <v>15432</v>
      </c>
      <c r="C5330" t="s">
        <v>15466</v>
      </c>
      <c r="D5330" t="s">
        <v>15434</v>
      </c>
      <c r="E5330" t="s">
        <v>15467</v>
      </c>
      <c r="F5330" t="s">
        <v>15468</v>
      </c>
      <c r="J5330" t="s">
        <v>15467</v>
      </c>
      <c r="K5330" t="s">
        <v>15436</v>
      </c>
      <c r="L5330" t="s">
        <v>664</v>
      </c>
    </row>
    <row r="5331" spans="1:12">
      <c r="A5331" t="s">
        <v>15431</v>
      </c>
      <c r="B5331" t="s">
        <v>15432</v>
      </c>
      <c r="C5331" t="s">
        <v>15469</v>
      </c>
      <c r="D5331" t="s">
        <v>15434</v>
      </c>
      <c r="E5331" t="s">
        <v>15470</v>
      </c>
      <c r="F5331" t="s">
        <v>15471</v>
      </c>
      <c r="J5331" t="s">
        <v>15470</v>
      </c>
      <c r="K5331" t="s">
        <v>15436</v>
      </c>
      <c r="L5331" t="s">
        <v>664</v>
      </c>
    </row>
    <row r="5332" spans="1:12">
      <c r="A5332" t="s">
        <v>15431</v>
      </c>
      <c r="B5332" t="s">
        <v>15432</v>
      </c>
      <c r="C5332" t="s">
        <v>15472</v>
      </c>
      <c r="D5332" t="s">
        <v>15434</v>
      </c>
      <c r="E5332" t="s">
        <v>15473</v>
      </c>
      <c r="F5332" t="s">
        <v>15474</v>
      </c>
      <c r="J5332" t="s">
        <v>15473</v>
      </c>
      <c r="K5332" t="s">
        <v>15436</v>
      </c>
      <c r="L5332" t="s">
        <v>664</v>
      </c>
    </row>
    <row r="5333" spans="1:12">
      <c r="A5333" t="s">
        <v>15431</v>
      </c>
      <c r="B5333" t="s">
        <v>15432</v>
      </c>
      <c r="C5333" t="s">
        <v>15475</v>
      </c>
      <c r="D5333" t="s">
        <v>15434</v>
      </c>
      <c r="E5333" t="s">
        <v>9266</v>
      </c>
      <c r="F5333" t="s">
        <v>15476</v>
      </c>
    </row>
    <row r="5334" spans="1:12">
      <c r="A5334" t="s">
        <v>15431</v>
      </c>
      <c r="B5334" t="s">
        <v>15432</v>
      </c>
      <c r="C5334" t="s">
        <v>15477</v>
      </c>
      <c r="D5334" t="s">
        <v>15434</v>
      </c>
      <c r="E5334" t="s">
        <v>15478</v>
      </c>
      <c r="F5334" t="s">
        <v>15479</v>
      </c>
      <c r="J5334" t="s">
        <v>15478</v>
      </c>
      <c r="K5334" t="s">
        <v>15436</v>
      </c>
      <c r="L5334" t="s">
        <v>664</v>
      </c>
    </row>
    <row r="5335" spans="1:12">
      <c r="A5335" t="s">
        <v>15431</v>
      </c>
      <c r="B5335" t="s">
        <v>15432</v>
      </c>
      <c r="C5335" t="s">
        <v>15480</v>
      </c>
      <c r="D5335" t="s">
        <v>15434</v>
      </c>
      <c r="E5335" t="s">
        <v>15404</v>
      </c>
      <c r="F5335" t="s">
        <v>15481</v>
      </c>
      <c r="J5335" t="s">
        <v>15404</v>
      </c>
      <c r="K5335" t="s">
        <v>15436</v>
      </c>
      <c r="L5335" t="s">
        <v>664</v>
      </c>
    </row>
    <row r="5336" spans="1:12">
      <c r="A5336" t="s">
        <v>15431</v>
      </c>
      <c r="B5336" t="s">
        <v>15432</v>
      </c>
      <c r="C5336" t="s">
        <v>15482</v>
      </c>
      <c r="D5336" t="s">
        <v>15434</v>
      </c>
      <c r="E5336" t="s">
        <v>15483</v>
      </c>
      <c r="F5336" t="s">
        <v>15484</v>
      </c>
      <c r="J5336" t="s">
        <v>15483</v>
      </c>
      <c r="K5336" t="s">
        <v>15436</v>
      </c>
      <c r="L5336" t="s">
        <v>664</v>
      </c>
    </row>
    <row r="5337" spans="1:12">
      <c r="A5337" t="s">
        <v>15431</v>
      </c>
      <c r="B5337" t="s">
        <v>15432</v>
      </c>
      <c r="C5337" t="s">
        <v>15485</v>
      </c>
      <c r="D5337" t="s">
        <v>15434</v>
      </c>
      <c r="E5337" t="s">
        <v>3489</v>
      </c>
      <c r="F5337" t="s">
        <v>15486</v>
      </c>
    </row>
    <row r="5338" spans="1:12">
      <c r="A5338" t="s">
        <v>15431</v>
      </c>
      <c r="B5338" t="s">
        <v>15432</v>
      </c>
      <c r="C5338" t="s">
        <v>15487</v>
      </c>
      <c r="D5338" t="s">
        <v>15434</v>
      </c>
      <c r="E5338" t="s">
        <v>15488</v>
      </c>
      <c r="F5338" t="s">
        <v>15489</v>
      </c>
      <c r="J5338" t="s">
        <v>15488</v>
      </c>
      <c r="K5338" t="s">
        <v>15436</v>
      </c>
      <c r="L5338" t="s">
        <v>664</v>
      </c>
    </row>
    <row r="5339" spans="1:12">
      <c r="A5339" t="s">
        <v>15431</v>
      </c>
      <c r="B5339" t="s">
        <v>15432</v>
      </c>
      <c r="C5339" t="s">
        <v>15490</v>
      </c>
      <c r="D5339" t="s">
        <v>15434</v>
      </c>
      <c r="E5339" t="s">
        <v>15491</v>
      </c>
      <c r="F5339" t="s">
        <v>15492</v>
      </c>
      <c r="J5339" t="s">
        <v>15491</v>
      </c>
      <c r="K5339" t="s">
        <v>15436</v>
      </c>
      <c r="L5339" t="s">
        <v>664</v>
      </c>
    </row>
    <row r="5340" spans="1:12">
      <c r="A5340" t="s">
        <v>15431</v>
      </c>
      <c r="B5340" t="s">
        <v>15432</v>
      </c>
      <c r="C5340" t="s">
        <v>15493</v>
      </c>
      <c r="D5340" t="s">
        <v>15434</v>
      </c>
      <c r="E5340" t="s">
        <v>15494</v>
      </c>
      <c r="F5340" t="s">
        <v>15495</v>
      </c>
      <c r="J5340" t="s">
        <v>15494</v>
      </c>
      <c r="K5340" t="s">
        <v>15436</v>
      </c>
      <c r="L5340" t="s">
        <v>664</v>
      </c>
    </row>
    <row r="5341" spans="1:12">
      <c r="A5341" t="s">
        <v>15431</v>
      </c>
      <c r="B5341" t="s">
        <v>15432</v>
      </c>
      <c r="C5341" t="s">
        <v>15496</v>
      </c>
      <c r="D5341" t="s">
        <v>15434</v>
      </c>
      <c r="E5341" t="s">
        <v>12844</v>
      </c>
      <c r="F5341" t="s">
        <v>15497</v>
      </c>
      <c r="J5341" t="s">
        <v>12844</v>
      </c>
      <c r="K5341" t="s">
        <v>15436</v>
      </c>
      <c r="L5341" t="s">
        <v>664</v>
      </c>
    </row>
    <row r="5342" spans="1:12">
      <c r="A5342" t="s">
        <v>15431</v>
      </c>
      <c r="B5342" t="s">
        <v>15432</v>
      </c>
      <c r="C5342" t="s">
        <v>15498</v>
      </c>
      <c r="D5342" t="s">
        <v>15434</v>
      </c>
      <c r="E5342" t="s">
        <v>15499</v>
      </c>
      <c r="F5342" t="s">
        <v>15500</v>
      </c>
    </row>
    <row r="5343" spans="1:12">
      <c r="A5343" t="s">
        <v>15431</v>
      </c>
      <c r="B5343" t="s">
        <v>15432</v>
      </c>
      <c r="C5343" t="s">
        <v>15501</v>
      </c>
      <c r="D5343" t="s">
        <v>15434</v>
      </c>
      <c r="E5343" t="s">
        <v>4262</v>
      </c>
      <c r="F5343" t="s">
        <v>15502</v>
      </c>
    </row>
    <row r="5344" spans="1:12">
      <c r="A5344" t="s">
        <v>15431</v>
      </c>
      <c r="B5344" t="s">
        <v>15432</v>
      </c>
      <c r="C5344" t="s">
        <v>15503</v>
      </c>
      <c r="D5344" t="s">
        <v>15434</v>
      </c>
      <c r="E5344" t="s">
        <v>3571</v>
      </c>
      <c r="F5344" t="s">
        <v>15504</v>
      </c>
      <c r="J5344" t="s">
        <v>3571</v>
      </c>
      <c r="K5344" t="s">
        <v>15436</v>
      </c>
      <c r="L5344" t="s">
        <v>664</v>
      </c>
    </row>
    <row r="5345" spans="1:12">
      <c r="A5345" t="s">
        <v>15431</v>
      </c>
      <c r="B5345" t="s">
        <v>15432</v>
      </c>
      <c r="C5345" t="s">
        <v>15505</v>
      </c>
      <c r="D5345" t="s">
        <v>15434</v>
      </c>
      <c r="E5345" t="s">
        <v>15506</v>
      </c>
      <c r="F5345" t="s">
        <v>15507</v>
      </c>
    </row>
    <row r="5346" spans="1:12">
      <c r="A5346" t="s">
        <v>15431</v>
      </c>
      <c r="B5346" t="s">
        <v>15432</v>
      </c>
      <c r="C5346" t="s">
        <v>15508</v>
      </c>
      <c r="D5346" t="s">
        <v>15434</v>
      </c>
      <c r="E5346" t="s">
        <v>15509</v>
      </c>
      <c r="F5346" t="s">
        <v>15510</v>
      </c>
      <c r="J5346" t="s">
        <v>15509</v>
      </c>
      <c r="K5346" t="s">
        <v>15436</v>
      </c>
      <c r="L5346" t="s">
        <v>664</v>
      </c>
    </row>
    <row r="5347" spans="1:12">
      <c r="A5347" t="s">
        <v>15431</v>
      </c>
      <c r="B5347" t="s">
        <v>15432</v>
      </c>
      <c r="C5347" t="s">
        <v>15511</v>
      </c>
      <c r="D5347" t="s">
        <v>15434</v>
      </c>
      <c r="E5347" t="s">
        <v>7400</v>
      </c>
      <c r="F5347" t="s">
        <v>15512</v>
      </c>
      <c r="J5347" t="s">
        <v>7400</v>
      </c>
      <c r="K5347" t="s">
        <v>15436</v>
      </c>
      <c r="L5347" t="s">
        <v>664</v>
      </c>
    </row>
    <row r="5348" spans="1:12">
      <c r="A5348" t="s">
        <v>15431</v>
      </c>
      <c r="B5348" t="s">
        <v>15432</v>
      </c>
      <c r="C5348" t="s">
        <v>15513</v>
      </c>
      <c r="D5348" t="s">
        <v>15434</v>
      </c>
      <c r="E5348" t="s">
        <v>2897</v>
      </c>
      <c r="F5348" t="s">
        <v>15514</v>
      </c>
    </row>
    <row r="5349" spans="1:12">
      <c r="A5349" t="s">
        <v>15431</v>
      </c>
      <c r="B5349" t="s">
        <v>15432</v>
      </c>
      <c r="C5349" t="s">
        <v>15515</v>
      </c>
      <c r="D5349" t="s">
        <v>15434</v>
      </c>
      <c r="E5349" t="s">
        <v>2906</v>
      </c>
      <c r="F5349" t="s">
        <v>15516</v>
      </c>
    </row>
    <row r="5350" spans="1:12">
      <c r="A5350" t="s">
        <v>15431</v>
      </c>
      <c r="B5350" t="s">
        <v>15432</v>
      </c>
      <c r="C5350" t="s">
        <v>15517</v>
      </c>
      <c r="D5350" t="s">
        <v>15434</v>
      </c>
      <c r="E5350" t="s">
        <v>15518</v>
      </c>
      <c r="F5350" t="s">
        <v>15519</v>
      </c>
      <c r="J5350" t="s">
        <v>15518</v>
      </c>
      <c r="K5350" t="s">
        <v>15436</v>
      </c>
      <c r="L5350" t="s">
        <v>664</v>
      </c>
    </row>
    <row r="5351" spans="1:12">
      <c r="A5351" t="s">
        <v>15431</v>
      </c>
      <c r="B5351" t="s">
        <v>15432</v>
      </c>
      <c r="C5351" t="s">
        <v>15520</v>
      </c>
      <c r="D5351" t="s">
        <v>15434</v>
      </c>
      <c r="E5351" t="s">
        <v>15521</v>
      </c>
      <c r="F5351" t="s">
        <v>15522</v>
      </c>
      <c r="J5351" t="s">
        <v>15521</v>
      </c>
      <c r="K5351" t="s">
        <v>15436</v>
      </c>
      <c r="L5351" t="s">
        <v>664</v>
      </c>
    </row>
    <row r="5352" spans="1:12">
      <c r="A5352" t="s">
        <v>15431</v>
      </c>
      <c r="B5352" t="s">
        <v>15432</v>
      </c>
      <c r="C5352" t="s">
        <v>15523</v>
      </c>
      <c r="D5352" t="s">
        <v>15434</v>
      </c>
      <c r="E5352" t="s">
        <v>15524</v>
      </c>
      <c r="F5352" t="s">
        <v>15525</v>
      </c>
      <c r="J5352" t="s">
        <v>15524</v>
      </c>
      <c r="K5352" t="s">
        <v>15436</v>
      </c>
      <c r="L5352" t="s">
        <v>664</v>
      </c>
    </row>
    <row r="5353" spans="1:12">
      <c r="A5353" t="s">
        <v>15431</v>
      </c>
      <c r="B5353" t="s">
        <v>15432</v>
      </c>
      <c r="C5353" t="s">
        <v>15526</v>
      </c>
      <c r="D5353" t="s">
        <v>15434</v>
      </c>
      <c r="E5353" t="s">
        <v>15527</v>
      </c>
      <c r="F5353" t="s">
        <v>15528</v>
      </c>
      <c r="J5353" t="s">
        <v>15527</v>
      </c>
      <c r="K5353" t="s">
        <v>15436</v>
      </c>
      <c r="L5353" t="s">
        <v>664</v>
      </c>
    </row>
    <row r="5354" spans="1:12">
      <c r="A5354" t="s">
        <v>15431</v>
      </c>
      <c r="B5354" t="s">
        <v>15432</v>
      </c>
      <c r="C5354" t="s">
        <v>15529</v>
      </c>
      <c r="D5354" t="s">
        <v>15434</v>
      </c>
      <c r="E5354" t="s">
        <v>15530</v>
      </c>
      <c r="F5354" t="s">
        <v>15531</v>
      </c>
      <c r="J5354" t="s">
        <v>15530</v>
      </c>
      <c r="K5354" t="s">
        <v>15436</v>
      </c>
      <c r="L5354" t="s">
        <v>664</v>
      </c>
    </row>
    <row r="5355" spans="1:12">
      <c r="A5355" t="s">
        <v>15431</v>
      </c>
      <c r="B5355" t="s">
        <v>15432</v>
      </c>
      <c r="C5355" t="s">
        <v>15532</v>
      </c>
      <c r="D5355" t="s">
        <v>15434</v>
      </c>
      <c r="E5355" t="s">
        <v>14136</v>
      </c>
      <c r="F5355" t="s">
        <v>15533</v>
      </c>
      <c r="J5355" t="s">
        <v>14136</v>
      </c>
      <c r="K5355" t="s">
        <v>15436</v>
      </c>
      <c r="L5355" t="s">
        <v>664</v>
      </c>
    </row>
    <row r="5356" spans="1:12">
      <c r="A5356" t="s">
        <v>15431</v>
      </c>
      <c r="B5356" t="s">
        <v>15432</v>
      </c>
      <c r="C5356" t="s">
        <v>15534</v>
      </c>
      <c r="D5356" t="s">
        <v>15434</v>
      </c>
      <c r="E5356" t="s">
        <v>15535</v>
      </c>
      <c r="F5356" t="s">
        <v>15536</v>
      </c>
      <c r="J5356" t="s">
        <v>15535</v>
      </c>
      <c r="K5356" t="s">
        <v>15436</v>
      </c>
      <c r="L5356" t="s">
        <v>664</v>
      </c>
    </row>
    <row r="5357" spans="1:12">
      <c r="A5357" t="s">
        <v>15431</v>
      </c>
      <c r="B5357" t="s">
        <v>15432</v>
      </c>
      <c r="C5357" t="s">
        <v>15537</v>
      </c>
      <c r="D5357" t="s">
        <v>15434</v>
      </c>
      <c r="E5357" t="s">
        <v>655</v>
      </c>
      <c r="F5357" t="s">
        <v>656</v>
      </c>
    </row>
    <row r="5358" spans="1:12">
      <c r="A5358" t="s">
        <v>15538</v>
      </c>
      <c r="B5358" t="s">
        <v>15539</v>
      </c>
      <c r="C5358" t="s">
        <v>15540</v>
      </c>
      <c r="D5358" t="s">
        <v>15541</v>
      </c>
      <c r="E5358" t="s">
        <v>15542</v>
      </c>
      <c r="F5358" t="s">
        <v>15543</v>
      </c>
      <c r="J5358" t="s">
        <v>15542</v>
      </c>
      <c r="K5358" t="s">
        <v>15544</v>
      </c>
      <c r="L5358" t="s">
        <v>851</v>
      </c>
    </row>
    <row r="5359" spans="1:12">
      <c r="A5359" t="s">
        <v>15538</v>
      </c>
      <c r="B5359" t="s">
        <v>15539</v>
      </c>
      <c r="C5359" t="s">
        <v>15545</v>
      </c>
      <c r="D5359" t="s">
        <v>15541</v>
      </c>
      <c r="E5359" t="s">
        <v>15546</v>
      </c>
      <c r="F5359" t="s">
        <v>15547</v>
      </c>
    </row>
    <row r="5360" spans="1:12">
      <c r="A5360" t="s">
        <v>15538</v>
      </c>
      <c r="B5360" t="s">
        <v>15539</v>
      </c>
      <c r="C5360" t="s">
        <v>15548</v>
      </c>
      <c r="D5360" t="s">
        <v>15541</v>
      </c>
      <c r="E5360" t="s">
        <v>15549</v>
      </c>
      <c r="F5360" t="s">
        <v>15550</v>
      </c>
      <c r="J5360" t="s">
        <v>15549</v>
      </c>
      <c r="K5360" t="s">
        <v>15544</v>
      </c>
      <c r="L5360" t="s">
        <v>851</v>
      </c>
    </row>
    <row r="5361" spans="1:12">
      <c r="A5361" t="s">
        <v>15538</v>
      </c>
      <c r="B5361" t="s">
        <v>15539</v>
      </c>
      <c r="C5361" t="s">
        <v>15551</v>
      </c>
      <c r="D5361" t="s">
        <v>15541</v>
      </c>
      <c r="E5361" t="s">
        <v>15552</v>
      </c>
      <c r="F5361" t="s">
        <v>15553</v>
      </c>
      <c r="J5361" t="s">
        <v>15552</v>
      </c>
      <c r="K5361" t="s">
        <v>15544</v>
      </c>
      <c r="L5361" t="s">
        <v>851</v>
      </c>
    </row>
    <row r="5362" spans="1:12">
      <c r="A5362" t="s">
        <v>15538</v>
      </c>
      <c r="B5362" t="s">
        <v>15539</v>
      </c>
      <c r="C5362" t="s">
        <v>15554</v>
      </c>
      <c r="D5362" t="s">
        <v>15541</v>
      </c>
      <c r="E5362" t="s">
        <v>15555</v>
      </c>
      <c r="F5362" t="s">
        <v>15556</v>
      </c>
      <c r="J5362" t="s">
        <v>15555</v>
      </c>
      <c r="K5362" t="s">
        <v>15544</v>
      </c>
      <c r="L5362" t="s">
        <v>851</v>
      </c>
    </row>
    <row r="5363" spans="1:12">
      <c r="A5363" t="s">
        <v>15538</v>
      </c>
      <c r="B5363" t="s">
        <v>15539</v>
      </c>
      <c r="C5363" t="s">
        <v>15557</v>
      </c>
      <c r="D5363" t="s">
        <v>15541</v>
      </c>
      <c r="E5363" t="s">
        <v>8614</v>
      </c>
      <c r="F5363" t="s">
        <v>15558</v>
      </c>
    </row>
    <row r="5364" spans="1:12">
      <c r="A5364" t="s">
        <v>15538</v>
      </c>
      <c r="B5364" t="s">
        <v>15539</v>
      </c>
      <c r="C5364" t="s">
        <v>15559</v>
      </c>
      <c r="D5364" t="s">
        <v>15541</v>
      </c>
      <c r="E5364" t="s">
        <v>15560</v>
      </c>
      <c r="F5364" t="s">
        <v>15561</v>
      </c>
    </row>
    <row r="5365" spans="1:12">
      <c r="A5365" t="s">
        <v>15538</v>
      </c>
      <c r="B5365" t="s">
        <v>15539</v>
      </c>
      <c r="C5365" t="s">
        <v>15562</v>
      </c>
      <c r="D5365" t="s">
        <v>15541</v>
      </c>
      <c r="E5365" t="s">
        <v>15563</v>
      </c>
      <c r="F5365" t="s">
        <v>15564</v>
      </c>
      <c r="J5365" t="s">
        <v>15563</v>
      </c>
      <c r="K5365" t="s">
        <v>15544</v>
      </c>
      <c r="L5365" t="s">
        <v>851</v>
      </c>
    </row>
    <row r="5366" spans="1:12">
      <c r="A5366" t="s">
        <v>15538</v>
      </c>
      <c r="B5366" t="s">
        <v>15539</v>
      </c>
      <c r="C5366" t="s">
        <v>15565</v>
      </c>
      <c r="D5366" t="s">
        <v>15541</v>
      </c>
      <c r="E5366" t="s">
        <v>15566</v>
      </c>
      <c r="F5366" t="s">
        <v>15567</v>
      </c>
    </row>
    <row r="5367" spans="1:12">
      <c r="A5367" t="s">
        <v>15538</v>
      </c>
      <c r="B5367" t="s">
        <v>15539</v>
      </c>
      <c r="C5367" t="s">
        <v>15568</v>
      </c>
      <c r="D5367" t="s">
        <v>15541</v>
      </c>
      <c r="E5367" t="s">
        <v>15569</v>
      </c>
      <c r="F5367" t="s">
        <v>15570</v>
      </c>
      <c r="J5367" t="s">
        <v>15569</v>
      </c>
      <c r="K5367" t="s">
        <v>15544</v>
      </c>
      <c r="L5367" t="s">
        <v>851</v>
      </c>
    </row>
    <row r="5368" spans="1:12">
      <c r="A5368" t="s">
        <v>15538</v>
      </c>
      <c r="B5368" t="s">
        <v>15539</v>
      </c>
      <c r="C5368" t="s">
        <v>15571</v>
      </c>
      <c r="D5368" t="s">
        <v>15541</v>
      </c>
      <c r="E5368" t="s">
        <v>15572</v>
      </c>
      <c r="F5368" t="s">
        <v>15573</v>
      </c>
      <c r="J5368" t="s">
        <v>15572</v>
      </c>
      <c r="K5368" t="s">
        <v>15544</v>
      </c>
      <c r="L5368" t="s">
        <v>851</v>
      </c>
    </row>
    <row r="5369" spans="1:12">
      <c r="A5369" t="s">
        <v>15538</v>
      </c>
      <c r="B5369" t="s">
        <v>15539</v>
      </c>
      <c r="C5369" t="s">
        <v>15574</v>
      </c>
      <c r="D5369" t="s">
        <v>15541</v>
      </c>
      <c r="E5369" t="s">
        <v>12516</v>
      </c>
      <c r="F5369" t="s">
        <v>15575</v>
      </c>
      <c r="J5369" t="s">
        <v>12516</v>
      </c>
      <c r="K5369" t="s">
        <v>15544</v>
      </c>
      <c r="L5369" t="s">
        <v>851</v>
      </c>
    </row>
    <row r="5370" spans="1:12">
      <c r="A5370" t="s">
        <v>15538</v>
      </c>
      <c r="B5370" t="s">
        <v>15539</v>
      </c>
      <c r="C5370" t="s">
        <v>15576</v>
      </c>
      <c r="D5370" t="s">
        <v>15541</v>
      </c>
      <c r="E5370" t="s">
        <v>7738</v>
      </c>
      <c r="F5370" t="s">
        <v>15577</v>
      </c>
    </row>
    <row r="5371" spans="1:12">
      <c r="A5371" t="s">
        <v>15538</v>
      </c>
      <c r="B5371" t="s">
        <v>15539</v>
      </c>
      <c r="C5371" t="s">
        <v>15578</v>
      </c>
      <c r="D5371" t="s">
        <v>15541</v>
      </c>
      <c r="E5371" t="s">
        <v>13971</v>
      </c>
      <c r="F5371" t="s">
        <v>15577</v>
      </c>
      <c r="J5371" t="s">
        <v>13971</v>
      </c>
      <c r="K5371" t="s">
        <v>15544</v>
      </c>
      <c r="L5371" t="s">
        <v>851</v>
      </c>
    </row>
    <row r="5372" spans="1:12">
      <c r="A5372" t="s">
        <v>15538</v>
      </c>
      <c r="B5372" t="s">
        <v>15539</v>
      </c>
      <c r="C5372" t="s">
        <v>15579</v>
      </c>
      <c r="D5372" t="s">
        <v>15541</v>
      </c>
      <c r="E5372" t="s">
        <v>15580</v>
      </c>
      <c r="F5372" t="s">
        <v>15581</v>
      </c>
      <c r="J5372" t="s">
        <v>15580</v>
      </c>
      <c r="K5372" t="s">
        <v>15544</v>
      </c>
      <c r="L5372" t="s">
        <v>851</v>
      </c>
    </row>
    <row r="5373" spans="1:12">
      <c r="A5373" t="s">
        <v>15538</v>
      </c>
      <c r="B5373" t="s">
        <v>15539</v>
      </c>
      <c r="C5373" t="s">
        <v>15582</v>
      </c>
      <c r="D5373" t="s">
        <v>15541</v>
      </c>
      <c r="E5373" t="s">
        <v>10942</v>
      </c>
      <c r="F5373" t="s">
        <v>15583</v>
      </c>
      <c r="J5373" t="s">
        <v>10942</v>
      </c>
      <c r="K5373" t="s">
        <v>15544</v>
      </c>
      <c r="L5373" t="s">
        <v>851</v>
      </c>
    </row>
    <row r="5374" spans="1:12">
      <c r="A5374" t="s">
        <v>15538</v>
      </c>
      <c r="B5374" t="s">
        <v>15539</v>
      </c>
      <c r="C5374" t="s">
        <v>15584</v>
      </c>
      <c r="D5374" t="s">
        <v>15541</v>
      </c>
      <c r="E5374" t="s">
        <v>15585</v>
      </c>
      <c r="F5374" t="s">
        <v>15586</v>
      </c>
      <c r="J5374" t="s">
        <v>15585</v>
      </c>
      <c r="K5374" t="s">
        <v>15544</v>
      </c>
      <c r="L5374" t="s">
        <v>851</v>
      </c>
    </row>
    <row r="5375" spans="1:12">
      <c r="A5375" t="s">
        <v>15538</v>
      </c>
      <c r="B5375" t="s">
        <v>15539</v>
      </c>
      <c r="C5375" t="s">
        <v>15587</v>
      </c>
      <c r="D5375" t="s">
        <v>15541</v>
      </c>
      <c r="E5375" t="s">
        <v>15588</v>
      </c>
      <c r="F5375" t="s">
        <v>15589</v>
      </c>
    </row>
    <row r="5376" spans="1:12">
      <c r="A5376" t="s">
        <v>15538</v>
      </c>
      <c r="B5376" t="s">
        <v>15539</v>
      </c>
      <c r="C5376" t="s">
        <v>15590</v>
      </c>
      <c r="D5376" t="s">
        <v>15541</v>
      </c>
      <c r="E5376" t="s">
        <v>15591</v>
      </c>
      <c r="F5376" t="s">
        <v>15592</v>
      </c>
    </row>
    <row r="5377" spans="1:12">
      <c r="A5377" t="s">
        <v>15538</v>
      </c>
      <c r="B5377" t="s">
        <v>15539</v>
      </c>
      <c r="C5377" t="s">
        <v>15593</v>
      </c>
      <c r="D5377" t="s">
        <v>15541</v>
      </c>
      <c r="E5377" t="s">
        <v>15594</v>
      </c>
      <c r="F5377" t="s">
        <v>15595</v>
      </c>
      <c r="J5377" t="s">
        <v>15594</v>
      </c>
      <c r="K5377" t="s">
        <v>15544</v>
      </c>
      <c r="L5377" t="s">
        <v>851</v>
      </c>
    </row>
    <row r="5378" spans="1:12">
      <c r="A5378" t="s">
        <v>15538</v>
      </c>
      <c r="B5378" t="s">
        <v>15539</v>
      </c>
      <c r="C5378" t="s">
        <v>15596</v>
      </c>
      <c r="D5378" t="s">
        <v>15541</v>
      </c>
      <c r="E5378" t="s">
        <v>15597</v>
      </c>
      <c r="F5378" t="s">
        <v>15598</v>
      </c>
      <c r="J5378" t="s">
        <v>15597</v>
      </c>
      <c r="K5378" t="s">
        <v>15544</v>
      </c>
      <c r="L5378" t="s">
        <v>851</v>
      </c>
    </row>
    <row r="5379" spans="1:12">
      <c r="A5379" t="s">
        <v>15538</v>
      </c>
      <c r="B5379" t="s">
        <v>15539</v>
      </c>
      <c r="C5379" t="s">
        <v>15599</v>
      </c>
      <c r="D5379" t="s">
        <v>15541</v>
      </c>
      <c r="E5379" t="s">
        <v>15600</v>
      </c>
      <c r="F5379" t="s">
        <v>15601</v>
      </c>
    </row>
    <row r="5380" spans="1:12">
      <c r="A5380" t="s">
        <v>15538</v>
      </c>
      <c r="B5380" t="s">
        <v>15539</v>
      </c>
      <c r="C5380" t="s">
        <v>15602</v>
      </c>
      <c r="D5380" t="s">
        <v>15541</v>
      </c>
      <c r="E5380" t="s">
        <v>15603</v>
      </c>
      <c r="F5380" t="s">
        <v>15604</v>
      </c>
    </row>
    <row r="5381" spans="1:12">
      <c r="A5381" t="s">
        <v>15538</v>
      </c>
      <c r="B5381" t="s">
        <v>15539</v>
      </c>
      <c r="C5381" t="s">
        <v>15605</v>
      </c>
      <c r="D5381" t="s">
        <v>15541</v>
      </c>
      <c r="E5381" t="s">
        <v>15606</v>
      </c>
      <c r="F5381" t="s">
        <v>15607</v>
      </c>
      <c r="J5381" t="s">
        <v>15606</v>
      </c>
      <c r="K5381" t="s">
        <v>15544</v>
      </c>
      <c r="L5381" t="s">
        <v>851</v>
      </c>
    </row>
    <row r="5382" spans="1:12">
      <c r="A5382" t="s">
        <v>15538</v>
      </c>
      <c r="B5382" t="s">
        <v>15539</v>
      </c>
      <c r="C5382" t="s">
        <v>15608</v>
      </c>
      <c r="D5382" t="s">
        <v>15541</v>
      </c>
      <c r="E5382" t="s">
        <v>15609</v>
      </c>
      <c r="F5382" t="s">
        <v>15610</v>
      </c>
      <c r="J5382" t="s">
        <v>15609</v>
      </c>
      <c r="K5382" t="s">
        <v>15544</v>
      </c>
      <c r="L5382" t="s">
        <v>851</v>
      </c>
    </row>
    <row r="5383" spans="1:12">
      <c r="A5383" t="s">
        <v>15538</v>
      </c>
      <c r="B5383" t="s">
        <v>15539</v>
      </c>
      <c r="C5383" t="s">
        <v>15611</v>
      </c>
      <c r="D5383" t="s">
        <v>15541</v>
      </c>
      <c r="E5383" t="s">
        <v>15612</v>
      </c>
      <c r="F5383" t="s">
        <v>15613</v>
      </c>
    </row>
    <row r="5384" spans="1:12">
      <c r="A5384" t="s">
        <v>15538</v>
      </c>
      <c r="B5384" t="s">
        <v>15539</v>
      </c>
      <c r="C5384" t="s">
        <v>15614</v>
      </c>
      <c r="D5384" t="s">
        <v>15541</v>
      </c>
      <c r="E5384" t="s">
        <v>15615</v>
      </c>
      <c r="F5384" t="s">
        <v>15616</v>
      </c>
    </row>
    <row r="5385" spans="1:12">
      <c r="A5385" t="s">
        <v>15538</v>
      </c>
      <c r="B5385" t="s">
        <v>15539</v>
      </c>
      <c r="C5385" t="s">
        <v>15617</v>
      </c>
      <c r="D5385" t="s">
        <v>15541</v>
      </c>
      <c r="E5385" t="s">
        <v>15618</v>
      </c>
      <c r="F5385" t="s">
        <v>15619</v>
      </c>
    </row>
    <row r="5386" spans="1:12">
      <c r="A5386" t="s">
        <v>15538</v>
      </c>
      <c r="B5386" t="s">
        <v>15539</v>
      </c>
      <c r="C5386" t="s">
        <v>15620</v>
      </c>
      <c r="D5386" t="s">
        <v>15541</v>
      </c>
      <c r="E5386" t="s">
        <v>15621</v>
      </c>
      <c r="F5386" t="s">
        <v>15622</v>
      </c>
      <c r="J5386" t="s">
        <v>15621</v>
      </c>
      <c r="K5386" t="s">
        <v>15544</v>
      </c>
      <c r="L5386" t="s">
        <v>851</v>
      </c>
    </row>
    <row r="5387" spans="1:12">
      <c r="A5387" t="s">
        <v>15538</v>
      </c>
      <c r="B5387" t="s">
        <v>15539</v>
      </c>
      <c r="C5387" t="s">
        <v>15623</v>
      </c>
      <c r="D5387" t="s">
        <v>15541</v>
      </c>
      <c r="E5387" t="s">
        <v>15624</v>
      </c>
      <c r="F5387" t="s">
        <v>15625</v>
      </c>
    </row>
    <row r="5388" spans="1:12">
      <c r="A5388" t="s">
        <v>15538</v>
      </c>
      <c r="B5388" t="s">
        <v>15539</v>
      </c>
      <c r="C5388" t="s">
        <v>15626</v>
      </c>
      <c r="D5388" t="s">
        <v>15541</v>
      </c>
      <c r="E5388" t="s">
        <v>15627</v>
      </c>
      <c r="F5388" t="s">
        <v>15628</v>
      </c>
    </row>
    <row r="5389" spans="1:12">
      <c r="A5389" t="s">
        <v>15538</v>
      </c>
      <c r="B5389" t="s">
        <v>15539</v>
      </c>
      <c r="C5389" t="s">
        <v>15629</v>
      </c>
      <c r="D5389" t="s">
        <v>15541</v>
      </c>
      <c r="E5389" t="s">
        <v>15630</v>
      </c>
      <c r="F5389" t="s">
        <v>15631</v>
      </c>
      <c r="J5389" t="s">
        <v>15630</v>
      </c>
      <c r="K5389" t="s">
        <v>15544</v>
      </c>
      <c r="L5389" t="s">
        <v>851</v>
      </c>
    </row>
    <row r="5390" spans="1:12">
      <c r="A5390" t="s">
        <v>15538</v>
      </c>
      <c r="B5390" t="s">
        <v>15539</v>
      </c>
      <c r="C5390" t="s">
        <v>15632</v>
      </c>
      <c r="D5390" t="s">
        <v>15541</v>
      </c>
      <c r="E5390" t="s">
        <v>15633</v>
      </c>
      <c r="F5390" t="s">
        <v>15634</v>
      </c>
    </row>
    <row r="5391" spans="1:12">
      <c r="A5391" t="s">
        <v>15538</v>
      </c>
      <c r="B5391" t="s">
        <v>15539</v>
      </c>
      <c r="C5391" t="s">
        <v>15635</v>
      </c>
      <c r="D5391" t="s">
        <v>15541</v>
      </c>
      <c r="E5391" t="s">
        <v>15636</v>
      </c>
      <c r="F5391" t="s">
        <v>15637</v>
      </c>
      <c r="J5391" t="s">
        <v>15636</v>
      </c>
      <c r="K5391" t="s">
        <v>15544</v>
      </c>
      <c r="L5391" t="s">
        <v>851</v>
      </c>
    </row>
    <row r="5392" spans="1:12">
      <c r="A5392" t="s">
        <v>15538</v>
      </c>
      <c r="B5392" t="s">
        <v>15539</v>
      </c>
      <c r="C5392" t="s">
        <v>15638</v>
      </c>
      <c r="D5392" t="s">
        <v>15541</v>
      </c>
      <c r="E5392" t="s">
        <v>15639</v>
      </c>
      <c r="F5392" t="s">
        <v>15640</v>
      </c>
    </row>
    <row r="5393" spans="1:12">
      <c r="A5393" t="s">
        <v>15538</v>
      </c>
      <c r="B5393" t="s">
        <v>15539</v>
      </c>
      <c r="C5393" t="s">
        <v>15641</v>
      </c>
      <c r="D5393" t="s">
        <v>15541</v>
      </c>
      <c r="E5393" t="s">
        <v>3527</v>
      </c>
      <c r="F5393" t="s">
        <v>15642</v>
      </c>
    </row>
    <row r="5394" spans="1:12">
      <c r="A5394" t="s">
        <v>15538</v>
      </c>
      <c r="B5394" t="s">
        <v>15539</v>
      </c>
      <c r="C5394" t="s">
        <v>15643</v>
      </c>
      <c r="D5394" t="s">
        <v>15541</v>
      </c>
      <c r="E5394" t="s">
        <v>7438</v>
      </c>
      <c r="F5394" t="s">
        <v>15644</v>
      </c>
    </row>
    <row r="5395" spans="1:12">
      <c r="A5395" t="s">
        <v>15538</v>
      </c>
      <c r="B5395" t="s">
        <v>15539</v>
      </c>
      <c r="C5395" t="s">
        <v>15645</v>
      </c>
      <c r="D5395" t="s">
        <v>15541</v>
      </c>
      <c r="E5395" t="s">
        <v>15646</v>
      </c>
      <c r="F5395" t="s">
        <v>15647</v>
      </c>
    </row>
    <row r="5396" spans="1:12">
      <c r="A5396" t="s">
        <v>15538</v>
      </c>
      <c r="B5396" t="s">
        <v>15539</v>
      </c>
      <c r="C5396" t="s">
        <v>15648</v>
      </c>
      <c r="D5396" t="s">
        <v>15541</v>
      </c>
      <c r="E5396" t="s">
        <v>15649</v>
      </c>
      <c r="F5396" t="s">
        <v>15650</v>
      </c>
      <c r="J5396" t="s">
        <v>15649</v>
      </c>
      <c r="K5396" t="s">
        <v>15544</v>
      </c>
      <c r="L5396" t="s">
        <v>851</v>
      </c>
    </row>
    <row r="5397" spans="1:12">
      <c r="A5397" t="s">
        <v>15538</v>
      </c>
      <c r="B5397" t="s">
        <v>15539</v>
      </c>
      <c r="C5397" t="s">
        <v>15651</v>
      </c>
      <c r="D5397" t="s">
        <v>15541</v>
      </c>
      <c r="E5397" t="s">
        <v>15652</v>
      </c>
      <c r="F5397" t="s">
        <v>15653</v>
      </c>
    </row>
    <row r="5398" spans="1:12">
      <c r="A5398" t="s">
        <v>15538</v>
      </c>
      <c r="B5398" t="s">
        <v>15539</v>
      </c>
      <c r="C5398" t="s">
        <v>15654</v>
      </c>
      <c r="D5398" t="s">
        <v>15541</v>
      </c>
      <c r="E5398" t="s">
        <v>11700</v>
      </c>
      <c r="F5398" t="s">
        <v>15655</v>
      </c>
      <c r="J5398" t="s">
        <v>11700</v>
      </c>
      <c r="K5398" t="s">
        <v>15544</v>
      </c>
      <c r="L5398" t="s">
        <v>851</v>
      </c>
    </row>
    <row r="5399" spans="1:12">
      <c r="A5399" t="s">
        <v>15538</v>
      </c>
      <c r="B5399" t="s">
        <v>15539</v>
      </c>
      <c r="C5399" t="s">
        <v>15656</v>
      </c>
      <c r="D5399" t="s">
        <v>15541</v>
      </c>
      <c r="E5399" t="s">
        <v>15657</v>
      </c>
      <c r="F5399" t="s">
        <v>15658</v>
      </c>
      <c r="J5399" t="s">
        <v>15657</v>
      </c>
      <c r="K5399" t="s">
        <v>15544</v>
      </c>
      <c r="L5399" t="s">
        <v>851</v>
      </c>
    </row>
    <row r="5400" spans="1:12">
      <c r="A5400" t="s">
        <v>15538</v>
      </c>
      <c r="B5400" t="s">
        <v>15539</v>
      </c>
      <c r="C5400" t="s">
        <v>15659</v>
      </c>
      <c r="D5400" t="s">
        <v>15541</v>
      </c>
      <c r="E5400" t="s">
        <v>15660</v>
      </c>
      <c r="F5400" t="s">
        <v>15661</v>
      </c>
      <c r="J5400" t="s">
        <v>15660</v>
      </c>
      <c r="K5400" t="s">
        <v>15544</v>
      </c>
      <c r="L5400" t="s">
        <v>851</v>
      </c>
    </row>
    <row r="5401" spans="1:12">
      <c r="A5401" t="s">
        <v>15538</v>
      </c>
      <c r="B5401" t="s">
        <v>15539</v>
      </c>
      <c r="C5401" t="s">
        <v>15662</v>
      </c>
      <c r="D5401" t="s">
        <v>15541</v>
      </c>
      <c r="E5401" t="s">
        <v>655</v>
      </c>
      <c r="F5401" t="s">
        <v>656</v>
      </c>
    </row>
    <row r="5402" spans="1:12">
      <c r="A5402" t="s">
        <v>15538</v>
      </c>
      <c r="B5402" t="s">
        <v>15539</v>
      </c>
      <c r="D5402" t="s">
        <v>15541</v>
      </c>
      <c r="F5402" t="s">
        <v>15663</v>
      </c>
      <c r="J5402" t="s">
        <v>15664</v>
      </c>
      <c r="K5402" t="s">
        <v>15544</v>
      </c>
      <c r="L5402" t="s">
        <v>851</v>
      </c>
    </row>
    <row r="5403" spans="1:12">
      <c r="A5403" t="s">
        <v>15538</v>
      </c>
      <c r="B5403" t="s">
        <v>15539</v>
      </c>
      <c r="D5403" t="s">
        <v>15541</v>
      </c>
      <c r="F5403" t="s">
        <v>15665</v>
      </c>
      <c r="J5403" t="s">
        <v>15666</v>
      </c>
      <c r="K5403" t="s">
        <v>15544</v>
      </c>
      <c r="L5403" t="s">
        <v>851</v>
      </c>
    </row>
    <row r="5404" spans="1:12">
      <c r="A5404" t="s">
        <v>15538</v>
      </c>
      <c r="B5404" t="s">
        <v>15539</v>
      </c>
      <c r="D5404" t="s">
        <v>15541</v>
      </c>
      <c r="F5404" t="s">
        <v>15667</v>
      </c>
      <c r="J5404" t="s">
        <v>5138</v>
      </c>
      <c r="K5404" t="s">
        <v>15544</v>
      </c>
      <c r="L5404" t="s">
        <v>851</v>
      </c>
    </row>
    <row r="5405" spans="1:12">
      <c r="A5405" t="s">
        <v>15538</v>
      </c>
      <c r="B5405" t="s">
        <v>15539</v>
      </c>
      <c r="D5405" t="s">
        <v>15541</v>
      </c>
      <c r="F5405" t="s">
        <v>15613</v>
      </c>
      <c r="J5405" t="s">
        <v>15668</v>
      </c>
      <c r="K5405" t="s">
        <v>15544</v>
      </c>
      <c r="L5405" t="s">
        <v>851</v>
      </c>
    </row>
    <row r="5406" spans="1:12">
      <c r="A5406" t="s">
        <v>15538</v>
      </c>
      <c r="B5406" t="s">
        <v>15539</v>
      </c>
      <c r="D5406" t="s">
        <v>15541</v>
      </c>
      <c r="F5406" t="s">
        <v>15616</v>
      </c>
      <c r="J5406" t="s">
        <v>15669</v>
      </c>
      <c r="K5406" t="s">
        <v>15544</v>
      </c>
      <c r="L5406" t="s">
        <v>851</v>
      </c>
    </row>
    <row r="5407" spans="1:12">
      <c r="A5407" t="s">
        <v>15538</v>
      </c>
      <c r="B5407" t="s">
        <v>15539</v>
      </c>
      <c r="D5407" t="s">
        <v>15541</v>
      </c>
      <c r="F5407" t="s">
        <v>15670</v>
      </c>
      <c r="J5407" t="s">
        <v>15671</v>
      </c>
      <c r="K5407" t="s">
        <v>15544</v>
      </c>
      <c r="L5407" t="s">
        <v>851</v>
      </c>
    </row>
    <row r="5408" spans="1:12">
      <c r="A5408" t="s">
        <v>15538</v>
      </c>
      <c r="B5408" t="s">
        <v>15539</v>
      </c>
      <c r="D5408" t="s">
        <v>15541</v>
      </c>
      <c r="F5408" t="s">
        <v>15644</v>
      </c>
      <c r="J5408" t="s">
        <v>15672</v>
      </c>
      <c r="K5408" t="s">
        <v>15544</v>
      </c>
      <c r="L5408" t="s">
        <v>851</v>
      </c>
    </row>
    <row r="5409" spans="1:12">
      <c r="A5409" t="s">
        <v>15538</v>
      </c>
      <c r="B5409" t="s">
        <v>15539</v>
      </c>
      <c r="D5409" t="s">
        <v>15541</v>
      </c>
      <c r="F5409" t="s">
        <v>15673</v>
      </c>
      <c r="J5409" t="s">
        <v>15674</v>
      </c>
      <c r="K5409" t="s">
        <v>15544</v>
      </c>
      <c r="L5409" t="s">
        <v>851</v>
      </c>
    </row>
    <row r="5410" spans="1:12">
      <c r="A5410" t="s">
        <v>15675</v>
      </c>
      <c r="B5410" t="s">
        <v>15676</v>
      </c>
      <c r="C5410" t="s">
        <v>15677</v>
      </c>
      <c r="D5410" t="s">
        <v>15678</v>
      </c>
      <c r="E5410" t="s">
        <v>14934</v>
      </c>
      <c r="F5410" t="s">
        <v>15679</v>
      </c>
    </row>
    <row r="5411" spans="1:12">
      <c r="A5411" t="s">
        <v>15675</v>
      </c>
      <c r="B5411" t="s">
        <v>15676</v>
      </c>
      <c r="C5411" t="s">
        <v>15680</v>
      </c>
      <c r="D5411" t="s">
        <v>15678</v>
      </c>
      <c r="E5411" t="s">
        <v>15681</v>
      </c>
      <c r="F5411" t="s">
        <v>15682</v>
      </c>
      <c r="J5411" t="s">
        <v>15681</v>
      </c>
      <c r="K5411" t="s">
        <v>15675</v>
      </c>
      <c r="L5411" t="s">
        <v>851</v>
      </c>
    </row>
    <row r="5412" spans="1:12">
      <c r="A5412" t="s">
        <v>15675</v>
      </c>
      <c r="B5412" t="s">
        <v>15676</v>
      </c>
      <c r="C5412" t="s">
        <v>15683</v>
      </c>
      <c r="D5412" t="s">
        <v>15678</v>
      </c>
      <c r="E5412" t="s">
        <v>15684</v>
      </c>
      <c r="F5412" t="s">
        <v>15685</v>
      </c>
      <c r="J5412" t="s">
        <v>15684</v>
      </c>
      <c r="K5412" t="s">
        <v>15675</v>
      </c>
      <c r="L5412" t="s">
        <v>851</v>
      </c>
    </row>
    <row r="5413" spans="1:12">
      <c r="A5413" t="s">
        <v>15675</v>
      </c>
      <c r="B5413" t="s">
        <v>15676</v>
      </c>
      <c r="C5413" t="s">
        <v>15686</v>
      </c>
      <c r="D5413" t="s">
        <v>15678</v>
      </c>
      <c r="E5413" t="s">
        <v>1484</v>
      </c>
      <c r="F5413" t="s">
        <v>15687</v>
      </c>
    </row>
    <row r="5414" spans="1:12">
      <c r="A5414" t="s">
        <v>15675</v>
      </c>
      <c r="B5414" t="s">
        <v>15676</v>
      </c>
      <c r="C5414" t="s">
        <v>15688</v>
      </c>
      <c r="D5414" t="s">
        <v>15678</v>
      </c>
      <c r="E5414" t="s">
        <v>15689</v>
      </c>
      <c r="F5414" t="s">
        <v>15690</v>
      </c>
      <c r="J5414" t="s">
        <v>15689</v>
      </c>
      <c r="K5414" t="s">
        <v>15675</v>
      </c>
      <c r="L5414" t="s">
        <v>851</v>
      </c>
    </row>
    <row r="5415" spans="1:12">
      <c r="A5415" t="s">
        <v>15675</v>
      </c>
      <c r="B5415" t="s">
        <v>15676</v>
      </c>
      <c r="C5415" t="s">
        <v>15691</v>
      </c>
      <c r="D5415" t="s">
        <v>15678</v>
      </c>
      <c r="E5415" t="s">
        <v>15692</v>
      </c>
      <c r="F5415" t="s">
        <v>15693</v>
      </c>
    </row>
    <row r="5416" spans="1:12">
      <c r="A5416" t="s">
        <v>15675</v>
      </c>
      <c r="B5416" t="s">
        <v>15676</v>
      </c>
      <c r="C5416" t="s">
        <v>15694</v>
      </c>
      <c r="D5416" t="s">
        <v>15678</v>
      </c>
      <c r="E5416" t="s">
        <v>8458</v>
      </c>
      <c r="F5416" t="s">
        <v>15695</v>
      </c>
    </row>
    <row r="5417" spans="1:12">
      <c r="A5417" t="s">
        <v>15675</v>
      </c>
      <c r="B5417" t="s">
        <v>15676</v>
      </c>
      <c r="C5417" t="s">
        <v>15696</v>
      </c>
      <c r="D5417" t="s">
        <v>15678</v>
      </c>
      <c r="E5417" t="s">
        <v>4872</v>
      </c>
      <c r="F5417" t="s">
        <v>15697</v>
      </c>
    </row>
    <row r="5418" spans="1:12">
      <c r="A5418" t="s">
        <v>15675</v>
      </c>
      <c r="B5418" t="s">
        <v>15676</v>
      </c>
      <c r="C5418" t="s">
        <v>15698</v>
      </c>
      <c r="D5418" t="s">
        <v>15678</v>
      </c>
      <c r="E5418" t="s">
        <v>8495</v>
      </c>
      <c r="F5418" t="s">
        <v>15699</v>
      </c>
      <c r="J5418" t="s">
        <v>8495</v>
      </c>
      <c r="K5418" t="s">
        <v>15675</v>
      </c>
      <c r="L5418" t="s">
        <v>851</v>
      </c>
    </row>
    <row r="5419" spans="1:12">
      <c r="A5419" t="s">
        <v>15675</v>
      </c>
      <c r="B5419" t="s">
        <v>15676</v>
      </c>
      <c r="C5419" t="s">
        <v>15700</v>
      </c>
      <c r="D5419" t="s">
        <v>15678</v>
      </c>
      <c r="E5419" t="s">
        <v>8536</v>
      </c>
      <c r="F5419" t="s">
        <v>15701</v>
      </c>
    </row>
    <row r="5420" spans="1:12">
      <c r="A5420" t="s">
        <v>15675</v>
      </c>
      <c r="B5420" t="s">
        <v>15676</v>
      </c>
      <c r="C5420" t="s">
        <v>15702</v>
      </c>
      <c r="D5420" t="s">
        <v>15678</v>
      </c>
      <c r="E5420" t="s">
        <v>15703</v>
      </c>
      <c r="F5420" t="s">
        <v>15704</v>
      </c>
      <c r="J5420" t="s">
        <v>15703</v>
      </c>
      <c r="K5420" t="s">
        <v>15675</v>
      </c>
      <c r="L5420" t="s">
        <v>851</v>
      </c>
    </row>
    <row r="5421" spans="1:12">
      <c r="A5421" t="s">
        <v>15675</v>
      </c>
      <c r="B5421" t="s">
        <v>15676</v>
      </c>
      <c r="C5421" t="s">
        <v>15705</v>
      </c>
      <c r="D5421" t="s">
        <v>15678</v>
      </c>
      <c r="E5421" t="s">
        <v>1591</v>
      </c>
      <c r="F5421" t="s">
        <v>15706</v>
      </c>
    </row>
    <row r="5422" spans="1:12">
      <c r="A5422" t="s">
        <v>15675</v>
      </c>
      <c r="B5422" t="s">
        <v>15676</v>
      </c>
      <c r="C5422" t="s">
        <v>15707</v>
      </c>
      <c r="D5422" t="s">
        <v>15678</v>
      </c>
      <c r="E5422" t="s">
        <v>15708</v>
      </c>
      <c r="F5422" t="s">
        <v>15709</v>
      </c>
      <c r="J5422" t="s">
        <v>15708</v>
      </c>
      <c r="K5422" t="s">
        <v>15675</v>
      </c>
      <c r="L5422" t="s">
        <v>851</v>
      </c>
    </row>
    <row r="5423" spans="1:12">
      <c r="A5423" t="s">
        <v>15675</v>
      </c>
      <c r="B5423" t="s">
        <v>15676</v>
      </c>
      <c r="C5423" t="s">
        <v>15710</v>
      </c>
      <c r="D5423" t="s">
        <v>15678</v>
      </c>
      <c r="E5423" t="s">
        <v>1597</v>
      </c>
      <c r="F5423" t="s">
        <v>15711</v>
      </c>
    </row>
    <row r="5424" spans="1:12">
      <c r="A5424" t="s">
        <v>15675</v>
      </c>
      <c r="B5424" t="s">
        <v>15676</v>
      </c>
      <c r="C5424" t="s">
        <v>15712</v>
      </c>
      <c r="D5424" t="s">
        <v>15678</v>
      </c>
      <c r="E5424" t="s">
        <v>15713</v>
      </c>
      <c r="F5424" t="s">
        <v>15714</v>
      </c>
      <c r="J5424" t="s">
        <v>15713</v>
      </c>
      <c r="K5424" t="s">
        <v>15675</v>
      </c>
      <c r="L5424" t="s">
        <v>851</v>
      </c>
    </row>
    <row r="5425" spans="1:12">
      <c r="A5425" t="s">
        <v>15675</v>
      </c>
      <c r="B5425" t="s">
        <v>15676</v>
      </c>
      <c r="C5425" t="s">
        <v>15715</v>
      </c>
      <c r="D5425" t="s">
        <v>15678</v>
      </c>
      <c r="E5425" t="s">
        <v>4897</v>
      </c>
      <c r="F5425" t="s">
        <v>15716</v>
      </c>
      <c r="J5425" t="s">
        <v>4897</v>
      </c>
      <c r="K5425" t="s">
        <v>15675</v>
      </c>
      <c r="L5425" t="s">
        <v>851</v>
      </c>
    </row>
    <row r="5426" spans="1:12">
      <c r="A5426" t="s">
        <v>15675</v>
      </c>
      <c r="B5426" t="s">
        <v>15676</v>
      </c>
      <c r="C5426" t="s">
        <v>15717</v>
      </c>
      <c r="D5426" t="s">
        <v>15678</v>
      </c>
      <c r="E5426" t="s">
        <v>15718</v>
      </c>
      <c r="F5426" t="s">
        <v>15719</v>
      </c>
      <c r="J5426" t="s">
        <v>15718</v>
      </c>
      <c r="K5426" t="s">
        <v>15675</v>
      </c>
      <c r="L5426" t="s">
        <v>851</v>
      </c>
    </row>
    <row r="5427" spans="1:12">
      <c r="A5427" t="s">
        <v>15675</v>
      </c>
      <c r="B5427" t="s">
        <v>15676</v>
      </c>
      <c r="C5427" t="s">
        <v>15720</v>
      </c>
      <c r="D5427" t="s">
        <v>15678</v>
      </c>
      <c r="E5427" t="s">
        <v>15721</v>
      </c>
      <c r="F5427" t="s">
        <v>15722</v>
      </c>
      <c r="J5427" t="s">
        <v>15721</v>
      </c>
      <c r="K5427" t="s">
        <v>15675</v>
      </c>
      <c r="L5427" t="s">
        <v>851</v>
      </c>
    </row>
    <row r="5428" spans="1:12">
      <c r="A5428" t="s">
        <v>15675</v>
      </c>
      <c r="B5428" t="s">
        <v>15676</v>
      </c>
      <c r="C5428" t="s">
        <v>15723</v>
      </c>
      <c r="D5428" t="s">
        <v>15678</v>
      </c>
      <c r="E5428" t="s">
        <v>8111</v>
      </c>
      <c r="F5428" t="s">
        <v>15724</v>
      </c>
    </row>
    <row r="5429" spans="1:12">
      <c r="A5429" t="s">
        <v>15675</v>
      </c>
      <c r="B5429" t="s">
        <v>15676</v>
      </c>
      <c r="C5429" t="s">
        <v>15725</v>
      </c>
      <c r="D5429" t="s">
        <v>15678</v>
      </c>
      <c r="E5429" t="s">
        <v>12431</v>
      </c>
      <c r="F5429" t="s">
        <v>15726</v>
      </c>
      <c r="J5429" t="s">
        <v>12431</v>
      </c>
      <c r="K5429" t="s">
        <v>15675</v>
      </c>
      <c r="L5429" t="s">
        <v>851</v>
      </c>
    </row>
    <row r="5430" spans="1:12">
      <c r="A5430" t="s">
        <v>15675</v>
      </c>
      <c r="B5430" t="s">
        <v>15676</v>
      </c>
      <c r="C5430" t="s">
        <v>15727</v>
      </c>
      <c r="D5430" t="s">
        <v>15678</v>
      </c>
      <c r="E5430" t="s">
        <v>15728</v>
      </c>
      <c r="F5430" t="s">
        <v>15729</v>
      </c>
    </row>
    <row r="5431" spans="1:12">
      <c r="A5431" t="s">
        <v>15675</v>
      </c>
      <c r="B5431" t="s">
        <v>15676</v>
      </c>
      <c r="C5431" t="s">
        <v>15730</v>
      </c>
      <c r="D5431" t="s">
        <v>15678</v>
      </c>
      <c r="E5431" t="s">
        <v>15731</v>
      </c>
      <c r="F5431" t="s">
        <v>15732</v>
      </c>
    </row>
    <row r="5432" spans="1:12">
      <c r="A5432" t="s">
        <v>15675</v>
      </c>
      <c r="B5432" t="s">
        <v>15676</v>
      </c>
      <c r="C5432" t="s">
        <v>15733</v>
      </c>
      <c r="D5432" t="s">
        <v>15678</v>
      </c>
      <c r="E5432" t="s">
        <v>15734</v>
      </c>
      <c r="F5432" t="s">
        <v>15735</v>
      </c>
      <c r="J5432" t="s">
        <v>15734</v>
      </c>
      <c r="K5432" t="s">
        <v>15675</v>
      </c>
      <c r="L5432" t="s">
        <v>851</v>
      </c>
    </row>
    <row r="5433" spans="1:12">
      <c r="A5433" t="s">
        <v>15675</v>
      </c>
      <c r="B5433" t="s">
        <v>15676</v>
      </c>
      <c r="C5433" t="s">
        <v>15736</v>
      </c>
      <c r="D5433" t="s">
        <v>15678</v>
      </c>
      <c r="E5433" t="s">
        <v>15737</v>
      </c>
      <c r="F5433" t="s">
        <v>15738</v>
      </c>
      <c r="J5433" t="s">
        <v>15737</v>
      </c>
      <c r="K5433" t="s">
        <v>15675</v>
      </c>
      <c r="L5433" t="s">
        <v>851</v>
      </c>
    </row>
    <row r="5434" spans="1:12">
      <c r="A5434" t="s">
        <v>15675</v>
      </c>
      <c r="B5434" t="s">
        <v>15676</v>
      </c>
      <c r="C5434" t="s">
        <v>15739</v>
      </c>
      <c r="D5434" t="s">
        <v>15678</v>
      </c>
      <c r="E5434" t="s">
        <v>15740</v>
      </c>
      <c r="F5434" t="s">
        <v>15741</v>
      </c>
    </row>
    <row r="5435" spans="1:12">
      <c r="A5435" t="s">
        <v>15675</v>
      </c>
      <c r="B5435" t="s">
        <v>15676</v>
      </c>
      <c r="C5435" t="s">
        <v>15742</v>
      </c>
      <c r="D5435" t="s">
        <v>15678</v>
      </c>
      <c r="E5435" t="s">
        <v>15743</v>
      </c>
      <c r="F5435" t="s">
        <v>15744</v>
      </c>
      <c r="J5435" t="s">
        <v>15743</v>
      </c>
      <c r="K5435" t="s">
        <v>15675</v>
      </c>
      <c r="L5435" t="s">
        <v>851</v>
      </c>
    </row>
    <row r="5436" spans="1:12">
      <c r="A5436" t="s">
        <v>15675</v>
      </c>
      <c r="B5436" t="s">
        <v>15676</v>
      </c>
      <c r="C5436" t="s">
        <v>15745</v>
      </c>
      <c r="D5436" t="s">
        <v>15678</v>
      </c>
      <c r="E5436" t="s">
        <v>15746</v>
      </c>
      <c r="F5436" t="s">
        <v>15747</v>
      </c>
      <c r="J5436" t="s">
        <v>15746</v>
      </c>
      <c r="K5436" t="s">
        <v>15675</v>
      </c>
      <c r="L5436" t="s">
        <v>851</v>
      </c>
    </row>
    <row r="5437" spans="1:12">
      <c r="A5437" t="s">
        <v>15675</v>
      </c>
      <c r="B5437" t="s">
        <v>15676</v>
      </c>
      <c r="C5437" t="s">
        <v>15748</v>
      </c>
      <c r="D5437" t="s">
        <v>15678</v>
      </c>
      <c r="E5437" t="s">
        <v>1815</v>
      </c>
      <c r="F5437" t="s">
        <v>15749</v>
      </c>
    </row>
    <row r="5438" spans="1:12">
      <c r="A5438" t="s">
        <v>15675</v>
      </c>
      <c r="B5438" t="s">
        <v>15676</v>
      </c>
      <c r="C5438" t="s">
        <v>15750</v>
      </c>
      <c r="D5438" t="s">
        <v>15678</v>
      </c>
      <c r="E5438" t="s">
        <v>15751</v>
      </c>
      <c r="F5438" t="s">
        <v>15752</v>
      </c>
    </row>
    <row r="5439" spans="1:12">
      <c r="A5439" t="s">
        <v>15675</v>
      </c>
      <c r="B5439" t="s">
        <v>15676</v>
      </c>
      <c r="C5439" t="s">
        <v>15753</v>
      </c>
      <c r="D5439" t="s">
        <v>15678</v>
      </c>
      <c r="E5439" t="s">
        <v>15754</v>
      </c>
      <c r="F5439" t="s">
        <v>15755</v>
      </c>
      <c r="J5439" t="s">
        <v>15754</v>
      </c>
      <c r="K5439" t="s">
        <v>15675</v>
      </c>
      <c r="L5439" t="s">
        <v>851</v>
      </c>
    </row>
    <row r="5440" spans="1:12">
      <c r="A5440" t="s">
        <v>15675</v>
      </c>
      <c r="B5440" t="s">
        <v>15676</v>
      </c>
      <c r="C5440" t="s">
        <v>15756</v>
      </c>
      <c r="D5440" t="s">
        <v>15678</v>
      </c>
      <c r="E5440" t="s">
        <v>15757</v>
      </c>
      <c r="F5440" t="s">
        <v>15758</v>
      </c>
      <c r="J5440" t="s">
        <v>15757</v>
      </c>
      <c r="K5440" t="s">
        <v>15675</v>
      </c>
      <c r="L5440" t="s">
        <v>851</v>
      </c>
    </row>
    <row r="5441" spans="1:12">
      <c r="A5441" t="s">
        <v>15675</v>
      </c>
      <c r="B5441" t="s">
        <v>15676</v>
      </c>
      <c r="C5441" t="s">
        <v>15759</v>
      </c>
      <c r="D5441" t="s">
        <v>15678</v>
      </c>
      <c r="E5441" t="s">
        <v>14037</v>
      </c>
      <c r="F5441" t="s">
        <v>15760</v>
      </c>
    </row>
    <row r="5442" spans="1:12">
      <c r="A5442" t="s">
        <v>15675</v>
      </c>
      <c r="B5442" t="s">
        <v>15676</v>
      </c>
      <c r="C5442" t="s">
        <v>15761</v>
      </c>
      <c r="D5442" t="s">
        <v>15678</v>
      </c>
      <c r="E5442" t="s">
        <v>4975</v>
      </c>
      <c r="F5442" t="s">
        <v>15762</v>
      </c>
    </row>
    <row r="5443" spans="1:12">
      <c r="A5443" t="s">
        <v>15675</v>
      </c>
      <c r="B5443" t="s">
        <v>15676</v>
      </c>
      <c r="C5443" t="s">
        <v>15763</v>
      </c>
      <c r="D5443" t="s">
        <v>15678</v>
      </c>
      <c r="E5443" t="s">
        <v>15764</v>
      </c>
      <c r="F5443" t="s">
        <v>15765</v>
      </c>
      <c r="J5443" t="s">
        <v>15764</v>
      </c>
      <c r="K5443" t="s">
        <v>15675</v>
      </c>
      <c r="L5443" t="s">
        <v>851</v>
      </c>
    </row>
    <row r="5444" spans="1:12">
      <c r="A5444" t="s">
        <v>15675</v>
      </c>
      <c r="B5444" t="s">
        <v>15676</v>
      </c>
      <c r="C5444" t="s">
        <v>15766</v>
      </c>
      <c r="D5444" t="s">
        <v>15678</v>
      </c>
      <c r="E5444" t="s">
        <v>10926</v>
      </c>
      <c r="F5444" t="s">
        <v>15767</v>
      </c>
    </row>
    <row r="5445" spans="1:12">
      <c r="A5445" t="s">
        <v>15675</v>
      </c>
      <c r="B5445" t="s">
        <v>15676</v>
      </c>
      <c r="C5445" t="s">
        <v>15768</v>
      </c>
      <c r="D5445" t="s">
        <v>15678</v>
      </c>
      <c r="E5445" t="s">
        <v>15769</v>
      </c>
      <c r="F5445" t="s">
        <v>15770</v>
      </c>
      <c r="J5445" t="s">
        <v>15769</v>
      </c>
      <c r="K5445" t="s">
        <v>15675</v>
      </c>
      <c r="L5445" t="s">
        <v>851</v>
      </c>
    </row>
    <row r="5446" spans="1:12">
      <c r="A5446" t="s">
        <v>15675</v>
      </c>
      <c r="B5446" t="s">
        <v>15676</v>
      </c>
      <c r="C5446" t="s">
        <v>15771</v>
      </c>
      <c r="D5446" t="s">
        <v>15678</v>
      </c>
      <c r="E5446" t="s">
        <v>15772</v>
      </c>
      <c r="F5446" t="s">
        <v>15773</v>
      </c>
      <c r="J5446" t="s">
        <v>15772</v>
      </c>
      <c r="K5446" t="s">
        <v>15675</v>
      </c>
      <c r="L5446" t="s">
        <v>851</v>
      </c>
    </row>
    <row r="5447" spans="1:12">
      <c r="A5447" t="s">
        <v>15675</v>
      </c>
      <c r="B5447" t="s">
        <v>15676</v>
      </c>
      <c r="C5447" t="s">
        <v>15774</v>
      </c>
      <c r="D5447" t="s">
        <v>15678</v>
      </c>
      <c r="E5447" t="s">
        <v>12545</v>
      </c>
      <c r="F5447" t="s">
        <v>15775</v>
      </c>
    </row>
    <row r="5448" spans="1:12">
      <c r="A5448" t="s">
        <v>15675</v>
      </c>
      <c r="B5448" t="s">
        <v>15676</v>
      </c>
      <c r="C5448" t="s">
        <v>15776</v>
      </c>
      <c r="D5448" t="s">
        <v>15678</v>
      </c>
      <c r="E5448" t="s">
        <v>15777</v>
      </c>
      <c r="F5448" t="s">
        <v>15778</v>
      </c>
      <c r="J5448" t="s">
        <v>15777</v>
      </c>
      <c r="K5448" t="s">
        <v>15675</v>
      </c>
      <c r="L5448" t="s">
        <v>851</v>
      </c>
    </row>
    <row r="5449" spans="1:12">
      <c r="A5449" t="s">
        <v>15675</v>
      </c>
      <c r="B5449" t="s">
        <v>15676</v>
      </c>
      <c r="C5449" t="s">
        <v>15779</v>
      </c>
      <c r="D5449" t="s">
        <v>15678</v>
      </c>
      <c r="E5449" t="s">
        <v>15780</v>
      </c>
      <c r="F5449" t="s">
        <v>15781</v>
      </c>
    </row>
    <row r="5450" spans="1:12">
      <c r="A5450" t="s">
        <v>15675</v>
      </c>
      <c r="B5450" t="s">
        <v>15676</v>
      </c>
      <c r="C5450" t="s">
        <v>15782</v>
      </c>
      <c r="D5450" t="s">
        <v>15678</v>
      </c>
      <c r="E5450" t="s">
        <v>5003</v>
      </c>
      <c r="F5450" t="s">
        <v>15783</v>
      </c>
    </row>
    <row r="5451" spans="1:12">
      <c r="A5451" t="s">
        <v>15675</v>
      </c>
      <c r="B5451" t="s">
        <v>15676</v>
      </c>
      <c r="C5451" t="s">
        <v>15784</v>
      </c>
      <c r="D5451" t="s">
        <v>15678</v>
      </c>
      <c r="E5451" t="s">
        <v>15785</v>
      </c>
      <c r="F5451" t="s">
        <v>15786</v>
      </c>
    </row>
    <row r="5452" spans="1:12">
      <c r="A5452" t="s">
        <v>15675</v>
      </c>
      <c r="B5452" t="s">
        <v>15676</v>
      </c>
      <c r="C5452" t="s">
        <v>15787</v>
      </c>
      <c r="D5452" t="s">
        <v>15678</v>
      </c>
      <c r="E5452" t="s">
        <v>15788</v>
      </c>
      <c r="F5452" t="s">
        <v>15789</v>
      </c>
    </row>
    <row r="5453" spans="1:12">
      <c r="A5453" t="s">
        <v>15675</v>
      </c>
      <c r="B5453" t="s">
        <v>15676</v>
      </c>
      <c r="C5453" t="s">
        <v>15790</v>
      </c>
      <c r="D5453" t="s">
        <v>15678</v>
      </c>
      <c r="E5453" t="s">
        <v>15045</v>
      </c>
      <c r="F5453" t="s">
        <v>15791</v>
      </c>
      <c r="J5453" t="s">
        <v>15045</v>
      </c>
      <c r="K5453" t="s">
        <v>15675</v>
      </c>
      <c r="L5453" t="s">
        <v>851</v>
      </c>
    </row>
    <row r="5454" spans="1:12">
      <c r="A5454" t="s">
        <v>15675</v>
      </c>
      <c r="B5454" t="s">
        <v>15676</v>
      </c>
      <c r="C5454" t="s">
        <v>15792</v>
      </c>
      <c r="D5454" t="s">
        <v>15678</v>
      </c>
      <c r="E5454" t="s">
        <v>15793</v>
      </c>
      <c r="F5454" t="s">
        <v>15794</v>
      </c>
      <c r="J5454" t="s">
        <v>15793</v>
      </c>
      <c r="K5454" t="s">
        <v>15675</v>
      </c>
      <c r="L5454" t="s">
        <v>851</v>
      </c>
    </row>
    <row r="5455" spans="1:12">
      <c r="A5455" t="s">
        <v>15675</v>
      </c>
      <c r="B5455" t="s">
        <v>15676</v>
      </c>
      <c r="C5455" t="s">
        <v>15795</v>
      </c>
      <c r="D5455" t="s">
        <v>15678</v>
      </c>
      <c r="E5455" t="s">
        <v>4064</v>
      </c>
      <c r="F5455" t="s">
        <v>15796</v>
      </c>
    </row>
    <row r="5456" spans="1:12">
      <c r="A5456" t="s">
        <v>15675</v>
      </c>
      <c r="B5456" t="s">
        <v>15676</v>
      </c>
      <c r="C5456" t="s">
        <v>15797</v>
      </c>
      <c r="D5456" t="s">
        <v>15678</v>
      </c>
      <c r="E5456" t="s">
        <v>15798</v>
      </c>
      <c r="F5456" t="s">
        <v>15799</v>
      </c>
      <c r="J5456" t="s">
        <v>15798</v>
      </c>
      <c r="K5456" t="s">
        <v>15675</v>
      </c>
      <c r="L5456" t="s">
        <v>851</v>
      </c>
    </row>
    <row r="5457" spans="1:12">
      <c r="A5457" t="s">
        <v>15675</v>
      </c>
      <c r="B5457" t="s">
        <v>15676</v>
      </c>
      <c r="C5457" t="s">
        <v>15800</v>
      </c>
      <c r="D5457" t="s">
        <v>15678</v>
      </c>
      <c r="E5457" t="s">
        <v>15801</v>
      </c>
      <c r="F5457" t="s">
        <v>15802</v>
      </c>
      <c r="J5457" t="s">
        <v>15801</v>
      </c>
      <c r="K5457" t="s">
        <v>15675</v>
      </c>
      <c r="L5457" t="s">
        <v>851</v>
      </c>
    </row>
    <row r="5458" spans="1:12">
      <c r="A5458" t="s">
        <v>15675</v>
      </c>
      <c r="B5458" t="s">
        <v>15676</v>
      </c>
      <c r="C5458" t="s">
        <v>15803</v>
      </c>
      <c r="D5458" t="s">
        <v>15678</v>
      </c>
      <c r="E5458" t="s">
        <v>15804</v>
      </c>
      <c r="F5458" t="s">
        <v>15805</v>
      </c>
      <c r="J5458" t="s">
        <v>15804</v>
      </c>
      <c r="K5458" t="s">
        <v>15675</v>
      </c>
      <c r="L5458" t="s">
        <v>851</v>
      </c>
    </row>
    <row r="5459" spans="1:12">
      <c r="A5459" t="s">
        <v>15675</v>
      </c>
      <c r="B5459" t="s">
        <v>15676</v>
      </c>
      <c r="C5459" t="s">
        <v>15806</v>
      </c>
      <c r="D5459" t="s">
        <v>15678</v>
      </c>
      <c r="E5459" t="s">
        <v>9401</v>
      </c>
      <c r="F5459" t="s">
        <v>15807</v>
      </c>
    </row>
    <row r="5460" spans="1:12">
      <c r="A5460" t="s">
        <v>15675</v>
      </c>
      <c r="B5460" t="s">
        <v>15676</v>
      </c>
      <c r="C5460" t="s">
        <v>15808</v>
      </c>
      <c r="D5460" t="s">
        <v>15678</v>
      </c>
      <c r="E5460" t="s">
        <v>9410</v>
      </c>
      <c r="F5460" t="s">
        <v>15809</v>
      </c>
      <c r="J5460" t="s">
        <v>9410</v>
      </c>
      <c r="K5460" t="s">
        <v>15675</v>
      </c>
      <c r="L5460" t="s">
        <v>851</v>
      </c>
    </row>
    <row r="5461" spans="1:12">
      <c r="A5461" t="s">
        <v>15675</v>
      </c>
      <c r="B5461" t="s">
        <v>15676</v>
      </c>
      <c r="C5461" t="s">
        <v>15810</v>
      </c>
      <c r="D5461" t="s">
        <v>15678</v>
      </c>
      <c r="E5461" t="s">
        <v>5087</v>
      </c>
      <c r="F5461" t="s">
        <v>15811</v>
      </c>
    </row>
    <row r="5462" spans="1:12">
      <c r="A5462" t="s">
        <v>15675</v>
      </c>
      <c r="B5462" t="s">
        <v>15676</v>
      </c>
      <c r="C5462" t="s">
        <v>15812</v>
      </c>
      <c r="D5462" t="s">
        <v>15678</v>
      </c>
      <c r="E5462" t="s">
        <v>15813</v>
      </c>
      <c r="F5462" t="s">
        <v>15814</v>
      </c>
      <c r="J5462" t="s">
        <v>15813</v>
      </c>
      <c r="K5462" t="s">
        <v>15675</v>
      </c>
      <c r="L5462" t="s">
        <v>851</v>
      </c>
    </row>
    <row r="5463" spans="1:12">
      <c r="A5463" t="s">
        <v>15675</v>
      </c>
      <c r="B5463" t="s">
        <v>15676</v>
      </c>
      <c r="C5463" t="s">
        <v>15815</v>
      </c>
      <c r="D5463" t="s">
        <v>15678</v>
      </c>
      <c r="E5463" t="s">
        <v>9473</v>
      </c>
      <c r="F5463" t="s">
        <v>15816</v>
      </c>
    </row>
    <row r="5464" spans="1:12">
      <c r="A5464" t="s">
        <v>15675</v>
      </c>
      <c r="B5464" t="s">
        <v>15676</v>
      </c>
      <c r="C5464" t="s">
        <v>15817</v>
      </c>
      <c r="D5464" t="s">
        <v>15678</v>
      </c>
      <c r="E5464" t="s">
        <v>15205</v>
      </c>
      <c r="F5464" t="s">
        <v>15818</v>
      </c>
    </row>
    <row r="5465" spans="1:12">
      <c r="A5465" t="s">
        <v>15675</v>
      </c>
      <c r="B5465" t="s">
        <v>15676</v>
      </c>
      <c r="C5465" t="s">
        <v>15819</v>
      </c>
      <c r="D5465" t="s">
        <v>15678</v>
      </c>
      <c r="E5465" t="s">
        <v>14371</v>
      </c>
      <c r="F5465" t="s">
        <v>15820</v>
      </c>
    </row>
    <row r="5466" spans="1:12">
      <c r="A5466" t="s">
        <v>15675</v>
      </c>
      <c r="B5466" t="s">
        <v>15676</v>
      </c>
      <c r="C5466" t="s">
        <v>15821</v>
      </c>
      <c r="D5466" t="s">
        <v>15678</v>
      </c>
      <c r="E5466" t="s">
        <v>2436</v>
      </c>
      <c r="F5466" t="s">
        <v>15822</v>
      </c>
    </row>
    <row r="5467" spans="1:12">
      <c r="A5467" t="s">
        <v>15675</v>
      </c>
      <c r="B5467" t="s">
        <v>15676</v>
      </c>
      <c r="C5467" t="s">
        <v>15823</v>
      </c>
      <c r="D5467" t="s">
        <v>15678</v>
      </c>
      <c r="E5467" t="s">
        <v>9516</v>
      </c>
      <c r="F5467" t="s">
        <v>15824</v>
      </c>
      <c r="J5467" t="s">
        <v>9516</v>
      </c>
      <c r="K5467" t="s">
        <v>15675</v>
      </c>
      <c r="L5467" t="s">
        <v>851</v>
      </c>
    </row>
    <row r="5468" spans="1:12">
      <c r="A5468" t="s">
        <v>15675</v>
      </c>
      <c r="B5468" t="s">
        <v>15676</v>
      </c>
      <c r="C5468" t="s">
        <v>15825</v>
      </c>
      <c r="D5468" t="s">
        <v>15678</v>
      </c>
      <c r="E5468" t="s">
        <v>15826</v>
      </c>
      <c r="F5468" t="s">
        <v>15827</v>
      </c>
    </row>
    <row r="5469" spans="1:12">
      <c r="A5469" t="s">
        <v>15675</v>
      </c>
      <c r="B5469" t="s">
        <v>15676</v>
      </c>
      <c r="C5469" t="s">
        <v>15828</v>
      </c>
      <c r="D5469" t="s">
        <v>15678</v>
      </c>
      <c r="E5469" t="s">
        <v>11595</v>
      </c>
      <c r="F5469" t="s">
        <v>15829</v>
      </c>
    </row>
    <row r="5470" spans="1:12">
      <c r="A5470" t="s">
        <v>15675</v>
      </c>
      <c r="B5470" t="s">
        <v>15676</v>
      </c>
      <c r="C5470" t="s">
        <v>15830</v>
      </c>
      <c r="D5470" t="s">
        <v>15678</v>
      </c>
      <c r="E5470" t="s">
        <v>15831</v>
      </c>
      <c r="F5470" t="s">
        <v>15832</v>
      </c>
    </row>
    <row r="5471" spans="1:12">
      <c r="A5471" t="s">
        <v>15675</v>
      </c>
      <c r="B5471" t="s">
        <v>15676</v>
      </c>
      <c r="C5471" t="s">
        <v>15833</v>
      </c>
      <c r="D5471" t="s">
        <v>15678</v>
      </c>
      <c r="E5471" t="s">
        <v>15834</v>
      </c>
      <c r="F5471" t="s">
        <v>15835</v>
      </c>
    </row>
    <row r="5472" spans="1:12">
      <c r="A5472" t="s">
        <v>15675</v>
      </c>
      <c r="B5472" t="s">
        <v>15676</v>
      </c>
      <c r="C5472" t="s">
        <v>15836</v>
      </c>
      <c r="D5472" t="s">
        <v>15678</v>
      </c>
      <c r="E5472" t="s">
        <v>3305</v>
      </c>
      <c r="F5472" t="s">
        <v>15837</v>
      </c>
    </row>
    <row r="5473" spans="1:12">
      <c r="A5473" t="s">
        <v>15675</v>
      </c>
      <c r="B5473" t="s">
        <v>15676</v>
      </c>
      <c r="C5473" t="s">
        <v>15838</v>
      </c>
      <c r="D5473" t="s">
        <v>15678</v>
      </c>
      <c r="E5473" t="s">
        <v>15839</v>
      </c>
      <c r="F5473" t="s">
        <v>15840</v>
      </c>
    </row>
    <row r="5474" spans="1:12">
      <c r="A5474" t="s">
        <v>15675</v>
      </c>
      <c r="B5474" t="s">
        <v>15676</v>
      </c>
      <c r="C5474" t="s">
        <v>15841</v>
      </c>
      <c r="D5474" t="s">
        <v>15678</v>
      </c>
      <c r="E5474" t="s">
        <v>5114</v>
      </c>
      <c r="F5474" t="s">
        <v>15842</v>
      </c>
    </row>
    <row r="5475" spans="1:12">
      <c r="A5475" t="s">
        <v>15675</v>
      </c>
      <c r="B5475" t="s">
        <v>15676</v>
      </c>
      <c r="C5475" t="s">
        <v>15843</v>
      </c>
      <c r="D5475" t="s">
        <v>15678</v>
      </c>
      <c r="E5475" t="s">
        <v>15844</v>
      </c>
      <c r="F5475" t="s">
        <v>15845</v>
      </c>
    </row>
    <row r="5476" spans="1:12">
      <c r="A5476" t="s">
        <v>15675</v>
      </c>
      <c r="B5476" t="s">
        <v>15676</v>
      </c>
      <c r="C5476" t="s">
        <v>15846</v>
      </c>
      <c r="D5476" t="s">
        <v>15678</v>
      </c>
      <c r="E5476" t="s">
        <v>15847</v>
      </c>
      <c r="F5476" t="s">
        <v>15848</v>
      </c>
      <c r="J5476" t="s">
        <v>15847</v>
      </c>
      <c r="K5476" t="s">
        <v>15675</v>
      </c>
      <c r="L5476" t="s">
        <v>851</v>
      </c>
    </row>
    <row r="5477" spans="1:12">
      <c r="A5477" t="s">
        <v>15675</v>
      </c>
      <c r="B5477" t="s">
        <v>15676</v>
      </c>
      <c r="C5477" t="s">
        <v>15849</v>
      </c>
      <c r="D5477" t="s">
        <v>15678</v>
      </c>
      <c r="E5477" t="s">
        <v>15850</v>
      </c>
      <c r="F5477" t="s">
        <v>15851</v>
      </c>
      <c r="J5477" t="s">
        <v>15850</v>
      </c>
      <c r="K5477" t="s">
        <v>15675</v>
      </c>
      <c r="L5477" t="s">
        <v>851</v>
      </c>
    </row>
    <row r="5478" spans="1:12">
      <c r="A5478" t="s">
        <v>15675</v>
      </c>
      <c r="B5478" t="s">
        <v>15676</v>
      </c>
      <c r="C5478" t="s">
        <v>15852</v>
      </c>
      <c r="D5478" t="s">
        <v>15678</v>
      </c>
      <c r="E5478" t="s">
        <v>15853</v>
      </c>
      <c r="F5478" t="s">
        <v>15854</v>
      </c>
      <c r="J5478" t="s">
        <v>15853</v>
      </c>
      <c r="K5478" t="s">
        <v>15675</v>
      </c>
      <c r="L5478" t="s">
        <v>851</v>
      </c>
    </row>
    <row r="5479" spans="1:12">
      <c r="A5479" t="s">
        <v>15675</v>
      </c>
      <c r="B5479" t="s">
        <v>15676</v>
      </c>
      <c r="C5479" t="s">
        <v>15855</v>
      </c>
      <c r="D5479" t="s">
        <v>15678</v>
      </c>
      <c r="E5479" t="s">
        <v>9672</v>
      </c>
      <c r="F5479" t="s">
        <v>15856</v>
      </c>
      <c r="J5479" t="s">
        <v>9672</v>
      </c>
      <c r="K5479" t="s">
        <v>15675</v>
      </c>
      <c r="L5479" t="s">
        <v>851</v>
      </c>
    </row>
    <row r="5480" spans="1:12">
      <c r="A5480" t="s">
        <v>15675</v>
      </c>
      <c r="B5480" t="s">
        <v>15676</v>
      </c>
      <c r="C5480" t="s">
        <v>15857</v>
      </c>
      <c r="D5480" t="s">
        <v>15678</v>
      </c>
      <c r="E5480" t="s">
        <v>14454</v>
      </c>
      <c r="F5480" t="s">
        <v>15858</v>
      </c>
    </row>
    <row r="5481" spans="1:12">
      <c r="A5481" t="s">
        <v>15675</v>
      </c>
      <c r="B5481" t="s">
        <v>15676</v>
      </c>
      <c r="C5481" t="s">
        <v>15859</v>
      </c>
      <c r="D5481" t="s">
        <v>15678</v>
      </c>
      <c r="E5481" t="s">
        <v>9717</v>
      </c>
      <c r="F5481" t="s">
        <v>15860</v>
      </c>
      <c r="J5481" t="s">
        <v>9717</v>
      </c>
      <c r="K5481" t="s">
        <v>15675</v>
      </c>
      <c r="L5481" t="s">
        <v>851</v>
      </c>
    </row>
    <row r="5482" spans="1:12">
      <c r="A5482" t="s">
        <v>15675</v>
      </c>
      <c r="B5482" t="s">
        <v>15676</v>
      </c>
      <c r="C5482" t="s">
        <v>15861</v>
      </c>
      <c r="D5482" t="s">
        <v>15678</v>
      </c>
      <c r="E5482" t="s">
        <v>15862</v>
      </c>
      <c r="F5482" t="s">
        <v>15863</v>
      </c>
    </row>
    <row r="5483" spans="1:12">
      <c r="A5483" t="s">
        <v>15675</v>
      </c>
      <c r="B5483" t="s">
        <v>15676</v>
      </c>
      <c r="C5483" t="s">
        <v>15864</v>
      </c>
      <c r="D5483" t="s">
        <v>15678</v>
      </c>
      <c r="E5483" t="s">
        <v>15865</v>
      </c>
      <c r="F5483" t="s">
        <v>15866</v>
      </c>
    </row>
    <row r="5484" spans="1:12">
      <c r="A5484" t="s">
        <v>15675</v>
      </c>
      <c r="B5484" t="s">
        <v>15676</v>
      </c>
      <c r="C5484" t="s">
        <v>15867</v>
      </c>
      <c r="D5484" t="s">
        <v>15678</v>
      </c>
      <c r="E5484" t="s">
        <v>15868</v>
      </c>
      <c r="F5484" t="s">
        <v>15869</v>
      </c>
    </row>
    <row r="5485" spans="1:12">
      <c r="A5485" t="s">
        <v>15675</v>
      </c>
      <c r="B5485" t="s">
        <v>15676</v>
      </c>
      <c r="C5485" t="s">
        <v>15870</v>
      </c>
      <c r="D5485" t="s">
        <v>15678</v>
      </c>
      <c r="E5485" t="s">
        <v>15871</v>
      </c>
      <c r="F5485" t="s">
        <v>15872</v>
      </c>
    </row>
    <row r="5486" spans="1:12">
      <c r="A5486" t="s">
        <v>15675</v>
      </c>
      <c r="B5486" t="s">
        <v>15676</v>
      </c>
      <c r="C5486" t="s">
        <v>15873</v>
      </c>
      <c r="D5486" t="s">
        <v>15678</v>
      </c>
      <c r="E5486" t="s">
        <v>15874</v>
      </c>
      <c r="F5486" t="s">
        <v>15875</v>
      </c>
    </row>
    <row r="5487" spans="1:12">
      <c r="A5487" t="s">
        <v>15675</v>
      </c>
      <c r="B5487" t="s">
        <v>15676</v>
      </c>
      <c r="C5487" t="s">
        <v>15876</v>
      </c>
      <c r="D5487" t="s">
        <v>15678</v>
      </c>
      <c r="E5487" t="s">
        <v>15877</v>
      </c>
      <c r="F5487" t="s">
        <v>15878</v>
      </c>
    </row>
    <row r="5488" spans="1:12">
      <c r="A5488" t="s">
        <v>15675</v>
      </c>
      <c r="B5488" t="s">
        <v>15676</v>
      </c>
      <c r="C5488" t="s">
        <v>15879</v>
      </c>
      <c r="D5488" t="s">
        <v>15678</v>
      </c>
      <c r="E5488" t="s">
        <v>4262</v>
      </c>
      <c r="F5488" t="s">
        <v>15880</v>
      </c>
    </row>
    <row r="5489" spans="1:12">
      <c r="A5489" t="s">
        <v>15675</v>
      </c>
      <c r="B5489" t="s">
        <v>15676</v>
      </c>
      <c r="C5489" t="s">
        <v>15881</v>
      </c>
      <c r="D5489" t="s">
        <v>15678</v>
      </c>
      <c r="E5489" t="s">
        <v>5208</v>
      </c>
      <c r="F5489" t="s">
        <v>15882</v>
      </c>
      <c r="J5489" t="s">
        <v>5208</v>
      </c>
      <c r="K5489" t="s">
        <v>15675</v>
      </c>
      <c r="L5489" t="s">
        <v>851</v>
      </c>
    </row>
    <row r="5490" spans="1:12">
      <c r="A5490" t="s">
        <v>15675</v>
      </c>
      <c r="B5490" t="s">
        <v>15676</v>
      </c>
      <c r="C5490" t="s">
        <v>15883</v>
      </c>
      <c r="D5490" t="s">
        <v>15678</v>
      </c>
      <c r="E5490" t="s">
        <v>15884</v>
      </c>
      <c r="F5490" t="s">
        <v>15885</v>
      </c>
      <c r="J5490" t="s">
        <v>15884</v>
      </c>
      <c r="K5490" t="s">
        <v>15675</v>
      </c>
      <c r="L5490" t="s">
        <v>851</v>
      </c>
    </row>
    <row r="5491" spans="1:12">
      <c r="A5491" t="s">
        <v>15675</v>
      </c>
      <c r="B5491" t="s">
        <v>15676</v>
      </c>
      <c r="C5491" t="s">
        <v>15886</v>
      </c>
      <c r="D5491" t="s">
        <v>15678</v>
      </c>
      <c r="E5491" t="s">
        <v>15887</v>
      </c>
      <c r="F5491" t="s">
        <v>15888</v>
      </c>
    </row>
    <row r="5492" spans="1:12">
      <c r="A5492" t="s">
        <v>15675</v>
      </c>
      <c r="B5492" t="s">
        <v>15676</v>
      </c>
      <c r="C5492" t="s">
        <v>15889</v>
      </c>
      <c r="D5492" t="s">
        <v>15678</v>
      </c>
      <c r="E5492" t="s">
        <v>9750</v>
      </c>
      <c r="F5492" t="s">
        <v>15890</v>
      </c>
    </row>
    <row r="5493" spans="1:12">
      <c r="A5493" t="s">
        <v>15675</v>
      </c>
      <c r="B5493" t="s">
        <v>15676</v>
      </c>
      <c r="C5493" t="s">
        <v>15891</v>
      </c>
      <c r="D5493" t="s">
        <v>15678</v>
      </c>
      <c r="E5493" t="s">
        <v>15892</v>
      </c>
      <c r="F5493" t="s">
        <v>15893</v>
      </c>
    </row>
    <row r="5494" spans="1:12">
      <c r="A5494" t="s">
        <v>15675</v>
      </c>
      <c r="B5494" t="s">
        <v>15676</v>
      </c>
      <c r="C5494" t="s">
        <v>15894</v>
      </c>
      <c r="D5494" t="s">
        <v>15678</v>
      </c>
      <c r="E5494" t="s">
        <v>5217</v>
      </c>
      <c r="F5494" t="s">
        <v>15895</v>
      </c>
    </row>
    <row r="5495" spans="1:12">
      <c r="A5495" t="s">
        <v>15675</v>
      </c>
      <c r="B5495" t="s">
        <v>15676</v>
      </c>
      <c r="C5495" t="s">
        <v>15896</v>
      </c>
      <c r="D5495" t="s">
        <v>15678</v>
      </c>
      <c r="E5495" t="s">
        <v>15897</v>
      </c>
      <c r="F5495" t="s">
        <v>15898</v>
      </c>
      <c r="J5495" t="s">
        <v>15897</v>
      </c>
      <c r="K5495" t="s">
        <v>15675</v>
      </c>
      <c r="L5495" t="s">
        <v>851</v>
      </c>
    </row>
    <row r="5496" spans="1:12">
      <c r="A5496" t="s">
        <v>15675</v>
      </c>
      <c r="B5496" t="s">
        <v>15676</v>
      </c>
      <c r="C5496" t="s">
        <v>15899</v>
      </c>
      <c r="D5496" t="s">
        <v>15678</v>
      </c>
      <c r="E5496" t="s">
        <v>15900</v>
      </c>
      <c r="F5496" t="s">
        <v>15901</v>
      </c>
      <c r="J5496" t="s">
        <v>15900</v>
      </c>
      <c r="K5496" t="s">
        <v>15675</v>
      </c>
      <c r="L5496" t="s">
        <v>851</v>
      </c>
    </row>
    <row r="5497" spans="1:12">
      <c r="A5497" t="s">
        <v>15675</v>
      </c>
      <c r="B5497" t="s">
        <v>15676</v>
      </c>
      <c r="C5497" t="s">
        <v>15902</v>
      </c>
      <c r="D5497" t="s">
        <v>15678</v>
      </c>
      <c r="E5497" t="s">
        <v>15903</v>
      </c>
      <c r="F5497" t="s">
        <v>15904</v>
      </c>
      <c r="J5497" t="s">
        <v>15903</v>
      </c>
      <c r="K5497" t="s">
        <v>15675</v>
      </c>
      <c r="L5497" t="s">
        <v>851</v>
      </c>
    </row>
    <row r="5498" spans="1:12">
      <c r="A5498" t="s">
        <v>15675</v>
      </c>
      <c r="B5498" t="s">
        <v>15676</v>
      </c>
      <c r="C5498" t="s">
        <v>15905</v>
      </c>
      <c r="D5498" t="s">
        <v>15678</v>
      </c>
      <c r="E5498" t="s">
        <v>1269</v>
      </c>
      <c r="F5498" t="s">
        <v>15906</v>
      </c>
    </row>
    <row r="5499" spans="1:12">
      <c r="A5499" t="s">
        <v>15675</v>
      </c>
      <c r="B5499" t="s">
        <v>15676</v>
      </c>
      <c r="C5499" t="s">
        <v>15907</v>
      </c>
      <c r="D5499" t="s">
        <v>15678</v>
      </c>
      <c r="E5499" t="s">
        <v>4298</v>
      </c>
      <c r="F5499" t="s">
        <v>15908</v>
      </c>
    </row>
    <row r="5500" spans="1:12">
      <c r="A5500" t="s">
        <v>15675</v>
      </c>
      <c r="B5500" t="s">
        <v>15676</v>
      </c>
      <c r="C5500" t="s">
        <v>15909</v>
      </c>
      <c r="D5500" t="s">
        <v>15678</v>
      </c>
      <c r="E5500" t="s">
        <v>15910</v>
      </c>
      <c r="F5500" t="s">
        <v>15911</v>
      </c>
    </row>
    <row r="5501" spans="1:12">
      <c r="A5501" t="s">
        <v>15675</v>
      </c>
      <c r="B5501" t="s">
        <v>15676</v>
      </c>
      <c r="C5501" t="s">
        <v>15912</v>
      </c>
      <c r="D5501" t="s">
        <v>15678</v>
      </c>
      <c r="E5501" t="s">
        <v>15913</v>
      </c>
      <c r="F5501" t="s">
        <v>15914</v>
      </c>
    </row>
    <row r="5502" spans="1:12">
      <c r="A5502" t="s">
        <v>15675</v>
      </c>
      <c r="B5502" t="s">
        <v>15676</v>
      </c>
      <c r="C5502" t="s">
        <v>15915</v>
      </c>
      <c r="D5502" t="s">
        <v>15678</v>
      </c>
      <c r="E5502" t="s">
        <v>15916</v>
      </c>
      <c r="F5502" t="s">
        <v>15917</v>
      </c>
    </row>
    <row r="5503" spans="1:12">
      <c r="A5503" t="s">
        <v>15675</v>
      </c>
      <c r="B5503" t="s">
        <v>15676</v>
      </c>
      <c r="C5503" t="s">
        <v>15918</v>
      </c>
      <c r="D5503" t="s">
        <v>15678</v>
      </c>
      <c r="E5503" t="s">
        <v>15919</v>
      </c>
      <c r="F5503" t="s">
        <v>15920</v>
      </c>
    </row>
    <row r="5504" spans="1:12">
      <c r="A5504" t="s">
        <v>15675</v>
      </c>
      <c r="B5504" t="s">
        <v>15676</v>
      </c>
      <c r="C5504" t="s">
        <v>15921</v>
      </c>
      <c r="D5504" t="s">
        <v>15678</v>
      </c>
      <c r="E5504" t="s">
        <v>9774</v>
      </c>
      <c r="F5504" t="s">
        <v>15922</v>
      </c>
      <c r="J5504" t="s">
        <v>9774</v>
      </c>
      <c r="K5504" t="s">
        <v>15675</v>
      </c>
      <c r="L5504" t="s">
        <v>851</v>
      </c>
    </row>
    <row r="5505" spans="1:12">
      <c r="A5505" t="s">
        <v>15675</v>
      </c>
      <c r="B5505" t="s">
        <v>15676</v>
      </c>
      <c r="C5505" t="s">
        <v>15923</v>
      </c>
      <c r="D5505" t="s">
        <v>15678</v>
      </c>
      <c r="E5505" t="s">
        <v>5246</v>
      </c>
      <c r="F5505" t="s">
        <v>15924</v>
      </c>
      <c r="J5505" t="s">
        <v>5246</v>
      </c>
      <c r="K5505" t="s">
        <v>15675</v>
      </c>
      <c r="L5505" t="s">
        <v>851</v>
      </c>
    </row>
    <row r="5506" spans="1:12">
      <c r="A5506" t="s">
        <v>15675</v>
      </c>
      <c r="B5506" t="s">
        <v>15676</v>
      </c>
      <c r="C5506" t="s">
        <v>15925</v>
      </c>
      <c r="D5506" t="s">
        <v>15678</v>
      </c>
      <c r="E5506" t="s">
        <v>2849</v>
      </c>
      <c r="F5506" t="s">
        <v>15926</v>
      </c>
    </row>
    <row r="5507" spans="1:12">
      <c r="A5507" t="s">
        <v>15675</v>
      </c>
      <c r="B5507" t="s">
        <v>15676</v>
      </c>
      <c r="C5507" t="s">
        <v>15927</v>
      </c>
      <c r="D5507" t="s">
        <v>15678</v>
      </c>
      <c r="E5507" t="s">
        <v>15928</v>
      </c>
      <c r="F5507" t="s">
        <v>15929</v>
      </c>
      <c r="J5507" t="s">
        <v>15928</v>
      </c>
      <c r="K5507" t="s">
        <v>15675</v>
      </c>
      <c r="L5507" t="s">
        <v>851</v>
      </c>
    </row>
    <row r="5508" spans="1:12">
      <c r="A5508" t="s">
        <v>15675</v>
      </c>
      <c r="B5508" t="s">
        <v>15676</v>
      </c>
      <c r="C5508" t="s">
        <v>15930</v>
      </c>
      <c r="D5508" t="s">
        <v>15678</v>
      </c>
      <c r="E5508" t="s">
        <v>15931</v>
      </c>
      <c r="F5508" t="s">
        <v>15932</v>
      </c>
      <c r="J5508" t="s">
        <v>15931</v>
      </c>
      <c r="K5508" t="s">
        <v>15675</v>
      </c>
      <c r="L5508" t="s">
        <v>851</v>
      </c>
    </row>
    <row r="5509" spans="1:12">
      <c r="A5509" t="s">
        <v>15675</v>
      </c>
      <c r="B5509" t="s">
        <v>15676</v>
      </c>
      <c r="C5509" t="s">
        <v>15933</v>
      </c>
      <c r="D5509" t="s">
        <v>15678</v>
      </c>
      <c r="E5509" t="s">
        <v>15934</v>
      </c>
      <c r="F5509" t="s">
        <v>15935</v>
      </c>
    </row>
    <row r="5510" spans="1:12">
      <c r="A5510" t="s">
        <v>15675</v>
      </c>
      <c r="B5510" t="s">
        <v>15676</v>
      </c>
      <c r="C5510" t="s">
        <v>15936</v>
      </c>
      <c r="D5510" t="s">
        <v>15678</v>
      </c>
      <c r="E5510" t="s">
        <v>9851</v>
      </c>
      <c r="F5510" t="s">
        <v>15937</v>
      </c>
    </row>
    <row r="5511" spans="1:12">
      <c r="A5511" t="s">
        <v>15675</v>
      </c>
      <c r="B5511" t="s">
        <v>15676</v>
      </c>
      <c r="C5511" t="s">
        <v>15938</v>
      </c>
      <c r="D5511" t="s">
        <v>15678</v>
      </c>
      <c r="E5511" t="s">
        <v>3624</v>
      </c>
      <c r="F5511" t="s">
        <v>15939</v>
      </c>
    </row>
    <row r="5512" spans="1:12">
      <c r="A5512" t="s">
        <v>15675</v>
      </c>
      <c r="B5512" t="s">
        <v>15676</v>
      </c>
      <c r="C5512" t="s">
        <v>15940</v>
      </c>
      <c r="D5512" t="s">
        <v>15678</v>
      </c>
      <c r="E5512" t="s">
        <v>6725</v>
      </c>
      <c r="F5512" t="s">
        <v>15941</v>
      </c>
    </row>
    <row r="5513" spans="1:12">
      <c r="A5513" t="s">
        <v>15675</v>
      </c>
      <c r="B5513" t="s">
        <v>15676</v>
      </c>
      <c r="C5513" t="s">
        <v>15942</v>
      </c>
      <c r="D5513" t="s">
        <v>15678</v>
      </c>
      <c r="E5513" t="s">
        <v>1049</v>
      </c>
      <c r="F5513" t="s">
        <v>1050</v>
      </c>
    </row>
    <row r="5514" spans="1:12">
      <c r="A5514" t="s">
        <v>15675</v>
      </c>
      <c r="B5514" t="s">
        <v>15676</v>
      </c>
      <c r="C5514" t="s">
        <v>15943</v>
      </c>
      <c r="D5514" t="s">
        <v>15678</v>
      </c>
      <c r="E5514" t="s">
        <v>15944</v>
      </c>
      <c r="F5514" t="s">
        <v>15945</v>
      </c>
    </row>
    <row r="5515" spans="1:12">
      <c r="A5515" t="s">
        <v>15675</v>
      </c>
      <c r="B5515" t="s">
        <v>15676</v>
      </c>
      <c r="C5515" t="s">
        <v>15946</v>
      </c>
      <c r="D5515" t="s">
        <v>15678</v>
      </c>
      <c r="E5515" t="s">
        <v>14581</v>
      </c>
      <c r="F5515" t="s">
        <v>15947</v>
      </c>
    </row>
    <row r="5516" spans="1:12">
      <c r="A5516" t="s">
        <v>15675</v>
      </c>
      <c r="B5516" t="s">
        <v>15676</v>
      </c>
      <c r="C5516" t="s">
        <v>15948</v>
      </c>
      <c r="D5516" t="s">
        <v>15678</v>
      </c>
      <c r="E5516" t="s">
        <v>9958</v>
      </c>
      <c r="F5516" t="s">
        <v>15949</v>
      </c>
    </row>
    <row r="5517" spans="1:12">
      <c r="A5517" t="s">
        <v>15675</v>
      </c>
      <c r="B5517" t="s">
        <v>15676</v>
      </c>
      <c r="C5517" t="s">
        <v>15950</v>
      </c>
      <c r="D5517" t="s">
        <v>15678</v>
      </c>
      <c r="E5517" t="s">
        <v>3742</v>
      </c>
      <c r="F5517" t="s">
        <v>15951</v>
      </c>
    </row>
    <row r="5518" spans="1:12">
      <c r="A5518" t="s">
        <v>15675</v>
      </c>
      <c r="B5518" t="s">
        <v>15676</v>
      </c>
      <c r="C5518" t="s">
        <v>15952</v>
      </c>
      <c r="D5518" t="s">
        <v>15678</v>
      </c>
      <c r="E5518" t="s">
        <v>15953</v>
      </c>
      <c r="F5518" t="s">
        <v>15954</v>
      </c>
      <c r="J5518" t="s">
        <v>15953</v>
      </c>
      <c r="K5518" t="s">
        <v>15675</v>
      </c>
      <c r="L5518" t="s">
        <v>851</v>
      </c>
    </row>
    <row r="5519" spans="1:12">
      <c r="A5519" t="s">
        <v>15675</v>
      </c>
      <c r="B5519" t="s">
        <v>15676</v>
      </c>
      <c r="C5519" t="s">
        <v>15955</v>
      </c>
      <c r="D5519" t="s">
        <v>15678</v>
      </c>
      <c r="E5519" t="s">
        <v>15956</v>
      </c>
      <c r="F5519" t="s">
        <v>15957</v>
      </c>
    </row>
    <row r="5520" spans="1:12">
      <c r="A5520" t="s">
        <v>15675</v>
      </c>
      <c r="B5520" t="s">
        <v>15676</v>
      </c>
      <c r="C5520" t="s">
        <v>15958</v>
      </c>
      <c r="D5520" t="s">
        <v>15678</v>
      </c>
      <c r="E5520" t="s">
        <v>7003</v>
      </c>
      <c r="F5520" t="s">
        <v>15959</v>
      </c>
    </row>
    <row r="5521" spans="1:12">
      <c r="A5521" t="s">
        <v>15675</v>
      </c>
      <c r="B5521" t="s">
        <v>15676</v>
      </c>
      <c r="C5521" t="s">
        <v>15960</v>
      </c>
      <c r="D5521" t="s">
        <v>15678</v>
      </c>
      <c r="E5521" t="s">
        <v>11083</v>
      </c>
      <c r="F5521" t="s">
        <v>15961</v>
      </c>
      <c r="J5521" t="s">
        <v>11083</v>
      </c>
      <c r="K5521" t="s">
        <v>15675</v>
      </c>
      <c r="L5521" t="s">
        <v>851</v>
      </c>
    </row>
    <row r="5522" spans="1:12">
      <c r="A5522" t="s">
        <v>15675</v>
      </c>
      <c r="B5522" t="s">
        <v>15676</v>
      </c>
      <c r="C5522" t="s">
        <v>15962</v>
      </c>
      <c r="D5522" t="s">
        <v>15678</v>
      </c>
      <c r="E5522" t="s">
        <v>15963</v>
      </c>
      <c r="F5522" t="s">
        <v>15964</v>
      </c>
    </row>
    <row r="5523" spans="1:12">
      <c r="A5523" t="s">
        <v>15675</v>
      </c>
      <c r="B5523" t="s">
        <v>15676</v>
      </c>
      <c r="C5523" t="s">
        <v>15965</v>
      </c>
      <c r="D5523" t="s">
        <v>15678</v>
      </c>
      <c r="E5523" t="s">
        <v>15966</v>
      </c>
      <c r="F5523" t="s">
        <v>15967</v>
      </c>
      <c r="J5523" t="s">
        <v>15966</v>
      </c>
      <c r="K5523" t="s">
        <v>15675</v>
      </c>
      <c r="L5523" t="s">
        <v>851</v>
      </c>
    </row>
    <row r="5524" spans="1:12">
      <c r="A5524" t="s">
        <v>15675</v>
      </c>
      <c r="B5524" t="s">
        <v>15676</v>
      </c>
      <c r="C5524" t="s">
        <v>15968</v>
      </c>
      <c r="D5524" t="s">
        <v>15678</v>
      </c>
      <c r="E5524" t="s">
        <v>15969</v>
      </c>
      <c r="F5524" t="s">
        <v>15970</v>
      </c>
      <c r="J5524" t="s">
        <v>15969</v>
      </c>
      <c r="K5524" t="s">
        <v>15675</v>
      </c>
      <c r="L5524" t="s">
        <v>851</v>
      </c>
    </row>
    <row r="5525" spans="1:12">
      <c r="A5525" t="s">
        <v>15675</v>
      </c>
      <c r="B5525" t="s">
        <v>15676</v>
      </c>
      <c r="C5525" t="s">
        <v>15971</v>
      </c>
      <c r="D5525" t="s">
        <v>15678</v>
      </c>
      <c r="E5525" t="s">
        <v>15972</v>
      </c>
      <c r="F5525" t="s">
        <v>15973</v>
      </c>
      <c r="J5525" t="s">
        <v>15972</v>
      </c>
      <c r="K5525" t="s">
        <v>15675</v>
      </c>
      <c r="L5525" t="s">
        <v>851</v>
      </c>
    </row>
    <row r="5526" spans="1:12">
      <c r="A5526" t="s">
        <v>15675</v>
      </c>
      <c r="B5526" t="s">
        <v>15676</v>
      </c>
      <c r="C5526" t="s">
        <v>15974</v>
      </c>
      <c r="D5526" t="s">
        <v>15678</v>
      </c>
      <c r="E5526" t="s">
        <v>15341</v>
      </c>
      <c r="F5526" t="s">
        <v>15975</v>
      </c>
    </row>
    <row r="5527" spans="1:12">
      <c r="A5527" t="s">
        <v>15675</v>
      </c>
      <c r="B5527" t="s">
        <v>15676</v>
      </c>
      <c r="C5527" t="s">
        <v>15976</v>
      </c>
      <c r="D5527" t="s">
        <v>15678</v>
      </c>
      <c r="E5527" t="s">
        <v>15977</v>
      </c>
      <c r="F5527" t="s">
        <v>15978</v>
      </c>
      <c r="J5527" t="s">
        <v>15977</v>
      </c>
      <c r="K5527" t="s">
        <v>15675</v>
      </c>
      <c r="L5527" t="s">
        <v>851</v>
      </c>
    </row>
    <row r="5528" spans="1:12">
      <c r="A5528" t="s">
        <v>15675</v>
      </c>
      <c r="B5528" t="s">
        <v>15676</v>
      </c>
      <c r="C5528" t="s">
        <v>15979</v>
      </c>
      <c r="D5528" t="s">
        <v>15678</v>
      </c>
      <c r="E5528" t="s">
        <v>15355</v>
      </c>
      <c r="F5528" t="s">
        <v>15980</v>
      </c>
    </row>
    <row r="5529" spans="1:12">
      <c r="A5529" t="s">
        <v>15675</v>
      </c>
      <c r="B5529" t="s">
        <v>15676</v>
      </c>
      <c r="C5529" t="s">
        <v>15981</v>
      </c>
      <c r="D5529" t="s">
        <v>15678</v>
      </c>
      <c r="E5529" t="s">
        <v>15982</v>
      </c>
      <c r="F5529" t="s">
        <v>15983</v>
      </c>
      <c r="J5529" t="s">
        <v>15982</v>
      </c>
      <c r="K5529" t="s">
        <v>15675</v>
      </c>
      <c r="L5529" t="s">
        <v>851</v>
      </c>
    </row>
    <row r="5530" spans="1:12">
      <c r="A5530" t="s">
        <v>15675</v>
      </c>
      <c r="B5530" t="s">
        <v>15676</v>
      </c>
      <c r="C5530" t="s">
        <v>15984</v>
      </c>
      <c r="D5530" t="s">
        <v>15678</v>
      </c>
      <c r="E5530" t="s">
        <v>15985</v>
      </c>
      <c r="F5530" t="s">
        <v>15986</v>
      </c>
    </row>
    <row r="5531" spans="1:12">
      <c r="A5531" t="s">
        <v>15675</v>
      </c>
      <c r="B5531" t="s">
        <v>15676</v>
      </c>
      <c r="C5531" t="s">
        <v>15987</v>
      </c>
      <c r="D5531" t="s">
        <v>15678</v>
      </c>
      <c r="E5531" t="s">
        <v>5335</v>
      </c>
      <c r="F5531" t="s">
        <v>15988</v>
      </c>
      <c r="J5531" t="s">
        <v>5335</v>
      </c>
      <c r="K5531" t="s">
        <v>15675</v>
      </c>
      <c r="L5531" t="s">
        <v>851</v>
      </c>
    </row>
    <row r="5532" spans="1:12">
      <c r="A5532" t="s">
        <v>15675</v>
      </c>
      <c r="B5532" t="s">
        <v>15676</v>
      </c>
      <c r="C5532" t="s">
        <v>15989</v>
      </c>
      <c r="D5532" t="s">
        <v>15678</v>
      </c>
      <c r="E5532" t="s">
        <v>15990</v>
      </c>
      <c r="F5532" t="s">
        <v>15991</v>
      </c>
      <c r="J5532" t="s">
        <v>15990</v>
      </c>
      <c r="K5532" t="s">
        <v>15675</v>
      </c>
      <c r="L5532" t="s">
        <v>851</v>
      </c>
    </row>
    <row r="5533" spans="1:12">
      <c r="A5533" t="s">
        <v>15675</v>
      </c>
      <c r="B5533" t="s">
        <v>15676</v>
      </c>
      <c r="C5533" t="s">
        <v>15992</v>
      </c>
      <c r="D5533" t="s">
        <v>15678</v>
      </c>
      <c r="E5533" t="s">
        <v>15993</v>
      </c>
      <c r="F5533" t="s">
        <v>15994</v>
      </c>
    </row>
    <row r="5534" spans="1:12">
      <c r="A5534" t="s">
        <v>15675</v>
      </c>
      <c r="B5534" t="s">
        <v>15676</v>
      </c>
      <c r="C5534" t="s">
        <v>15995</v>
      </c>
      <c r="D5534" t="s">
        <v>15678</v>
      </c>
      <c r="E5534" t="s">
        <v>655</v>
      </c>
      <c r="F5534" t="s">
        <v>656</v>
      </c>
    </row>
    <row r="5535" spans="1:12">
      <c r="A5535" t="s">
        <v>15675</v>
      </c>
      <c r="B5535" t="s">
        <v>15676</v>
      </c>
      <c r="D5535" t="s">
        <v>15678</v>
      </c>
      <c r="F5535" t="s">
        <v>15996</v>
      </c>
      <c r="J5535" t="s">
        <v>15997</v>
      </c>
      <c r="K5535" t="s">
        <v>15675</v>
      </c>
      <c r="L5535" t="s">
        <v>851</v>
      </c>
    </row>
    <row r="5536" spans="1:12">
      <c r="A5536" t="s">
        <v>15675</v>
      </c>
      <c r="B5536" t="s">
        <v>15676</v>
      </c>
      <c r="D5536" t="s">
        <v>15678</v>
      </c>
      <c r="F5536" t="s">
        <v>15998</v>
      </c>
      <c r="J5536" t="s">
        <v>15999</v>
      </c>
      <c r="K5536" t="s">
        <v>15675</v>
      </c>
      <c r="L5536" t="s">
        <v>851</v>
      </c>
    </row>
    <row r="5537" spans="1:12">
      <c r="A5537" t="s">
        <v>15675</v>
      </c>
      <c r="B5537" t="s">
        <v>15676</v>
      </c>
      <c r="D5537" t="s">
        <v>15678</v>
      </c>
      <c r="F5537" t="s">
        <v>16000</v>
      </c>
      <c r="J5537" t="s">
        <v>16001</v>
      </c>
      <c r="K5537" t="s">
        <v>15675</v>
      </c>
      <c r="L5537" t="s">
        <v>851</v>
      </c>
    </row>
    <row r="5538" spans="1:12">
      <c r="A5538" t="s">
        <v>15675</v>
      </c>
      <c r="B5538" t="s">
        <v>15676</v>
      </c>
      <c r="D5538" t="s">
        <v>15678</v>
      </c>
      <c r="F5538" t="s">
        <v>16002</v>
      </c>
      <c r="J5538" t="s">
        <v>16003</v>
      </c>
      <c r="K5538" t="s">
        <v>15675</v>
      </c>
      <c r="L5538" t="s">
        <v>851</v>
      </c>
    </row>
    <row r="5539" spans="1:12">
      <c r="A5539" t="s">
        <v>15675</v>
      </c>
      <c r="B5539" t="s">
        <v>15676</v>
      </c>
      <c r="D5539" t="s">
        <v>15678</v>
      </c>
      <c r="F5539" t="s">
        <v>16004</v>
      </c>
      <c r="J5539" t="s">
        <v>16005</v>
      </c>
      <c r="K5539" t="s">
        <v>15675</v>
      </c>
      <c r="L5539" t="s">
        <v>851</v>
      </c>
    </row>
    <row r="5540" spans="1:12">
      <c r="A5540" t="s">
        <v>16006</v>
      </c>
      <c r="B5540" t="s">
        <v>16007</v>
      </c>
      <c r="C5540" t="s">
        <v>16008</v>
      </c>
      <c r="D5540" t="s">
        <v>16009</v>
      </c>
      <c r="E5540" t="s">
        <v>16010</v>
      </c>
      <c r="F5540" t="s">
        <v>16011</v>
      </c>
    </row>
    <row r="5541" spans="1:12">
      <c r="A5541" t="s">
        <v>16006</v>
      </c>
      <c r="B5541" t="s">
        <v>16007</v>
      </c>
      <c r="C5541" t="s">
        <v>16012</v>
      </c>
      <c r="D5541" t="s">
        <v>16009</v>
      </c>
      <c r="E5541" t="s">
        <v>14967</v>
      </c>
      <c r="F5541" t="s">
        <v>16013</v>
      </c>
    </row>
    <row r="5542" spans="1:12">
      <c r="A5542" t="s">
        <v>16006</v>
      </c>
      <c r="B5542" t="s">
        <v>16007</v>
      </c>
      <c r="C5542" t="s">
        <v>16014</v>
      </c>
      <c r="D5542" t="s">
        <v>16009</v>
      </c>
      <c r="E5542" t="s">
        <v>3635</v>
      </c>
      <c r="F5542" t="s">
        <v>16015</v>
      </c>
    </row>
    <row r="5543" spans="1:12">
      <c r="A5543" t="s">
        <v>16006</v>
      </c>
      <c r="B5543" t="s">
        <v>16007</v>
      </c>
      <c r="C5543" t="s">
        <v>16016</v>
      </c>
      <c r="D5543" t="s">
        <v>16009</v>
      </c>
      <c r="E5543" t="s">
        <v>16017</v>
      </c>
      <c r="F5543" t="s">
        <v>12514</v>
      </c>
    </row>
    <row r="5544" spans="1:12">
      <c r="A5544" t="s">
        <v>16006</v>
      </c>
      <c r="B5544" t="s">
        <v>16007</v>
      </c>
      <c r="C5544" t="s">
        <v>16018</v>
      </c>
      <c r="D5544" t="s">
        <v>16009</v>
      </c>
      <c r="E5544" t="s">
        <v>4693</v>
      </c>
      <c r="F5544" t="s">
        <v>13737</v>
      </c>
    </row>
    <row r="5545" spans="1:12">
      <c r="A5545" t="s">
        <v>16006</v>
      </c>
      <c r="B5545" t="s">
        <v>16007</v>
      </c>
      <c r="C5545" t="s">
        <v>16019</v>
      </c>
      <c r="D5545" t="s">
        <v>16009</v>
      </c>
      <c r="E5545" t="s">
        <v>5060</v>
      </c>
      <c r="F5545" t="s">
        <v>16020</v>
      </c>
      <c r="J5545" t="s">
        <v>5060</v>
      </c>
      <c r="K5545" t="s">
        <v>3477</v>
      </c>
      <c r="L5545" t="s">
        <v>814</v>
      </c>
    </row>
    <row r="5546" spans="1:12">
      <c r="A5546" t="s">
        <v>16006</v>
      </c>
      <c r="B5546" t="s">
        <v>16007</v>
      </c>
      <c r="C5546" t="s">
        <v>16021</v>
      </c>
      <c r="D5546" t="s">
        <v>16009</v>
      </c>
      <c r="E5546" t="s">
        <v>16022</v>
      </c>
      <c r="F5546" t="s">
        <v>16023</v>
      </c>
      <c r="J5546" t="s">
        <v>16022</v>
      </c>
      <c r="K5546" t="s">
        <v>3477</v>
      </c>
      <c r="L5546" t="s">
        <v>814</v>
      </c>
    </row>
    <row r="5547" spans="1:12">
      <c r="A5547" t="s">
        <v>16006</v>
      </c>
      <c r="B5547" t="s">
        <v>16007</v>
      </c>
      <c r="C5547" t="s">
        <v>16024</v>
      </c>
      <c r="D5547" t="s">
        <v>16009</v>
      </c>
      <c r="E5547" t="s">
        <v>16025</v>
      </c>
      <c r="F5547" t="s">
        <v>16026</v>
      </c>
      <c r="J5547" t="s">
        <v>16025</v>
      </c>
      <c r="K5547" t="s">
        <v>3477</v>
      </c>
      <c r="L5547" t="s">
        <v>814</v>
      </c>
    </row>
    <row r="5548" spans="1:12">
      <c r="A5548" t="s">
        <v>16006</v>
      </c>
      <c r="B5548" t="s">
        <v>16007</v>
      </c>
      <c r="C5548" t="s">
        <v>16027</v>
      </c>
      <c r="D5548" t="s">
        <v>16009</v>
      </c>
      <c r="E5548" t="s">
        <v>9574</v>
      </c>
      <c r="F5548" t="s">
        <v>16028</v>
      </c>
      <c r="J5548" t="s">
        <v>9574</v>
      </c>
      <c r="K5548" t="s">
        <v>3477</v>
      </c>
      <c r="L5548" t="s">
        <v>814</v>
      </c>
    </row>
    <row r="5549" spans="1:12">
      <c r="A5549" t="s">
        <v>16006</v>
      </c>
      <c r="B5549" t="s">
        <v>16007</v>
      </c>
      <c r="C5549" t="s">
        <v>16029</v>
      </c>
      <c r="D5549" t="s">
        <v>16009</v>
      </c>
      <c r="E5549" t="s">
        <v>16030</v>
      </c>
      <c r="F5549" t="s">
        <v>16031</v>
      </c>
      <c r="J5549" t="s">
        <v>16030</v>
      </c>
      <c r="K5549" t="s">
        <v>3477</v>
      </c>
      <c r="L5549" t="s">
        <v>814</v>
      </c>
    </row>
    <row r="5550" spans="1:12">
      <c r="A5550" t="s">
        <v>16006</v>
      </c>
      <c r="B5550" t="s">
        <v>16007</v>
      </c>
      <c r="C5550" t="s">
        <v>16032</v>
      </c>
      <c r="D5550" t="s">
        <v>16009</v>
      </c>
      <c r="E5550" t="s">
        <v>7933</v>
      </c>
      <c r="F5550" t="s">
        <v>16033</v>
      </c>
    </row>
    <row r="5551" spans="1:12">
      <c r="A5551" t="s">
        <v>16006</v>
      </c>
      <c r="B5551" t="s">
        <v>16007</v>
      </c>
      <c r="C5551" t="s">
        <v>16034</v>
      </c>
      <c r="D5551" t="s">
        <v>16009</v>
      </c>
      <c r="E5551" t="s">
        <v>16035</v>
      </c>
      <c r="F5551" t="s">
        <v>16036</v>
      </c>
    </row>
    <row r="5552" spans="1:12">
      <c r="A5552" t="s">
        <v>16006</v>
      </c>
      <c r="B5552" t="s">
        <v>16007</v>
      </c>
      <c r="C5552" t="s">
        <v>16037</v>
      </c>
      <c r="D5552" t="s">
        <v>16009</v>
      </c>
      <c r="E5552" t="s">
        <v>14482</v>
      </c>
      <c r="F5552" t="s">
        <v>16038</v>
      </c>
    </row>
    <row r="5553" spans="1:12">
      <c r="A5553" t="s">
        <v>16006</v>
      </c>
      <c r="B5553" t="s">
        <v>16007</v>
      </c>
      <c r="C5553" t="s">
        <v>16039</v>
      </c>
      <c r="D5553" t="s">
        <v>16009</v>
      </c>
      <c r="E5553" t="s">
        <v>5208</v>
      </c>
      <c r="F5553" t="s">
        <v>16040</v>
      </c>
    </row>
    <row r="5554" spans="1:12">
      <c r="A5554" t="s">
        <v>16006</v>
      </c>
      <c r="B5554" t="s">
        <v>16007</v>
      </c>
      <c r="C5554" t="s">
        <v>16041</v>
      </c>
      <c r="D5554" t="s">
        <v>16009</v>
      </c>
      <c r="E5554" t="s">
        <v>16042</v>
      </c>
      <c r="F5554" t="s">
        <v>16043</v>
      </c>
      <c r="J5554" t="s">
        <v>16042</v>
      </c>
      <c r="K5554" t="s">
        <v>3477</v>
      </c>
      <c r="L5554" t="s">
        <v>814</v>
      </c>
    </row>
    <row r="5555" spans="1:12">
      <c r="A5555" t="s">
        <v>16006</v>
      </c>
      <c r="B5555" t="s">
        <v>16007</v>
      </c>
      <c r="C5555" t="s">
        <v>16044</v>
      </c>
      <c r="D5555" t="s">
        <v>16009</v>
      </c>
      <c r="E5555" t="s">
        <v>16045</v>
      </c>
      <c r="F5555" t="s">
        <v>16046</v>
      </c>
    </row>
    <row r="5556" spans="1:12">
      <c r="A5556" t="s">
        <v>16006</v>
      </c>
      <c r="B5556" t="s">
        <v>16007</v>
      </c>
      <c r="C5556" t="s">
        <v>16047</v>
      </c>
      <c r="D5556" t="s">
        <v>16009</v>
      </c>
      <c r="E5556" t="s">
        <v>14511</v>
      </c>
      <c r="F5556" t="s">
        <v>16048</v>
      </c>
    </row>
    <row r="5557" spans="1:12">
      <c r="A5557" t="s">
        <v>16006</v>
      </c>
      <c r="B5557" t="s">
        <v>16007</v>
      </c>
      <c r="C5557" t="s">
        <v>16049</v>
      </c>
      <c r="D5557" t="s">
        <v>16009</v>
      </c>
      <c r="E5557" t="s">
        <v>16050</v>
      </c>
      <c r="F5557" t="s">
        <v>16051</v>
      </c>
    </row>
    <row r="5558" spans="1:12">
      <c r="A5558" t="s">
        <v>16006</v>
      </c>
      <c r="B5558" t="s">
        <v>16007</v>
      </c>
      <c r="C5558" t="s">
        <v>16052</v>
      </c>
      <c r="D5558" t="s">
        <v>16009</v>
      </c>
      <c r="E5558" t="s">
        <v>14596</v>
      </c>
      <c r="F5558" t="s">
        <v>16053</v>
      </c>
    </row>
    <row r="5559" spans="1:12">
      <c r="A5559" t="s">
        <v>16006</v>
      </c>
      <c r="B5559" t="s">
        <v>16007</v>
      </c>
      <c r="C5559" t="s">
        <v>16054</v>
      </c>
      <c r="D5559" t="s">
        <v>16009</v>
      </c>
      <c r="E5559" t="s">
        <v>655</v>
      </c>
      <c r="F5559" t="s">
        <v>656</v>
      </c>
    </row>
    <row r="5560" spans="1:12">
      <c r="A5560" t="s">
        <v>16006</v>
      </c>
      <c r="B5560" t="s">
        <v>16007</v>
      </c>
      <c r="D5560" t="s">
        <v>16009</v>
      </c>
      <c r="F5560" t="s">
        <v>16020</v>
      </c>
      <c r="J5560" t="s">
        <v>10385</v>
      </c>
      <c r="K5560" t="s">
        <v>3477</v>
      </c>
      <c r="L5560" t="s">
        <v>814</v>
      </c>
    </row>
    <row r="5561" spans="1:12">
      <c r="A5561" t="s">
        <v>16055</v>
      </c>
      <c r="B5561" t="s">
        <v>16056</v>
      </c>
      <c r="C5561" t="s">
        <v>16057</v>
      </c>
      <c r="D5561" t="s">
        <v>16058</v>
      </c>
      <c r="E5561" t="s">
        <v>16059</v>
      </c>
      <c r="F5561" t="s">
        <v>16060</v>
      </c>
      <c r="J5561" t="s">
        <v>16059</v>
      </c>
      <c r="K5561" t="s">
        <v>16061</v>
      </c>
      <c r="L5561" t="s">
        <v>664</v>
      </c>
    </row>
    <row r="5562" spans="1:12">
      <c r="A5562" t="s">
        <v>16055</v>
      </c>
      <c r="B5562" t="s">
        <v>16056</v>
      </c>
      <c r="C5562" t="s">
        <v>16062</v>
      </c>
      <c r="D5562" t="s">
        <v>16058</v>
      </c>
      <c r="E5562" t="s">
        <v>16063</v>
      </c>
      <c r="F5562" t="s">
        <v>16064</v>
      </c>
    </row>
    <row r="5563" spans="1:12">
      <c r="A5563" t="s">
        <v>16055</v>
      </c>
      <c r="B5563" t="s">
        <v>16056</v>
      </c>
      <c r="C5563" t="s">
        <v>16065</v>
      </c>
      <c r="D5563" t="s">
        <v>16058</v>
      </c>
      <c r="E5563" t="s">
        <v>16066</v>
      </c>
      <c r="F5563" t="s">
        <v>16067</v>
      </c>
      <c r="J5563" t="s">
        <v>16066</v>
      </c>
      <c r="K5563" t="s">
        <v>16061</v>
      </c>
      <c r="L5563" t="s">
        <v>664</v>
      </c>
    </row>
    <row r="5564" spans="1:12">
      <c r="A5564" t="s">
        <v>16055</v>
      </c>
      <c r="B5564" t="s">
        <v>16056</v>
      </c>
      <c r="C5564" t="s">
        <v>16068</v>
      </c>
      <c r="D5564" t="s">
        <v>16058</v>
      </c>
      <c r="E5564" t="s">
        <v>16069</v>
      </c>
      <c r="F5564" t="s">
        <v>16070</v>
      </c>
      <c r="J5564" t="s">
        <v>16069</v>
      </c>
      <c r="K5564" t="s">
        <v>16061</v>
      </c>
      <c r="L5564" t="s">
        <v>664</v>
      </c>
    </row>
    <row r="5565" spans="1:12">
      <c r="A5565" t="s">
        <v>16055</v>
      </c>
      <c r="B5565" t="s">
        <v>16056</v>
      </c>
      <c r="C5565" t="s">
        <v>16071</v>
      </c>
      <c r="D5565" t="s">
        <v>16058</v>
      </c>
      <c r="E5565" t="s">
        <v>655</v>
      </c>
      <c r="F5565" t="s">
        <v>656</v>
      </c>
    </row>
    <row r="5566" spans="1:12">
      <c r="A5566" t="s">
        <v>16055</v>
      </c>
      <c r="B5566" t="s">
        <v>16056</v>
      </c>
      <c r="D5566" t="s">
        <v>16058</v>
      </c>
      <c r="F5566" t="s">
        <v>16060</v>
      </c>
      <c r="J5566" t="s">
        <v>16072</v>
      </c>
      <c r="K5566" t="s">
        <v>16061</v>
      </c>
      <c r="L5566" t="s">
        <v>664</v>
      </c>
    </row>
    <row r="5567" spans="1:12">
      <c r="A5567" t="s">
        <v>16055</v>
      </c>
      <c r="B5567" t="s">
        <v>16056</v>
      </c>
      <c r="D5567" t="s">
        <v>16058</v>
      </c>
      <c r="F5567" t="s">
        <v>16073</v>
      </c>
      <c r="J5567" t="s">
        <v>16074</v>
      </c>
      <c r="K5567" t="s">
        <v>16061</v>
      </c>
      <c r="L5567" t="s">
        <v>664</v>
      </c>
    </row>
    <row r="5568" spans="1:12">
      <c r="A5568" t="s">
        <v>16075</v>
      </c>
      <c r="B5568" t="s">
        <v>16076</v>
      </c>
      <c r="C5568" t="s">
        <v>16077</v>
      </c>
      <c r="D5568" t="s">
        <v>16078</v>
      </c>
      <c r="E5568" t="s">
        <v>3775</v>
      </c>
      <c r="F5568" t="s">
        <v>16079</v>
      </c>
      <c r="G5568" t="s">
        <v>16080</v>
      </c>
      <c r="H5568" t="s">
        <v>16081</v>
      </c>
      <c r="I5568" t="s">
        <v>16082</v>
      </c>
    </row>
    <row r="5569" spans="1:9">
      <c r="A5569" t="s">
        <v>16075</v>
      </c>
      <c r="B5569" t="s">
        <v>16076</v>
      </c>
      <c r="C5569" t="s">
        <v>16083</v>
      </c>
      <c r="D5569" t="s">
        <v>16078</v>
      </c>
      <c r="E5569" t="s">
        <v>16084</v>
      </c>
      <c r="F5569" t="s">
        <v>16085</v>
      </c>
      <c r="G5569" t="s">
        <v>16086</v>
      </c>
      <c r="H5569" t="s">
        <v>16087</v>
      </c>
      <c r="I5569" t="s">
        <v>16082</v>
      </c>
    </row>
    <row r="5570" spans="1:9">
      <c r="A5570" t="s">
        <v>16075</v>
      </c>
      <c r="B5570" t="s">
        <v>16076</v>
      </c>
      <c r="C5570" t="s">
        <v>16088</v>
      </c>
      <c r="D5570" t="s">
        <v>16078</v>
      </c>
      <c r="E5570" t="s">
        <v>16089</v>
      </c>
      <c r="F5570" t="s">
        <v>16090</v>
      </c>
      <c r="G5570" t="s">
        <v>16091</v>
      </c>
      <c r="H5570" t="s">
        <v>16092</v>
      </c>
      <c r="I5570" t="s">
        <v>16093</v>
      </c>
    </row>
    <row r="5571" spans="1:9">
      <c r="A5571" t="s">
        <v>16075</v>
      </c>
      <c r="B5571" t="s">
        <v>16076</v>
      </c>
      <c r="C5571" t="s">
        <v>16094</v>
      </c>
      <c r="D5571" t="s">
        <v>16078</v>
      </c>
      <c r="E5571" t="s">
        <v>16095</v>
      </c>
      <c r="F5571" t="s">
        <v>16096</v>
      </c>
      <c r="G5571" t="s">
        <v>16097</v>
      </c>
      <c r="H5571" t="s">
        <v>16098</v>
      </c>
      <c r="I5571" t="s">
        <v>16082</v>
      </c>
    </row>
    <row r="5572" spans="1:9">
      <c r="A5572" t="s">
        <v>16075</v>
      </c>
      <c r="B5572" t="s">
        <v>16076</v>
      </c>
      <c r="C5572" t="s">
        <v>16099</v>
      </c>
      <c r="D5572" t="s">
        <v>16078</v>
      </c>
      <c r="E5572" t="s">
        <v>666</v>
      </c>
      <c r="F5572" t="s">
        <v>16100</v>
      </c>
      <c r="G5572" t="s">
        <v>16101</v>
      </c>
      <c r="H5572" t="s">
        <v>16102</v>
      </c>
      <c r="I5572" t="s">
        <v>16093</v>
      </c>
    </row>
    <row r="5573" spans="1:9">
      <c r="A5573" t="s">
        <v>16075</v>
      </c>
      <c r="B5573" t="s">
        <v>16076</v>
      </c>
      <c r="C5573" t="s">
        <v>16103</v>
      </c>
      <c r="D5573" t="s">
        <v>16078</v>
      </c>
      <c r="E5573" t="s">
        <v>6736</v>
      </c>
      <c r="F5573" t="s">
        <v>16104</v>
      </c>
      <c r="G5573" t="s">
        <v>16105</v>
      </c>
      <c r="H5573" t="s">
        <v>16106</v>
      </c>
      <c r="I5573" t="s">
        <v>16082</v>
      </c>
    </row>
    <row r="5574" spans="1:9">
      <c r="A5574" t="s">
        <v>16075</v>
      </c>
      <c r="B5574" t="s">
        <v>16076</v>
      </c>
      <c r="C5574" t="s">
        <v>16107</v>
      </c>
      <c r="D5574" t="s">
        <v>16078</v>
      </c>
      <c r="E5574" t="s">
        <v>16108</v>
      </c>
      <c r="F5574" t="s">
        <v>16108</v>
      </c>
      <c r="G5574" t="s">
        <v>16109</v>
      </c>
      <c r="H5574" t="s">
        <v>16110</v>
      </c>
      <c r="I5574" t="s">
        <v>16082</v>
      </c>
    </row>
    <row r="5575" spans="1:9">
      <c r="A5575" t="s">
        <v>16075</v>
      </c>
      <c r="B5575" t="s">
        <v>16076</v>
      </c>
      <c r="C5575" t="s">
        <v>16111</v>
      </c>
      <c r="D5575" t="s">
        <v>16078</v>
      </c>
      <c r="E5575" t="s">
        <v>1466</v>
      </c>
      <c r="F5575" t="s">
        <v>1466</v>
      </c>
      <c r="G5575" t="s">
        <v>16080</v>
      </c>
      <c r="H5575" t="s">
        <v>16112</v>
      </c>
      <c r="I5575" t="s">
        <v>16082</v>
      </c>
    </row>
    <row r="5576" spans="1:9">
      <c r="A5576" t="s">
        <v>16075</v>
      </c>
      <c r="B5576" t="s">
        <v>16076</v>
      </c>
      <c r="C5576" t="s">
        <v>16113</v>
      </c>
      <c r="D5576" t="s">
        <v>16078</v>
      </c>
      <c r="E5576" t="s">
        <v>16114</v>
      </c>
      <c r="F5576" t="s">
        <v>16115</v>
      </c>
      <c r="G5576" t="s">
        <v>16116</v>
      </c>
      <c r="H5576" t="s">
        <v>16117</v>
      </c>
      <c r="I5576" t="s">
        <v>16082</v>
      </c>
    </row>
    <row r="5577" spans="1:9">
      <c r="A5577" t="s">
        <v>16075</v>
      </c>
      <c r="B5577" t="s">
        <v>16076</v>
      </c>
      <c r="C5577" t="s">
        <v>16118</v>
      </c>
      <c r="D5577" t="s">
        <v>16078</v>
      </c>
      <c r="E5577" t="s">
        <v>12303</v>
      </c>
      <c r="F5577" t="s">
        <v>16119</v>
      </c>
      <c r="G5577" t="s">
        <v>16105</v>
      </c>
      <c r="H5577" t="s">
        <v>16120</v>
      </c>
      <c r="I5577" t="s">
        <v>16082</v>
      </c>
    </row>
    <row r="5578" spans="1:9">
      <c r="A5578" t="s">
        <v>16075</v>
      </c>
      <c r="B5578" t="s">
        <v>16076</v>
      </c>
      <c r="C5578" t="s">
        <v>16121</v>
      </c>
      <c r="D5578" t="s">
        <v>16078</v>
      </c>
      <c r="E5578" t="s">
        <v>14934</v>
      </c>
      <c r="F5578" t="s">
        <v>16122</v>
      </c>
      <c r="G5578" t="s">
        <v>16116</v>
      </c>
      <c r="H5578" t="s">
        <v>16123</v>
      </c>
      <c r="I5578" t="s">
        <v>16082</v>
      </c>
    </row>
    <row r="5579" spans="1:9">
      <c r="A5579" t="s">
        <v>16075</v>
      </c>
      <c r="B5579" t="s">
        <v>16076</v>
      </c>
      <c r="C5579" t="s">
        <v>16124</v>
      </c>
      <c r="D5579" t="s">
        <v>16078</v>
      </c>
      <c r="E5579" t="s">
        <v>16125</v>
      </c>
      <c r="F5579" t="s">
        <v>16126</v>
      </c>
      <c r="G5579" t="s">
        <v>16080</v>
      </c>
      <c r="H5579" t="s">
        <v>16127</v>
      </c>
      <c r="I5579" t="s">
        <v>16082</v>
      </c>
    </row>
    <row r="5580" spans="1:9">
      <c r="A5580" t="s">
        <v>16075</v>
      </c>
      <c r="B5580" t="s">
        <v>16076</v>
      </c>
      <c r="C5580" t="s">
        <v>16128</v>
      </c>
      <c r="D5580" t="s">
        <v>16078</v>
      </c>
      <c r="E5580" t="s">
        <v>16129</v>
      </c>
      <c r="F5580" t="s">
        <v>16130</v>
      </c>
      <c r="G5580" t="s">
        <v>16131</v>
      </c>
      <c r="H5580" t="s">
        <v>16132</v>
      </c>
      <c r="I5580" t="s">
        <v>16082</v>
      </c>
    </row>
    <row r="5581" spans="1:9">
      <c r="A5581" t="s">
        <v>16075</v>
      </c>
      <c r="B5581" t="s">
        <v>16076</v>
      </c>
      <c r="C5581" t="s">
        <v>16133</v>
      </c>
      <c r="D5581" t="s">
        <v>16078</v>
      </c>
      <c r="E5581" t="s">
        <v>10266</v>
      </c>
      <c r="F5581" t="s">
        <v>16134</v>
      </c>
      <c r="G5581" t="s">
        <v>16105</v>
      </c>
      <c r="H5581" t="s">
        <v>16135</v>
      </c>
      <c r="I5581" t="s">
        <v>16082</v>
      </c>
    </row>
    <row r="5582" spans="1:9">
      <c r="A5582" t="s">
        <v>16075</v>
      </c>
      <c r="B5582" t="s">
        <v>16076</v>
      </c>
      <c r="C5582" t="s">
        <v>16136</v>
      </c>
      <c r="D5582" t="s">
        <v>16078</v>
      </c>
      <c r="E5582" t="s">
        <v>16137</v>
      </c>
      <c r="F5582" t="s">
        <v>16138</v>
      </c>
      <c r="G5582" t="s">
        <v>16139</v>
      </c>
      <c r="H5582" t="s">
        <v>16140</v>
      </c>
      <c r="I5582" t="s">
        <v>16082</v>
      </c>
    </row>
    <row r="5583" spans="1:9">
      <c r="A5583" t="s">
        <v>16075</v>
      </c>
      <c r="B5583" t="s">
        <v>16076</v>
      </c>
      <c r="C5583" t="s">
        <v>16141</v>
      </c>
      <c r="D5583" t="s">
        <v>16078</v>
      </c>
      <c r="E5583" t="s">
        <v>16142</v>
      </c>
      <c r="F5583" t="s">
        <v>16143</v>
      </c>
      <c r="G5583" t="s">
        <v>16105</v>
      </c>
      <c r="H5583" t="s">
        <v>16144</v>
      </c>
      <c r="I5583" t="s">
        <v>16082</v>
      </c>
    </row>
    <row r="5584" spans="1:9">
      <c r="A5584" t="s">
        <v>16075</v>
      </c>
      <c r="B5584" t="s">
        <v>16076</v>
      </c>
      <c r="C5584" t="s">
        <v>16145</v>
      </c>
      <c r="D5584" t="s">
        <v>16078</v>
      </c>
      <c r="E5584" t="s">
        <v>16146</v>
      </c>
      <c r="F5584" t="s">
        <v>16147</v>
      </c>
      <c r="G5584" t="s">
        <v>16131</v>
      </c>
      <c r="H5584" t="s">
        <v>16148</v>
      </c>
      <c r="I5584" t="s">
        <v>16082</v>
      </c>
    </row>
    <row r="5585" spans="1:9">
      <c r="A5585" t="s">
        <v>16075</v>
      </c>
      <c r="B5585" t="s">
        <v>16076</v>
      </c>
      <c r="C5585" t="s">
        <v>16149</v>
      </c>
      <c r="D5585" t="s">
        <v>16078</v>
      </c>
      <c r="E5585" t="s">
        <v>16134</v>
      </c>
      <c r="F5585" t="s">
        <v>16150</v>
      </c>
      <c r="G5585" t="s">
        <v>16109</v>
      </c>
      <c r="H5585" t="s">
        <v>16151</v>
      </c>
      <c r="I5585" t="s">
        <v>16093</v>
      </c>
    </row>
    <row r="5586" spans="1:9">
      <c r="A5586" t="s">
        <v>16075</v>
      </c>
      <c r="B5586" t="s">
        <v>16076</v>
      </c>
      <c r="C5586" t="s">
        <v>16152</v>
      </c>
      <c r="D5586" t="s">
        <v>16078</v>
      </c>
      <c r="E5586" t="s">
        <v>16153</v>
      </c>
      <c r="F5586" t="s">
        <v>16154</v>
      </c>
      <c r="G5586" t="s">
        <v>16131</v>
      </c>
      <c r="H5586" t="s">
        <v>16155</v>
      </c>
      <c r="I5586" t="s">
        <v>16082</v>
      </c>
    </row>
    <row r="5587" spans="1:9">
      <c r="A5587" t="s">
        <v>16075</v>
      </c>
      <c r="B5587" t="s">
        <v>16076</v>
      </c>
      <c r="C5587" t="s">
        <v>16156</v>
      </c>
      <c r="D5587" t="s">
        <v>16078</v>
      </c>
      <c r="E5587" t="s">
        <v>16157</v>
      </c>
      <c r="F5587" t="s">
        <v>16158</v>
      </c>
      <c r="G5587" t="s">
        <v>16159</v>
      </c>
      <c r="H5587" t="s">
        <v>16160</v>
      </c>
      <c r="I5587" t="s">
        <v>16082</v>
      </c>
    </row>
    <row r="5588" spans="1:9">
      <c r="A5588" t="s">
        <v>16075</v>
      </c>
      <c r="B5588" t="s">
        <v>16076</v>
      </c>
      <c r="C5588" t="s">
        <v>16161</v>
      </c>
      <c r="D5588" t="s">
        <v>16078</v>
      </c>
      <c r="E5588" t="s">
        <v>16162</v>
      </c>
      <c r="F5588" t="s">
        <v>16163</v>
      </c>
      <c r="G5588" t="s">
        <v>16080</v>
      </c>
      <c r="H5588" t="s">
        <v>16164</v>
      </c>
      <c r="I5588" t="s">
        <v>16082</v>
      </c>
    </row>
    <row r="5589" spans="1:9">
      <c r="A5589" t="s">
        <v>16075</v>
      </c>
      <c r="B5589" t="s">
        <v>16076</v>
      </c>
      <c r="C5589" t="s">
        <v>16165</v>
      </c>
      <c r="D5589" t="s">
        <v>16078</v>
      </c>
      <c r="E5589" t="s">
        <v>16166</v>
      </c>
      <c r="F5589" t="s">
        <v>16167</v>
      </c>
      <c r="G5589" t="s">
        <v>16168</v>
      </c>
      <c r="H5589" t="s">
        <v>16169</v>
      </c>
      <c r="I5589" t="s">
        <v>16082</v>
      </c>
    </row>
    <row r="5590" spans="1:9">
      <c r="A5590" t="s">
        <v>16075</v>
      </c>
      <c r="B5590" t="s">
        <v>16076</v>
      </c>
      <c r="C5590" t="s">
        <v>16170</v>
      </c>
      <c r="D5590" t="s">
        <v>16078</v>
      </c>
      <c r="E5590" t="s">
        <v>16171</v>
      </c>
      <c r="F5590" t="s">
        <v>16172</v>
      </c>
      <c r="G5590" t="s">
        <v>16173</v>
      </c>
      <c r="H5590" t="s">
        <v>16174</v>
      </c>
      <c r="I5590" t="s">
        <v>16082</v>
      </c>
    </row>
    <row r="5591" spans="1:9">
      <c r="A5591" t="s">
        <v>16075</v>
      </c>
      <c r="B5591" t="s">
        <v>16076</v>
      </c>
      <c r="C5591" t="s">
        <v>16175</v>
      </c>
      <c r="D5591" t="s">
        <v>16078</v>
      </c>
      <c r="E5591" t="s">
        <v>16176</v>
      </c>
      <c r="F5591" t="s">
        <v>16177</v>
      </c>
      <c r="G5591" t="s">
        <v>16178</v>
      </c>
      <c r="H5591" t="s">
        <v>16179</v>
      </c>
      <c r="I5591" t="s">
        <v>16082</v>
      </c>
    </row>
    <row r="5592" spans="1:9">
      <c r="A5592" t="s">
        <v>16075</v>
      </c>
      <c r="B5592" t="s">
        <v>16076</v>
      </c>
      <c r="C5592" t="s">
        <v>16180</v>
      </c>
      <c r="D5592" t="s">
        <v>16078</v>
      </c>
      <c r="E5592" t="s">
        <v>16181</v>
      </c>
      <c r="F5592" t="s">
        <v>16182</v>
      </c>
      <c r="G5592" t="s">
        <v>16183</v>
      </c>
      <c r="H5592" t="s">
        <v>16184</v>
      </c>
      <c r="I5592" t="s">
        <v>16082</v>
      </c>
    </row>
    <row r="5593" spans="1:9">
      <c r="A5593" t="s">
        <v>16075</v>
      </c>
      <c r="B5593" t="s">
        <v>16076</v>
      </c>
      <c r="C5593" t="s">
        <v>16185</v>
      </c>
      <c r="D5593" t="s">
        <v>16078</v>
      </c>
      <c r="E5593" t="s">
        <v>16186</v>
      </c>
      <c r="F5593" t="s">
        <v>11725</v>
      </c>
      <c r="G5593" t="s">
        <v>16116</v>
      </c>
      <c r="H5593" t="s">
        <v>16187</v>
      </c>
      <c r="I5593" t="s">
        <v>16082</v>
      </c>
    </row>
    <row r="5594" spans="1:9">
      <c r="A5594" t="s">
        <v>16075</v>
      </c>
      <c r="B5594" t="s">
        <v>16076</v>
      </c>
      <c r="C5594" t="s">
        <v>16188</v>
      </c>
      <c r="D5594" t="s">
        <v>16078</v>
      </c>
      <c r="E5594" t="s">
        <v>7608</v>
      </c>
      <c r="F5594" t="s">
        <v>16189</v>
      </c>
      <c r="G5594" t="s">
        <v>16109</v>
      </c>
      <c r="H5594" t="s">
        <v>16190</v>
      </c>
      <c r="I5594" t="s">
        <v>16082</v>
      </c>
    </row>
    <row r="5595" spans="1:9">
      <c r="A5595" t="s">
        <v>16075</v>
      </c>
      <c r="B5595" t="s">
        <v>16076</v>
      </c>
      <c r="C5595" t="s">
        <v>16191</v>
      </c>
      <c r="D5595" t="s">
        <v>16078</v>
      </c>
      <c r="E5595" t="s">
        <v>16192</v>
      </c>
      <c r="F5595" t="s">
        <v>16193</v>
      </c>
      <c r="G5595" t="s">
        <v>16194</v>
      </c>
      <c r="H5595" t="s">
        <v>16195</v>
      </c>
      <c r="I5595" t="s">
        <v>16082</v>
      </c>
    </row>
    <row r="5596" spans="1:9">
      <c r="A5596" t="s">
        <v>16075</v>
      </c>
      <c r="B5596" t="s">
        <v>16076</v>
      </c>
      <c r="C5596" t="s">
        <v>16196</v>
      </c>
      <c r="D5596" t="s">
        <v>16078</v>
      </c>
      <c r="E5596" t="s">
        <v>16197</v>
      </c>
      <c r="F5596" t="s">
        <v>16198</v>
      </c>
      <c r="G5596" t="s">
        <v>16139</v>
      </c>
      <c r="H5596" t="s">
        <v>16199</v>
      </c>
      <c r="I5596" t="s">
        <v>16082</v>
      </c>
    </row>
    <row r="5597" spans="1:9">
      <c r="A5597" t="s">
        <v>16075</v>
      </c>
      <c r="B5597" t="s">
        <v>16076</v>
      </c>
      <c r="C5597" t="s">
        <v>16200</v>
      </c>
      <c r="D5597" t="s">
        <v>16078</v>
      </c>
      <c r="E5597" t="s">
        <v>12170</v>
      </c>
      <c r="F5597" t="s">
        <v>16201</v>
      </c>
      <c r="G5597" t="s">
        <v>16091</v>
      </c>
      <c r="H5597" t="s">
        <v>16202</v>
      </c>
      <c r="I5597" t="s">
        <v>16082</v>
      </c>
    </row>
    <row r="5598" spans="1:9">
      <c r="A5598" t="s">
        <v>16075</v>
      </c>
      <c r="B5598" t="s">
        <v>16076</v>
      </c>
      <c r="C5598" t="s">
        <v>16203</v>
      </c>
      <c r="D5598" t="s">
        <v>16078</v>
      </c>
      <c r="E5598" t="s">
        <v>16204</v>
      </c>
      <c r="F5598" t="s">
        <v>16205</v>
      </c>
      <c r="G5598" t="s">
        <v>16194</v>
      </c>
      <c r="H5598" t="s">
        <v>16206</v>
      </c>
      <c r="I5598" t="s">
        <v>16082</v>
      </c>
    </row>
    <row r="5599" spans="1:9">
      <c r="A5599" t="s">
        <v>16075</v>
      </c>
      <c r="B5599" t="s">
        <v>16076</v>
      </c>
      <c r="C5599" t="s">
        <v>16207</v>
      </c>
      <c r="D5599" t="s">
        <v>16078</v>
      </c>
      <c r="E5599" t="s">
        <v>3449</v>
      </c>
      <c r="F5599" t="s">
        <v>16208</v>
      </c>
      <c r="G5599" t="s">
        <v>16209</v>
      </c>
      <c r="H5599" t="s">
        <v>16210</v>
      </c>
      <c r="I5599" t="s">
        <v>16082</v>
      </c>
    </row>
    <row r="5600" spans="1:9">
      <c r="A5600" t="s">
        <v>16075</v>
      </c>
      <c r="B5600" t="s">
        <v>16076</v>
      </c>
      <c r="C5600" t="s">
        <v>16211</v>
      </c>
      <c r="D5600" t="s">
        <v>16078</v>
      </c>
      <c r="E5600" t="s">
        <v>16212</v>
      </c>
      <c r="F5600" t="s">
        <v>16213</v>
      </c>
      <c r="G5600" t="s">
        <v>16086</v>
      </c>
      <c r="H5600" t="s">
        <v>16214</v>
      </c>
      <c r="I5600" t="s">
        <v>16082</v>
      </c>
    </row>
    <row r="5601" spans="1:14">
      <c r="A5601" t="s">
        <v>16075</v>
      </c>
      <c r="B5601" t="s">
        <v>16076</v>
      </c>
      <c r="C5601" t="s">
        <v>16215</v>
      </c>
      <c r="D5601" t="s">
        <v>16078</v>
      </c>
      <c r="E5601" t="s">
        <v>16216</v>
      </c>
      <c r="F5601" t="s">
        <v>16217</v>
      </c>
      <c r="G5601" t="s">
        <v>16091</v>
      </c>
      <c r="H5601" t="s">
        <v>16218</v>
      </c>
      <c r="I5601" t="s">
        <v>16082</v>
      </c>
      <c r="J5601" t="s">
        <v>16216</v>
      </c>
      <c r="K5601" t="s">
        <v>16075</v>
      </c>
      <c r="L5601" t="s">
        <v>16219</v>
      </c>
      <c r="M5601" t="s">
        <v>16082</v>
      </c>
      <c r="N5601" t="s">
        <v>16218</v>
      </c>
    </row>
    <row r="5602" spans="1:14">
      <c r="A5602" t="s">
        <v>16075</v>
      </c>
      <c r="B5602" t="s">
        <v>16076</v>
      </c>
      <c r="C5602" t="s">
        <v>16220</v>
      </c>
      <c r="D5602" t="s">
        <v>16078</v>
      </c>
      <c r="E5602" t="s">
        <v>16221</v>
      </c>
      <c r="F5602" t="s">
        <v>16222</v>
      </c>
      <c r="G5602" t="s">
        <v>16159</v>
      </c>
      <c r="H5602" t="s">
        <v>16223</v>
      </c>
      <c r="I5602" t="s">
        <v>16082</v>
      </c>
    </row>
    <row r="5603" spans="1:14">
      <c r="A5603" t="s">
        <v>16075</v>
      </c>
      <c r="B5603" t="s">
        <v>16076</v>
      </c>
      <c r="C5603" t="s">
        <v>16224</v>
      </c>
      <c r="D5603" t="s">
        <v>16078</v>
      </c>
      <c r="E5603" t="s">
        <v>16225</v>
      </c>
      <c r="F5603" t="s">
        <v>16226</v>
      </c>
      <c r="G5603" t="s">
        <v>16194</v>
      </c>
      <c r="H5603" t="s">
        <v>16227</v>
      </c>
      <c r="I5603" t="s">
        <v>16082</v>
      </c>
    </row>
    <row r="5604" spans="1:14">
      <c r="A5604" t="s">
        <v>16075</v>
      </c>
      <c r="B5604" t="s">
        <v>16076</v>
      </c>
      <c r="C5604" t="s">
        <v>16228</v>
      </c>
      <c r="D5604" t="s">
        <v>16078</v>
      </c>
      <c r="E5604" t="s">
        <v>16229</v>
      </c>
      <c r="F5604" t="s">
        <v>16230</v>
      </c>
      <c r="G5604" t="s">
        <v>16194</v>
      </c>
      <c r="H5604" t="s">
        <v>16231</v>
      </c>
      <c r="I5604" t="s">
        <v>16082</v>
      </c>
    </row>
    <row r="5605" spans="1:14">
      <c r="A5605" t="s">
        <v>16075</v>
      </c>
      <c r="B5605" t="s">
        <v>16076</v>
      </c>
      <c r="C5605" t="s">
        <v>16232</v>
      </c>
      <c r="D5605" t="s">
        <v>16078</v>
      </c>
      <c r="E5605" t="s">
        <v>16233</v>
      </c>
      <c r="F5605" t="s">
        <v>16234</v>
      </c>
      <c r="G5605" t="s">
        <v>16109</v>
      </c>
      <c r="H5605" t="s">
        <v>16235</v>
      </c>
      <c r="I5605" t="s">
        <v>16082</v>
      </c>
    </row>
    <row r="5606" spans="1:14">
      <c r="A5606" t="s">
        <v>16075</v>
      </c>
      <c r="B5606" t="s">
        <v>16076</v>
      </c>
      <c r="C5606" t="s">
        <v>16236</v>
      </c>
      <c r="D5606" t="s">
        <v>16078</v>
      </c>
      <c r="E5606" t="s">
        <v>16237</v>
      </c>
      <c r="F5606" t="s">
        <v>16238</v>
      </c>
      <c r="G5606" t="s">
        <v>16239</v>
      </c>
      <c r="H5606" t="s">
        <v>16240</v>
      </c>
      <c r="I5606" t="s">
        <v>16082</v>
      </c>
      <c r="J5606" t="s">
        <v>16241</v>
      </c>
      <c r="K5606" t="s">
        <v>16075</v>
      </c>
      <c r="L5606" t="s">
        <v>16219</v>
      </c>
      <c r="M5606" t="s">
        <v>16082</v>
      </c>
      <c r="N5606" t="s">
        <v>16240</v>
      </c>
    </row>
    <row r="5607" spans="1:14">
      <c r="A5607" t="s">
        <v>16075</v>
      </c>
      <c r="B5607" t="s">
        <v>16076</v>
      </c>
      <c r="C5607" t="s">
        <v>16242</v>
      </c>
      <c r="D5607" t="s">
        <v>16078</v>
      </c>
      <c r="E5607" t="s">
        <v>8250</v>
      </c>
      <c r="F5607" t="s">
        <v>16243</v>
      </c>
      <c r="G5607" t="s">
        <v>16097</v>
      </c>
      <c r="H5607" t="s">
        <v>16244</v>
      </c>
      <c r="I5607" t="s">
        <v>16082</v>
      </c>
    </row>
    <row r="5608" spans="1:14">
      <c r="A5608" t="s">
        <v>16075</v>
      </c>
      <c r="B5608" t="s">
        <v>16076</v>
      </c>
      <c r="C5608" t="s">
        <v>16245</v>
      </c>
      <c r="D5608" t="s">
        <v>16078</v>
      </c>
      <c r="E5608" t="s">
        <v>16246</v>
      </c>
      <c r="F5608" t="s">
        <v>16247</v>
      </c>
      <c r="G5608" t="s">
        <v>16194</v>
      </c>
      <c r="H5608" t="s">
        <v>16248</v>
      </c>
      <c r="I5608" t="s">
        <v>16082</v>
      </c>
    </row>
    <row r="5609" spans="1:14">
      <c r="A5609" t="s">
        <v>16075</v>
      </c>
      <c r="B5609" t="s">
        <v>16076</v>
      </c>
      <c r="C5609" t="s">
        <v>16249</v>
      </c>
      <c r="D5609" t="s">
        <v>16078</v>
      </c>
      <c r="E5609" t="s">
        <v>16250</v>
      </c>
      <c r="F5609" t="s">
        <v>16251</v>
      </c>
      <c r="G5609" t="s">
        <v>16086</v>
      </c>
      <c r="H5609" t="s">
        <v>16252</v>
      </c>
      <c r="I5609" t="s">
        <v>16082</v>
      </c>
    </row>
    <row r="5610" spans="1:14">
      <c r="A5610" t="s">
        <v>16075</v>
      </c>
      <c r="B5610" t="s">
        <v>16076</v>
      </c>
      <c r="C5610" t="s">
        <v>16253</v>
      </c>
      <c r="D5610" t="s">
        <v>16078</v>
      </c>
      <c r="E5610" t="s">
        <v>14152</v>
      </c>
      <c r="F5610" t="s">
        <v>16254</v>
      </c>
      <c r="G5610" t="s">
        <v>16109</v>
      </c>
      <c r="H5610" t="s">
        <v>16255</v>
      </c>
      <c r="I5610" t="s">
        <v>16082</v>
      </c>
    </row>
    <row r="5611" spans="1:14">
      <c r="A5611" t="s">
        <v>16075</v>
      </c>
      <c r="B5611" t="s">
        <v>16076</v>
      </c>
      <c r="C5611" t="s">
        <v>16256</v>
      </c>
      <c r="D5611" t="s">
        <v>16078</v>
      </c>
      <c r="E5611" t="s">
        <v>16257</v>
      </c>
      <c r="F5611" t="s">
        <v>16258</v>
      </c>
      <c r="G5611" t="s">
        <v>16259</v>
      </c>
      <c r="H5611" t="s">
        <v>16260</v>
      </c>
    </row>
    <row r="5612" spans="1:14">
      <c r="A5612" t="s">
        <v>16075</v>
      </c>
      <c r="B5612" t="s">
        <v>16076</v>
      </c>
      <c r="C5612" t="s">
        <v>16261</v>
      </c>
      <c r="D5612" t="s">
        <v>16078</v>
      </c>
      <c r="E5612" t="s">
        <v>14155</v>
      </c>
      <c r="F5612" t="s">
        <v>16262</v>
      </c>
      <c r="G5612" t="s">
        <v>16183</v>
      </c>
      <c r="H5612" t="s">
        <v>16263</v>
      </c>
      <c r="I5612" t="s">
        <v>16082</v>
      </c>
    </row>
    <row r="5613" spans="1:14">
      <c r="A5613" t="s">
        <v>16075</v>
      </c>
      <c r="B5613" t="s">
        <v>16076</v>
      </c>
      <c r="C5613" t="s">
        <v>16264</v>
      </c>
      <c r="D5613" t="s">
        <v>16078</v>
      </c>
      <c r="E5613" t="s">
        <v>3794</v>
      </c>
      <c r="F5613" t="s">
        <v>16265</v>
      </c>
      <c r="G5613" t="s">
        <v>16266</v>
      </c>
      <c r="H5613" t="s">
        <v>16267</v>
      </c>
      <c r="I5613" t="s">
        <v>16082</v>
      </c>
    </row>
    <row r="5614" spans="1:14">
      <c r="A5614" t="s">
        <v>16075</v>
      </c>
      <c r="B5614" t="s">
        <v>16076</v>
      </c>
      <c r="C5614" t="s">
        <v>16268</v>
      </c>
      <c r="D5614" t="s">
        <v>16078</v>
      </c>
      <c r="E5614" t="s">
        <v>16059</v>
      </c>
      <c r="F5614" t="s">
        <v>16269</v>
      </c>
      <c r="G5614" t="s">
        <v>16109</v>
      </c>
      <c r="H5614" t="s">
        <v>16270</v>
      </c>
      <c r="I5614" t="s">
        <v>16082</v>
      </c>
    </row>
    <row r="5615" spans="1:14">
      <c r="A5615" t="s">
        <v>16075</v>
      </c>
      <c r="B5615" t="s">
        <v>16076</v>
      </c>
      <c r="C5615" t="s">
        <v>16271</v>
      </c>
      <c r="D5615" t="s">
        <v>16078</v>
      </c>
      <c r="E5615" t="s">
        <v>8439</v>
      </c>
      <c r="F5615" t="s">
        <v>16272</v>
      </c>
      <c r="G5615" t="s">
        <v>16194</v>
      </c>
      <c r="H5615" t="s">
        <v>16273</v>
      </c>
      <c r="I5615" t="s">
        <v>16082</v>
      </c>
    </row>
    <row r="5616" spans="1:14">
      <c r="A5616" t="s">
        <v>16075</v>
      </c>
      <c r="B5616" t="s">
        <v>16076</v>
      </c>
      <c r="C5616" t="s">
        <v>16274</v>
      </c>
      <c r="D5616" t="s">
        <v>16078</v>
      </c>
      <c r="E5616" t="s">
        <v>16275</v>
      </c>
      <c r="F5616" t="s">
        <v>16276</v>
      </c>
      <c r="G5616" t="s">
        <v>16209</v>
      </c>
      <c r="H5616" t="s">
        <v>16277</v>
      </c>
      <c r="I5616" t="s">
        <v>16082</v>
      </c>
    </row>
    <row r="5617" spans="1:14">
      <c r="A5617" t="s">
        <v>16075</v>
      </c>
      <c r="B5617" t="s">
        <v>16076</v>
      </c>
      <c r="C5617" t="s">
        <v>16278</v>
      </c>
      <c r="D5617" t="s">
        <v>16078</v>
      </c>
      <c r="E5617" t="s">
        <v>1478</v>
      </c>
      <c r="F5617" t="s">
        <v>16279</v>
      </c>
      <c r="G5617" t="s">
        <v>16159</v>
      </c>
      <c r="H5617" t="s">
        <v>16280</v>
      </c>
      <c r="I5617" t="s">
        <v>16082</v>
      </c>
    </row>
    <row r="5618" spans="1:14">
      <c r="A5618" t="s">
        <v>16075</v>
      </c>
      <c r="B5618" t="s">
        <v>16076</v>
      </c>
      <c r="C5618" t="s">
        <v>16281</v>
      </c>
      <c r="D5618" t="s">
        <v>16078</v>
      </c>
      <c r="E5618" t="s">
        <v>16282</v>
      </c>
      <c r="F5618" t="s">
        <v>16283</v>
      </c>
      <c r="G5618" t="s">
        <v>16159</v>
      </c>
      <c r="H5618" t="s">
        <v>16284</v>
      </c>
      <c r="I5618" t="s">
        <v>16082</v>
      </c>
    </row>
    <row r="5619" spans="1:14">
      <c r="A5619" t="s">
        <v>16075</v>
      </c>
      <c r="B5619" t="s">
        <v>16076</v>
      </c>
      <c r="C5619" t="s">
        <v>16285</v>
      </c>
      <c r="D5619" t="s">
        <v>16078</v>
      </c>
      <c r="E5619" t="s">
        <v>1481</v>
      </c>
      <c r="F5619" t="s">
        <v>16286</v>
      </c>
      <c r="G5619" t="s">
        <v>16109</v>
      </c>
      <c r="H5619" t="s">
        <v>16287</v>
      </c>
      <c r="I5619" t="s">
        <v>16093</v>
      </c>
    </row>
    <row r="5620" spans="1:14">
      <c r="A5620" t="s">
        <v>16075</v>
      </c>
      <c r="B5620" t="s">
        <v>16076</v>
      </c>
      <c r="C5620" t="s">
        <v>16288</v>
      </c>
      <c r="D5620" t="s">
        <v>16078</v>
      </c>
      <c r="E5620" t="s">
        <v>16289</v>
      </c>
      <c r="F5620" t="s">
        <v>16290</v>
      </c>
      <c r="G5620" t="s">
        <v>16086</v>
      </c>
      <c r="H5620" t="s">
        <v>16291</v>
      </c>
      <c r="I5620" t="s">
        <v>16082</v>
      </c>
    </row>
    <row r="5621" spans="1:14">
      <c r="A5621" t="s">
        <v>16075</v>
      </c>
      <c r="B5621" t="s">
        <v>16076</v>
      </c>
      <c r="C5621" t="s">
        <v>16292</v>
      </c>
      <c r="D5621" t="s">
        <v>16078</v>
      </c>
      <c r="E5621" t="s">
        <v>16293</v>
      </c>
      <c r="F5621" t="s">
        <v>16294</v>
      </c>
      <c r="G5621" t="s">
        <v>16295</v>
      </c>
      <c r="H5621" t="s">
        <v>16296</v>
      </c>
      <c r="I5621" t="s">
        <v>16082</v>
      </c>
    </row>
    <row r="5622" spans="1:14">
      <c r="A5622" t="s">
        <v>16075</v>
      </c>
      <c r="B5622" t="s">
        <v>16076</v>
      </c>
      <c r="C5622" t="s">
        <v>16297</v>
      </c>
      <c r="D5622" t="s">
        <v>16078</v>
      </c>
      <c r="E5622" t="s">
        <v>16298</v>
      </c>
      <c r="F5622" t="s">
        <v>16299</v>
      </c>
      <c r="G5622" t="s">
        <v>16194</v>
      </c>
      <c r="H5622" t="s">
        <v>16300</v>
      </c>
      <c r="I5622" t="s">
        <v>16082</v>
      </c>
    </row>
    <row r="5623" spans="1:14">
      <c r="A5623" t="s">
        <v>16075</v>
      </c>
      <c r="B5623" t="s">
        <v>16076</v>
      </c>
      <c r="C5623" t="s">
        <v>16301</v>
      </c>
      <c r="D5623" t="s">
        <v>16078</v>
      </c>
      <c r="E5623" t="s">
        <v>11731</v>
      </c>
      <c r="F5623" t="s">
        <v>16302</v>
      </c>
      <c r="G5623" t="s">
        <v>16303</v>
      </c>
      <c r="H5623" t="s">
        <v>16304</v>
      </c>
      <c r="I5623" t="s">
        <v>16082</v>
      </c>
    </row>
    <row r="5624" spans="1:14">
      <c r="A5624" t="s">
        <v>16075</v>
      </c>
      <c r="B5624" t="s">
        <v>16076</v>
      </c>
      <c r="C5624" t="s">
        <v>16305</v>
      </c>
      <c r="D5624" t="s">
        <v>16078</v>
      </c>
      <c r="E5624" t="s">
        <v>13414</v>
      </c>
      <c r="F5624" t="s">
        <v>16306</v>
      </c>
      <c r="G5624" t="s">
        <v>16307</v>
      </c>
      <c r="H5624" t="s">
        <v>16308</v>
      </c>
      <c r="I5624" t="s">
        <v>16082</v>
      </c>
    </row>
    <row r="5625" spans="1:14">
      <c r="A5625" t="s">
        <v>16075</v>
      </c>
      <c r="B5625" t="s">
        <v>16076</v>
      </c>
      <c r="C5625" t="s">
        <v>16309</v>
      </c>
      <c r="D5625" t="s">
        <v>16078</v>
      </c>
      <c r="E5625" t="s">
        <v>16310</v>
      </c>
      <c r="F5625" t="s">
        <v>16311</v>
      </c>
      <c r="G5625" t="s">
        <v>16312</v>
      </c>
      <c r="H5625" t="s">
        <v>16313</v>
      </c>
    </row>
    <row r="5626" spans="1:14">
      <c r="A5626" t="s">
        <v>16075</v>
      </c>
      <c r="B5626" t="s">
        <v>16076</v>
      </c>
      <c r="C5626" t="s">
        <v>16314</v>
      </c>
      <c r="D5626" t="s">
        <v>16078</v>
      </c>
      <c r="E5626" t="s">
        <v>16315</v>
      </c>
      <c r="F5626" t="s">
        <v>16315</v>
      </c>
      <c r="G5626" t="s">
        <v>16105</v>
      </c>
      <c r="H5626" t="s">
        <v>16316</v>
      </c>
      <c r="I5626" t="s">
        <v>16082</v>
      </c>
    </row>
    <row r="5627" spans="1:14">
      <c r="A5627" t="s">
        <v>16075</v>
      </c>
      <c r="B5627" t="s">
        <v>16076</v>
      </c>
      <c r="C5627" t="s">
        <v>16317</v>
      </c>
      <c r="D5627" t="s">
        <v>16078</v>
      </c>
      <c r="E5627" t="s">
        <v>16318</v>
      </c>
      <c r="F5627" t="s">
        <v>16319</v>
      </c>
      <c r="G5627" t="s">
        <v>16320</v>
      </c>
      <c r="H5627" t="s">
        <v>16321</v>
      </c>
      <c r="I5627" t="s">
        <v>16082</v>
      </c>
    </row>
    <row r="5628" spans="1:14">
      <c r="A5628" t="s">
        <v>16075</v>
      </c>
      <c r="B5628" t="s">
        <v>16076</v>
      </c>
      <c r="C5628" t="s">
        <v>16322</v>
      </c>
      <c r="D5628" t="s">
        <v>16078</v>
      </c>
      <c r="E5628" t="s">
        <v>15689</v>
      </c>
      <c r="F5628" t="s">
        <v>16323</v>
      </c>
      <c r="G5628" t="s">
        <v>16080</v>
      </c>
      <c r="H5628" t="s">
        <v>16324</v>
      </c>
      <c r="I5628" t="s">
        <v>16082</v>
      </c>
    </row>
    <row r="5629" spans="1:14">
      <c r="A5629" t="s">
        <v>16075</v>
      </c>
      <c r="B5629" t="s">
        <v>16076</v>
      </c>
      <c r="C5629" t="s">
        <v>16325</v>
      </c>
      <c r="D5629" t="s">
        <v>16078</v>
      </c>
      <c r="E5629" t="s">
        <v>16326</v>
      </c>
      <c r="F5629" t="s">
        <v>16327</v>
      </c>
      <c r="G5629" t="s">
        <v>16168</v>
      </c>
      <c r="H5629" t="s">
        <v>16328</v>
      </c>
      <c r="I5629" t="s">
        <v>16082</v>
      </c>
      <c r="J5629" t="s">
        <v>16326</v>
      </c>
      <c r="K5629" t="s">
        <v>16075</v>
      </c>
      <c r="L5629" t="s">
        <v>16219</v>
      </c>
      <c r="M5629" t="s">
        <v>16082</v>
      </c>
      <c r="N5629" t="s">
        <v>16328</v>
      </c>
    </row>
    <row r="5630" spans="1:14">
      <c r="A5630" t="s">
        <v>16075</v>
      </c>
      <c r="B5630" t="s">
        <v>16076</v>
      </c>
      <c r="C5630" t="s">
        <v>16329</v>
      </c>
      <c r="D5630" t="s">
        <v>16078</v>
      </c>
      <c r="E5630" t="s">
        <v>13417</v>
      </c>
      <c r="F5630" t="s">
        <v>16330</v>
      </c>
      <c r="G5630" t="s">
        <v>16131</v>
      </c>
      <c r="H5630" t="s">
        <v>16331</v>
      </c>
      <c r="I5630" t="s">
        <v>16082</v>
      </c>
    </row>
    <row r="5631" spans="1:14">
      <c r="A5631" t="s">
        <v>16075</v>
      </c>
      <c r="B5631" t="s">
        <v>16076</v>
      </c>
      <c r="C5631" t="s">
        <v>16332</v>
      </c>
      <c r="D5631" t="s">
        <v>16078</v>
      </c>
      <c r="E5631" t="s">
        <v>16333</v>
      </c>
      <c r="F5631" t="s">
        <v>16334</v>
      </c>
      <c r="G5631" t="s">
        <v>16168</v>
      </c>
      <c r="H5631" t="s">
        <v>16335</v>
      </c>
      <c r="I5631" t="s">
        <v>16093</v>
      </c>
    </row>
    <row r="5632" spans="1:14">
      <c r="A5632" t="s">
        <v>16075</v>
      </c>
      <c r="B5632" t="s">
        <v>16076</v>
      </c>
      <c r="C5632" t="s">
        <v>16336</v>
      </c>
      <c r="D5632" t="s">
        <v>16078</v>
      </c>
      <c r="E5632" t="s">
        <v>16337</v>
      </c>
      <c r="F5632" t="s">
        <v>16338</v>
      </c>
      <c r="G5632" t="s">
        <v>16091</v>
      </c>
      <c r="H5632" t="s">
        <v>16339</v>
      </c>
      <c r="I5632" t="s">
        <v>16082</v>
      </c>
    </row>
    <row r="5633" spans="1:9">
      <c r="A5633" t="s">
        <v>16075</v>
      </c>
      <c r="B5633" t="s">
        <v>16076</v>
      </c>
      <c r="C5633" t="s">
        <v>16340</v>
      </c>
      <c r="D5633" t="s">
        <v>16078</v>
      </c>
      <c r="E5633" t="s">
        <v>16341</v>
      </c>
      <c r="F5633" t="s">
        <v>16342</v>
      </c>
      <c r="G5633" t="s">
        <v>16131</v>
      </c>
      <c r="H5633" t="s">
        <v>16343</v>
      </c>
      <c r="I5633" t="s">
        <v>16082</v>
      </c>
    </row>
    <row r="5634" spans="1:9">
      <c r="A5634" t="s">
        <v>16075</v>
      </c>
      <c r="B5634" t="s">
        <v>16076</v>
      </c>
      <c r="C5634" t="s">
        <v>16344</v>
      </c>
      <c r="D5634" t="s">
        <v>16078</v>
      </c>
      <c r="E5634" t="s">
        <v>16345</v>
      </c>
      <c r="F5634" t="s">
        <v>16346</v>
      </c>
      <c r="G5634" t="s">
        <v>16183</v>
      </c>
      <c r="H5634" t="s">
        <v>16347</v>
      </c>
      <c r="I5634" t="s">
        <v>16082</v>
      </c>
    </row>
    <row r="5635" spans="1:9">
      <c r="A5635" t="s">
        <v>16075</v>
      </c>
      <c r="B5635" t="s">
        <v>16076</v>
      </c>
      <c r="C5635" t="s">
        <v>16348</v>
      </c>
      <c r="D5635" t="s">
        <v>16078</v>
      </c>
      <c r="E5635" t="s">
        <v>1064</v>
      </c>
      <c r="F5635" t="s">
        <v>16349</v>
      </c>
      <c r="G5635" t="s">
        <v>16194</v>
      </c>
      <c r="H5635" t="s">
        <v>16350</v>
      </c>
      <c r="I5635" t="s">
        <v>16082</v>
      </c>
    </row>
    <row r="5636" spans="1:9">
      <c r="A5636" t="s">
        <v>16075</v>
      </c>
      <c r="B5636" t="s">
        <v>16076</v>
      </c>
      <c r="C5636" t="s">
        <v>16351</v>
      </c>
      <c r="D5636" t="s">
        <v>16078</v>
      </c>
      <c r="E5636" t="s">
        <v>14751</v>
      </c>
      <c r="F5636" t="s">
        <v>16352</v>
      </c>
      <c r="G5636" t="s">
        <v>16131</v>
      </c>
      <c r="H5636" t="s">
        <v>16353</v>
      </c>
      <c r="I5636" t="s">
        <v>16082</v>
      </c>
    </row>
    <row r="5637" spans="1:9">
      <c r="A5637" t="s">
        <v>16075</v>
      </c>
      <c r="B5637" t="s">
        <v>16076</v>
      </c>
      <c r="C5637" t="s">
        <v>16354</v>
      </c>
      <c r="D5637" t="s">
        <v>16078</v>
      </c>
      <c r="E5637" t="s">
        <v>7828</v>
      </c>
      <c r="F5637" t="s">
        <v>16355</v>
      </c>
      <c r="G5637" t="s">
        <v>16159</v>
      </c>
      <c r="H5637" t="s">
        <v>16356</v>
      </c>
      <c r="I5637" t="s">
        <v>16082</v>
      </c>
    </row>
    <row r="5638" spans="1:9">
      <c r="A5638" t="s">
        <v>16075</v>
      </c>
      <c r="B5638" t="s">
        <v>16076</v>
      </c>
      <c r="C5638" t="s">
        <v>16357</v>
      </c>
      <c r="D5638" t="s">
        <v>16078</v>
      </c>
      <c r="E5638" t="s">
        <v>918</v>
      </c>
      <c r="F5638" t="s">
        <v>16358</v>
      </c>
      <c r="G5638" t="s">
        <v>16209</v>
      </c>
      <c r="H5638" t="s">
        <v>16359</v>
      </c>
      <c r="I5638" t="s">
        <v>16082</v>
      </c>
    </row>
    <row r="5639" spans="1:9">
      <c r="A5639" t="s">
        <v>16075</v>
      </c>
      <c r="B5639" t="s">
        <v>16076</v>
      </c>
      <c r="C5639" t="s">
        <v>16360</v>
      </c>
      <c r="D5639" t="s">
        <v>16078</v>
      </c>
      <c r="E5639" t="s">
        <v>8298</v>
      </c>
      <c r="F5639" t="s">
        <v>8298</v>
      </c>
      <c r="G5639" t="s">
        <v>16105</v>
      </c>
      <c r="H5639" t="s">
        <v>16361</v>
      </c>
      <c r="I5639" t="s">
        <v>16082</v>
      </c>
    </row>
    <row r="5640" spans="1:9">
      <c r="A5640" t="s">
        <v>16075</v>
      </c>
      <c r="B5640" t="s">
        <v>16076</v>
      </c>
      <c r="C5640" t="s">
        <v>16362</v>
      </c>
      <c r="D5640" t="s">
        <v>16078</v>
      </c>
      <c r="E5640" t="s">
        <v>16363</v>
      </c>
      <c r="F5640" t="s">
        <v>16364</v>
      </c>
      <c r="G5640" t="s">
        <v>16131</v>
      </c>
      <c r="H5640" t="s">
        <v>16365</v>
      </c>
      <c r="I5640" t="s">
        <v>16082</v>
      </c>
    </row>
    <row r="5641" spans="1:9">
      <c r="A5641" t="s">
        <v>16075</v>
      </c>
      <c r="B5641" t="s">
        <v>16076</v>
      </c>
      <c r="C5641" t="s">
        <v>16366</v>
      </c>
      <c r="D5641" t="s">
        <v>16078</v>
      </c>
      <c r="E5641" t="s">
        <v>14887</v>
      </c>
      <c r="F5641" t="s">
        <v>16367</v>
      </c>
      <c r="G5641" t="s">
        <v>16131</v>
      </c>
      <c r="H5641" t="s">
        <v>16368</v>
      </c>
      <c r="I5641" t="s">
        <v>16082</v>
      </c>
    </row>
    <row r="5642" spans="1:9">
      <c r="A5642" t="s">
        <v>16075</v>
      </c>
      <c r="B5642" t="s">
        <v>16076</v>
      </c>
      <c r="C5642" t="s">
        <v>16369</v>
      </c>
      <c r="D5642" t="s">
        <v>16078</v>
      </c>
      <c r="E5642" t="s">
        <v>16370</v>
      </c>
      <c r="F5642" t="s">
        <v>16371</v>
      </c>
      <c r="G5642" t="s">
        <v>16372</v>
      </c>
      <c r="H5642" t="s">
        <v>16373</v>
      </c>
      <c r="I5642" t="s">
        <v>16082</v>
      </c>
    </row>
    <row r="5643" spans="1:9">
      <c r="A5643" t="s">
        <v>16075</v>
      </c>
      <c r="B5643" t="s">
        <v>16076</v>
      </c>
      <c r="C5643" t="s">
        <v>16374</v>
      </c>
      <c r="D5643" t="s">
        <v>16078</v>
      </c>
      <c r="E5643" t="s">
        <v>16375</v>
      </c>
      <c r="F5643" t="s">
        <v>16376</v>
      </c>
      <c r="G5643" t="s">
        <v>16194</v>
      </c>
      <c r="H5643" t="s">
        <v>16377</v>
      </c>
      <c r="I5643" t="s">
        <v>16082</v>
      </c>
    </row>
    <row r="5644" spans="1:9">
      <c r="A5644" t="s">
        <v>16075</v>
      </c>
      <c r="B5644" t="s">
        <v>16076</v>
      </c>
      <c r="C5644" t="s">
        <v>16378</v>
      </c>
      <c r="D5644" t="s">
        <v>16078</v>
      </c>
      <c r="E5644" t="s">
        <v>6745</v>
      </c>
      <c r="F5644" t="s">
        <v>16379</v>
      </c>
      <c r="G5644" t="s">
        <v>16380</v>
      </c>
      <c r="H5644" t="s">
        <v>16381</v>
      </c>
      <c r="I5644" t="s">
        <v>16082</v>
      </c>
    </row>
    <row r="5645" spans="1:9">
      <c r="A5645" t="s">
        <v>16075</v>
      </c>
      <c r="B5645" t="s">
        <v>16076</v>
      </c>
      <c r="C5645" t="s">
        <v>16382</v>
      </c>
      <c r="D5645" t="s">
        <v>16078</v>
      </c>
      <c r="E5645" t="s">
        <v>10852</v>
      </c>
      <c r="F5645" t="s">
        <v>16383</v>
      </c>
      <c r="G5645" t="s">
        <v>16159</v>
      </c>
      <c r="H5645" t="s">
        <v>16384</v>
      </c>
      <c r="I5645" t="s">
        <v>16082</v>
      </c>
    </row>
    <row r="5646" spans="1:9">
      <c r="A5646" t="s">
        <v>16075</v>
      </c>
      <c r="B5646" t="s">
        <v>16076</v>
      </c>
      <c r="C5646" t="s">
        <v>16385</v>
      </c>
      <c r="D5646" t="s">
        <v>16078</v>
      </c>
      <c r="E5646" t="s">
        <v>16386</v>
      </c>
      <c r="F5646" t="s">
        <v>16387</v>
      </c>
      <c r="G5646" t="s">
        <v>16266</v>
      </c>
      <c r="H5646" t="s">
        <v>16388</v>
      </c>
      <c r="I5646" t="s">
        <v>16082</v>
      </c>
    </row>
    <row r="5647" spans="1:9">
      <c r="A5647" t="s">
        <v>16075</v>
      </c>
      <c r="B5647" t="s">
        <v>16076</v>
      </c>
      <c r="C5647" t="s">
        <v>16389</v>
      </c>
      <c r="D5647" t="s">
        <v>16078</v>
      </c>
      <c r="E5647" t="s">
        <v>10882</v>
      </c>
      <c r="F5647" t="s">
        <v>16390</v>
      </c>
      <c r="G5647" t="s">
        <v>16194</v>
      </c>
      <c r="H5647" t="s">
        <v>16391</v>
      </c>
      <c r="I5647" t="s">
        <v>16082</v>
      </c>
    </row>
    <row r="5648" spans="1:9">
      <c r="A5648" t="s">
        <v>16075</v>
      </c>
      <c r="B5648" t="s">
        <v>16076</v>
      </c>
      <c r="C5648" t="s">
        <v>16392</v>
      </c>
      <c r="D5648" t="s">
        <v>16078</v>
      </c>
      <c r="E5648" t="s">
        <v>10763</v>
      </c>
      <c r="F5648" t="s">
        <v>16393</v>
      </c>
      <c r="G5648" t="s">
        <v>16295</v>
      </c>
      <c r="H5648" t="s">
        <v>16248</v>
      </c>
      <c r="I5648" t="s">
        <v>16082</v>
      </c>
    </row>
    <row r="5649" spans="1:9">
      <c r="A5649" t="s">
        <v>16075</v>
      </c>
      <c r="B5649" t="s">
        <v>16076</v>
      </c>
      <c r="C5649" t="s">
        <v>16394</v>
      </c>
      <c r="D5649" t="s">
        <v>16078</v>
      </c>
      <c r="E5649" t="s">
        <v>16395</v>
      </c>
      <c r="F5649" t="s">
        <v>16396</v>
      </c>
      <c r="G5649" t="s">
        <v>16397</v>
      </c>
      <c r="H5649" t="s">
        <v>16398</v>
      </c>
      <c r="I5649" t="s">
        <v>16082</v>
      </c>
    </row>
    <row r="5650" spans="1:9">
      <c r="A5650" t="s">
        <v>16075</v>
      </c>
      <c r="B5650" t="s">
        <v>16076</v>
      </c>
      <c r="C5650" t="s">
        <v>16399</v>
      </c>
      <c r="D5650" t="s">
        <v>16078</v>
      </c>
      <c r="E5650" t="s">
        <v>16400</v>
      </c>
      <c r="F5650" t="s">
        <v>16401</v>
      </c>
      <c r="G5650" t="s">
        <v>16312</v>
      </c>
      <c r="H5650" t="s">
        <v>16402</v>
      </c>
    </row>
    <row r="5651" spans="1:9">
      <c r="A5651" t="s">
        <v>16075</v>
      </c>
      <c r="B5651" t="s">
        <v>16076</v>
      </c>
      <c r="C5651" t="s">
        <v>16403</v>
      </c>
      <c r="D5651" t="s">
        <v>16078</v>
      </c>
      <c r="E5651" t="s">
        <v>16404</v>
      </c>
      <c r="F5651" t="s">
        <v>16405</v>
      </c>
      <c r="G5651" t="s">
        <v>16105</v>
      </c>
      <c r="H5651" t="s">
        <v>16406</v>
      </c>
      <c r="I5651" t="s">
        <v>16082</v>
      </c>
    </row>
    <row r="5652" spans="1:9">
      <c r="A5652" t="s">
        <v>16075</v>
      </c>
      <c r="B5652" t="s">
        <v>16076</v>
      </c>
      <c r="C5652" t="s">
        <v>16407</v>
      </c>
      <c r="D5652" t="s">
        <v>16078</v>
      </c>
      <c r="E5652" t="s">
        <v>3829</v>
      </c>
      <c r="F5652" t="s">
        <v>16408</v>
      </c>
      <c r="G5652" t="s">
        <v>16178</v>
      </c>
      <c r="H5652" t="s">
        <v>16409</v>
      </c>
      <c r="I5652" t="s">
        <v>16082</v>
      </c>
    </row>
    <row r="5653" spans="1:9">
      <c r="A5653" t="s">
        <v>16075</v>
      </c>
      <c r="B5653" t="s">
        <v>16076</v>
      </c>
      <c r="C5653" t="s">
        <v>16410</v>
      </c>
      <c r="D5653" t="s">
        <v>16078</v>
      </c>
      <c r="E5653" t="s">
        <v>16411</v>
      </c>
      <c r="F5653" t="s">
        <v>16412</v>
      </c>
      <c r="G5653" t="s">
        <v>16097</v>
      </c>
      <c r="H5653" t="s">
        <v>16413</v>
      </c>
      <c r="I5653" t="s">
        <v>16082</v>
      </c>
    </row>
    <row r="5654" spans="1:9">
      <c r="A5654" t="s">
        <v>16075</v>
      </c>
      <c r="B5654" t="s">
        <v>16076</v>
      </c>
      <c r="C5654" t="s">
        <v>16414</v>
      </c>
      <c r="D5654" t="s">
        <v>16078</v>
      </c>
      <c r="E5654" t="s">
        <v>11140</v>
      </c>
      <c r="F5654" t="s">
        <v>16415</v>
      </c>
      <c r="G5654" t="s">
        <v>16116</v>
      </c>
      <c r="H5654" t="s">
        <v>16416</v>
      </c>
      <c r="I5654" t="s">
        <v>16082</v>
      </c>
    </row>
    <row r="5655" spans="1:9">
      <c r="A5655" t="s">
        <v>16075</v>
      </c>
      <c r="B5655" t="s">
        <v>16076</v>
      </c>
      <c r="C5655" t="s">
        <v>16417</v>
      </c>
      <c r="D5655" t="s">
        <v>16078</v>
      </c>
      <c r="E5655" t="s">
        <v>16418</v>
      </c>
      <c r="F5655" t="s">
        <v>16419</v>
      </c>
      <c r="G5655" t="s">
        <v>16080</v>
      </c>
      <c r="H5655" t="s">
        <v>16420</v>
      </c>
      <c r="I5655" t="s">
        <v>16082</v>
      </c>
    </row>
    <row r="5656" spans="1:9">
      <c r="A5656" t="s">
        <v>16075</v>
      </c>
      <c r="B5656" t="s">
        <v>16076</v>
      </c>
      <c r="C5656" t="s">
        <v>16421</v>
      </c>
      <c r="D5656" t="s">
        <v>16078</v>
      </c>
      <c r="E5656" t="s">
        <v>16422</v>
      </c>
      <c r="F5656" t="s">
        <v>16423</v>
      </c>
      <c r="G5656" t="s">
        <v>16080</v>
      </c>
      <c r="H5656" t="s">
        <v>16424</v>
      </c>
      <c r="I5656" t="s">
        <v>16082</v>
      </c>
    </row>
    <row r="5657" spans="1:9">
      <c r="A5657" t="s">
        <v>16075</v>
      </c>
      <c r="B5657" t="s">
        <v>16076</v>
      </c>
      <c r="C5657" t="s">
        <v>16425</v>
      </c>
      <c r="D5657" t="s">
        <v>16078</v>
      </c>
      <c r="E5657" t="s">
        <v>15438</v>
      </c>
      <c r="F5657" t="s">
        <v>16426</v>
      </c>
      <c r="G5657" t="s">
        <v>16295</v>
      </c>
      <c r="H5657" t="s">
        <v>16427</v>
      </c>
      <c r="I5657" t="s">
        <v>16082</v>
      </c>
    </row>
    <row r="5658" spans="1:9">
      <c r="A5658" t="s">
        <v>16075</v>
      </c>
      <c r="B5658" t="s">
        <v>16076</v>
      </c>
      <c r="C5658" t="s">
        <v>16428</v>
      </c>
      <c r="D5658" t="s">
        <v>16078</v>
      </c>
      <c r="E5658" t="s">
        <v>16241</v>
      </c>
      <c r="F5658" t="s">
        <v>16429</v>
      </c>
      <c r="G5658" t="s">
        <v>16239</v>
      </c>
      <c r="H5658" t="s">
        <v>16430</v>
      </c>
      <c r="I5658" t="s">
        <v>16093</v>
      </c>
    </row>
    <row r="5659" spans="1:9">
      <c r="A5659" t="s">
        <v>16075</v>
      </c>
      <c r="B5659" t="s">
        <v>16076</v>
      </c>
      <c r="C5659" t="s">
        <v>16431</v>
      </c>
      <c r="D5659" t="s">
        <v>16078</v>
      </c>
      <c r="E5659" t="s">
        <v>16432</v>
      </c>
      <c r="F5659" t="s">
        <v>16433</v>
      </c>
      <c r="G5659" t="s">
        <v>16372</v>
      </c>
      <c r="H5659" t="s">
        <v>16434</v>
      </c>
      <c r="I5659" t="s">
        <v>16082</v>
      </c>
    </row>
    <row r="5660" spans="1:9">
      <c r="A5660" t="s">
        <v>16075</v>
      </c>
      <c r="B5660" t="s">
        <v>16076</v>
      </c>
      <c r="C5660" t="s">
        <v>16435</v>
      </c>
      <c r="D5660" t="s">
        <v>16078</v>
      </c>
      <c r="E5660" t="s">
        <v>16436</v>
      </c>
      <c r="F5660" t="s">
        <v>16437</v>
      </c>
      <c r="G5660" t="s">
        <v>16438</v>
      </c>
      <c r="H5660" t="s">
        <v>16439</v>
      </c>
      <c r="I5660" t="s">
        <v>16082</v>
      </c>
    </row>
    <row r="5661" spans="1:9">
      <c r="A5661" t="s">
        <v>16075</v>
      </c>
      <c r="B5661" t="s">
        <v>16076</v>
      </c>
      <c r="C5661" t="s">
        <v>16440</v>
      </c>
      <c r="D5661" t="s">
        <v>16078</v>
      </c>
      <c r="E5661" t="s">
        <v>16441</v>
      </c>
      <c r="F5661" t="s">
        <v>16442</v>
      </c>
      <c r="G5661" t="s">
        <v>16380</v>
      </c>
      <c r="H5661" t="s">
        <v>16184</v>
      </c>
      <c r="I5661" t="s">
        <v>16082</v>
      </c>
    </row>
    <row r="5662" spans="1:9">
      <c r="A5662" t="s">
        <v>16075</v>
      </c>
      <c r="B5662" t="s">
        <v>16076</v>
      </c>
      <c r="C5662" t="s">
        <v>16443</v>
      </c>
      <c r="D5662" t="s">
        <v>16078</v>
      </c>
      <c r="E5662" t="s">
        <v>10838</v>
      </c>
      <c r="F5662" t="s">
        <v>16444</v>
      </c>
      <c r="G5662" t="s">
        <v>16173</v>
      </c>
      <c r="H5662" t="s">
        <v>16184</v>
      </c>
      <c r="I5662" t="s">
        <v>16082</v>
      </c>
    </row>
    <row r="5663" spans="1:9">
      <c r="A5663" t="s">
        <v>16075</v>
      </c>
      <c r="B5663" t="s">
        <v>16076</v>
      </c>
      <c r="C5663" t="s">
        <v>16445</v>
      </c>
      <c r="D5663" t="s">
        <v>16078</v>
      </c>
      <c r="E5663" t="s">
        <v>16446</v>
      </c>
      <c r="F5663" t="s">
        <v>16447</v>
      </c>
      <c r="G5663" t="s">
        <v>16131</v>
      </c>
      <c r="H5663" t="s">
        <v>16448</v>
      </c>
      <c r="I5663" t="s">
        <v>16082</v>
      </c>
    </row>
    <row r="5664" spans="1:9">
      <c r="A5664" t="s">
        <v>16075</v>
      </c>
      <c r="B5664" t="s">
        <v>16076</v>
      </c>
      <c r="C5664" t="s">
        <v>16449</v>
      </c>
      <c r="D5664" t="s">
        <v>16078</v>
      </c>
      <c r="E5664" t="s">
        <v>6348</v>
      </c>
      <c r="F5664" t="s">
        <v>16450</v>
      </c>
      <c r="G5664" t="s">
        <v>16451</v>
      </c>
      <c r="I5664" t="s">
        <v>16082</v>
      </c>
    </row>
    <row r="5665" spans="1:9">
      <c r="A5665" t="s">
        <v>16075</v>
      </c>
      <c r="B5665" t="s">
        <v>16076</v>
      </c>
      <c r="C5665" t="s">
        <v>16452</v>
      </c>
      <c r="D5665" t="s">
        <v>16078</v>
      </c>
      <c r="E5665" t="s">
        <v>16453</v>
      </c>
      <c r="F5665" t="s">
        <v>16454</v>
      </c>
      <c r="G5665" t="s">
        <v>16194</v>
      </c>
      <c r="H5665" t="s">
        <v>16455</v>
      </c>
      <c r="I5665" t="s">
        <v>16082</v>
      </c>
    </row>
    <row r="5666" spans="1:9">
      <c r="A5666" t="s">
        <v>16075</v>
      </c>
      <c r="B5666" t="s">
        <v>16076</v>
      </c>
      <c r="C5666" t="s">
        <v>16456</v>
      </c>
      <c r="D5666" t="s">
        <v>16078</v>
      </c>
      <c r="E5666" t="s">
        <v>16457</v>
      </c>
      <c r="F5666" t="s">
        <v>16458</v>
      </c>
      <c r="G5666" t="s">
        <v>16086</v>
      </c>
      <c r="H5666" t="s">
        <v>16459</v>
      </c>
      <c r="I5666" t="s">
        <v>16082</v>
      </c>
    </row>
    <row r="5667" spans="1:9">
      <c r="A5667" t="s">
        <v>16075</v>
      </c>
      <c r="B5667" t="s">
        <v>16076</v>
      </c>
      <c r="C5667" t="s">
        <v>16460</v>
      </c>
      <c r="D5667" t="s">
        <v>16078</v>
      </c>
      <c r="E5667" t="s">
        <v>12335</v>
      </c>
      <c r="F5667" t="s">
        <v>16461</v>
      </c>
      <c r="G5667" t="s">
        <v>16462</v>
      </c>
      <c r="H5667" t="s">
        <v>16463</v>
      </c>
      <c r="I5667" t="s">
        <v>16082</v>
      </c>
    </row>
    <row r="5668" spans="1:9">
      <c r="A5668" t="s">
        <v>16075</v>
      </c>
      <c r="B5668" t="s">
        <v>16076</v>
      </c>
      <c r="C5668" t="s">
        <v>16464</v>
      </c>
      <c r="D5668" t="s">
        <v>16078</v>
      </c>
      <c r="E5668" t="s">
        <v>8609</v>
      </c>
      <c r="F5668" t="s">
        <v>6373</v>
      </c>
      <c r="G5668" t="s">
        <v>16194</v>
      </c>
      <c r="H5668" t="s">
        <v>16465</v>
      </c>
      <c r="I5668" t="s">
        <v>16082</v>
      </c>
    </row>
    <row r="5669" spans="1:9">
      <c r="A5669" t="s">
        <v>16075</v>
      </c>
      <c r="B5669" t="s">
        <v>16076</v>
      </c>
      <c r="C5669" t="s">
        <v>16466</v>
      </c>
      <c r="D5669" t="s">
        <v>16078</v>
      </c>
      <c r="E5669" t="s">
        <v>16467</v>
      </c>
      <c r="F5669" t="s">
        <v>16468</v>
      </c>
      <c r="G5669" t="s">
        <v>16462</v>
      </c>
      <c r="H5669" t="s">
        <v>16459</v>
      </c>
      <c r="I5669" t="s">
        <v>16082</v>
      </c>
    </row>
    <row r="5670" spans="1:9">
      <c r="A5670" t="s">
        <v>16075</v>
      </c>
      <c r="B5670" t="s">
        <v>16076</v>
      </c>
      <c r="C5670" t="s">
        <v>16469</v>
      </c>
      <c r="D5670" t="s">
        <v>16078</v>
      </c>
      <c r="E5670" t="s">
        <v>16470</v>
      </c>
      <c r="F5670" t="s">
        <v>16471</v>
      </c>
      <c r="G5670" t="s">
        <v>16080</v>
      </c>
      <c r="H5670" t="s">
        <v>16472</v>
      </c>
      <c r="I5670" t="s">
        <v>16082</v>
      </c>
    </row>
    <row r="5671" spans="1:9">
      <c r="A5671" t="s">
        <v>16075</v>
      </c>
      <c r="B5671" t="s">
        <v>16076</v>
      </c>
      <c r="C5671" t="s">
        <v>16473</v>
      </c>
      <c r="D5671" t="s">
        <v>16078</v>
      </c>
      <c r="E5671" t="s">
        <v>3894</v>
      </c>
      <c r="F5671" t="s">
        <v>16474</v>
      </c>
      <c r="G5671" t="s">
        <v>16320</v>
      </c>
      <c r="H5671" t="s">
        <v>16475</v>
      </c>
    </row>
    <row r="5672" spans="1:9">
      <c r="A5672" t="s">
        <v>16075</v>
      </c>
      <c r="B5672" t="s">
        <v>16076</v>
      </c>
      <c r="C5672" t="s">
        <v>16476</v>
      </c>
      <c r="D5672" t="s">
        <v>16078</v>
      </c>
      <c r="E5672" t="s">
        <v>1732</v>
      </c>
      <c r="F5672" t="s">
        <v>16477</v>
      </c>
      <c r="G5672" t="s">
        <v>16303</v>
      </c>
      <c r="H5672" t="s">
        <v>16478</v>
      </c>
      <c r="I5672" t="s">
        <v>16093</v>
      </c>
    </row>
    <row r="5673" spans="1:9">
      <c r="A5673" t="s">
        <v>16075</v>
      </c>
      <c r="B5673" t="s">
        <v>16076</v>
      </c>
      <c r="C5673" t="s">
        <v>16479</v>
      </c>
      <c r="D5673" t="s">
        <v>16078</v>
      </c>
      <c r="E5673" t="s">
        <v>12442</v>
      </c>
      <c r="F5673" t="s">
        <v>16480</v>
      </c>
      <c r="G5673" t="s">
        <v>16105</v>
      </c>
      <c r="H5673" t="s">
        <v>16481</v>
      </c>
      <c r="I5673" t="s">
        <v>16082</v>
      </c>
    </row>
    <row r="5674" spans="1:9">
      <c r="A5674" t="s">
        <v>16075</v>
      </c>
      <c r="B5674" t="s">
        <v>16076</v>
      </c>
      <c r="C5674" t="s">
        <v>16482</v>
      </c>
      <c r="D5674" t="s">
        <v>16078</v>
      </c>
      <c r="E5674" t="s">
        <v>16483</v>
      </c>
      <c r="F5674" t="s">
        <v>16484</v>
      </c>
      <c r="G5674" t="s">
        <v>16372</v>
      </c>
      <c r="H5674" t="s">
        <v>16485</v>
      </c>
      <c r="I5674" t="s">
        <v>16082</v>
      </c>
    </row>
    <row r="5675" spans="1:9">
      <c r="A5675" t="s">
        <v>16075</v>
      </c>
      <c r="B5675" t="s">
        <v>16076</v>
      </c>
      <c r="C5675" t="s">
        <v>16486</v>
      </c>
      <c r="D5675" t="s">
        <v>16078</v>
      </c>
      <c r="E5675" t="s">
        <v>16487</v>
      </c>
      <c r="F5675" t="s">
        <v>16488</v>
      </c>
      <c r="G5675" t="s">
        <v>16086</v>
      </c>
      <c r="H5675" t="s">
        <v>16489</v>
      </c>
      <c r="I5675" t="s">
        <v>16082</v>
      </c>
    </row>
    <row r="5676" spans="1:9">
      <c r="A5676" t="s">
        <v>16075</v>
      </c>
      <c r="B5676" t="s">
        <v>16076</v>
      </c>
      <c r="C5676" t="s">
        <v>16490</v>
      </c>
      <c r="D5676" t="s">
        <v>16078</v>
      </c>
      <c r="E5676" t="s">
        <v>15731</v>
      </c>
      <c r="F5676" t="s">
        <v>628</v>
      </c>
      <c r="G5676" t="s">
        <v>16194</v>
      </c>
      <c r="H5676" t="s">
        <v>16491</v>
      </c>
      <c r="I5676" t="s">
        <v>16082</v>
      </c>
    </row>
    <row r="5677" spans="1:9">
      <c r="A5677" t="s">
        <v>16075</v>
      </c>
      <c r="B5677" t="s">
        <v>16076</v>
      </c>
      <c r="C5677" t="s">
        <v>16492</v>
      </c>
      <c r="D5677" t="s">
        <v>16078</v>
      </c>
      <c r="E5677" t="s">
        <v>16493</v>
      </c>
      <c r="F5677" t="s">
        <v>16494</v>
      </c>
      <c r="G5677" t="s">
        <v>16495</v>
      </c>
      <c r="H5677" t="s">
        <v>16496</v>
      </c>
    </row>
    <row r="5678" spans="1:9">
      <c r="A5678" t="s">
        <v>16075</v>
      </c>
      <c r="B5678" t="s">
        <v>16076</v>
      </c>
      <c r="C5678" t="s">
        <v>16497</v>
      </c>
      <c r="D5678" t="s">
        <v>16078</v>
      </c>
      <c r="E5678" t="s">
        <v>16498</v>
      </c>
      <c r="F5678" t="s">
        <v>16499</v>
      </c>
      <c r="G5678" t="s">
        <v>16500</v>
      </c>
      <c r="H5678" t="s">
        <v>16501</v>
      </c>
      <c r="I5678" t="s">
        <v>16082</v>
      </c>
    </row>
    <row r="5679" spans="1:9">
      <c r="A5679" t="s">
        <v>16075</v>
      </c>
      <c r="B5679" t="s">
        <v>16076</v>
      </c>
      <c r="C5679" t="s">
        <v>16502</v>
      </c>
      <c r="D5679" t="s">
        <v>16078</v>
      </c>
      <c r="E5679" t="s">
        <v>4930</v>
      </c>
      <c r="F5679" t="s">
        <v>16503</v>
      </c>
      <c r="G5679" t="s">
        <v>16097</v>
      </c>
      <c r="H5679" t="s">
        <v>16504</v>
      </c>
      <c r="I5679" t="s">
        <v>16082</v>
      </c>
    </row>
    <row r="5680" spans="1:9">
      <c r="A5680" t="s">
        <v>16075</v>
      </c>
      <c r="B5680" t="s">
        <v>16076</v>
      </c>
      <c r="C5680" t="s">
        <v>16505</v>
      </c>
      <c r="D5680" t="s">
        <v>16078</v>
      </c>
      <c r="E5680" t="s">
        <v>16506</v>
      </c>
      <c r="F5680" t="s">
        <v>16507</v>
      </c>
      <c r="G5680" t="s">
        <v>16091</v>
      </c>
      <c r="H5680" t="s">
        <v>16508</v>
      </c>
      <c r="I5680" t="s">
        <v>16082</v>
      </c>
    </row>
    <row r="5681" spans="1:9">
      <c r="A5681" t="s">
        <v>16075</v>
      </c>
      <c r="B5681" t="s">
        <v>16076</v>
      </c>
      <c r="C5681" t="s">
        <v>16509</v>
      </c>
      <c r="D5681" t="s">
        <v>16078</v>
      </c>
      <c r="E5681" t="s">
        <v>16510</v>
      </c>
      <c r="F5681" t="s">
        <v>16511</v>
      </c>
      <c r="G5681" t="s">
        <v>16451</v>
      </c>
      <c r="H5681" t="s">
        <v>16512</v>
      </c>
      <c r="I5681" t="s">
        <v>16082</v>
      </c>
    </row>
    <row r="5682" spans="1:9">
      <c r="A5682" t="s">
        <v>16075</v>
      </c>
      <c r="B5682" t="s">
        <v>16076</v>
      </c>
      <c r="C5682" t="s">
        <v>16513</v>
      </c>
      <c r="D5682" t="s">
        <v>16078</v>
      </c>
      <c r="E5682" t="s">
        <v>16514</v>
      </c>
      <c r="F5682" t="s">
        <v>16515</v>
      </c>
      <c r="G5682" t="s">
        <v>16173</v>
      </c>
      <c r="H5682" t="s">
        <v>16516</v>
      </c>
      <c r="I5682" t="s">
        <v>16082</v>
      </c>
    </row>
    <row r="5683" spans="1:9">
      <c r="A5683" t="s">
        <v>16075</v>
      </c>
      <c r="B5683" t="s">
        <v>16076</v>
      </c>
      <c r="C5683" t="s">
        <v>16517</v>
      </c>
      <c r="D5683" t="s">
        <v>16078</v>
      </c>
      <c r="E5683" t="s">
        <v>16518</v>
      </c>
      <c r="F5683" t="s">
        <v>16519</v>
      </c>
      <c r="G5683" t="s">
        <v>16159</v>
      </c>
      <c r="H5683" t="s">
        <v>16520</v>
      </c>
      <c r="I5683" t="s">
        <v>16082</v>
      </c>
    </row>
    <row r="5684" spans="1:9">
      <c r="A5684" t="s">
        <v>16075</v>
      </c>
      <c r="B5684" t="s">
        <v>16076</v>
      </c>
      <c r="C5684" t="s">
        <v>16521</v>
      </c>
      <c r="D5684" t="s">
        <v>16078</v>
      </c>
      <c r="E5684" t="s">
        <v>16522</v>
      </c>
      <c r="F5684" t="s">
        <v>16523</v>
      </c>
      <c r="G5684" t="s">
        <v>16086</v>
      </c>
      <c r="H5684" t="s">
        <v>16524</v>
      </c>
      <c r="I5684" t="s">
        <v>16082</v>
      </c>
    </row>
    <row r="5685" spans="1:9">
      <c r="A5685" t="s">
        <v>16075</v>
      </c>
      <c r="B5685" t="s">
        <v>16076</v>
      </c>
      <c r="C5685" t="s">
        <v>16525</v>
      </c>
      <c r="D5685" t="s">
        <v>16078</v>
      </c>
      <c r="E5685" t="s">
        <v>1771</v>
      </c>
      <c r="F5685" t="s">
        <v>16526</v>
      </c>
      <c r="G5685" t="s">
        <v>16194</v>
      </c>
      <c r="H5685" t="s">
        <v>16527</v>
      </c>
      <c r="I5685" t="s">
        <v>16082</v>
      </c>
    </row>
    <row r="5686" spans="1:9">
      <c r="A5686" t="s">
        <v>16075</v>
      </c>
      <c r="B5686" t="s">
        <v>16076</v>
      </c>
      <c r="C5686" t="s">
        <v>16528</v>
      </c>
      <c r="D5686" t="s">
        <v>16078</v>
      </c>
      <c r="E5686" t="s">
        <v>15746</v>
      </c>
      <c r="F5686" t="s">
        <v>16529</v>
      </c>
      <c r="G5686" t="s">
        <v>16178</v>
      </c>
      <c r="H5686" t="s">
        <v>16530</v>
      </c>
      <c r="I5686" t="s">
        <v>16082</v>
      </c>
    </row>
    <row r="5687" spans="1:9">
      <c r="A5687" t="s">
        <v>16075</v>
      </c>
      <c r="B5687" t="s">
        <v>16076</v>
      </c>
      <c r="C5687" t="s">
        <v>16531</v>
      </c>
      <c r="D5687" t="s">
        <v>16078</v>
      </c>
      <c r="E5687" t="s">
        <v>16532</v>
      </c>
      <c r="F5687" t="s">
        <v>16533</v>
      </c>
      <c r="G5687" t="s">
        <v>16534</v>
      </c>
      <c r="H5687" t="s">
        <v>16535</v>
      </c>
      <c r="I5687" t="s">
        <v>16082</v>
      </c>
    </row>
    <row r="5688" spans="1:9">
      <c r="A5688" t="s">
        <v>16075</v>
      </c>
      <c r="B5688" t="s">
        <v>16076</v>
      </c>
      <c r="C5688" t="s">
        <v>16536</v>
      </c>
      <c r="D5688" t="s">
        <v>16078</v>
      </c>
      <c r="E5688" t="s">
        <v>7196</v>
      </c>
      <c r="F5688" t="s">
        <v>16537</v>
      </c>
      <c r="G5688" t="s">
        <v>16091</v>
      </c>
      <c r="H5688" t="s">
        <v>16538</v>
      </c>
      <c r="I5688" t="s">
        <v>16082</v>
      </c>
    </row>
    <row r="5689" spans="1:9">
      <c r="A5689" t="s">
        <v>16075</v>
      </c>
      <c r="B5689" t="s">
        <v>16076</v>
      </c>
      <c r="C5689" t="s">
        <v>16539</v>
      </c>
      <c r="D5689" t="s">
        <v>16078</v>
      </c>
      <c r="E5689" t="s">
        <v>1878</v>
      </c>
      <c r="F5689" t="s">
        <v>16540</v>
      </c>
      <c r="G5689" t="s">
        <v>16091</v>
      </c>
      <c r="H5689" t="s">
        <v>16541</v>
      </c>
      <c r="I5689" t="s">
        <v>16082</v>
      </c>
    </row>
    <row r="5690" spans="1:9">
      <c r="A5690" t="s">
        <v>16075</v>
      </c>
      <c r="B5690" t="s">
        <v>16076</v>
      </c>
      <c r="C5690" t="s">
        <v>16542</v>
      </c>
      <c r="D5690" t="s">
        <v>16078</v>
      </c>
      <c r="E5690" t="s">
        <v>16543</v>
      </c>
      <c r="F5690" t="s">
        <v>16544</v>
      </c>
      <c r="G5690" t="s">
        <v>16116</v>
      </c>
      <c r="H5690" t="s">
        <v>16545</v>
      </c>
      <c r="I5690" t="s">
        <v>16082</v>
      </c>
    </row>
    <row r="5691" spans="1:9">
      <c r="A5691" t="s">
        <v>16075</v>
      </c>
      <c r="B5691" t="s">
        <v>16076</v>
      </c>
      <c r="C5691" t="s">
        <v>16546</v>
      </c>
      <c r="D5691" t="s">
        <v>16078</v>
      </c>
      <c r="E5691" t="s">
        <v>16547</v>
      </c>
      <c r="F5691" t="s">
        <v>16548</v>
      </c>
      <c r="G5691" t="s">
        <v>16131</v>
      </c>
      <c r="H5691" t="s">
        <v>16549</v>
      </c>
      <c r="I5691" t="s">
        <v>16082</v>
      </c>
    </row>
    <row r="5692" spans="1:9">
      <c r="A5692" t="s">
        <v>16075</v>
      </c>
      <c r="B5692" t="s">
        <v>16076</v>
      </c>
      <c r="C5692" t="s">
        <v>16550</v>
      </c>
      <c r="D5692" t="s">
        <v>16078</v>
      </c>
      <c r="E5692" t="s">
        <v>16551</v>
      </c>
      <c r="F5692" t="s">
        <v>16552</v>
      </c>
      <c r="G5692" t="s">
        <v>16131</v>
      </c>
      <c r="H5692" t="s">
        <v>16553</v>
      </c>
      <c r="I5692" t="s">
        <v>16082</v>
      </c>
    </row>
    <row r="5693" spans="1:9">
      <c r="A5693" t="s">
        <v>16075</v>
      </c>
      <c r="B5693" t="s">
        <v>16076</v>
      </c>
      <c r="C5693" t="s">
        <v>16554</v>
      </c>
      <c r="D5693" t="s">
        <v>16078</v>
      </c>
      <c r="E5693" t="s">
        <v>16555</v>
      </c>
      <c r="F5693" t="s">
        <v>16556</v>
      </c>
      <c r="G5693" t="s">
        <v>16131</v>
      </c>
      <c r="H5693" t="s">
        <v>16557</v>
      </c>
      <c r="I5693" t="s">
        <v>16082</v>
      </c>
    </row>
    <row r="5694" spans="1:9">
      <c r="A5694" t="s">
        <v>16075</v>
      </c>
      <c r="B5694" t="s">
        <v>16076</v>
      </c>
      <c r="C5694" t="s">
        <v>16558</v>
      </c>
      <c r="D5694" t="s">
        <v>16078</v>
      </c>
      <c r="E5694" t="s">
        <v>16559</v>
      </c>
      <c r="F5694" t="s">
        <v>16560</v>
      </c>
      <c r="G5694" t="s">
        <v>16159</v>
      </c>
      <c r="H5694" t="s">
        <v>16561</v>
      </c>
      <c r="I5694" t="s">
        <v>16082</v>
      </c>
    </row>
    <row r="5695" spans="1:9">
      <c r="A5695" t="s">
        <v>16075</v>
      </c>
      <c r="B5695" t="s">
        <v>16076</v>
      </c>
      <c r="C5695" t="s">
        <v>16562</v>
      </c>
      <c r="D5695" t="s">
        <v>16078</v>
      </c>
      <c r="E5695" t="s">
        <v>16563</v>
      </c>
      <c r="F5695" t="s">
        <v>16563</v>
      </c>
      <c r="G5695" t="s">
        <v>16159</v>
      </c>
      <c r="H5695" t="s">
        <v>16564</v>
      </c>
      <c r="I5695" t="s">
        <v>16082</v>
      </c>
    </row>
    <row r="5696" spans="1:9">
      <c r="A5696" t="s">
        <v>16075</v>
      </c>
      <c r="B5696" t="s">
        <v>16076</v>
      </c>
      <c r="C5696" t="s">
        <v>16565</v>
      </c>
      <c r="D5696" t="s">
        <v>16078</v>
      </c>
      <c r="E5696" t="s">
        <v>15569</v>
      </c>
      <c r="F5696" t="s">
        <v>16566</v>
      </c>
      <c r="G5696" t="s">
        <v>16109</v>
      </c>
      <c r="H5696" t="s">
        <v>16567</v>
      </c>
      <c r="I5696" t="s">
        <v>16082</v>
      </c>
    </row>
    <row r="5697" spans="1:9">
      <c r="A5697" t="s">
        <v>16075</v>
      </c>
      <c r="B5697" t="s">
        <v>16076</v>
      </c>
      <c r="C5697" t="s">
        <v>16568</v>
      </c>
      <c r="D5697" t="s">
        <v>16078</v>
      </c>
      <c r="E5697" t="s">
        <v>16569</v>
      </c>
      <c r="F5697" t="s">
        <v>16570</v>
      </c>
      <c r="G5697" t="s">
        <v>16109</v>
      </c>
      <c r="H5697" t="s">
        <v>16571</v>
      </c>
      <c r="I5697" t="s">
        <v>16082</v>
      </c>
    </row>
    <row r="5698" spans="1:9">
      <c r="A5698" t="s">
        <v>16075</v>
      </c>
      <c r="B5698" t="s">
        <v>16076</v>
      </c>
      <c r="C5698" t="s">
        <v>16572</v>
      </c>
      <c r="D5698" t="s">
        <v>16078</v>
      </c>
      <c r="E5698" t="s">
        <v>16573</v>
      </c>
      <c r="F5698" t="s">
        <v>16574</v>
      </c>
      <c r="G5698" t="s">
        <v>16194</v>
      </c>
      <c r="H5698" t="s">
        <v>16575</v>
      </c>
      <c r="I5698" t="s">
        <v>16082</v>
      </c>
    </row>
    <row r="5699" spans="1:9">
      <c r="A5699" t="s">
        <v>16075</v>
      </c>
      <c r="B5699" t="s">
        <v>16076</v>
      </c>
      <c r="C5699" t="s">
        <v>16576</v>
      </c>
      <c r="D5699" t="s">
        <v>16078</v>
      </c>
      <c r="E5699" t="s">
        <v>16577</v>
      </c>
      <c r="F5699" t="s">
        <v>16578</v>
      </c>
      <c r="G5699" t="s">
        <v>16080</v>
      </c>
      <c r="H5699" t="s">
        <v>16579</v>
      </c>
      <c r="I5699" t="s">
        <v>16082</v>
      </c>
    </row>
    <row r="5700" spans="1:9">
      <c r="A5700" t="s">
        <v>16075</v>
      </c>
      <c r="B5700" t="s">
        <v>16076</v>
      </c>
      <c r="C5700" t="s">
        <v>16580</v>
      </c>
      <c r="D5700" t="s">
        <v>16078</v>
      </c>
      <c r="E5700" t="s">
        <v>16581</v>
      </c>
      <c r="F5700" t="s">
        <v>16582</v>
      </c>
      <c r="G5700" t="s">
        <v>16131</v>
      </c>
      <c r="H5700" t="s">
        <v>16583</v>
      </c>
      <c r="I5700" t="s">
        <v>16082</v>
      </c>
    </row>
    <row r="5701" spans="1:9">
      <c r="A5701" t="s">
        <v>16075</v>
      </c>
      <c r="B5701" t="s">
        <v>16076</v>
      </c>
      <c r="C5701" t="s">
        <v>16584</v>
      </c>
      <c r="D5701" t="s">
        <v>16078</v>
      </c>
      <c r="E5701" t="s">
        <v>882</v>
      </c>
      <c r="F5701" t="s">
        <v>16585</v>
      </c>
      <c r="G5701" t="s">
        <v>16091</v>
      </c>
      <c r="H5701" t="s">
        <v>16586</v>
      </c>
      <c r="I5701" t="s">
        <v>16082</v>
      </c>
    </row>
    <row r="5702" spans="1:9">
      <c r="A5702" t="s">
        <v>16075</v>
      </c>
      <c r="B5702" t="s">
        <v>16076</v>
      </c>
      <c r="C5702" t="s">
        <v>16587</v>
      </c>
      <c r="D5702" t="s">
        <v>16078</v>
      </c>
      <c r="E5702" t="s">
        <v>16588</v>
      </c>
      <c r="F5702" t="s">
        <v>16589</v>
      </c>
      <c r="G5702" t="s">
        <v>16131</v>
      </c>
      <c r="H5702" t="s">
        <v>16590</v>
      </c>
      <c r="I5702" t="s">
        <v>16082</v>
      </c>
    </row>
    <row r="5703" spans="1:9">
      <c r="A5703" t="s">
        <v>16075</v>
      </c>
      <c r="B5703" t="s">
        <v>16076</v>
      </c>
      <c r="C5703" t="s">
        <v>16591</v>
      </c>
      <c r="D5703" t="s">
        <v>16078</v>
      </c>
      <c r="E5703" t="s">
        <v>16592</v>
      </c>
      <c r="F5703" t="s">
        <v>16592</v>
      </c>
      <c r="G5703" t="s">
        <v>16593</v>
      </c>
      <c r="H5703" t="s">
        <v>16594</v>
      </c>
      <c r="I5703" t="s">
        <v>16082</v>
      </c>
    </row>
    <row r="5704" spans="1:9">
      <c r="A5704" t="s">
        <v>16075</v>
      </c>
      <c r="B5704" t="s">
        <v>16076</v>
      </c>
      <c r="C5704" t="s">
        <v>16595</v>
      </c>
      <c r="D5704" t="s">
        <v>16078</v>
      </c>
      <c r="E5704" t="s">
        <v>7626</v>
      </c>
      <c r="F5704" t="s">
        <v>16596</v>
      </c>
      <c r="G5704" t="s">
        <v>16173</v>
      </c>
      <c r="H5704" t="s">
        <v>16597</v>
      </c>
      <c r="I5704" t="s">
        <v>16082</v>
      </c>
    </row>
    <row r="5705" spans="1:9">
      <c r="A5705" t="s">
        <v>16075</v>
      </c>
      <c r="B5705" t="s">
        <v>16076</v>
      </c>
      <c r="C5705" t="s">
        <v>16598</v>
      </c>
      <c r="D5705" t="s">
        <v>16078</v>
      </c>
      <c r="E5705" t="s">
        <v>16599</v>
      </c>
      <c r="F5705" t="s">
        <v>16600</v>
      </c>
      <c r="G5705" t="s">
        <v>16194</v>
      </c>
      <c r="H5705" t="s">
        <v>16601</v>
      </c>
      <c r="I5705" t="s">
        <v>16082</v>
      </c>
    </row>
    <row r="5706" spans="1:9">
      <c r="A5706" t="s">
        <v>16075</v>
      </c>
      <c r="B5706" t="s">
        <v>16076</v>
      </c>
      <c r="C5706" t="s">
        <v>16602</v>
      </c>
      <c r="D5706" t="s">
        <v>16078</v>
      </c>
      <c r="E5706" t="s">
        <v>16603</v>
      </c>
      <c r="F5706" t="s">
        <v>16604</v>
      </c>
      <c r="G5706" t="s">
        <v>16183</v>
      </c>
      <c r="H5706" t="s">
        <v>16605</v>
      </c>
      <c r="I5706" t="s">
        <v>16082</v>
      </c>
    </row>
    <row r="5707" spans="1:9">
      <c r="A5707" t="s">
        <v>16075</v>
      </c>
      <c r="B5707" t="s">
        <v>16076</v>
      </c>
      <c r="C5707" t="s">
        <v>16606</v>
      </c>
      <c r="D5707" t="s">
        <v>16078</v>
      </c>
      <c r="E5707" t="s">
        <v>15034</v>
      </c>
      <c r="F5707" t="s">
        <v>16607</v>
      </c>
      <c r="G5707" t="s">
        <v>16080</v>
      </c>
      <c r="H5707" t="s">
        <v>16608</v>
      </c>
      <c r="I5707" t="s">
        <v>16082</v>
      </c>
    </row>
    <row r="5708" spans="1:9">
      <c r="A5708" t="s">
        <v>16075</v>
      </c>
      <c r="B5708" t="s">
        <v>16076</v>
      </c>
      <c r="C5708" t="s">
        <v>16609</v>
      </c>
      <c r="D5708" t="s">
        <v>16078</v>
      </c>
      <c r="E5708" t="s">
        <v>4002</v>
      </c>
      <c r="F5708" t="s">
        <v>16610</v>
      </c>
      <c r="G5708" t="s">
        <v>16091</v>
      </c>
      <c r="H5708" t="s">
        <v>16611</v>
      </c>
      <c r="I5708" t="s">
        <v>16082</v>
      </c>
    </row>
    <row r="5709" spans="1:9">
      <c r="A5709" t="s">
        <v>16075</v>
      </c>
      <c r="B5709" t="s">
        <v>16076</v>
      </c>
      <c r="C5709" t="s">
        <v>16612</v>
      </c>
      <c r="D5709" t="s">
        <v>16078</v>
      </c>
      <c r="E5709" t="s">
        <v>16613</v>
      </c>
      <c r="F5709" t="s">
        <v>16614</v>
      </c>
      <c r="G5709" t="s">
        <v>16105</v>
      </c>
      <c r="H5709" t="s">
        <v>16615</v>
      </c>
      <c r="I5709" t="s">
        <v>16082</v>
      </c>
    </row>
    <row r="5710" spans="1:9">
      <c r="A5710" t="s">
        <v>16075</v>
      </c>
      <c r="B5710" t="s">
        <v>16076</v>
      </c>
      <c r="C5710" t="s">
        <v>16616</v>
      </c>
      <c r="D5710" t="s">
        <v>16078</v>
      </c>
      <c r="E5710" t="s">
        <v>10671</v>
      </c>
      <c r="F5710" t="s">
        <v>16617</v>
      </c>
      <c r="G5710" t="s">
        <v>16086</v>
      </c>
      <c r="H5710" t="s">
        <v>16579</v>
      </c>
      <c r="I5710" t="s">
        <v>16082</v>
      </c>
    </row>
    <row r="5711" spans="1:9">
      <c r="A5711" t="s">
        <v>16075</v>
      </c>
      <c r="B5711" t="s">
        <v>16076</v>
      </c>
      <c r="C5711" t="s">
        <v>16618</v>
      </c>
      <c r="D5711" t="s">
        <v>16078</v>
      </c>
      <c r="E5711" t="s">
        <v>8866</v>
      </c>
      <c r="F5711" t="s">
        <v>16619</v>
      </c>
      <c r="G5711" t="s">
        <v>16091</v>
      </c>
      <c r="H5711" t="s">
        <v>16620</v>
      </c>
      <c r="I5711" t="s">
        <v>16082</v>
      </c>
    </row>
    <row r="5712" spans="1:9">
      <c r="A5712" t="s">
        <v>16075</v>
      </c>
      <c r="B5712" t="s">
        <v>16076</v>
      </c>
      <c r="C5712" t="s">
        <v>16621</v>
      </c>
      <c r="D5712" t="s">
        <v>16078</v>
      </c>
      <c r="E5712" t="s">
        <v>16622</v>
      </c>
      <c r="F5712" t="s">
        <v>16623</v>
      </c>
      <c r="G5712" t="s">
        <v>16097</v>
      </c>
      <c r="H5712" t="s">
        <v>16624</v>
      </c>
      <c r="I5712" t="s">
        <v>16082</v>
      </c>
    </row>
    <row r="5713" spans="1:9">
      <c r="A5713" t="s">
        <v>16075</v>
      </c>
      <c r="B5713" t="s">
        <v>16076</v>
      </c>
      <c r="C5713" t="s">
        <v>16625</v>
      </c>
      <c r="D5713" t="s">
        <v>16078</v>
      </c>
      <c r="E5713" t="s">
        <v>16626</v>
      </c>
      <c r="F5713" t="s">
        <v>16627</v>
      </c>
      <c r="G5713" t="s">
        <v>16086</v>
      </c>
      <c r="H5713" t="s">
        <v>16628</v>
      </c>
      <c r="I5713" t="s">
        <v>16082</v>
      </c>
    </row>
    <row r="5714" spans="1:9">
      <c r="A5714" t="s">
        <v>16075</v>
      </c>
      <c r="B5714" t="s">
        <v>16076</v>
      </c>
      <c r="C5714" t="s">
        <v>16629</v>
      </c>
      <c r="D5714" t="s">
        <v>16078</v>
      </c>
      <c r="E5714" t="s">
        <v>16630</v>
      </c>
      <c r="F5714" t="s">
        <v>16631</v>
      </c>
      <c r="G5714" t="s">
        <v>16116</v>
      </c>
      <c r="H5714" t="s">
        <v>16615</v>
      </c>
      <c r="I5714" t="s">
        <v>16082</v>
      </c>
    </row>
    <row r="5715" spans="1:9">
      <c r="A5715" t="s">
        <v>16075</v>
      </c>
      <c r="B5715" t="s">
        <v>16076</v>
      </c>
      <c r="C5715" t="s">
        <v>16632</v>
      </c>
      <c r="D5715" t="s">
        <v>16078</v>
      </c>
      <c r="E5715" t="s">
        <v>11680</v>
      </c>
      <c r="F5715" t="s">
        <v>16633</v>
      </c>
      <c r="G5715" t="s">
        <v>16131</v>
      </c>
      <c r="H5715" t="s">
        <v>16634</v>
      </c>
      <c r="I5715" t="s">
        <v>16082</v>
      </c>
    </row>
    <row r="5716" spans="1:9">
      <c r="A5716" t="s">
        <v>16075</v>
      </c>
      <c r="B5716" t="s">
        <v>16076</v>
      </c>
      <c r="C5716" t="s">
        <v>16635</v>
      </c>
      <c r="D5716" t="s">
        <v>16078</v>
      </c>
      <c r="E5716" t="s">
        <v>16636</v>
      </c>
      <c r="F5716" t="s">
        <v>16637</v>
      </c>
      <c r="G5716" t="s">
        <v>16320</v>
      </c>
      <c r="H5716" t="s">
        <v>16638</v>
      </c>
    </row>
    <row r="5717" spans="1:9">
      <c r="A5717" t="s">
        <v>16075</v>
      </c>
      <c r="B5717" t="s">
        <v>16076</v>
      </c>
      <c r="C5717" t="s">
        <v>16639</v>
      </c>
      <c r="D5717" t="s">
        <v>16078</v>
      </c>
      <c r="E5717" t="s">
        <v>4981</v>
      </c>
      <c r="F5717" t="s">
        <v>16640</v>
      </c>
      <c r="G5717" t="s">
        <v>16131</v>
      </c>
      <c r="H5717" t="s">
        <v>16641</v>
      </c>
      <c r="I5717" t="s">
        <v>16082</v>
      </c>
    </row>
    <row r="5718" spans="1:9">
      <c r="A5718" t="s">
        <v>16075</v>
      </c>
      <c r="B5718" t="s">
        <v>16076</v>
      </c>
      <c r="C5718" t="s">
        <v>16642</v>
      </c>
      <c r="D5718" t="s">
        <v>16078</v>
      </c>
      <c r="E5718" t="s">
        <v>16643</v>
      </c>
      <c r="F5718" t="s">
        <v>16644</v>
      </c>
      <c r="G5718" t="s">
        <v>16178</v>
      </c>
      <c r="H5718" t="s">
        <v>16645</v>
      </c>
      <c r="I5718" t="s">
        <v>16082</v>
      </c>
    </row>
    <row r="5719" spans="1:9">
      <c r="A5719" t="s">
        <v>16075</v>
      </c>
      <c r="B5719" t="s">
        <v>16076</v>
      </c>
      <c r="C5719" t="s">
        <v>16646</v>
      </c>
      <c r="D5719" t="s">
        <v>16078</v>
      </c>
      <c r="E5719" t="s">
        <v>16647</v>
      </c>
      <c r="F5719" t="s">
        <v>16648</v>
      </c>
      <c r="G5719" t="s">
        <v>16194</v>
      </c>
      <c r="H5719" t="s">
        <v>16649</v>
      </c>
      <c r="I5719" t="s">
        <v>16082</v>
      </c>
    </row>
    <row r="5720" spans="1:9">
      <c r="A5720" t="s">
        <v>16075</v>
      </c>
      <c r="B5720" t="s">
        <v>16076</v>
      </c>
      <c r="C5720" t="s">
        <v>16650</v>
      </c>
      <c r="D5720" t="s">
        <v>16078</v>
      </c>
      <c r="E5720" t="s">
        <v>16651</v>
      </c>
      <c r="F5720" t="s">
        <v>16652</v>
      </c>
      <c r="G5720" t="s">
        <v>16091</v>
      </c>
      <c r="H5720" t="s">
        <v>16653</v>
      </c>
      <c r="I5720" t="s">
        <v>16082</v>
      </c>
    </row>
    <row r="5721" spans="1:9">
      <c r="A5721" t="s">
        <v>16075</v>
      </c>
      <c r="B5721" t="s">
        <v>16076</v>
      </c>
      <c r="C5721" t="s">
        <v>16654</v>
      </c>
      <c r="D5721" t="s">
        <v>16078</v>
      </c>
      <c r="E5721" t="s">
        <v>16655</v>
      </c>
      <c r="F5721" t="s">
        <v>16656</v>
      </c>
      <c r="G5721" t="s">
        <v>16178</v>
      </c>
      <c r="H5721" t="s">
        <v>16657</v>
      </c>
      <c r="I5721" t="s">
        <v>16082</v>
      </c>
    </row>
    <row r="5722" spans="1:9">
      <c r="A5722" t="s">
        <v>16075</v>
      </c>
      <c r="B5722" t="s">
        <v>16076</v>
      </c>
      <c r="C5722" t="s">
        <v>16658</v>
      </c>
      <c r="D5722" t="s">
        <v>16078</v>
      </c>
      <c r="E5722" t="s">
        <v>16659</v>
      </c>
      <c r="F5722" t="s">
        <v>16660</v>
      </c>
      <c r="G5722" t="s">
        <v>16194</v>
      </c>
      <c r="H5722" t="s">
        <v>16661</v>
      </c>
      <c r="I5722" t="s">
        <v>16082</v>
      </c>
    </row>
    <row r="5723" spans="1:9">
      <c r="A5723" t="s">
        <v>16075</v>
      </c>
      <c r="B5723" t="s">
        <v>16076</v>
      </c>
      <c r="C5723" t="s">
        <v>16662</v>
      </c>
      <c r="D5723" t="s">
        <v>16078</v>
      </c>
      <c r="E5723" t="s">
        <v>16663</v>
      </c>
      <c r="F5723" t="s">
        <v>16664</v>
      </c>
      <c r="G5723" t="s">
        <v>16665</v>
      </c>
      <c r="H5723" t="s">
        <v>16666</v>
      </c>
    </row>
    <row r="5724" spans="1:9">
      <c r="A5724" t="s">
        <v>16075</v>
      </c>
      <c r="B5724" t="s">
        <v>16076</v>
      </c>
      <c r="C5724" t="s">
        <v>16667</v>
      </c>
      <c r="D5724" t="s">
        <v>16078</v>
      </c>
      <c r="E5724" t="s">
        <v>16668</v>
      </c>
      <c r="F5724" t="s">
        <v>16669</v>
      </c>
      <c r="G5724" t="s">
        <v>16097</v>
      </c>
      <c r="H5724" t="s">
        <v>16670</v>
      </c>
      <c r="I5724" t="s">
        <v>16082</v>
      </c>
    </row>
    <row r="5725" spans="1:9">
      <c r="A5725" t="s">
        <v>16075</v>
      </c>
      <c r="B5725" t="s">
        <v>16076</v>
      </c>
      <c r="C5725" t="s">
        <v>16671</v>
      </c>
      <c r="D5725" t="s">
        <v>16078</v>
      </c>
      <c r="E5725" t="s">
        <v>16672</v>
      </c>
      <c r="F5725" t="s">
        <v>16673</v>
      </c>
      <c r="G5725" t="s">
        <v>16178</v>
      </c>
      <c r="H5725" t="s">
        <v>16674</v>
      </c>
      <c r="I5725" t="s">
        <v>16082</v>
      </c>
    </row>
    <row r="5726" spans="1:9">
      <c r="A5726" t="s">
        <v>16075</v>
      </c>
      <c r="B5726" t="s">
        <v>16076</v>
      </c>
      <c r="C5726" t="s">
        <v>16675</v>
      </c>
      <c r="D5726" t="s">
        <v>16078</v>
      </c>
      <c r="E5726" t="s">
        <v>13127</v>
      </c>
      <c r="F5726" t="s">
        <v>16676</v>
      </c>
      <c r="G5726" t="s">
        <v>16097</v>
      </c>
      <c r="H5726" t="s">
        <v>16634</v>
      </c>
      <c r="I5726" t="s">
        <v>16082</v>
      </c>
    </row>
    <row r="5727" spans="1:9">
      <c r="A5727" t="s">
        <v>16075</v>
      </c>
      <c r="B5727" t="s">
        <v>16076</v>
      </c>
      <c r="C5727" t="s">
        <v>16677</v>
      </c>
      <c r="D5727" t="s">
        <v>16078</v>
      </c>
      <c r="E5727" t="s">
        <v>6396</v>
      </c>
      <c r="F5727" t="s">
        <v>16678</v>
      </c>
      <c r="G5727" t="s">
        <v>16173</v>
      </c>
      <c r="H5727" t="s">
        <v>16679</v>
      </c>
      <c r="I5727" t="s">
        <v>16082</v>
      </c>
    </row>
    <row r="5728" spans="1:9">
      <c r="A5728" t="s">
        <v>16075</v>
      </c>
      <c r="B5728" t="s">
        <v>16076</v>
      </c>
      <c r="C5728" t="s">
        <v>16680</v>
      </c>
      <c r="D5728" t="s">
        <v>16078</v>
      </c>
      <c r="E5728" t="s">
        <v>16681</v>
      </c>
      <c r="F5728" t="s">
        <v>16682</v>
      </c>
      <c r="G5728" t="s">
        <v>16683</v>
      </c>
      <c r="H5728" t="s">
        <v>16684</v>
      </c>
      <c r="I5728" t="s">
        <v>16093</v>
      </c>
    </row>
    <row r="5729" spans="1:14">
      <c r="A5729" t="s">
        <v>16075</v>
      </c>
      <c r="B5729" t="s">
        <v>16076</v>
      </c>
      <c r="C5729" t="s">
        <v>16685</v>
      </c>
      <c r="D5729" t="s">
        <v>16078</v>
      </c>
      <c r="E5729" t="s">
        <v>16686</v>
      </c>
      <c r="F5729" t="s">
        <v>16687</v>
      </c>
      <c r="G5729" t="s">
        <v>16168</v>
      </c>
      <c r="H5729" t="s">
        <v>16688</v>
      </c>
      <c r="I5729" t="s">
        <v>16082</v>
      </c>
    </row>
    <row r="5730" spans="1:14">
      <c r="A5730" t="s">
        <v>16075</v>
      </c>
      <c r="B5730" t="s">
        <v>16076</v>
      </c>
      <c r="C5730" t="s">
        <v>16689</v>
      </c>
      <c r="D5730" t="s">
        <v>16078</v>
      </c>
      <c r="E5730" t="s">
        <v>16690</v>
      </c>
      <c r="F5730" t="s">
        <v>16691</v>
      </c>
      <c r="G5730" t="s">
        <v>16131</v>
      </c>
      <c r="H5730" t="s">
        <v>16692</v>
      </c>
      <c r="I5730" t="s">
        <v>16093</v>
      </c>
    </row>
    <row r="5731" spans="1:14">
      <c r="A5731" t="s">
        <v>16075</v>
      </c>
      <c r="B5731" t="s">
        <v>16076</v>
      </c>
      <c r="C5731" t="s">
        <v>16693</v>
      </c>
      <c r="D5731" t="s">
        <v>16078</v>
      </c>
      <c r="E5731" t="s">
        <v>16694</v>
      </c>
      <c r="F5731" t="s">
        <v>16695</v>
      </c>
      <c r="G5731" t="s">
        <v>16131</v>
      </c>
      <c r="H5731" t="s">
        <v>16674</v>
      </c>
      <c r="I5731" t="s">
        <v>16082</v>
      </c>
    </row>
    <row r="5732" spans="1:14">
      <c r="A5732" t="s">
        <v>16075</v>
      </c>
      <c r="B5732" t="s">
        <v>16076</v>
      </c>
      <c r="C5732" t="s">
        <v>16696</v>
      </c>
      <c r="D5732" t="s">
        <v>16078</v>
      </c>
      <c r="E5732" t="s">
        <v>16697</v>
      </c>
      <c r="F5732" t="s">
        <v>16698</v>
      </c>
      <c r="G5732" t="s">
        <v>16209</v>
      </c>
      <c r="H5732" t="s">
        <v>16688</v>
      </c>
      <c r="I5732" t="s">
        <v>16082</v>
      </c>
    </row>
    <row r="5733" spans="1:14">
      <c r="A5733" t="s">
        <v>16075</v>
      </c>
      <c r="B5733" t="s">
        <v>16076</v>
      </c>
      <c r="C5733" t="s">
        <v>16699</v>
      </c>
      <c r="D5733" t="s">
        <v>16078</v>
      </c>
      <c r="E5733" t="s">
        <v>16700</v>
      </c>
      <c r="F5733" t="s">
        <v>16701</v>
      </c>
      <c r="G5733" t="s">
        <v>16593</v>
      </c>
      <c r="H5733" t="s">
        <v>16702</v>
      </c>
      <c r="I5733" t="s">
        <v>16082</v>
      </c>
      <c r="J5733" t="s">
        <v>16700</v>
      </c>
      <c r="K5733" t="s">
        <v>16075</v>
      </c>
      <c r="L5733" t="s">
        <v>16219</v>
      </c>
      <c r="M5733" t="s">
        <v>16082</v>
      </c>
      <c r="N5733" t="s">
        <v>16702</v>
      </c>
    </row>
    <row r="5734" spans="1:14">
      <c r="A5734" t="s">
        <v>16075</v>
      </c>
      <c r="B5734" t="s">
        <v>16076</v>
      </c>
      <c r="C5734" t="s">
        <v>16703</v>
      </c>
      <c r="D5734" t="s">
        <v>16078</v>
      </c>
      <c r="E5734" t="s">
        <v>16704</v>
      </c>
      <c r="F5734" t="s">
        <v>16705</v>
      </c>
      <c r="G5734" t="s">
        <v>16091</v>
      </c>
      <c r="H5734" t="s">
        <v>16706</v>
      </c>
      <c r="I5734" t="s">
        <v>16082</v>
      </c>
    </row>
    <row r="5735" spans="1:14">
      <c r="A5735" t="s">
        <v>16075</v>
      </c>
      <c r="B5735" t="s">
        <v>16076</v>
      </c>
      <c r="C5735" t="s">
        <v>16707</v>
      </c>
      <c r="D5735" t="s">
        <v>16078</v>
      </c>
      <c r="E5735" t="s">
        <v>16708</v>
      </c>
      <c r="F5735" t="s">
        <v>16709</v>
      </c>
      <c r="G5735" t="s">
        <v>16438</v>
      </c>
      <c r="H5735" t="s">
        <v>16710</v>
      </c>
      <c r="I5735" t="s">
        <v>16082</v>
      </c>
    </row>
    <row r="5736" spans="1:14">
      <c r="A5736" t="s">
        <v>16075</v>
      </c>
      <c r="B5736" t="s">
        <v>16076</v>
      </c>
      <c r="C5736" t="s">
        <v>16711</v>
      </c>
      <c r="D5736" t="s">
        <v>16078</v>
      </c>
      <c r="E5736" t="s">
        <v>16712</v>
      </c>
      <c r="F5736" t="s">
        <v>16713</v>
      </c>
      <c r="G5736" t="s">
        <v>16097</v>
      </c>
      <c r="H5736" t="s">
        <v>16714</v>
      </c>
      <c r="I5736" t="s">
        <v>16093</v>
      </c>
    </row>
    <row r="5737" spans="1:14">
      <c r="A5737" t="s">
        <v>16075</v>
      </c>
      <c r="B5737" t="s">
        <v>16076</v>
      </c>
      <c r="C5737" t="s">
        <v>16715</v>
      </c>
      <c r="D5737" t="s">
        <v>16078</v>
      </c>
      <c r="E5737" t="s">
        <v>16716</v>
      </c>
      <c r="F5737" t="s">
        <v>16717</v>
      </c>
      <c r="G5737" t="s">
        <v>16159</v>
      </c>
      <c r="H5737" t="s">
        <v>16718</v>
      </c>
      <c r="I5737" t="s">
        <v>16082</v>
      </c>
    </row>
    <row r="5738" spans="1:14">
      <c r="A5738" t="s">
        <v>16075</v>
      </c>
      <c r="B5738" t="s">
        <v>16076</v>
      </c>
      <c r="C5738" t="s">
        <v>16719</v>
      </c>
      <c r="D5738" t="s">
        <v>16078</v>
      </c>
      <c r="E5738" t="s">
        <v>16720</v>
      </c>
      <c r="F5738" t="s">
        <v>16721</v>
      </c>
      <c r="G5738" t="s">
        <v>16101</v>
      </c>
      <c r="H5738" t="s">
        <v>16706</v>
      </c>
      <c r="I5738" t="s">
        <v>16082</v>
      </c>
    </row>
    <row r="5739" spans="1:14">
      <c r="A5739" t="s">
        <v>16075</v>
      </c>
      <c r="B5739" t="s">
        <v>16076</v>
      </c>
      <c r="C5739" t="s">
        <v>16722</v>
      </c>
      <c r="D5739" t="s">
        <v>16078</v>
      </c>
      <c r="E5739" t="s">
        <v>16723</v>
      </c>
      <c r="F5739" t="s">
        <v>16724</v>
      </c>
      <c r="G5739" t="s">
        <v>16194</v>
      </c>
      <c r="H5739" t="s">
        <v>16725</v>
      </c>
      <c r="I5739" t="s">
        <v>16082</v>
      </c>
    </row>
    <row r="5740" spans="1:14">
      <c r="A5740" t="s">
        <v>16075</v>
      </c>
      <c r="B5740" t="s">
        <v>16076</v>
      </c>
      <c r="C5740" t="s">
        <v>16726</v>
      </c>
      <c r="D5740" t="s">
        <v>16078</v>
      </c>
      <c r="E5740" t="s">
        <v>16727</v>
      </c>
      <c r="F5740" t="s">
        <v>16728</v>
      </c>
      <c r="G5740" t="s">
        <v>16209</v>
      </c>
      <c r="H5740" t="s">
        <v>16729</v>
      </c>
      <c r="I5740" t="s">
        <v>16082</v>
      </c>
    </row>
    <row r="5741" spans="1:14">
      <c r="A5741" t="s">
        <v>16075</v>
      </c>
      <c r="B5741" t="s">
        <v>16076</v>
      </c>
      <c r="C5741" t="s">
        <v>16730</v>
      </c>
      <c r="D5741" t="s">
        <v>16078</v>
      </c>
      <c r="E5741" t="s">
        <v>16731</v>
      </c>
      <c r="F5741" t="s">
        <v>16732</v>
      </c>
      <c r="G5741" t="s">
        <v>16303</v>
      </c>
      <c r="H5741" t="s">
        <v>16733</v>
      </c>
      <c r="I5741" t="s">
        <v>16082</v>
      </c>
    </row>
    <row r="5742" spans="1:14">
      <c r="A5742" t="s">
        <v>16075</v>
      </c>
      <c r="B5742" t="s">
        <v>16076</v>
      </c>
      <c r="C5742" t="s">
        <v>16734</v>
      </c>
      <c r="D5742" t="s">
        <v>16078</v>
      </c>
      <c r="E5742" t="s">
        <v>16735</v>
      </c>
      <c r="F5742" t="s">
        <v>16736</v>
      </c>
      <c r="G5742" t="s">
        <v>16091</v>
      </c>
      <c r="H5742" t="s">
        <v>16737</v>
      </c>
      <c r="I5742" t="s">
        <v>16082</v>
      </c>
    </row>
    <row r="5743" spans="1:14">
      <c r="A5743" t="s">
        <v>16075</v>
      </c>
      <c r="B5743" t="s">
        <v>16076</v>
      </c>
      <c r="C5743" t="s">
        <v>16738</v>
      </c>
      <c r="D5743" t="s">
        <v>16078</v>
      </c>
      <c r="E5743" t="s">
        <v>16739</v>
      </c>
      <c r="F5743" t="s">
        <v>16740</v>
      </c>
      <c r="G5743" t="s">
        <v>16239</v>
      </c>
      <c r="H5743" t="s">
        <v>16741</v>
      </c>
      <c r="I5743" t="s">
        <v>16093</v>
      </c>
    </row>
    <row r="5744" spans="1:14">
      <c r="A5744" t="s">
        <v>16075</v>
      </c>
      <c r="B5744" t="s">
        <v>16076</v>
      </c>
      <c r="C5744" t="s">
        <v>16742</v>
      </c>
      <c r="D5744" t="s">
        <v>16078</v>
      </c>
      <c r="E5744" t="s">
        <v>16743</v>
      </c>
      <c r="F5744" t="s">
        <v>16744</v>
      </c>
      <c r="G5744" t="s">
        <v>16116</v>
      </c>
      <c r="H5744" t="s">
        <v>16745</v>
      </c>
      <c r="I5744" t="s">
        <v>16082</v>
      </c>
    </row>
    <row r="5745" spans="1:9">
      <c r="A5745" t="s">
        <v>16075</v>
      </c>
      <c r="B5745" t="s">
        <v>16076</v>
      </c>
      <c r="C5745" t="s">
        <v>16746</v>
      </c>
      <c r="D5745" t="s">
        <v>16078</v>
      </c>
      <c r="E5745" t="s">
        <v>16747</v>
      </c>
      <c r="F5745" t="s">
        <v>16748</v>
      </c>
      <c r="G5745" t="s">
        <v>16209</v>
      </c>
      <c r="H5745" t="s">
        <v>16749</v>
      </c>
      <c r="I5745" t="s">
        <v>16082</v>
      </c>
    </row>
    <row r="5746" spans="1:9">
      <c r="A5746" t="s">
        <v>16075</v>
      </c>
      <c r="B5746" t="s">
        <v>16076</v>
      </c>
      <c r="C5746" t="s">
        <v>16750</v>
      </c>
      <c r="D5746" t="s">
        <v>16078</v>
      </c>
      <c r="E5746" t="s">
        <v>16751</v>
      </c>
      <c r="F5746" t="s">
        <v>16752</v>
      </c>
      <c r="G5746" t="s">
        <v>16116</v>
      </c>
      <c r="H5746" t="s">
        <v>16753</v>
      </c>
      <c r="I5746" t="s">
        <v>16082</v>
      </c>
    </row>
    <row r="5747" spans="1:9">
      <c r="A5747" t="s">
        <v>16075</v>
      </c>
      <c r="B5747" t="s">
        <v>16076</v>
      </c>
      <c r="C5747" t="s">
        <v>16754</v>
      </c>
      <c r="D5747" t="s">
        <v>16078</v>
      </c>
      <c r="E5747" t="s">
        <v>16755</v>
      </c>
      <c r="F5747" t="s">
        <v>16756</v>
      </c>
      <c r="G5747" t="s">
        <v>16086</v>
      </c>
      <c r="H5747" t="s">
        <v>16757</v>
      </c>
      <c r="I5747" t="s">
        <v>16082</v>
      </c>
    </row>
    <row r="5748" spans="1:9">
      <c r="A5748" t="s">
        <v>16075</v>
      </c>
      <c r="B5748" t="s">
        <v>16076</v>
      </c>
      <c r="C5748" t="s">
        <v>16758</v>
      </c>
      <c r="D5748" t="s">
        <v>16078</v>
      </c>
      <c r="E5748" t="s">
        <v>3607</v>
      </c>
      <c r="F5748" t="s">
        <v>16759</v>
      </c>
      <c r="G5748" t="s">
        <v>16109</v>
      </c>
      <c r="H5748" t="s">
        <v>16760</v>
      </c>
      <c r="I5748" t="s">
        <v>16082</v>
      </c>
    </row>
    <row r="5749" spans="1:9">
      <c r="A5749" t="s">
        <v>16075</v>
      </c>
      <c r="B5749" t="s">
        <v>16076</v>
      </c>
      <c r="C5749" t="s">
        <v>16761</v>
      </c>
      <c r="D5749" t="s">
        <v>16078</v>
      </c>
      <c r="E5749" t="s">
        <v>2001</v>
      </c>
      <c r="F5749" t="s">
        <v>16762</v>
      </c>
      <c r="G5749" t="s">
        <v>16131</v>
      </c>
      <c r="H5749" t="s">
        <v>16763</v>
      </c>
      <c r="I5749" t="s">
        <v>16082</v>
      </c>
    </row>
    <row r="5750" spans="1:9">
      <c r="A5750" t="s">
        <v>16075</v>
      </c>
      <c r="B5750" t="s">
        <v>16076</v>
      </c>
      <c r="C5750" t="s">
        <v>16764</v>
      </c>
      <c r="D5750" t="s">
        <v>16078</v>
      </c>
      <c r="E5750" t="s">
        <v>8936</v>
      </c>
      <c r="F5750" t="s">
        <v>16765</v>
      </c>
      <c r="G5750" t="s">
        <v>16131</v>
      </c>
      <c r="H5750" t="s">
        <v>16766</v>
      </c>
      <c r="I5750" t="s">
        <v>16082</v>
      </c>
    </row>
    <row r="5751" spans="1:9">
      <c r="A5751" t="s">
        <v>16075</v>
      </c>
      <c r="B5751" t="s">
        <v>16076</v>
      </c>
      <c r="C5751" t="s">
        <v>16767</v>
      </c>
      <c r="D5751" t="s">
        <v>16078</v>
      </c>
      <c r="E5751" t="s">
        <v>11893</v>
      </c>
      <c r="F5751" t="s">
        <v>16768</v>
      </c>
      <c r="G5751" t="s">
        <v>16312</v>
      </c>
      <c r="H5751" t="s">
        <v>16769</v>
      </c>
    </row>
    <row r="5752" spans="1:9">
      <c r="A5752" t="s">
        <v>16075</v>
      </c>
      <c r="B5752" t="s">
        <v>16076</v>
      </c>
      <c r="C5752" t="s">
        <v>16770</v>
      </c>
      <c r="D5752" t="s">
        <v>16078</v>
      </c>
      <c r="E5752" t="s">
        <v>16771</v>
      </c>
      <c r="F5752" t="s">
        <v>16772</v>
      </c>
      <c r="G5752" t="s">
        <v>16109</v>
      </c>
      <c r="H5752" t="s">
        <v>16773</v>
      </c>
      <c r="I5752" t="s">
        <v>16082</v>
      </c>
    </row>
    <row r="5753" spans="1:9">
      <c r="A5753" t="s">
        <v>16075</v>
      </c>
      <c r="B5753" t="s">
        <v>16076</v>
      </c>
      <c r="C5753" t="s">
        <v>16774</v>
      </c>
      <c r="D5753" t="s">
        <v>16078</v>
      </c>
      <c r="E5753" t="s">
        <v>4991</v>
      </c>
      <c r="F5753" t="s">
        <v>16775</v>
      </c>
      <c r="G5753" t="s">
        <v>16101</v>
      </c>
      <c r="H5753" t="s">
        <v>16776</v>
      </c>
      <c r="I5753" t="s">
        <v>16082</v>
      </c>
    </row>
    <row r="5754" spans="1:9">
      <c r="A5754" t="s">
        <v>16075</v>
      </c>
      <c r="B5754" t="s">
        <v>16076</v>
      </c>
      <c r="C5754" t="s">
        <v>16777</v>
      </c>
      <c r="D5754" t="s">
        <v>16078</v>
      </c>
      <c r="E5754" t="s">
        <v>8942</v>
      </c>
      <c r="F5754" t="s">
        <v>16778</v>
      </c>
      <c r="G5754" t="s">
        <v>16131</v>
      </c>
      <c r="H5754" t="s">
        <v>16779</v>
      </c>
      <c r="I5754" t="s">
        <v>16082</v>
      </c>
    </row>
    <row r="5755" spans="1:9">
      <c r="A5755" t="s">
        <v>16075</v>
      </c>
      <c r="B5755" t="s">
        <v>16076</v>
      </c>
      <c r="C5755" t="s">
        <v>16780</v>
      </c>
      <c r="D5755" t="s">
        <v>16078</v>
      </c>
      <c r="E5755" t="s">
        <v>16781</v>
      </c>
      <c r="F5755" t="s">
        <v>16782</v>
      </c>
      <c r="G5755" t="s">
        <v>16194</v>
      </c>
      <c r="H5755" t="s">
        <v>16763</v>
      </c>
      <c r="I5755" t="s">
        <v>16082</v>
      </c>
    </row>
    <row r="5756" spans="1:9">
      <c r="A5756" t="s">
        <v>16075</v>
      </c>
      <c r="B5756" t="s">
        <v>16076</v>
      </c>
      <c r="C5756" t="s">
        <v>16783</v>
      </c>
      <c r="D5756" t="s">
        <v>16078</v>
      </c>
      <c r="E5756" t="s">
        <v>16784</v>
      </c>
      <c r="F5756" t="s">
        <v>16785</v>
      </c>
      <c r="G5756" t="s">
        <v>16209</v>
      </c>
      <c r="H5756" t="s">
        <v>16763</v>
      </c>
      <c r="I5756" t="s">
        <v>16082</v>
      </c>
    </row>
    <row r="5757" spans="1:9">
      <c r="A5757" t="s">
        <v>16075</v>
      </c>
      <c r="B5757" t="s">
        <v>16076</v>
      </c>
      <c r="C5757" t="s">
        <v>16786</v>
      </c>
      <c r="D5757" t="s">
        <v>16078</v>
      </c>
      <c r="E5757" t="s">
        <v>16787</v>
      </c>
      <c r="F5757" t="s">
        <v>16788</v>
      </c>
      <c r="G5757" t="s">
        <v>16080</v>
      </c>
      <c r="H5757" t="s">
        <v>16789</v>
      </c>
      <c r="I5757" t="s">
        <v>16082</v>
      </c>
    </row>
    <row r="5758" spans="1:9">
      <c r="A5758" t="s">
        <v>16075</v>
      </c>
      <c r="B5758" t="s">
        <v>16076</v>
      </c>
      <c r="C5758" t="s">
        <v>16790</v>
      </c>
      <c r="D5758" t="s">
        <v>16078</v>
      </c>
      <c r="E5758" t="s">
        <v>16791</v>
      </c>
      <c r="F5758" t="s">
        <v>16792</v>
      </c>
      <c r="G5758" t="s">
        <v>16793</v>
      </c>
      <c r="H5758" t="s">
        <v>16794</v>
      </c>
      <c r="I5758" t="s">
        <v>16093</v>
      </c>
    </row>
    <row r="5759" spans="1:9">
      <c r="A5759" t="s">
        <v>16075</v>
      </c>
      <c r="B5759" t="s">
        <v>16076</v>
      </c>
      <c r="C5759" t="s">
        <v>16795</v>
      </c>
      <c r="D5759" t="s">
        <v>16078</v>
      </c>
      <c r="E5759" t="s">
        <v>8948</v>
      </c>
      <c r="F5759" t="s">
        <v>16796</v>
      </c>
      <c r="G5759" t="s">
        <v>16194</v>
      </c>
      <c r="H5759" t="s">
        <v>16779</v>
      </c>
      <c r="I5759" t="s">
        <v>16082</v>
      </c>
    </row>
    <row r="5760" spans="1:9">
      <c r="A5760" t="s">
        <v>16075</v>
      </c>
      <c r="B5760" t="s">
        <v>16076</v>
      </c>
      <c r="C5760" t="s">
        <v>16797</v>
      </c>
      <c r="D5760" t="s">
        <v>16078</v>
      </c>
      <c r="E5760" t="s">
        <v>16798</v>
      </c>
      <c r="F5760" t="s">
        <v>16799</v>
      </c>
      <c r="G5760" t="s">
        <v>16097</v>
      </c>
      <c r="H5760" t="s">
        <v>16800</v>
      </c>
      <c r="I5760" t="s">
        <v>16082</v>
      </c>
    </row>
    <row r="5761" spans="1:14">
      <c r="A5761" t="s">
        <v>16075</v>
      </c>
      <c r="B5761" t="s">
        <v>16076</v>
      </c>
      <c r="C5761" t="s">
        <v>16801</v>
      </c>
      <c r="D5761" t="s">
        <v>16078</v>
      </c>
      <c r="E5761" t="s">
        <v>16802</v>
      </c>
      <c r="F5761" t="s">
        <v>16803</v>
      </c>
      <c r="G5761" t="s">
        <v>16183</v>
      </c>
      <c r="H5761" t="s">
        <v>16804</v>
      </c>
      <c r="I5761" t="s">
        <v>16082</v>
      </c>
      <c r="J5761" t="s">
        <v>16802</v>
      </c>
      <c r="K5761" t="s">
        <v>16075</v>
      </c>
      <c r="L5761" t="s">
        <v>16219</v>
      </c>
      <c r="M5761" t="s">
        <v>16082</v>
      </c>
      <c r="N5761" t="s">
        <v>16804</v>
      </c>
    </row>
    <row r="5762" spans="1:14">
      <c r="A5762" t="s">
        <v>16075</v>
      </c>
      <c r="B5762" t="s">
        <v>16076</v>
      </c>
      <c r="C5762" t="s">
        <v>16805</v>
      </c>
      <c r="D5762" t="s">
        <v>16078</v>
      </c>
      <c r="E5762" t="s">
        <v>1381</v>
      </c>
      <c r="F5762" t="s">
        <v>16806</v>
      </c>
      <c r="G5762" t="s">
        <v>16159</v>
      </c>
      <c r="H5762" t="s">
        <v>16807</v>
      </c>
      <c r="I5762" t="s">
        <v>16082</v>
      </c>
    </row>
    <row r="5763" spans="1:14">
      <c r="A5763" t="s">
        <v>16075</v>
      </c>
      <c r="B5763" t="s">
        <v>16076</v>
      </c>
      <c r="C5763" t="s">
        <v>16808</v>
      </c>
      <c r="D5763" t="s">
        <v>16078</v>
      </c>
      <c r="E5763" t="s">
        <v>16809</v>
      </c>
      <c r="F5763" t="s">
        <v>16810</v>
      </c>
      <c r="G5763" t="s">
        <v>16086</v>
      </c>
      <c r="H5763" t="s">
        <v>16811</v>
      </c>
      <c r="I5763" t="s">
        <v>16082</v>
      </c>
    </row>
    <row r="5764" spans="1:14">
      <c r="A5764" t="s">
        <v>16075</v>
      </c>
      <c r="B5764" t="s">
        <v>16076</v>
      </c>
      <c r="C5764" t="s">
        <v>16812</v>
      </c>
      <c r="D5764" t="s">
        <v>16078</v>
      </c>
      <c r="E5764" t="s">
        <v>16813</v>
      </c>
      <c r="F5764" t="s">
        <v>16814</v>
      </c>
      <c r="G5764" t="s">
        <v>16116</v>
      </c>
      <c r="H5764" t="s">
        <v>16815</v>
      </c>
      <c r="I5764" t="s">
        <v>16082</v>
      </c>
    </row>
    <row r="5765" spans="1:14">
      <c r="A5765" t="s">
        <v>16075</v>
      </c>
      <c r="B5765" t="s">
        <v>16076</v>
      </c>
      <c r="C5765" t="s">
        <v>16816</v>
      </c>
      <c r="D5765" t="s">
        <v>16078</v>
      </c>
      <c r="E5765" t="s">
        <v>16817</v>
      </c>
      <c r="F5765" t="s">
        <v>16818</v>
      </c>
      <c r="G5765" t="s">
        <v>16303</v>
      </c>
      <c r="H5765" t="s">
        <v>16819</v>
      </c>
      <c r="I5765" t="s">
        <v>16082</v>
      </c>
    </row>
    <row r="5766" spans="1:14">
      <c r="A5766" t="s">
        <v>16075</v>
      </c>
      <c r="B5766" t="s">
        <v>16076</v>
      </c>
      <c r="C5766" t="s">
        <v>16820</v>
      </c>
      <c r="D5766" t="s">
        <v>16078</v>
      </c>
      <c r="E5766" t="s">
        <v>16821</v>
      </c>
      <c r="F5766" t="s">
        <v>16822</v>
      </c>
      <c r="G5766" t="s">
        <v>16086</v>
      </c>
      <c r="H5766" t="s">
        <v>16725</v>
      </c>
      <c r="I5766" t="s">
        <v>16082</v>
      </c>
    </row>
    <row r="5767" spans="1:14">
      <c r="A5767" t="s">
        <v>16075</v>
      </c>
      <c r="B5767" t="s">
        <v>16076</v>
      </c>
      <c r="C5767" t="s">
        <v>16823</v>
      </c>
      <c r="D5767" t="s">
        <v>16078</v>
      </c>
      <c r="E5767" t="s">
        <v>16824</v>
      </c>
      <c r="F5767" t="s">
        <v>16825</v>
      </c>
      <c r="G5767" t="s">
        <v>16159</v>
      </c>
      <c r="H5767" t="s">
        <v>16769</v>
      </c>
      <c r="I5767" t="s">
        <v>16082</v>
      </c>
    </row>
    <row r="5768" spans="1:14">
      <c r="A5768" t="s">
        <v>16075</v>
      </c>
      <c r="B5768" t="s">
        <v>16076</v>
      </c>
      <c r="C5768" t="s">
        <v>16826</v>
      </c>
      <c r="D5768" t="s">
        <v>16078</v>
      </c>
      <c r="E5768" t="s">
        <v>8058</v>
      </c>
      <c r="F5768" t="s">
        <v>16827</v>
      </c>
      <c r="G5768" t="s">
        <v>16828</v>
      </c>
      <c r="H5768" t="s">
        <v>16829</v>
      </c>
    </row>
    <row r="5769" spans="1:14">
      <c r="A5769" t="s">
        <v>16075</v>
      </c>
      <c r="B5769" t="s">
        <v>16076</v>
      </c>
      <c r="C5769" t="s">
        <v>16830</v>
      </c>
      <c r="D5769" t="s">
        <v>16078</v>
      </c>
      <c r="E5769" t="s">
        <v>888</v>
      </c>
      <c r="F5769" t="s">
        <v>16831</v>
      </c>
      <c r="G5769" t="s">
        <v>16159</v>
      </c>
      <c r="H5769" t="s">
        <v>16832</v>
      </c>
      <c r="I5769" t="s">
        <v>16082</v>
      </c>
    </row>
    <row r="5770" spans="1:14">
      <c r="A5770" t="s">
        <v>16075</v>
      </c>
      <c r="B5770" t="s">
        <v>16076</v>
      </c>
      <c r="C5770" t="s">
        <v>16833</v>
      </c>
      <c r="D5770" t="s">
        <v>16078</v>
      </c>
      <c r="E5770" t="s">
        <v>16834</v>
      </c>
      <c r="F5770" t="s">
        <v>16835</v>
      </c>
      <c r="G5770" t="s">
        <v>16131</v>
      </c>
      <c r="H5770" t="s">
        <v>16674</v>
      </c>
      <c r="I5770" t="s">
        <v>16082</v>
      </c>
    </row>
    <row r="5771" spans="1:14">
      <c r="A5771" t="s">
        <v>16075</v>
      </c>
      <c r="B5771" t="s">
        <v>16076</v>
      </c>
      <c r="C5771" t="s">
        <v>16836</v>
      </c>
      <c r="D5771" t="s">
        <v>16078</v>
      </c>
      <c r="E5771" t="s">
        <v>16837</v>
      </c>
      <c r="F5771" t="s">
        <v>16838</v>
      </c>
      <c r="G5771" t="s">
        <v>16397</v>
      </c>
      <c r="H5771" t="s">
        <v>16839</v>
      </c>
      <c r="I5771" t="s">
        <v>16082</v>
      </c>
      <c r="J5771" t="s">
        <v>16837</v>
      </c>
      <c r="K5771" t="s">
        <v>16075</v>
      </c>
      <c r="L5771" t="s">
        <v>16219</v>
      </c>
      <c r="M5771" t="s">
        <v>16082</v>
      </c>
      <c r="N5771" t="s">
        <v>16839</v>
      </c>
    </row>
    <row r="5772" spans="1:14">
      <c r="A5772" t="s">
        <v>16075</v>
      </c>
      <c r="B5772" t="s">
        <v>16076</v>
      </c>
      <c r="C5772" t="s">
        <v>16840</v>
      </c>
      <c r="D5772" t="s">
        <v>16078</v>
      </c>
      <c r="E5772" t="s">
        <v>16841</v>
      </c>
      <c r="F5772" t="s">
        <v>16842</v>
      </c>
      <c r="G5772" t="s">
        <v>16159</v>
      </c>
      <c r="H5772" t="s">
        <v>16843</v>
      </c>
      <c r="I5772" t="s">
        <v>16082</v>
      </c>
    </row>
    <row r="5773" spans="1:14">
      <c r="A5773" t="s">
        <v>16075</v>
      </c>
      <c r="B5773" t="s">
        <v>16076</v>
      </c>
      <c r="C5773" t="s">
        <v>16844</v>
      </c>
      <c r="D5773" t="s">
        <v>16078</v>
      </c>
      <c r="E5773" t="s">
        <v>7224</v>
      </c>
      <c r="F5773" t="s">
        <v>16845</v>
      </c>
      <c r="G5773" t="s">
        <v>16846</v>
      </c>
      <c r="H5773" t="s">
        <v>16847</v>
      </c>
    </row>
    <row r="5774" spans="1:14">
      <c r="A5774" t="s">
        <v>16075</v>
      </c>
      <c r="B5774" t="s">
        <v>16076</v>
      </c>
      <c r="C5774" t="s">
        <v>16848</v>
      </c>
      <c r="D5774" t="s">
        <v>16078</v>
      </c>
      <c r="E5774" t="s">
        <v>16849</v>
      </c>
      <c r="F5774" t="s">
        <v>16850</v>
      </c>
      <c r="G5774" t="s">
        <v>16209</v>
      </c>
      <c r="H5774" t="s">
        <v>16769</v>
      </c>
      <c r="I5774" t="s">
        <v>16082</v>
      </c>
    </row>
    <row r="5775" spans="1:14">
      <c r="A5775" t="s">
        <v>16075</v>
      </c>
      <c r="B5775" t="s">
        <v>16076</v>
      </c>
      <c r="C5775" t="s">
        <v>16851</v>
      </c>
      <c r="D5775" t="s">
        <v>16078</v>
      </c>
      <c r="E5775" t="s">
        <v>16852</v>
      </c>
      <c r="F5775" t="s">
        <v>16853</v>
      </c>
      <c r="G5775" t="s">
        <v>16397</v>
      </c>
      <c r="H5775" t="s">
        <v>16854</v>
      </c>
      <c r="I5775" t="s">
        <v>16082</v>
      </c>
    </row>
    <row r="5776" spans="1:14">
      <c r="A5776" t="s">
        <v>16075</v>
      </c>
      <c r="B5776" t="s">
        <v>16076</v>
      </c>
      <c r="C5776" t="s">
        <v>16855</v>
      </c>
      <c r="D5776" t="s">
        <v>16078</v>
      </c>
      <c r="E5776" t="s">
        <v>16856</v>
      </c>
      <c r="F5776" t="s">
        <v>16857</v>
      </c>
      <c r="G5776" t="s">
        <v>16194</v>
      </c>
      <c r="H5776" t="s">
        <v>16858</v>
      </c>
      <c r="I5776" t="s">
        <v>16082</v>
      </c>
    </row>
    <row r="5777" spans="1:9">
      <c r="A5777" t="s">
        <v>16075</v>
      </c>
      <c r="B5777" t="s">
        <v>16076</v>
      </c>
      <c r="C5777" t="s">
        <v>16859</v>
      </c>
      <c r="D5777" t="s">
        <v>16078</v>
      </c>
      <c r="E5777" t="s">
        <v>16860</v>
      </c>
      <c r="F5777" t="s">
        <v>16861</v>
      </c>
      <c r="G5777" t="s">
        <v>16105</v>
      </c>
      <c r="H5777" t="s">
        <v>16862</v>
      </c>
    </row>
    <row r="5778" spans="1:9">
      <c r="A5778" t="s">
        <v>16075</v>
      </c>
      <c r="B5778" t="s">
        <v>16076</v>
      </c>
      <c r="C5778" t="s">
        <v>16863</v>
      </c>
      <c r="D5778" t="s">
        <v>16078</v>
      </c>
      <c r="E5778" t="s">
        <v>16864</v>
      </c>
      <c r="F5778" t="s">
        <v>16865</v>
      </c>
      <c r="G5778" t="s">
        <v>16194</v>
      </c>
      <c r="H5778" t="s">
        <v>16714</v>
      </c>
      <c r="I5778" t="s">
        <v>16082</v>
      </c>
    </row>
    <row r="5779" spans="1:9">
      <c r="A5779" t="s">
        <v>16075</v>
      </c>
      <c r="B5779" t="s">
        <v>16076</v>
      </c>
      <c r="C5779" t="s">
        <v>16866</v>
      </c>
      <c r="D5779" t="s">
        <v>16078</v>
      </c>
      <c r="E5779" t="s">
        <v>16867</v>
      </c>
      <c r="F5779" t="s">
        <v>16868</v>
      </c>
      <c r="G5779" t="s">
        <v>16869</v>
      </c>
      <c r="H5779" t="s">
        <v>16870</v>
      </c>
    </row>
    <row r="5780" spans="1:9">
      <c r="A5780" t="s">
        <v>16075</v>
      </c>
      <c r="B5780" t="s">
        <v>16076</v>
      </c>
      <c r="C5780" t="s">
        <v>16871</v>
      </c>
      <c r="D5780" t="s">
        <v>16078</v>
      </c>
      <c r="E5780" t="s">
        <v>11257</v>
      </c>
      <c r="F5780" t="s">
        <v>16872</v>
      </c>
      <c r="G5780" t="s">
        <v>16178</v>
      </c>
      <c r="H5780" t="s">
        <v>16873</v>
      </c>
      <c r="I5780" t="s">
        <v>16082</v>
      </c>
    </row>
    <row r="5781" spans="1:9">
      <c r="A5781" t="s">
        <v>16075</v>
      </c>
      <c r="B5781" t="s">
        <v>16076</v>
      </c>
      <c r="C5781" t="s">
        <v>16874</v>
      </c>
      <c r="D5781" t="s">
        <v>16078</v>
      </c>
      <c r="E5781" t="s">
        <v>8998</v>
      </c>
      <c r="F5781" t="s">
        <v>16875</v>
      </c>
      <c r="G5781" t="s">
        <v>16307</v>
      </c>
      <c r="H5781" t="s">
        <v>16876</v>
      </c>
      <c r="I5781" t="s">
        <v>16082</v>
      </c>
    </row>
    <row r="5782" spans="1:9">
      <c r="A5782" t="s">
        <v>16075</v>
      </c>
      <c r="B5782" t="s">
        <v>16076</v>
      </c>
      <c r="C5782" t="s">
        <v>16877</v>
      </c>
      <c r="D5782" t="s">
        <v>16078</v>
      </c>
      <c r="E5782" t="s">
        <v>16878</v>
      </c>
      <c r="F5782" t="s">
        <v>16879</v>
      </c>
      <c r="G5782" t="s">
        <v>16116</v>
      </c>
      <c r="H5782" t="s">
        <v>16880</v>
      </c>
      <c r="I5782" t="s">
        <v>16082</v>
      </c>
    </row>
    <row r="5783" spans="1:9">
      <c r="A5783" t="s">
        <v>16075</v>
      </c>
      <c r="B5783" t="s">
        <v>16076</v>
      </c>
      <c r="C5783" t="s">
        <v>16881</v>
      </c>
      <c r="D5783" t="s">
        <v>16078</v>
      </c>
      <c r="E5783" t="s">
        <v>16882</v>
      </c>
      <c r="F5783" t="s">
        <v>16883</v>
      </c>
      <c r="G5783" t="s">
        <v>16131</v>
      </c>
      <c r="H5783" t="s">
        <v>16884</v>
      </c>
      <c r="I5783" t="s">
        <v>16082</v>
      </c>
    </row>
    <row r="5784" spans="1:9">
      <c r="A5784" t="s">
        <v>16075</v>
      </c>
      <c r="B5784" t="s">
        <v>16076</v>
      </c>
      <c r="C5784" t="s">
        <v>16885</v>
      </c>
      <c r="D5784" t="s">
        <v>16078</v>
      </c>
      <c r="E5784" t="s">
        <v>16886</v>
      </c>
      <c r="F5784" t="s">
        <v>16887</v>
      </c>
      <c r="G5784" t="s">
        <v>16173</v>
      </c>
      <c r="H5784" t="s">
        <v>16888</v>
      </c>
      <c r="I5784" t="s">
        <v>16082</v>
      </c>
    </row>
    <row r="5785" spans="1:9">
      <c r="A5785" t="s">
        <v>16075</v>
      </c>
      <c r="B5785" t="s">
        <v>16076</v>
      </c>
      <c r="C5785" t="s">
        <v>16889</v>
      </c>
      <c r="D5785" t="s">
        <v>16078</v>
      </c>
      <c r="E5785" t="s">
        <v>16890</v>
      </c>
      <c r="F5785" t="s">
        <v>16891</v>
      </c>
      <c r="G5785" t="s">
        <v>16534</v>
      </c>
      <c r="H5785" t="s">
        <v>16892</v>
      </c>
      <c r="I5785" t="s">
        <v>16082</v>
      </c>
    </row>
    <row r="5786" spans="1:9">
      <c r="A5786" t="s">
        <v>16075</v>
      </c>
      <c r="B5786" t="s">
        <v>16076</v>
      </c>
      <c r="C5786" t="s">
        <v>16893</v>
      </c>
      <c r="D5786" t="s">
        <v>16078</v>
      </c>
      <c r="E5786" t="s">
        <v>16894</v>
      </c>
      <c r="F5786" t="s">
        <v>16895</v>
      </c>
      <c r="G5786" t="s">
        <v>16109</v>
      </c>
      <c r="H5786" t="s">
        <v>16896</v>
      </c>
      <c r="I5786" t="s">
        <v>16082</v>
      </c>
    </row>
    <row r="5787" spans="1:9">
      <c r="A5787" t="s">
        <v>16075</v>
      </c>
      <c r="B5787" t="s">
        <v>16076</v>
      </c>
      <c r="C5787" t="s">
        <v>16897</v>
      </c>
      <c r="D5787" t="s">
        <v>16078</v>
      </c>
      <c r="E5787" t="s">
        <v>16898</v>
      </c>
      <c r="F5787" t="s">
        <v>16899</v>
      </c>
      <c r="G5787" t="s">
        <v>16116</v>
      </c>
      <c r="H5787" t="s">
        <v>16900</v>
      </c>
      <c r="I5787" t="s">
        <v>16082</v>
      </c>
    </row>
    <row r="5788" spans="1:9">
      <c r="A5788" t="s">
        <v>16075</v>
      </c>
      <c r="B5788" t="s">
        <v>16076</v>
      </c>
      <c r="C5788" t="s">
        <v>16901</v>
      </c>
      <c r="D5788" t="s">
        <v>16078</v>
      </c>
      <c r="E5788" t="s">
        <v>15044</v>
      </c>
      <c r="F5788" t="s">
        <v>16902</v>
      </c>
      <c r="G5788" t="s">
        <v>16303</v>
      </c>
      <c r="H5788" t="s">
        <v>16903</v>
      </c>
      <c r="I5788" t="s">
        <v>16082</v>
      </c>
    </row>
    <row r="5789" spans="1:9">
      <c r="A5789" t="s">
        <v>16075</v>
      </c>
      <c r="B5789" t="s">
        <v>16076</v>
      </c>
      <c r="C5789" t="s">
        <v>16904</v>
      </c>
      <c r="D5789" t="s">
        <v>16078</v>
      </c>
      <c r="E5789" t="s">
        <v>9017</v>
      </c>
      <c r="F5789" t="s">
        <v>16905</v>
      </c>
      <c r="G5789" t="s">
        <v>16131</v>
      </c>
      <c r="H5789" t="s">
        <v>16906</v>
      </c>
      <c r="I5789" t="s">
        <v>16082</v>
      </c>
    </row>
    <row r="5790" spans="1:9">
      <c r="A5790" t="s">
        <v>16075</v>
      </c>
      <c r="B5790" t="s">
        <v>16076</v>
      </c>
      <c r="C5790" t="s">
        <v>16907</v>
      </c>
      <c r="D5790" t="s">
        <v>16078</v>
      </c>
      <c r="E5790" t="s">
        <v>16908</v>
      </c>
      <c r="F5790" t="s">
        <v>16909</v>
      </c>
      <c r="G5790" t="s">
        <v>16086</v>
      </c>
      <c r="H5790" t="s">
        <v>16910</v>
      </c>
      <c r="I5790" t="s">
        <v>16082</v>
      </c>
    </row>
    <row r="5791" spans="1:9">
      <c r="A5791" t="s">
        <v>16075</v>
      </c>
      <c r="B5791" t="s">
        <v>16076</v>
      </c>
      <c r="C5791" t="s">
        <v>16911</v>
      </c>
      <c r="D5791" t="s">
        <v>16078</v>
      </c>
      <c r="E5791" t="s">
        <v>16912</v>
      </c>
      <c r="F5791" t="s">
        <v>16913</v>
      </c>
      <c r="G5791" t="s">
        <v>16451</v>
      </c>
      <c r="H5791" t="s">
        <v>16914</v>
      </c>
      <c r="I5791" t="s">
        <v>16082</v>
      </c>
    </row>
    <row r="5792" spans="1:9">
      <c r="A5792" t="s">
        <v>16075</v>
      </c>
      <c r="B5792" t="s">
        <v>16076</v>
      </c>
      <c r="C5792" t="s">
        <v>16915</v>
      </c>
      <c r="D5792" t="s">
        <v>16078</v>
      </c>
      <c r="E5792" t="s">
        <v>3684</v>
      </c>
      <c r="F5792" t="s">
        <v>16916</v>
      </c>
      <c r="G5792" t="s">
        <v>16665</v>
      </c>
      <c r="H5792" t="s">
        <v>16917</v>
      </c>
    </row>
    <row r="5793" spans="1:9">
      <c r="A5793" t="s">
        <v>16075</v>
      </c>
      <c r="B5793" t="s">
        <v>16076</v>
      </c>
      <c r="C5793" t="s">
        <v>16918</v>
      </c>
      <c r="D5793" t="s">
        <v>16078</v>
      </c>
      <c r="E5793" t="s">
        <v>16919</v>
      </c>
      <c r="F5793" t="s">
        <v>16920</v>
      </c>
      <c r="G5793" t="s">
        <v>16194</v>
      </c>
      <c r="H5793" t="s">
        <v>16921</v>
      </c>
      <c r="I5793" t="s">
        <v>16082</v>
      </c>
    </row>
    <row r="5794" spans="1:9">
      <c r="A5794" t="s">
        <v>16075</v>
      </c>
      <c r="B5794" t="s">
        <v>16076</v>
      </c>
      <c r="C5794" t="s">
        <v>16922</v>
      </c>
      <c r="D5794" t="s">
        <v>16078</v>
      </c>
      <c r="E5794" t="s">
        <v>16923</v>
      </c>
      <c r="F5794" t="s">
        <v>16924</v>
      </c>
      <c r="G5794" t="s">
        <v>16097</v>
      </c>
      <c r="H5794" t="s">
        <v>16925</v>
      </c>
      <c r="I5794" t="s">
        <v>16093</v>
      </c>
    </row>
    <row r="5795" spans="1:9">
      <c r="A5795" t="s">
        <v>16075</v>
      </c>
      <c r="B5795" t="s">
        <v>16076</v>
      </c>
      <c r="C5795" t="s">
        <v>16926</v>
      </c>
      <c r="D5795" t="s">
        <v>16078</v>
      </c>
      <c r="E5795" t="s">
        <v>16927</v>
      </c>
      <c r="F5795" t="s">
        <v>16928</v>
      </c>
      <c r="G5795" t="s">
        <v>16320</v>
      </c>
      <c r="H5795" t="s">
        <v>16929</v>
      </c>
      <c r="I5795" t="s">
        <v>16082</v>
      </c>
    </row>
    <row r="5796" spans="1:9">
      <c r="A5796" t="s">
        <v>16075</v>
      </c>
      <c r="B5796" t="s">
        <v>16076</v>
      </c>
      <c r="C5796" t="s">
        <v>16930</v>
      </c>
      <c r="D5796" t="s">
        <v>16078</v>
      </c>
      <c r="E5796" t="s">
        <v>10337</v>
      </c>
      <c r="F5796" t="s">
        <v>16931</v>
      </c>
      <c r="G5796" t="s">
        <v>16183</v>
      </c>
      <c r="H5796" t="s">
        <v>16932</v>
      </c>
      <c r="I5796" t="s">
        <v>16082</v>
      </c>
    </row>
    <row r="5797" spans="1:9">
      <c r="A5797" t="s">
        <v>16075</v>
      </c>
      <c r="B5797" t="s">
        <v>16076</v>
      </c>
      <c r="C5797" t="s">
        <v>16933</v>
      </c>
      <c r="D5797" t="s">
        <v>16078</v>
      </c>
      <c r="E5797" t="s">
        <v>16934</v>
      </c>
      <c r="F5797" t="s">
        <v>16935</v>
      </c>
      <c r="G5797" t="s">
        <v>16194</v>
      </c>
      <c r="H5797" t="s">
        <v>16936</v>
      </c>
      <c r="I5797" t="s">
        <v>16082</v>
      </c>
    </row>
    <row r="5798" spans="1:9">
      <c r="A5798" t="s">
        <v>16075</v>
      </c>
      <c r="B5798" t="s">
        <v>16076</v>
      </c>
      <c r="C5798" t="s">
        <v>16937</v>
      </c>
      <c r="D5798" t="s">
        <v>16078</v>
      </c>
      <c r="E5798" t="s">
        <v>9061</v>
      </c>
      <c r="F5798" t="s">
        <v>16938</v>
      </c>
      <c r="G5798" t="s">
        <v>16105</v>
      </c>
      <c r="H5798" t="s">
        <v>16939</v>
      </c>
      <c r="I5798" t="s">
        <v>16093</v>
      </c>
    </row>
    <row r="5799" spans="1:9">
      <c r="A5799" t="s">
        <v>16075</v>
      </c>
      <c r="B5799" t="s">
        <v>16076</v>
      </c>
      <c r="C5799" t="s">
        <v>16940</v>
      </c>
      <c r="D5799" t="s">
        <v>16078</v>
      </c>
      <c r="E5799" t="s">
        <v>16941</v>
      </c>
      <c r="F5799" t="s">
        <v>16942</v>
      </c>
      <c r="G5799" t="s">
        <v>16105</v>
      </c>
      <c r="H5799" t="s">
        <v>16943</v>
      </c>
      <c r="I5799" t="s">
        <v>16082</v>
      </c>
    </row>
    <row r="5800" spans="1:9">
      <c r="A5800" t="s">
        <v>16075</v>
      </c>
      <c r="B5800" t="s">
        <v>16076</v>
      </c>
      <c r="C5800" t="s">
        <v>16944</v>
      </c>
      <c r="D5800" t="s">
        <v>16078</v>
      </c>
      <c r="E5800" t="s">
        <v>10541</v>
      </c>
      <c r="F5800" t="s">
        <v>16945</v>
      </c>
      <c r="G5800" t="s">
        <v>16131</v>
      </c>
      <c r="H5800" t="s">
        <v>16946</v>
      </c>
      <c r="I5800" t="s">
        <v>16082</v>
      </c>
    </row>
    <row r="5801" spans="1:9">
      <c r="A5801" t="s">
        <v>16075</v>
      </c>
      <c r="B5801" t="s">
        <v>16076</v>
      </c>
      <c r="C5801" t="s">
        <v>16947</v>
      </c>
      <c r="D5801" t="s">
        <v>16078</v>
      </c>
      <c r="E5801" t="s">
        <v>5026</v>
      </c>
      <c r="F5801" t="s">
        <v>16948</v>
      </c>
      <c r="G5801" t="s">
        <v>16091</v>
      </c>
      <c r="H5801" t="s">
        <v>16949</v>
      </c>
      <c r="I5801" t="s">
        <v>16082</v>
      </c>
    </row>
    <row r="5802" spans="1:9">
      <c r="A5802" t="s">
        <v>16075</v>
      </c>
      <c r="B5802" t="s">
        <v>16076</v>
      </c>
      <c r="C5802" t="s">
        <v>16950</v>
      </c>
      <c r="D5802" t="s">
        <v>16078</v>
      </c>
      <c r="E5802" t="s">
        <v>9069</v>
      </c>
      <c r="F5802" t="s">
        <v>16951</v>
      </c>
      <c r="G5802" t="s">
        <v>16828</v>
      </c>
      <c r="H5802" t="s">
        <v>16952</v>
      </c>
      <c r="I5802" t="s">
        <v>16093</v>
      </c>
    </row>
    <row r="5803" spans="1:9">
      <c r="A5803" t="s">
        <v>16075</v>
      </c>
      <c r="B5803" t="s">
        <v>16076</v>
      </c>
      <c r="C5803" t="s">
        <v>16953</v>
      </c>
      <c r="D5803" t="s">
        <v>16078</v>
      </c>
      <c r="E5803" t="s">
        <v>16954</v>
      </c>
      <c r="F5803" t="s">
        <v>16955</v>
      </c>
      <c r="G5803" t="s">
        <v>16320</v>
      </c>
      <c r="H5803" t="s">
        <v>16956</v>
      </c>
    </row>
    <row r="5804" spans="1:9">
      <c r="A5804" t="s">
        <v>16075</v>
      </c>
      <c r="B5804" t="s">
        <v>16076</v>
      </c>
      <c r="C5804" t="s">
        <v>16957</v>
      </c>
      <c r="D5804" t="s">
        <v>16078</v>
      </c>
      <c r="E5804" t="s">
        <v>5029</v>
      </c>
      <c r="F5804" t="s">
        <v>16958</v>
      </c>
      <c r="G5804" t="s">
        <v>16131</v>
      </c>
      <c r="H5804" t="s">
        <v>16959</v>
      </c>
      <c r="I5804" t="s">
        <v>16082</v>
      </c>
    </row>
    <row r="5805" spans="1:9">
      <c r="A5805" t="s">
        <v>16075</v>
      </c>
      <c r="B5805" t="s">
        <v>16076</v>
      </c>
      <c r="C5805" t="s">
        <v>16960</v>
      </c>
      <c r="D5805" t="s">
        <v>16078</v>
      </c>
      <c r="E5805" t="s">
        <v>16961</v>
      </c>
      <c r="F5805" t="s">
        <v>16962</v>
      </c>
      <c r="G5805" t="s">
        <v>16209</v>
      </c>
      <c r="H5805" t="s">
        <v>16963</v>
      </c>
      <c r="I5805" t="s">
        <v>16082</v>
      </c>
    </row>
    <row r="5806" spans="1:9">
      <c r="A5806" t="s">
        <v>16075</v>
      </c>
      <c r="B5806" t="s">
        <v>16076</v>
      </c>
      <c r="C5806" t="s">
        <v>16964</v>
      </c>
      <c r="D5806" t="s">
        <v>16078</v>
      </c>
      <c r="E5806" t="s">
        <v>9074</v>
      </c>
      <c r="F5806" t="s">
        <v>16965</v>
      </c>
      <c r="G5806" t="s">
        <v>16320</v>
      </c>
      <c r="H5806" t="s">
        <v>16966</v>
      </c>
      <c r="I5806" t="s">
        <v>16082</v>
      </c>
    </row>
    <row r="5807" spans="1:9">
      <c r="A5807" t="s">
        <v>16075</v>
      </c>
      <c r="B5807" t="s">
        <v>16076</v>
      </c>
      <c r="C5807" t="s">
        <v>16967</v>
      </c>
      <c r="D5807" t="s">
        <v>16078</v>
      </c>
      <c r="E5807" t="s">
        <v>2106</v>
      </c>
      <c r="F5807" t="s">
        <v>16968</v>
      </c>
      <c r="G5807" t="s">
        <v>16183</v>
      </c>
      <c r="H5807" t="s">
        <v>16969</v>
      </c>
      <c r="I5807" t="s">
        <v>16082</v>
      </c>
    </row>
    <row r="5808" spans="1:9">
      <c r="A5808" t="s">
        <v>16075</v>
      </c>
      <c r="B5808" t="s">
        <v>16076</v>
      </c>
      <c r="C5808" t="s">
        <v>16970</v>
      </c>
      <c r="D5808" t="s">
        <v>16078</v>
      </c>
      <c r="E5808" t="s">
        <v>16971</v>
      </c>
      <c r="F5808" t="s">
        <v>16972</v>
      </c>
      <c r="G5808" t="s">
        <v>16105</v>
      </c>
      <c r="H5808" t="s">
        <v>16973</v>
      </c>
      <c r="I5808" t="s">
        <v>16082</v>
      </c>
    </row>
    <row r="5809" spans="1:9">
      <c r="A5809" t="s">
        <v>16075</v>
      </c>
      <c r="B5809" t="s">
        <v>16076</v>
      </c>
      <c r="C5809" t="s">
        <v>16974</v>
      </c>
      <c r="D5809" t="s">
        <v>16078</v>
      </c>
      <c r="E5809" t="s">
        <v>10343</v>
      </c>
      <c r="F5809" t="s">
        <v>16975</v>
      </c>
      <c r="G5809" t="s">
        <v>16091</v>
      </c>
      <c r="H5809" t="s">
        <v>16976</v>
      </c>
      <c r="I5809" t="s">
        <v>16082</v>
      </c>
    </row>
    <row r="5810" spans="1:9">
      <c r="A5810" t="s">
        <v>16075</v>
      </c>
      <c r="B5810" t="s">
        <v>16076</v>
      </c>
      <c r="C5810" t="s">
        <v>16977</v>
      </c>
      <c r="D5810" t="s">
        <v>16078</v>
      </c>
      <c r="E5810" t="s">
        <v>9080</v>
      </c>
      <c r="F5810" t="s">
        <v>16978</v>
      </c>
      <c r="G5810" t="s">
        <v>16209</v>
      </c>
      <c r="H5810" t="s">
        <v>16979</v>
      </c>
      <c r="I5810" t="s">
        <v>16082</v>
      </c>
    </row>
    <row r="5811" spans="1:9">
      <c r="A5811" t="s">
        <v>16075</v>
      </c>
      <c r="B5811" t="s">
        <v>16076</v>
      </c>
      <c r="C5811" t="s">
        <v>16980</v>
      </c>
      <c r="D5811" t="s">
        <v>16078</v>
      </c>
      <c r="E5811" t="s">
        <v>16981</v>
      </c>
      <c r="F5811" t="s">
        <v>16982</v>
      </c>
      <c r="G5811" t="s">
        <v>16178</v>
      </c>
      <c r="H5811" t="s">
        <v>16983</v>
      </c>
      <c r="I5811" t="s">
        <v>16082</v>
      </c>
    </row>
    <row r="5812" spans="1:9">
      <c r="A5812" t="s">
        <v>16075</v>
      </c>
      <c r="B5812" t="s">
        <v>16076</v>
      </c>
      <c r="C5812" t="s">
        <v>16984</v>
      </c>
      <c r="D5812" t="s">
        <v>16078</v>
      </c>
      <c r="E5812" t="s">
        <v>16985</v>
      </c>
      <c r="F5812" t="s">
        <v>16986</v>
      </c>
      <c r="G5812" t="s">
        <v>16846</v>
      </c>
      <c r="H5812" t="s">
        <v>16987</v>
      </c>
      <c r="I5812" t="s">
        <v>16082</v>
      </c>
    </row>
    <row r="5813" spans="1:9">
      <c r="A5813" t="s">
        <v>16075</v>
      </c>
      <c r="B5813" t="s">
        <v>16076</v>
      </c>
      <c r="C5813" t="s">
        <v>16988</v>
      </c>
      <c r="D5813" t="s">
        <v>16078</v>
      </c>
      <c r="E5813" t="s">
        <v>16989</v>
      </c>
      <c r="F5813" t="s">
        <v>16990</v>
      </c>
      <c r="G5813" t="s">
        <v>16159</v>
      </c>
      <c r="H5813" t="s">
        <v>16991</v>
      </c>
      <c r="I5813" t="s">
        <v>16082</v>
      </c>
    </row>
    <row r="5814" spans="1:9">
      <c r="A5814" t="s">
        <v>16075</v>
      </c>
      <c r="B5814" t="s">
        <v>16076</v>
      </c>
      <c r="C5814" t="s">
        <v>16992</v>
      </c>
      <c r="D5814" t="s">
        <v>16078</v>
      </c>
      <c r="E5814" t="s">
        <v>748</v>
      </c>
      <c r="F5814" t="s">
        <v>16993</v>
      </c>
      <c r="G5814" t="s">
        <v>16080</v>
      </c>
      <c r="H5814" t="s">
        <v>16994</v>
      </c>
      <c r="I5814" t="s">
        <v>16082</v>
      </c>
    </row>
    <row r="5815" spans="1:9">
      <c r="A5815" t="s">
        <v>16075</v>
      </c>
      <c r="B5815" t="s">
        <v>16076</v>
      </c>
      <c r="C5815" t="s">
        <v>16995</v>
      </c>
      <c r="D5815" t="s">
        <v>16078</v>
      </c>
      <c r="E5815" t="s">
        <v>9098</v>
      </c>
      <c r="F5815" t="s">
        <v>16996</v>
      </c>
      <c r="G5815" t="s">
        <v>16194</v>
      </c>
      <c r="H5815" t="s">
        <v>16997</v>
      </c>
      <c r="I5815" t="s">
        <v>16082</v>
      </c>
    </row>
    <row r="5816" spans="1:9">
      <c r="A5816" t="s">
        <v>16075</v>
      </c>
      <c r="B5816" t="s">
        <v>16076</v>
      </c>
      <c r="C5816" t="s">
        <v>16998</v>
      </c>
      <c r="D5816" t="s">
        <v>16078</v>
      </c>
      <c r="E5816" t="s">
        <v>9107</v>
      </c>
      <c r="F5816" t="s">
        <v>16999</v>
      </c>
      <c r="G5816" t="s">
        <v>16116</v>
      </c>
      <c r="H5816" t="s">
        <v>17000</v>
      </c>
      <c r="I5816" t="s">
        <v>16093</v>
      </c>
    </row>
    <row r="5817" spans="1:9">
      <c r="A5817" t="s">
        <v>16075</v>
      </c>
      <c r="B5817" t="s">
        <v>16076</v>
      </c>
      <c r="C5817" t="s">
        <v>17001</v>
      </c>
      <c r="D5817" t="s">
        <v>16078</v>
      </c>
      <c r="E5817" t="s">
        <v>17002</v>
      </c>
      <c r="F5817" t="s">
        <v>17003</v>
      </c>
      <c r="G5817" t="s">
        <v>16397</v>
      </c>
      <c r="H5817" t="s">
        <v>17004</v>
      </c>
      <c r="I5817" t="s">
        <v>16082</v>
      </c>
    </row>
    <row r="5818" spans="1:9">
      <c r="A5818" t="s">
        <v>16075</v>
      </c>
      <c r="B5818" t="s">
        <v>16076</v>
      </c>
      <c r="C5818" t="s">
        <v>17005</v>
      </c>
      <c r="D5818" t="s">
        <v>16078</v>
      </c>
      <c r="E5818" t="s">
        <v>7232</v>
      </c>
      <c r="F5818" t="s">
        <v>17006</v>
      </c>
      <c r="G5818" t="s">
        <v>16194</v>
      </c>
      <c r="H5818" t="s">
        <v>17007</v>
      </c>
      <c r="I5818" t="s">
        <v>16082</v>
      </c>
    </row>
    <row r="5819" spans="1:9">
      <c r="A5819" t="s">
        <v>16075</v>
      </c>
      <c r="B5819" t="s">
        <v>16076</v>
      </c>
      <c r="C5819" t="s">
        <v>17008</v>
      </c>
      <c r="D5819" t="s">
        <v>16078</v>
      </c>
      <c r="E5819" t="s">
        <v>7238</v>
      </c>
      <c r="F5819" t="s">
        <v>17009</v>
      </c>
      <c r="G5819" t="s">
        <v>16178</v>
      </c>
      <c r="H5819" t="s">
        <v>17010</v>
      </c>
      <c r="I5819" t="s">
        <v>16082</v>
      </c>
    </row>
    <row r="5820" spans="1:9">
      <c r="A5820" t="s">
        <v>16075</v>
      </c>
      <c r="B5820" t="s">
        <v>16076</v>
      </c>
      <c r="C5820" t="s">
        <v>17011</v>
      </c>
      <c r="D5820" t="s">
        <v>16078</v>
      </c>
      <c r="E5820" t="s">
        <v>6779</v>
      </c>
      <c r="F5820" t="s">
        <v>17012</v>
      </c>
      <c r="G5820" t="s">
        <v>16194</v>
      </c>
      <c r="H5820" t="s">
        <v>17013</v>
      </c>
      <c r="I5820" t="s">
        <v>16082</v>
      </c>
    </row>
    <row r="5821" spans="1:9">
      <c r="A5821" t="s">
        <v>16075</v>
      </c>
      <c r="B5821" t="s">
        <v>16076</v>
      </c>
      <c r="C5821" t="s">
        <v>17014</v>
      </c>
      <c r="D5821" t="s">
        <v>16078</v>
      </c>
      <c r="E5821" t="s">
        <v>17015</v>
      </c>
      <c r="F5821" t="s">
        <v>17016</v>
      </c>
      <c r="G5821" t="s">
        <v>16105</v>
      </c>
      <c r="H5821" t="s">
        <v>17017</v>
      </c>
      <c r="I5821" t="s">
        <v>16082</v>
      </c>
    </row>
    <row r="5822" spans="1:9">
      <c r="A5822" t="s">
        <v>16075</v>
      </c>
      <c r="B5822" t="s">
        <v>16076</v>
      </c>
      <c r="C5822" t="s">
        <v>17018</v>
      </c>
      <c r="D5822" t="s">
        <v>16078</v>
      </c>
      <c r="E5822" t="s">
        <v>17019</v>
      </c>
      <c r="F5822" t="s">
        <v>17020</v>
      </c>
      <c r="G5822" t="s">
        <v>16131</v>
      </c>
      <c r="H5822" t="s">
        <v>17021</v>
      </c>
      <c r="I5822" t="s">
        <v>16082</v>
      </c>
    </row>
    <row r="5823" spans="1:9">
      <c r="A5823" t="s">
        <v>16075</v>
      </c>
      <c r="B5823" t="s">
        <v>16076</v>
      </c>
      <c r="C5823" t="s">
        <v>17022</v>
      </c>
      <c r="D5823" t="s">
        <v>16078</v>
      </c>
      <c r="E5823" t="s">
        <v>17023</v>
      </c>
      <c r="F5823" t="s">
        <v>17024</v>
      </c>
      <c r="G5823" t="s">
        <v>16168</v>
      </c>
      <c r="H5823" t="s">
        <v>17025</v>
      </c>
      <c r="I5823" t="s">
        <v>16093</v>
      </c>
    </row>
    <row r="5824" spans="1:9">
      <c r="A5824" t="s">
        <v>16075</v>
      </c>
      <c r="B5824" t="s">
        <v>16076</v>
      </c>
      <c r="C5824" t="s">
        <v>17026</v>
      </c>
      <c r="D5824" t="s">
        <v>16078</v>
      </c>
      <c r="E5824" t="s">
        <v>17027</v>
      </c>
      <c r="F5824" t="s">
        <v>17028</v>
      </c>
      <c r="G5824" t="s">
        <v>16194</v>
      </c>
      <c r="H5824" t="s">
        <v>17029</v>
      </c>
      <c r="I5824" t="s">
        <v>16082</v>
      </c>
    </row>
    <row r="5825" spans="1:14">
      <c r="A5825" t="s">
        <v>16075</v>
      </c>
      <c r="B5825" t="s">
        <v>16076</v>
      </c>
      <c r="C5825" t="s">
        <v>17030</v>
      </c>
      <c r="D5825" t="s">
        <v>16078</v>
      </c>
      <c r="E5825" t="s">
        <v>17031</v>
      </c>
      <c r="F5825" t="s">
        <v>17032</v>
      </c>
      <c r="G5825" t="s">
        <v>16086</v>
      </c>
      <c r="H5825" t="s">
        <v>17033</v>
      </c>
      <c r="I5825" t="s">
        <v>16082</v>
      </c>
    </row>
    <row r="5826" spans="1:14">
      <c r="A5826" t="s">
        <v>16075</v>
      </c>
      <c r="B5826" t="s">
        <v>16076</v>
      </c>
      <c r="C5826" t="s">
        <v>17034</v>
      </c>
      <c r="D5826" t="s">
        <v>16078</v>
      </c>
      <c r="E5826" t="s">
        <v>17035</v>
      </c>
      <c r="F5826" t="s">
        <v>17036</v>
      </c>
      <c r="G5826" t="s">
        <v>16109</v>
      </c>
      <c r="H5826" t="s">
        <v>17037</v>
      </c>
      <c r="I5826" t="s">
        <v>16093</v>
      </c>
    </row>
    <row r="5827" spans="1:14">
      <c r="A5827" t="s">
        <v>16075</v>
      </c>
      <c r="B5827" t="s">
        <v>16076</v>
      </c>
      <c r="C5827" t="s">
        <v>17038</v>
      </c>
      <c r="D5827" t="s">
        <v>16078</v>
      </c>
      <c r="E5827" t="s">
        <v>7241</v>
      </c>
      <c r="F5827" t="s">
        <v>17039</v>
      </c>
      <c r="G5827" t="s">
        <v>16397</v>
      </c>
      <c r="H5827" t="s">
        <v>17040</v>
      </c>
      <c r="I5827" t="s">
        <v>16082</v>
      </c>
    </row>
    <row r="5828" spans="1:14">
      <c r="A5828" t="s">
        <v>16075</v>
      </c>
      <c r="B5828" t="s">
        <v>16076</v>
      </c>
      <c r="C5828" t="s">
        <v>17041</v>
      </c>
      <c r="D5828" t="s">
        <v>16078</v>
      </c>
      <c r="E5828" t="s">
        <v>17042</v>
      </c>
      <c r="F5828" t="s">
        <v>17043</v>
      </c>
      <c r="G5828" t="s">
        <v>16173</v>
      </c>
      <c r="H5828" t="s">
        <v>17044</v>
      </c>
      <c r="I5828" t="s">
        <v>16082</v>
      </c>
    </row>
    <row r="5829" spans="1:14">
      <c r="A5829" t="s">
        <v>16075</v>
      </c>
      <c r="B5829" t="s">
        <v>16076</v>
      </c>
      <c r="C5829" t="s">
        <v>17045</v>
      </c>
      <c r="D5829" t="s">
        <v>16078</v>
      </c>
      <c r="E5829" t="s">
        <v>17046</v>
      </c>
      <c r="F5829" t="s">
        <v>17047</v>
      </c>
      <c r="G5829" t="s">
        <v>16451</v>
      </c>
      <c r="H5829" t="s">
        <v>17048</v>
      </c>
      <c r="I5829" t="s">
        <v>16093</v>
      </c>
    </row>
    <row r="5830" spans="1:14">
      <c r="A5830" t="s">
        <v>16075</v>
      </c>
      <c r="B5830" t="s">
        <v>16076</v>
      </c>
      <c r="C5830" t="s">
        <v>17049</v>
      </c>
      <c r="D5830" t="s">
        <v>16078</v>
      </c>
      <c r="E5830" t="s">
        <v>10951</v>
      </c>
      <c r="F5830" t="s">
        <v>17050</v>
      </c>
      <c r="G5830" t="s">
        <v>16495</v>
      </c>
      <c r="H5830" t="s">
        <v>17051</v>
      </c>
    </row>
    <row r="5831" spans="1:14">
      <c r="A5831" t="s">
        <v>16075</v>
      </c>
      <c r="B5831" t="s">
        <v>16076</v>
      </c>
      <c r="C5831" t="s">
        <v>17052</v>
      </c>
      <c r="D5831" t="s">
        <v>16078</v>
      </c>
      <c r="E5831" t="s">
        <v>2115</v>
      </c>
      <c r="F5831" t="s">
        <v>17053</v>
      </c>
      <c r="G5831" t="s">
        <v>16194</v>
      </c>
      <c r="H5831" t="s">
        <v>17054</v>
      </c>
      <c r="I5831" t="s">
        <v>16082</v>
      </c>
    </row>
    <row r="5832" spans="1:14">
      <c r="A5832" t="s">
        <v>16075</v>
      </c>
      <c r="B5832" t="s">
        <v>16076</v>
      </c>
      <c r="C5832" t="s">
        <v>17055</v>
      </c>
      <c r="D5832" t="s">
        <v>16078</v>
      </c>
      <c r="E5832" t="s">
        <v>17056</v>
      </c>
      <c r="F5832" t="s">
        <v>17057</v>
      </c>
      <c r="G5832" t="s">
        <v>16194</v>
      </c>
      <c r="H5832" t="s">
        <v>17058</v>
      </c>
      <c r="I5832" t="s">
        <v>16082</v>
      </c>
    </row>
    <row r="5833" spans="1:14">
      <c r="A5833" t="s">
        <v>16075</v>
      </c>
      <c r="B5833" t="s">
        <v>16076</v>
      </c>
      <c r="C5833" t="s">
        <v>17059</v>
      </c>
      <c r="D5833" t="s">
        <v>16078</v>
      </c>
      <c r="E5833" t="s">
        <v>17060</v>
      </c>
      <c r="F5833" t="s">
        <v>17061</v>
      </c>
      <c r="G5833" t="s">
        <v>16097</v>
      </c>
      <c r="H5833" t="s">
        <v>17062</v>
      </c>
      <c r="I5833" t="s">
        <v>16093</v>
      </c>
    </row>
    <row r="5834" spans="1:14">
      <c r="A5834" t="s">
        <v>16075</v>
      </c>
      <c r="B5834" t="s">
        <v>16076</v>
      </c>
      <c r="C5834" t="s">
        <v>17063</v>
      </c>
      <c r="D5834" t="s">
        <v>16078</v>
      </c>
      <c r="E5834" t="s">
        <v>17064</v>
      </c>
      <c r="F5834" t="s">
        <v>17065</v>
      </c>
      <c r="G5834" t="s">
        <v>16846</v>
      </c>
      <c r="H5834" t="s">
        <v>17066</v>
      </c>
    </row>
    <row r="5835" spans="1:14">
      <c r="A5835" t="s">
        <v>16075</v>
      </c>
      <c r="B5835" t="s">
        <v>16076</v>
      </c>
      <c r="C5835" t="s">
        <v>17067</v>
      </c>
      <c r="D5835" t="s">
        <v>16078</v>
      </c>
      <c r="E5835" t="s">
        <v>17068</v>
      </c>
      <c r="F5835" t="s">
        <v>17069</v>
      </c>
      <c r="G5835" t="s">
        <v>16109</v>
      </c>
      <c r="H5835" t="s">
        <v>17070</v>
      </c>
      <c r="I5835" t="s">
        <v>16093</v>
      </c>
    </row>
    <row r="5836" spans="1:14">
      <c r="A5836" t="s">
        <v>16075</v>
      </c>
      <c r="B5836" t="s">
        <v>16076</v>
      </c>
      <c r="C5836" t="s">
        <v>17071</v>
      </c>
      <c r="D5836" t="s">
        <v>16078</v>
      </c>
      <c r="E5836" t="s">
        <v>17072</v>
      </c>
      <c r="F5836" t="s">
        <v>17073</v>
      </c>
      <c r="G5836" t="s">
        <v>16173</v>
      </c>
      <c r="H5836" t="s">
        <v>17074</v>
      </c>
      <c r="I5836" t="s">
        <v>16082</v>
      </c>
    </row>
    <row r="5837" spans="1:14">
      <c r="A5837" t="s">
        <v>16075</v>
      </c>
      <c r="B5837" t="s">
        <v>16076</v>
      </c>
      <c r="C5837" t="s">
        <v>17075</v>
      </c>
      <c r="D5837" t="s">
        <v>16078</v>
      </c>
      <c r="E5837" t="s">
        <v>17076</v>
      </c>
      <c r="F5837" t="s">
        <v>17077</v>
      </c>
      <c r="G5837" t="s">
        <v>16372</v>
      </c>
      <c r="H5837" t="s">
        <v>17078</v>
      </c>
      <c r="I5837" t="s">
        <v>16082</v>
      </c>
    </row>
    <row r="5838" spans="1:14">
      <c r="A5838" t="s">
        <v>16075</v>
      </c>
      <c r="B5838" t="s">
        <v>16076</v>
      </c>
      <c r="C5838" t="s">
        <v>17079</v>
      </c>
      <c r="D5838" t="s">
        <v>16078</v>
      </c>
      <c r="E5838" t="s">
        <v>10348</v>
      </c>
      <c r="F5838" t="s">
        <v>17080</v>
      </c>
      <c r="G5838" t="s">
        <v>16091</v>
      </c>
      <c r="H5838" t="s">
        <v>17081</v>
      </c>
      <c r="I5838" t="s">
        <v>16082</v>
      </c>
    </row>
    <row r="5839" spans="1:14">
      <c r="A5839" t="s">
        <v>16075</v>
      </c>
      <c r="B5839" t="s">
        <v>16076</v>
      </c>
      <c r="C5839" t="s">
        <v>17082</v>
      </c>
      <c r="D5839" t="s">
        <v>16078</v>
      </c>
      <c r="E5839" t="s">
        <v>2121</v>
      </c>
      <c r="F5839" t="s">
        <v>17083</v>
      </c>
      <c r="G5839" t="s">
        <v>16105</v>
      </c>
      <c r="H5839" t="s">
        <v>17084</v>
      </c>
      <c r="I5839" t="s">
        <v>16082</v>
      </c>
    </row>
    <row r="5840" spans="1:14">
      <c r="A5840" t="s">
        <v>16075</v>
      </c>
      <c r="B5840" t="s">
        <v>16076</v>
      </c>
      <c r="C5840" t="s">
        <v>17085</v>
      </c>
      <c r="D5840" t="s">
        <v>16078</v>
      </c>
      <c r="E5840" t="s">
        <v>17086</v>
      </c>
      <c r="F5840" t="s">
        <v>17087</v>
      </c>
      <c r="G5840" t="s">
        <v>16097</v>
      </c>
      <c r="H5840" t="s">
        <v>17088</v>
      </c>
      <c r="I5840" t="s">
        <v>16082</v>
      </c>
      <c r="J5840" t="s">
        <v>17060</v>
      </c>
      <c r="K5840" t="s">
        <v>16075</v>
      </c>
      <c r="L5840" t="s">
        <v>16219</v>
      </c>
      <c r="M5840" t="s">
        <v>16082</v>
      </c>
      <c r="N5840" t="s">
        <v>17088</v>
      </c>
    </row>
    <row r="5841" spans="1:14">
      <c r="A5841" t="s">
        <v>16075</v>
      </c>
      <c r="B5841" t="s">
        <v>16076</v>
      </c>
      <c r="C5841" t="s">
        <v>17089</v>
      </c>
      <c r="D5841" t="s">
        <v>16078</v>
      </c>
      <c r="E5841" t="s">
        <v>17090</v>
      </c>
      <c r="F5841" t="s">
        <v>17091</v>
      </c>
      <c r="G5841" t="s">
        <v>16372</v>
      </c>
      <c r="H5841" t="s">
        <v>17092</v>
      </c>
      <c r="I5841" t="s">
        <v>16082</v>
      </c>
    </row>
    <row r="5842" spans="1:14">
      <c r="A5842" t="s">
        <v>16075</v>
      </c>
      <c r="B5842" t="s">
        <v>16076</v>
      </c>
      <c r="C5842" t="s">
        <v>17093</v>
      </c>
      <c r="D5842" t="s">
        <v>16078</v>
      </c>
      <c r="E5842" t="s">
        <v>17094</v>
      </c>
      <c r="F5842" t="s">
        <v>17095</v>
      </c>
      <c r="G5842" t="s">
        <v>16131</v>
      </c>
      <c r="H5842" t="s">
        <v>17096</v>
      </c>
      <c r="I5842" t="s">
        <v>16082</v>
      </c>
    </row>
    <row r="5843" spans="1:14">
      <c r="A5843" t="s">
        <v>16075</v>
      </c>
      <c r="B5843" t="s">
        <v>16076</v>
      </c>
      <c r="C5843" t="s">
        <v>17097</v>
      </c>
      <c r="D5843" t="s">
        <v>16078</v>
      </c>
      <c r="E5843" t="s">
        <v>17098</v>
      </c>
      <c r="F5843" t="s">
        <v>17099</v>
      </c>
      <c r="G5843" t="s">
        <v>16080</v>
      </c>
      <c r="H5843" t="s">
        <v>17100</v>
      </c>
      <c r="I5843" t="s">
        <v>16082</v>
      </c>
    </row>
    <row r="5844" spans="1:14">
      <c r="A5844" t="s">
        <v>16075</v>
      </c>
      <c r="B5844" t="s">
        <v>16076</v>
      </c>
      <c r="C5844" t="s">
        <v>17101</v>
      </c>
      <c r="D5844" t="s">
        <v>16078</v>
      </c>
      <c r="E5844" t="s">
        <v>17102</v>
      </c>
      <c r="F5844" t="s">
        <v>17103</v>
      </c>
      <c r="G5844" t="s">
        <v>16462</v>
      </c>
      <c r="H5844" t="s">
        <v>17104</v>
      </c>
      <c r="I5844" t="s">
        <v>16082</v>
      </c>
    </row>
    <row r="5845" spans="1:14">
      <c r="A5845" t="s">
        <v>16075</v>
      </c>
      <c r="B5845" t="s">
        <v>16076</v>
      </c>
      <c r="C5845" t="s">
        <v>17105</v>
      </c>
      <c r="D5845" t="s">
        <v>16078</v>
      </c>
      <c r="E5845" t="s">
        <v>17106</v>
      </c>
      <c r="F5845" t="s">
        <v>17107</v>
      </c>
      <c r="G5845" t="s">
        <v>16534</v>
      </c>
      <c r="H5845" t="s">
        <v>17108</v>
      </c>
      <c r="I5845" t="s">
        <v>16082</v>
      </c>
    </row>
    <row r="5846" spans="1:14">
      <c r="A5846" t="s">
        <v>16075</v>
      </c>
      <c r="B5846" t="s">
        <v>16076</v>
      </c>
      <c r="C5846" t="s">
        <v>17109</v>
      </c>
      <c r="D5846" t="s">
        <v>16078</v>
      </c>
      <c r="E5846" t="s">
        <v>17110</v>
      </c>
      <c r="F5846" t="s">
        <v>17111</v>
      </c>
      <c r="G5846" t="s">
        <v>16209</v>
      </c>
      <c r="H5846" t="s">
        <v>17112</v>
      </c>
      <c r="I5846" t="s">
        <v>16082</v>
      </c>
    </row>
    <row r="5847" spans="1:14">
      <c r="A5847" t="s">
        <v>16075</v>
      </c>
      <c r="B5847" t="s">
        <v>16076</v>
      </c>
      <c r="C5847" t="s">
        <v>17113</v>
      </c>
      <c r="D5847" t="s">
        <v>16078</v>
      </c>
      <c r="E5847" t="s">
        <v>15061</v>
      </c>
      <c r="F5847" t="s">
        <v>17114</v>
      </c>
      <c r="G5847" t="s">
        <v>16194</v>
      </c>
      <c r="H5847" t="s">
        <v>17115</v>
      </c>
      <c r="I5847" t="s">
        <v>16082</v>
      </c>
    </row>
    <row r="5848" spans="1:14">
      <c r="A5848" t="s">
        <v>16075</v>
      </c>
      <c r="B5848" t="s">
        <v>16076</v>
      </c>
      <c r="C5848" t="s">
        <v>17116</v>
      </c>
      <c r="D5848" t="s">
        <v>16078</v>
      </c>
      <c r="E5848" t="s">
        <v>17117</v>
      </c>
      <c r="F5848" t="s">
        <v>17118</v>
      </c>
      <c r="G5848" t="s">
        <v>16194</v>
      </c>
      <c r="H5848" t="s">
        <v>17119</v>
      </c>
      <c r="I5848" t="s">
        <v>16082</v>
      </c>
    </row>
    <row r="5849" spans="1:14">
      <c r="A5849" t="s">
        <v>16075</v>
      </c>
      <c r="B5849" t="s">
        <v>16076</v>
      </c>
      <c r="C5849" t="s">
        <v>17120</v>
      </c>
      <c r="D5849" t="s">
        <v>16078</v>
      </c>
      <c r="E5849" t="s">
        <v>17121</v>
      </c>
      <c r="F5849" t="s">
        <v>17122</v>
      </c>
      <c r="G5849" t="s">
        <v>16828</v>
      </c>
      <c r="H5849" t="s">
        <v>17123</v>
      </c>
    </row>
    <row r="5850" spans="1:14">
      <c r="A5850" t="s">
        <v>16075</v>
      </c>
      <c r="B5850" t="s">
        <v>16076</v>
      </c>
      <c r="C5850" t="s">
        <v>17124</v>
      </c>
      <c r="D5850" t="s">
        <v>16078</v>
      </c>
      <c r="E5850" t="s">
        <v>17125</v>
      </c>
      <c r="F5850" t="s">
        <v>17126</v>
      </c>
      <c r="G5850" t="s">
        <v>16091</v>
      </c>
      <c r="H5850" t="s">
        <v>17127</v>
      </c>
      <c r="I5850" t="s">
        <v>16082</v>
      </c>
      <c r="J5850" t="s">
        <v>17125</v>
      </c>
      <c r="K5850" t="s">
        <v>16075</v>
      </c>
      <c r="L5850" t="s">
        <v>16219</v>
      </c>
      <c r="M5850" t="s">
        <v>16082</v>
      </c>
      <c r="N5850" t="s">
        <v>17127</v>
      </c>
    </row>
    <row r="5851" spans="1:14">
      <c r="A5851" t="s">
        <v>16075</v>
      </c>
      <c r="B5851" t="s">
        <v>16076</v>
      </c>
      <c r="C5851" t="s">
        <v>17128</v>
      </c>
      <c r="D5851" t="s">
        <v>16078</v>
      </c>
      <c r="E5851" t="s">
        <v>17129</v>
      </c>
      <c r="F5851" t="s">
        <v>17130</v>
      </c>
      <c r="G5851" t="s">
        <v>16109</v>
      </c>
      <c r="H5851" t="s">
        <v>17131</v>
      </c>
      <c r="I5851" t="s">
        <v>16082</v>
      </c>
    </row>
    <row r="5852" spans="1:14">
      <c r="A5852" t="s">
        <v>16075</v>
      </c>
      <c r="B5852" t="s">
        <v>16076</v>
      </c>
      <c r="C5852" t="s">
        <v>17132</v>
      </c>
      <c r="D5852" t="s">
        <v>16078</v>
      </c>
      <c r="E5852" t="s">
        <v>17133</v>
      </c>
      <c r="F5852" t="s">
        <v>17134</v>
      </c>
      <c r="G5852" t="s">
        <v>16109</v>
      </c>
      <c r="H5852" t="s">
        <v>17135</v>
      </c>
      <c r="I5852" t="s">
        <v>16082</v>
      </c>
    </row>
    <row r="5853" spans="1:14">
      <c r="A5853" t="s">
        <v>16075</v>
      </c>
      <c r="B5853" t="s">
        <v>16076</v>
      </c>
      <c r="C5853" t="s">
        <v>17136</v>
      </c>
      <c r="D5853" t="s">
        <v>16078</v>
      </c>
      <c r="E5853" t="s">
        <v>17137</v>
      </c>
      <c r="F5853" t="s">
        <v>17138</v>
      </c>
      <c r="G5853" t="s">
        <v>16159</v>
      </c>
      <c r="H5853" t="s">
        <v>17139</v>
      </c>
      <c r="I5853" t="s">
        <v>16082</v>
      </c>
    </row>
    <row r="5854" spans="1:14">
      <c r="A5854" t="s">
        <v>16075</v>
      </c>
      <c r="B5854" t="s">
        <v>16076</v>
      </c>
      <c r="C5854" t="s">
        <v>17140</v>
      </c>
      <c r="D5854" t="s">
        <v>16078</v>
      </c>
      <c r="E5854" t="s">
        <v>17141</v>
      </c>
      <c r="F5854" t="s">
        <v>17142</v>
      </c>
      <c r="G5854" t="s">
        <v>16209</v>
      </c>
      <c r="H5854" t="s">
        <v>17143</v>
      </c>
      <c r="I5854" t="s">
        <v>16082</v>
      </c>
    </row>
    <row r="5855" spans="1:14">
      <c r="A5855" t="s">
        <v>16075</v>
      </c>
      <c r="B5855" t="s">
        <v>16076</v>
      </c>
      <c r="C5855" t="s">
        <v>17144</v>
      </c>
      <c r="D5855" t="s">
        <v>16078</v>
      </c>
      <c r="E5855" t="s">
        <v>9146</v>
      </c>
      <c r="F5855" t="s">
        <v>17145</v>
      </c>
      <c r="G5855" t="s">
        <v>16178</v>
      </c>
      <c r="H5855" t="s">
        <v>17146</v>
      </c>
      <c r="I5855" t="s">
        <v>16082</v>
      </c>
    </row>
    <row r="5856" spans="1:14">
      <c r="A5856" t="s">
        <v>16075</v>
      </c>
      <c r="B5856" t="s">
        <v>16076</v>
      </c>
      <c r="C5856" t="s">
        <v>17147</v>
      </c>
      <c r="D5856" t="s">
        <v>16078</v>
      </c>
      <c r="E5856" t="s">
        <v>17148</v>
      </c>
      <c r="F5856" t="s">
        <v>17149</v>
      </c>
      <c r="G5856" t="s">
        <v>16091</v>
      </c>
      <c r="H5856" t="s">
        <v>17150</v>
      </c>
      <c r="I5856" t="s">
        <v>16093</v>
      </c>
    </row>
    <row r="5857" spans="1:9">
      <c r="A5857" t="s">
        <v>16075</v>
      </c>
      <c r="B5857" t="s">
        <v>16076</v>
      </c>
      <c r="C5857" t="s">
        <v>17151</v>
      </c>
      <c r="D5857" t="s">
        <v>16078</v>
      </c>
      <c r="E5857" t="s">
        <v>17152</v>
      </c>
      <c r="F5857" t="s">
        <v>17153</v>
      </c>
      <c r="G5857" t="s">
        <v>16105</v>
      </c>
      <c r="H5857" t="s">
        <v>17154</v>
      </c>
      <c r="I5857" t="s">
        <v>16093</v>
      </c>
    </row>
    <row r="5858" spans="1:9">
      <c r="A5858" t="s">
        <v>16075</v>
      </c>
      <c r="B5858" t="s">
        <v>16076</v>
      </c>
      <c r="C5858" t="s">
        <v>17155</v>
      </c>
      <c r="D5858" t="s">
        <v>16078</v>
      </c>
      <c r="E5858" t="s">
        <v>17156</v>
      </c>
      <c r="F5858" t="s">
        <v>17157</v>
      </c>
      <c r="G5858" t="s">
        <v>16209</v>
      </c>
      <c r="H5858" t="s">
        <v>17158</v>
      </c>
      <c r="I5858" t="s">
        <v>16082</v>
      </c>
    </row>
    <row r="5859" spans="1:9">
      <c r="A5859" t="s">
        <v>16075</v>
      </c>
      <c r="B5859" t="s">
        <v>16076</v>
      </c>
      <c r="C5859" t="s">
        <v>17159</v>
      </c>
      <c r="D5859" t="s">
        <v>16078</v>
      </c>
      <c r="E5859" t="s">
        <v>17160</v>
      </c>
      <c r="F5859" t="s">
        <v>17161</v>
      </c>
      <c r="G5859" t="s">
        <v>16397</v>
      </c>
      <c r="H5859" t="s">
        <v>17162</v>
      </c>
      <c r="I5859" t="s">
        <v>16093</v>
      </c>
    </row>
    <row r="5860" spans="1:9">
      <c r="A5860" t="s">
        <v>16075</v>
      </c>
      <c r="B5860" t="s">
        <v>16076</v>
      </c>
      <c r="C5860" t="s">
        <v>17163</v>
      </c>
      <c r="D5860" t="s">
        <v>16078</v>
      </c>
      <c r="E5860" t="s">
        <v>17164</v>
      </c>
      <c r="F5860" t="s">
        <v>17165</v>
      </c>
      <c r="G5860" t="s">
        <v>16080</v>
      </c>
      <c r="H5860" t="s">
        <v>17166</v>
      </c>
      <c r="I5860" t="s">
        <v>16082</v>
      </c>
    </row>
    <row r="5861" spans="1:9">
      <c r="A5861" t="s">
        <v>16075</v>
      </c>
      <c r="B5861" t="s">
        <v>16076</v>
      </c>
      <c r="C5861" t="s">
        <v>17167</v>
      </c>
      <c r="D5861" t="s">
        <v>16078</v>
      </c>
      <c r="E5861" t="s">
        <v>17168</v>
      </c>
      <c r="F5861" t="s">
        <v>17169</v>
      </c>
      <c r="G5861" t="s">
        <v>16303</v>
      </c>
      <c r="H5861" t="s">
        <v>17170</v>
      </c>
      <c r="I5861" t="s">
        <v>16082</v>
      </c>
    </row>
    <row r="5862" spans="1:9">
      <c r="A5862" t="s">
        <v>16075</v>
      </c>
      <c r="B5862" t="s">
        <v>16076</v>
      </c>
      <c r="C5862" t="s">
        <v>17171</v>
      </c>
      <c r="D5862" t="s">
        <v>16078</v>
      </c>
      <c r="E5862" t="s">
        <v>17172</v>
      </c>
      <c r="F5862" t="s">
        <v>17173</v>
      </c>
      <c r="G5862" t="s">
        <v>16173</v>
      </c>
      <c r="H5862" t="s">
        <v>17174</v>
      </c>
      <c r="I5862" t="s">
        <v>16082</v>
      </c>
    </row>
    <row r="5863" spans="1:9">
      <c r="A5863" t="s">
        <v>16075</v>
      </c>
      <c r="B5863" t="s">
        <v>16076</v>
      </c>
      <c r="C5863" t="s">
        <v>17175</v>
      </c>
      <c r="D5863" t="s">
        <v>16078</v>
      </c>
      <c r="E5863" t="s">
        <v>17176</v>
      </c>
      <c r="F5863" t="s">
        <v>17177</v>
      </c>
      <c r="G5863" t="s">
        <v>16105</v>
      </c>
      <c r="H5863" t="s">
        <v>17178</v>
      </c>
      <c r="I5863" t="s">
        <v>16082</v>
      </c>
    </row>
    <row r="5864" spans="1:9">
      <c r="A5864" t="s">
        <v>16075</v>
      </c>
      <c r="B5864" t="s">
        <v>16076</v>
      </c>
      <c r="C5864" t="s">
        <v>17179</v>
      </c>
      <c r="D5864" t="s">
        <v>16078</v>
      </c>
      <c r="E5864" t="s">
        <v>5034</v>
      </c>
      <c r="F5864" t="s">
        <v>17180</v>
      </c>
      <c r="G5864" t="s">
        <v>16139</v>
      </c>
      <c r="H5864" t="s">
        <v>17181</v>
      </c>
      <c r="I5864" t="s">
        <v>16082</v>
      </c>
    </row>
    <row r="5865" spans="1:9">
      <c r="A5865" t="s">
        <v>16075</v>
      </c>
      <c r="B5865" t="s">
        <v>16076</v>
      </c>
      <c r="C5865" t="s">
        <v>17182</v>
      </c>
      <c r="D5865" t="s">
        <v>16078</v>
      </c>
      <c r="E5865" t="s">
        <v>17183</v>
      </c>
      <c r="F5865" t="s">
        <v>17184</v>
      </c>
      <c r="G5865" t="s">
        <v>16086</v>
      </c>
      <c r="H5865" t="s">
        <v>17185</v>
      </c>
      <c r="I5865" t="s">
        <v>16093</v>
      </c>
    </row>
    <row r="5866" spans="1:9">
      <c r="A5866" t="s">
        <v>16075</v>
      </c>
      <c r="B5866" t="s">
        <v>16076</v>
      </c>
      <c r="C5866" t="s">
        <v>17186</v>
      </c>
      <c r="D5866" t="s">
        <v>16078</v>
      </c>
      <c r="E5866" t="s">
        <v>2133</v>
      </c>
      <c r="F5866" t="s">
        <v>17187</v>
      </c>
      <c r="G5866" t="s">
        <v>16209</v>
      </c>
      <c r="H5866" t="s">
        <v>17188</v>
      </c>
      <c r="I5866" t="s">
        <v>16082</v>
      </c>
    </row>
    <row r="5867" spans="1:9">
      <c r="A5867" t="s">
        <v>16075</v>
      </c>
      <c r="B5867" t="s">
        <v>16076</v>
      </c>
      <c r="C5867" t="s">
        <v>17189</v>
      </c>
      <c r="D5867" t="s">
        <v>16078</v>
      </c>
      <c r="E5867" t="s">
        <v>17190</v>
      </c>
      <c r="F5867" t="s">
        <v>17191</v>
      </c>
      <c r="G5867" t="s">
        <v>16462</v>
      </c>
      <c r="H5867" t="s">
        <v>17192</v>
      </c>
      <c r="I5867" t="s">
        <v>16082</v>
      </c>
    </row>
    <row r="5868" spans="1:9">
      <c r="A5868" t="s">
        <v>16075</v>
      </c>
      <c r="B5868" t="s">
        <v>16076</v>
      </c>
      <c r="C5868" t="s">
        <v>17193</v>
      </c>
      <c r="D5868" t="s">
        <v>16078</v>
      </c>
      <c r="E5868" t="s">
        <v>7638</v>
      </c>
      <c r="F5868" t="s">
        <v>17194</v>
      </c>
      <c r="G5868" t="s">
        <v>16097</v>
      </c>
      <c r="H5868" t="s">
        <v>17195</v>
      </c>
      <c r="I5868" t="s">
        <v>16082</v>
      </c>
    </row>
    <row r="5869" spans="1:9">
      <c r="A5869" t="s">
        <v>16075</v>
      </c>
      <c r="B5869" t="s">
        <v>16076</v>
      </c>
      <c r="C5869" t="s">
        <v>17196</v>
      </c>
      <c r="D5869" t="s">
        <v>16078</v>
      </c>
      <c r="E5869" t="s">
        <v>17197</v>
      </c>
      <c r="F5869" t="s">
        <v>17198</v>
      </c>
      <c r="G5869" t="s">
        <v>16793</v>
      </c>
      <c r="H5869" t="s">
        <v>17199</v>
      </c>
    </row>
    <row r="5870" spans="1:9">
      <c r="A5870" t="s">
        <v>16075</v>
      </c>
      <c r="B5870" t="s">
        <v>16076</v>
      </c>
      <c r="C5870" t="s">
        <v>17200</v>
      </c>
      <c r="D5870" t="s">
        <v>16078</v>
      </c>
      <c r="E5870" t="s">
        <v>17201</v>
      </c>
      <c r="F5870" t="s">
        <v>17202</v>
      </c>
      <c r="G5870" t="s">
        <v>16139</v>
      </c>
      <c r="H5870" t="s">
        <v>17203</v>
      </c>
      <c r="I5870" t="s">
        <v>16093</v>
      </c>
    </row>
    <row r="5871" spans="1:9">
      <c r="A5871" t="s">
        <v>16075</v>
      </c>
      <c r="B5871" t="s">
        <v>16076</v>
      </c>
      <c r="C5871" t="s">
        <v>17204</v>
      </c>
      <c r="D5871" t="s">
        <v>16078</v>
      </c>
      <c r="E5871" t="s">
        <v>9152</v>
      </c>
      <c r="F5871" t="s">
        <v>17205</v>
      </c>
      <c r="G5871" t="s">
        <v>16183</v>
      </c>
      <c r="H5871" t="s">
        <v>17206</v>
      </c>
      <c r="I5871" t="s">
        <v>16082</v>
      </c>
    </row>
    <row r="5872" spans="1:9">
      <c r="A5872" t="s">
        <v>16075</v>
      </c>
      <c r="B5872" t="s">
        <v>16076</v>
      </c>
      <c r="C5872" t="s">
        <v>17207</v>
      </c>
      <c r="D5872" t="s">
        <v>16078</v>
      </c>
      <c r="E5872" t="s">
        <v>11274</v>
      </c>
      <c r="F5872" t="s">
        <v>17208</v>
      </c>
      <c r="G5872" t="s">
        <v>16183</v>
      </c>
      <c r="H5872" t="s">
        <v>17209</v>
      </c>
      <c r="I5872" t="s">
        <v>16082</v>
      </c>
    </row>
    <row r="5873" spans="1:14">
      <c r="A5873" t="s">
        <v>16075</v>
      </c>
      <c r="B5873" t="s">
        <v>16076</v>
      </c>
      <c r="C5873" t="s">
        <v>17210</v>
      </c>
      <c r="D5873" t="s">
        <v>16078</v>
      </c>
      <c r="E5873" t="s">
        <v>17211</v>
      </c>
      <c r="F5873" t="s">
        <v>17212</v>
      </c>
      <c r="G5873" t="s">
        <v>16131</v>
      </c>
      <c r="H5873" t="s">
        <v>17213</v>
      </c>
      <c r="I5873" t="s">
        <v>16082</v>
      </c>
    </row>
    <row r="5874" spans="1:14">
      <c r="A5874" t="s">
        <v>16075</v>
      </c>
      <c r="B5874" t="s">
        <v>16076</v>
      </c>
      <c r="C5874" t="s">
        <v>17214</v>
      </c>
      <c r="D5874" t="s">
        <v>16078</v>
      </c>
      <c r="E5874" t="s">
        <v>17215</v>
      </c>
      <c r="F5874" t="s">
        <v>17216</v>
      </c>
      <c r="G5874" t="s">
        <v>16534</v>
      </c>
      <c r="H5874" t="s">
        <v>17217</v>
      </c>
      <c r="I5874" t="s">
        <v>16082</v>
      </c>
    </row>
    <row r="5875" spans="1:14">
      <c r="A5875" t="s">
        <v>16075</v>
      </c>
      <c r="B5875" t="s">
        <v>16076</v>
      </c>
      <c r="C5875" t="s">
        <v>17218</v>
      </c>
      <c r="D5875" t="s">
        <v>16078</v>
      </c>
      <c r="E5875" t="s">
        <v>17219</v>
      </c>
      <c r="F5875" t="s">
        <v>17220</v>
      </c>
      <c r="G5875" t="s">
        <v>16131</v>
      </c>
      <c r="H5875" t="s">
        <v>17221</v>
      </c>
      <c r="I5875" t="s">
        <v>16082</v>
      </c>
    </row>
    <row r="5876" spans="1:14">
      <c r="A5876" t="s">
        <v>16075</v>
      </c>
      <c r="B5876" t="s">
        <v>16076</v>
      </c>
      <c r="C5876" t="s">
        <v>17222</v>
      </c>
      <c r="D5876" t="s">
        <v>16078</v>
      </c>
      <c r="E5876" t="s">
        <v>17223</v>
      </c>
      <c r="F5876" t="s">
        <v>17224</v>
      </c>
      <c r="G5876" t="s">
        <v>16116</v>
      </c>
      <c r="H5876" t="s">
        <v>17225</v>
      </c>
      <c r="I5876" t="s">
        <v>16082</v>
      </c>
    </row>
    <row r="5877" spans="1:14">
      <c r="A5877" t="s">
        <v>16075</v>
      </c>
      <c r="B5877" t="s">
        <v>16076</v>
      </c>
      <c r="C5877" t="s">
        <v>17226</v>
      </c>
      <c r="D5877" t="s">
        <v>16078</v>
      </c>
      <c r="E5877" t="s">
        <v>17227</v>
      </c>
      <c r="F5877" t="s">
        <v>17228</v>
      </c>
      <c r="G5877" t="s">
        <v>17229</v>
      </c>
      <c r="H5877" t="s">
        <v>17230</v>
      </c>
      <c r="I5877" t="s">
        <v>16082</v>
      </c>
      <c r="J5877" t="s">
        <v>17227</v>
      </c>
      <c r="K5877" t="s">
        <v>16075</v>
      </c>
      <c r="L5877" t="s">
        <v>16219</v>
      </c>
      <c r="M5877" t="s">
        <v>16082</v>
      </c>
      <c r="N5877" t="s">
        <v>17231</v>
      </c>
    </row>
    <row r="5878" spans="1:14">
      <c r="A5878" t="s">
        <v>16075</v>
      </c>
      <c r="B5878" t="s">
        <v>16076</v>
      </c>
      <c r="C5878" t="s">
        <v>17232</v>
      </c>
      <c r="D5878" t="s">
        <v>16078</v>
      </c>
      <c r="E5878" t="s">
        <v>17233</v>
      </c>
      <c r="F5878" t="s">
        <v>17234</v>
      </c>
      <c r="G5878" t="s">
        <v>16320</v>
      </c>
      <c r="H5878" t="s">
        <v>17235</v>
      </c>
      <c r="I5878" t="s">
        <v>16082</v>
      </c>
      <c r="J5878" t="s">
        <v>17233</v>
      </c>
      <c r="K5878" t="s">
        <v>16075</v>
      </c>
      <c r="L5878" t="s">
        <v>16219</v>
      </c>
      <c r="M5878" t="s">
        <v>16082</v>
      </c>
      <c r="N5878" t="s">
        <v>17236</v>
      </c>
    </row>
    <row r="5879" spans="1:14">
      <c r="A5879" t="s">
        <v>16075</v>
      </c>
      <c r="B5879" t="s">
        <v>16076</v>
      </c>
      <c r="C5879" t="s">
        <v>17237</v>
      </c>
      <c r="D5879" t="s">
        <v>16078</v>
      </c>
      <c r="E5879" t="s">
        <v>17238</v>
      </c>
      <c r="F5879" t="s">
        <v>17239</v>
      </c>
      <c r="G5879" t="s">
        <v>16462</v>
      </c>
      <c r="H5879" t="s">
        <v>17240</v>
      </c>
      <c r="I5879" t="s">
        <v>16082</v>
      </c>
    </row>
    <row r="5880" spans="1:14">
      <c r="A5880" t="s">
        <v>16075</v>
      </c>
      <c r="B5880" t="s">
        <v>16076</v>
      </c>
      <c r="C5880" t="s">
        <v>17241</v>
      </c>
      <c r="D5880" t="s">
        <v>16078</v>
      </c>
      <c r="E5880" t="s">
        <v>17242</v>
      </c>
      <c r="F5880" t="s">
        <v>17243</v>
      </c>
      <c r="G5880" t="s">
        <v>16159</v>
      </c>
      <c r="H5880" t="s">
        <v>17244</v>
      </c>
      <c r="I5880" t="s">
        <v>16082</v>
      </c>
    </row>
    <row r="5881" spans="1:14">
      <c r="A5881" t="s">
        <v>16075</v>
      </c>
      <c r="B5881" t="s">
        <v>16076</v>
      </c>
      <c r="C5881" t="s">
        <v>17245</v>
      </c>
      <c r="D5881" t="s">
        <v>16078</v>
      </c>
      <c r="E5881" t="s">
        <v>17246</v>
      </c>
      <c r="F5881" t="s">
        <v>17247</v>
      </c>
      <c r="G5881" t="s">
        <v>16259</v>
      </c>
      <c r="H5881" t="s">
        <v>17248</v>
      </c>
    </row>
    <row r="5882" spans="1:14">
      <c r="A5882" t="s">
        <v>16075</v>
      </c>
      <c r="B5882" t="s">
        <v>16076</v>
      </c>
      <c r="C5882" t="s">
        <v>17249</v>
      </c>
      <c r="D5882" t="s">
        <v>16078</v>
      </c>
      <c r="E5882" t="s">
        <v>2136</v>
      </c>
      <c r="F5882" t="s">
        <v>17250</v>
      </c>
      <c r="G5882" t="s">
        <v>16091</v>
      </c>
      <c r="H5882" t="s">
        <v>17251</v>
      </c>
      <c r="I5882" t="s">
        <v>16093</v>
      </c>
    </row>
    <row r="5883" spans="1:14">
      <c r="A5883" t="s">
        <v>16075</v>
      </c>
      <c r="B5883" t="s">
        <v>16076</v>
      </c>
      <c r="C5883" t="s">
        <v>17252</v>
      </c>
      <c r="D5883" t="s">
        <v>16078</v>
      </c>
      <c r="E5883" t="s">
        <v>13847</v>
      </c>
      <c r="F5883" t="s">
        <v>17253</v>
      </c>
      <c r="G5883" t="s">
        <v>16372</v>
      </c>
      <c r="H5883" t="s">
        <v>17254</v>
      </c>
      <c r="I5883" t="s">
        <v>16082</v>
      </c>
    </row>
    <row r="5884" spans="1:14">
      <c r="A5884" t="s">
        <v>16075</v>
      </c>
      <c r="B5884" t="s">
        <v>16076</v>
      </c>
      <c r="C5884" t="s">
        <v>17255</v>
      </c>
      <c r="D5884" t="s">
        <v>16078</v>
      </c>
      <c r="E5884" t="s">
        <v>17256</v>
      </c>
      <c r="F5884" t="s">
        <v>17257</v>
      </c>
      <c r="G5884" t="s">
        <v>16372</v>
      </c>
      <c r="H5884" t="s">
        <v>17258</v>
      </c>
      <c r="I5884" t="s">
        <v>16082</v>
      </c>
    </row>
    <row r="5885" spans="1:14">
      <c r="A5885" t="s">
        <v>16075</v>
      </c>
      <c r="B5885" t="s">
        <v>16076</v>
      </c>
      <c r="C5885" t="s">
        <v>17259</v>
      </c>
      <c r="D5885" t="s">
        <v>16078</v>
      </c>
      <c r="E5885" t="s">
        <v>17260</v>
      </c>
      <c r="F5885" t="s">
        <v>17261</v>
      </c>
      <c r="G5885" t="s">
        <v>16086</v>
      </c>
      <c r="H5885" t="s">
        <v>17262</v>
      </c>
      <c r="I5885" t="s">
        <v>16082</v>
      </c>
    </row>
    <row r="5886" spans="1:14">
      <c r="A5886" t="s">
        <v>16075</v>
      </c>
      <c r="B5886" t="s">
        <v>16076</v>
      </c>
      <c r="C5886" t="s">
        <v>17263</v>
      </c>
      <c r="D5886" t="s">
        <v>16078</v>
      </c>
      <c r="E5886" t="s">
        <v>17264</v>
      </c>
      <c r="F5886" t="s">
        <v>17265</v>
      </c>
      <c r="G5886" t="s">
        <v>16159</v>
      </c>
      <c r="H5886" t="s">
        <v>17266</v>
      </c>
      <c r="I5886" t="s">
        <v>16082</v>
      </c>
    </row>
    <row r="5887" spans="1:14">
      <c r="A5887" t="s">
        <v>16075</v>
      </c>
      <c r="B5887" t="s">
        <v>16076</v>
      </c>
      <c r="C5887" t="s">
        <v>17267</v>
      </c>
      <c r="D5887" t="s">
        <v>16078</v>
      </c>
      <c r="E5887" t="s">
        <v>7253</v>
      </c>
      <c r="F5887" t="s">
        <v>17268</v>
      </c>
      <c r="G5887" t="s">
        <v>16086</v>
      </c>
      <c r="H5887" t="s">
        <v>17269</v>
      </c>
      <c r="I5887" t="s">
        <v>16082</v>
      </c>
    </row>
    <row r="5888" spans="1:14">
      <c r="A5888" t="s">
        <v>16075</v>
      </c>
      <c r="B5888" t="s">
        <v>16076</v>
      </c>
      <c r="C5888" t="s">
        <v>17270</v>
      </c>
      <c r="D5888" t="s">
        <v>16078</v>
      </c>
      <c r="E5888" t="s">
        <v>17271</v>
      </c>
      <c r="F5888" t="s">
        <v>17272</v>
      </c>
      <c r="G5888" t="s">
        <v>16086</v>
      </c>
      <c r="H5888" t="s">
        <v>17273</v>
      </c>
      <c r="I5888" t="s">
        <v>16082</v>
      </c>
    </row>
    <row r="5889" spans="1:9">
      <c r="A5889" t="s">
        <v>16075</v>
      </c>
      <c r="B5889" t="s">
        <v>16076</v>
      </c>
      <c r="C5889" t="s">
        <v>17274</v>
      </c>
      <c r="D5889" t="s">
        <v>16078</v>
      </c>
      <c r="E5889" t="s">
        <v>9170</v>
      </c>
      <c r="F5889" t="s">
        <v>17275</v>
      </c>
      <c r="G5889" t="s">
        <v>16159</v>
      </c>
      <c r="H5889" t="s">
        <v>17276</v>
      </c>
      <c r="I5889" t="s">
        <v>16082</v>
      </c>
    </row>
    <row r="5890" spans="1:9">
      <c r="A5890" t="s">
        <v>16075</v>
      </c>
      <c r="B5890" t="s">
        <v>16076</v>
      </c>
      <c r="C5890" t="s">
        <v>17277</v>
      </c>
      <c r="D5890" t="s">
        <v>16078</v>
      </c>
      <c r="E5890" t="s">
        <v>11910</v>
      </c>
      <c r="F5890" t="s">
        <v>17278</v>
      </c>
      <c r="G5890" t="s">
        <v>16239</v>
      </c>
      <c r="H5890" t="s">
        <v>17279</v>
      </c>
      <c r="I5890" t="s">
        <v>16082</v>
      </c>
    </row>
    <row r="5891" spans="1:9">
      <c r="A5891" t="s">
        <v>16075</v>
      </c>
      <c r="B5891" t="s">
        <v>16076</v>
      </c>
      <c r="C5891" t="s">
        <v>17280</v>
      </c>
      <c r="D5891" t="s">
        <v>16078</v>
      </c>
      <c r="E5891" t="s">
        <v>9188</v>
      </c>
      <c r="F5891" t="s">
        <v>17281</v>
      </c>
      <c r="G5891" t="s">
        <v>17282</v>
      </c>
      <c r="H5891" t="s">
        <v>17283</v>
      </c>
      <c r="I5891" t="s">
        <v>16082</v>
      </c>
    </row>
    <row r="5892" spans="1:9">
      <c r="A5892" t="s">
        <v>16075</v>
      </c>
      <c r="B5892" t="s">
        <v>16076</v>
      </c>
      <c r="C5892" t="s">
        <v>17284</v>
      </c>
      <c r="D5892" t="s">
        <v>16078</v>
      </c>
      <c r="E5892" t="s">
        <v>2142</v>
      </c>
      <c r="F5892" t="s">
        <v>17285</v>
      </c>
      <c r="G5892" t="s">
        <v>16168</v>
      </c>
      <c r="H5892" t="s">
        <v>17286</v>
      </c>
      <c r="I5892" t="s">
        <v>16082</v>
      </c>
    </row>
    <row r="5893" spans="1:9">
      <c r="A5893" t="s">
        <v>16075</v>
      </c>
      <c r="B5893" t="s">
        <v>16076</v>
      </c>
      <c r="C5893" t="s">
        <v>17287</v>
      </c>
      <c r="D5893" t="s">
        <v>16078</v>
      </c>
      <c r="E5893" t="s">
        <v>17288</v>
      </c>
      <c r="F5893" t="s">
        <v>17289</v>
      </c>
      <c r="G5893" t="s">
        <v>16194</v>
      </c>
      <c r="H5893" t="s">
        <v>17290</v>
      </c>
      <c r="I5893" t="s">
        <v>16082</v>
      </c>
    </row>
    <row r="5894" spans="1:9">
      <c r="A5894" t="s">
        <v>16075</v>
      </c>
      <c r="B5894" t="s">
        <v>16076</v>
      </c>
      <c r="C5894" t="s">
        <v>17291</v>
      </c>
      <c r="D5894" t="s">
        <v>16078</v>
      </c>
      <c r="E5894" t="s">
        <v>17292</v>
      </c>
      <c r="F5894" t="s">
        <v>17293</v>
      </c>
      <c r="G5894" t="s">
        <v>16105</v>
      </c>
      <c r="H5894" t="s">
        <v>17294</v>
      </c>
      <c r="I5894" t="s">
        <v>16093</v>
      </c>
    </row>
    <row r="5895" spans="1:9">
      <c r="A5895" t="s">
        <v>16075</v>
      </c>
      <c r="B5895" t="s">
        <v>16076</v>
      </c>
      <c r="C5895" t="s">
        <v>17295</v>
      </c>
      <c r="D5895" t="s">
        <v>16078</v>
      </c>
      <c r="E5895" t="s">
        <v>9196</v>
      </c>
      <c r="F5895" t="s">
        <v>17296</v>
      </c>
      <c r="G5895" t="s">
        <v>16131</v>
      </c>
      <c r="H5895" t="s">
        <v>17297</v>
      </c>
      <c r="I5895" t="s">
        <v>16082</v>
      </c>
    </row>
    <row r="5896" spans="1:9">
      <c r="A5896" t="s">
        <v>16075</v>
      </c>
      <c r="B5896" t="s">
        <v>16076</v>
      </c>
      <c r="C5896" t="s">
        <v>17298</v>
      </c>
      <c r="D5896" t="s">
        <v>16078</v>
      </c>
      <c r="E5896" t="s">
        <v>5040</v>
      </c>
      <c r="F5896" t="s">
        <v>17299</v>
      </c>
      <c r="G5896" t="s">
        <v>16209</v>
      </c>
      <c r="H5896" t="s">
        <v>17300</v>
      </c>
      <c r="I5896" t="s">
        <v>16082</v>
      </c>
    </row>
    <row r="5897" spans="1:9">
      <c r="A5897" t="s">
        <v>16075</v>
      </c>
      <c r="B5897" t="s">
        <v>16076</v>
      </c>
      <c r="C5897" t="s">
        <v>17301</v>
      </c>
      <c r="D5897" t="s">
        <v>16078</v>
      </c>
      <c r="E5897" t="s">
        <v>9199</v>
      </c>
      <c r="F5897" t="s">
        <v>17302</v>
      </c>
      <c r="G5897" t="s">
        <v>16109</v>
      </c>
      <c r="H5897" t="s">
        <v>17303</v>
      </c>
      <c r="I5897" t="s">
        <v>16082</v>
      </c>
    </row>
    <row r="5898" spans="1:9">
      <c r="A5898" t="s">
        <v>16075</v>
      </c>
      <c r="B5898" t="s">
        <v>16076</v>
      </c>
      <c r="C5898" t="s">
        <v>17304</v>
      </c>
      <c r="D5898" t="s">
        <v>16078</v>
      </c>
      <c r="E5898" t="s">
        <v>17305</v>
      </c>
      <c r="F5898" t="s">
        <v>17306</v>
      </c>
      <c r="G5898" t="s">
        <v>16091</v>
      </c>
      <c r="H5898" t="s">
        <v>17307</v>
      </c>
      <c r="I5898" t="s">
        <v>16082</v>
      </c>
    </row>
    <row r="5899" spans="1:9">
      <c r="A5899" t="s">
        <v>16075</v>
      </c>
      <c r="B5899" t="s">
        <v>16076</v>
      </c>
      <c r="C5899" t="s">
        <v>17308</v>
      </c>
      <c r="D5899" t="s">
        <v>16078</v>
      </c>
      <c r="E5899" t="s">
        <v>17309</v>
      </c>
      <c r="F5899" t="s">
        <v>17310</v>
      </c>
      <c r="G5899" t="s">
        <v>16105</v>
      </c>
      <c r="H5899" t="s">
        <v>17311</v>
      </c>
      <c r="I5899" t="s">
        <v>16082</v>
      </c>
    </row>
    <row r="5900" spans="1:9">
      <c r="A5900" t="s">
        <v>16075</v>
      </c>
      <c r="B5900" t="s">
        <v>16076</v>
      </c>
      <c r="C5900" t="s">
        <v>17312</v>
      </c>
      <c r="D5900" t="s">
        <v>16078</v>
      </c>
      <c r="E5900" t="s">
        <v>17313</v>
      </c>
      <c r="F5900" t="s">
        <v>17122</v>
      </c>
      <c r="G5900" t="s">
        <v>16451</v>
      </c>
      <c r="H5900" t="s">
        <v>17314</v>
      </c>
      <c r="I5900" t="s">
        <v>16082</v>
      </c>
    </row>
    <row r="5901" spans="1:9">
      <c r="A5901" t="s">
        <v>16075</v>
      </c>
      <c r="B5901" t="s">
        <v>16076</v>
      </c>
      <c r="C5901" t="s">
        <v>17315</v>
      </c>
      <c r="D5901" t="s">
        <v>16078</v>
      </c>
      <c r="E5901" t="s">
        <v>9202</v>
      </c>
      <c r="F5901" t="s">
        <v>17316</v>
      </c>
      <c r="G5901" t="s">
        <v>16593</v>
      </c>
      <c r="H5901" t="s">
        <v>17317</v>
      </c>
      <c r="I5901" t="s">
        <v>16082</v>
      </c>
    </row>
    <row r="5902" spans="1:9">
      <c r="A5902" t="s">
        <v>16075</v>
      </c>
      <c r="B5902" t="s">
        <v>16076</v>
      </c>
      <c r="C5902" t="s">
        <v>17318</v>
      </c>
      <c r="D5902" t="s">
        <v>16078</v>
      </c>
      <c r="E5902" t="s">
        <v>17319</v>
      </c>
      <c r="F5902" t="s">
        <v>17320</v>
      </c>
      <c r="G5902" t="s">
        <v>16097</v>
      </c>
      <c r="H5902" t="s">
        <v>17321</v>
      </c>
      <c r="I5902" t="s">
        <v>16082</v>
      </c>
    </row>
    <row r="5903" spans="1:9">
      <c r="A5903" t="s">
        <v>16075</v>
      </c>
      <c r="B5903" t="s">
        <v>16076</v>
      </c>
      <c r="C5903" t="s">
        <v>17322</v>
      </c>
      <c r="D5903" t="s">
        <v>16078</v>
      </c>
      <c r="E5903" t="s">
        <v>7884</v>
      </c>
      <c r="F5903" t="s">
        <v>17323</v>
      </c>
      <c r="G5903" t="s">
        <v>16116</v>
      </c>
      <c r="H5903" t="s">
        <v>17324</v>
      </c>
      <c r="I5903" t="s">
        <v>16093</v>
      </c>
    </row>
    <row r="5904" spans="1:9">
      <c r="A5904" t="s">
        <v>16075</v>
      </c>
      <c r="B5904" t="s">
        <v>16076</v>
      </c>
      <c r="C5904" t="s">
        <v>17325</v>
      </c>
      <c r="D5904" t="s">
        <v>16078</v>
      </c>
      <c r="E5904" t="s">
        <v>17326</v>
      </c>
      <c r="F5904" t="s">
        <v>17327</v>
      </c>
      <c r="G5904" t="s">
        <v>16159</v>
      </c>
      <c r="H5904" t="s">
        <v>17328</v>
      </c>
      <c r="I5904" t="s">
        <v>16082</v>
      </c>
    </row>
    <row r="5905" spans="1:9">
      <c r="A5905" t="s">
        <v>16075</v>
      </c>
      <c r="B5905" t="s">
        <v>16076</v>
      </c>
      <c r="C5905" t="s">
        <v>17329</v>
      </c>
      <c r="D5905" t="s">
        <v>16078</v>
      </c>
      <c r="E5905" t="s">
        <v>17330</v>
      </c>
      <c r="F5905" t="s">
        <v>17331</v>
      </c>
      <c r="G5905" t="s">
        <v>16131</v>
      </c>
      <c r="H5905" t="s">
        <v>17332</v>
      </c>
      <c r="I5905" t="s">
        <v>16082</v>
      </c>
    </row>
    <row r="5906" spans="1:9">
      <c r="A5906" t="s">
        <v>16075</v>
      </c>
      <c r="B5906" t="s">
        <v>16076</v>
      </c>
      <c r="C5906" t="s">
        <v>17333</v>
      </c>
      <c r="D5906" t="s">
        <v>16078</v>
      </c>
      <c r="E5906" t="s">
        <v>12634</v>
      </c>
      <c r="F5906" t="s">
        <v>17334</v>
      </c>
      <c r="G5906" t="s">
        <v>16101</v>
      </c>
      <c r="H5906" t="s">
        <v>17335</v>
      </c>
      <c r="I5906" t="s">
        <v>16082</v>
      </c>
    </row>
    <row r="5907" spans="1:9">
      <c r="A5907" t="s">
        <v>16075</v>
      </c>
      <c r="B5907" t="s">
        <v>16076</v>
      </c>
      <c r="C5907" t="s">
        <v>17336</v>
      </c>
      <c r="D5907" t="s">
        <v>16078</v>
      </c>
      <c r="E5907" t="s">
        <v>17337</v>
      </c>
      <c r="F5907" t="s">
        <v>17338</v>
      </c>
      <c r="G5907" t="s">
        <v>16086</v>
      </c>
      <c r="H5907" t="s">
        <v>17339</v>
      </c>
      <c r="I5907" t="s">
        <v>16082</v>
      </c>
    </row>
    <row r="5908" spans="1:9">
      <c r="A5908" t="s">
        <v>16075</v>
      </c>
      <c r="B5908" t="s">
        <v>16076</v>
      </c>
      <c r="C5908" t="s">
        <v>17340</v>
      </c>
      <c r="D5908" t="s">
        <v>16078</v>
      </c>
      <c r="E5908" t="s">
        <v>17341</v>
      </c>
      <c r="F5908" t="s">
        <v>17342</v>
      </c>
      <c r="G5908" t="s">
        <v>16131</v>
      </c>
      <c r="H5908" t="s">
        <v>17343</v>
      </c>
      <c r="I5908" t="s">
        <v>16082</v>
      </c>
    </row>
    <row r="5909" spans="1:9">
      <c r="A5909" t="s">
        <v>16075</v>
      </c>
      <c r="B5909" t="s">
        <v>16076</v>
      </c>
      <c r="C5909" t="s">
        <v>17344</v>
      </c>
      <c r="D5909" t="s">
        <v>16078</v>
      </c>
      <c r="E5909" t="s">
        <v>17345</v>
      </c>
      <c r="F5909" t="s">
        <v>17346</v>
      </c>
      <c r="G5909" t="s">
        <v>16131</v>
      </c>
      <c r="H5909" t="s">
        <v>17347</v>
      </c>
      <c r="I5909" t="s">
        <v>16082</v>
      </c>
    </row>
    <row r="5910" spans="1:9">
      <c r="A5910" t="s">
        <v>16075</v>
      </c>
      <c r="B5910" t="s">
        <v>16076</v>
      </c>
      <c r="C5910" t="s">
        <v>17348</v>
      </c>
      <c r="D5910" t="s">
        <v>16078</v>
      </c>
      <c r="E5910" t="s">
        <v>2151</v>
      </c>
      <c r="F5910" t="s">
        <v>17349</v>
      </c>
      <c r="G5910" t="s">
        <v>16101</v>
      </c>
      <c r="H5910" t="s">
        <v>17350</v>
      </c>
      <c r="I5910" t="s">
        <v>16093</v>
      </c>
    </row>
    <row r="5911" spans="1:9">
      <c r="A5911" t="s">
        <v>16075</v>
      </c>
      <c r="B5911" t="s">
        <v>16076</v>
      </c>
      <c r="C5911" t="s">
        <v>17351</v>
      </c>
      <c r="D5911" t="s">
        <v>16078</v>
      </c>
      <c r="E5911" t="s">
        <v>7639</v>
      </c>
      <c r="F5911" t="s">
        <v>17352</v>
      </c>
      <c r="G5911" t="s">
        <v>16593</v>
      </c>
      <c r="H5911" t="s">
        <v>17353</v>
      </c>
      <c r="I5911" t="s">
        <v>16082</v>
      </c>
    </row>
    <row r="5912" spans="1:9">
      <c r="A5912" t="s">
        <v>16075</v>
      </c>
      <c r="B5912" t="s">
        <v>16076</v>
      </c>
      <c r="C5912" t="s">
        <v>17354</v>
      </c>
      <c r="D5912" t="s">
        <v>16078</v>
      </c>
      <c r="E5912" t="s">
        <v>17355</v>
      </c>
      <c r="F5912" t="s">
        <v>17356</v>
      </c>
      <c r="G5912" t="s">
        <v>16105</v>
      </c>
      <c r="H5912" t="s">
        <v>17357</v>
      </c>
      <c r="I5912" t="s">
        <v>16082</v>
      </c>
    </row>
    <row r="5913" spans="1:9">
      <c r="A5913" t="s">
        <v>16075</v>
      </c>
      <c r="B5913" t="s">
        <v>16076</v>
      </c>
      <c r="C5913" t="s">
        <v>17358</v>
      </c>
      <c r="D5913" t="s">
        <v>16078</v>
      </c>
      <c r="E5913" t="s">
        <v>17359</v>
      </c>
      <c r="F5913" t="s">
        <v>17360</v>
      </c>
      <c r="G5913" t="s">
        <v>16194</v>
      </c>
      <c r="H5913" t="s">
        <v>17361</v>
      </c>
      <c r="I5913" t="s">
        <v>16082</v>
      </c>
    </row>
    <row r="5914" spans="1:9">
      <c r="A5914" t="s">
        <v>16075</v>
      </c>
      <c r="B5914" t="s">
        <v>16076</v>
      </c>
      <c r="C5914" t="s">
        <v>17362</v>
      </c>
      <c r="D5914" t="s">
        <v>16078</v>
      </c>
      <c r="E5914" t="s">
        <v>17363</v>
      </c>
      <c r="F5914" t="s">
        <v>17364</v>
      </c>
      <c r="G5914" t="s">
        <v>16194</v>
      </c>
      <c r="H5914" t="s">
        <v>17365</v>
      </c>
      <c r="I5914" t="s">
        <v>16082</v>
      </c>
    </row>
    <row r="5915" spans="1:9">
      <c r="A5915" t="s">
        <v>16075</v>
      </c>
      <c r="B5915" t="s">
        <v>16076</v>
      </c>
      <c r="C5915" t="s">
        <v>17366</v>
      </c>
      <c r="D5915" t="s">
        <v>16078</v>
      </c>
      <c r="E5915" t="s">
        <v>17367</v>
      </c>
      <c r="F5915" t="s">
        <v>17368</v>
      </c>
      <c r="G5915" t="s">
        <v>16239</v>
      </c>
      <c r="H5915" t="s">
        <v>17369</v>
      </c>
      <c r="I5915" t="s">
        <v>16082</v>
      </c>
    </row>
    <row r="5916" spans="1:9">
      <c r="A5916" t="s">
        <v>16075</v>
      </c>
      <c r="B5916" t="s">
        <v>16076</v>
      </c>
      <c r="C5916" t="s">
        <v>17370</v>
      </c>
      <c r="D5916" t="s">
        <v>16078</v>
      </c>
      <c r="E5916" t="s">
        <v>17371</v>
      </c>
      <c r="F5916" t="s">
        <v>17372</v>
      </c>
      <c r="G5916" t="s">
        <v>17229</v>
      </c>
      <c r="H5916" t="s">
        <v>17119</v>
      </c>
      <c r="I5916" t="s">
        <v>16082</v>
      </c>
    </row>
    <row r="5917" spans="1:9">
      <c r="A5917" t="s">
        <v>16075</v>
      </c>
      <c r="B5917" t="s">
        <v>16076</v>
      </c>
      <c r="C5917" t="s">
        <v>17373</v>
      </c>
      <c r="D5917" t="s">
        <v>16078</v>
      </c>
      <c r="E5917" t="s">
        <v>17374</v>
      </c>
      <c r="F5917" t="s">
        <v>17375</v>
      </c>
      <c r="G5917" t="s">
        <v>16451</v>
      </c>
      <c r="H5917" t="s">
        <v>17376</v>
      </c>
      <c r="I5917" t="s">
        <v>16093</v>
      </c>
    </row>
    <row r="5918" spans="1:9">
      <c r="A5918" t="s">
        <v>16075</v>
      </c>
      <c r="B5918" t="s">
        <v>16076</v>
      </c>
      <c r="C5918" t="s">
        <v>17377</v>
      </c>
      <c r="D5918" t="s">
        <v>16078</v>
      </c>
      <c r="E5918" t="s">
        <v>17378</v>
      </c>
      <c r="F5918" t="s">
        <v>17379</v>
      </c>
      <c r="G5918" t="s">
        <v>16209</v>
      </c>
      <c r="H5918" t="s">
        <v>17380</v>
      </c>
      <c r="I5918" t="s">
        <v>16082</v>
      </c>
    </row>
    <row r="5919" spans="1:9">
      <c r="A5919" t="s">
        <v>16075</v>
      </c>
      <c r="B5919" t="s">
        <v>16076</v>
      </c>
      <c r="C5919" t="s">
        <v>17381</v>
      </c>
      <c r="D5919" t="s">
        <v>16078</v>
      </c>
      <c r="E5919" t="s">
        <v>17382</v>
      </c>
      <c r="F5919" t="s">
        <v>17383</v>
      </c>
      <c r="G5919" t="s">
        <v>16131</v>
      </c>
      <c r="H5919" t="s">
        <v>17384</v>
      </c>
      <c r="I5919" t="s">
        <v>16082</v>
      </c>
    </row>
    <row r="5920" spans="1:9">
      <c r="A5920" t="s">
        <v>16075</v>
      </c>
      <c r="B5920" t="s">
        <v>16076</v>
      </c>
      <c r="C5920" t="s">
        <v>17385</v>
      </c>
      <c r="D5920" t="s">
        <v>16078</v>
      </c>
      <c r="E5920" t="s">
        <v>17386</v>
      </c>
      <c r="F5920" t="s">
        <v>17387</v>
      </c>
      <c r="G5920" t="s">
        <v>16320</v>
      </c>
      <c r="H5920" t="s">
        <v>17388</v>
      </c>
      <c r="I5920" t="s">
        <v>16082</v>
      </c>
    </row>
    <row r="5921" spans="1:9">
      <c r="A5921" t="s">
        <v>16075</v>
      </c>
      <c r="B5921" t="s">
        <v>16076</v>
      </c>
      <c r="C5921" t="s">
        <v>17389</v>
      </c>
      <c r="D5921" t="s">
        <v>16078</v>
      </c>
      <c r="E5921" t="s">
        <v>17390</v>
      </c>
      <c r="F5921" t="s">
        <v>17391</v>
      </c>
      <c r="G5921" t="s">
        <v>16116</v>
      </c>
      <c r="H5921" t="s">
        <v>17392</v>
      </c>
      <c r="I5921" t="s">
        <v>16082</v>
      </c>
    </row>
    <row r="5922" spans="1:9">
      <c r="A5922" t="s">
        <v>16075</v>
      </c>
      <c r="B5922" t="s">
        <v>16076</v>
      </c>
      <c r="C5922" t="s">
        <v>17393</v>
      </c>
      <c r="D5922" t="s">
        <v>16078</v>
      </c>
      <c r="E5922" t="s">
        <v>17394</v>
      </c>
      <c r="F5922" t="s">
        <v>17395</v>
      </c>
      <c r="G5922" t="s">
        <v>16116</v>
      </c>
      <c r="H5922" t="s">
        <v>17396</v>
      </c>
      <c r="I5922" t="s">
        <v>16082</v>
      </c>
    </row>
    <row r="5923" spans="1:9">
      <c r="A5923" t="s">
        <v>16075</v>
      </c>
      <c r="B5923" t="s">
        <v>16076</v>
      </c>
      <c r="C5923" t="s">
        <v>17397</v>
      </c>
      <c r="D5923" t="s">
        <v>16078</v>
      </c>
      <c r="E5923" t="s">
        <v>17398</v>
      </c>
      <c r="F5923" t="s">
        <v>17399</v>
      </c>
      <c r="G5923" t="s">
        <v>16105</v>
      </c>
      <c r="H5923" t="s">
        <v>17400</v>
      </c>
      <c r="I5923" t="s">
        <v>16082</v>
      </c>
    </row>
    <row r="5924" spans="1:9">
      <c r="A5924" t="s">
        <v>16075</v>
      </c>
      <c r="B5924" t="s">
        <v>16076</v>
      </c>
      <c r="C5924" t="s">
        <v>17401</v>
      </c>
      <c r="D5924" t="s">
        <v>16078</v>
      </c>
      <c r="E5924" t="s">
        <v>17402</v>
      </c>
      <c r="F5924" t="s">
        <v>17403</v>
      </c>
      <c r="G5924" t="s">
        <v>16173</v>
      </c>
      <c r="H5924" t="s">
        <v>17404</v>
      </c>
      <c r="I5924" t="s">
        <v>16082</v>
      </c>
    </row>
    <row r="5925" spans="1:9">
      <c r="A5925" t="s">
        <v>16075</v>
      </c>
      <c r="B5925" t="s">
        <v>16076</v>
      </c>
      <c r="C5925" t="s">
        <v>17405</v>
      </c>
      <c r="D5925" t="s">
        <v>16078</v>
      </c>
      <c r="E5925" t="s">
        <v>17406</v>
      </c>
      <c r="F5925" t="s">
        <v>17407</v>
      </c>
      <c r="G5925" t="s">
        <v>16086</v>
      </c>
      <c r="H5925" t="s">
        <v>17408</v>
      </c>
      <c r="I5925" t="s">
        <v>16082</v>
      </c>
    </row>
    <row r="5926" spans="1:9">
      <c r="A5926" t="s">
        <v>16075</v>
      </c>
      <c r="B5926" t="s">
        <v>16076</v>
      </c>
      <c r="C5926" t="s">
        <v>17409</v>
      </c>
      <c r="D5926" t="s">
        <v>16078</v>
      </c>
      <c r="E5926" t="s">
        <v>17410</v>
      </c>
      <c r="F5926" t="s">
        <v>17411</v>
      </c>
      <c r="G5926" t="s">
        <v>16312</v>
      </c>
      <c r="H5926" t="s">
        <v>17412</v>
      </c>
    </row>
    <row r="5927" spans="1:9">
      <c r="A5927" t="s">
        <v>16075</v>
      </c>
      <c r="B5927" t="s">
        <v>16076</v>
      </c>
      <c r="C5927" t="s">
        <v>17413</v>
      </c>
      <c r="D5927" t="s">
        <v>16078</v>
      </c>
      <c r="E5927" t="s">
        <v>17414</v>
      </c>
      <c r="F5927" t="s">
        <v>17415</v>
      </c>
      <c r="G5927" t="s">
        <v>16139</v>
      </c>
      <c r="H5927" t="s">
        <v>17388</v>
      </c>
      <c r="I5927" t="s">
        <v>16082</v>
      </c>
    </row>
    <row r="5928" spans="1:9">
      <c r="A5928" t="s">
        <v>16075</v>
      </c>
      <c r="B5928" t="s">
        <v>16076</v>
      </c>
      <c r="C5928" t="s">
        <v>17416</v>
      </c>
      <c r="D5928" t="s">
        <v>16078</v>
      </c>
      <c r="E5928" t="s">
        <v>17417</v>
      </c>
      <c r="F5928" t="s">
        <v>17418</v>
      </c>
      <c r="G5928" t="s">
        <v>16194</v>
      </c>
      <c r="H5928" t="s">
        <v>17419</v>
      </c>
      <c r="I5928" t="s">
        <v>16082</v>
      </c>
    </row>
    <row r="5929" spans="1:9">
      <c r="A5929" t="s">
        <v>16075</v>
      </c>
      <c r="B5929" t="s">
        <v>16076</v>
      </c>
      <c r="C5929" t="s">
        <v>17420</v>
      </c>
      <c r="D5929" t="s">
        <v>16078</v>
      </c>
      <c r="E5929" t="s">
        <v>17421</v>
      </c>
      <c r="F5929" t="s">
        <v>17422</v>
      </c>
      <c r="G5929" t="s">
        <v>16295</v>
      </c>
      <c r="H5929" t="s">
        <v>17423</v>
      </c>
      <c r="I5929" t="s">
        <v>16082</v>
      </c>
    </row>
    <row r="5930" spans="1:9">
      <c r="A5930" t="s">
        <v>16075</v>
      </c>
      <c r="B5930" t="s">
        <v>16076</v>
      </c>
      <c r="C5930" t="s">
        <v>17424</v>
      </c>
      <c r="D5930" t="s">
        <v>16078</v>
      </c>
      <c r="E5930" t="s">
        <v>17425</v>
      </c>
      <c r="F5930" t="s">
        <v>17426</v>
      </c>
      <c r="G5930" t="s">
        <v>16462</v>
      </c>
      <c r="H5930" t="s">
        <v>17427</v>
      </c>
      <c r="I5930" t="s">
        <v>16082</v>
      </c>
    </row>
    <row r="5931" spans="1:9">
      <c r="A5931" t="s">
        <v>16075</v>
      </c>
      <c r="B5931" t="s">
        <v>16076</v>
      </c>
      <c r="C5931" t="s">
        <v>17428</v>
      </c>
      <c r="D5931" t="s">
        <v>16078</v>
      </c>
      <c r="E5931" t="s">
        <v>17429</v>
      </c>
      <c r="F5931" t="s">
        <v>17430</v>
      </c>
      <c r="G5931" t="s">
        <v>16209</v>
      </c>
      <c r="H5931" t="s">
        <v>17431</v>
      </c>
      <c r="I5931" t="s">
        <v>16082</v>
      </c>
    </row>
    <row r="5932" spans="1:9">
      <c r="A5932" t="s">
        <v>16075</v>
      </c>
      <c r="B5932" t="s">
        <v>16076</v>
      </c>
      <c r="C5932" t="s">
        <v>17432</v>
      </c>
      <c r="D5932" t="s">
        <v>16078</v>
      </c>
      <c r="E5932" t="s">
        <v>12646</v>
      </c>
      <c r="F5932" t="s">
        <v>17433</v>
      </c>
      <c r="G5932" t="s">
        <v>16372</v>
      </c>
      <c r="H5932" t="s">
        <v>17434</v>
      </c>
      <c r="I5932" t="s">
        <v>16082</v>
      </c>
    </row>
    <row r="5933" spans="1:9">
      <c r="A5933" t="s">
        <v>16075</v>
      </c>
      <c r="B5933" t="s">
        <v>16076</v>
      </c>
      <c r="C5933" t="s">
        <v>17435</v>
      </c>
      <c r="D5933" t="s">
        <v>16078</v>
      </c>
      <c r="E5933" t="s">
        <v>17436</v>
      </c>
      <c r="F5933" t="s">
        <v>17437</v>
      </c>
      <c r="G5933" t="s">
        <v>16209</v>
      </c>
      <c r="H5933" t="s">
        <v>17438</v>
      </c>
      <c r="I5933" t="s">
        <v>16082</v>
      </c>
    </row>
    <row r="5934" spans="1:9">
      <c r="A5934" t="s">
        <v>16075</v>
      </c>
      <c r="B5934" t="s">
        <v>16076</v>
      </c>
      <c r="C5934" t="s">
        <v>17439</v>
      </c>
      <c r="D5934" t="s">
        <v>16078</v>
      </c>
      <c r="E5934" t="s">
        <v>17440</v>
      </c>
      <c r="F5934" t="s">
        <v>17441</v>
      </c>
      <c r="G5934" t="s">
        <v>16209</v>
      </c>
      <c r="H5934" t="s">
        <v>17442</v>
      </c>
      <c r="I5934" t="s">
        <v>16082</v>
      </c>
    </row>
    <row r="5935" spans="1:9">
      <c r="A5935" t="s">
        <v>16075</v>
      </c>
      <c r="B5935" t="s">
        <v>16076</v>
      </c>
      <c r="C5935" t="s">
        <v>17443</v>
      </c>
      <c r="D5935" t="s">
        <v>16078</v>
      </c>
      <c r="E5935" t="s">
        <v>17444</v>
      </c>
      <c r="F5935" t="s">
        <v>17445</v>
      </c>
      <c r="G5935" t="s">
        <v>16194</v>
      </c>
      <c r="H5935" t="s">
        <v>17446</v>
      </c>
      <c r="I5935" t="s">
        <v>16082</v>
      </c>
    </row>
    <row r="5936" spans="1:9">
      <c r="A5936" t="s">
        <v>16075</v>
      </c>
      <c r="B5936" t="s">
        <v>16076</v>
      </c>
      <c r="C5936" t="s">
        <v>17447</v>
      </c>
      <c r="D5936" t="s">
        <v>16078</v>
      </c>
      <c r="E5936" t="s">
        <v>17448</v>
      </c>
      <c r="F5936" t="s">
        <v>17449</v>
      </c>
      <c r="G5936" t="s">
        <v>16307</v>
      </c>
      <c r="H5936" t="s">
        <v>17450</v>
      </c>
      <c r="I5936" t="s">
        <v>16082</v>
      </c>
    </row>
    <row r="5937" spans="1:14">
      <c r="A5937" t="s">
        <v>16075</v>
      </c>
      <c r="B5937" t="s">
        <v>16076</v>
      </c>
      <c r="C5937" t="s">
        <v>17451</v>
      </c>
      <c r="D5937" t="s">
        <v>16078</v>
      </c>
      <c r="E5937" t="s">
        <v>17452</v>
      </c>
      <c r="F5937" t="s">
        <v>17453</v>
      </c>
      <c r="G5937" t="s">
        <v>16451</v>
      </c>
      <c r="H5937" t="s">
        <v>17454</v>
      </c>
      <c r="I5937" t="s">
        <v>16082</v>
      </c>
      <c r="J5937" t="s">
        <v>17455</v>
      </c>
      <c r="K5937" t="s">
        <v>16075</v>
      </c>
      <c r="L5937" t="s">
        <v>16219</v>
      </c>
      <c r="M5937" t="s">
        <v>16082</v>
      </c>
      <c r="N5937" t="s">
        <v>17454</v>
      </c>
    </row>
    <row r="5938" spans="1:14">
      <c r="A5938" t="s">
        <v>16075</v>
      </c>
      <c r="B5938" t="s">
        <v>16076</v>
      </c>
      <c r="C5938" t="s">
        <v>17456</v>
      </c>
      <c r="D5938" t="s">
        <v>16078</v>
      </c>
      <c r="E5938" t="s">
        <v>17455</v>
      </c>
      <c r="F5938" t="s">
        <v>17457</v>
      </c>
      <c r="G5938" t="s">
        <v>16266</v>
      </c>
      <c r="H5938" t="s">
        <v>17458</v>
      </c>
      <c r="I5938" t="s">
        <v>16082</v>
      </c>
    </row>
    <row r="5939" spans="1:14">
      <c r="A5939" t="s">
        <v>16075</v>
      </c>
      <c r="B5939" t="s">
        <v>16076</v>
      </c>
      <c r="C5939" t="s">
        <v>17459</v>
      </c>
      <c r="D5939" t="s">
        <v>16078</v>
      </c>
      <c r="E5939" t="s">
        <v>17460</v>
      </c>
      <c r="F5939" t="s">
        <v>17461</v>
      </c>
      <c r="G5939" t="s">
        <v>16194</v>
      </c>
      <c r="H5939" t="s">
        <v>17462</v>
      </c>
      <c r="I5939" t="s">
        <v>16082</v>
      </c>
    </row>
    <row r="5940" spans="1:14">
      <c r="A5940" t="s">
        <v>16075</v>
      </c>
      <c r="B5940" t="s">
        <v>16076</v>
      </c>
      <c r="C5940" t="s">
        <v>17463</v>
      </c>
      <c r="D5940" t="s">
        <v>16078</v>
      </c>
      <c r="E5940" t="s">
        <v>17464</v>
      </c>
      <c r="F5940" t="s">
        <v>17465</v>
      </c>
      <c r="G5940" t="s">
        <v>16159</v>
      </c>
      <c r="H5940" t="s">
        <v>17466</v>
      </c>
      <c r="I5940" t="s">
        <v>16082</v>
      </c>
    </row>
    <row r="5941" spans="1:14">
      <c r="A5941" t="s">
        <v>16075</v>
      </c>
      <c r="B5941" t="s">
        <v>16076</v>
      </c>
      <c r="C5941" t="s">
        <v>17467</v>
      </c>
      <c r="D5941" t="s">
        <v>16078</v>
      </c>
      <c r="E5941" t="s">
        <v>17468</v>
      </c>
      <c r="F5941" t="s">
        <v>17469</v>
      </c>
      <c r="G5941" t="s">
        <v>16303</v>
      </c>
      <c r="H5941" t="s">
        <v>17470</v>
      </c>
      <c r="I5941" t="s">
        <v>16082</v>
      </c>
    </row>
    <row r="5942" spans="1:14">
      <c r="A5942" t="s">
        <v>16075</v>
      </c>
      <c r="B5942" t="s">
        <v>16076</v>
      </c>
      <c r="C5942" t="s">
        <v>17471</v>
      </c>
      <c r="D5942" t="s">
        <v>16078</v>
      </c>
      <c r="E5942" t="s">
        <v>17472</v>
      </c>
      <c r="F5942" t="s">
        <v>17473</v>
      </c>
      <c r="G5942" t="s">
        <v>16303</v>
      </c>
      <c r="H5942" t="s">
        <v>17474</v>
      </c>
      <c r="I5942" t="s">
        <v>16082</v>
      </c>
    </row>
    <row r="5943" spans="1:14">
      <c r="A5943" t="s">
        <v>16075</v>
      </c>
      <c r="B5943" t="s">
        <v>16076</v>
      </c>
      <c r="C5943" t="s">
        <v>17475</v>
      </c>
      <c r="D5943" t="s">
        <v>16078</v>
      </c>
      <c r="E5943" t="s">
        <v>17476</v>
      </c>
      <c r="F5943" t="s">
        <v>17477</v>
      </c>
      <c r="G5943" t="s">
        <v>16312</v>
      </c>
      <c r="H5943" t="s">
        <v>17478</v>
      </c>
    </row>
    <row r="5944" spans="1:14">
      <c r="A5944" t="s">
        <v>16075</v>
      </c>
      <c r="B5944" t="s">
        <v>16076</v>
      </c>
      <c r="C5944" t="s">
        <v>17479</v>
      </c>
      <c r="D5944" t="s">
        <v>16078</v>
      </c>
      <c r="E5944" t="s">
        <v>17480</v>
      </c>
      <c r="F5944" t="s">
        <v>17481</v>
      </c>
      <c r="G5944" t="s">
        <v>16131</v>
      </c>
      <c r="H5944" t="s">
        <v>17482</v>
      </c>
      <c r="I5944" t="s">
        <v>16082</v>
      </c>
    </row>
    <row r="5945" spans="1:14">
      <c r="A5945" t="s">
        <v>16075</v>
      </c>
      <c r="B5945" t="s">
        <v>16076</v>
      </c>
      <c r="C5945" t="s">
        <v>17483</v>
      </c>
      <c r="D5945" t="s">
        <v>16078</v>
      </c>
      <c r="E5945" t="s">
        <v>17484</v>
      </c>
      <c r="F5945" t="s">
        <v>17485</v>
      </c>
      <c r="G5945" t="s">
        <v>16194</v>
      </c>
      <c r="H5945" t="s">
        <v>17486</v>
      </c>
      <c r="I5945" t="s">
        <v>16082</v>
      </c>
    </row>
    <row r="5946" spans="1:14">
      <c r="A5946" t="s">
        <v>16075</v>
      </c>
      <c r="B5946" t="s">
        <v>16076</v>
      </c>
      <c r="C5946" t="s">
        <v>17487</v>
      </c>
      <c r="D5946" t="s">
        <v>16078</v>
      </c>
      <c r="E5946" t="s">
        <v>17488</v>
      </c>
      <c r="F5946" t="s">
        <v>17489</v>
      </c>
      <c r="G5946" t="s">
        <v>16116</v>
      </c>
      <c r="H5946" t="s">
        <v>17490</v>
      </c>
      <c r="I5946" t="s">
        <v>16082</v>
      </c>
    </row>
    <row r="5947" spans="1:14">
      <c r="A5947" t="s">
        <v>16075</v>
      </c>
      <c r="B5947" t="s">
        <v>16076</v>
      </c>
      <c r="C5947" t="s">
        <v>17491</v>
      </c>
      <c r="D5947" t="s">
        <v>16078</v>
      </c>
      <c r="E5947" t="s">
        <v>17492</v>
      </c>
      <c r="F5947" t="s">
        <v>17493</v>
      </c>
      <c r="G5947" t="s">
        <v>16080</v>
      </c>
      <c r="H5947" t="s">
        <v>17494</v>
      </c>
      <c r="I5947" t="s">
        <v>16082</v>
      </c>
    </row>
    <row r="5948" spans="1:14">
      <c r="A5948" t="s">
        <v>16075</v>
      </c>
      <c r="B5948" t="s">
        <v>16076</v>
      </c>
      <c r="C5948" t="s">
        <v>17495</v>
      </c>
      <c r="D5948" t="s">
        <v>16078</v>
      </c>
      <c r="E5948" t="s">
        <v>17496</v>
      </c>
      <c r="F5948" t="s">
        <v>17497</v>
      </c>
      <c r="G5948" t="s">
        <v>16109</v>
      </c>
      <c r="H5948" t="s">
        <v>17498</v>
      </c>
      <c r="I5948" t="s">
        <v>16082</v>
      </c>
    </row>
    <row r="5949" spans="1:14">
      <c r="A5949" t="s">
        <v>16075</v>
      </c>
      <c r="B5949" t="s">
        <v>16076</v>
      </c>
      <c r="C5949" t="s">
        <v>17499</v>
      </c>
      <c r="D5949" t="s">
        <v>16078</v>
      </c>
      <c r="E5949" t="s">
        <v>17500</v>
      </c>
      <c r="F5949" t="s">
        <v>17501</v>
      </c>
      <c r="G5949" t="s">
        <v>16116</v>
      </c>
      <c r="H5949" t="s">
        <v>17502</v>
      </c>
      <c r="I5949" t="s">
        <v>16082</v>
      </c>
      <c r="J5949" t="s">
        <v>6940</v>
      </c>
      <c r="K5949" t="s">
        <v>16075</v>
      </c>
      <c r="L5949" t="s">
        <v>16219</v>
      </c>
      <c r="M5949" t="s">
        <v>16082</v>
      </c>
      <c r="N5949" t="s">
        <v>17502</v>
      </c>
    </row>
    <row r="5950" spans="1:14">
      <c r="A5950" t="s">
        <v>16075</v>
      </c>
      <c r="B5950" t="s">
        <v>16076</v>
      </c>
      <c r="C5950" t="s">
        <v>17503</v>
      </c>
      <c r="D5950" t="s">
        <v>16078</v>
      </c>
      <c r="E5950" t="s">
        <v>7744</v>
      </c>
      <c r="F5950" t="s">
        <v>7744</v>
      </c>
      <c r="G5950" t="s">
        <v>16086</v>
      </c>
      <c r="H5950" t="s">
        <v>17504</v>
      </c>
      <c r="I5950" t="s">
        <v>16082</v>
      </c>
    </row>
    <row r="5951" spans="1:14">
      <c r="A5951" t="s">
        <v>16075</v>
      </c>
      <c r="B5951" t="s">
        <v>16076</v>
      </c>
      <c r="C5951" t="s">
        <v>17505</v>
      </c>
      <c r="D5951" t="s">
        <v>16078</v>
      </c>
      <c r="E5951" t="s">
        <v>1174</v>
      </c>
      <c r="F5951" t="s">
        <v>17506</v>
      </c>
      <c r="G5951" t="s">
        <v>16295</v>
      </c>
      <c r="H5951" t="s">
        <v>17507</v>
      </c>
      <c r="I5951" t="s">
        <v>16082</v>
      </c>
    </row>
    <row r="5952" spans="1:14">
      <c r="A5952" t="s">
        <v>16075</v>
      </c>
      <c r="B5952" t="s">
        <v>16076</v>
      </c>
      <c r="C5952" t="s">
        <v>17508</v>
      </c>
      <c r="D5952" t="s">
        <v>16078</v>
      </c>
      <c r="E5952" t="s">
        <v>17509</v>
      </c>
      <c r="F5952" t="s">
        <v>17510</v>
      </c>
      <c r="G5952" t="s">
        <v>16209</v>
      </c>
      <c r="H5952" t="s">
        <v>17511</v>
      </c>
      <c r="I5952" t="s">
        <v>16093</v>
      </c>
    </row>
    <row r="5953" spans="1:9">
      <c r="A5953" t="s">
        <v>16075</v>
      </c>
      <c r="B5953" t="s">
        <v>16076</v>
      </c>
      <c r="C5953" t="s">
        <v>17512</v>
      </c>
      <c r="D5953" t="s">
        <v>16078</v>
      </c>
      <c r="E5953" t="s">
        <v>17513</v>
      </c>
      <c r="F5953" t="s">
        <v>17514</v>
      </c>
      <c r="G5953" t="s">
        <v>16178</v>
      </c>
      <c r="H5953" t="s">
        <v>17515</v>
      </c>
      <c r="I5953" t="s">
        <v>16082</v>
      </c>
    </row>
    <row r="5954" spans="1:9">
      <c r="A5954" t="s">
        <v>16075</v>
      </c>
      <c r="B5954" t="s">
        <v>16076</v>
      </c>
      <c r="C5954" t="s">
        <v>17516</v>
      </c>
      <c r="D5954" t="s">
        <v>16078</v>
      </c>
      <c r="E5954" t="s">
        <v>17517</v>
      </c>
      <c r="F5954" t="s">
        <v>17518</v>
      </c>
      <c r="G5954" t="s">
        <v>16105</v>
      </c>
      <c r="H5954" t="s">
        <v>17519</v>
      </c>
      <c r="I5954" t="s">
        <v>16082</v>
      </c>
    </row>
    <row r="5955" spans="1:9">
      <c r="A5955" t="s">
        <v>16075</v>
      </c>
      <c r="B5955" t="s">
        <v>16076</v>
      </c>
      <c r="C5955" t="s">
        <v>17520</v>
      </c>
      <c r="D5955" t="s">
        <v>16078</v>
      </c>
      <c r="E5955" t="s">
        <v>17521</v>
      </c>
      <c r="F5955" t="s">
        <v>17522</v>
      </c>
      <c r="G5955" t="s">
        <v>16086</v>
      </c>
      <c r="H5955" t="s">
        <v>17523</v>
      </c>
      <c r="I5955" t="s">
        <v>16082</v>
      </c>
    </row>
    <row r="5956" spans="1:9">
      <c r="A5956" t="s">
        <v>16075</v>
      </c>
      <c r="B5956" t="s">
        <v>16076</v>
      </c>
      <c r="C5956" t="s">
        <v>17524</v>
      </c>
      <c r="D5956" t="s">
        <v>16078</v>
      </c>
      <c r="E5956" t="s">
        <v>17525</v>
      </c>
      <c r="F5956" t="s">
        <v>17526</v>
      </c>
      <c r="G5956" t="s">
        <v>16105</v>
      </c>
      <c r="H5956" t="s">
        <v>17527</v>
      </c>
      <c r="I5956" t="s">
        <v>16082</v>
      </c>
    </row>
    <row r="5957" spans="1:9">
      <c r="A5957" t="s">
        <v>16075</v>
      </c>
      <c r="B5957" t="s">
        <v>16076</v>
      </c>
      <c r="C5957" t="s">
        <v>17528</v>
      </c>
      <c r="D5957" t="s">
        <v>16078</v>
      </c>
      <c r="E5957" t="s">
        <v>17529</v>
      </c>
      <c r="F5957" t="s">
        <v>17530</v>
      </c>
      <c r="G5957" t="s">
        <v>16194</v>
      </c>
      <c r="H5957" t="s">
        <v>17531</v>
      </c>
      <c r="I5957" t="s">
        <v>16082</v>
      </c>
    </row>
    <row r="5958" spans="1:9">
      <c r="A5958" t="s">
        <v>16075</v>
      </c>
      <c r="B5958" t="s">
        <v>16076</v>
      </c>
      <c r="C5958" t="s">
        <v>17532</v>
      </c>
      <c r="D5958" t="s">
        <v>16078</v>
      </c>
      <c r="E5958" t="s">
        <v>15473</v>
      </c>
      <c r="F5958" t="s">
        <v>17533</v>
      </c>
      <c r="G5958" t="s">
        <v>16080</v>
      </c>
      <c r="H5958" t="s">
        <v>17534</v>
      </c>
      <c r="I5958" t="s">
        <v>16082</v>
      </c>
    </row>
    <row r="5959" spans="1:9">
      <c r="A5959" t="s">
        <v>16075</v>
      </c>
      <c r="B5959" t="s">
        <v>16076</v>
      </c>
      <c r="C5959" t="s">
        <v>17535</v>
      </c>
      <c r="D5959" t="s">
        <v>16078</v>
      </c>
      <c r="E5959" t="s">
        <v>17536</v>
      </c>
      <c r="F5959" t="s">
        <v>17537</v>
      </c>
      <c r="G5959" t="s">
        <v>16097</v>
      </c>
      <c r="H5959" t="s">
        <v>17538</v>
      </c>
      <c r="I5959" t="s">
        <v>16082</v>
      </c>
    </row>
    <row r="5960" spans="1:9">
      <c r="A5960" t="s">
        <v>16075</v>
      </c>
      <c r="B5960" t="s">
        <v>16076</v>
      </c>
      <c r="C5960" t="s">
        <v>17539</v>
      </c>
      <c r="D5960" t="s">
        <v>16078</v>
      </c>
      <c r="E5960" t="s">
        <v>15399</v>
      </c>
      <c r="F5960" t="s">
        <v>17540</v>
      </c>
      <c r="G5960" t="s">
        <v>16846</v>
      </c>
      <c r="H5960" t="s">
        <v>17534</v>
      </c>
      <c r="I5960" t="s">
        <v>16082</v>
      </c>
    </row>
    <row r="5961" spans="1:9">
      <c r="A5961" t="s">
        <v>16075</v>
      </c>
      <c r="B5961" t="s">
        <v>16076</v>
      </c>
      <c r="C5961" t="s">
        <v>17541</v>
      </c>
      <c r="D5961" t="s">
        <v>16078</v>
      </c>
      <c r="E5961" t="s">
        <v>17542</v>
      </c>
      <c r="F5961" t="s">
        <v>17543</v>
      </c>
      <c r="G5961" t="s">
        <v>16131</v>
      </c>
      <c r="H5961" t="s">
        <v>17544</v>
      </c>
      <c r="I5961" t="s">
        <v>16082</v>
      </c>
    </row>
    <row r="5962" spans="1:9">
      <c r="A5962" t="s">
        <v>16075</v>
      </c>
      <c r="B5962" t="s">
        <v>16076</v>
      </c>
      <c r="C5962" t="s">
        <v>17545</v>
      </c>
      <c r="D5962" t="s">
        <v>16078</v>
      </c>
      <c r="E5962" t="s">
        <v>17546</v>
      </c>
      <c r="F5962" t="s">
        <v>17546</v>
      </c>
      <c r="G5962" t="s">
        <v>16131</v>
      </c>
      <c r="H5962" t="s">
        <v>17547</v>
      </c>
      <c r="I5962" t="s">
        <v>16082</v>
      </c>
    </row>
    <row r="5963" spans="1:9">
      <c r="A5963" t="s">
        <v>16075</v>
      </c>
      <c r="B5963" t="s">
        <v>16076</v>
      </c>
      <c r="C5963" t="s">
        <v>17548</v>
      </c>
      <c r="D5963" t="s">
        <v>16078</v>
      </c>
      <c r="E5963" t="s">
        <v>17549</v>
      </c>
      <c r="F5963" t="s">
        <v>17550</v>
      </c>
      <c r="G5963" t="s">
        <v>16178</v>
      </c>
      <c r="H5963" t="s">
        <v>17551</v>
      </c>
      <c r="I5963" t="s">
        <v>16082</v>
      </c>
    </row>
    <row r="5964" spans="1:9">
      <c r="A5964" t="s">
        <v>16075</v>
      </c>
      <c r="B5964" t="s">
        <v>16076</v>
      </c>
      <c r="C5964" t="s">
        <v>17552</v>
      </c>
      <c r="D5964" t="s">
        <v>16078</v>
      </c>
      <c r="E5964" t="s">
        <v>17553</v>
      </c>
      <c r="F5964" t="s">
        <v>17554</v>
      </c>
      <c r="G5964" t="s">
        <v>16131</v>
      </c>
      <c r="H5964" t="s">
        <v>17555</v>
      </c>
      <c r="I5964" t="s">
        <v>16082</v>
      </c>
    </row>
    <row r="5965" spans="1:9">
      <c r="A5965" t="s">
        <v>16075</v>
      </c>
      <c r="B5965" t="s">
        <v>16076</v>
      </c>
      <c r="C5965" t="s">
        <v>17556</v>
      </c>
      <c r="D5965" t="s">
        <v>16078</v>
      </c>
      <c r="E5965" t="s">
        <v>17557</v>
      </c>
      <c r="F5965" t="s">
        <v>17558</v>
      </c>
      <c r="G5965" t="s">
        <v>16209</v>
      </c>
      <c r="H5965" t="s">
        <v>17559</v>
      </c>
      <c r="I5965" t="s">
        <v>16082</v>
      </c>
    </row>
    <row r="5966" spans="1:9">
      <c r="A5966" t="s">
        <v>16075</v>
      </c>
      <c r="B5966" t="s">
        <v>16076</v>
      </c>
      <c r="C5966" t="s">
        <v>17560</v>
      </c>
      <c r="D5966" t="s">
        <v>16078</v>
      </c>
      <c r="E5966" t="s">
        <v>17561</v>
      </c>
      <c r="F5966" t="s">
        <v>17562</v>
      </c>
      <c r="G5966" t="s">
        <v>16194</v>
      </c>
      <c r="H5966" t="s">
        <v>17563</v>
      </c>
      <c r="I5966" t="s">
        <v>16082</v>
      </c>
    </row>
    <row r="5967" spans="1:9">
      <c r="A5967" t="s">
        <v>16075</v>
      </c>
      <c r="B5967" t="s">
        <v>16076</v>
      </c>
      <c r="C5967" t="s">
        <v>17564</v>
      </c>
      <c r="D5967" t="s">
        <v>16078</v>
      </c>
      <c r="E5967" t="s">
        <v>17565</v>
      </c>
      <c r="F5967" t="s">
        <v>17566</v>
      </c>
      <c r="G5967" t="s">
        <v>16131</v>
      </c>
      <c r="H5967" t="s">
        <v>17567</v>
      </c>
      <c r="I5967" t="s">
        <v>16082</v>
      </c>
    </row>
    <row r="5968" spans="1:9">
      <c r="A5968" t="s">
        <v>16075</v>
      </c>
      <c r="B5968" t="s">
        <v>16076</v>
      </c>
      <c r="C5968" t="s">
        <v>17568</v>
      </c>
      <c r="D5968" t="s">
        <v>16078</v>
      </c>
      <c r="E5968" t="s">
        <v>17569</v>
      </c>
      <c r="F5968" t="s">
        <v>17570</v>
      </c>
      <c r="G5968" t="s">
        <v>16209</v>
      </c>
      <c r="H5968" t="s">
        <v>17571</v>
      </c>
      <c r="I5968" t="s">
        <v>16082</v>
      </c>
    </row>
    <row r="5969" spans="1:9">
      <c r="A5969" t="s">
        <v>16075</v>
      </c>
      <c r="B5969" t="s">
        <v>16076</v>
      </c>
      <c r="C5969" t="s">
        <v>17572</v>
      </c>
      <c r="D5969" t="s">
        <v>16078</v>
      </c>
      <c r="E5969" t="s">
        <v>17573</v>
      </c>
      <c r="F5969" t="s">
        <v>17574</v>
      </c>
      <c r="G5969" t="s">
        <v>16080</v>
      </c>
      <c r="H5969" t="s">
        <v>17575</v>
      </c>
      <c r="I5969" t="s">
        <v>16082</v>
      </c>
    </row>
    <row r="5970" spans="1:9">
      <c r="A5970" t="s">
        <v>16075</v>
      </c>
      <c r="B5970" t="s">
        <v>16076</v>
      </c>
      <c r="C5970" t="s">
        <v>17576</v>
      </c>
      <c r="D5970" t="s">
        <v>16078</v>
      </c>
      <c r="E5970" t="s">
        <v>17577</v>
      </c>
      <c r="F5970" t="s">
        <v>17578</v>
      </c>
      <c r="G5970" t="s">
        <v>16116</v>
      </c>
      <c r="H5970" t="s">
        <v>17579</v>
      </c>
      <c r="I5970" t="s">
        <v>16082</v>
      </c>
    </row>
    <row r="5971" spans="1:9">
      <c r="A5971" t="s">
        <v>16075</v>
      </c>
      <c r="B5971" t="s">
        <v>16076</v>
      </c>
      <c r="C5971" t="s">
        <v>17580</v>
      </c>
      <c r="D5971" t="s">
        <v>16078</v>
      </c>
      <c r="E5971" t="s">
        <v>11280</v>
      </c>
      <c r="F5971" t="s">
        <v>17581</v>
      </c>
      <c r="G5971" t="s">
        <v>16131</v>
      </c>
      <c r="H5971" t="s">
        <v>17582</v>
      </c>
      <c r="I5971" t="s">
        <v>16082</v>
      </c>
    </row>
    <row r="5972" spans="1:9">
      <c r="A5972" t="s">
        <v>16075</v>
      </c>
      <c r="B5972" t="s">
        <v>16076</v>
      </c>
      <c r="C5972" t="s">
        <v>17583</v>
      </c>
      <c r="D5972" t="s">
        <v>16078</v>
      </c>
      <c r="E5972" t="s">
        <v>13742</v>
      </c>
      <c r="F5972" t="s">
        <v>17584</v>
      </c>
      <c r="G5972" t="s">
        <v>16209</v>
      </c>
      <c r="H5972" t="s">
        <v>17585</v>
      </c>
      <c r="I5972" t="s">
        <v>16093</v>
      </c>
    </row>
    <row r="5973" spans="1:9">
      <c r="A5973" t="s">
        <v>16075</v>
      </c>
      <c r="B5973" t="s">
        <v>16076</v>
      </c>
      <c r="C5973" t="s">
        <v>17586</v>
      </c>
      <c r="D5973" t="s">
        <v>16078</v>
      </c>
      <c r="E5973" t="s">
        <v>17587</v>
      </c>
      <c r="F5973" t="s">
        <v>17588</v>
      </c>
      <c r="G5973" t="s">
        <v>17282</v>
      </c>
      <c r="H5973" t="s">
        <v>17589</v>
      </c>
      <c r="I5973" t="s">
        <v>16093</v>
      </c>
    </row>
    <row r="5974" spans="1:9">
      <c r="A5974" t="s">
        <v>16075</v>
      </c>
      <c r="B5974" t="s">
        <v>16076</v>
      </c>
      <c r="C5974" t="s">
        <v>17590</v>
      </c>
      <c r="D5974" t="s">
        <v>16078</v>
      </c>
      <c r="E5974" t="s">
        <v>9230</v>
      </c>
      <c r="F5974" t="s">
        <v>17587</v>
      </c>
      <c r="G5974" t="s">
        <v>16462</v>
      </c>
      <c r="H5974" t="s">
        <v>17591</v>
      </c>
      <c r="I5974" t="s">
        <v>16082</v>
      </c>
    </row>
    <row r="5975" spans="1:9">
      <c r="A5975" t="s">
        <v>16075</v>
      </c>
      <c r="B5975" t="s">
        <v>16076</v>
      </c>
      <c r="C5975" t="s">
        <v>17592</v>
      </c>
      <c r="D5975" t="s">
        <v>16078</v>
      </c>
      <c r="E5975" t="s">
        <v>17593</v>
      </c>
      <c r="F5975" t="s">
        <v>17594</v>
      </c>
      <c r="G5975" t="s">
        <v>16131</v>
      </c>
      <c r="H5975" t="s">
        <v>17595</v>
      </c>
      <c r="I5975" t="s">
        <v>16082</v>
      </c>
    </row>
    <row r="5976" spans="1:9">
      <c r="A5976" t="s">
        <v>16075</v>
      </c>
      <c r="B5976" t="s">
        <v>16076</v>
      </c>
      <c r="C5976" t="s">
        <v>17596</v>
      </c>
      <c r="D5976" t="s">
        <v>16078</v>
      </c>
      <c r="E5976" t="s">
        <v>751</v>
      </c>
      <c r="F5976" t="s">
        <v>17597</v>
      </c>
      <c r="G5976" t="s">
        <v>16209</v>
      </c>
      <c r="H5976" t="s">
        <v>17598</v>
      </c>
      <c r="I5976" t="s">
        <v>16082</v>
      </c>
    </row>
    <row r="5977" spans="1:9">
      <c r="A5977" t="s">
        <v>16075</v>
      </c>
      <c r="B5977" t="s">
        <v>16076</v>
      </c>
      <c r="C5977" t="s">
        <v>17599</v>
      </c>
      <c r="D5977" t="s">
        <v>16078</v>
      </c>
      <c r="E5977" t="s">
        <v>17600</v>
      </c>
      <c r="F5977" t="s">
        <v>17601</v>
      </c>
      <c r="G5977" t="s">
        <v>16131</v>
      </c>
      <c r="H5977" t="s">
        <v>17602</v>
      </c>
      <c r="I5977" t="s">
        <v>16082</v>
      </c>
    </row>
    <row r="5978" spans="1:9">
      <c r="A5978" t="s">
        <v>16075</v>
      </c>
      <c r="B5978" t="s">
        <v>16076</v>
      </c>
      <c r="C5978" t="s">
        <v>17603</v>
      </c>
      <c r="D5978" t="s">
        <v>16078</v>
      </c>
      <c r="E5978" t="s">
        <v>17604</v>
      </c>
      <c r="F5978" t="s">
        <v>17605</v>
      </c>
      <c r="G5978" t="s">
        <v>16086</v>
      </c>
      <c r="H5978" t="s">
        <v>17606</v>
      </c>
      <c r="I5978" t="s">
        <v>16082</v>
      </c>
    </row>
    <row r="5979" spans="1:9">
      <c r="A5979" t="s">
        <v>16075</v>
      </c>
      <c r="B5979" t="s">
        <v>16076</v>
      </c>
      <c r="C5979" t="s">
        <v>17607</v>
      </c>
      <c r="D5979" t="s">
        <v>16078</v>
      </c>
      <c r="E5979" t="s">
        <v>17608</v>
      </c>
      <c r="F5979" t="s">
        <v>17608</v>
      </c>
      <c r="G5979" t="s">
        <v>16259</v>
      </c>
      <c r="H5979" t="s">
        <v>17609</v>
      </c>
    </row>
    <row r="5980" spans="1:9">
      <c r="A5980" t="s">
        <v>16075</v>
      </c>
      <c r="B5980" t="s">
        <v>16076</v>
      </c>
      <c r="C5980" t="s">
        <v>17610</v>
      </c>
      <c r="D5980" t="s">
        <v>16078</v>
      </c>
      <c r="E5980" t="s">
        <v>1177</v>
      </c>
      <c r="F5980" t="s">
        <v>17611</v>
      </c>
      <c r="G5980" t="s">
        <v>16131</v>
      </c>
      <c r="H5980" t="s">
        <v>17612</v>
      </c>
      <c r="I5980" t="s">
        <v>16082</v>
      </c>
    </row>
    <row r="5981" spans="1:9">
      <c r="A5981" t="s">
        <v>16075</v>
      </c>
      <c r="B5981" t="s">
        <v>16076</v>
      </c>
      <c r="C5981" t="s">
        <v>17613</v>
      </c>
      <c r="D5981" t="s">
        <v>16078</v>
      </c>
      <c r="E5981" t="s">
        <v>17614</v>
      </c>
      <c r="F5981" t="s">
        <v>17615</v>
      </c>
      <c r="G5981" t="s">
        <v>16462</v>
      </c>
      <c r="H5981" t="s">
        <v>17616</v>
      </c>
      <c r="I5981" t="s">
        <v>16082</v>
      </c>
    </row>
    <row r="5982" spans="1:9">
      <c r="A5982" t="s">
        <v>16075</v>
      </c>
      <c r="B5982" t="s">
        <v>16076</v>
      </c>
      <c r="C5982" t="s">
        <v>17617</v>
      </c>
      <c r="D5982" t="s">
        <v>16078</v>
      </c>
      <c r="E5982" t="s">
        <v>6417</v>
      </c>
      <c r="F5982" t="s">
        <v>17618</v>
      </c>
      <c r="G5982" t="s">
        <v>16194</v>
      </c>
      <c r="H5982" t="s">
        <v>17619</v>
      </c>
      <c r="I5982" t="s">
        <v>16082</v>
      </c>
    </row>
    <row r="5983" spans="1:9">
      <c r="A5983" t="s">
        <v>16075</v>
      </c>
      <c r="B5983" t="s">
        <v>16076</v>
      </c>
      <c r="C5983" t="s">
        <v>17620</v>
      </c>
      <c r="D5983" t="s">
        <v>16078</v>
      </c>
      <c r="E5983" t="s">
        <v>17621</v>
      </c>
      <c r="F5983" t="s">
        <v>17622</v>
      </c>
      <c r="G5983" t="s">
        <v>16183</v>
      </c>
      <c r="H5983" t="s">
        <v>17623</v>
      </c>
      <c r="I5983" t="s">
        <v>16082</v>
      </c>
    </row>
    <row r="5984" spans="1:9">
      <c r="A5984" t="s">
        <v>16075</v>
      </c>
      <c r="B5984" t="s">
        <v>16076</v>
      </c>
      <c r="C5984" t="s">
        <v>17624</v>
      </c>
      <c r="D5984" t="s">
        <v>16078</v>
      </c>
      <c r="E5984" t="s">
        <v>17625</v>
      </c>
      <c r="F5984" t="s">
        <v>17626</v>
      </c>
      <c r="G5984" t="s">
        <v>16097</v>
      </c>
      <c r="H5984" t="s">
        <v>17627</v>
      </c>
      <c r="I5984" t="s">
        <v>16082</v>
      </c>
    </row>
    <row r="5985" spans="1:9">
      <c r="A5985" t="s">
        <v>16075</v>
      </c>
      <c r="B5985" t="s">
        <v>16076</v>
      </c>
      <c r="C5985" t="s">
        <v>17628</v>
      </c>
      <c r="D5985" t="s">
        <v>16078</v>
      </c>
      <c r="E5985" t="s">
        <v>17629</v>
      </c>
      <c r="F5985" t="s">
        <v>17630</v>
      </c>
      <c r="G5985" t="s">
        <v>16131</v>
      </c>
      <c r="H5985" t="s">
        <v>17631</v>
      </c>
      <c r="I5985" t="s">
        <v>16082</v>
      </c>
    </row>
    <row r="5986" spans="1:9">
      <c r="A5986" t="s">
        <v>16075</v>
      </c>
      <c r="B5986" t="s">
        <v>16076</v>
      </c>
      <c r="C5986" t="s">
        <v>17632</v>
      </c>
      <c r="D5986" t="s">
        <v>16078</v>
      </c>
      <c r="E5986" t="s">
        <v>17633</v>
      </c>
      <c r="F5986" t="s">
        <v>17634</v>
      </c>
      <c r="G5986" t="s">
        <v>16178</v>
      </c>
      <c r="H5986" t="s">
        <v>17635</v>
      </c>
      <c r="I5986" t="s">
        <v>16082</v>
      </c>
    </row>
    <row r="5987" spans="1:9">
      <c r="A5987" t="s">
        <v>16075</v>
      </c>
      <c r="B5987" t="s">
        <v>16076</v>
      </c>
      <c r="C5987" t="s">
        <v>17636</v>
      </c>
      <c r="D5987" t="s">
        <v>16078</v>
      </c>
      <c r="E5987" t="s">
        <v>10645</v>
      </c>
      <c r="F5987" t="s">
        <v>17637</v>
      </c>
      <c r="G5987" t="s">
        <v>16173</v>
      </c>
      <c r="H5987" t="s">
        <v>17638</v>
      </c>
      <c r="I5987" t="s">
        <v>16082</v>
      </c>
    </row>
    <row r="5988" spans="1:9">
      <c r="A5988" t="s">
        <v>16075</v>
      </c>
      <c r="B5988" t="s">
        <v>16076</v>
      </c>
      <c r="C5988" t="s">
        <v>17639</v>
      </c>
      <c r="D5988" t="s">
        <v>16078</v>
      </c>
      <c r="E5988" t="s">
        <v>17640</v>
      </c>
      <c r="F5988" t="s">
        <v>17641</v>
      </c>
      <c r="G5988" t="s">
        <v>16194</v>
      </c>
      <c r="H5988" t="s">
        <v>17642</v>
      </c>
      <c r="I5988" t="s">
        <v>16082</v>
      </c>
    </row>
    <row r="5989" spans="1:9">
      <c r="A5989" t="s">
        <v>16075</v>
      </c>
      <c r="B5989" t="s">
        <v>16076</v>
      </c>
      <c r="C5989" t="s">
        <v>17643</v>
      </c>
      <c r="D5989" t="s">
        <v>16078</v>
      </c>
      <c r="E5989" t="s">
        <v>17644</v>
      </c>
      <c r="F5989" t="s">
        <v>17645</v>
      </c>
      <c r="G5989" t="s">
        <v>16178</v>
      </c>
      <c r="H5989" t="s">
        <v>17646</v>
      </c>
      <c r="I5989" t="s">
        <v>16082</v>
      </c>
    </row>
    <row r="5990" spans="1:9">
      <c r="A5990" t="s">
        <v>16075</v>
      </c>
      <c r="B5990" t="s">
        <v>16076</v>
      </c>
      <c r="C5990" t="s">
        <v>17647</v>
      </c>
      <c r="D5990" t="s">
        <v>16078</v>
      </c>
      <c r="E5990" t="s">
        <v>2193</v>
      </c>
      <c r="F5990" t="s">
        <v>17648</v>
      </c>
      <c r="G5990" t="s">
        <v>16266</v>
      </c>
      <c r="H5990" t="s">
        <v>17649</v>
      </c>
      <c r="I5990" t="s">
        <v>16082</v>
      </c>
    </row>
    <row r="5991" spans="1:9">
      <c r="A5991" t="s">
        <v>16075</v>
      </c>
      <c r="B5991" t="s">
        <v>16076</v>
      </c>
      <c r="C5991" t="s">
        <v>17650</v>
      </c>
      <c r="D5991" t="s">
        <v>16078</v>
      </c>
      <c r="E5991" t="s">
        <v>17651</v>
      </c>
      <c r="F5991" t="s">
        <v>17652</v>
      </c>
      <c r="G5991" t="s">
        <v>16080</v>
      </c>
      <c r="H5991" t="s">
        <v>17653</v>
      </c>
      <c r="I5991" t="s">
        <v>16082</v>
      </c>
    </row>
    <row r="5992" spans="1:9">
      <c r="A5992" t="s">
        <v>16075</v>
      </c>
      <c r="B5992" t="s">
        <v>16076</v>
      </c>
      <c r="C5992" t="s">
        <v>17654</v>
      </c>
      <c r="D5992" t="s">
        <v>16078</v>
      </c>
      <c r="E5992" t="s">
        <v>12668</v>
      </c>
      <c r="F5992" t="s">
        <v>17655</v>
      </c>
      <c r="G5992" t="s">
        <v>16380</v>
      </c>
      <c r="H5992" t="s">
        <v>17656</v>
      </c>
      <c r="I5992" t="s">
        <v>16082</v>
      </c>
    </row>
    <row r="5993" spans="1:9">
      <c r="A5993" t="s">
        <v>16075</v>
      </c>
      <c r="B5993" t="s">
        <v>16076</v>
      </c>
      <c r="C5993" t="s">
        <v>17657</v>
      </c>
      <c r="D5993" t="s">
        <v>16078</v>
      </c>
      <c r="E5993" t="s">
        <v>7747</v>
      </c>
      <c r="F5993" t="s">
        <v>17658</v>
      </c>
      <c r="G5993" t="s">
        <v>16131</v>
      </c>
      <c r="H5993" t="s">
        <v>17659</v>
      </c>
      <c r="I5993" t="s">
        <v>16082</v>
      </c>
    </row>
    <row r="5994" spans="1:9">
      <c r="A5994" t="s">
        <v>16075</v>
      </c>
      <c r="B5994" t="s">
        <v>16076</v>
      </c>
      <c r="C5994" t="s">
        <v>17660</v>
      </c>
      <c r="D5994" t="s">
        <v>16078</v>
      </c>
      <c r="E5994" t="s">
        <v>9237</v>
      </c>
      <c r="F5994" t="s">
        <v>9237</v>
      </c>
      <c r="G5994" t="s">
        <v>16534</v>
      </c>
      <c r="H5994" t="s">
        <v>17661</v>
      </c>
      <c r="I5994" t="s">
        <v>16082</v>
      </c>
    </row>
    <row r="5995" spans="1:9">
      <c r="A5995" t="s">
        <v>16075</v>
      </c>
      <c r="B5995" t="s">
        <v>16076</v>
      </c>
      <c r="C5995" t="s">
        <v>17662</v>
      </c>
      <c r="D5995" t="s">
        <v>16078</v>
      </c>
      <c r="E5995" t="s">
        <v>6940</v>
      </c>
      <c r="F5995" t="s">
        <v>17663</v>
      </c>
      <c r="G5995" t="s">
        <v>16116</v>
      </c>
      <c r="H5995" t="s">
        <v>17664</v>
      </c>
      <c r="I5995" t="s">
        <v>16093</v>
      </c>
    </row>
    <row r="5996" spans="1:9">
      <c r="A5996" t="s">
        <v>16075</v>
      </c>
      <c r="B5996" t="s">
        <v>16076</v>
      </c>
      <c r="C5996" t="s">
        <v>17665</v>
      </c>
      <c r="D5996" t="s">
        <v>16078</v>
      </c>
      <c r="E5996" t="s">
        <v>15798</v>
      </c>
      <c r="F5996" t="s">
        <v>17666</v>
      </c>
      <c r="G5996" t="s">
        <v>16173</v>
      </c>
      <c r="H5996" t="s">
        <v>17667</v>
      </c>
      <c r="I5996" t="s">
        <v>16082</v>
      </c>
    </row>
    <row r="5997" spans="1:9">
      <c r="A5997" t="s">
        <v>16075</v>
      </c>
      <c r="B5997" t="s">
        <v>16076</v>
      </c>
      <c r="C5997" t="s">
        <v>17668</v>
      </c>
      <c r="D5997" t="s">
        <v>16078</v>
      </c>
      <c r="E5997" t="s">
        <v>2196</v>
      </c>
      <c r="F5997" t="s">
        <v>17669</v>
      </c>
      <c r="G5997" t="s">
        <v>16091</v>
      </c>
      <c r="H5997" t="s">
        <v>17670</v>
      </c>
      <c r="I5997" t="s">
        <v>16082</v>
      </c>
    </row>
    <row r="5998" spans="1:9">
      <c r="A5998" t="s">
        <v>16075</v>
      </c>
      <c r="B5998" t="s">
        <v>16076</v>
      </c>
      <c r="C5998" t="s">
        <v>17671</v>
      </c>
      <c r="D5998" t="s">
        <v>16078</v>
      </c>
      <c r="E5998" t="s">
        <v>15076</v>
      </c>
      <c r="F5998" t="s">
        <v>17672</v>
      </c>
      <c r="G5998" t="s">
        <v>16194</v>
      </c>
      <c r="H5998" t="s">
        <v>17673</v>
      </c>
      <c r="I5998" t="s">
        <v>16082</v>
      </c>
    </row>
    <row r="5999" spans="1:9">
      <c r="A5999" t="s">
        <v>16075</v>
      </c>
      <c r="B5999" t="s">
        <v>16076</v>
      </c>
      <c r="C5999" t="s">
        <v>17674</v>
      </c>
      <c r="D5999" t="s">
        <v>16078</v>
      </c>
      <c r="E5999" t="s">
        <v>10780</v>
      </c>
      <c r="F5999" t="s">
        <v>17675</v>
      </c>
      <c r="G5999" t="s">
        <v>16438</v>
      </c>
      <c r="H5999" t="s">
        <v>17676</v>
      </c>
      <c r="I5999" t="s">
        <v>16093</v>
      </c>
    </row>
    <row r="6000" spans="1:9">
      <c r="A6000" t="s">
        <v>16075</v>
      </c>
      <c r="B6000" t="s">
        <v>16076</v>
      </c>
      <c r="C6000" t="s">
        <v>17677</v>
      </c>
      <c r="D6000" t="s">
        <v>16078</v>
      </c>
      <c r="E6000" t="s">
        <v>17678</v>
      </c>
      <c r="F6000" t="s">
        <v>17679</v>
      </c>
      <c r="G6000" t="s">
        <v>16091</v>
      </c>
      <c r="H6000" t="s">
        <v>17680</v>
      </c>
      <c r="I6000" t="s">
        <v>16082</v>
      </c>
    </row>
    <row r="6001" spans="1:9">
      <c r="A6001" t="s">
        <v>16075</v>
      </c>
      <c r="B6001" t="s">
        <v>16076</v>
      </c>
      <c r="C6001" t="s">
        <v>17681</v>
      </c>
      <c r="D6001" t="s">
        <v>16078</v>
      </c>
      <c r="E6001" t="s">
        <v>17682</v>
      </c>
      <c r="F6001" t="s">
        <v>17683</v>
      </c>
      <c r="G6001" t="s">
        <v>16194</v>
      </c>
      <c r="H6001" t="s">
        <v>17684</v>
      </c>
      <c r="I6001" t="s">
        <v>16082</v>
      </c>
    </row>
    <row r="6002" spans="1:9">
      <c r="A6002" t="s">
        <v>16075</v>
      </c>
      <c r="B6002" t="s">
        <v>16076</v>
      </c>
      <c r="C6002" t="s">
        <v>17685</v>
      </c>
      <c r="D6002" t="s">
        <v>16078</v>
      </c>
      <c r="E6002" t="s">
        <v>17686</v>
      </c>
      <c r="F6002" t="s">
        <v>17687</v>
      </c>
      <c r="G6002" t="s">
        <v>16091</v>
      </c>
      <c r="H6002" t="s">
        <v>17688</v>
      </c>
      <c r="I6002" t="s">
        <v>16093</v>
      </c>
    </row>
    <row r="6003" spans="1:9">
      <c r="A6003" t="s">
        <v>16075</v>
      </c>
      <c r="B6003" t="s">
        <v>16076</v>
      </c>
      <c r="C6003" t="s">
        <v>17689</v>
      </c>
      <c r="D6003" t="s">
        <v>16078</v>
      </c>
      <c r="E6003" t="s">
        <v>17690</v>
      </c>
      <c r="F6003" t="s">
        <v>17691</v>
      </c>
      <c r="G6003" t="s">
        <v>16451</v>
      </c>
      <c r="H6003" t="s">
        <v>17692</v>
      </c>
      <c r="I6003" t="s">
        <v>16082</v>
      </c>
    </row>
    <row r="6004" spans="1:9">
      <c r="A6004" t="s">
        <v>16075</v>
      </c>
      <c r="B6004" t="s">
        <v>16076</v>
      </c>
      <c r="C6004" t="s">
        <v>17693</v>
      </c>
      <c r="D6004" t="s">
        <v>16078</v>
      </c>
      <c r="E6004" t="s">
        <v>17694</v>
      </c>
      <c r="F6004" t="s">
        <v>17695</v>
      </c>
      <c r="G6004" t="s">
        <v>16131</v>
      </c>
      <c r="H6004" t="s">
        <v>17696</v>
      </c>
      <c r="I6004" t="s">
        <v>16082</v>
      </c>
    </row>
    <row r="6005" spans="1:9">
      <c r="A6005" t="s">
        <v>16075</v>
      </c>
      <c r="B6005" t="s">
        <v>16076</v>
      </c>
      <c r="C6005" t="s">
        <v>17697</v>
      </c>
      <c r="D6005" t="s">
        <v>16078</v>
      </c>
      <c r="E6005" t="s">
        <v>17698</v>
      </c>
      <c r="F6005" t="s">
        <v>17699</v>
      </c>
      <c r="G6005" t="s">
        <v>17700</v>
      </c>
      <c r="H6005" t="s">
        <v>17701</v>
      </c>
    </row>
    <row r="6006" spans="1:9">
      <c r="A6006" t="s">
        <v>16075</v>
      </c>
      <c r="B6006" t="s">
        <v>16076</v>
      </c>
      <c r="C6006" t="s">
        <v>17702</v>
      </c>
      <c r="D6006" t="s">
        <v>16078</v>
      </c>
      <c r="E6006" t="s">
        <v>4079</v>
      </c>
      <c r="F6006" t="s">
        <v>17703</v>
      </c>
      <c r="G6006" t="s">
        <v>16109</v>
      </c>
      <c r="H6006" t="s">
        <v>17704</v>
      </c>
      <c r="I6006" t="s">
        <v>16082</v>
      </c>
    </row>
    <row r="6007" spans="1:9">
      <c r="A6007" t="s">
        <v>16075</v>
      </c>
      <c r="B6007" t="s">
        <v>16076</v>
      </c>
      <c r="C6007" t="s">
        <v>17705</v>
      </c>
      <c r="D6007" t="s">
        <v>16078</v>
      </c>
      <c r="E6007" t="s">
        <v>12671</v>
      </c>
      <c r="F6007" t="s">
        <v>17706</v>
      </c>
      <c r="G6007" t="s">
        <v>16097</v>
      </c>
      <c r="H6007" t="s">
        <v>17707</v>
      </c>
      <c r="I6007" t="s">
        <v>16082</v>
      </c>
    </row>
    <row r="6008" spans="1:9">
      <c r="A6008" t="s">
        <v>16075</v>
      </c>
      <c r="B6008" t="s">
        <v>16076</v>
      </c>
      <c r="C6008" t="s">
        <v>17708</v>
      </c>
      <c r="D6008" t="s">
        <v>16078</v>
      </c>
      <c r="E6008" t="s">
        <v>4088</v>
      </c>
      <c r="F6008" t="s">
        <v>17709</v>
      </c>
      <c r="G6008" t="s">
        <v>16183</v>
      </c>
      <c r="H6008" t="s">
        <v>17710</v>
      </c>
      <c r="I6008" t="s">
        <v>16082</v>
      </c>
    </row>
    <row r="6009" spans="1:9">
      <c r="A6009" t="s">
        <v>16075</v>
      </c>
      <c r="B6009" t="s">
        <v>16076</v>
      </c>
      <c r="C6009" t="s">
        <v>17711</v>
      </c>
      <c r="D6009" t="s">
        <v>16078</v>
      </c>
      <c r="E6009" t="s">
        <v>17712</v>
      </c>
      <c r="F6009" t="s">
        <v>17713</v>
      </c>
      <c r="G6009" t="s">
        <v>16451</v>
      </c>
      <c r="H6009" t="s">
        <v>17714</v>
      </c>
      <c r="I6009" t="s">
        <v>16082</v>
      </c>
    </row>
    <row r="6010" spans="1:9">
      <c r="A6010" t="s">
        <v>16075</v>
      </c>
      <c r="B6010" t="s">
        <v>16076</v>
      </c>
      <c r="C6010" t="s">
        <v>17715</v>
      </c>
      <c r="D6010" t="s">
        <v>16078</v>
      </c>
      <c r="E6010" t="s">
        <v>17716</v>
      </c>
      <c r="F6010" t="s">
        <v>17717</v>
      </c>
      <c r="G6010" t="s">
        <v>16097</v>
      </c>
      <c r="H6010" t="s">
        <v>17718</v>
      </c>
      <c r="I6010" t="s">
        <v>16082</v>
      </c>
    </row>
    <row r="6011" spans="1:9">
      <c r="A6011" t="s">
        <v>16075</v>
      </c>
      <c r="B6011" t="s">
        <v>16076</v>
      </c>
      <c r="C6011" t="s">
        <v>17719</v>
      </c>
      <c r="D6011" t="s">
        <v>16078</v>
      </c>
      <c r="E6011" t="s">
        <v>17720</v>
      </c>
      <c r="F6011" t="s">
        <v>17721</v>
      </c>
      <c r="G6011" t="s">
        <v>16097</v>
      </c>
      <c r="H6011" t="s">
        <v>17722</v>
      </c>
      <c r="I6011" t="s">
        <v>16082</v>
      </c>
    </row>
    <row r="6012" spans="1:9">
      <c r="A6012" t="s">
        <v>16075</v>
      </c>
      <c r="B6012" t="s">
        <v>16076</v>
      </c>
      <c r="C6012" t="s">
        <v>17723</v>
      </c>
      <c r="D6012" t="s">
        <v>16078</v>
      </c>
      <c r="E6012" t="s">
        <v>17724</v>
      </c>
      <c r="F6012" t="s">
        <v>17725</v>
      </c>
      <c r="G6012" t="s">
        <v>16086</v>
      </c>
      <c r="H6012" t="s">
        <v>17726</v>
      </c>
      <c r="I6012" t="s">
        <v>16082</v>
      </c>
    </row>
    <row r="6013" spans="1:9">
      <c r="A6013" t="s">
        <v>16075</v>
      </c>
      <c r="B6013" t="s">
        <v>16076</v>
      </c>
      <c r="C6013" t="s">
        <v>17727</v>
      </c>
      <c r="D6013" t="s">
        <v>16078</v>
      </c>
      <c r="E6013" t="s">
        <v>17728</v>
      </c>
      <c r="F6013" t="s">
        <v>17729</v>
      </c>
      <c r="G6013" t="s">
        <v>16209</v>
      </c>
      <c r="H6013" t="s">
        <v>17730</v>
      </c>
      <c r="I6013" t="s">
        <v>16082</v>
      </c>
    </row>
    <row r="6014" spans="1:9">
      <c r="A6014" t="s">
        <v>16075</v>
      </c>
      <c r="B6014" t="s">
        <v>16076</v>
      </c>
      <c r="C6014" t="s">
        <v>17731</v>
      </c>
      <c r="D6014" t="s">
        <v>16078</v>
      </c>
      <c r="E6014" t="s">
        <v>17732</v>
      </c>
      <c r="F6014" t="s">
        <v>17733</v>
      </c>
      <c r="G6014" t="s">
        <v>16209</v>
      </c>
      <c r="H6014" t="s">
        <v>17734</v>
      </c>
      <c r="I6014" t="s">
        <v>16082</v>
      </c>
    </row>
    <row r="6015" spans="1:9">
      <c r="A6015" t="s">
        <v>16075</v>
      </c>
      <c r="B6015" t="s">
        <v>16076</v>
      </c>
      <c r="C6015" t="s">
        <v>17735</v>
      </c>
      <c r="D6015" t="s">
        <v>16078</v>
      </c>
      <c r="E6015" t="s">
        <v>17736</v>
      </c>
      <c r="F6015" t="s">
        <v>17737</v>
      </c>
      <c r="G6015" t="s">
        <v>16209</v>
      </c>
      <c r="H6015" t="s">
        <v>17738</v>
      </c>
      <c r="I6015" t="s">
        <v>16082</v>
      </c>
    </row>
    <row r="6016" spans="1:9">
      <c r="A6016" t="s">
        <v>16075</v>
      </c>
      <c r="B6016" t="s">
        <v>16076</v>
      </c>
      <c r="C6016" t="s">
        <v>17739</v>
      </c>
      <c r="D6016" t="s">
        <v>16078</v>
      </c>
      <c r="E6016" t="s">
        <v>17740</v>
      </c>
      <c r="F6016" t="s">
        <v>17741</v>
      </c>
      <c r="G6016" t="s">
        <v>16139</v>
      </c>
      <c r="H6016" t="s">
        <v>17742</v>
      </c>
      <c r="I6016" t="s">
        <v>16082</v>
      </c>
    </row>
    <row r="6017" spans="1:9">
      <c r="A6017" t="s">
        <v>16075</v>
      </c>
      <c r="B6017" t="s">
        <v>16076</v>
      </c>
      <c r="C6017" t="s">
        <v>17743</v>
      </c>
      <c r="D6017" t="s">
        <v>16078</v>
      </c>
      <c r="E6017" t="s">
        <v>17744</v>
      </c>
      <c r="F6017" t="s">
        <v>17745</v>
      </c>
      <c r="G6017" t="s">
        <v>16593</v>
      </c>
      <c r="H6017" t="s">
        <v>17746</v>
      </c>
      <c r="I6017" t="s">
        <v>16082</v>
      </c>
    </row>
    <row r="6018" spans="1:9">
      <c r="A6018" t="s">
        <v>16075</v>
      </c>
      <c r="B6018" t="s">
        <v>16076</v>
      </c>
      <c r="C6018" t="s">
        <v>17747</v>
      </c>
      <c r="D6018" t="s">
        <v>16078</v>
      </c>
      <c r="E6018" t="s">
        <v>17748</v>
      </c>
      <c r="F6018" t="s">
        <v>17749</v>
      </c>
      <c r="G6018" t="s">
        <v>16105</v>
      </c>
      <c r="H6018" t="s">
        <v>17750</v>
      </c>
      <c r="I6018" t="s">
        <v>16093</v>
      </c>
    </row>
    <row r="6019" spans="1:9">
      <c r="A6019" t="s">
        <v>16075</v>
      </c>
      <c r="B6019" t="s">
        <v>16076</v>
      </c>
      <c r="C6019" t="s">
        <v>17751</v>
      </c>
      <c r="D6019" t="s">
        <v>16078</v>
      </c>
      <c r="E6019" t="s">
        <v>17752</v>
      </c>
      <c r="F6019" t="s">
        <v>17753</v>
      </c>
      <c r="G6019" t="s">
        <v>16091</v>
      </c>
      <c r="H6019" t="s">
        <v>17754</v>
      </c>
      <c r="I6019" t="s">
        <v>16082</v>
      </c>
    </row>
    <row r="6020" spans="1:9">
      <c r="A6020" t="s">
        <v>16075</v>
      </c>
      <c r="B6020" t="s">
        <v>16076</v>
      </c>
      <c r="C6020" t="s">
        <v>17755</v>
      </c>
      <c r="D6020" t="s">
        <v>16078</v>
      </c>
      <c r="E6020" t="s">
        <v>17756</v>
      </c>
      <c r="F6020" t="s">
        <v>17757</v>
      </c>
      <c r="G6020" t="s">
        <v>16320</v>
      </c>
      <c r="H6020" t="s">
        <v>17642</v>
      </c>
      <c r="I6020" t="s">
        <v>16082</v>
      </c>
    </row>
    <row r="6021" spans="1:9">
      <c r="A6021" t="s">
        <v>16075</v>
      </c>
      <c r="B6021" t="s">
        <v>16076</v>
      </c>
      <c r="C6021" t="s">
        <v>17758</v>
      </c>
      <c r="D6021" t="s">
        <v>16078</v>
      </c>
      <c r="E6021" t="s">
        <v>17759</v>
      </c>
      <c r="F6021" t="s">
        <v>17760</v>
      </c>
      <c r="G6021" t="s">
        <v>16131</v>
      </c>
      <c r="H6021" t="s">
        <v>17761</v>
      </c>
      <c r="I6021" t="s">
        <v>16082</v>
      </c>
    </row>
    <row r="6022" spans="1:9">
      <c r="A6022" t="s">
        <v>16075</v>
      </c>
      <c r="B6022" t="s">
        <v>16076</v>
      </c>
      <c r="C6022" t="s">
        <v>17762</v>
      </c>
      <c r="D6022" t="s">
        <v>16078</v>
      </c>
      <c r="E6022" t="s">
        <v>17763</v>
      </c>
      <c r="F6022" t="s">
        <v>17764</v>
      </c>
      <c r="G6022" t="s">
        <v>16109</v>
      </c>
      <c r="H6022" t="s">
        <v>17765</v>
      </c>
      <c r="I6022" t="s">
        <v>16082</v>
      </c>
    </row>
    <row r="6023" spans="1:9">
      <c r="A6023" t="s">
        <v>16075</v>
      </c>
      <c r="B6023" t="s">
        <v>16076</v>
      </c>
      <c r="C6023" t="s">
        <v>17766</v>
      </c>
      <c r="D6023" t="s">
        <v>16078</v>
      </c>
      <c r="E6023" t="s">
        <v>17767</v>
      </c>
      <c r="F6023" t="s">
        <v>17767</v>
      </c>
      <c r="G6023" t="s">
        <v>16086</v>
      </c>
      <c r="H6023" t="s">
        <v>17768</v>
      </c>
      <c r="I6023" t="s">
        <v>16082</v>
      </c>
    </row>
    <row r="6024" spans="1:9">
      <c r="A6024" t="s">
        <v>16075</v>
      </c>
      <c r="B6024" t="s">
        <v>16076</v>
      </c>
      <c r="C6024" t="s">
        <v>17769</v>
      </c>
      <c r="D6024" t="s">
        <v>16078</v>
      </c>
      <c r="E6024" t="s">
        <v>17770</v>
      </c>
      <c r="F6024" t="s">
        <v>17771</v>
      </c>
      <c r="G6024" t="s">
        <v>16209</v>
      </c>
      <c r="H6024" t="s">
        <v>17772</v>
      </c>
      <c r="I6024" t="s">
        <v>16082</v>
      </c>
    </row>
    <row r="6025" spans="1:9">
      <c r="A6025" t="s">
        <v>16075</v>
      </c>
      <c r="B6025" t="s">
        <v>16076</v>
      </c>
      <c r="C6025" t="s">
        <v>17773</v>
      </c>
      <c r="D6025" t="s">
        <v>16078</v>
      </c>
      <c r="E6025" t="s">
        <v>17774</v>
      </c>
      <c r="F6025" t="s">
        <v>17774</v>
      </c>
      <c r="G6025" t="s">
        <v>16209</v>
      </c>
      <c r="H6025" t="s">
        <v>17775</v>
      </c>
      <c r="I6025" t="s">
        <v>16082</v>
      </c>
    </row>
    <row r="6026" spans="1:9">
      <c r="A6026" t="s">
        <v>16075</v>
      </c>
      <c r="B6026" t="s">
        <v>16076</v>
      </c>
      <c r="C6026" t="s">
        <v>17776</v>
      </c>
      <c r="D6026" t="s">
        <v>16078</v>
      </c>
      <c r="E6026" t="s">
        <v>17777</v>
      </c>
      <c r="F6026" t="s">
        <v>17778</v>
      </c>
      <c r="G6026" t="s">
        <v>16131</v>
      </c>
      <c r="H6026" t="s">
        <v>17779</v>
      </c>
      <c r="I6026" t="s">
        <v>16093</v>
      </c>
    </row>
    <row r="6027" spans="1:9">
      <c r="A6027" t="s">
        <v>16075</v>
      </c>
      <c r="B6027" t="s">
        <v>16076</v>
      </c>
      <c r="C6027" t="s">
        <v>17780</v>
      </c>
      <c r="D6027" t="s">
        <v>16078</v>
      </c>
      <c r="E6027" t="s">
        <v>17781</v>
      </c>
      <c r="F6027" t="s">
        <v>17782</v>
      </c>
      <c r="G6027" t="s">
        <v>16131</v>
      </c>
      <c r="H6027" t="s">
        <v>17783</v>
      </c>
      <c r="I6027" t="s">
        <v>16082</v>
      </c>
    </row>
    <row r="6028" spans="1:9">
      <c r="A6028" t="s">
        <v>16075</v>
      </c>
      <c r="B6028" t="s">
        <v>16076</v>
      </c>
      <c r="C6028" t="s">
        <v>17784</v>
      </c>
      <c r="D6028" t="s">
        <v>16078</v>
      </c>
      <c r="E6028" t="s">
        <v>17785</v>
      </c>
      <c r="F6028" t="s">
        <v>17786</v>
      </c>
      <c r="G6028" t="s">
        <v>16178</v>
      </c>
      <c r="H6028" t="s">
        <v>17783</v>
      </c>
      <c r="I6028" t="s">
        <v>16082</v>
      </c>
    </row>
    <row r="6029" spans="1:9">
      <c r="A6029" t="s">
        <v>16075</v>
      </c>
      <c r="B6029" t="s">
        <v>16076</v>
      </c>
      <c r="C6029" t="s">
        <v>17787</v>
      </c>
      <c r="D6029" t="s">
        <v>16078</v>
      </c>
      <c r="E6029" t="s">
        <v>17788</v>
      </c>
      <c r="F6029" t="s">
        <v>17789</v>
      </c>
      <c r="G6029" t="s">
        <v>16086</v>
      </c>
      <c r="H6029" t="s">
        <v>17790</v>
      </c>
      <c r="I6029" t="s">
        <v>16082</v>
      </c>
    </row>
    <row r="6030" spans="1:9">
      <c r="A6030" t="s">
        <v>16075</v>
      </c>
      <c r="B6030" t="s">
        <v>16076</v>
      </c>
      <c r="C6030" t="s">
        <v>17791</v>
      </c>
      <c r="D6030" t="s">
        <v>16078</v>
      </c>
      <c r="E6030" t="s">
        <v>17792</v>
      </c>
      <c r="F6030" t="s">
        <v>17793</v>
      </c>
      <c r="G6030" t="s">
        <v>16828</v>
      </c>
      <c r="H6030" t="s">
        <v>17794</v>
      </c>
    </row>
    <row r="6031" spans="1:9">
      <c r="A6031" t="s">
        <v>16075</v>
      </c>
      <c r="B6031" t="s">
        <v>16076</v>
      </c>
      <c r="C6031" t="s">
        <v>17795</v>
      </c>
      <c r="D6031" t="s">
        <v>16078</v>
      </c>
      <c r="E6031" t="s">
        <v>17796</v>
      </c>
      <c r="F6031" t="s">
        <v>17797</v>
      </c>
      <c r="G6031" t="s">
        <v>16080</v>
      </c>
      <c r="H6031" t="s">
        <v>17798</v>
      </c>
      <c r="I6031" t="s">
        <v>16082</v>
      </c>
    </row>
    <row r="6032" spans="1:9">
      <c r="A6032" t="s">
        <v>16075</v>
      </c>
      <c r="B6032" t="s">
        <v>16076</v>
      </c>
      <c r="C6032" t="s">
        <v>17799</v>
      </c>
      <c r="D6032" t="s">
        <v>16078</v>
      </c>
      <c r="E6032" t="s">
        <v>17800</v>
      </c>
      <c r="F6032" t="s">
        <v>17801</v>
      </c>
      <c r="G6032" t="s">
        <v>16178</v>
      </c>
      <c r="H6032" t="s">
        <v>17802</v>
      </c>
      <c r="I6032" t="s">
        <v>16082</v>
      </c>
    </row>
    <row r="6033" spans="1:9">
      <c r="A6033" t="s">
        <v>16075</v>
      </c>
      <c r="B6033" t="s">
        <v>16076</v>
      </c>
      <c r="C6033" t="s">
        <v>17803</v>
      </c>
      <c r="D6033" t="s">
        <v>16078</v>
      </c>
      <c r="E6033" t="s">
        <v>14295</v>
      </c>
      <c r="F6033" t="s">
        <v>17804</v>
      </c>
      <c r="G6033" t="s">
        <v>16173</v>
      </c>
      <c r="H6033" t="s">
        <v>17805</v>
      </c>
      <c r="I6033" t="s">
        <v>16082</v>
      </c>
    </row>
    <row r="6034" spans="1:9">
      <c r="A6034" t="s">
        <v>16075</v>
      </c>
      <c r="B6034" t="s">
        <v>16076</v>
      </c>
      <c r="C6034" t="s">
        <v>17806</v>
      </c>
      <c r="D6034" t="s">
        <v>16078</v>
      </c>
      <c r="E6034" t="s">
        <v>17807</v>
      </c>
      <c r="F6034" t="s">
        <v>17808</v>
      </c>
      <c r="G6034" t="s">
        <v>16194</v>
      </c>
      <c r="H6034" t="s">
        <v>17809</v>
      </c>
      <c r="I6034" t="s">
        <v>16082</v>
      </c>
    </row>
    <row r="6035" spans="1:9">
      <c r="A6035" t="s">
        <v>16075</v>
      </c>
      <c r="B6035" t="s">
        <v>16076</v>
      </c>
      <c r="C6035" t="s">
        <v>17810</v>
      </c>
      <c r="D6035" t="s">
        <v>16078</v>
      </c>
      <c r="E6035" t="s">
        <v>17811</v>
      </c>
      <c r="F6035" t="s">
        <v>17812</v>
      </c>
      <c r="G6035" t="s">
        <v>16131</v>
      </c>
      <c r="H6035" t="s">
        <v>17813</v>
      </c>
      <c r="I6035" t="s">
        <v>16082</v>
      </c>
    </row>
    <row r="6036" spans="1:9">
      <c r="A6036" t="s">
        <v>16075</v>
      </c>
      <c r="B6036" t="s">
        <v>16076</v>
      </c>
      <c r="C6036" t="s">
        <v>17814</v>
      </c>
      <c r="D6036" t="s">
        <v>16078</v>
      </c>
      <c r="E6036" t="s">
        <v>17815</v>
      </c>
      <c r="F6036" t="s">
        <v>17816</v>
      </c>
      <c r="G6036" t="s">
        <v>16139</v>
      </c>
      <c r="H6036" t="s">
        <v>17817</v>
      </c>
      <c r="I6036" t="s">
        <v>16082</v>
      </c>
    </row>
    <row r="6037" spans="1:9">
      <c r="A6037" t="s">
        <v>16075</v>
      </c>
      <c r="B6037" t="s">
        <v>16076</v>
      </c>
      <c r="C6037" t="s">
        <v>17818</v>
      </c>
      <c r="D6037" t="s">
        <v>16078</v>
      </c>
      <c r="E6037" t="s">
        <v>17819</v>
      </c>
      <c r="F6037" t="s">
        <v>17820</v>
      </c>
      <c r="G6037" t="s">
        <v>16846</v>
      </c>
      <c r="H6037" t="s">
        <v>17821</v>
      </c>
    </row>
    <row r="6038" spans="1:9">
      <c r="A6038" t="s">
        <v>16075</v>
      </c>
      <c r="B6038" t="s">
        <v>16076</v>
      </c>
      <c r="C6038" t="s">
        <v>17822</v>
      </c>
      <c r="D6038" t="s">
        <v>16078</v>
      </c>
      <c r="E6038" t="s">
        <v>13492</v>
      </c>
      <c r="F6038" t="s">
        <v>17823</v>
      </c>
      <c r="G6038" t="s">
        <v>16159</v>
      </c>
      <c r="H6038" t="s">
        <v>17824</v>
      </c>
      <c r="I6038" t="s">
        <v>16082</v>
      </c>
    </row>
    <row r="6039" spans="1:9">
      <c r="A6039" t="s">
        <v>16075</v>
      </c>
      <c r="B6039" t="s">
        <v>16076</v>
      </c>
      <c r="C6039" t="s">
        <v>17825</v>
      </c>
      <c r="D6039" t="s">
        <v>16078</v>
      </c>
      <c r="E6039" t="s">
        <v>17826</v>
      </c>
      <c r="F6039" t="s">
        <v>17827</v>
      </c>
      <c r="G6039" t="s">
        <v>16086</v>
      </c>
      <c r="H6039" t="s">
        <v>17828</v>
      </c>
      <c r="I6039" t="s">
        <v>16082</v>
      </c>
    </row>
    <row r="6040" spans="1:9">
      <c r="A6040" t="s">
        <v>16075</v>
      </c>
      <c r="B6040" t="s">
        <v>16076</v>
      </c>
      <c r="C6040" t="s">
        <v>17829</v>
      </c>
      <c r="D6040" t="s">
        <v>16078</v>
      </c>
      <c r="E6040" t="s">
        <v>17830</v>
      </c>
      <c r="F6040" t="s">
        <v>17831</v>
      </c>
      <c r="G6040" t="s">
        <v>16097</v>
      </c>
      <c r="H6040" t="s">
        <v>17832</v>
      </c>
      <c r="I6040" t="s">
        <v>16082</v>
      </c>
    </row>
    <row r="6041" spans="1:9">
      <c r="A6041" t="s">
        <v>16075</v>
      </c>
      <c r="B6041" t="s">
        <v>16076</v>
      </c>
      <c r="C6041" t="s">
        <v>17833</v>
      </c>
      <c r="D6041" t="s">
        <v>16078</v>
      </c>
      <c r="E6041" t="s">
        <v>9252</v>
      </c>
      <c r="F6041" t="s">
        <v>17834</v>
      </c>
      <c r="G6041" t="s">
        <v>16131</v>
      </c>
      <c r="H6041" t="s">
        <v>17835</v>
      </c>
      <c r="I6041" t="s">
        <v>16082</v>
      </c>
    </row>
    <row r="6042" spans="1:9">
      <c r="A6042" t="s">
        <v>16075</v>
      </c>
      <c r="B6042" t="s">
        <v>16076</v>
      </c>
      <c r="C6042" t="s">
        <v>17836</v>
      </c>
      <c r="D6042" t="s">
        <v>16078</v>
      </c>
      <c r="E6042" t="s">
        <v>17837</v>
      </c>
      <c r="F6042" t="s">
        <v>17838</v>
      </c>
      <c r="G6042" t="s">
        <v>16397</v>
      </c>
      <c r="H6042" t="s">
        <v>17839</v>
      </c>
      <c r="I6042" t="s">
        <v>16082</v>
      </c>
    </row>
    <row r="6043" spans="1:9">
      <c r="A6043" t="s">
        <v>16075</v>
      </c>
      <c r="B6043" t="s">
        <v>16076</v>
      </c>
      <c r="C6043" t="s">
        <v>17840</v>
      </c>
      <c r="D6043" t="s">
        <v>16078</v>
      </c>
      <c r="E6043" t="s">
        <v>17841</v>
      </c>
      <c r="F6043" t="s">
        <v>17842</v>
      </c>
      <c r="G6043" t="s">
        <v>16451</v>
      </c>
      <c r="H6043" t="s">
        <v>17843</v>
      </c>
      <c r="I6043" t="s">
        <v>16082</v>
      </c>
    </row>
    <row r="6044" spans="1:9">
      <c r="A6044" t="s">
        <v>16075</v>
      </c>
      <c r="B6044" t="s">
        <v>16076</v>
      </c>
      <c r="C6044" t="s">
        <v>17844</v>
      </c>
      <c r="D6044" t="s">
        <v>16078</v>
      </c>
      <c r="E6044" t="s">
        <v>2220</v>
      </c>
      <c r="F6044" t="s">
        <v>17845</v>
      </c>
      <c r="G6044" t="s">
        <v>16159</v>
      </c>
      <c r="H6044" t="s">
        <v>17846</v>
      </c>
      <c r="I6044" t="s">
        <v>16082</v>
      </c>
    </row>
    <row r="6045" spans="1:9">
      <c r="A6045" t="s">
        <v>16075</v>
      </c>
      <c r="B6045" t="s">
        <v>16076</v>
      </c>
      <c r="C6045" t="s">
        <v>17847</v>
      </c>
      <c r="D6045" t="s">
        <v>16078</v>
      </c>
      <c r="E6045" t="s">
        <v>9255</v>
      </c>
      <c r="F6045" t="s">
        <v>17848</v>
      </c>
      <c r="G6045" t="s">
        <v>16846</v>
      </c>
      <c r="H6045" t="s">
        <v>17849</v>
      </c>
    </row>
    <row r="6046" spans="1:9">
      <c r="A6046" t="s">
        <v>16075</v>
      </c>
      <c r="B6046" t="s">
        <v>16076</v>
      </c>
      <c r="C6046" t="s">
        <v>17850</v>
      </c>
      <c r="D6046" t="s">
        <v>16078</v>
      </c>
      <c r="E6046" t="s">
        <v>11298</v>
      </c>
      <c r="F6046" t="s">
        <v>17851</v>
      </c>
      <c r="G6046" t="s">
        <v>16086</v>
      </c>
      <c r="H6046" t="s">
        <v>17852</v>
      </c>
      <c r="I6046" t="s">
        <v>16082</v>
      </c>
    </row>
    <row r="6047" spans="1:9">
      <c r="A6047" t="s">
        <v>16075</v>
      </c>
      <c r="B6047" t="s">
        <v>16076</v>
      </c>
      <c r="C6047" t="s">
        <v>17853</v>
      </c>
      <c r="D6047" t="s">
        <v>16078</v>
      </c>
      <c r="E6047" t="s">
        <v>15161</v>
      </c>
      <c r="F6047" t="s">
        <v>17854</v>
      </c>
      <c r="G6047" t="s">
        <v>16665</v>
      </c>
      <c r="H6047" t="s">
        <v>17855</v>
      </c>
    </row>
    <row r="6048" spans="1:9">
      <c r="A6048" t="s">
        <v>16075</v>
      </c>
      <c r="B6048" t="s">
        <v>16076</v>
      </c>
      <c r="C6048" t="s">
        <v>17856</v>
      </c>
      <c r="D6048" t="s">
        <v>16078</v>
      </c>
      <c r="E6048" t="s">
        <v>17857</v>
      </c>
      <c r="F6048" t="s">
        <v>17858</v>
      </c>
      <c r="G6048" t="s">
        <v>16194</v>
      </c>
      <c r="H6048" t="s">
        <v>17859</v>
      </c>
      <c r="I6048" t="s">
        <v>16082</v>
      </c>
    </row>
    <row r="6049" spans="1:9">
      <c r="A6049" t="s">
        <v>16075</v>
      </c>
      <c r="B6049" t="s">
        <v>16076</v>
      </c>
      <c r="C6049" t="s">
        <v>17860</v>
      </c>
      <c r="D6049" t="s">
        <v>16078</v>
      </c>
      <c r="E6049" t="s">
        <v>3483</v>
      </c>
      <c r="F6049" t="s">
        <v>17861</v>
      </c>
      <c r="G6049" t="s">
        <v>16451</v>
      </c>
      <c r="H6049" t="s">
        <v>17862</v>
      </c>
      <c r="I6049" t="s">
        <v>16082</v>
      </c>
    </row>
    <row r="6050" spans="1:9">
      <c r="A6050" t="s">
        <v>16075</v>
      </c>
      <c r="B6050" t="s">
        <v>16076</v>
      </c>
      <c r="C6050" t="s">
        <v>17863</v>
      </c>
      <c r="D6050" t="s">
        <v>16078</v>
      </c>
      <c r="E6050" t="s">
        <v>11303</v>
      </c>
      <c r="F6050" t="s">
        <v>17864</v>
      </c>
      <c r="G6050" t="s">
        <v>16173</v>
      </c>
      <c r="H6050" t="s">
        <v>17865</v>
      </c>
      <c r="I6050" t="s">
        <v>16082</v>
      </c>
    </row>
    <row r="6051" spans="1:9">
      <c r="A6051" t="s">
        <v>16075</v>
      </c>
      <c r="B6051" t="s">
        <v>16076</v>
      </c>
      <c r="C6051" t="s">
        <v>17866</v>
      </c>
      <c r="D6051" t="s">
        <v>16078</v>
      </c>
      <c r="E6051" t="s">
        <v>3486</v>
      </c>
      <c r="F6051" t="s">
        <v>17867</v>
      </c>
      <c r="G6051" t="s">
        <v>17282</v>
      </c>
      <c r="H6051" t="s">
        <v>17868</v>
      </c>
      <c r="I6051" t="s">
        <v>16093</v>
      </c>
    </row>
    <row r="6052" spans="1:9">
      <c r="A6052" t="s">
        <v>16075</v>
      </c>
      <c r="B6052" t="s">
        <v>16076</v>
      </c>
      <c r="C6052" t="s">
        <v>17869</v>
      </c>
      <c r="D6052" t="s">
        <v>16078</v>
      </c>
      <c r="E6052" t="s">
        <v>13497</v>
      </c>
      <c r="F6052" t="s">
        <v>17870</v>
      </c>
      <c r="G6052" t="s">
        <v>16846</v>
      </c>
      <c r="H6052" t="s">
        <v>17871</v>
      </c>
      <c r="I6052" t="s">
        <v>16082</v>
      </c>
    </row>
    <row r="6053" spans="1:9">
      <c r="A6053" t="s">
        <v>16075</v>
      </c>
      <c r="B6053" t="s">
        <v>16076</v>
      </c>
      <c r="C6053" t="s">
        <v>17872</v>
      </c>
      <c r="D6053" t="s">
        <v>16078</v>
      </c>
      <c r="E6053" t="s">
        <v>9269</v>
      </c>
      <c r="F6053" t="s">
        <v>17873</v>
      </c>
      <c r="G6053" t="s">
        <v>16451</v>
      </c>
      <c r="H6053" t="s">
        <v>17874</v>
      </c>
      <c r="I6053" t="s">
        <v>16082</v>
      </c>
    </row>
    <row r="6054" spans="1:9">
      <c r="A6054" t="s">
        <v>16075</v>
      </c>
      <c r="B6054" t="s">
        <v>16076</v>
      </c>
      <c r="C6054" t="s">
        <v>17875</v>
      </c>
      <c r="D6054" t="s">
        <v>16078</v>
      </c>
      <c r="E6054" t="s">
        <v>17876</v>
      </c>
      <c r="F6054" t="s">
        <v>17877</v>
      </c>
      <c r="G6054" t="s">
        <v>16168</v>
      </c>
      <c r="H6054" t="s">
        <v>17878</v>
      </c>
      <c r="I6054" t="s">
        <v>16082</v>
      </c>
    </row>
    <row r="6055" spans="1:9">
      <c r="A6055" t="s">
        <v>16075</v>
      </c>
      <c r="B6055" t="s">
        <v>16076</v>
      </c>
      <c r="C6055" t="s">
        <v>17879</v>
      </c>
      <c r="D6055" t="s">
        <v>16078</v>
      </c>
      <c r="E6055" t="s">
        <v>2223</v>
      </c>
      <c r="F6055" t="s">
        <v>17880</v>
      </c>
      <c r="G6055" t="s">
        <v>16109</v>
      </c>
      <c r="H6055" t="s">
        <v>17881</v>
      </c>
      <c r="I6055" t="s">
        <v>16082</v>
      </c>
    </row>
    <row r="6056" spans="1:9">
      <c r="A6056" t="s">
        <v>16075</v>
      </c>
      <c r="B6056" t="s">
        <v>16076</v>
      </c>
      <c r="C6056" t="s">
        <v>17882</v>
      </c>
      <c r="D6056" t="s">
        <v>16078</v>
      </c>
      <c r="E6056" t="s">
        <v>14736</v>
      </c>
      <c r="F6056" t="s">
        <v>17883</v>
      </c>
      <c r="G6056" t="s">
        <v>16086</v>
      </c>
      <c r="H6056" t="s">
        <v>17884</v>
      </c>
      <c r="I6056" t="s">
        <v>16082</v>
      </c>
    </row>
    <row r="6057" spans="1:9">
      <c r="A6057" t="s">
        <v>16075</v>
      </c>
      <c r="B6057" t="s">
        <v>16076</v>
      </c>
      <c r="C6057" t="s">
        <v>17885</v>
      </c>
      <c r="D6057" t="s">
        <v>16078</v>
      </c>
      <c r="E6057" t="s">
        <v>17886</v>
      </c>
      <c r="F6057" t="s">
        <v>17887</v>
      </c>
      <c r="G6057" t="s">
        <v>16194</v>
      </c>
      <c r="H6057" t="s">
        <v>17888</v>
      </c>
      <c r="I6057" t="s">
        <v>16082</v>
      </c>
    </row>
    <row r="6058" spans="1:9">
      <c r="A6058" t="s">
        <v>16075</v>
      </c>
      <c r="B6058" t="s">
        <v>16076</v>
      </c>
      <c r="C6058" t="s">
        <v>17889</v>
      </c>
      <c r="D6058" t="s">
        <v>16078</v>
      </c>
      <c r="E6058" t="s">
        <v>7090</v>
      </c>
      <c r="F6058" t="s">
        <v>17890</v>
      </c>
      <c r="G6058" t="s">
        <v>16091</v>
      </c>
      <c r="H6058" t="s">
        <v>17891</v>
      </c>
      <c r="I6058" t="s">
        <v>16082</v>
      </c>
    </row>
    <row r="6059" spans="1:9">
      <c r="A6059" t="s">
        <v>16075</v>
      </c>
      <c r="B6059" t="s">
        <v>16076</v>
      </c>
      <c r="C6059" t="s">
        <v>17892</v>
      </c>
      <c r="D6059" t="s">
        <v>16078</v>
      </c>
      <c r="E6059" t="s">
        <v>17893</v>
      </c>
      <c r="F6059" t="s">
        <v>17894</v>
      </c>
      <c r="G6059" t="s">
        <v>16091</v>
      </c>
      <c r="H6059" t="s">
        <v>17895</v>
      </c>
      <c r="I6059" t="s">
        <v>16082</v>
      </c>
    </row>
    <row r="6060" spans="1:9">
      <c r="A6060" t="s">
        <v>16075</v>
      </c>
      <c r="B6060" t="s">
        <v>16076</v>
      </c>
      <c r="C6060" t="s">
        <v>17896</v>
      </c>
      <c r="D6060" t="s">
        <v>16078</v>
      </c>
      <c r="E6060" t="s">
        <v>17897</v>
      </c>
      <c r="F6060" t="s">
        <v>17898</v>
      </c>
      <c r="G6060" t="s">
        <v>16131</v>
      </c>
      <c r="H6060" t="s">
        <v>17899</v>
      </c>
      <c r="I6060" t="s">
        <v>16082</v>
      </c>
    </row>
    <row r="6061" spans="1:9">
      <c r="A6061" t="s">
        <v>16075</v>
      </c>
      <c r="B6061" t="s">
        <v>16076</v>
      </c>
      <c r="C6061" t="s">
        <v>17900</v>
      </c>
      <c r="D6061" t="s">
        <v>16078</v>
      </c>
      <c r="E6061" t="s">
        <v>17901</v>
      </c>
      <c r="F6061" t="s">
        <v>17902</v>
      </c>
      <c r="G6061" t="s">
        <v>16116</v>
      </c>
      <c r="H6061" t="s">
        <v>17903</v>
      </c>
      <c r="I6061" t="s">
        <v>16082</v>
      </c>
    </row>
    <row r="6062" spans="1:9">
      <c r="A6062" t="s">
        <v>16075</v>
      </c>
      <c r="B6062" t="s">
        <v>16076</v>
      </c>
      <c r="C6062" t="s">
        <v>17904</v>
      </c>
      <c r="D6062" t="s">
        <v>16078</v>
      </c>
      <c r="E6062" t="s">
        <v>14828</v>
      </c>
      <c r="F6062" t="s">
        <v>17905</v>
      </c>
      <c r="G6062" t="s">
        <v>16173</v>
      </c>
      <c r="H6062" t="s">
        <v>17906</v>
      </c>
      <c r="I6062" t="s">
        <v>16082</v>
      </c>
    </row>
    <row r="6063" spans="1:9">
      <c r="A6063" t="s">
        <v>16075</v>
      </c>
      <c r="B6063" t="s">
        <v>16076</v>
      </c>
      <c r="C6063" t="s">
        <v>17907</v>
      </c>
      <c r="D6063" t="s">
        <v>16078</v>
      </c>
      <c r="E6063" t="s">
        <v>15166</v>
      </c>
      <c r="F6063" t="s">
        <v>17908</v>
      </c>
      <c r="G6063" t="s">
        <v>16131</v>
      </c>
      <c r="H6063" t="s">
        <v>17909</v>
      </c>
      <c r="I6063" t="s">
        <v>16082</v>
      </c>
    </row>
    <row r="6064" spans="1:9">
      <c r="A6064" t="s">
        <v>16075</v>
      </c>
      <c r="B6064" t="s">
        <v>16076</v>
      </c>
      <c r="C6064" t="s">
        <v>17910</v>
      </c>
      <c r="D6064" t="s">
        <v>16078</v>
      </c>
      <c r="E6064" t="s">
        <v>14303</v>
      </c>
      <c r="F6064" t="s">
        <v>17911</v>
      </c>
      <c r="G6064" t="s">
        <v>16131</v>
      </c>
      <c r="H6064" t="s">
        <v>17912</v>
      </c>
      <c r="I6064" t="s">
        <v>16082</v>
      </c>
    </row>
    <row r="6065" spans="1:9">
      <c r="A6065" t="s">
        <v>16075</v>
      </c>
      <c r="B6065" t="s">
        <v>16076</v>
      </c>
      <c r="C6065" t="s">
        <v>17913</v>
      </c>
      <c r="D6065" t="s">
        <v>16078</v>
      </c>
      <c r="E6065" t="s">
        <v>17914</v>
      </c>
      <c r="F6065" t="s">
        <v>17915</v>
      </c>
      <c r="G6065" t="s">
        <v>16194</v>
      </c>
      <c r="H6065" t="s">
        <v>17916</v>
      </c>
      <c r="I6065" t="s">
        <v>16082</v>
      </c>
    </row>
    <row r="6066" spans="1:9">
      <c r="A6066" t="s">
        <v>16075</v>
      </c>
      <c r="B6066" t="s">
        <v>16076</v>
      </c>
      <c r="C6066" t="s">
        <v>17917</v>
      </c>
      <c r="D6066" t="s">
        <v>16078</v>
      </c>
      <c r="E6066" t="s">
        <v>17918</v>
      </c>
      <c r="F6066" t="s">
        <v>17919</v>
      </c>
      <c r="G6066" t="s">
        <v>16159</v>
      </c>
      <c r="H6066" t="s">
        <v>17920</v>
      </c>
      <c r="I6066" t="s">
        <v>16082</v>
      </c>
    </row>
    <row r="6067" spans="1:9">
      <c r="A6067" t="s">
        <v>16075</v>
      </c>
      <c r="B6067" t="s">
        <v>16076</v>
      </c>
      <c r="C6067" t="s">
        <v>17921</v>
      </c>
      <c r="D6067" t="s">
        <v>16078</v>
      </c>
      <c r="E6067" t="s">
        <v>17922</v>
      </c>
      <c r="F6067" t="s">
        <v>17923</v>
      </c>
      <c r="G6067" t="s">
        <v>16266</v>
      </c>
      <c r="H6067" t="s">
        <v>17924</v>
      </c>
      <c r="I6067" t="s">
        <v>16093</v>
      </c>
    </row>
    <row r="6068" spans="1:9">
      <c r="A6068" t="s">
        <v>16075</v>
      </c>
      <c r="B6068" t="s">
        <v>16076</v>
      </c>
      <c r="C6068" t="s">
        <v>17925</v>
      </c>
      <c r="D6068" t="s">
        <v>16078</v>
      </c>
      <c r="E6068" t="s">
        <v>17926</v>
      </c>
      <c r="F6068" t="s">
        <v>17927</v>
      </c>
      <c r="G6068" t="s">
        <v>16828</v>
      </c>
      <c r="H6068" t="s">
        <v>17928</v>
      </c>
    </row>
    <row r="6069" spans="1:9">
      <c r="A6069" t="s">
        <v>16075</v>
      </c>
      <c r="B6069" t="s">
        <v>16076</v>
      </c>
      <c r="C6069" t="s">
        <v>17929</v>
      </c>
      <c r="D6069" t="s">
        <v>16078</v>
      </c>
      <c r="E6069" t="s">
        <v>14308</v>
      </c>
      <c r="F6069" t="s">
        <v>17930</v>
      </c>
      <c r="G6069" t="s">
        <v>16131</v>
      </c>
      <c r="H6069" t="s">
        <v>17931</v>
      </c>
      <c r="I6069" t="s">
        <v>16082</v>
      </c>
    </row>
    <row r="6070" spans="1:9">
      <c r="A6070" t="s">
        <v>16075</v>
      </c>
      <c r="B6070" t="s">
        <v>16076</v>
      </c>
      <c r="C6070" t="s">
        <v>17932</v>
      </c>
      <c r="D6070" t="s">
        <v>16078</v>
      </c>
      <c r="E6070" t="s">
        <v>12188</v>
      </c>
      <c r="F6070" t="s">
        <v>17933</v>
      </c>
      <c r="G6070" t="s">
        <v>16194</v>
      </c>
      <c r="H6070" t="s">
        <v>17934</v>
      </c>
      <c r="I6070" t="s">
        <v>16082</v>
      </c>
    </row>
    <row r="6071" spans="1:9">
      <c r="A6071" t="s">
        <v>16075</v>
      </c>
      <c r="B6071" t="s">
        <v>16076</v>
      </c>
      <c r="C6071" t="s">
        <v>17935</v>
      </c>
      <c r="D6071" t="s">
        <v>16078</v>
      </c>
      <c r="E6071" t="s">
        <v>17936</v>
      </c>
      <c r="F6071" t="s">
        <v>17937</v>
      </c>
      <c r="G6071" t="s">
        <v>16462</v>
      </c>
      <c r="H6071" t="s">
        <v>17938</v>
      </c>
      <c r="I6071" t="s">
        <v>16082</v>
      </c>
    </row>
    <row r="6072" spans="1:9">
      <c r="A6072" t="s">
        <v>16075</v>
      </c>
      <c r="B6072" t="s">
        <v>16076</v>
      </c>
      <c r="C6072" t="s">
        <v>17939</v>
      </c>
      <c r="D6072" t="s">
        <v>16078</v>
      </c>
      <c r="E6072" t="s">
        <v>17940</v>
      </c>
      <c r="F6072" t="s">
        <v>17941</v>
      </c>
      <c r="G6072" t="s">
        <v>16159</v>
      </c>
      <c r="H6072" t="s">
        <v>17942</v>
      </c>
      <c r="I6072" t="s">
        <v>16082</v>
      </c>
    </row>
    <row r="6073" spans="1:9">
      <c r="A6073" t="s">
        <v>16075</v>
      </c>
      <c r="B6073" t="s">
        <v>16076</v>
      </c>
      <c r="C6073" t="s">
        <v>17943</v>
      </c>
      <c r="D6073" t="s">
        <v>16078</v>
      </c>
      <c r="E6073" t="s">
        <v>17944</v>
      </c>
      <c r="F6073" t="s">
        <v>17945</v>
      </c>
      <c r="G6073" t="s">
        <v>16194</v>
      </c>
      <c r="H6073" t="s">
        <v>17946</v>
      </c>
      <c r="I6073" t="s">
        <v>16082</v>
      </c>
    </row>
    <row r="6074" spans="1:9">
      <c r="A6074" t="s">
        <v>16075</v>
      </c>
      <c r="B6074" t="s">
        <v>16076</v>
      </c>
      <c r="C6074" t="s">
        <v>17947</v>
      </c>
      <c r="D6074" t="s">
        <v>16078</v>
      </c>
      <c r="E6074" t="s">
        <v>17948</v>
      </c>
      <c r="F6074" t="s">
        <v>17949</v>
      </c>
      <c r="G6074" t="s">
        <v>16194</v>
      </c>
      <c r="H6074" t="s">
        <v>17950</v>
      </c>
      <c r="I6074" t="s">
        <v>16082</v>
      </c>
    </row>
    <row r="6075" spans="1:9">
      <c r="A6075" t="s">
        <v>16075</v>
      </c>
      <c r="B6075" t="s">
        <v>16076</v>
      </c>
      <c r="C6075" t="s">
        <v>17951</v>
      </c>
      <c r="D6075" t="s">
        <v>16078</v>
      </c>
      <c r="E6075" t="s">
        <v>17952</v>
      </c>
      <c r="F6075" t="s">
        <v>17953</v>
      </c>
      <c r="G6075" t="s">
        <v>16101</v>
      </c>
      <c r="H6075" t="s">
        <v>17954</v>
      </c>
      <c r="I6075" t="s">
        <v>16082</v>
      </c>
    </row>
    <row r="6076" spans="1:9">
      <c r="A6076" t="s">
        <v>16075</v>
      </c>
      <c r="B6076" t="s">
        <v>16076</v>
      </c>
      <c r="C6076" t="s">
        <v>17955</v>
      </c>
      <c r="D6076" t="s">
        <v>16078</v>
      </c>
      <c r="E6076" t="s">
        <v>17956</v>
      </c>
      <c r="F6076" t="s">
        <v>17957</v>
      </c>
      <c r="G6076" t="s">
        <v>16116</v>
      </c>
      <c r="H6076" t="s">
        <v>17958</v>
      </c>
      <c r="I6076" t="s">
        <v>16082</v>
      </c>
    </row>
    <row r="6077" spans="1:9">
      <c r="A6077" t="s">
        <v>16075</v>
      </c>
      <c r="B6077" t="s">
        <v>16076</v>
      </c>
      <c r="C6077" t="s">
        <v>17959</v>
      </c>
      <c r="D6077" t="s">
        <v>16078</v>
      </c>
      <c r="E6077" t="s">
        <v>17960</v>
      </c>
      <c r="F6077" t="s">
        <v>17961</v>
      </c>
      <c r="G6077" t="s">
        <v>16131</v>
      </c>
      <c r="H6077" t="s">
        <v>17962</v>
      </c>
      <c r="I6077" t="s">
        <v>16082</v>
      </c>
    </row>
    <row r="6078" spans="1:9">
      <c r="A6078" t="s">
        <v>16075</v>
      </c>
      <c r="B6078" t="s">
        <v>16076</v>
      </c>
      <c r="C6078" t="s">
        <v>17963</v>
      </c>
      <c r="D6078" t="s">
        <v>16078</v>
      </c>
      <c r="E6078" t="s">
        <v>6432</v>
      </c>
      <c r="F6078" t="s">
        <v>17964</v>
      </c>
      <c r="G6078" t="s">
        <v>16131</v>
      </c>
      <c r="H6078" t="s">
        <v>17965</v>
      </c>
      <c r="I6078" t="s">
        <v>16082</v>
      </c>
    </row>
    <row r="6079" spans="1:9">
      <c r="A6079" t="s">
        <v>16075</v>
      </c>
      <c r="B6079" t="s">
        <v>16076</v>
      </c>
      <c r="C6079" t="s">
        <v>17966</v>
      </c>
      <c r="D6079" t="s">
        <v>16078</v>
      </c>
      <c r="E6079" t="s">
        <v>6657</v>
      </c>
      <c r="F6079" t="s">
        <v>17967</v>
      </c>
      <c r="G6079" t="s">
        <v>16116</v>
      </c>
      <c r="H6079" t="s">
        <v>17968</v>
      </c>
      <c r="I6079" t="s">
        <v>16082</v>
      </c>
    </row>
    <row r="6080" spans="1:9">
      <c r="A6080" t="s">
        <v>16075</v>
      </c>
      <c r="B6080" t="s">
        <v>16076</v>
      </c>
      <c r="C6080" t="s">
        <v>17969</v>
      </c>
      <c r="D6080" t="s">
        <v>16078</v>
      </c>
      <c r="E6080" t="s">
        <v>17970</v>
      </c>
      <c r="F6080" t="s">
        <v>17971</v>
      </c>
      <c r="G6080" t="s">
        <v>16097</v>
      </c>
      <c r="H6080" t="s">
        <v>17972</v>
      </c>
      <c r="I6080" t="s">
        <v>16082</v>
      </c>
    </row>
    <row r="6081" spans="1:9">
      <c r="A6081" t="s">
        <v>16075</v>
      </c>
      <c r="B6081" t="s">
        <v>16076</v>
      </c>
      <c r="C6081" t="s">
        <v>17973</v>
      </c>
      <c r="D6081" t="s">
        <v>16078</v>
      </c>
      <c r="E6081" t="s">
        <v>17974</v>
      </c>
      <c r="F6081" t="s">
        <v>17975</v>
      </c>
      <c r="G6081" t="s">
        <v>16194</v>
      </c>
      <c r="H6081" t="s">
        <v>17976</v>
      </c>
      <c r="I6081" t="s">
        <v>16082</v>
      </c>
    </row>
    <row r="6082" spans="1:9">
      <c r="A6082" t="s">
        <v>16075</v>
      </c>
      <c r="B6082" t="s">
        <v>16076</v>
      </c>
      <c r="C6082" t="s">
        <v>17977</v>
      </c>
      <c r="D6082" t="s">
        <v>16078</v>
      </c>
      <c r="E6082" t="s">
        <v>9281</v>
      </c>
      <c r="F6082" t="s">
        <v>17978</v>
      </c>
      <c r="G6082" t="s">
        <v>16116</v>
      </c>
      <c r="H6082" t="s">
        <v>17979</v>
      </c>
      <c r="I6082" t="s">
        <v>16082</v>
      </c>
    </row>
    <row r="6083" spans="1:9">
      <c r="A6083" t="s">
        <v>16075</v>
      </c>
      <c r="B6083" t="s">
        <v>16076</v>
      </c>
      <c r="C6083" t="s">
        <v>17980</v>
      </c>
      <c r="D6083" t="s">
        <v>16078</v>
      </c>
      <c r="E6083" t="s">
        <v>15478</v>
      </c>
      <c r="F6083" t="s">
        <v>17981</v>
      </c>
      <c r="G6083" t="s">
        <v>16194</v>
      </c>
      <c r="H6083" t="s">
        <v>17982</v>
      </c>
      <c r="I6083" t="s">
        <v>16082</v>
      </c>
    </row>
    <row r="6084" spans="1:9">
      <c r="A6084" t="s">
        <v>16075</v>
      </c>
      <c r="B6084" t="s">
        <v>16076</v>
      </c>
      <c r="C6084" t="s">
        <v>17983</v>
      </c>
      <c r="D6084" t="s">
        <v>16078</v>
      </c>
      <c r="E6084" t="s">
        <v>17984</v>
      </c>
      <c r="F6084" t="s">
        <v>17985</v>
      </c>
      <c r="G6084" t="s">
        <v>16159</v>
      </c>
      <c r="H6084" t="s">
        <v>17986</v>
      </c>
      <c r="I6084" t="s">
        <v>16082</v>
      </c>
    </row>
    <row r="6085" spans="1:9">
      <c r="A6085" t="s">
        <v>16075</v>
      </c>
      <c r="B6085" t="s">
        <v>16076</v>
      </c>
      <c r="C6085" t="s">
        <v>17987</v>
      </c>
      <c r="D6085" t="s">
        <v>16078</v>
      </c>
      <c r="E6085" t="s">
        <v>6435</v>
      </c>
      <c r="F6085" t="s">
        <v>17988</v>
      </c>
      <c r="G6085" t="s">
        <v>16109</v>
      </c>
      <c r="H6085" t="s">
        <v>17989</v>
      </c>
      <c r="I6085" t="s">
        <v>16082</v>
      </c>
    </row>
    <row r="6086" spans="1:9">
      <c r="A6086" t="s">
        <v>16075</v>
      </c>
      <c r="B6086" t="s">
        <v>16076</v>
      </c>
      <c r="C6086" t="s">
        <v>17990</v>
      </c>
      <c r="D6086" t="s">
        <v>16078</v>
      </c>
      <c r="E6086" t="s">
        <v>17991</v>
      </c>
      <c r="F6086" t="s">
        <v>17992</v>
      </c>
      <c r="G6086" t="s">
        <v>16105</v>
      </c>
      <c r="H6086" t="s">
        <v>17993</v>
      </c>
      <c r="I6086" t="s">
        <v>16082</v>
      </c>
    </row>
    <row r="6087" spans="1:9">
      <c r="A6087" t="s">
        <v>16075</v>
      </c>
      <c r="B6087" t="s">
        <v>16076</v>
      </c>
      <c r="C6087" t="s">
        <v>17994</v>
      </c>
      <c r="D6087" t="s">
        <v>16078</v>
      </c>
      <c r="E6087" t="s">
        <v>2238</v>
      </c>
      <c r="F6087" t="s">
        <v>17995</v>
      </c>
      <c r="G6087" t="s">
        <v>16131</v>
      </c>
      <c r="H6087" t="s">
        <v>17996</v>
      </c>
      <c r="I6087" t="s">
        <v>16082</v>
      </c>
    </row>
    <row r="6088" spans="1:9">
      <c r="A6088" t="s">
        <v>16075</v>
      </c>
      <c r="B6088" t="s">
        <v>16076</v>
      </c>
      <c r="C6088" t="s">
        <v>17997</v>
      </c>
      <c r="D6088" t="s">
        <v>16078</v>
      </c>
      <c r="E6088" t="s">
        <v>17998</v>
      </c>
      <c r="F6088" t="s">
        <v>17999</v>
      </c>
      <c r="G6088" t="s">
        <v>16462</v>
      </c>
      <c r="H6088" t="s">
        <v>18000</v>
      </c>
      <c r="I6088" t="s">
        <v>16082</v>
      </c>
    </row>
    <row r="6089" spans="1:9">
      <c r="A6089" t="s">
        <v>16075</v>
      </c>
      <c r="B6089" t="s">
        <v>16076</v>
      </c>
      <c r="C6089" t="s">
        <v>18001</v>
      </c>
      <c r="D6089" t="s">
        <v>16078</v>
      </c>
      <c r="E6089" t="s">
        <v>2241</v>
      </c>
      <c r="F6089" t="s">
        <v>18002</v>
      </c>
      <c r="G6089" t="s">
        <v>16178</v>
      </c>
      <c r="H6089" t="s">
        <v>18003</v>
      </c>
      <c r="I6089" t="s">
        <v>16082</v>
      </c>
    </row>
    <row r="6090" spans="1:9">
      <c r="A6090" t="s">
        <v>16075</v>
      </c>
      <c r="B6090" t="s">
        <v>16076</v>
      </c>
      <c r="C6090" t="s">
        <v>18004</v>
      </c>
      <c r="D6090" t="s">
        <v>16078</v>
      </c>
      <c r="E6090" t="s">
        <v>18005</v>
      </c>
      <c r="F6090" t="s">
        <v>18006</v>
      </c>
      <c r="G6090" t="s">
        <v>16080</v>
      </c>
      <c r="H6090" t="s">
        <v>18007</v>
      </c>
      <c r="I6090" t="s">
        <v>16082</v>
      </c>
    </row>
    <row r="6091" spans="1:9">
      <c r="A6091" t="s">
        <v>16075</v>
      </c>
      <c r="B6091" t="s">
        <v>16076</v>
      </c>
      <c r="C6091" t="s">
        <v>18008</v>
      </c>
      <c r="D6091" t="s">
        <v>16078</v>
      </c>
      <c r="E6091" t="s">
        <v>18009</v>
      </c>
      <c r="F6091" t="s">
        <v>18010</v>
      </c>
      <c r="G6091" t="s">
        <v>16159</v>
      </c>
      <c r="H6091" t="s">
        <v>18011</v>
      </c>
      <c r="I6091" t="s">
        <v>16082</v>
      </c>
    </row>
    <row r="6092" spans="1:9">
      <c r="A6092" t="s">
        <v>16075</v>
      </c>
      <c r="B6092" t="s">
        <v>16076</v>
      </c>
      <c r="C6092" t="s">
        <v>18012</v>
      </c>
      <c r="D6092" t="s">
        <v>16078</v>
      </c>
      <c r="E6092" t="s">
        <v>18013</v>
      </c>
      <c r="F6092" t="s">
        <v>18014</v>
      </c>
      <c r="G6092" t="s">
        <v>16209</v>
      </c>
      <c r="H6092" t="s">
        <v>18015</v>
      </c>
      <c r="I6092" t="s">
        <v>16082</v>
      </c>
    </row>
    <row r="6093" spans="1:9">
      <c r="A6093" t="s">
        <v>16075</v>
      </c>
      <c r="B6093" t="s">
        <v>16076</v>
      </c>
      <c r="C6093" t="s">
        <v>18016</v>
      </c>
      <c r="D6093" t="s">
        <v>16078</v>
      </c>
      <c r="E6093" t="s">
        <v>2244</v>
      </c>
      <c r="F6093" t="s">
        <v>18017</v>
      </c>
      <c r="G6093" t="s">
        <v>16097</v>
      </c>
      <c r="H6093" t="s">
        <v>18018</v>
      </c>
      <c r="I6093" t="s">
        <v>16082</v>
      </c>
    </row>
    <row r="6094" spans="1:9">
      <c r="A6094" t="s">
        <v>16075</v>
      </c>
      <c r="B6094" t="s">
        <v>16076</v>
      </c>
      <c r="C6094" t="s">
        <v>18019</v>
      </c>
      <c r="D6094" t="s">
        <v>16078</v>
      </c>
      <c r="E6094" t="s">
        <v>13502</v>
      </c>
      <c r="F6094" t="s">
        <v>18020</v>
      </c>
      <c r="G6094" t="s">
        <v>16105</v>
      </c>
      <c r="H6094" t="s">
        <v>18021</v>
      </c>
      <c r="I6094" t="s">
        <v>16082</v>
      </c>
    </row>
    <row r="6095" spans="1:9">
      <c r="A6095" t="s">
        <v>16075</v>
      </c>
      <c r="B6095" t="s">
        <v>16076</v>
      </c>
      <c r="C6095" t="s">
        <v>18022</v>
      </c>
      <c r="D6095" t="s">
        <v>16078</v>
      </c>
      <c r="E6095" t="s">
        <v>18023</v>
      </c>
      <c r="F6095" t="s">
        <v>18024</v>
      </c>
      <c r="G6095" t="s">
        <v>16194</v>
      </c>
      <c r="H6095" t="s">
        <v>18025</v>
      </c>
      <c r="I6095" t="s">
        <v>16082</v>
      </c>
    </row>
    <row r="6096" spans="1:9">
      <c r="A6096" t="s">
        <v>16075</v>
      </c>
      <c r="B6096" t="s">
        <v>16076</v>
      </c>
      <c r="C6096" t="s">
        <v>18026</v>
      </c>
      <c r="D6096" t="s">
        <v>16078</v>
      </c>
      <c r="E6096" t="s">
        <v>18027</v>
      </c>
      <c r="F6096" t="s">
        <v>18028</v>
      </c>
      <c r="G6096" t="s">
        <v>16116</v>
      </c>
      <c r="H6096" t="s">
        <v>18029</v>
      </c>
      <c r="I6096" t="s">
        <v>16082</v>
      </c>
    </row>
    <row r="6097" spans="1:9">
      <c r="A6097" t="s">
        <v>16075</v>
      </c>
      <c r="B6097" t="s">
        <v>16076</v>
      </c>
      <c r="C6097" t="s">
        <v>18030</v>
      </c>
      <c r="D6097" t="s">
        <v>16078</v>
      </c>
      <c r="E6097" t="s">
        <v>18031</v>
      </c>
      <c r="F6097" t="s">
        <v>18032</v>
      </c>
      <c r="G6097" t="s">
        <v>16183</v>
      </c>
      <c r="H6097" t="s">
        <v>18033</v>
      </c>
      <c r="I6097" t="s">
        <v>16082</v>
      </c>
    </row>
    <row r="6098" spans="1:9">
      <c r="A6098" t="s">
        <v>16075</v>
      </c>
      <c r="B6098" t="s">
        <v>16076</v>
      </c>
      <c r="C6098" t="s">
        <v>18034</v>
      </c>
      <c r="D6098" t="s">
        <v>16078</v>
      </c>
      <c r="E6098" t="s">
        <v>18035</v>
      </c>
      <c r="F6098" t="s">
        <v>18036</v>
      </c>
      <c r="G6098" t="s">
        <v>16116</v>
      </c>
      <c r="H6098" t="s">
        <v>18037</v>
      </c>
      <c r="I6098" t="s">
        <v>16082</v>
      </c>
    </row>
    <row r="6099" spans="1:9">
      <c r="A6099" t="s">
        <v>16075</v>
      </c>
      <c r="B6099" t="s">
        <v>16076</v>
      </c>
      <c r="C6099" t="s">
        <v>18038</v>
      </c>
      <c r="D6099" t="s">
        <v>16078</v>
      </c>
      <c r="E6099" t="s">
        <v>18039</v>
      </c>
      <c r="F6099" t="s">
        <v>18040</v>
      </c>
      <c r="G6099" t="s">
        <v>16194</v>
      </c>
      <c r="H6099" t="s">
        <v>18041</v>
      </c>
      <c r="I6099" t="s">
        <v>16082</v>
      </c>
    </row>
    <row r="6100" spans="1:9">
      <c r="A6100" t="s">
        <v>16075</v>
      </c>
      <c r="B6100" t="s">
        <v>16076</v>
      </c>
      <c r="C6100" t="s">
        <v>18042</v>
      </c>
      <c r="D6100" t="s">
        <v>16078</v>
      </c>
      <c r="E6100" t="s">
        <v>18043</v>
      </c>
      <c r="F6100" t="s">
        <v>18044</v>
      </c>
      <c r="G6100" t="s">
        <v>16097</v>
      </c>
      <c r="H6100" t="s">
        <v>18045</v>
      </c>
      <c r="I6100" t="s">
        <v>16082</v>
      </c>
    </row>
    <row r="6101" spans="1:9">
      <c r="A6101" t="s">
        <v>16075</v>
      </c>
      <c r="B6101" t="s">
        <v>16076</v>
      </c>
      <c r="C6101" t="s">
        <v>18046</v>
      </c>
      <c r="D6101" t="s">
        <v>16078</v>
      </c>
      <c r="E6101" t="s">
        <v>18047</v>
      </c>
      <c r="F6101" t="s">
        <v>18048</v>
      </c>
      <c r="G6101" t="s">
        <v>16097</v>
      </c>
      <c r="H6101" t="s">
        <v>18049</v>
      </c>
      <c r="I6101" t="s">
        <v>16082</v>
      </c>
    </row>
    <row r="6102" spans="1:9">
      <c r="A6102" t="s">
        <v>16075</v>
      </c>
      <c r="B6102" t="s">
        <v>16076</v>
      </c>
      <c r="C6102" t="s">
        <v>18050</v>
      </c>
      <c r="D6102" t="s">
        <v>16078</v>
      </c>
      <c r="E6102" t="s">
        <v>18051</v>
      </c>
      <c r="F6102" t="s">
        <v>18052</v>
      </c>
      <c r="G6102" t="s">
        <v>16086</v>
      </c>
      <c r="H6102" t="s">
        <v>18053</v>
      </c>
      <c r="I6102" t="s">
        <v>16082</v>
      </c>
    </row>
    <row r="6103" spans="1:9">
      <c r="A6103" t="s">
        <v>16075</v>
      </c>
      <c r="B6103" t="s">
        <v>16076</v>
      </c>
      <c r="C6103" t="s">
        <v>18054</v>
      </c>
      <c r="D6103" t="s">
        <v>16078</v>
      </c>
      <c r="E6103" t="s">
        <v>18055</v>
      </c>
      <c r="F6103" t="s">
        <v>18056</v>
      </c>
      <c r="G6103" t="s">
        <v>16462</v>
      </c>
      <c r="H6103" t="s">
        <v>18057</v>
      </c>
      <c r="I6103" t="s">
        <v>16082</v>
      </c>
    </row>
    <row r="6104" spans="1:9">
      <c r="A6104" t="s">
        <v>16075</v>
      </c>
      <c r="B6104" t="s">
        <v>16076</v>
      </c>
      <c r="C6104" t="s">
        <v>18058</v>
      </c>
      <c r="D6104" t="s">
        <v>16078</v>
      </c>
      <c r="E6104" t="s">
        <v>18059</v>
      </c>
      <c r="F6104" t="s">
        <v>18060</v>
      </c>
      <c r="G6104" t="s">
        <v>16194</v>
      </c>
      <c r="H6104" t="s">
        <v>18061</v>
      </c>
      <c r="I6104" t="s">
        <v>16093</v>
      </c>
    </row>
    <row r="6105" spans="1:9">
      <c r="A6105" t="s">
        <v>16075</v>
      </c>
      <c r="B6105" t="s">
        <v>16076</v>
      </c>
      <c r="C6105" t="s">
        <v>18062</v>
      </c>
      <c r="D6105" t="s">
        <v>16078</v>
      </c>
      <c r="E6105" t="s">
        <v>18063</v>
      </c>
      <c r="F6105" t="s">
        <v>18064</v>
      </c>
      <c r="G6105" t="s">
        <v>16139</v>
      </c>
      <c r="H6105" t="s">
        <v>18065</v>
      </c>
      <c r="I6105" t="s">
        <v>16082</v>
      </c>
    </row>
    <row r="6106" spans="1:9">
      <c r="A6106" t="s">
        <v>16075</v>
      </c>
      <c r="B6106" t="s">
        <v>16076</v>
      </c>
      <c r="C6106" t="s">
        <v>18066</v>
      </c>
      <c r="D6106" t="s">
        <v>16078</v>
      </c>
      <c r="E6106" t="s">
        <v>15407</v>
      </c>
      <c r="F6106" t="s">
        <v>18067</v>
      </c>
      <c r="G6106" t="s">
        <v>16209</v>
      </c>
      <c r="H6106" t="s">
        <v>18068</v>
      </c>
      <c r="I6106" t="s">
        <v>16082</v>
      </c>
    </row>
    <row r="6107" spans="1:9">
      <c r="A6107" t="s">
        <v>16075</v>
      </c>
      <c r="B6107" t="s">
        <v>16076</v>
      </c>
      <c r="C6107" t="s">
        <v>18069</v>
      </c>
      <c r="D6107" t="s">
        <v>16078</v>
      </c>
      <c r="E6107" t="s">
        <v>11313</v>
      </c>
      <c r="F6107" t="s">
        <v>18070</v>
      </c>
      <c r="G6107" t="s">
        <v>16080</v>
      </c>
      <c r="H6107" t="s">
        <v>18071</v>
      </c>
      <c r="I6107" t="s">
        <v>16082</v>
      </c>
    </row>
    <row r="6108" spans="1:9">
      <c r="A6108" t="s">
        <v>16075</v>
      </c>
      <c r="B6108" t="s">
        <v>16076</v>
      </c>
      <c r="C6108" t="s">
        <v>18072</v>
      </c>
      <c r="D6108" t="s">
        <v>16078</v>
      </c>
      <c r="E6108" t="s">
        <v>5060</v>
      </c>
      <c r="F6108" t="s">
        <v>18073</v>
      </c>
      <c r="G6108" t="s">
        <v>16116</v>
      </c>
      <c r="H6108" t="s">
        <v>18074</v>
      </c>
      <c r="I6108" t="s">
        <v>16082</v>
      </c>
    </row>
    <row r="6109" spans="1:9">
      <c r="A6109" t="s">
        <v>16075</v>
      </c>
      <c r="B6109" t="s">
        <v>16076</v>
      </c>
      <c r="C6109" t="s">
        <v>18075</v>
      </c>
      <c r="D6109" t="s">
        <v>16078</v>
      </c>
      <c r="E6109" t="s">
        <v>18076</v>
      </c>
      <c r="F6109" t="s">
        <v>18077</v>
      </c>
      <c r="G6109" t="s">
        <v>16209</v>
      </c>
      <c r="H6109" t="s">
        <v>18078</v>
      </c>
      <c r="I6109" t="s">
        <v>16082</v>
      </c>
    </row>
    <row r="6110" spans="1:9">
      <c r="A6110" t="s">
        <v>16075</v>
      </c>
      <c r="B6110" t="s">
        <v>16076</v>
      </c>
      <c r="C6110" t="s">
        <v>18079</v>
      </c>
      <c r="D6110" t="s">
        <v>16078</v>
      </c>
      <c r="E6110" t="s">
        <v>18080</v>
      </c>
      <c r="F6110" t="s">
        <v>18081</v>
      </c>
      <c r="G6110" t="s">
        <v>17229</v>
      </c>
      <c r="H6110" t="s">
        <v>18082</v>
      </c>
      <c r="I6110" t="s">
        <v>16093</v>
      </c>
    </row>
    <row r="6111" spans="1:9">
      <c r="A6111" t="s">
        <v>16075</v>
      </c>
      <c r="B6111" t="s">
        <v>16076</v>
      </c>
      <c r="C6111" t="s">
        <v>18083</v>
      </c>
      <c r="D6111" t="s">
        <v>16078</v>
      </c>
      <c r="E6111" t="s">
        <v>2250</v>
      </c>
      <c r="F6111" t="s">
        <v>18084</v>
      </c>
      <c r="G6111" t="s">
        <v>16101</v>
      </c>
      <c r="H6111" t="s">
        <v>18078</v>
      </c>
      <c r="I6111" t="s">
        <v>16082</v>
      </c>
    </row>
    <row r="6112" spans="1:9">
      <c r="A6112" t="s">
        <v>16075</v>
      </c>
      <c r="B6112" t="s">
        <v>16076</v>
      </c>
      <c r="C6112" t="s">
        <v>18085</v>
      </c>
      <c r="D6112" t="s">
        <v>16078</v>
      </c>
      <c r="E6112" t="s">
        <v>18086</v>
      </c>
      <c r="F6112" t="s">
        <v>18087</v>
      </c>
      <c r="G6112" t="s">
        <v>16080</v>
      </c>
      <c r="H6112" t="s">
        <v>18088</v>
      </c>
      <c r="I6112" t="s">
        <v>16082</v>
      </c>
    </row>
    <row r="6113" spans="1:14">
      <c r="A6113" t="s">
        <v>16075</v>
      </c>
      <c r="B6113" t="s">
        <v>16076</v>
      </c>
      <c r="C6113" t="s">
        <v>18089</v>
      </c>
      <c r="D6113" t="s">
        <v>16078</v>
      </c>
      <c r="E6113" t="s">
        <v>18090</v>
      </c>
      <c r="F6113" t="s">
        <v>18091</v>
      </c>
      <c r="G6113" t="s">
        <v>16828</v>
      </c>
      <c r="H6113" t="s">
        <v>18092</v>
      </c>
      <c r="I6113" t="s">
        <v>16082</v>
      </c>
      <c r="J6113" t="s">
        <v>18090</v>
      </c>
      <c r="K6113" t="s">
        <v>16075</v>
      </c>
      <c r="L6113" t="s">
        <v>16219</v>
      </c>
      <c r="M6113" t="s">
        <v>16082</v>
      </c>
      <c r="N6113" t="s">
        <v>18092</v>
      </c>
    </row>
    <row r="6114" spans="1:14">
      <c r="A6114" t="s">
        <v>16075</v>
      </c>
      <c r="B6114" t="s">
        <v>16076</v>
      </c>
      <c r="C6114" t="s">
        <v>18093</v>
      </c>
      <c r="D6114" t="s">
        <v>16078</v>
      </c>
      <c r="E6114" t="s">
        <v>18094</v>
      </c>
      <c r="F6114" t="s">
        <v>18095</v>
      </c>
      <c r="G6114" t="s">
        <v>16593</v>
      </c>
      <c r="H6114" t="s">
        <v>18096</v>
      </c>
      <c r="I6114" t="s">
        <v>16082</v>
      </c>
    </row>
    <row r="6115" spans="1:14">
      <c r="A6115" t="s">
        <v>16075</v>
      </c>
      <c r="B6115" t="s">
        <v>16076</v>
      </c>
      <c r="C6115" t="s">
        <v>18097</v>
      </c>
      <c r="D6115" t="s">
        <v>16078</v>
      </c>
      <c r="E6115" t="s">
        <v>18098</v>
      </c>
      <c r="F6115" t="s">
        <v>18099</v>
      </c>
      <c r="G6115" t="s">
        <v>16173</v>
      </c>
      <c r="H6115" t="s">
        <v>18100</v>
      </c>
      <c r="I6115" t="s">
        <v>16082</v>
      </c>
    </row>
    <row r="6116" spans="1:14">
      <c r="A6116" t="s">
        <v>16075</v>
      </c>
      <c r="B6116" t="s">
        <v>16076</v>
      </c>
      <c r="C6116" t="s">
        <v>18101</v>
      </c>
      <c r="D6116" t="s">
        <v>16078</v>
      </c>
      <c r="E6116" t="s">
        <v>18102</v>
      </c>
      <c r="F6116" t="s">
        <v>18103</v>
      </c>
      <c r="G6116" t="s">
        <v>16194</v>
      </c>
      <c r="H6116" t="s">
        <v>18104</v>
      </c>
      <c r="I6116" t="s">
        <v>16082</v>
      </c>
    </row>
    <row r="6117" spans="1:14">
      <c r="A6117" t="s">
        <v>16075</v>
      </c>
      <c r="B6117" t="s">
        <v>16076</v>
      </c>
      <c r="C6117" t="s">
        <v>18105</v>
      </c>
      <c r="D6117" t="s">
        <v>16078</v>
      </c>
      <c r="E6117" t="s">
        <v>18106</v>
      </c>
      <c r="F6117" t="s">
        <v>18107</v>
      </c>
      <c r="G6117" t="s">
        <v>16086</v>
      </c>
      <c r="H6117" t="s">
        <v>18108</v>
      </c>
      <c r="I6117" t="s">
        <v>16082</v>
      </c>
    </row>
    <row r="6118" spans="1:14">
      <c r="A6118" t="s">
        <v>16075</v>
      </c>
      <c r="B6118" t="s">
        <v>16076</v>
      </c>
      <c r="C6118" t="s">
        <v>18109</v>
      </c>
      <c r="D6118" t="s">
        <v>16078</v>
      </c>
      <c r="E6118" t="s">
        <v>18110</v>
      </c>
      <c r="F6118" t="s">
        <v>18111</v>
      </c>
      <c r="G6118" t="s">
        <v>17229</v>
      </c>
      <c r="H6118" t="s">
        <v>18112</v>
      </c>
      <c r="I6118" t="s">
        <v>16082</v>
      </c>
    </row>
    <row r="6119" spans="1:14">
      <c r="A6119" t="s">
        <v>16075</v>
      </c>
      <c r="B6119" t="s">
        <v>16076</v>
      </c>
      <c r="C6119" t="s">
        <v>18113</v>
      </c>
      <c r="D6119" t="s">
        <v>16078</v>
      </c>
      <c r="E6119" t="s">
        <v>18114</v>
      </c>
      <c r="F6119" t="s">
        <v>18115</v>
      </c>
      <c r="G6119" t="s">
        <v>16194</v>
      </c>
      <c r="H6119" t="s">
        <v>18116</v>
      </c>
      <c r="I6119" t="s">
        <v>16082</v>
      </c>
    </row>
    <row r="6120" spans="1:14">
      <c r="A6120" t="s">
        <v>16075</v>
      </c>
      <c r="B6120" t="s">
        <v>16076</v>
      </c>
      <c r="C6120" t="s">
        <v>18117</v>
      </c>
      <c r="D6120" t="s">
        <v>16078</v>
      </c>
      <c r="E6120" t="s">
        <v>18118</v>
      </c>
      <c r="F6120" t="s">
        <v>18119</v>
      </c>
      <c r="G6120" t="s">
        <v>16194</v>
      </c>
      <c r="H6120" t="s">
        <v>18120</v>
      </c>
      <c r="I6120" t="s">
        <v>16082</v>
      </c>
    </row>
    <row r="6121" spans="1:14">
      <c r="A6121" t="s">
        <v>16075</v>
      </c>
      <c r="B6121" t="s">
        <v>16076</v>
      </c>
      <c r="C6121" t="s">
        <v>18121</v>
      </c>
      <c r="D6121" t="s">
        <v>16078</v>
      </c>
      <c r="E6121" t="s">
        <v>18122</v>
      </c>
      <c r="F6121" t="s">
        <v>18123</v>
      </c>
      <c r="G6121" t="s">
        <v>16159</v>
      </c>
      <c r="H6121" t="s">
        <v>18124</v>
      </c>
      <c r="I6121" t="s">
        <v>16082</v>
      </c>
    </row>
    <row r="6122" spans="1:14">
      <c r="A6122" t="s">
        <v>16075</v>
      </c>
      <c r="B6122" t="s">
        <v>16076</v>
      </c>
      <c r="C6122" t="s">
        <v>18125</v>
      </c>
      <c r="D6122" t="s">
        <v>16078</v>
      </c>
      <c r="E6122" t="s">
        <v>18126</v>
      </c>
      <c r="F6122" t="s">
        <v>18127</v>
      </c>
      <c r="G6122" t="s">
        <v>16080</v>
      </c>
      <c r="H6122" t="s">
        <v>18128</v>
      </c>
      <c r="I6122" t="s">
        <v>16082</v>
      </c>
    </row>
    <row r="6123" spans="1:14">
      <c r="A6123" t="s">
        <v>16075</v>
      </c>
      <c r="B6123" t="s">
        <v>16076</v>
      </c>
      <c r="C6123" t="s">
        <v>18129</v>
      </c>
      <c r="D6123" t="s">
        <v>16078</v>
      </c>
      <c r="E6123" t="s">
        <v>18130</v>
      </c>
      <c r="F6123" t="s">
        <v>18131</v>
      </c>
      <c r="G6123" t="s">
        <v>16178</v>
      </c>
      <c r="H6123" t="s">
        <v>18132</v>
      </c>
      <c r="I6123" t="s">
        <v>16082</v>
      </c>
    </row>
    <row r="6124" spans="1:14">
      <c r="A6124" t="s">
        <v>16075</v>
      </c>
      <c r="B6124" t="s">
        <v>16076</v>
      </c>
      <c r="C6124" t="s">
        <v>18133</v>
      </c>
      <c r="D6124" t="s">
        <v>16078</v>
      </c>
      <c r="E6124" t="s">
        <v>18134</v>
      </c>
      <c r="F6124" t="s">
        <v>18135</v>
      </c>
      <c r="G6124" t="s">
        <v>16116</v>
      </c>
      <c r="H6124" t="s">
        <v>18136</v>
      </c>
      <c r="I6124" t="s">
        <v>16082</v>
      </c>
    </row>
    <row r="6125" spans="1:14">
      <c r="A6125" t="s">
        <v>16075</v>
      </c>
      <c r="B6125" t="s">
        <v>16076</v>
      </c>
      <c r="C6125" t="s">
        <v>18137</v>
      </c>
      <c r="D6125" t="s">
        <v>16078</v>
      </c>
      <c r="E6125" t="s">
        <v>18138</v>
      </c>
      <c r="F6125" t="s">
        <v>18139</v>
      </c>
      <c r="G6125" t="s">
        <v>16194</v>
      </c>
      <c r="H6125" t="s">
        <v>18140</v>
      </c>
      <c r="I6125" t="s">
        <v>16082</v>
      </c>
    </row>
    <row r="6126" spans="1:14">
      <c r="A6126" t="s">
        <v>16075</v>
      </c>
      <c r="B6126" t="s">
        <v>16076</v>
      </c>
      <c r="C6126" t="s">
        <v>18141</v>
      </c>
      <c r="D6126" t="s">
        <v>16078</v>
      </c>
      <c r="E6126" t="s">
        <v>18142</v>
      </c>
      <c r="F6126" t="s">
        <v>18143</v>
      </c>
      <c r="G6126" t="s">
        <v>16239</v>
      </c>
      <c r="H6126" t="s">
        <v>18078</v>
      </c>
      <c r="I6126" t="s">
        <v>16082</v>
      </c>
    </row>
    <row r="6127" spans="1:14">
      <c r="A6127" t="s">
        <v>16075</v>
      </c>
      <c r="B6127" t="s">
        <v>16076</v>
      </c>
      <c r="C6127" t="s">
        <v>18144</v>
      </c>
      <c r="D6127" t="s">
        <v>16078</v>
      </c>
      <c r="E6127" t="s">
        <v>18145</v>
      </c>
      <c r="F6127" t="s">
        <v>18146</v>
      </c>
      <c r="G6127" t="s">
        <v>16194</v>
      </c>
      <c r="H6127" t="s">
        <v>18147</v>
      </c>
      <c r="I6127" t="s">
        <v>16082</v>
      </c>
    </row>
    <row r="6128" spans="1:14">
      <c r="A6128" t="s">
        <v>16075</v>
      </c>
      <c r="B6128" t="s">
        <v>16076</v>
      </c>
      <c r="C6128" t="s">
        <v>18148</v>
      </c>
      <c r="D6128" t="s">
        <v>16078</v>
      </c>
      <c r="E6128" t="s">
        <v>18149</v>
      </c>
      <c r="F6128" t="s">
        <v>18150</v>
      </c>
      <c r="G6128" t="s">
        <v>16194</v>
      </c>
      <c r="H6128" t="s">
        <v>18151</v>
      </c>
      <c r="I6128" t="s">
        <v>16082</v>
      </c>
    </row>
    <row r="6129" spans="1:14">
      <c r="A6129" t="s">
        <v>16075</v>
      </c>
      <c r="B6129" t="s">
        <v>16076</v>
      </c>
      <c r="C6129" t="s">
        <v>18152</v>
      </c>
      <c r="D6129" t="s">
        <v>16078</v>
      </c>
      <c r="E6129" t="s">
        <v>18153</v>
      </c>
      <c r="F6129" t="s">
        <v>18154</v>
      </c>
      <c r="G6129" t="s">
        <v>16209</v>
      </c>
      <c r="H6129" t="s">
        <v>18155</v>
      </c>
      <c r="I6129" t="s">
        <v>16082</v>
      </c>
    </row>
    <row r="6130" spans="1:14">
      <c r="A6130" t="s">
        <v>16075</v>
      </c>
      <c r="B6130" t="s">
        <v>16076</v>
      </c>
      <c r="C6130" t="s">
        <v>18156</v>
      </c>
      <c r="D6130" t="s">
        <v>16078</v>
      </c>
      <c r="E6130" t="s">
        <v>18157</v>
      </c>
      <c r="F6130" t="s">
        <v>18158</v>
      </c>
      <c r="G6130" t="s">
        <v>16131</v>
      </c>
      <c r="H6130" t="s">
        <v>18159</v>
      </c>
      <c r="I6130" t="s">
        <v>16082</v>
      </c>
    </row>
    <row r="6131" spans="1:14">
      <c r="A6131" t="s">
        <v>16075</v>
      </c>
      <c r="B6131" t="s">
        <v>16076</v>
      </c>
      <c r="C6131" t="s">
        <v>18160</v>
      </c>
      <c r="D6131" t="s">
        <v>16078</v>
      </c>
      <c r="E6131" t="s">
        <v>18161</v>
      </c>
      <c r="F6131" t="s">
        <v>18162</v>
      </c>
      <c r="G6131" t="s">
        <v>16178</v>
      </c>
      <c r="H6131" t="s">
        <v>18163</v>
      </c>
      <c r="I6131" t="s">
        <v>16082</v>
      </c>
    </row>
    <row r="6132" spans="1:14">
      <c r="A6132" t="s">
        <v>16075</v>
      </c>
      <c r="B6132" t="s">
        <v>16076</v>
      </c>
      <c r="C6132" t="s">
        <v>18164</v>
      </c>
      <c r="D6132" t="s">
        <v>16078</v>
      </c>
      <c r="E6132" t="s">
        <v>18165</v>
      </c>
      <c r="F6132" t="s">
        <v>18166</v>
      </c>
      <c r="G6132" t="s">
        <v>16397</v>
      </c>
      <c r="H6132" t="s">
        <v>18167</v>
      </c>
      <c r="I6132" t="s">
        <v>16082</v>
      </c>
      <c r="J6132" t="s">
        <v>18165</v>
      </c>
      <c r="K6132" t="s">
        <v>16075</v>
      </c>
      <c r="L6132" t="s">
        <v>16219</v>
      </c>
      <c r="M6132" t="s">
        <v>16082</v>
      </c>
      <c r="N6132" t="s">
        <v>18167</v>
      </c>
    </row>
    <row r="6133" spans="1:14">
      <c r="A6133" t="s">
        <v>16075</v>
      </c>
      <c r="B6133" t="s">
        <v>16076</v>
      </c>
      <c r="C6133" t="s">
        <v>18168</v>
      </c>
      <c r="D6133" t="s">
        <v>16078</v>
      </c>
      <c r="E6133" t="s">
        <v>18169</v>
      </c>
      <c r="F6133" t="s">
        <v>18170</v>
      </c>
      <c r="G6133" t="s">
        <v>16462</v>
      </c>
      <c r="H6133" t="s">
        <v>18171</v>
      </c>
      <c r="I6133" t="s">
        <v>16082</v>
      </c>
    </row>
    <row r="6134" spans="1:14">
      <c r="A6134" t="s">
        <v>16075</v>
      </c>
      <c r="B6134" t="s">
        <v>16076</v>
      </c>
      <c r="C6134" t="s">
        <v>18172</v>
      </c>
      <c r="D6134" t="s">
        <v>16078</v>
      </c>
      <c r="E6134" t="s">
        <v>18173</v>
      </c>
      <c r="F6134" t="s">
        <v>18174</v>
      </c>
      <c r="G6134" t="s">
        <v>16131</v>
      </c>
      <c r="H6134" t="s">
        <v>18175</v>
      </c>
      <c r="I6134" t="s">
        <v>16082</v>
      </c>
    </row>
    <row r="6135" spans="1:14">
      <c r="A6135" t="s">
        <v>16075</v>
      </c>
      <c r="B6135" t="s">
        <v>16076</v>
      </c>
      <c r="C6135" t="s">
        <v>18176</v>
      </c>
      <c r="D6135" t="s">
        <v>16078</v>
      </c>
      <c r="E6135" t="s">
        <v>18177</v>
      </c>
      <c r="F6135" t="s">
        <v>18178</v>
      </c>
      <c r="G6135" t="s">
        <v>16173</v>
      </c>
      <c r="H6135" t="s">
        <v>18179</v>
      </c>
      <c r="I6135" t="s">
        <v>16082</v>
      </c>
    </row>
    <row r="6136" spans="1:14">
      <c r="A6136" t="s">
        <v>16075</v>
      </c>
      <c r="B6136" t="s">
        <v>16076</v>
      </c>
      <c r="C6136" t="s">
        <v>18180</v>
      </c>
      <c r="D6136" t="s">
        <v>16078</v>
      </c>
      <c r="E6136" t="s">
        <v>18181</v>
      </c>
      <c r="F6136" t="s">
        <v>18182</v>
      </c>
      <c r="G6136" t="s">
        <v>16194</v>
      </c>
      <c r="H6136" t="s">
        <v>18183</v>
      </c>
      <c r="I6136" t="s">
        <v>16082</v>
      </c>
    </row>
    <row r="6137" spans="1:14">
      <c r="A6137" t="s">
        <v>16075</v>
      </c>
      <c r="B6137" t="s">
        <v>16076</v>
      </c>
      <c r="C6137" t="s">
        <v>18184</v>
      </c>
      <c r="D6137" t="s">
        <v>16078</v>
      </c>
      <c r="E6137" t="s">
        <v>11316</v>
      </c>
      <c r="F6137" t="s">
        <v>18185</v>
      </c>
      <c r="G6137" t="s">
        <v>16116</v>
      </c>
      <c r="H6137" t="s">
        <v>18186</v>
      </c>
      <c r="I6137" t="s">
        <v>16082</v>
      </c>
    </row>
    <row r="6138" spans="1:14">
      <c r="A6138" t="s">
        <v>16075</v>
      </c>
      <c r="B6138" t="s">
        <v>16076</v>
      </c>
      <c r="C6138" t="s">
        <v>18187</v>
      </c>
      <c r="D6138" t="s">
        <v>16078</v>
      </c>
      <c r="E6138" t="s">
        <v>18188</v>
      </c>
      <c r="F6138" t="s">
        <v>18189</v>
      </c>
      <c r="G6138" t="s">
        <v>16194</v>
      </c>
      <c r="H6138" t="s">
        <v>18190</v>
      </c>
      <c r="I6138" t="s">
        <v>16082</v>
      </c>
    </row>
    <row r="6139" spans="1:14">
      <c r="A6139" t="s">
        <v>16075</v>
      </c>
      <c r="B6139" t="s">
        <v>16076</v>
      </c>
      <c r="C6139" t="s">
        <v>18191</v>
      </c>
      <c r="D6139" t="s">
        <v>16078</v>
      </c>
      <c r="E6139" t="s">
        <v>18192</v>
      </c>
      <c r="F6139" t="s">
        <v>18193</v>
      </c>
      <c r="G6139" t="s">
        <v>16194</v>
      </c>
      <c r="H6139" t="s">
        <v>18112</v>
      </c>
      <c r="I6139" t="s">
        <v>16082</v>
      </c>
    </row>
    <row r="6140" spans="1:14">
      <c r="A6140" t="s">
        <v>16075</v>
      </c>
      <c r="B6140" t="s">
        <v>16076</v>
      </c>
      <c r="C6140" t="s">
        <v>18194</v>
      </c>
      <c r="D6140" t="s">
        <v>16078</v>
      </c>
      <c r="E6140" t="s">
        <v>6444</v>
      </c>
      <c r="F6140" t="s">
        <v>18195</v>
      </c>
      <c r="G6140" t="s">
        <v>16097</v>
      </c>
      <c r="H6140" t="s">
        <v>18196</v>
      </c>
      <c r="I6140" t="s">
        <v>16082</v>
      </c>
    </row>
    <row r="6141" spans="1:14">
      <c r="A6141" t="s">
        <v>16075</v>
      </c>
      <c r="B6141" t="s">
        <v>16076</v>
      </c>
      <c r="C6141" t="s">
        <v>18197</v>
      </c>
      <c r="D6141" t="s">
        <v>16078</v>
      </c>
      <c r="E6141" t="s">
        <v>18198</v>
      </c>
      <c r="F6141" t="s">
        <v>18199</v>
      </c>
      <c r="G6141" t="s">
        <v>16194</v>
      </c>
      <c r="H6141" t="s">
        <v>18200</v>
      </c>
      <c r="I6141" t="s">
        <v>16082</v>
      </c>
    </row>
    <row r="6142" spans="1:14">
      <c r="A6142" t="s">
        <v>16075</v>
      </c>
      <c r="B6142" t="s">
        <v>16076</v>
      </c>
      <c r="C6142" t="s">
        <v>18201</v>
      </c>
      <c r="D6142" t="s">
        <v>16078</v>
      </c>
      <c r="E6142" t="s">
        <v>18202</v>
      </c>
      <c r="F6142" t="s">
        <v>18203</v>
      </c>
      <c r="G6142" t="s">
        <v>16534</v>
      </c>
      <c r="H6142" t="s">
        <v>18204</v>
      </c>
      <c r="I6142" t="s">
        <v>16082</v>
      </c>
    </row>
    <row r="6143" spans="1:14">
      <c r="A6143" t="s">
        <v>16075</v>
      </c>
      <c r="B6143" t="s">
        <v>16076</v>
      </c>
      <c r="C6143" t="s">
        <v>18205</v>
      </c>
      <c r="D6143" t="s">
        <v>16078</v>
      </c>
      <c r="E6143" t="s">
        <v>14319</v>
      </c>
      <c r="F6143" t="s">
        <v>18206</v>
      </c>
      <c r="G6143" t="s">
        <v>16105</v>
      </c>
    </row>
    <row r="6144" spans="1:14">
      <c r="A6144" t="s">
        <v>16075</v>
      </c>
      <c r="B6144" t="s">
        <v>16076</v>
      </c>
      <c r="C6144" t="s">
        <v>18207</v>
      </c>
      <c r="D6144" t="s">
        <v>16078</v>
      </c>
      <c r="E6144" t="s">
        <v>12271</v>
      </c>
      <c r="F6144" t="s">
        <v>18208</v>
      </c>
      <c r="G6144" t="s">
        <v>16131</v>
      </c>
      <c r="H6144" t="s">
        <v>18209</v>
      </c>
      <c r="I6144" t="s">
        <v>16082</v>
      </c>
    </row>
    <row r="6145" spans="1:14">
      <c r="A6145" t="s">
        <v>16075</v>
      </c>
      <c r="B6145" t="s">
        <v>16076</v>
      </c>
      <c r="C6145" t="s">
        <v>18210</v>
      </c>
      <c r="D6145" t="s">
        <v>16078</v>
      </c>
      <c r="E6145" t="s">
        <v>18211</v>
      </c>
      <c r="F6145" t="s">
        <v>18212</v>
      </c>
      <c r="G6145" t="s">
        <v>16462</v>
      </c>
      <c r="H6145" t="s">
        <v>18213</v>
      </c>
      <c r="I6145" t="s">
        <v>16082</v>
      </c>
    </row>
    <row r="6146" spans="1:14">
      <c r="A6146" t="s">
        <v>16075</v>
      </c>
      <c r="B6146" t="s">
        <v>16076</v>
      </c>
      <c r="C6146" t="s">
        <v>18214</v>
      </c>
      <c r="D6146" t="s">
        <v>16078</v>
      </c>
      <c r="E6146" t="s">
        <v>18215</v>
      </c>
      <c r="F6146" t="s">
        <v>18216</v>
      </c>
      <c r="G6146" t="s">
        <v>16194</v>
      </c>
      <c r="H6146" t="s">
        <v>18217</v>
      </c>
      <c r="I6146" t="s">
        <v>16082</v>
      </c>
    </row>
    <row r="6147" spans="1:14">
      <c r="A6147" t="s">
        <v>16075</v>
      </c>
      <c r="B6147" t="s">
        <v>16076</v>
      </c>
      <c r="C6147" t="s">
        <v>18218</v>
      </c>
      <c r="D6147" t="s">
        <v>16078</v>
      </c>
      <c r="E6147" t="s">
        <v>7301</v>
      </c>
      <c r="F6147" t="s">
        <v>18219</v>
      </c>
      <c r="G6147" t="s">
        <v>16665</v>
      </c>
      <c r="H6147" t="s">
        <v>18220</v>
      </c>
    </row>
    <row r="6148" spans="1:14">
      <c r="A6148" t="s">
        <v>16075</v>
      </c>
      <c r="B6148" t="s">
        <v>16076</v>
      </c>
      <c r="C6148" t="s">
        <v>18221</v>
      </c>
      <c r="D6148" t="s">
        <v>16078</v>
      </c>
      <c r="E6148" t="s">
        <v>18222</v>
      </c>
      <c r="F6148" t="s">
        <v>18223</v>
      </c>
      <c r="G6148" t="s">
        <v>16259</v>
      </c>
      <c r="H6148" t="s">
        <v>18224</v>
      </c>
    </row>
    <row r="6149" spans="1:14">
      <c r="A6149" t="s">
        <v>16075</v>
      </c>
      <c r="B6149" t="s">
        <v>16076</v>
      </c>
      <c r="C6149" t="s">
        <v>18225</v>
      </c>
      <c r="D6149" t="s">
        <v>16078</v>
      </c>
      <c r="E6149" t="s">
        <v>13512</v>
      </c>
      <c r="F6149" t="s">
        <v>18226</v>
      </c>
      <c r="G6149" t="s">
        <v>16101</v>
      </c>
      <c r="H6149" t="s">
        <v>18227</v>
      </c>
      <c r="I6149" t="s">
        <v>16082</v>
      </c>
    </row>
    <row r="6150" spans="1:14">
      <c r="A6150" t="s">
        <v>16075</v>
      </c>
      <c r="B6150" t="s">
        <v>16076</v>
      </c>
      <c r="C6150" t="s">
        <v>18228</v>
      </c>
      <c r="D6150" t="s">
        <v>16078</v>
      </c>
      <c r="E6150" t="s">
        <v>18229</v>
      </c>
      <c r="F6150" t="s">
        <v>18230</v>
      </c>
      <c r="G6150" t="s">
        <v>16159</v>
      </c>
      <c r="H6150" t="s">
        <v>18231</v>
      </c>
      <c r="I6150" t="s">
        <v>16082</v>
      </c>
      <c r="J6150" t="s">
        <v>18229</v>
      </c>
      <c r="K6150" t="s">
        <v>16075</v>
      </c>
      <c r="L6150" t="s">
        <v>16219</v>
      </c>
      <c r="M6150" t="s">
        <v>16082</v>
      </c>
      <c r="N6150" t="s">
        <v>18231</v>
      </c>
    </row>
    <row r="6151" spans="1:14">
      <c r="A6151" t="s">
        <v>16075</v>
      </c>
      <c r="B6151" t="s">
        <v>16076</v>
      </c>
      <c r="C6151" t="s">
        <v>18232</v>
      </c>
      <c r="D6151" t="s">
        <v>16078</v>
      </c>
      <c r="E6151" t="s">
        <v>6660</v>
      </c>
      <c r="F6151" t="s">
        <v>18233</v>
      </c>
      <c r="G6151" t="s">
        <v>16266</v>
      </c>
      <c r="H6151" t="s">
        <v>18234</v>
      </c>
      <c r="I6151" t="s">
        <v>16082</v>
      </c>
    </row>
    <row r="6152" spans="1:14">
      <c r="A6152" t="s">
        <v>16075</v>
      </c>
      <c r="B6152" t="s">
        <v>16076</v>
      </c>
      <c r="C6152" t="s">
        <v>18235</v>
      </c>
      <c r="D6152" t="s">
        <v>16078</v>
      </c>
      <c r="E6152" t="s">
        <v>14322</v>
      </c>
      <c r="F6152" t="s">
        <v>18236</v>
      </c>
      <c r="G6152" t="s">
        <v>16320</v>
      </c>
      <c r="H6152" t="s">
        <v>18237</v>
      </c>
      <c r="I6152" t="s">
        <v>16082</v>
      </c>
    </row>
    <row r="6153" spans="1:14">
      <c r="A6153" t="s">
        <v>16075</v>
      </c>
      <c r="B6153" t="s">
        <v>16076</v>
      </c>
      <c r="C6153" t="s">
        <v>18238</v>
      </c>
      <c r="D6153" t="s">
        <v>16078</v>
      </c>
      <c r="E6153" t="s">
        <v>6453</v>
      </c>
      <c r="F6153" t="s">
        <v>18239</v>
      </c>
      <c r="G6153" t="s">
        <v>16168</v>
      </c>
      <c r="H6153" t="s">
        <v>18240</v>
      </c>
      <c r="I6153" t="s">
        <v>16082</v>
      </c>
    </row>
    <row r="6154" spans="1:14">
      <c r="A6154" t="s">
        <v>16075</v>
      </c>
      <c r="B6154" t="s">
        <v>16076</v>
      </c>
      <c r="C6154" t="s">
        <v>18241</v>
      </c>
      <c r="D6154" t="s">
        <v>16078</v>
      </c>
      <c r="E6154" t="s">
        <v>18242</v>
      </c>
      <c r="F6154" t="s">
        <v>18243</v>
      </c>
      <c r="G6154" t="s">
        <v>16869</v>
      </c>
      <c r="H6154" t="s">
        <v>18244</v>
      </c>
      <c r="I6154" t="s">
        <v>16082</v>
      </c>
    </row>
    <row r="6155" spans="1:14">
      <c r="A6155" t="s">
        <v>16075</v>
      </c>
      <c r="B6155" t="s">
        <v>16076</v>
      </c>
      <c r="C6155" t="s">
        <v>18245</v>
      </c>
      <c r="D6155" t="s">
        <v>16078</v>
      </c>
      <c r="E6155" t="s">
        <v>18246</v>
      </c>
      <c r="F6155" t="s">
        <v>18247</v>
      </c>
      <c r="G6155" t="s">
        <v>16159</v>
      </c>
      <c r="H6155" t="s">
        <v>18248</v>
      </c>
      <c r="I6155" t="s">
        <v>16093</v>
      </c>
    </row>
    <row r="6156" spans="1:14">
      <c r="A6156" t="s">
        <v>16075</v>
      </c>
      <c r="B6156" t="s">
        <v>16076</v>
      </c>
      <c r="C6156" t="s">
        <v>18249</v>
      </c>
      <c r="D6156" t="s">
        <v>16078</v>
      </c>
      <c r="E6156" t="s">
        <v>18250</v>
      </c>
      <c r="F6156" t="s">
        <v>18251</v>
      </c>
      <c r="G6156" t="s">
        <v>16312</v>
      </c>
      <c r="H6156" t="s">
        <v>18252</v>
      </c>
      <c r="I6156" t="s">
        <v>16082</v>
      </c>
      <c r="J6156" t="s">
        <v>18250</v>
      </c>
      <c r="K6156" t="s">
        <v>16075</v>
      </c>
      <c r="L6156" t="s">
        <v>16219</v>
      </c>
      <c r="M6156" t="s">
        <v>16082</v>
      </c>
      <c r="N6156" t="s">
        <v>18252</v>
      </c>
    </row>
    <row r="6157" spans="1:14">
      <c r="A6157" t="s">
        <v>16075</v>
      </c>
      <c r="B6157" t="s">
        <v>16076</v>
      </c>
      <c r="C6157" t="s">
        <v>18253</v>
      </c>
      <c r="D6157" t="s">
        <v>16078</v>
      </c>
      <c r="E6157" t="s">
        <v>13341</v>
      </c>
      <c r="F6157" t="s">
        <v>18254</v>
      </c>
      <c r="G6157" t="s">
        <v>16295</v>
      </c>
      <c r="H6157" t="s">
        <v>18124</v>
      </c>
      <c r="I6157" t="s">
        <v>16082</v>
      </c>
    </row>
    <row r="6158" spans="1:14">
      <c r="A6158" t="s">
        <v>16075</v>
      </c>
      <c r="B6158" t="s">
        <v>16076</v>
      </c>
      <c r="C6158" t="s">
        <v>18255</v>
      </c>
      <c r="D6158" t="s">
        <v>16078</v>
      </c>
      <c r="E6158" t="s">
        <v>13202</v>
      </c>
      <c r="F6158" t="s">
        <v>18256</v>
      </c>
      <c r="G6158" t="s">
        <v>16116</v>
      </c>
      <c r="H6158" t="s">
        <v>18257</v>
      </c>
      <c r="I6158" t="s">
        <v>16082</v>
      </c>
    </row>
    <row r="6159" spans="1:14">
      <c r="A6159" t="s">
        <v>16075</v>
      </c>
      <c r="B6159" t="s">
        <v>16076</v>
      </c>
      <c r="C6159" t="s">
        <v>18258</v>
      </c>
      <c r="D6159" t="s">
        <v>16078</v>
      </c>
      <c r="E6159" t="s">
        <v>18259</v>
      </c>
      <c r="F6159" t="s">
        <v>18260</v>
      </c>
      <c r="G6159" t="s">
        <v>16303</v>
      </c>
      <c r="H6159" t="s">
        <v>18261</v>
      </c>
      <c r="I6159" t="s">
        <v>16082</v>
      </c>
    </row>
    <row r="6160" spans="1:14">
      <c r="A6160" t="s">
        <v>16075</v>
      </c>
      <c r="B6160" t="s">
        <v>16076</v>
      </c>
      <c r="C6160" t="s">
        <v>18262</v>
      </c>
      <c r="D6160" t="s">
        <v>16078</v>
      </c>
      <c r="E6160" t="s">
        <v>18263</v>
      </c>
      <c r="F6160" t="s">
        <v>18264</v>
      </c>
      <c r="G6160" t="s">
        <v>16209</v>
      </c>
      <c r="H6160" t="s">
        <v>18265</v>
      </c>
      <c r="I6160" t="s">
        <v>16082</v>
      </c>
    </row>
    <row r="6161" spans="1:9">
      <c r="A6161" t="s">
        <v>16075</v>
      </c>
      <c r="B6161" t="s">
        <v>16076</v>
      </c>
      <c r="C6161" t="s">
        <v>18266</v>
      </c>
      <c r="D6161" t="s">
        <v>16078</v>
      </c>
      <c r="E6161" t="s">
        <v>18267</v>
      </c>
      <c r="F6161" t="s">
        <v>18268</v>
      </c>
      <c r="G6161" t="s">
        <v>16266</v>
      </c>
      <c r="H6161" t="s">
        <v>18269</v>
      </c>
      <c r="I6161" t="s">
        <v>16082</v>
      </c>
    </row>
    <row r="6162" spans="1:9">
      <c r="A6162" t="s">
        <v>16075</v>
      </c>
      <c r="B6162" t="s">
        <v>16076</v>
      </c>
      <c r="C6162" t="s">
        <v>18270</v>
      </c>
      <c r="D6162" t="s">
        <v>16078</v>
      </c>
      <c r="E6162" t="s">
        <v>18271</v>
      </c>
      <c r="F6162" t="s">
        <v>18272</v>
      </c>
      <c r="G6162" t="s">
        <v>16105</v>
      </c>
      <c r="H6162" t="s">
        <v>18273</v>
      </c>
      <c r="I6162" t="s">
        <v>16082</v>
      </c>
    </row>
    <row r="6163" spans="1:9">
      <c r="A6163" t="s">
        <v>16075</v>
      </c>
      <c r="B6163" t="s">
        <v>16076</v>
      </c>
      <c r="C6163" t="s">
        <v>18274</v>
      </c>
      <c r="D6163" t="s">
        <v>16078</v>
      </c>
      <c r="E6163" t="s">
        <v>18275</v>
      </c>
      <c r="F6163" t="s">
        <v>18276</v>
      </c>
      <c r="G6163" t="s">
        <v>16194</v>
      </c>
      <c r="H6163" t="s">
        <v>18277</v>
      </c>
      <c r="I6163" t="s">
        <v>16082</v>
      </c>
    </row>
    <row r="6164" spans="1:9">
      <c r="A6164" t="s">
        <v>16075</v>
      </c>
      <c r="B6164" t="s">
        <v>16076</v>
      </c>
      <c r="C6164" t="s">
        <v>18278</v>
      </c>
      <c r="D6164" t="s">
        <v>16078</v>
      </c>
      <c r="E6164" t="s">
        <v>6943</v>
      </c>
      <c r="F6164" t="s">
        <v>18279</v>
      </c>
      <c r="G6164" t="s">
        <v>16534</v>
      </c>
      <c r="H6164" t="s">
        <v>18280</v>
      </c>
      <c r="I6164" t="s">
        <v>16082</v>
      </c>
    </row>
    <row r="6165" spans="1:9">
      <c r="A6165" t="s">
        <v>16075</v>
      </c>
      <c r="B6165" t="s">
        <v>16076</v>
      </c>
      <c r="C6165" t="s">
        <v>18281</v>
      </c>
      <c r="D6165" t="s">
        <v>16078</v>
      </c>
      <c r="E6165" t="s">
        <v>18282</v>
      </c>
      <c r="F6165" t="s">
        <v>18283</v>
      </c>
      <c r="G6165" t="s">
        <v>16091</v>
      </c>
      <c r="H6165" t="s">
        <v>18284</v>
      </c>
      <c r="I6165" t="s">
        <v>16082</v>
      </c>
    </row>
    <row r="6166" spans="1:9">
      <c r="A6166" t="s">
        <v>16075</v>
      </c>
      <c r="B6166" t="s">
        <v>16076</v>
      </c>
      <c r="C6166" t="s">
        <v>18285</v>
      </c>
      <c r="D6166" t="s">
        <v>16078</v>
      </c>
      <c r="E6166" t="s">
        <v>6456</v>
      </c>
      <c r="F6166" t="s">
        <v>18286</v>
      </c>
      <c r="G6166" t="s">
        <v>16397</v>
      </c>
      <c r="H6166" t="s">
        <v>18287</v>
      </c>
      <c r="I6166" t="s">
        <v>16093</v>
      </c>
    </row>
    <row r="6167" spans="1:9">
      <c r="A6167" t="s">
        <v>16075</v>
      </c>
      <c r="B6167" t="s">
        <v>16076</v>
      </c>
      <c r="C6167" t="s">
        <v>18288</v>
      </c>
      <c r="D6167" t="s">
        <v>16078</v>
      </c>
      <c r="E6167" t="s">
        <v>18289</v>
      </c>
      <c r="F6167" t="s">
        <v>18290</v>
      </c>
      <c r="G6167" t="s">
        <v>16097</v>
      </c>
      <c r="H6167" t="s">
        <v>18291</v>
      </c>
      <c r="I6167" t="s">
        <v>16082</v>
      </c>
    </row>
    <row r="6168" spans="1:9">
      <c r="A6168" t="s">
        <v>16075</v>
      </c>
      <c r="B6168" t="s">
        <v>16076</v>
      </c>
      <c r="C6168" t="s">
        <v>18292</v>
      </c>
      <c r="D6168" t="s">
        <v>16078</v>
      </c>
      <c r="E6168" t="s">
        <v>14325</v>
      </c>
      <c r="F6168" t="s">
        <v>18293</v>
      </c>
      <c r="G6168" t="s">
        <v>16086</v>
      </c>
      <c r="H6168" t="s">
        <v>18294</v>
      </c>
      <c r="I6168" t="s">
        <v>16082</v>
      </c>
    </row>
    <row r="6169" spans="1:9">
      <c r="A6169" t="s">
        <v>16075</v>
      </c>
      <c r="B6169" t="s">
        <v>16076</v>
      </c>
      <c r="C6169" t="s">
        <v>18295</v>
      </c>
      <c r="D6169" t="s">
        <v>16078</v>
      </c>
      <c r="E6169" t="s">
        <v>18296</v>
      </c>
      <c r="F6169" t="s">
        <v>18297</v>
      </c>
      <c r="G6169" t="s">
        <v>16131</v>
      </c>
      <c r="H6169" t="s">
        <v>18298</v>
      </c>
      <c r="I6169" t="s">
        <v>16082</v>
      </c>
    </row>
    <row r="6170" spans="1:9">
      <c r="A6170" t="s">
        <v>16075</v>
      </c>
      <c r="B6170" t="s">
        <v>16076</v>
      </c>
      <c r="C6170" t="s">
        <v>18299</v>
      </c>
      <c r="D6170" t="s">
        <v>16078</v>
      </c>
      <c r="E6170" t="s">
        <v>2262</v>
      </c>
      <c r="F6170" t="s">
        <v>18300</v>
      </c>
      <c r="G6170" t="s">
        <v>16131</v>
      </c>
      <c r="H6170" t="s">
        <v>18301</v>
      </c>
      <c r="I6170" t="s">
        <v>16082</v>
      </c>
    </row>
    <row r="6171" spans="1:9">
      <c r="A6171" t="s">
        <v>16075</v>
      </c>
      <c r="B6171" t="s">
        <v>16076</v>
      </c>
      <c r="C6171" t="s">
        <v>18302</v>
      </c>
      <c r="D6171" t="s">
        <v>16078</v>
      </c>
      <c r="E6171" t="s">
        <v>6663</v>
      </c>
      <c r="F6171" t="s">
        <v>18303</v>
      </c>
      <c r="G6171" t="s">
        <v>16086</v>
      </c>
      <c r="H6171" t="s">
        <v>18304</v>
      </c>
      <c r="I6171" t="s">
        <v>16082</v>
      </c>
    </row>
    <row r="6172" spans="1:9">
      <c r="A6172" t="s">
        <v>16075</v>
      </c>
      <c r="B6172" t="s">
        <v>16076</v>
      </c>
      <c r="C6172" t="s">
        <v>18305</v>
      </c>
      <c r="D6172" t="s">
        <v>16078</v>
      </c>
      <c r="E6172" t="s">
        <v>18306</v>
      </c>
      <c r="F6172" t="s">
        <v>18307</v>
      </c>
      <c r="G6172" t="s">
        <v>16438</v>
      </c>
      <c r="H6172" t="s">
        <v>18308</v>
      </c>
      <c r="I6172" t="s">
        <v>16082</v>
      </c>
    </row>
    <row r="6173" spans="1:9">
      <c r="A6173" t="s">
        <v>16075</v>
      </c>
      <c r="B6173" t="s">
        <v>16076</v>
      </c>
      <c r="C6173" t="s">
        <v>18309</v>
      </c>
      <c r="D6173" t="s">
        <v>16078</v>
      </c>
      <c r="E6173" t="s">
        <v>13344</v>
      </c>
      <c r="F6173" t="s">
        <v>18310</v>
      </c>
      <c r="G6173" t="s">
        <v>16131</v>
      </c>
      <c r="H6173" t="s">
        <v>18311</v>
      </c>
      <c r="I6173" t="s">
        <v>16082</v>
      </c>
    </row>
    <row r="6174" spans="1:9">
      <c r="A6174" t="s">
        <v>16075</v>
      </c>
      <c r="B6174" t="s">
        <v>16076</v>
      </c>
      <c r="C6174" t="s">
        <v>18312</v>
      </c>
      <c r="D6174" t="s">
        <v>16078</v>
      </c>
      <c r="E6174" t="s">
        <v>3354</v>
      </c>
      <c r="F6174" t="s">
        <v>18313</v>
      </c>
      <c r="G6174" t="s">
        <v>16239</v>
      </c>
      <c r="H6174" t="s">
        <v>18314</v>
      </c>
      <c r="I6174" t="s">
        <v>16082</v>
      </c>
    </row>
    <row r="6175" spans="1:9">
      <c r="A6175" t="s">
        <v>16075</v>
      </c>
      <c r="B6175" t="s">
        <v>16076</v>
      </c>
      <c r="C6175" t="s">
        <v>18315</v>
      </c>
      <c r="D6175" t="s">
        <v>16078</v>
      </c>
      <c r="E6175" t="s">
        <v>18316</v>
      </c>
      <c r="F6175" t="s">
        <v>18317</v>
      </c>
      <c r="G6175" t="s">
        <v>16131</v>
      </c>
      <c r="H6175" t="s">
        <v>18318</v>
      </c>
      <c r="I6175" t="s">
        <v>16082</v>
      </c>
    </row>
    <row r="6176" spans="1:9">
      <c r="A6176" t="s">
        <v>16075</v>
      </c>
      <c r="B6176" t="s">
        <v>16076</v>
      </c>
      <c r="C6176" t="s">
        <v>18319</v>
      </c>
      <c r="D6176" t="s">
        <v>16078</v>
      </c>
      <c r="E6176" t="s">
        <v>2265</v>
      </c>
      <c r="F6176" t="s">
        <v>18320</v>
      </c>
      <c r="G6176" t="s">
        <v>16462</v>
      </c>
      <c r="H6176" t="s">
        <v>18321</v>
      </c>
      <c r="I6176" t="s">
        <v>16082</v>
      </c>
    </row>
    <row r="6177" spans="1:9">
      <c r="A6177" t="s">
        <v>16075</v>
      </c>
      <c r="B6177" t="s">
        <v>16076</v>
      </c>
      <c r="C6177" t="s">
        <v>18322</v>
      </c>
      <c r="D6177" t="s">
        <v>16078</v>
      </c>
      <c r="E6177" t="s">
        <v>18323</v>
      </c>
      <c r="F6177" t="s">
        <v>18324</v>
      </c>
      <c r="G6177" t="s">
        <v>16534</v>
      </c>
      <c r="H6177" t="s">
        <v>18325</v>
      </c>
      <c r="I6177" t="s">
        <v>16082</v>
      </c>
    </row>
    <row r="6178" spans="1:9">
      <c r="A6178" t="s">
        <v>16075</v>
      </c>
      <c r="B6178" t="s">
        <v>16076</v>
      </c>
      <c r="C6178" t="s">
        <v>18326</v>
      </c>
      <c r="D6178" t="s">
        <v>16078</v>
      </c>
      <c r="E6178" t="s">
        <v>15169</v>
      </c>
      <c r="F6178" t="s">
        <v>18327</v>
      </c>
      <c r="G6178" t="s">
        <v>16178</v>
      </c>
      <c r="H6178" t="s">
        <v>18328</v>
      </c>
      <c r="I6178" t="s">
        <v>16093</v>
      </c>
    </row>
    <row r="6179" spans="1:9">
      <c r="A6179" t="s">
        <v>16075</v>
      </c>
      <c r="B6179" t="s">
        <v>16076</v>
      </c>
      <c r="C6179" t="s">
        <v>18329</v>
      </c>
      <c r="D6179" t="s">
        <v>16078</v>
      </c>
      <c r="E6179" t="s">
        <v>2268</v>
      </c>
      <c r="F6179" t="s">
        <v>18330</v>
      </c>
      <c r="G6179" t="s">
        <v>16116</v>
      </c>
      <c r="H6179" t="s">
        <v>18331</v>
      </c>
      <c r="I6179" t="s">
        <v>16093</v>
      </c>
    </row>
    <row r="6180" spans="1:9">
      <c r="A6180" t="s">
        <v>16075</v>
      </c>
      <c r="B6180" t="s">
        <v>16076</v>
      </c>
      <c r="C6180" t="s">
        <v>18332</v>
      </c>
      <c r="D6180" t="s">
        <v>16078</v>
      </c>
      <c r="E6180" t="s">
        <v>5063</v>
      </c>
      <c r="F6180" t="s">
        <v>18333</v>
      </c>
      <c r="G6180" t="s">
        <v>16194</v>
      </c>
      <c r="H6180" t="s">
        <v>18334</v>
      </c>
      <c r="I6180" t="s">
        <v>16082</v>
      </c>
    </row>
    <row r="6181" spans="1:9">
      <c r="A6181" t="s">
        <v>16075</v>
      </c>
      <c r="B6181" t="s">
        <v>16076</v>
      </c>
      <c r="C6181" t="s">
        <v>18335</v>
      </c>
      <c r="D6181" t="s">
        <v>16078</v>
      </c>
      <c r="E6181" t="s">
        <v>18336</v>
      </c>
      <c r="F6181" t="s">
        <v>18337</v>
      </c>
      <c r="G6181" t="s">
        <v>16312</v>
      </c>
      <c r="H6181" t="s">
        <v>18338</v>
      </c>
      <c r="I6181" t="s">
        <v>16093</v>
      </c>
    </row>
    <row r="6182" spans="1:9">
      <c r="A6182" t="s">
        <v>16075</v>
      </c>
      <c r="B6182" t="s">
        <v>16076</v>
      </c>
      <c r="C6182" t="s">
        <v>18339</v>
      </c>
      <c r="D6182" t="s">
        <v>16078</v>
      </c>
      <c r="E6182" t="s">
        <v>18340</v>
      </c>
      <c r="F6182" t="s">
        <v>18341</v>
      </c>
      <c r="G6182" t="s">
        <v>16665</v>
      </c>
      <c r="H6182" t="s">
        <v>18342</v>
      </c>
    </row>
    <row r="6183" spans="1:9">
      <c r="A6183" t="s">
        <v>16075</v>
      </c>
      <c r="B6183" t="s">
        <v>16076</v>
      </c>
      <c r="C6183" t="s">
        <v>18343</v>
      </c>
      <c r="D6183" t="s">
        <v>16078</v>
      </c>
      <c r="E6183" t="s">
        <v>7096</v>
      </c>
      <c r="F6183" t="s">
        <v>18344</v>
      </c>
      <c r="G6183" t="s">
        <v>16846</v>
      </c>
      <c r="H6183" t="s">
        <v>18345</v>
      </c>
      <c r="I6183" t="s">
        <v>16082</v>
      </c>
    </row>
    <row r="6184" spans="1:9">
      <c r="A6184" t="s">
        <v>16075</v>
      </c>
      <c r="B6184" t="s">
        <v>16076</v>
      </c>
      <c r="C6184" t="s">
        <v>18346</v>
      </c>
      <c r="D6184" t="s">
        <v>16078</v>
      </c>
      <c r="E6184" t="s">
        <v>15172</v>
      </c>
      <c r="F6184" t="s">
        <v>18347</v>
      </c>
      <c r="G6184" t="s">
        <v>16168</v>
      </c>
      <c r="H6184" t="s">
        <v>17942</v>
      </c>
      <c r="I6184" t="s">
        <v>16082</v>
      </c>
    </row>
    <row r="6185" spans="1:9">
      <c r="A6185" t="s">
        <v>16075</v>
      </c>
      <c r="B6185" t="s">
        <v>16076</v>
      </c>
      <c r="C6185" t="s">
        <v>18348</v>
      </c>
      <c r="D6185" t="s">
        <v>16078</v>
      </c>
      <c r="E6185" t="s">
        <v>18349</v>
      </c>
      <c r="F6185" t="s">
        <v>18350</v>
      </c>
      <c r="G6185" t="s">
        <v>16593</v>
      </c>
      <c r="H6185" t="s">
        <v>18351</v>
      </c>
      <c r="I6185" t="s">
        <v>16082</v>
      </c>
    </row>
    <row r="6186" spans="1:9">
      <c r="A6186" t="s">
        <v>16075</v>
      </c>
      <c r="B6186" t="s">
        <v>16076</v>
      </c>
      <c r="C6186" t="s">
        <v>18352</v>
      </c>
      <c r="D6186" t="s">
        <v>16078</v>
      </c>
      <c r="E6186" t="s">
        <v>10368</v>
      </c>
      <c r="F6186" t="s">
        <v>18353</v>
      </c>
      <c r="G6186" t="s">
        <v>16173</v>
      </c>
      <c r="H6186" t="s">
        <v>18354</v>
      </c>
      <c r="I6186" t="s">
        <v>16082</v>
      </c>
    </row>
    <row r="6187" spans="1:9">
      <c r="A6187" t="s">
        <v>16075</v>
      </c>
      <c r="B6187" t="s">
        <v>16076</v>
      </c>
      <c r="C6187" t="s">
        <v>18355</v>
      </c>
      <c r="D6187" t="s">
        <v>16078</v>
      </c>
      <c r="E6187" t="s">
        <v>2271</v>
      </c>
      <c r="F6187" t="s">
        <v>18356</v>
      </c>
      <c r="G6187" t="s">
        <v>16116</v>
      </c>
      <c r="H6187" t="s">
        <v>18041</v>
      </c>
      <c r="I6187" t="s">
        <v>16082</v>
      </c>
    </row>
    <row r="6188" spans="1:9">
      <c r="A6188" t="s">
        <v>16075</v>
      </c>
      <c r="B6188" t="s">
        <v>16076</v>
      </c>
      <c r="C6188" t="s">
        <v>18357</v>
      </c>
      <c r="D6188" t="s">
        <v>16078</v>
      </c>
      <c r="E6188" t="s">
        <v>2274</v>
      </c>
      <c r="F6188" t="s">
        <v>18358</v>
      </c>
      <c r="G6188" t="s">
        <v>16209</v>
      </c>
      <c r="H6188" t="s">
        <v>18359</v>
      </c>
      <c r="I6188" t="s">
        <v>16082</v>
      </c>
    </row>
    <row r="6189" spans="1:9">
      <c r="A6189" t="s">
        <v>16075</v>
      </c>
      <c r="B6189" t="s">
        <v>16076</v>
      </c>
      <c r="C6189" t="s">
        <v>18360</v>
      </c>
      <c r="D6189" t="s">
        <v>16078</v>
      </c>
      <c r="E6189" t="s">
        <v>18361</v>
      </c>
      <c r="F6189" t="s">
        <v>18362</v>
      </c>
      <c r="G6189" t="s">
        <v>16194</v>
      </c>
      <c r="H6189" t="s">
        <v>18363</v>
      </c>
      <c r="I6189" t="s">
        <v>16093</v>
      </c>
    </row>
    <row r="6190" spans="1:9">
      <c r="A6190" t="s">
        <v>16075</v>
      </c>
      <c r="B6190" t="s">
        <v>16076</v>
      </c>
      <c r="C6190" t="s">
        <v>18364</v>
      </c>
      <c r="D6190" t="s">
        <v>16078</v>
      </c>
      <c r="E6190" t="s">
        <v>11322</v>
      </c>
      <c r="F6190" t="s">
        <v>18365</v>
      </c>
      <c r="G6190" t="s">
        <v>16397</v>
      </c>
      <c r="H6190" t="s">
        <v>18366</v>
      </c>
      <c r="I6190" t="s">
        <v>16082</v>
      </c>
    </row>
    <row r="6191" spans="1:9">
      <c r="A6191" t="s">
        <v>16075</v>
      </c>
      <c r="B6191" t="s">
        <v>16076</v>
      </c>
      <c r="C6191" t="s">
        <v>18367</v>
      </c>
      <c r="D6191" t="s">
        <v>16078</v>
      </c>
      <c r="E6191" t="s">
        <v>14061</v>
      </c>
      <c r="F6191" t="s">
        <v>18368</v>
      </c>
      <c r="G6191" t="s">
        <v>16295</v>
      </c>
      <c r="H6191" t="s">
        <v>18369</v>
      </c>
      <c r="I6191" t="s">
        <v>16082</v>
      </c>
    </row>
    <row r="6192" spans="1:9">
      <c r="A6192" t="s">
        <v>16075</v>
      </c>
      <c r="B6192" t="s">
        <v>16076</v>
      </c>
      <c r="C6192" t="s">
        <v>18370</v>
      </c>
      <c r="D6192" t="s">
        <v>16078</v>
      </c>
      <c r="E6192" t="s">
        <v>9307</v>
      </c>
      <c r="F6192" t="s">
        <v>18371</v>
      </c>
      <c r="G6192" t="s">
        <v>16173</v>
      </c>
      <c r="H6192" t="s">
        <v>18372</v>
      </c>
      <c r="I6192" t="s">
        <v>16082</v>
      </c>
    </row>
    <row r="6193" spans="1:14">
      <c r="A6193" t="s">
        <v>16075</v>
      </c>
      <c r="B6193" t="s">
        <v>16076</v>
      </c>
      <c r="C6193" t="s">
        <v>18373</v>
      </c>
      <c r="D6193" t="s">
        <v>16078</v>
      </c>
      <c r="E6193" t="s">
        <v>6462</v>
      </c>
      <c r="F6193" t="s">
        <v>18374</v>
      </c>
      <c r="G6193" t="s">
        <v>16194</v>
      </c>
      <c r="H6193" t="s">
        <v>18375</v>
      </c>
      <c r="I6193" t="s">
        <v>16082</v>
      </c>
    </row>
    <row r="6194" spans="1:14">
      <c r="A6194" t="s">
        <v>16075</v>
      </c>
      <c r="B6194" t="s">
        <v>16076</v>
      </c>
      <c r="C6194" t="s">
        <v>18376</v>
      </c>
      <c r="D6194" t="s">
        <v>16078</v>
      </c>
      <c r="E6194" t="s">
        <v>18377</v>
      </c>
      <c r="F6194" t="s">
        <v>18378</v>
      </c>
      <c r="G6194" t="s">
        <v>16194</v>
      </c>
      <c r="H6194" t="s">
        <v>18379</v>
      </c>
      <c r="I6194" t="s">
        <v>16082</v>
      </c>
      <c r="J6194" t="s">
        <v>18361</v>
      </c>
      <c r="K6194" t="s">
        <v>16075</v>
      </c>
      <c r="L6194" t="s">
        <v>16219</v>
      </c>
      <c r="M6194" t="s">
        <v>16082</v>
      </c>
      <c r="N6194" t="s">
        <v>18379</v>
      </c>
    </row>
    <row r="6195" spans="1:14">
      <c r="A6195" t="s">
        <v>16075</v>
      </c>
      <c r="B6195" t="s">
        <v>16076</v>
      </c>
      <c r="C6195" t="s">
        <v>18380</v>
      </c>
      <c r="D6195" t="s">
        <v>16078</v>
      </c>
      <c r="E6195" t="s">
        <v>11325</v>
      </c>
      <c r="F6195" t="s">
        <v>18381</v>
      </c>
      <c r="G6195" t="s">
        <v>16080</v>
      </c>
      <c r="H6195" t="s">
        <v>18147</v>
      </c>
      <c r="I6195" t="s">
        <v>16082</v>
      </c>
    </row>
    <row r="6196" spans="1:14">
      <c r="A6196" t="s">
        <v>16075</v>
      </c>
      <c r="B6196" t="s">
        <v>16076</v>
      </c>
      <c r="C6196" t="s">
        <v>18382</v>
      </c>
      <c r="D6196" t="s">
        <v>16078</v>
      </c>
      <c r="E6196" t="s">
        <v>6790</v>
      </c>
      <c r="F6196" t="s">
        <v>18383</v>
      </c>
      <c r="G6196" t="s">
        <v>16080</v>
      </c>
      <c r="H6196" t="s">
        <v>18384</v>
      </c>
      <c r="I6196" t="s">
        <v>16082</v>
      </c>
    </row>
    <row r="6197" spans="1:14">
      <c r="A6197" t="s">
        <v>16075</v>
      </c>
      <c r="B6197" t="s">
        <v>16076</v>
      </c>
      <c r="C6197" t="s">
        <v>18385</v>
      </c>
      <c r="D6197" t="s">
        <v>16078</v>
      </c>
      <c r="E6197" t="s">
        <v>12194</v>
      </c>
      <c r="F6197" t="s">
        <v>18386</v>
      </c>
      <c r="G6197" t="s">
        <v>16320</v>
      </c>
      <c r="H6197" t="s">
        <v>18387</v>
      </c>
      <c r="I6197" t="s">
        <v>16082</v>
      </c>
    </row>
    <row r="6198" spans="1:14">
      <c r="A6198" t="s">
        <v>16075</v>
      </c>
      <c r="B6198" t="s">
        <v>16076</v>
      </c>
      <c r="C6198" t="s">
        <v>18388</v>
      </c>
      <c r="D6198" t="s">
        <v>16078</v>
      </c>
      <c r="E6198" t="s">
        <v>14333</v>
      </c>
      <c r="F6198" t="s">
        <v>18389</v>
      </c>
      <c r="G6198" t="s">
        <v>16105</v>
      </c>
      <c r="H6198" t="s">
        <v>18390</v>
      </c>
      <c r="I6198" t="s">
        <v>16082</v>
      </c>
    </row>
    <row r="6199" spans="1:14">
      <c r="A6199" t="s">
        <v>16075</v>
      </c>
      <c r="B6199" t="s">
        <v>16076</v>
      </c>
      <c r="C6199" t="s">
        <v>18391</v>
      </c>
      <c r="D6199" t="s">
        <v>16078</v>
      </c>
      <c r="E6199" t="s">
        <v>18392</v>
      </c>
      <c r="F6199" t="s">
        <v>18393</v>
      </c>
      <c r="G6199" t="s">
        <v>16097</v>
      </c>
      <c r="H6199" t="s">
        <v>18394</v>
      </c>
      <c r="I6199" t="s">
        <v>16082</v>
      </c>
    </row>
    <row r="6200" spans="1:14">
      <c r="A6200" t="s">
        <v>16075</v>
      </c>
      <c r="B6200" t="s">
        <v>16076</v>
      </c>
      <c r="C6200" t="s">
        <v>18395</v>
      </c>
      <c r="D6200" t="s">
        <v>16078</v>
      </c>
      <c r="E6200" t="s">
        <v>18396</v>
      </c>
      <c r="F6200" t="s">
        <v>18397</v>
      </c>
      <c r="G6200" t="s">
        <v>16131</v>
      </c>
      <c r="H6200" t="s">
        <v>18398</v>
      </c>
      <c r="I6200" t="s">
        <v>16082</v>
      </c>
    </row>
    <row r="6201" spans="1:14">
      <c r="A6201" t="s">
        <v>16075</v>
      </c>
      <c r="B6201" t="s">
        <v>16076</v>
      </c>
      <c r="C6201" t="s">
        <v>18399</v>
      </c>
      <c r="D6201" t="s">
        <v>16078</v>
      </c>
      <c r="E6201" t="s">
        <v>891</v>
      </c>
      <c r="F6201" t="s">
        <v>18400</v>
      </c>
      <c r="G6201" t="s">
        <v>16266</v>
      </c>
      <c r="H6201" t="s">
        <v>18401</v>
      </c>
      <c r="I6201" t="s">
        <v>16082</v>
      </c>
    </row>
    <row r="6202" spans="1:14">
      <c r="A6202" t="s">
        <v>16075</v>
      </c>
      <c r="B6202" t="s">
        <v>16076</v>
      </c>
      <c r="C6202" t="s">
        <v>18402</v>
      </c>
      <c r="D6202" t="s">
        <v>16078</v>
      </c>
      <c r="E6202" t="s">
        <v>2288</v>
      </c>
      <c r="F6202" t="s">
        <v>18403</v>
      </c>
      <c r="G6202" t="s">
        <v>16086</v>
      </c>
      <c r="H6202" t="s">
        <v>18404</v>
      </c>
      <c r="I6202" t="s">
        <v>16082</v>
      </c>
    </row>
    <row r="6203" spans="1:14">
      <c r="A6203" t="s">
        <v>16075</v>
      </c>
      <c r="B6203" t="s">
        <v>16076</v>
      </c>
      <c r="C6203" t="s">
        <v>18405</v>
      </c>
      <c r="D6203" t="s">
        <v>16078</v>
      </c>
      <c r="E6203" t="s">
        <v>14336</v>
      </c>
      <c r="F6203" t="s">
        <v>18406</v>
      </c>
      <c r="G6203" t="s">
        <v>16178</v>
      </c>
      <c r="H6203" t="s">
        <v>18407</v>
      </c>
      <c r="I6203" t="s">
        <v>16082</v>
      </c>
    </row>
    <row r="6204" spans="1:14">
      <c r="A6204" t="s">
        <v>16075</v>
      </c>
      <c r="B6204" t="s">
        <v>16076</v>
      </c>
      <c r="C6204" t="s">
        <v>18408</v>
      </c>
      <c r="D6204" t="s">
        <v>16078</v>
      </c>
      <c r="E6204" t="s">
        <v>2291</v>
      </c>
      <c r="F6204" t="s">
        <v>18409</v>
      </c>
      <c r="G6204" t="s">
        <v>16086</v>
      </c>
      <c r="H6204" t="s">
        <v>18410</v>
      </c>
      <c r="I6204" t="s">
        <v>16082</v>
      </c>
    </row>
    <row r="6205" spans="1:14">
      <c r="A6205" t="s">
        <v>16075</v>
      </c>
      <c r="B6205" t="s">
        <v>16076</v>
      </c>
      <c r="C6205" t="s">
        <v>18411</v>
      </c>
      <c r="D6205" t="s">
        <v>16078</v>
      </c>
      <c r="E6205" t="s">
        <v>9316</v>
      </c>
      <c r="F6205" t="s">
        <v>18412</v>
      </c>
      <c r="G6205" t="s">
        <v>16097</v>
      </c>
      <c r="H6205" t="s">
        <v>18413</v>
      </c>
      <c r="I6205" t="s">
        <v>16093</v>
      </c>
    </row>
    <row r="6206" spans="1:14">
      <c r="A6206" t="s">
        <v>16075</v>
      </c>
      <c r="B6206" t="s">
        <v>16076</v>
      </c>
      <c r="C6206" t="s">
        <v>18414</v>
      </c>
      <c r="D6206" t="s">
        <v>16078</v>
      </c>
      <c r="E6206" t="s">
        <v>18415</v>
      </c>
      <c r="F6206" t="s">
        <v>18416</v>
      </c>
      <c r="G6206" t="s">
        <v>16372</v>
      </c>
      <c r="H6206" t="s">
        <v>18417</v>
      </c>
      <c r="I6206" t="s">
        <v>16082</v>
      </c>
    </row>
    <row r="6207" spans="1:14">
      <c r="A6207" t="s">
        <v>16075</v>
      </c>
      <c r="B6207" t="s">
        <v>16076</v>
      </c>
      <c r="C6207" t="s">
        <v>18418</v>
      </c>
      <c r="D6207" t="s">
        <v>16078</v>
      </c>
      <c r="E6207" t="s">
        <v>15179</v>
      </c>
      <c r="F6207" t="s">
        <v>18419</v>
      </c>
      <c r="G6207" t="s">
        <v>16194</v>
      </c>
      <c r="H6207" t="s">
        <v>18420</v>
      </c>
      <c r="I6207" t="s">
        <v>16082</v>
      </c>
    </row>
    <row r="6208" spans="1:14">
      <c r="A6208" t="s">
        <v>16075</v>
      </c>
      <c r="B6208" t="s">
        <v>16076</v>
      </c>
      <c r="C6208" t="s">
        <v>18421</v>
      </c>
      <c r="D6208" t="s">
        <v>16078</v>
      </c>
      <c r="E6208" t="s">
        <v>18422</v>
      </c>
      <c r="F6208" t="s">
        <v>18423</v>
      </c>
      <c r="G6208" t="s">
        <v>16116</v>
      </c>
      <c r="H6208" t="s">
        <v>18424</v>
      </c>
      <c r="I6208" t="s">
        <v>16082</v>
      </c>
    </row>
    <row r="6209" spans="1:9">
      <c r="A6209" t="s">
        <v>16075</v>
      </c>
      <c r="B6209" t="s">
        <v>16076</v>
      </c>
      <c r="C6209" t="s">
        <v>18425</v>
      </c>
      <c r="D6209" t="s">
        <v>16078</v>
      </c>
      <c r="E6209" t="s">
        <v>15182</v>
      </c>
      <c r="F6209" t="s">
        <v>18426</v>
      </c>
      <c r="G6209" t="s">
        <v>16159</v>
      </c>
      <c r="H6209" t="s">
        <v>18427</v>
      </c>
      <c r="I6209" t="s">
        <v>16082</v>
      </c>
    </row>
    <row r="6210" spans="1:9">
      <c r="A6210" t="s">
        <v>16075</v>
      </c>
      <c r="B6210" t="s">
        <v>16076</v>
      </c>
      <c r="C6210" t="s">
        <v>18428</v>
      </c>
      <c r="D6210" t="s">
        <v>16078</v>
      </c>
      <c r="E6210" t="s">
        <v>13758</v>
      </c>
      <c r="F6210" t="s">
        <v>18429</v>
      </c>
      <c r="G6210" t="s">
        <v>16194</v>
      </c>
      <c r="H6210" t="s">
        <v>18430</v>
      </c>
      <c r="I6210" t="s">
        <v>16082</v>
      </c>
    </row>
    <row r="6211" spans="1:9">
      <c r="A6211" t="s">
        <v>16075</v>
      </c>
      <c r="B6211" t="s">
        <v>16076</v>
      </c>
      <c r="C6211" t="s">
        <v>18431</v>
      </c>
      <c r="D6211" t="s">
        <v>16078</v>
      </c>
      <c r="E6211" t="s">
        <v>8339</v>
      </c>
      <c r="F6211" t="s">
        <v>18432</v>
      </c>
      <c r="G6211" t="s">
        <v>16086</v>
      </c>
      <c r="H6211" t="s">
        <v>18433</v>
      </c>
      <c r="I6211" t="s">
        <v>16082</v>
      </c>
    </row>
    <row r="6212" spans="1:9">
      <c r="A6212" t="s">
        <v>16075</v>
      </c>
      <c r="B6212" t="s">
        <v>16076</v>
      </c>
      <c r="C6212" t="s">
        <v>18434</v>
      </c>
      <c r="D6212" t="s">
        <v>16078</v>
      </c>
      <c r="E6212" t="s">
        <v>9323</v>
      </c>
      <c r="F6212" t="s">
        <v>18435</v>
      </c>
      <c r="G6212" t="s">
        <v>16131</v>
      </c>
      <c r="H6212" t="s">
        <v>18424</v>
      </c>
      <c r="I6212" t="s">
        <v>16082</v>
      </c>
    </row>
    <row r="6213" spans="1:9">
      <c r="A6213" t="s">
        <v>16075</v>
      </c>
      <c r="B6213" t="s">
        <v>16076</v>
      </c>
      <c r="C6213" t="s">
        <v>18436</v>
      </c>
      <c r="D6213" t="s">
        <v>16078</v>
      </c>
      <c r="E6213" t="s">
        <v>10376</v>
      </c>
      <c r="F6213" t="s">
        <v>18437</v>
      </c>
      <c r="G6213" t="s">
        <v>16131</v>
      </c>
      <c r="H6213" t="s">
        <v>18438</v>
      </c>
      <c r="I6213" t="s">
        <v>16082</v>
      </c>
    </row>
    <row r="6214" spans="1:9">
      <c r="A6214" t="s">
        <v>16075</v>
      </c>
      <c r="B6214" t="s">
        <v>16076</v>
      </c>
      <c r="C6214" t="s">
        <v>18439</v>
      </c>
      <c r="D6214" t="s">
        <v>16078</v>
      </c>
      <c r="E6214" t="s">
        <v>10379</v>
      </c>
      <c r="F6214" t="s">
        <v>18440</v>
      </c>
      <c r="G6214" t="s">
        <v>16209</v>
      </c>
      <c r="H6214" t="s">
        <v>18441</v>
      </c>
      <c r="I6214" t="s">
        <v>16082</v>
      </c>
    </row>
    <row r="6215" spans="1:9">
      <c r="A6215" t="s">
        <v>16075</v>
      </c>
      <c r="B6215" t="s">
        <v>16076</v>
      </c>
      <c r="C6215" t="s">
        <v>18442</v>
      </c>
      <c r="D6215" t="s">
        <v>16078</v>
      </c>
      <c r="E6215" t="s">
        <v>18443</v>
      </c>
      <c r="F6215" t="s">
        <v>18444</v>
      </c>
      <c r="G6215" t="s">
        <v>16091</v>
      </c>
      <c r="H6215" t="s">
        <v>18445</v>
      </c>
      <c r="I6215" t="s">
        <v>16082</v>
      </c>
    </row>
    <row r="6216" spans="1:9">
      <c r="A6216" t="s">
        <v>16075</v>
      </c>
      <c r="B6216" t="s">
        <v>16076</v>
      </c>
      <c r="C6216" t="s">
        <v>18446</v>
      </c>
      <c r="D6216" t="s">
        <v>16078</v>
      </c>
      <c r="E6216" t="s">
        <v>18447</v>
      </c>
      <c r="F6216" t="s">
        <v>18448</v>
      </c>
      <c r="G6216" t="s">
        <v>16086</v>
      </c>
      <c r="H6216" t="s">
        <v>18449</v>
      </c>
      <c r="I6216" t="s">
        <v>16082</v>
      </c>
    </row>
    <row r="6217" spans="1:9">
      <c r="A6217" t="s">
        <v>16075</v>
      </c>
      <c r="B6217" t="s">
        <v>16076</v>
      </c>
      <c r="C6217" t="s">
        <v>18450</v>
      </c>
      <c r="D6217" t="s">
        <v>16078</v>
      </c>
      <c r="E6217" t="s">
        <v>18451</v>
      </c>
      <c r="F6217" t="s">
        <v>18452</v>
      </c>
      <c r="G6217" t="s">
        <v>16101</v>
      </c>
      <c r="H6217" t="s">
        <v>18453</v>
      </c>
    </row>
    <row r="6218" spans="1:9">
      <c r="A6218" t="s">
        <v>16075</v>
      </c>
      <c r="B6218" t="s">
        <v>16076</v>
      </c>
      <c r="C6218" t="s">
        <v>18454</v>
      </c>
      <c r="D6218" t="s">
        <v>16078</v>
      </c>
      <c r="E6218" t="s">
        <v>7659</v>
      </c>
      <c r="F6218" t="s">
        <v>18455</v>
      </c>
      <c r="G6218" t="s">
        <v>17282</v>
      </c>
      <c r="H6218" t="s">
        <v>18456</v>
      </c>
      <c r="I6218" t="s">
        <v>16082</v>
      </c>
    </row>
    <row r="6219" spans="1:9">
      <c r="A6219" t="s">
        <v>16075</v>
      </c>
      <c r="B6219" t="s">
        <v>16076</v>
      </c>
      <c r="C6219" t="s">
        <v>18457</v>
      </c>
      <c r="D6219" t="s">
        <v>16078</v>
      </c>
      <c r="E6219" t="s">
        <v>11662</v>
      </c>
      <c r="F6219" t="s">
        <v>18458</v>
      </c>
      <c r="G6219" t="s">
        <v>16173</v>
      </c>
      <c r="H6219" t="s">
        <v>18459</v>
      </c>
      <c r="I6219" t="s">
        <v>16082</v>
      </c>
    </row>
    <row r="6220" spans="1:9">
      <c r="A6220" t="s">
        <v>16075</v>
      </c>
      <c r="B6220" t="s">
        <v>16076</v>
      </c>
      <c r="C6220" t="s">
        <v>18460</v>
      </c>
      <c r="D6220" t="s">
        <v>16078</v>
      </c>
      <c r="E6220" t="s">
        <v>18461</v>
      </c>
      <c r="F6220" t="s">
        <v>18462</v>
      </c>
      <c r="G6220" t="s">
        <v>16131</v>
      </c>
      <c r="H6220" t="s">
        <v>18463</v>
      </c>
      <c r="I6220" t="s">
        <v>16082</v>
      </c>
    </row>
    <row r="6221" spans="1:9">
      <c r="A6221" t="s">
        <v>16075</v>
      </c>
      <c r="B6221" t="s">
        <v>16076</v>
      </c>
      <c r="C6221" t="s">
        <v>18464</v>
      </c>
      <c r="D6221" t="s">
        <v>16078</v>
      </c>
      <c r="E6221" t="s">
        <v>18465</v>
      </c>
      <c r="F6221" t="s">
        <v>18466</v>
      </c>
      <c r="G6221" t="s">
        <v>17282</v>
      </c>
      <c r="H6221" t="s">
        <v>18467</v>
      </c>
      <c r="I6221" t="s">
        <v>16082</v>
      </c>
    </row>
    <row r="6222" spans="1:9">
      <c r="A6222" t="s">
        <v>16075</v>
      </c>
      <c r="B6222" t="s">
        <v>16076</v>
      </c>
      <c r="C6222" t="s">
        <v>18468</v>
      </c>
      <c r="D6222" t="s">
        <v>16078</v>
      </c>
      <c r="E6222" t="s">
        <v>18469</v>
      </c>
      <c r="F6222" t="s">
        <v>18470</v>
      </c>
      <c r="G6222" t="s">
        <v>16105</v>
      </c>
      <c r="H6222" t="s">
        <v>18471</v>
      </c>
      <c r="I6222" t="s">
        <v>16082</v>
      </c>
    </row>
    <row r="6223" spans="1:9">
      <c r="A6223" t="s">
        <v>16075</v>
      </c>
      <c r="B6223" t="s">
        <v>16076</v>
      </c>
      <c r="C6223" t="s">
        <v>18472</v>
      </c>
      <c r="D6223" t="s">
        <v>16078</v>
      </c>
      <c r="E6223" t="s">
        <v>18473</v>
      </c>
      <c r="F6223" t="s">
        <v>18474</v>
      </c>
      <c r="G6223" t="s">
        <v>16131</v>
      </c>
      <c r="H6223" t="s">
        <v>18475</v>
      </c>
      <c r="I6223" t="s">
        <v>16082</v>
      </c>
    </row>
    <row r="6224" spans="1:9">
      <c r="A6224" t="s">
        <v>16075</v>
      </c>
      <c r="B6224" t="s">
        <v>16076</v>
      </c>
      <c r="C6224" t="s">
        <v>18476</v>
      </c>
      <c r="D6224" t="s">
        <v>16078</v>
      </c>
      <c r="E6224" t="s">
        <v>18477</v>
      </c>
      <c r="F6224" t="s">
        <v>18478</v>
      </c>
      <c r="G6224" t="s">
        <v>16131</v>
      </c>
      <c r="H6224" t="s">
        <v>18479</v>
      </c>
      <c r="I6224" t="s">
        <v>16082</v>
      </c>
    </row>
    <row r="6225" spans="1:9">
      <c r="A6225" t="s">
        <v>16075</v>
      </c>
      <c r="B6225" t="s">
        <v>16076</v>
      </c>
      <c r="C6225" t="s">
        <v>18480</v>
      </c>
      <c r="D6225" t="s">
        <v>16078</v>
      </c>
      <c r="E6225" t="s">
        <v>13347</v>
      </c>
      <c r="F6225" t="s">
        <v>18481</v>
      </c>
      <c r="G6225" t="s">
        <v>16451</v>
      </c>
      <c r="H6225" t="s">
        <v>18482</v>
      </c>
      <c r="I6225" t="s">
        <v>16082</v>
      </c>
    </row>
    <row r="6226" spans="1:9">
      <c r="A6226" t="s">
        <v>16075</v>
      </c>
      <c r="B6226" t="s">
        <v>16076</v>
      </c>
      <c r="C6226" t="s">
        <v>18483</v>
      </c>
      <c r="D6226" t="s">
        <v>16078</v>
      </c>
      <c r="E6226" t="s">
        <v>18484</v>
      </c>
      <c r="F6226" t="s">
        <v>18485</v>
      </c>
      <c r="G6226" t="s">
        <v>16397</v>
      </c>
      <c r="H6226" t="s">
        <v>18486</v>
      </c>
      <c r="I6226" t="s">
        <v>16082</v>
      </c>
    </row>
    <row r="6227" spans="1:9">
      <c r="A6227" t="s">
        <v>16075</v>
      </c>
      <c r="B6227" t="s">
        <v>16076</v>
      </c>
      <c r="C6227" t="s">
        <v>18487</v>
      </c>
      <c r="D6227" t="s">
        <v>16078</v>
      </c>
      <c r="E6227" t="s">
        <v>18488</v>
      </c>
      <c r="F6227" t="s">
        <v>18489</v>
      </c>
      <c r="G6227" t="s">
        <v>16451</v>
      </c>
      <c r="H6227" t="s">
        <v>18467</v>
      </c>
      <c r="I6227" t="s">
        <v>16093</v>
      </c>
    </row>
    <row r="6228" spans="1:9">
      <c r="A6228" t="s">
        <v>16075</v>
      </c>
      <c r="B6228" t="s">
        <v>16076</v>
      </c>
      <c r="C6228" t="s">
        <v>18490</v>
      </c>
      <c r="D6228" t="s">
        <v>16078</v>
      </c>
      <c r="E6228" t="s">
        <v>18491</v>
      </c>
      <c r="F6228" t="s">
        <v>18492</v>
      </c>
      <c r="G6228" t="s">
        <v>16438</v>
      </c>
      <c r="H6228" t="s">
        <v>18493</v>
      </c>
      <c r="I6228" t="s">
        <v>16082</v>
      </c>
    </row>
    <row r="6229" spans="1:9">
      <c r="A6229" t="s">
        <v>16075</v>
      </c>
      <c r="B6229" t="s">
        <v>16076</v>
      </c>
      <c r="C6229" t="s">
        <v>18494</v>
      </c>
      <c r="D6229" t="s">
        <v>16078</v>
      </c>
      <c r="E6229" t="s">
        <v>13515</v>
      </c>
      <c r="F6229" t="s">
        <v>18495</v>
      </c>
      <c r="G6229" t="s">
        <v>16194</v>
      </c>
      <c r="H6229" t="s">
        <v>18496</v>
      </c>
      <c r="I6229" t="s">
        <v>16082</v>
      </c>
    </row>
    <row r="6230" spans="1:9">
      <c r="A6230" t="s">
        <v>16075</v>
      </c>
      <c r="B6230" t="s">
        <v>16076</v>
      </c>
      <c r="C6230" t="s">
        <v>18497</v>
      </c>
      <c r="D6230" t="s">
        <v>16078</v>
      </c>
      <c r="E6230" t="s">
        <v>18498</v>
      </c>
      <c r="F6230" t="s">
        <v>18499</v>
      </c>
      <c r="G6230" t="s">
        <v>16194</v>
      </c>
      <c r="H6230" t="s">
        <v>18500</v>
      </c>
      <c r="I6230" t="s">
        <v>16082</v>
      </c>
    </row>
    <row r="6231" spans="1:9">
      <c r="A6231" t="s">
        <v>16075</v>
      </c>
      <c r="B6231" t="s">
        <v>16076</v>
      </c>
      <c r="C6231" t="s">
        <v>18501</v>
      </c>
      <c r="D6231" t="s">
        <v>16078</v>
      </c>
      <c r="E6231" t="s">
        <v>18502</v>
      </c>
      <c r="F6231" t="s">
        <v>18503</v>
      </c>
      <c r="G6231" t="s">
        <v>16194</v>
      </c>
      <c r="H6231" t="s">
        <v>18504</v>
      </c>
      <c r="I6231" t="s">
        <v>16082</v>
      </c>
    </row>
    <row r="6232" spans="1:9">
      <c r="A6232" t="s">
        <v>16075</v>
      </c>
      <c r="B6232" t="s">
        <v>16076</v>
      </c>
      <c r="C6232" t="s">
        <v>18505</v>
      </c>
      <c r="D6232" t="s">
        <v>16078</v>
      </c>
      <c r="E6232" t="s">
        <v>18506</v>
      </c>
      <c r="F6232" t="s">
        <v>18507</v>
      </c>
      <c r="G6232" t="s">
        <v>16239</v>
      </c>
      <c r="H6232" t="s">
        <v>18508</v>
      </c>
      <c r="I6232" t="s">
        <v>16082</v>
      </c>
    </row>
    <row r="6233" spans="1:9">
      <c r="A6233" t="s">
        <v>16075</v>
      </c>
      <c r="B6233" t="s">
        <v>16076</v>
      </c>
      <c r="C6233" t="s">
        <v>18509</v>
      </c>
      <c r="D6233" t="s">
        <v>16078</v>
      </c>
      <c r="E6233" t="s">
        <v>18510</v>
      </c>
      <c r="F6233" t="s">
        <v>18511</v>
      </c>
      <c r="G6233" t="s">
        <v>16131</v>
      </c>
      <c r="H6233" t="s">
        <v>18512</v>
      </c>
      <c r="I6233" t="s">
        <v>16082</v>
      </c>
    </row>
    <row r="6234" spans="1:9">
      <c r="A6234" t="s">
        <v>16075</v>
      </c>
      <c r="B6234" t="s">
        <v>16076</v>
      </c>
      <c r="C6234" t="s">
        <v>18513</v>
      </c>
      <c r="D6234" t="s">
        <v>16078</v>
      </c>
      <c r="E6234" t="s">
        <v>18514</v>
      </c>
      <c r="F6234" t="s">
        <v>18515</v>
      </c>
      <c r="G6234" t="s">
        <v>16209</v>
      </c>
      <c r="H6234" t="s">
        <v>18516</v>
      </c>
      <c r="I6234" t="s">
        <v>16082</v>
      </c>
    </row>
    <row r="6235" spans="1:9">
      <c r="A6235" t="s">
        <v>16075</v>
      </c>
      <c r="B6235" t="s">
        <v>16076</v>
      </c>
      <c r="C6235" t="s">
        <v>18517</v>
      </c>
      <c r="D6235" t="s">
        <v>16078</v>
      </c>
      <c r="E6235" t="s">
        <v>18518</v>
      </c>
      <c r="F6235" t="s">
        <v>18519</v>
      </c>
      <c r="G6235" t="s">
        <v>16194</v>
      </c>
      <c r="H6235" t="s">
        <v>18520</v>
      </c>
      <c r="I6235" t="s">
        <v>16082</v>
      </c>
    </row>
    <row r="6236" spans="1:9">
      <c r="A6236" t="s">
        <v>16075</v>
      </c>
      <c r="B6236" t="s">
        <v>16076</v>
      </c>
      <c r="C6236" t="s">
        <v>18521</v>
      </c>
      <c r="D6236" t="s">
        <v>16078</v>
      </c>
      <c r="E6236" t="s">
        <v>18522</v>
      </c>
      <c r="F6236" t="s">
        <v>18523</v>
      </c>
      <c r="G6236" t="s">
        <v>16105</v>
      </c>
      <c r="H6236" t="s">
        <v>18524</v>
      </c>
      <c r="I6236" t="s">
        <v>16082</v>
      </c>
    </row>
    <row r="6237" spans="1:9">
      <c r="A6237" t="s">
        <v>16075</v>
      </c>
      <c r="B6237" t="s">
        <v>16076</v>
      </c>
      <c r="C6237" t="s">
        <v>18525</v>
      </c>
      <c r="D6237" t="s">
        <v>16078</v>
      </c>
      <c r="E6237" t="s">
        <v>2297</v>
      </c>
      <c r="F6237" t="s">
        <v>18526</v>
      </c>
      <c r="G6237" t="s">
        <v>16209</v>
      </c>
      <c r="H6237" t="s">
        <v>18527</v>
      </c>
      <c r="I6237" t="s">
        <v>16082</v>
      </c>
    </row>
    <row r="6238" spans="1:9">
      <c r="A6238" t="s">
        <v>16075</v>
      </c>
      <c r="B6238" t="s">
        <v>16076</v>
      </c>
      <c r="C6238" t="s">
        <v>18528</v>
      </c>
      <c r="D6238" t="s">
        <v>16078</v>
      </c>
      <c r="E6238" t="s">
        <v>14339</v>
      </c>
      <c r="F6238" t="s">
        <v>18529</v>
      </c>
      <c r="G6238" t="s">
        <v>16091</v>
      </c>
      <c r="H6238" t="s">
        <v>18530</v>
      </c>
      <c r="I6238" t="s">
        <v>16082</v>
      </c>
    </row>
    <row r="6239" spans="1:9">
      <c r="A6239" t="s">
        <v>16075</v>
      </c>
      <c r="B6239" t="s">
        <v>16076</v>
      </c>
      <c r="C6239" t="s">
        <v>18531</v>
      </c>
      <c r="D6239" t="s">
        <v>16078</v>
      </c>
      <c r="E6239" t="s">
        <v>18532</v>
      </c>
      <c r="F6239" t="s">
        <v>18533</v>
      </c>
      <c r="G6239" t="s">
        <v>16097</v>
      </c>
    </row>
    <row r="6240" spans="1:9">
      <c r="A6240" t="s">
        <v>16075</v>
      </c>
      <c r="B6240" t="s">
        <v>16076</v>
      </c>
      <c r="C6240" t="s">
        <v>18534</v>
      </c>
      <c r="D6240" t="s">
        <v>16078</v>
      </c>
      <c r="E6240" t="s">
        <v>18535</v>
      </c>
      <c r="F6240" t="s">
        <v>18536</v>
      </c>
      <c r="G6240" t="s">
        <v>16194</v>
      </c>
      <c r="H6240" t="s">
        <v>18537</v>
      </c>
      <c r="I6240" t="s">
        <v>16082</v>
      </c>
    </row>
    <row r="6241" spans="1:9">
      <c r="A6241" t="s">
        <v>16075</v>
      </c>
      <c r="B6241" t="s">
        <v>16076</v>
      </c>
      <c r="C6241" t="s">
        <v>18538</v>
      </c>
      <c r="D6241" t="s">
        <v>16078</v>
      </c>
      <c r="E6241" t="s">
        <v>11332</v>
      </c>
      <c r="F6241" t="s">
        <v>18539</v>
      </c>
      <c r="G6241" t="s">
        <v>16462</v>
      </c>
      <c r="H6241" t="s">
        <v>18540</v>
      </c>
      <c r="I6241" t="s">
        <v>16082</v>
      </c>
    </row>
    <row r="6242" spans="1:9">
      <c r="A6242" t="s">
        <v>16075</v>
      </c>
      <c r="B6242" t="s">
        <v>16076</v>
      </c>
      <c r="C6242" t="s">
        <v>18541</v>
      </c>
      <c r="D6242" t="s">
        <v>16078</v>
      </c>
      <c r="E6242" t="s">
        <v>18542</v>
      </c>
      <c r="F6242" t="s">
        <v>18543</v>
      </c>
      <c r="G6242" t="s">
        <v>16173</v>
      </c>
      <c r="H6242" t="s">
        <v>18544</v>
      </c>
      <c r="I6242" t="s">
        <v>16082</v>
      </c>
    </row>
    <row r="6243" spans="1:9">
      <c r="A6243" t="s">
        <v>16075</v>
      </c>
      <c r="B6243" t="s">
        <v>16076</v>
      </c>
      <c r="C6243" t="s">
        <v>18545</v>
      </c>
      <c r="D6243" t="s">
        <v>16078</v>
      </c>
      <c r="E6243" t="s">
        <v>5072</v>
      </c>
      <c r="F6243" t="s">
        <v>18546</v>
      </c>
      <c r="G6243" t="s">
        <v>16397</v>
      </c>
      <c r="H6243" t="s">
        <v>18547</v>
      </c>
      <c r="I6243" t="s">
        <v>16082</v>
      </c>
    </row>
    <row r="6244" spans="1:9">
      <c r="A6244" t="s">
        <v>16075</v>
      </c>
      <c r="B6244" t="s">
        <v>16076</v>
      </c>
      <c r="C6244" t="s">
        <v>18548</v>
      </c>
      <c r="D6244" t="s">
        <v>16078</v>
      </c>
      <c r="E6244" t="s">
        <v>18549</v>
      </c>
      <c r="F6244" t="s">
        <v>18550</v>
      </c>
      <c r="G6244" t="s">
        <v>17229</v>
      </c>
      <c r="H6244" t="s">
        <v>18551</v>
      </c>
      <c r="I6244" t="s">
        <v>16082</v>
      </c>
    </row>
    <row r="6245" spans="1:9">
      <c r="A6245" t="s">
        <v>16075</v>
      </c>
      <c r="B6245" t="s">
        <v>16076</v>
      </c>
      <c r="C6245" t="s">
        <v>18552</v>
      </c>
      <c r="D6245" t="s">
        <v>16078</v>
      </c>
      <c r="E6245" t="s">
        <v>13761</v>
      </c>
      <c r="F6245" t="s">
        <v>18553</v>
      </c>
      <c r="G6245" t="s">
        <v>16105</v>
      </c>
      <c r="H6245" t="s">
        <v>18554</v>
      </c>
      <c r="I6245" t="s">
        <v>16082</v>
      </c>
    </row>
    <row r="6246" spans="1:9">
      <c r="A6246" t="s">
        <v>16075</v>
      </c>
      <c r="B6246" t="s">
        <v>16076</v>
      </c>
      <c r="C6246" t="s">
        <v>18555</v>
      </c>
      <c r="D6246" t="s">
        <v>16078</v>
      </c>
      <c r="E6246" t="s">
        <v>2300</v>
      </c>
      <c r="F6246" t="s">
        <v>18556</v>
      </c>
      <c r="G6246" t="s">
        <v>16080</v>
      </c>
      <c r="H6246" t="s">
        <v>18078</v>
      </c>
      <c r="I6246" t="s">
        <v>16082</v>
      </c>
    </row>
    <row r="6247" spans="1:9">
      <c r="A6247" t="s">
        <v>16075</v>
      </c>
      <c r="B6247" t="s">
        <v>16076</v>
      </c>
      <c r="C6247" t="s">
        <v>18557</v>
      </c>
      <c r="D6247" t="s">
        <v>16078</v>
      </c>
      <c r="E6247" t="s">
        <v>18558</v>
      </c>
      <c r="F6247" t="s">
        <v>18559</v>
      </c>
      <c r="G6247" t="s">
        <v>16266</v>
      </c>
      <c r="H6247" t="s">
        <v>18560</v>
      </c>
      <c r="I6247" t="s">
        <v>16082</v>
      </c>
    </row>
    <row r="6248" spans="1:9">
      <c r="A6248" t="s">
        <v>16075</v>
      </c>
      <c r="B6248" t="s">
        <v>16076</v>
      </c>
      <c r="C6248" t="s">
        <v>18561</v>
      </c>
      <c r="D6248" t="s">
        <v>16078</v>
      </c>
      <c r="E6248" t="s">
        <v>18562</v>
      </c>
      <c r="F6248" t="s">
        <v>18563</v>
      </c>
      <c r="G6248" t="s">
        <v>16159</v>
      </c>
      <c r="H6248" t="s">
        <v>18564</v>
      </c>
      <c r="I6248" t="s">
        <v>16082</v>
      </c>
    </row>
    <row r="6249" spans="1:9">
      <c r="A6249" t="s">
        <v>16075</v>
      </c>
      <c r="B6249" t="s">
        <v>16076</v>
      </c>
      <c r="C6249" t="s">
        <v>18565</v>
      </c>
      <c r="D6249" t="s">
        <v>16078</v>
      </c>
      <c r="E6249" t="s">
        <v>18566</v>
      </c>
      <c r="F6249" t="s">
        <v>18567</v>
      </c>
      <c r="G6249" t="s">
        <v>16116</v>
      </c>
      <c r="H6249" t="s">
        <v>18568</v>
      </c>
      <c r="I6249" t="s">
        <v>16082</v>
      </c>
    </row>
    <row r="6250" spans="1:9">
      <c r="A6250" t="s">
        <v>16075</v>
      </c>
      <c r="B6250" t="s">
        <v>16076</v>
      </c>
      <c r="C6250" t="s">
        <v>18569</v>
      </c>
      <c r="D6250" t="s">
        <v>16078</v>
      </c>
      <c r="E6250" t="s">
        <v>18570</v>
      </c>
      <c r="F6250" t="s">
        <v>18571</v>
      </c>
      <c r="G6250" t="s">
        <v>16534</v>
      </c>
      <c r="H6250" t="s">
        <v>18572</v>
      </c>
      <c r="I6250" t="s">
        <v>16082</v>
      </c>
    </row>
    <row r="6251" spans="1:9">
      <c r="A6251" t="s">
        <v>16075</v>
      </c>
      <c r="B6251" t="s">
        <v>16076</v>
      </c>
      <c r="C6251" t="s">
        <v>18573</v>
      </c>
      <c r="D6251" t="s">
        <v>16078</v>
      </c>
      <c r="E6251" t="s">
        <v>18574</v>
      </c>
      <c r="F6251" t="s">
        <v>18575</v>
      </c>
      <c r="G6251" t="s">
        <v>16173</v>
      </c>
      <c r="H6251" t="s">
        <v>18576</v>
      </c>
      <c r="I6251" t="s">
        <v>16082</v>
      </c>
    </row>
    <row r="6252" spans="1:9">
      <c r="A6252" t="s">
        <v>16075</v>
      </c>
      <c r="B6252" t="s">
        <v>16076</v>
      </c>
      <c r="C6252" t="s">
        <v>18577</v>
      </c>
      <c r="D6252" t="s">
        <v>16078</v>
      </c>
      <c r="E6252" t="s">
        <v>18578</v>
      </c>
      <c r="F6252" t="s">
        <v>18579</v>
      </c>
      <c r="G6252" t="s">
        <v>16131</v>
      </c>
      <c r="H6252" t="s">
        <v>18580</v>
      </c>
      <c r="I6252" t="s">
        <v>16082</v>
      </c>
    </row>
    <row r="6253" spans="1:9">
      <c r="A6253" t="s">
        <v>16075</v>
      </c>
      <c r="B6253" t="s">
        <v>16076</v>
      </c>
      <c r="C6253" t="s">
        <v>18581</v>
      </c>
      <c r="D6253" t="s">
        <v>16078</v>
      </c>
      <c r="E6253" t="s">
        <v>18582</v>
      </c>
      <c r="F6253" t="s">
        <v>18583</v>
      </c>
      <c r="G6253" t="s">
        <v>16105</v>
      </c>
      <c r="H6253" t="s">
        <v>18584</v>
      </c>
      <c r="I6253" t="s">
        <v>16093</v>
      </c>
    </row>
    <row r="6254" spans="1:9">
      <c r="A6254" t="s">
        <v>16075</v>
      </c>
      <c r="B6254" t="s">
        <v>16076</v>
      </c>
      <c r="C6254" t="s">
        <v>18585</v>
      </c>
      <c r="D6254" t="s">
        <v>16078</v>
      </c>
      <c r="E6254" t="s">
        <v>18586</v>
      </c>
      <c r="F6254" t="s">
        <v>18587</v>
      </c>
      <c r="G6254" t="s">
        <v>16266</v>
      </c>
      <c r="H6254" t="s">
        <v>18588</v>
      </c>
      <c r="I6254" t="s">
        <v>16082</v>
      </c>
    </row>
    <row r="6255" spans="1:9">
      <c r="A6255" t="s">
        <v>16075</v>
      </c>
      <c r="B6255" t="s">
        <v>16076</v>
      </c>
      <c r="C6255" t="s">
        <v>18589</v>
      </c>
      <c r="D6255" t="s">
        <v>16078</v>
      </c>
      <c r="E6255" t="s">
        <v>18590</v>
      </c>
      <c r="F6255" t="s">
        <v>18591</v>
      </c>
      <c r="G6255" t="s">
        <v>18592</v>
      </c>
      <c r="H6255" t="s">
        <v>18593</v>
      </c>
    </row>
    <row r="6256" spans="1:9">
      <c r="A6256" t="s">
        <v>16075</v>
      </c>
      <c r="B6256" t="s">
        <v>16076</v>
      </c>
      <c r="C6256" t="s">
        <v>18594</v>
      </c>
      <c r="D6256" t="s">
        <v>16078</v>
      </c>
      <c r="E6256" t="s">
        <v>18595</v>
      </c>
      <c r="F6256" t="s">
        <v>18596</v>
      </c>
      <c r="G6256" t="s">
        <v>16173</v>
      </c>
      <c r="H6256" t="s">
        <v>18597</v>
      </c>
      <c r="I6256" t="s">
        <v>16082</v>
      </c>
    </row>
    <row r="6257" spans="1:9">
      <c r="A6257" t="s">
        <v>16075</v>
      </c>
      <c r="B6257" t="s">
        <v>16076</v>
      </c>
      <c r="C6257" t="s">
        <v>18598</v>
      </c>
      <c r="D6257" t="s">
        <v>16078</v>
      </c>
      <c r="E6257" t="s">
        <v>18599</v>
      </c>
      <c r="F6257" t="s">
        <v>18600</v>
      </c>
      <c r="G6257" t="s">
        <v>16091</v>
      </c>
      <c r="H6257" t="s">
        <v>18601</v>
      </c>
      <c r="I6257" t="s">
        <v>16093</v>
      </c>
    </row>
    <row r="6258" spans="1:9">
      <c r="A6258" t="s">
        <v>16075</v>
      </c>
      <c r="B6258" t="s">
        <v>16076</v>
      </c>
      <c r="C6258" t="s">
        <v>18602</v>
      </c>
      <c r="D6258" t="s">
        <v>16078</v>
      </c>
      <c r="E6258" t="s">
        <v>18603</v>
      </c>
      <c r="F6258" t="s">
        <v>18604</v>
      </c>
      <c r="G6258" t="s">
        <v>16846</v>
      </c>
      <c r="H6258" t="s">
        <v>18605</v>
      </c>
      <c r="I6258" t="s">
        <v>16082</v>
      </c>
    </row>
    <row r="6259" spans="1:9">
      <c r="A6259" t="s">
        <v>16075</v>
      </c>
      <c r="B6259" t="s">
        <v>16076</v>
      </c>
      <c r="C6259" t="s">
        <v>18606</v>
      </c>
      <c r="D6259" t="s">
        <v>16078</v>
      </c>
      <c r="E6259" t="s">
        <v>18607</v>
      </c>
      <c r="F6259" t="s">
        <v>18608</v>
      </c>
      <c r="G6259" t="s">
        <v>16534</v>
      </c>
      <c r="H6259" t="s">
        <v>18609</v>
      </c>
      <c r="I6259" t="s">
        <v>16082</v>
      </c>
    </row>
    <row r="6260" spans="1:9">
      <c r="A6260" t="s">
        <v>16075</v>
      </c>
      <c r="B6260" t="s">
        <v>16076</v>
      </c>
      <c r="C6260" t="s">
        <v>18610</v>
      </c>
      <c r="D6260" t="s">
        <v>16078</v>
      </c>
      <c r="E6260" t="s">
        <v>11338</v>
      </c>
      <c r="F6260" t="s">
        <v>18611</v>
      </c>
      <c r="G6260" t="s">
        <v>16194</v>
      </c>
      <c r="H6260" t="s">
        <v>18612</v>
      </c>
      <c r="I6260" t="s">
        <v>16082</v>
      </c>
    </row>
    <row r="6261" spans="1:9">
      <c r="A6261" t="s">
        <v>16075</v>
      </c>
      <c r="B6261" t="s">
        <v>16076</v>
      </c>
      <c r="C6261" t="s">
        <v>18613</v>
      </c>
      <c r="D6261" t="s">
        <v>16078</v>
      </c>
      <c r="E6261" t="s">
        <v>766</v>
      </c>
      <c r="F6261" t="s">
        <v>18614</v>
      </c>
      <c r="G6261" t="s">
        <v>16303</v>
      </c>
      <c r="H6261" t="s">
        <v>17871</v>
      </c>
      <c r="I6261" t="s">
        <v>16082</v>
      </c>
    </row>
    <row r="6262" spans="1:9">
      <c r="A6262" t="s">
        <v>16075</v>
      </c>
      <c r="B6262" t="s">
        <v>16076</v>
      </c>
      <c r="C6262" t="s">
        <v>18615</v>
      </c>
      <c r="D6262" t="s">
        <v>16078</v>
      </c>
      <c r="E6262" t="s">
        <v>18616</v>
      </c>
      <c r="F6262" t="s">
        <v>18617</v>
      </c>
      <c r="G6262" t="s">
        <v>16086</v>
      </c>
      <c r="H6262" t="s">
        <v>18618</v>
      </c>
      <c r="I6262" t="s">
        <v>16082</v>
      </c>
    </row>
    <row r="6263" spans="1:9">
      <c r="A6263" t="s">
        <v>16075</v>
      </c>
      <c r="B6263" t="s">
        <v>16076</v>
      </c>
      <c r="C6263" t="s">
        <v>18619</v>
      </c>
      <c r="D6263" t="s">
        <v>16078</v>
      </c>
      <c r="E6263" t="s">
        <v>15190</v>
      </c>
      <c r="F6263" t="s">
        <v>18620</v>
      </c>
      <c r="G6263" t="s">
        <v>16101</v>
      </c>
      <c r="H6263" t="s">
        <v>18621</v>
      </c>
      <c r="I6263" t="s">
        <v>16082</v>
      </c>
    </row>
    <row r="6264" spans="1:9">
      <c r="A6264" t="s">
        <v>16075</v>
      </c>
      <c r="B6264" t="s">
        <v>16076</v>
      </c>
      <c r="C6264" t="s">
        <v>18622</v>
      </c>
      <c r="D6264" t="s">
        <v>16078</v>
      </c>
      <c r="E6264" t="s">
        <v>18623</v>
      </c>
      <c r="F6264" t="s">
        <v>18624</v>
      </c>
      <c r="G6264" t="s">
        <v>16194</v>
      </c>
      <c r="H6264" t="s">
        <v>18625</v>
      </c>
      <c r="I6264" t="s">
        <v>16082</v>
      </c>
    </row>
    <row r="6265" spans="1:9">
      <c r="A6265" t="s">
        <v>16075</v>
      </c>
      <c r="B6265" t="s">
        <v>16076</v>
      </c>
      <c r="C6265" t="s">
        <v>18626</v>
      </c>
      <c r="D6265" t="s">
        <v>16078</v>
      </c>
      <c r="E6265" t="s">
        <v>18627</v>
      </c>
      <c r="F6265" t="s">
        <v>18628</v>
      </c>
      <c r="G6265" t="s">
        <v>16194</v>
      </c>
      <c r="H6265" t="s">
        <v>18629</v>
      </c>
      <c r="I6265" t="s">
        <v>16082</v>
      </c>
    </row>
    <row r="6266" spans="1:9">
      <c r="A6266" t="s">
        <v>16075</v>
      </c>
      <c r="B6266" t="s">
        <v>16076</v>
      </c>
      <c r="C6266" t="s">
        <v>18630</v>
      </c>
      <c r="D6266" t="s">
        <v>16078</v>
      </c>
      <c r="E6266" t="s">
        <v>18631</v>
      </c>
      <c r="F6266" t="s">
        <v>18632</v>
      </c>
      <c r="G6266" t="s">
        <v>16080</v>
      </c>
      <c r="H6266" t="s">
        <v>18633</v>
      </c>
      <c r="I6266" t="s">
        <v>16082</v>
      </c>
    </row>
    <row r="6267" spans="1:9">
      <c r="A6267" t="s">
        <v>16075</v>
      </c>
      <c r="B6267" t="s">
        <v>16076</v>
      </c>
      <c r="C6267" t="s">
        <v>18634</v>
      </c>
      <c r="D6267" t="s">
        <v>16078</v>
      </c>
      <c r="E6267" t="s">
        <v>18635</v>
      </c>
      <c r="F6267" t="s">
        <v>18636</v>
      </c>
      <c r="G6267" t="s">
        <v>16209</v>
      </c>
      <c r="H6267" t="s">
        <v>18637</v>
      </c>
      <c r="I6267" t="s">
        <v>16082</v>
      </c>
    </row>
    <row r="6268" spans="1:9">
      <c r="A6268" t="s">
        <v>16075</v>
      </c>
      <c r="B6268" t="s">
        <v>16076</v>
      </c>
      <c r="C6268" t="s">
        <v>18638</v>
      </c>
      <c r="D6268" t="s">
        <v>16078</v>
      </c>
      <c r="E6268" t="s">
        <v>18639</v>
      </c>
      <c r="F6268" t="s">
        <v>18640</v>
      </c>
      <c r="G6268" t="s">
        <v>16131</v>
      </c>
      <c r="H6268" t="s">
        <v>17878</v>
      </c>
      <c r="I6268" t="s">
        <v>16082</v>
      </c>
    </row>
    <row r="6269" spans="1:9">
      <c r="A6269" t="s">
        <v>16075</v>
      </c>
      <c r="B6269" t="s">
        <v>16076</v>
      </c>
      <c r="C6269" t="s">
        <v>18641</v>
      </c>
      <c r="D6269" t="s">
        <v>16078</v>
      </c>
      <c r="E6269" t="s">
        <v>7307</v>
      </c>
      <c r="F6269" t="s">
        <v>18642</v>
      </c>
      <c r="G6269" t="s">
        <v>16665</v>
      </c>
      <c r="H6269" t="s">
        <v>18643</v>
      </c>
    </row>
    <row r="6270" spans="1:9">
      <c r="A6270" t="s">
        <v>16075</v>
      </c>
      <c r="B6270" t="s">
        <v>16076</v>
      </c>
      <c r="C6270" t="s">
        <v>18644</v>
      </c>
      <c r="D6270" t="s">
        <v>16078</v>
      </c>
      <c r="E6270" t="s">
        <v>2305</v>
      </c>
      <c r="F6270" t="s">
        <v>18645</v>
      </c>
      <c r="G6270" t="s">
        <v>16209</v>
      </c>
      <c r="H6270" t="s">
        <v>18646</v>
      </c>
      <c r="I6270" t="s">
        <v>16082</v>
      </c>
    </row>
    <row r="6271" spans="1:9">
      <c r="A6271" t="s">
        <v>16075</v>
      </c>
      <c r="B6271" t="s">
        <v>16076</v>
      </c>
      <c r="C6271" t="s">
        <v>18647</v>
      </c>
      <c r="D6271" t="s">
        <v>16078</v>
      </c>
      <c r="E6271" t="s">
        <v>18648</v>
      </c>
      <c r="F6271" t="s">
        <v>18649</v>
      </c>
      <c r="G6271" t="s">
        <v>16097</v>
      </c>
      <c r="H6271" t="s">
        <v>18650</v>
      </c>
      <c r="I6271" t="s">
        <v>16082</v>
      </c>
    </row>
    <row r="6272" spans="1:9">
      <c r="A6272" t="s">
        <v>16075</v>
      </c>
      <c r="B6272" t="s">
        <v>16076</v>
      </c>
      <c r="C6272" t="s">
        <v>18651</v>
      </c>
      <c r="D6272" t="s">
        <v>16078</v>
      </c>
      <c r="E6272" t="s">
        <v>2308</v>
      </c>
      <c r="F6272" t="s">
        <v>18652</v>
      </c>
      <c r="G6272" t="s">
        <v>16086</v>
      </c>
      <c r="H6272" t="s">
        <v>18653</v>
      </c>
      <c r="I6272" t="s">
        <v>16082</v>
      </c>
    </row>
    <row r="6273" spans="1:9">
      <c r="A6273" t="s">
        <v>16075</v>
      </c>
      <c r="B6273" t="s">
        <v>16076</v>
      </c>
      <c r="C6273" t="s">
        <v>18654</v>
      </c>
      <c r="D6273" t="s">
        <v>16078</v>
      </c>
      <c r="E6273" t="s">
        <v>13808</v>
      </c>
      <c r="F6273" t="s">
        <v>18655</v>
      </c>
      <c r="G6273" t="s">
        <v>16209</v>
      </c>
      <c r="H6273" t="s">
        <v>18656</v>
      </c>
      <c r="I6273" t="s">
        <v>16082</v>
      </c>
    </row>
    <row r="6274" spans="1:9">
      <c r="A6274" t="s">
        <v>16075</v>
      </c>
      <c r="B6274" t="s">
        <v>16076</v>
      </c>
      <c r="C6274" t="s">
        <v>18657</v>
      </c>
      <c r="D6274" t="s">
        <v>16078</v>
      </c>
      <c r="E6274" t="s">
        <v>18658</v>
      </c>
      <c r="F6274" t="s">
        <v>18659</v>
      </c>
      <c r="G6274" t="s">
        <v>16451</v>
      </c>
      <c r="H6274" t="s">
        <v>18650</v>
      </c>
      <c r="I6274" t="s">
        <v>16082</v>
      </c>
    </row>
    <row r="6275" spans="1:9">
      <c r="A6275" t="s">
        <v>16075</v>
      </c>
      <c r="B6275" t="s">
        <v>16076</v>
      </c>
      <c r="C6275" t="s">
        <v>18660</v>
      </c>
      <c r="D6275" t="s">
        <v>16078</v>
      </c>
      <c r="E6275" t="s">
        <v>18661</v>
      </c>
      <c r="F6275" t="s">
        <v>18662</v>
      </c>
      <c r="G6275" t="s">
        <v>16372</v>
      </c>
      <c r="H6275" t="s">
        <v>18663</v>
      </c>
      <c r="I6275" t="s">
        <v>16093</v>
      </c>
    </row>
    <row r="6276" spans="1:9">
      <c r="A6276" t="s">
        <v>16075</v>
      </c>
      <c r="B6276" t="s">
        <v>16076</v>
      </c>
      <c r="C6276" t="s">
        <v>18664</v>
      </c>
      <c r="D6276" t="s">
        <v>16078</v>
      </c>
      <c r="E6276" t="s">
        <v>18665</v>
      </c>
      <c r="F6276" t="s">
        <v>18666</v>
      </c>
      <c r="G6276" t="s">
        <v>16131</v>
      </c>
      <c r="H6276" t="s">
        <v>18667</v>
      </c>
      <c r="I6276" t="s">
        <v>16082</v>
      </c>
    </row>
    <row r="6277" spans="1:9">
      <c r="A6277" t="s">
        <v>16075</v>
      </c>
      <c r="B6277" t="s">
        <v>16076</v>
      </c>
      <c r="C6277" t="s">
        <v>18668</v>
      </c>
      <c r="D6277" t="s">
        <v>16078</v>
      </c>
      <c r="E6277" t="s">
        <v>18669</v>
      </c>
      <c r="F6277" t="s">
        <v>18670</v>
      </c>
      <c r="G6277" t="s">
        <v>16178</v>
      </c>
      <c r="H6277" t="s">
        <v>18671</v>
      </c>
      <c r="I6277" t="s">
        <v>16082</v>
      </c>
    </row>
    <row r="6278" spans="1:9">
      <c r="A6278" t="s">
        <v>16075</v>
      </c>
      <c r="B6278" t="s">
        <v>16076</v>
      </c>
      <c r="C6278" t="s">
        <v>18672</v>
      </c>
      <c r="D6278" t="s">
        <v>16078</v>
      </c>
      <c r="E6278" t="s">
        <v>6468</v>
      </c>
      <c r="F6278" t="s">
        <v>18673</v>
      </c>
      <c r="G6278" t="s">
        <v>16139</v>
      </c>
      <c r="H6278" t="s">
        <v>18674</v>
      </c>
      <c r="I6278" t="s">
        <v>16093</v>
      </c>
    </row>
    <row r="6279" spans="1:9">
      <c r="A6279" t="s">
        <v>16075</v>
      </c>
      <c r="B6279" t="s">
        <v>16076</v>
      </c>
      <c r="C6279" t="s">
        <v>18675</v>
      </c>
      <c r="D6279" t="s">
        <v>16078</v>
      </c>
      <c r="E6279" t="s">
        <v>18676</v>
      </c>
      <c r="F6279" t="s">
        <v>18677</v>
      </c>
      <c r="G6279" t="s">
        <v>16194</v>
      </c>
      <c r="H6279" t="s">
        <v>18678</v>
      </c>
      <c r="I6279" t="s">
        <v>16082</v>
      </c>
    </row>
    <row r="6280" spans="1:9">
      <c r="A6280" t="s">
        <v>16075</v>
      </c>
      <c r="B6280" t="s">
        <v>16076</v>
      </c>
      <c r="C6280" t="s">
        <v>18679</v>
      </c>
      <c r="D6280" t="s">
        <v>16078</v>
      </c>
      <c r="E6280" t="s">
        <v>18680</v>
      </c>
      <c r="F6280" t="s">
        <v>18681</v>
      </c>
      <c r="G6280" t="s">
        <v>16109</v>
      </c>
      <c r="H6280" t="s">
        <v>18682</v>
      </c>
      <c r="I6280" t="s">
        <v>16082</v>
      </c>
    </row>
    <row r="6281" spans="1:9">
      <c r="A6281" t="s">
        <v>16075</v>
      </c>
      <c r="B6281" t="s">
        <v>16076</v>
      </c>
      <c r="C6281" t="s">
        <v>18683</v>
      </c>
      <c r="D6281" t="s">
        <v>16078</v>
      </c>
      <c r="E6281" t="s">
        <v>18684</v>
      </c>
      <c r="F6281" t="s">
        <v>18685</v>
      </c>
      <c r="G6281" t="s">
        <v>16194</v>
      </c>
      <c r="H6281" t="s">
        <v>18686</v>
      </c>
      <c r="I6281" t="s">
        <v>16082</v>
      </c>
    </row>
    <row r="6282" spans="1:9">
      <c r="A6282" t="s">
        <v>16075</v>
      </c>
      <c r="B6282" t="s">
        <v>16076</v>
      </c>
      <c r="C6282" t="s">
        <v>18687</v>
      </c>
      <c r="D6282" t="s">
        <v>16078</v>
      </c>
      <c r="E6282" t="s">
        <v>18688</v>
      </c>
      <c r="F6282" t="s">
        <v>18689</v>
      </c>
      <c r="G6282" t="s">
        <v>16159</v>
      </c>
      <c r="H6282" t="s">
        <v>18690</v>
      </c>
      <c r="I6282" t="s">
        <v>16082</v>
      </c>
    </row>
    <row r="6283" spans="1:9">
      <c r="A6283" t="s">
        <v>16075</v>
      </c>
      <c r="B6283" t="s">
        <v>16076</v>
      </c>
      <c r="C6283" t="s">
        <v>18691</v>
      </c>
      <c r="D6283" t="s">
        <v>16078</v>
      </c>
      <c r="E6283" t="s">
        <v>18692</v>
      </c>
      <c r="F6283" t="s">
        <v>18693</v>
      </c>
      <c r="G6283" t="s">
        <v>16131</v>
      </c>
      <c r="H6283" t="s">
        <v>18694</v>
      </c>
      <c r="I6283" t="s">
        <v>16082</v>
      </c>
    </row>
    <row r="6284" spans="1:9">
      <c r="A6284" t="s">
        <v>16075</v>
      </c>
      <c r="B6284" t="s">
        <v>16076</v>
      </c>
      <c r="C6284" t="s">
        <v>18695</v>
      </c>
      <c r="D6284" t="s">
        <v>16078</v>
      </c>
      <c r="E6284" t="s">
        <v>18696</v>
      </c>
      <c r="F6284" t="s">
        <v>18697</v>
      </c>
      <c r="G6284" t="s">
        <v>16097</v>
      </c>
      <c r="H6284" t="s">
        <v>18698</v>
      </c>
      <c r="I6284" t="s">
        <v>16082</v>
      </c>
    </row>
    <row r="6285" spans="1:9">
      <c r="A6285" t="s">
        <v>16075</v>
      </c>
      <c r="B6285" t="s">
        <v>16076</v>
      </c>
      <c r="C6285" t="s">
        <v>18699</v>
      </c>
      <c r="D6285" t="s">
        <v>16078</v>
      </c>
      <c r="E6285" t="s">
        <v>8265</v>
      </c>
      <c r="F6285" t="s">
        <v>18700</v>
      </c>
      <c r="G6285" t="s">
        <v>16194</v>
      </c>
      <c r="H6285" t="s">
        <v>18701</v>
      </c>
      <c r="I6285" t="s">
        <v>16082</v>
      </c>
    </row>
    <row r="6286" spans="1:9">
      <c r="A6286" t="s">
        <v>16075</v>
      </c>
      <c r="B6286" t="s">
        <v>16076</v>
      </c>
      <c r="C6286" t="s">
        <v>18702</v>
      </c>
      <c r="D6286" t="s">
        <v>16078</v>
      </c>
      <c r="E6286" t="s">
        <v>18703</v>
      </c>
      <c r="F6286" t="s">
        <v>18704</v>
      </c>
      <c r="G6286" t="s">
        <v>16828</v>
      </c>
      <c r="H6286" t="s">
        <v>18705</v>
      </c>
    </row>
    <row r="6287" spans="1:9">
      <c r="A6287" t="s">
        <v>16075</v>
      </c>
      <c r="B6287" t="s">
        <v>16076</v>
      </c>
      <c r="C6287" t="s">
        <v>18706</v>
      </c>
      <c r="D6287" t="s">
        <v>16078</v>
      </c>
      <c r="E6287" t="s">
        <v>18707</v>
      </c>
      <c r="F6287" t="s">
        <v>18708</v>
      </c>
      <c r="G6287" t="s">
        <v>16131</v>
      </c>
      <c r="H6287" t="s">
        <v>18709</v>
      </c>
      <c r="I6287" t="s">
        <v>16082</v>
      </c>
    </row>
    <row r="6288" spans="1:9">
      <c r="A6288" t="s">
        <v>16075</v>
      </c>
      <c r="B6288" t="s">
        <v>16076</v>
      </c>
      <c r="C6288" t="s">
        <v>18710</v>
      </c>
      <c r="D6288" t="s">
        <v>16078</v>
      </c>
      <c r="E6288" t="s">
        <v>18711</v>
      </c>
      <c r="F6288" t="s">
        <v>18712</v>
      </c>
      <c r="G6288" t="s">
        <v>16080</v>
      </c>
      <c r="H6288" t="s">
        <v>18713</v>
      </c>
      <c r="I6288" t="s">
        <v>16082</v>
      </c>
    </row>
    <row r="6289" spans="1:9">
      <c r="A6289" t="s">
        <v>16075</v>
      </c>
      <c r="B6289" t="s">
        <v>16076</v>
      </c>
      <c r="C6289" t="s">
        <v>18714</v>
      </c>
      <c r="D6289" t="s">
        <v>16078</v>
      </c>
      <c r="E6289" t="s">
        <v>13521</v>
      </c>
      <c r="F6289" t="s">
        <v>18715</v>
      </c>
      <c r="G6289" t="s">
        <v>16173</v>
      </c>
      <c r="H6289" t="s">
        <v>18716</v>
      </c>
      <c r="I6289" t="s">
        <v>16082</v>
      </c>
    </row>
    <row r="6290" spans="1:9">
      <c r="A6290" t="s">
        <v>16075</v>
      </c>
      <c r="B6290" t="s">
        <v>16076</v>
      </c>
      <c r="C6290" t="s">
        <v>18717</v>
      </c>
      <c r="D6290" t="s">
        <v>16078</v>
      </c>
      <c r="E6290" t="s">
        <v>18718</v>
      </c>
      <c r="F6290" t="s">
        <v>18719</v>
      </c>
      <c r="G6290" t="s">
        <v>16080</v>
      </c>
      <c r="H6290" t="s">
        <v>18720</v>
      </c>
      <c r="I6290" t="s">
        <v>16082</v>
      </c>
    </row>
    <row r="6291" spans="1:9">
      <c r="A6291" t="s">
        <v>16075</v>
      </c>
      <c r="B6291" t="s">
        <v>16076</v>
      </c>
      <c r="C6291" t="s">
        <v>18721</v>
      </c>
      <c r="D6291" t="s">
        <v>16078</v>
      </c>
      <c r="E6291" t="s">
        <v>18722</v>
      </c>
      <c r="F6291" t="s">
        <v>18723</v>
      </c>
      <c r="G6291" t="s">
        <v>16266</v>
      </c>
      <c r="H6291" t="s">
        <v>18724</v>
      </c>
      <c r="I6291" t="s">
        <v>16082</v>
      </c>
    </row>
    <row r="6292" spans="1:9">
      <c r="A6292" t="s">
        <v>16075</v>
      </c>
      <c r="B6292" t="s">
        <v>16076</v>
      </c>
      <c r="C6292" t="s">
        <v>18725</v>
      </c>
      <c r="D6292" t="s">
        <v>16078</v>
      </c>
      <c r="E6292" t="s">
        <v>18726</v>
      </c>
      <c r="F6292" t="s">
        <v>18727</v>
      </c>
      <c r="G6292" t="s">
        <v>16131</v>
      </c>
      <c r="H6292" t="s">
        <v>18728</v>
      </c>
      <c r="I6292" t="s">
        <v>16082</v>
      </c>
    </row>
    <row r="6293" spans="1:9">
      <c r="A6293" t="s">
        <v>16075</v>
      </c>
      <c r="B6293" t="s">
        <v>16076</v>
      </c>
      <c r="C6293" t="s">
        <v>18729</v>
      </c>
      <c r="D6293" t="s">
        <v>16078</v>
      </c>
      <c r="E6293" t="s">
        <v>18730</v>
      </c>
      <c r="F6293" t="s">
        <v>18731</v>
      </c>
      <c r="G6293" t="s">
        <v>16131</v>
      </c>
      <c r="H6293" t="s">
        <v>18732</v>
      </c>
      <c r="I6293" t="s">
        <v>16082</v>
      </c>
    </row>
    <row r="6294" spans="1:9">
      <c r="A6294" t="s">
        <v>16075</v>
      </c>
      <c r="B6294" t="s">
        <v>16076</v>
      </c>
      <c r="C6294" t="s">
        <v>18733</v>
      </c>
      <c r="D6294" t="s">
        <v>16078</v>
      </c>
      <c r="E6294" t="s">
        <v>18734</v>
      </c>
      <c r="F6294" t="s">
        <v>18735</v>
      </c>
      <c r="G6294" t="s">
        <v>16303</v>
      </c>
      <c r="H6294" t="s">
        <v>18736</v>
      </c>
      <c r="I6294" t="s">
        <v>16082</v>
      </c>
    </row>
    <row r="6295" spans="1:9">
      <c r="A6295" t="s">
        <v>16075</v>
      </c>
      <c r="B6295" t="s">
        <v>16076</v>
      </c>
      <c r="C6295" t="s">
        <v>18737</v>
      </c>
      <c r="D6295" t="s">
        <v>16078</v>
      </c>
      <c r="E6295" t="s">
        <v>18738</v>
      </c>
      <c r="F6295" t="s">
        <v>18739</v>
      </c>
      <c r="G6295" t="s">
        <v>16303</v>
      </c>
      <c r="H6295" t="s">
        <v>18740</v>
      </c>
      <c r="I6295" t="s">
        <v>16093</v>
      </c>
    </row>
    <row r="6296" spans="1:9">
      <c r="A6296" t="s">
        <v>16075</v>
      </c>
      <c r="B6296" t="s">
        <v>16076</v>
      </c>
      <c r="C6296" t="s">
        <v>18741</v>
      </c>
      <c r="D6296" t="s">
        <v>16078</v>
      </c>
      <c r="E6296" t="s">
        <v>8002</v>
      </c>
      <c r="F6296" t="s">
        <v>18742</v>
      </c>
      <c r="G6296" t="s">
        <v>16080</v>
      </c>
      <c r="H6296" t="s">
        <v>18743</v>
      </c>
      <c r="I6296" t="s">
        <v>16082</v>
      </c>
    </row>
    <row r="6297" spans="1:9">
      <c r="A6297" t="s">
        <v>16075</v>
      </c>
      <c r="B6297" t="s">
        <v>16076</v>
      </c>
      <c r="C6297" t="s">
        <v>18744</v>
      </c>
      <c r="D6297" t="s">
        <v>16078</v>
      </c>
      <c r="E6297" t="s">
        <v>4145</v>
      </c>
      <c r="F6297" t="s">
        <v>18745</v>
      </c>
      <c r="G6297" t="s">
        <v>16462</v>
      </c>
      <c r="H6297" t="s">
        <v>18746</v>
      </c>
      <c r="I6297" t="s">
        <v>16082</v>
      </c>
    </row>
    <row r="6298" spans="1:9">
      <c r="A6298" t="s">
        <v>16075</v>
      </c>
      <c r="B6298" t="s">
        <v>16076</v>
      </c>
      <c r="C6298" t="s">
        <v>18747</v>
      </c>
      <c r="D6298" t="s">
        <v>16078</v>
      </c>
      <c r="E6298" t="s">
        <v>10993</v>
      </c>
      <c r="F6298" t="s">
        <v>18748</v>
      </c>
      <c r="G6298" t="s">
        <v>16116</v>
      </c>
      <c r="H6298" t="s">
        <v>18749</v>
      </c>
      <c r="I6298" t="s">
        <v>16082</v>
      </c>
    </row>
    <row r="6299" spans="1:9">
      <c r="A6299" t="s">
        <v>16075</v>
      </c>
      <c r="B6299" t="s">
        <v>16076</v>
      </c>
      <c r="C6299" t="s">
        <v>18750</v>
      </c>
      <c r="D6299" t="s">
        <v>16078</v>
      </c>
      <c r="E6299" t="s">
        <v>18751</v>
      </c>
      <c r="F6299" t="s">
        <v>18752</v>
      </c>
      <c r="G6299" t="s">
        <v>17700</v>
      </c>
      <c r="H6299" t="s">
        <v>18753</v>
      </c>
    </row>
    <row r="6300" spans="1:9">
      <c r="A6300" t="s">
        <v>16075</v>
      </c>
      <c r="B6300" t="s">
        <v>16076</v>
      </c>
      <c r="C6300" t="s">
        <v>18754</v>
      </c>
      <c r="D6300" t="s">
        <v>16078</v>
      </c>
      <c r="E6300" t="s">
        <v>18755</v>
      </c>
      <c r="F6300" t="s">
        <v>18756</v>
      </c>
      <c r="G6300" t="s">
        <v>16209</v>
      </c>
      <c r="H6300" t="s">
        <v>18757</v>
      </c>
      <c r="I6300" t="s">
        <v>16082</v>
      </c>
    </row>
    <row r="6301" spans="1:9">
      <c r="A6301" t="s">
        <v>16075</v>
      </c>
      <c r="B6301" t="s">
        <v>16076</v>
      </c>
      <c r="C6301" t="s">
        <v>18758</v>
      </c>
      <c r="D6301" t="s">
        <v>16078</v>
      </c>
      <c r="E6301" t="s">
        <v>9463</v>
      </c>
      <c r="F6301" t="s">
        <v>18759</v>
      </c>
      <c r="G6301" t="s">
        <v>16259</v>
      </c>
      <c r="H6301" t="s">
        <v>18760</v>
      </c>
      <c r="I6301" t="s">
        <v>16093</v>
      </c>
    </row>
    <row r="6302" spans="1:9">
      <c r="A6302" t="s">
        <v>16075</v>
      </c>
      <c r="B6302" t="s">
        <v>16076</v>
      </c>
      <c r="C6302" t="s">
        <v>18761</v>
      </c>
      <c r="D6302" t="s">
        <v>16078</v>
      </c>
      <c r="E6302" t="s">
        <v>14366</v>
      </c>
      <c r="F6302" t="s">
        <v>18762</v>
      </c>
      <c r="G6302" t="s">
        <v>16397</v>
      </c>
      <c r="H6302" t="s">
        <v>18763</v>
      </c>
      <c r="I6302" t="s">
        <v>16082</v>
      </c>
    </row>
    <row r="6303" spans="1:9">
      <c r="A6303" t="s">
        <v>16075</v>
      </c>
      <c r="B6303" t="s">
        <v>16076</v>
      </c>
      <c r="C6303" t="s">
        <v>18764</v>
      </c>
      <c r="D6303" t="s">
        <v>16078</v>
      </c>
      <c r="E6303" t="s">
        <v>18765</v>
      </c>
      <c r="F6303" t="s">
        <v>18766</v>
      </c>
      <c r="G6303" t="s">
        <v>16462</v>
      </c>
      <c r="H6303" t="s">
        <v>18767</v>
      </c>
      <c r="I6303" t="s">
        <v>16082</v>
      </c>
    </row>
    <row r="6304" spans="1:9">
      <c r="A6304" t="s">
        <v>16075</v>
      </c>
      <c r="B6304" t="s">
        <v>16076</v>
      </c>
      <c r="C6304" t="s">
        <v>18768</v>
      </c>
      <c r="D6304" t="s">
        <v>16078</v>
      </c>
      <c r="E6304" t="s">
        <v>4148</v>
      </c>
      <c r="F6304" t="s">
        <v>18769</v>
      </c>
      <c r="G6304" t="s">
        <v>16173</v>
      </c>
      <c r="H6304" t="s">
        <v>18770</v>
      </c>
      <c r="I6304" t="s">
        <v>16082</v>
      </c>
    </row>
    <row r="6305" spans="1:14">
      <c r="A6305" t="s">
        <v>16075</v>
      </c>
      <c r="B6305" t="s">
        <v>16076</v>
      </c>
      <c r="C6305" t="s">
        <v>18771</v>
      </c>
      <c r="D6305" t="s">
        <v>16078</v>
      </c>
      <c r="E6305" t="s">
        <v>8141</v>
      </c>
      <c r="F6305" t="s">
        <v>18772</v>
      </c>
      <c r="G6305" t="s">
        <v>16080</v>
      </c>
      <c r="H6305" t="s">
        <v>18773</v>
      </c>
      <c r="I6305" t="s">
        <v>16093</v>
      </c>
    </row>
    <row r="6306" spans="1:14">
      <c r="A6306" t="s">
        <v>16075</v>
      </c>
      <c r="B6306" t="s">
        <v>16076</v>
      </c>
      <c r="C6306" t="s">
        <v>18774</v>
      </c>
      <c r="D6306" t="s">
        <v>16078</v>
      </c>
      <c r="E6306" t="s">
        <v>18775</v>
      </c>
      <c r="F6306" t="s">
        <v>18776</v>
      </c>
      <c r="G6306" t="s">
        <v>16209</v>
      </c>
      <c r="H6306" t="s">
        <v>18777</v>
      </c>
      <c r="I6306" t="s">
        <v>16082</v>
      </c>
    </row>
    <row r="6307" spans="1:14">
      <c r="A6307" t="s">
        <v>16075</v>
      </c>
      <c r="B6307" t="s">
        <v>16076</v>
      </c>
      <c r="C6307" t="s">
        <v>18778</v>
      </c>
      <c r="D6307" t="s">
        <v>16078</v>
      </c>
      <c r="E6307" t="s">
        <v>6491</v>
      </c>
      <c r="F6307" t="s">
        <v>18779</v>
      </c>
      <c r="G6307" t="s">
        <v>16131</v>
      </c>
      <c r="H6307" t="s">
        <v>18780</v>
      </c>
      <c r="I6307" t="s">
        <v>16093</v>
      </c>
    </row>
    <row r="6308" spans="1:14">
      <c r="A6308" t="s">
        <v>16075</v>
      </c>
      <c r="B6308" t="s">
        <v>16076</v>
      </c>
      <c r="C6308" t="s">
        <v>18781</v>
      </c>
      <c r="D6308" t="s">
        <v>16078</v>
      </c>
      <c r="E6308" t="s">
        <v>18782</v>
      </c>
      <c r="F6308" t="s">
        <v>18783</v>
      </c>
      <c r="G6308" t="s">
        <v>16194</v>
      </c>
      <c r="H6308" t="s">
        <v>18784</v>
      </c>
      <c r="I6308" t="s">
        <v>16082</v>
      </c>
    </row>
    <row r="6309" spans="1:14">
      <c r="A6309" t="s">
        <v>16075</v>
      </c>
      <c r="B6309" t="s">
        <v>16076</v>
      </c>
      <c r="C6309" t="s">
        <v>18785</v>
      </c>
      <c r="D6309" t="s">
        <v>16078</v>
      </c>
      <c r="E6309" t="s">
        <v>7339</v>
      </c>
      <c r="F6309" t="s">
        <v>18786</v>
      </c>
      <c r="G6309" t="s">
        <v>16259</v>
      </c>
      <c r="H6309" t="s">
        <v>18787</v>
      </c>
    </row>
    <row r="6310" spans="1:14">
      <c r="A6310" t="s">
        <v>16075</v>
      </c>
      <c r="B6310" t="s">
        <v>16076</v>
      </c>
      <c r="C6310" t="s">
        <v>18788</v>
      </c>
      <c r="D6310" t="s">
        <v>16078</v>
      </c>
      <c r="E6310" t="s">
        <v>4759</v>
      </c>
      <c r="F6310" t="s">
        <v>18789</v>
      </c>
      <c r="G6310" t="s">
        <v>16209</v>
      </c>
      <c r="H6310" t="s">
        <v>18790</v>
      </c>
      <c r="I6310" t="s">
        <v>16082</v>
      </c>
      <c r="J6310" t="s">
        <v>18791</v>
      </c>
      <c r="K6310" t="s">
        <v>16075</v>
      </c>
      <c r="L6310" t="s">
        <v>16219</v>
      </c>
      <c r="M6310" t="s">
        <v>16082</v>
      </c>
      <c r="N6310" t="s">
        <v>18790</v>
      </c>
    </row>
    <row r="6311" spans="1:14">
      <c r="A6311" t="s">
        <v>16075</v>
      </c>
      <c r="B6311" t="s">
        <v>16076</v>
      </c>
      <c r="C6311" t="s">
        <v>18792</v>
      </c>
      <c r="D6311" t="s">
        <v>16078</v>
      </c>
      <c r="E6311" t="s">
        <v>18793</v>
      </c>
      <c r="F6311" t="s">
        <v>18794</v>
      </c>
      <c r="G6311" t="s">
        <v>16091</v>
      </c>
      <c r="H6311" t="s">
        <v>18795</v>
      </c>
      <c r="I6311" t="s">
        <v>16093</v>
      </c>
    </row>
    <row r="6312" spans="1:14">
      <c r="A6312" t="s">
        <v>16075</v>
      </c>
      <c r="B6312" t="s">
        <v>16076</v>
      </c>
      <c r="C6312" t="s">
        <v>18796</v>
      </c>
      <c r="D6312" t="s">
        <v>16078</v>
      </c>
      <c r="E6312" t="s">
        <v>6672</v>
      </c>
      <c r="F6312" t="s">
        <v>18797</v>
      </c>
      <c r="G6312" t="s">
        <v>16080</v>
      </c>
      <c r="H6312" t="s">
        <v>18798</v>
      </c>
      <c r="I6312" t="s">
        <v>16082</v>
      </c>
    </row>
    <row r="6313" spans="1:14">
      <c r="A6313" t="s">
        <v>16075</v>
      </c>
      <c r="B6313" t="s">
        <v>16076</v>
      </c>
      <c r="C6313" t="s">
        <v>18799</v>
      </c>
      <c r="D6313" t="s">
        <v>16078</v>
      </c>
      <c r="E6313" t="s">
        <v>18800</v>
      </c>
      <c r="F6313" t="s">
        <v>18801</v>
      </c>
      <c r="G6313" t="s">
        <v>16097</v>
      </c>
      <c r="H6313" t="s">
        <v>18802</v>
      </c>
      <c r="I6313" t="s">
        <v>16082</v>
      </c>
    </row>
    <row r="6314" spans="1:14">
      <c r="A6314" t="s">
        <v>16075</v>
      </c>
      <c r="B6314" t="s">
        <v>16076</v>
      </c>
      <c r="C6314" t="s">
        <v>18803</v>
      </c>
      <c r="D6314" t="s">
        <v>16078</v>
      </c>
      <c r="E6314" t="s">
        <v>18804</v>
      </c>
      <c r="F6314" t="s">
        <v>18805</v>
      </c>
      <c r="G6314" t="s">
        <v>16116</v>
      </c>
      <c r="H6314" t="s">
        <v>18806</v>
      </c>
      <c r="I6314" t="s">
        <v>16082</v>
      </c>
    </row>
    <row r="6315" spans="1:14">
      <c r="A6315" t="s">
        <v>16075</v>
      </c>
      <c r="B6315" t="s">
        <v>16076</v>
      </c>
      <c r="C6315" t="s">
        <v>18807</v>
      </c>
      <c r="D6315" t="s">
        <v>16078</v>
      </c>
      <c r="E6315" t="s">
        <v>12779</v>
      </c>
      <c r="F6315" t="s">
        <v>18808</v>
      </c>
      <c r="G6315" t="s">
        <v>16131</v>
      </c>
      <c r="H6315" t="s">
        <v>18809</v>
      </c>
      <c r="I6315" t="s">
        <v>16082</v>
      </c>
    </row>
    <row r="6316" spans="1:14">
      <c r="A6316" t="s">
        <v>16075</v>
      </c>
      <c r="B6316" t="s">
        <v>16076</v>
      </c>
      <c r="C6316" t="s">
        <v>18810</v>
      </c>
      <c r="D6316" t="s">
        <v>16078</v>
      </c>
      <c r="E6316" t="s">
        <v>10686</v>
      </c>
      <c r="F6316" t="s">
        <v>18811</v>
      </c>
      <c r="G6316" t="s">
        <v>16086</v>
      </c>
      <c r="H6316" t="s">
        <v>18812</v>
      </c>
      <c r="I6316" t="s">
        <v>16082</v>
      </c>
    </row>
    <row r="6317" spans="1:14">
      <c r="A6317" t="s">
        <v>16075</v>
      </c>
      <c r="B6317" t="s">
        <v>16076</v>
      </c>
      <c r="C6317" t="s">
        <v>18813</v>
      </c>
      <c r="D6317" t="s">
        <v>16078</v>
      </c>
      <c r="E6317" t="s">
        <v>18814</v>
      </c>
      <c r="F6317" t="s">
        <v>18815</v>
      </c>
      <c r="G6317" t="s">
        <v>16194</v>
      </c>
      <c r="H6317" t="s">
        <v>18816</v>
      </c>
      <c r="I6317" t="s">
        <v>16082</v>
      </c>
    </row>
    <row r="6318" spans="1:14">
      <c r="A6318" t="s">
        <v>16075</v>
      </c>
      <c r="B6318" t="s">
        <v>16076</v>
      </c>
      <c r="C6318" t="s">
        <v>18817</v>
      </c>
      <c r="D6318" t="s">
        <v>16078</v>
      </c>
      <c r="E6318" t="s">
        <v>18818</v>
      </c>
      <c r="F6318" t="s">
        <v>18819</v>
      </c>
      <c r="G6318" t="s">
        <v>16116</v>
      </c>
      <c r="H6318" t="s">
        <v>18820</v>
      </c>
      <c r="I6318" t="s">
        <v>16082</v>
      </c>
    </row>
    <row r="6319" spans="1:14">
      <c r="A6319" t="s">
        <v>16075</v>
      </c>
      <c r="B6319" t="s">
        <v>16076</v>
      </c>
      <c r="C6319" t="s">
        <v>18821</v>
      </c>
      <c r="D6319" t="s">
        <v>16078</v>
      </c>
      <c r="E6319" t="s">
        <v>984</v>
      </c>
      <c r="F6319" t="s">
        <v>18822</v>
      </c>
      <c r="G6319" t="s">
        <v>16080</v>
      </c>
      <c r="H6319" t="s">
        <v>18823</v>
      </c>
      <c r="I6319" t="s">
        <v>16082</v>
      </c>
    </row>
    <row r="6320" spans="1:14">
      <c r="A6320" t="s">
        <v>16075</v>
      </c>
      <c r="B6320" t="s">
        <v>16076</v>
      </c>
      <c r="C6320" t="s">
        <v>18824</v>
      </c>
      <c r="D6320" t="s">
        <v>16078</v>
      </c>
      <c r="E6320" t="s">
        <v>18825</v>
      </c>
      <c r="F6320" t="s">
        <v>18826</v>
      </c>
      <c r="G6320" t="s">
        <v>16397</v>
      </c>
      <c r="H6320" t="s">
        <v>18827</v>
      </c>
      <c r="I6320" t="s">
        <v>16082</v>
      </c>
    </row>
    <row r="6321" spans="1:9">
      <c r="A6321" t="s">
        <v>16075</v>
      </c>
      <c r="B6321" t="s">
        <v>16076</v>
      </c>
      <c r="C6321" t="s">
        <v>18828</v>
      </c>
      <c r="D6321" t="s">
        <v>16078</v>
      </c>
      <c r="E6321" t="s">
        <v>9487</v>
      </c>
      <c r="F6321" t="s">
        <v>18829</v>
      </c>
      <c r="G6321" t="s">
        <v>16131</v>
      </c>
      <c r="H6321" t="s">
        <v>18830</v>
      </c>
      <c r="I6321" t="s">
        <v>16082</v>
      </c>
    </row>
    <row r="6322" spans="1:9">
      <c r="A6322" t="s">
        <v>16075</v>
      </c>
      <c r="B6322" t="s">
        <v>16076</v>
      </c>
      <c r="C6322" t="s">
        <v>18831</v>
      </c>
      <c r="D6322" t="s">
        <v>16078</v>
      </c>
      <c r="E6322" t="s">
        <v>9493</v>
      </c>
      <c r="F6322" t="s">
        <v>18832</v>
      </c>
      <c r="G6322" t="s">
        <v>16173</v>
      </c>
      <c r="H6322" t="s">
        <v>18833</v>
      </c>
      <c r="I6322" t="s">
        <v>16082</v>
      </c>
    </row>
    <row r="6323" spans="1:9">
      <c r="A6323" t="s">
        <v>16075</v>
      </c>
      <c r="B6323" t="s">
        <v>16076</v>
      </c>
      <c r="C6323" t="s">
        <v>18834</v>
      </c>
      <c r="D6323" t="s">
        <v>16078</v>
      </c>
      <c r="E6323" t="s">
        <v>2439</v>
      </c>
      <c r="F6323" t="s">
        <v>18835</v>
      </c>
      <c r="G6323" t="s">
        <v>16101</v>
      </c>
      <c r="H6323" t="s">
        <v>18836</v>
      </c>
      <c r="I6323" t="s">
        <v>16082</v>
      </c>
    </row>
    <row r="6324" spans="1:9">
      <c r="A6324" t="s">
        <v>16075</v>
      </c>
      <c r="B6324" t="s">
        <v>16076</v>
      </c>
      <c r="C6324" t="s">
        <v>18837</v>
      </c>
      <c r="D6324" t="s">
        <v>16078</v>
      </c>
      <c r="E6324" t="s">
        <v>18838</v>
      </c>
      <c r="F6324" t="s">
        <v>18839</v>
      </c>
      <c r="G6324" t="s">
        <v>16194</v>
      </c>
      <c r="H6324" t="s">
        <v>18840</v>
      </c>
      <c r="I6324" t="s">
        <v>16082</v>
      </c>
    </row>
    <row r="6325" spans="1:9">
      <c r="A6325" t="s">
        <v>16075</v>
      </c>
      <c r="B6325" t="s">
        <v>16076</v>
      </c>
      <c r="C6325" t="s">
        <v>18841</v>
      </c>
      <c r="D6325" t="s">
        <v>16078</v>
      </c>
      <c r="E6325" t="s">
        <v>18842</v>
      </c>
      <c r="F6325" t="s">
        <v>18843</v>
      </c>
      <c r="G6325" t="s">
        <v>16173</v>
      </c>
      <c r="H6325" t="s">
        <v>18844</v>
      </c>
      <c r="I6325" t="s">
        <v>16082</v>
      </c>
    </row>
    <row r="6326" spans="1:9">
      <c r="A6326" t="s">
        <v>16075</v>
      </c>
      <c r="B6326" t="s">
        <v>16076</v>
      </c>
      <c r="C6326" t="s">
        <v>18845</v>
      </c>
      <c r="D6326" t="s">
        <v>16078</v>
      </c>
      <c r="E6326" t="s">
        <v>18846</v>
      </c>
      <c r="F6326" t="s">
        <v>18847</v>
      </c>
      <c r="G6326" t="s">
        <v>16131</v>
      </c>
      <c r="H6326" t="s">
        <v>18848</v>
      </c>
      <c r="I6326" t="s">
        <v>16082</v>
      </c>
    </row>
    <row r="6327" spans="1:9">
      <c r="A6327" t="s">
        <v>16075</v>
      </c>
      <c r="B6327" t="s">
        <v>16076</v>
      </c>
      <c r="C6327" t="s">
        <v>18849</v>
      </c>
      <c r="D6327" t="s">
        <v>16078</v>
      </c>
      <c r="E6327" t="s">
        <v>7908</v>
      </c>
      <c r="F6327" t="s">
        <v>18850</v>
      </c>
      <c r="G6327" t="s">
        <v>16159</v>
      </c>
      <c r="H6327" t="s">
        <v>18851</v>
      </c>
      <c r="I6327" t="s">
        <v>16082</v>
      </c>
    </row>
    <row r="6328" spans="1:9">
      <c r="A6328" t="s">
        <v>16075</v>
      </c>
      <c r="B6328" t="s">
        <v>16076</v>
      </c>
      <c r="C6328" t="s">
        <v>18852</v>
      </c>
      <c r="D6328" t="s">
        <v>16078</v>
      </c>
      <c r="E6328" t="s">
        <v>6858</v>
      </c>
      <c r="F6328" t="s">
        <v>18853</v>
      </c>
      <c r="G6328" t="s">
        <v>16131</v>
      </c>
      <c r="H6328" t="s">
        <v>18854</v>
      </c>
      <c r="I6328" t="s">
        <v>16082</v>
      </c>
    </row>
    <row r="6329" spans="1:9">
      <c r="A6329" t="s">
        <v>16075</v>
      </c>
      <c r="B6329" t="s">
        <v>16076</v>
      </c>
      <c r="C6329" t="s">
        <v>18855</v>
      </c>
      <c r="D6329" t="s">
        <v>16078</v>
      </c>
      <c r="E6329" t="s">
        <v>4172</v>
      </c>
      <c r="F6329" t="s">
        <v>18856</v>
      </c>
      <c r="G6329" t="s">
        <v>16178</v>
      </c>
      <c r="H6329" t="s">
        <v>18857</v>
      </c>
      <c r="I6329" t="s">
        <v>16082</v>
      </c>
    </row>
    <row r="6330" spans="1:9">
      <c r="A6330" t="s">
        <v>16075</v>
      </c>
      <c r="B6330" t="s">
        <v>16076</v>
      </c>
      <c r="C6330" t="s">
        <v>18858</v>
      </c>
      <c r="D6330" t="s">
        <v>16078</v>
      </c>
      <c r="E6330" t="s">
        <v>18859</v>
      </c>
      <c r="F6330" t="s">
        <v>18860</v>
      </c>
      <c r="G6330" t="s">
        <v>16116</v>
      </c>
      <c r="H6330" t="s">
        <v>18861</v>
      </c>
      <c r="I6330" t="s">
        <v>16082</v>
      </c>
    </row>
    <row r="6331" spans="1:9">
      <c r="A6331" t="s">
        <v>16075</v>
      </c>
      <c r="B6331" t="s">
        <v>16076</v>
      </c>
      <c r="C6331" t="s">
        <v>18862</v>
      </c>
      <c r="D6331" t="s">
        <v>16078</v>
      </c>
      <c r="E6331" t="s">
        <v>10268</v>
      </c>
      <c r="F6331" t="s">
        <v>18863</v>
      </c>
      <c r="G6331" t="s">
        <v>16846</v>
      </c>
      <c r="H6331" t="s">
        <v>18864</v>
      </c>
    </row>
    <row r="6332" spans="1:9">
      <c r="A6332" t="s">
        <v>16075</v>
      </c>
      <c r="B6332" t="s">
        <v>16076</v>
      </c>
      <c r="C6332" t="s">
        <v>18865</v>
      </c>
      <c r="D6332" t="s">
        <v>16078</v>
      </c>
      <c r="E6332" t="s">
        <v>18866</v>
      </c>
      <c r="F6332" t="s">
        <v>18867</v>
      </c>
      <c r="G6332" t="s">
        <v>16209</v>
      </c>
      <c r="H6332" t="s">
        <v>18868</v>
      </c>
      <c r="I6332" t="s">
        <v>16082</v>
      </c>
    </row>
    <row r="6333" spans="1:9">
      <c r="A6333" t="s">
        <v>16075</v>
      </c>
      <c r="B6333" t="s">
        <v>16076</v>
      </c>
      <c r="C6333" t="s">
        <v>18869</v>
      </c>
      <c r="D6333" t="s">
        <v>16078</v>
      </c>
      <c r="E6333" t="s">
        <v>18870</v>
      </c>
      <c r="F6333" t="s">
        <v>18871</v>
      </c>
      <c r="G6333" t="s">
        <v>16380</v>
      </c>
      <c r="H6333" t="s">
        <v>18872</v>
      </c>
      <c r="I6333" t="s">
        <v>16082</v>
      </c>
    </row>
    <row r="6334" spans="1:9">
      <c r="A6334" t="s">
        <v>16075</v>
      </c>
      <c r="B6334" t="s">
        <v>16076</v>
      </c>
      <c r="C6334" t="s">
        <v>18873</v>
      </c>
      <c r="D6334" t="s">
        <v>16078</v>
      </c>
      <c r="E6334" t="s">
        <v>18874</v>
      </c>
      <c r="F6334" t="s">
        <v>18875</v>
      </c>
      <c r="G6334" t="s">
        <v>16097</v>
      </c>
      <c r="H6334" t="s">
        <v>18876</v>
      </c>
      <c r="I6334" t="s">
        <v>16082</v>
      </c>
    </row>
    <row r="6335" spans="1:9">
      <c r="A6335" t="s">
        <v>16075</v>
      </c>
      <c r="B6335" t="s">
        <v>16076</v>
      </c>
      <c r="C6335" t="s">
        <v>18877</v>
      </c>
      <c r="D6335" t="s">
        <v>16078</v>
      </c>
      <c r="E6335" t="s">
        <v>2466</v>
      </c>
      <c r="F6335" t="s">
        <v>18878</v>
      </c>
      <c r="G6335" t="s">
        <v>16086</v>
      </c>
      <c r="H6335" t="s">
        <v>18879</v>
      </c>
      <c r="I6335" t="s">
        <v>16082</v>
      </c>
    </row>
    <row r="6336" spans="1:9">
      <c r="A6336" t="s">
        <v>16075</v>
      </c>
      <c r="B6336" t="s">
        <v>16076</v>
      </c>
      <c r="C6336" t="s">
        <v>18880</v>
      </c>
      <c r="D6336" t="s">
        <v>16078</v>
      </c>
      <c r="E6336" t="s">
        <v>4175</v>
      </c>
      <c r="F6336" t="s">
        <v>18881</v>
      </c>
      <c r="G6336" t="s">
        <v>16397</v>
      </c>
      <c r="H6336" t="s">
        <v>18882</v>
      </c>
      <c r="I6336" t="s">
        <v>16093</v>
      </c>
    </row>
    <row r="6337" spans="1:9">
      <c r="A6337" t="s">
        <v>16075</v>
      </c>
      <c r="B6337" t="s">
        <v>16076</v>
      </c>
      <c r="C6337" t="s">
        <v>18883</v>
      </c>
      <c r="D6337" t="s">
        <v>16078</v>
      </c>
      <c r="E6337" t="s">
        <v>18884</v>
      </c>
      <c r="F6337" t="s">
        <v>18885</v>
      </c>
      <c r="G6337" t="s">
        <v>16320</v>
      </c>
      <c r="H6337" t="s">
        <v>18882</v>
      </c>
      <c r="I6337" t="s">
        <v>16082</v>
      </c>
    </row>
    <row r="6338" spans="1:9">
      <c r="A6338" t="s">
        <v>16075</v>
      </c>
      <c r="B6338" t="s">
        <v>16076</v>
      </c>
      <c r="C6338" t="s">
        <v>18886</v>
      </c>
      <c r="D6338" t="s">
        <v>16078</v>
      </c>
      <c r="E6338" t="s">
        <v>11369</v>
      </c>
      <c r="F6338" t="s">
        <v>18887</v>
      </c>
      <c r="G6338" t="s">
        <v>16372</v>
      </c>
      <c r="H6338" t="s">
        <v>18888</v>
      </c>
      <c r="I6338" t="s">
        <v>16082</v>
      </c>
    </row>
    <row r="6339" spans="1:9">
      <c r="A6339" t="s">
        <v>16075</v>
      </c>
      <c r="B6339" t="s">
        <v>16076</v>
      </c>
      <c r="C6339" t="s">
        <v>18889</v>
      </c>
      <c r="D6339" t="s">
        <v>16078</v>
      </c>
      <c r="E6339" t="s">
        <v>2472</v>
      </c>
      <c r="F6339" t="s">
        <v>18890</v>
      </c>
      <c r="G6339" t="s">
        <v>16159</v>
      </c>
      <c r="H6339" t="s">
        <v>18891</v>
      </c>
      <c r="I6339" t="s">
        <v>16093</v>
      </c>
    </row>
    <row r="6340" spans="1:9">
      <c r="A6340" t="s">
        <v>16075</v>
      </c>
      <c r="B6340" t="s">
        <v>16076</v>
      </c>
      <c r="C6340" t="s">
        <v>18892</v>
      </c>
      <c r="D6340" t="s">
        <v>16078</v>
      </c>
      <c r="E6340" t="s">
        <v>5102</v>
      </c>
      <c r="F6340" t="s">
        <v>18893</v>
      </c>
      <c r="G6340" t="s">
        <v>16131</v>
      </c>
      <c r="H6340" t="s">
        <v>18894</v>
      </c>
      <c r="I6340" t="s">
        <v>16082</v>
      </c>
    </row>
    <row r="6341" spans="1:9">
      <c r="A6341" t="s">
        <v>16075</v>
      </c>
      <c r="B6341" t="s">
        <v>16076</v>
      </c>
      <c r="C6341" t="s">
        <v>18895</v>
      </c>
      <c r="D6341" t="s">
        <v>16078</v>
      </c>
      <c r="E6341" t="s">
        <v>5105</v>
      </c>
      <c r="F6341" t="s">
        <v>18896</v>
      </c>
      <c r="G6341" t="s">
        <v>16159</v>
      </c>
      <c r="H6341" t="s">
        <v>18897</v>
      </c>
      <c r="I6341" t="s">
        <v>16093</v>
      </c>
    </row>
    <row r="6342" spans="1:9">
      <c r="A6342" t="s">
        <v>16075</v>
      </c>
      <c r="B6342" t="s">
        <v>16076</v>
      </c>
      <c r="C6342" t="s">
        <v>18898</v>
      </c>
      <c r="D6342" t="s">
        <v>16078</v>
      </c>
      <c r="E6342" t="s">
        <v>18899</v>
      </c>
      <c r="F6342" t="s">
        <v>18900</v>
      </c>
      <c r="G6342" t="s">
        <v>16097</v>
      </c>
      <c r="H6342" t="s">
        <v>18901</v>
      </c>
      <c r="I6342" t="s">
        <v>16082</v>
      </c>
    </row>
    <row r="6343" spans="1:9">
      <c r="A6343" t="s">
        <v>16075</v>
      </c>
      <c r="B6343" t="s">
        <v>16076</v>
      </c>
      <c r="C6343" t="s">
        <v>18902</v>
      </c>
      <c r="D6343" t="s">
        <v>16078</v>
      </c>
      <c r="E6343" t="s">
        <v>2475</v>
      </c>
      <c r="F6343" t="s">
        <v>18903</v>
      </c>
      <c r="G6343" t="s">
        <v>16259</v>
      </c>
      <c r="H6343" t="s">
        <v>18904</v>
      </c>
      <c r="I6343" t="s">
        <v>16093</v>
      </c>
    </row>
    <row r="6344" spans="1:9">
      <c r="A6344" t="s">
        <v>16075</v>
      </c>
      <c r="B6344" t="s">
        <v>16076</v>
      </c>
      <c r="C6344" t="s">
        <v>18905</v>
      </c>
      <c r="D6344" t="s">
        <v>16078</v>
      </c>
      <c r="E6344" t="s">
        <v>2478</v>
      </c>
      <c r="F6344" t="s">
        <v>18906</v>
      </c>
      <c r="G6344" t="s">
        <v>16173</v>
      </c>
      <c r="H6344" t="s">
        <v>18907</v>
      </c>
      <c r="I6344" t="s">
        <v>16093</v>
      </c>
    </row>
    <row r="6345" spans="1:9">
      <c r="A6345" t="s">
        <v>16075</v>
      </c>
      <c r="B6345" t="s">
        <v>16076</v>
      </c>
      <c r="C6345" t="s">
        <v>18908</v>
      </c>
      <c r="D6345" t="s">
        <v>16078</v>
      </c>
      <c r="E6345" t="s">
        <v>8342</v>
      </c>
      <c r="F6345" t="s">
        <v>18909</v>
      </c>
      <c r="G6345" t="s">
        <v>16462</v>
      </c>
      <c r="H6345" t="s">
        <v>18910</v>
      </c>
      <c r="I6345" t="s">
        <v>16082</v>
      </c>
    </row>
    <row r="6346" spans="1:9">
      <c r="A6346" t="s">
        <v>16075</v>
      </c>
      <c r="B6346" t="s">
        <v>16076</v>
      </c>
      <c r="C6346" t="s">
        <v>18911</v>
      </c>
      <c r="D6346" t="s">
        <v>16078</v>
      </c>
      <c r="E6346" t="s">
        <v>18912</v>
      </c>
      <c r="F6346" t="s">
        <v>18913</v>
      </c>
      <c r="G6346" t="s">
        <v>16194</v>
      </c>
      <c r="H6346" t="s">
        <v>18914</v>
      </c>
      <c r="I6346" t="s">
        <v>16082</v>
      </c>
    </row>
    <row r="6347" spans="1:9">
      <c r="A6347" t="s">
        <v>16075</v>
      </c>
      <c r="B6347" t="s">
        <v>16076</v>
      </c>
      <c r="C6347" t="s">
        <v>18915</v>
      </c>
      <c r="D6347" t="s">
        <v>16078</v>
      </c>
      <c r="E6347" t="s">
        <v>11375</v>
      </c>
      <c r="F6347" t="s">
        <v>18916</v>
      </c>
      <c r="G6347" t="s">
        <v>16266</v>
      </c>
      <c r="H6347" t="s">
        <v>18888</v>
      </c>
      <c r="I6347" t="s">
        <v>16082</v>
      </c>
    </row>
    <row r="6348" spans="1:9">
      <c r="A6348" t="s">
        <v>16075</v>
      </c>
      <c r="B6348" t="s">
        <v>16076</v>
      </c>
      <c r="C6348" t="s">
        <v>18917</v>
      </c>
      <c r="D6348" t="s">
        <v>16078</v>
      </c>
      <c r="E6348" t="s">
        <v>6675</v>
      </c>
      <c r="F6348" t="s">
        <v>18918</v>
      </c>
      <c r="G6348" t="s">
        <v>16534</v>
      </c>
      <c r="H6348" t="s">
        <v>18919</v>
      </c>
      <c r="I6348" t="s">
        <v>16082</v>
      </c>
    </row>
    <row r="6349" spans="1:9">
      <c r="A6349" t="s">
        <v>16075</v>
      </c>
      <c r="B6349" t="s">
        <v>16076</v>
      </c>
      <c r="C6349" t="s">
        <v>18920</v>
      </c>
      <c r="D6349" t="s">
        <v>16078</v>
      </c>
      <c r="E6349" t="s">
        <v>18921</v>
      </c>
      <c r="F6349" t="s">
        <v>18922</v>
      </c>
      <c r="G6349" t="s">
        <v>16194</v>
      </c>
      <c r="H6349" t="s">
        <v>18923</v>
      </c>
      <c r="I6349" t="s">
        <v>16093</v>
      </c>
    </row>
    <row r="6350" spans="1:9">
      <c r="A6350" t="s">
        <v>16075</v>
      </c>
      <c r="B6350" t="s">
        <v>16076</v>
      </c>
      <c r="C6350" t="s">
        <v>18924</v>
      </c>
      <c r="D6350" t="s">
        <v>16078</v>
      </c>
      <c r="E6350" t="s">
        <v>18925</v>
      </c>
      <c r="F6350" t="s">
        <v>18926</v>
      </c>
      <c r="G6350" t="s">
        <v>16209</v>
      </c>
      <c r="H6350" t="s">
        <v>18927</v>
      </c>
      <c r="I6350" t="s">
        <v>16082</v>
      </c>
    </row>
    <row r="6351" spans="1:9">
      <c r="A6351" t="s">
        <v>16075</v>
      </c>
      <c r="B6351" t="s">
        <v>16076</v>
      </c>
      <c r="C6351" t="s">
        <v>18928</v>
      </c>
      <c r="D6351" t="s">
        <v>16078</v>
      </c>
      <c r="E6351" t="s">
        <v>2484</v>
      </c>
      <c r="F6351" t="s">
        <v>18929</v>
      </c>
      <c r="G6351" t="s">
        <v>16320</v>
      </c>
      <c r="H6351" t="s">
        <v>18930</v>
      </c>
      <c r="I6351" t="s">
        <v>16082</v>
      </c>
    </row>
    <row r="6352" spans="1:9">
      <c r="A6352" t="s">
        <v>16075</v>
      </c>
      <c r="B6352" t="s">
        <v>16076</v>
      </c>
      <c r="C6352" t="s">
        <v>18931</v>
      </c>
      <c r="D6352" t="s">
        <v>16078</v>
      </c>
      <c r="E6352" t="s">
        <v>11185</v>
      </c>
      <c r="F6352" t="s">
        <v>18932</v>
      </c>
      <c r="G6352" t="s">
        <v>16097</v>
      </c>
      <c r="H6352" t="s">
        <v>18933</v>
      </c>
      <c r="I6352" t="s">
        <v>16082</v>
      </c>
    </row>
    <row r="6353" spans="1:9">
      <c r="A6353" t="s">
        <v>16075</v>
      </c>
      <c r="B6353" t="s">
        <v>16076</v>
      </c>
      <c r="C6353" t="s">
        <v>18934</v>
      </c>
      <c r="D6353" t="s">
        <v>16078</v>
      </c>
      <c r="E6353" t="s">
        <v>12225</v>
      </c>
      <c r="F6353" t="s">
        <v>18935</v>
      </c>
      <c r="G6353" t="s">
        <v>16097</v>
      </c>
      <c r="H6353" t="s">
        <v>18936</v>
      </c>
      <c r="I6353" t="s">
        <v>16082</v>
      </c>
    </row>
    <row r="6354" spans="1:9">
      <c r="A6354" t="s">
        <v>16075</v>
      </c>
      <c r="B6354" t="s">
        <v>16076</v>
      </c>
      <c r="C6354" t="s">
        <v>18937</v>
      </c>
      <c r="D6354" t="s">
        <v>16078</v>
      </c>
      <c r="E6354" t="s">
        <v>14388</v>
      </c>
      <c r="F6354" t="s">
        <v>18938</v>
      </c>
      <c r="G6354" t="s">
        <v>16178</v>
      </c>
      <c r="H6354" t="s">
        <v>18939</v>
      </c>
      <c r="I6354" t="s">
        <v>16093</v>
      </c>
    </row>
    <row r="6355" spans="1:9">
      <c r="A6355" t="s">
        <v>16075</v>
      </c>
      <c r="B6355" t="s">
        <v>16076</v>
      </c>
      <c r="C6355" t="s">
        <v>18940</v>
      </c>
      <c r="D6355" t="s">
        <v>16078</v>
      </c>
      <c r="E6355" t="s">
        <v>18941</v>
      </c>
      <c r="F6355" t="s">
        <v>18942</v>
      </c>
      <c r="G6355" t="s">
        <v>16209</v>
      </c>
      <c r="H6355" t="s">
        <v>17772</v>
      </c>
      <c r="I6355" t="s">
        <v>16093</v>
      </c>
    </row>
    <row r="6356" spans="1:9">
      <c r="A6356" t="s">
        <v>16075</v>
      </c>
      <c r="B6356" t="s">
        <v>16076</v>
      </c>
      <c r="C6356" t="s">
        <v>18943</v>
      </c>
      <c r="D6356" t="s">
        <v>16078</v>
      </c>
      <c r="E6356" t="s">
        <v>18944</v>
      </c>
      <c r="F6356" t="s">
        <v>18945</v>
      </c>
      <c r="G6356" t="s">
        <v>16183</v>
      </c>
      <c r="H6356" t="s">
        <v>18946</v>
      </c>
      <c r="I6356" t="s">
        <v>16082</v>
      </c>
    </row>
    <row r="6357" spans="1:9">
      <c r="A6357" t="s">
        <v>16075</v>
      </c>
      <c r="B6357" t="s">
        <v>16076</v>
      </c>
      <c r="C6357" t="s">
        <v>18947</v>
      </c>
      <c r="D6357" t="s">
        <v>16078</v>
      </c>
      <c r="E6357" t="s">
        <v>18948</v>
      </c>
      <c r="F6357" t="s">
        <v>18949</v>
      </c>
      <c r="G6357" t="s">
        <v>16194</v>
      </c>
      <c r="H6357" t="s">
        <v>18950</v>
      </c>
      <c r="I6357" t="s">
        <v>16082</v>
      </c>
    </row>
    <row r="6358" spans="1:9">
      <c r="A6358" t="s">
        <v>16075</v>
      </c>
      <c r="B6358" t="s">
        <v>16076</v>
      </c>
      <c r="C6358" t="s">
        <v>18951</v>
      </c>
      <c r="D6358" t="s">
        <v>16078</v>
      </c>
      <c r="E6358" t="s">
        <v>18952</v>
      </c>
      <c r="F6358" t="s">
        <v>18953</v>
      </c>
      <c r="G6358" t="s">
        <v>16091</v>
      </c>
      <c r="H6358" t="s">
        <v>18954</v>
      </c>
      <c r="I6358" t="s">
        <v>16082</v>
      </c>
    </row>
    <row r="6359" spans="1:9">
      <c r="A6359" t="s">
        <v>16075</v>
      </c>
      <c r="B6359" t="s">
        <v>16076</v>
      </c>
      <c r="C6359" t="s">
        <v>18955</v>
      </c>
      <c r="D6359" t="s">
        <v>16078</v>
      </c>
      <c r="E6359" t="s">
        <v>18956</v>
      </c>
      <c r="F6359" t="s">
        <v>18957</v>
      </c>
      <c r="G6359" t="s">
        <v>16116</v>
      </c>
      <c r="H6359" t="s">
        <v>18958</v>
      </c>
      <c r="I6359" t="s">
        <v>16082</v>
      </c>
    </row>
    <row r="6360" spans="1:9">
      <c r="A6360" t="s">
        <v>16075</v>
      </c>
      <c r="B6360" t="s">
        <v>16076</v>
      </c>
      <c r="C6360" t="s">
        <v>18959</v>
      </c>
      <c r="D6360" t="s">
        <v>16078</v>
      </c>
      <c r="E6360" t="s">
        <v>18960</v>
      </c>
      <c r="F6360" t="s">
        <v>18961</v>
      </c>
      <c r="G6360" t="s">
        <v>16086</v>
      </c>
      <c r="H6360" t="s">
        <v>18962</v>
      </c>
      <c r="I6360" t="s">
        <v>16082</v>
      </c>
    </row>
    <row r="6361" spans="1:9">
      <c r="A6361" t="s">
        <v>16075</v>
      </c>
      <c r="B6361" t="s">
        <v>16076</v>
      </c>
      <c r="C6361" t="s">
        <v>18963</v>
      </c>
      <c r="D6361" t="s">
        <v>16078</v>
      </c>
      <c r="E6361" t="s">
        <v>18964</v>
      </c>
      <c r="F6361" t="s">
        <v>18965</v>
      </c>
      <c r="G6361" t="s">
        <v>18966</v>
      </c>
      <c r="H6361" t="s">
        <v>18967</v>
      </c>
      <c r="I6361" t="s">
        <v>16082</v>
      </c>
    </row>
    <row r="6362" spans="1:9">
      <c r="A6362" t="s">
        <v>16075</v>
      </c>
      <c r="B6362" t="s">
        <v>16076</v>
      </c>
      <c r="C6362" t="s">
        <v>18968</v>
      </c>
      <c r="D6362" t="s">
        <v>16078</v>
      </c>
      <c r="E6362" t="s">
        <v>18969</v>
      </c>
      <c r="F6362" t="s">
        <v>18970</v>
      </c>
      <c r="G6362" t="s">
        <v>16194</v>
      </c>
      <c r="H6362" t="s">
        <v>18971</v>
      </c>
      <c r="I6362" t="s">
        <v>16082</v>
      </c>
    </row>
    <row r="6363" spans="1:9">
      <c r="A6363" t="s">
        <v>16075</v>
      </c>
      <c r="B6363" t="s">
        <v>16076</v>
      </c>
      <c r="C6363" t="s">
        <v>18972</v>
      </c>
      <c r="D6363" t="s">
        <v>16078</v>
      </c>
      <c r="E6363" t="s">
        <v>18973</v>
      </c>
      <c r="F6363" t="s">
        <v>18974</v>
      </c>
      <c r="G6363" t="s">
        <v>16101</v>
      </c>
      <c r="H6363" t="s">
        <v>18975</v>
      </c>
      <c r="I6363" t="s">
        <v>16082</v>
      </c>
    </row>
    <row r="6364" spans="1:9">
      <c r="A6364" t="s">
        <v>16075</v>
      </c>
      <c r="B6364" t="s">
        <v>16076</v>
      </c>
      <c r="C6364" t="s">
        <v>18976</v>
      </c>
      <c r="D6364" t="s">
        <v>16078</v>
      </c>
      <c r="E6364" t="s">
        <v>18977</v>
      </c>
      <c r="F6364" t="s">
        <v>18978</v>
      </c>
      <c r="G6364" t="s">
        <v>16116</v>
      </c>
      <c r="H6364" t="s">
        <v>18979</v>
      </c>
      <c r="I6364" t="s">
        <v>16082</v>
      </c>
    </row>
    <row r="6365" spans="1:9">
      <c r="A6365" t="s">
        <v>16075</v>
      </c>
      <c r="B6365" t="s">
        <v>16076</v>
      </c>
      <c r="C6365" t="s">
        <v>18980</v>
      </c>
      <c r="D6365" t="s">
        <v>16078</v>
      </c>
      <c r="E6365" t="s">
        <v>14397</v>
      </c>
      <c r="F6365" t="s">
        <v>18981</v>
      </c>
      <c r="G6365" t="s">
        <v>16372</v>
      </c>
      <c r="H6365" t="s">
        <v>18982</v>
      </c>
      <c r="I6365" t="s">
        <v>16082</v>
      </c>
    </row>
    <row r="6366" spans="1:9">
      <c r="A6366" t="s">
        <v>16075</v>
      </c>
      <c r="B6366" t="s">
        <v>16076</v>
      </c>
      <c r="C6366" t="s">
        <v>18983</v>
      </c>
      <c r="D6366" t="s">
        <v>16078</v>
      </c>
      <c r="E6366" t="s">
        <v>2502</v>
      </c>
      <c r="F6366" t="s">
        <v>18984</v>
      </c>
      <c r="G6366" t="s">
        <v>16131</v>
      </c>
      <c r="H6366" t="s">
        <v>18985</v>
      </c>
      <c r="I6366" t="s">
        <v>16082</v>
      </c>
    </row>
    <row r="6367" spans="1:9">
      <c r="A6367" t="s">
        <v>16075</v>
      </c>
      <c r="B6367" t="s">
        <v>16076</v>
      </c>
      <c r="C6367" t="s">
        <v>18986</v>
      </c>
      <c r="D6367" t="s">
        <v>16078</v>
      </c>
      <c r="E6367" t="s">
        <v>2505</v>
      </c>
      <c r="F6367" t="s">
        <v>18987</v>
      </c>
      <c r="G6367" t="s">
        <v>16097</v>
      </c>
      <c r="H6367" t="s">
        <v>18988</v>
      </c>
      <c r="I6367" t="s">
        <v>16082</v>
      </c>
    </row>
    <row r="6368" spans="1:9">
      <c r="A6368" t="s">
        <v>16075</v>
      </c>
      <c r="B6368" t="s">
        <v>16076</v>
      </c>
      <c r="C6368" t="s">
        <v>18989</v>
      </c>
      <c r="D6368" t="s">
        <v>16078</v>
      </c>
      <c r="E6368" t="s">
        <v>18990</v>
      </c>
      <c r="F6368" t="s">
        <v>18991</v>
      </c>
      <c r="G6368" t="s">
        <v>16116</v>
      </c>
      <c r="H6368" t="s">
        <v>18992</v>
      </c>
      <c r="I6368" t="s">
        <v>16082</v>
      </c>
    </row>
    <row r="6369" spans="1:9">
      <c r="A6369" t="s">
        <v>16075</v>
      </c>
      <c r="B6369" t="s">
        <v>16076</v>
      </c>
      <c r="C6369" t="s">
        <v>18993</v>
      </c>
      <c r="D6369" t="s">
        <v>16078</v>
      </c>
      <c r="E6369" t="s">
        <v>18994</v>
      </c>
      <c r="F6369" t="s">
        <v>18995</v>
      </c>
      <c r="G6369" t="s">
        <v>16086</v>
      </c>
      <c r="H6369" t="s">
        <v>18996</v>
      </c>
      <c r="I6369" t="s">
        <v>16082</v>
      </c>
    </row>
    <row r="6370" spans="1:9">
      <c r="A6370" t="s">
        <v>16075</v>
      </c>
      <c r="B6370" t="s">
        <v>16076</v>
      </c>
      <c r="C6370" t="s">
        <v>18997</v>
      </c>
      <c r="D6370" t="s">
        <v>16078</v>
      </c>
      <c r="E6370" t="s">
        <v>18998</v>
      </c>
      <c r="F6370" t="s">
        <v>18999</v>
      </c>
      <c r="G6370" t="s">
        <v>16116</v>
      </c>
      <c r="H6370" t="s">
        <v>19000</v>
      </c>
      <c r="I6370" t="s">
        <v>16082</v>
      </c>
    </row>
    <row r="6371" spans="1:9">
      <c r="A6371" t="s">
        <v>16075</v>
      </c>
      <c r="B6371" t="s">
        <v>16076</v>
      </c>
      <c r="C6371" t="s">
        <v>19001</v>
      </c>
      <c r="D6371" t="s">
        <v>16078</v>
      </c>
      <c r="E6371" t="s">
        <v>6509</v>
      </c>
      <c r="F6371" t="s">
        <v>19002</v>
      </c>
      <c r="G6371" t="s">
        <v>16194</v>
      </c>
      <c r="H6371" t="s">
        <v>19003</v>
      </c>
      <c r="I6371" t="s">
        <v>16082</v>
      </c>
    </row>
    <row r="6372" spans="1:9">
      <c r="A6372" t="s">
        <v>16075</v>
      </c>
      <c r="B6372" t="s">
        <v>16076</v>
      </c>
      <c r="C6372" t="s">
        <v>19004</v>
      </c>
      <c r="D6372" t="s">
        <v>16078</v>
      </c>
      <c r="E6372" t="s">
        <v>19005</v>
      </c>
      <c r="F6372" t="s">
        <v>19006</v>
      </c>
      <c r="G6372" t="s">
        <v>16131</v>
      </c>
      <c r="H6372" t="s">
        <v>19007</v>
      </c>
      <c r="I6372" t="s">
        <v>16082</v>
      </c>
    </row>
    <row r="6373" spans="1:9">
      <c r="A6373" t="s">
        <v>16075</v>
      </c>
      <c r="B6373" t="s">
        <v>16076</v>
      </c>
      <c r="C6373" t="s">
        <v>19008</v>
      </c>
      <c r="D6373" t="s">
        <v>16078</v>
      </c>
      <c r="E6373" t="s">
        <v>5108</v>
      </c>
      <c r="F6373" t="s">
        <v>19009</v>
      </c>
      <c r="G6373" t="s">
        <v>16109</v>
      </c>
      <c r="H6373" t="s">
        <v>19010</v>
      </c>
      <c r="I6373" t="s">
        <v>16082</v>
      </c>
    </row>
    <row r="6374" spans="1:9">
      <c r="A6374" t="s">
        <v>16075</v>
      </c>
      <c r="B6374" t="s">
        <v>16076</v>
      </c>
      <c r="C6374" t="s">
        <v>19011</v>
      </c>
      <c r="D6374" t="s">
        <v>16078</v>
      </c>
      <c r="E6374" t="s">
        <v>4178</v>
      </c>
      <c r="F6374" t="s">
        <v>19012</v>
      </c>
      <c r="G6374" t="s">
        <v>16105</v>
      </c>
      <c r="H6374" t="s">
        <v>19013</v>
      </c>
      <c r="I6374" t="s">
        <v>16093</v>
      </c>
    </row>
    <row r="6375" spans="1:9">
      <c r="A6375" t="s">
        <v>16075</v>
      </c>
      <c r="B6375" t="s">
        <v>16076</v>
      </c>
      <c r="C6375" t="s">
        <v>19014</v>
      </c>
      <c r="D6375" t="s">
        <v>16078</v>
      </c>
      <c r="E6375" t="s">
        <v>19015</v>
      </c>
      <c r="F6375" t="s">
        <v>19016</v>
      </c>
      <c r="G6375" t="s">
        <v>16168</v>
      </c>
      <c r="H6375" t="s">
        <v>19017</v>
      </c>
      <c r="I6375" t="s">
        <v>16082</v>
      </c>
    </row>
    <row r="6376" spans="1:9">
      <c r="A6376" t="s">
        <v>16075</v>
      </c>
      <c r="B6376" t="s">
        <v>16076</v>
      </c>
      <c r="C6376" t="s">
        <v>19018</v>
      </c>
      <c r="D6376" t="s">
        <v>16078</v>
      </c>
      <c r="E6376" t="s">
        <v>19019</v>
      </c>
      <c r="F6376" t="s">
        <v>19020</v>
      </c>
      <c r="G6376" t="s">
        <v>16131</v>
      </c>
      <c r="H6376" t="s">
        <v>19021</v>
      </c>
      <c r="I6376" t="s">
        <v>16082</v>
      </c>
    </row>
    <row r="6377" spans="1:9">
      <c r="A6377" t="s">
        <v>16075</v>
      </c>
      <c r="B6377" t="s">
        <v>16076</v>
      </c>
      <c r="C6377" t="s">
        <v>19022</v>
      </c>
      <c r="D6377" t="s">
        <v>16078</v>
      </c>
      <c r="E6377" t="s">
        <v>19023</v>
      </c>
      <c r="F6377" t="s">
        <v>19024</v>
      </c>
      <c r="G6377" t="s">
        <v>16397</v>
      </c>
      <c r="H6377" t="s">
        <v>19025</v>
      </c>
      <c r="I6377" t="s">
        <v>16093</v>
      </c>
    </row>
    <row r="6378" spans="1:9">
      <c r="A6378" t="s">
        <v>16075</v>
      </c>
      <c r="B6378" t="s">
        <v>16076</v>
      </c>
      <c r="C6378" t="s">
        <v>19026</v>
      </c>
      <c r="D6378" t="s">
        <v>16078</v>
      </c>
      <c r="E6378" t="s">
        <v>19027</v>
      </c>
      <c r="F6378" t="s">
        <v>19028</v>
      </c>
      <c r="G6378" t="s">
        <v>17282</v>
      </c>
      <c r="H6378" t="s">
        <v>19029</v>
      </c>
      <c r="I6378" t="s">
        <v>16082</v>
      </c>
    </row>
    <row r="6379" spans="1:9">
      <c r="A6379" t="s">
        <v>16075</v>
      </c>
      <c r="B6379" t="s">
        <v>16076</v>
      </c>
      <c r="C6379" t="s">
        <v>19030</v>
      </c>
      <c r="D6379" t="s">
        <v>16078</v>
      </c>
      <c r="E6379" t="s">
        <v>19031</v>
      </c>
      <c r="F6379" t="s">
        <v>19032</v>
      </c>
      <c r="G6379" t="s">
        <v>16462</v>
      </c>
      <c r="H6379" t="s">
        <v>19033</v>
      </c>
      <c r="I6379" t="s">
        <v>16082</v>
      </c>
    </row>
    <row r="6380" spans="1:9">
      <c r="A6380" t="s">
        <v>16075</v>
      </c>
      <c r="B6380" t="s">
        <v>16076</v>
      </c>
      <c r="C6380" t="s">
        <v>19034</v>
      </c>
      <c r="D6380" t="s">
        <v>16078</v>
      </c>
      <c r="E6380" t="s">
        <v>9528</v>
      </c>
      <c r="F6380" t="s">
        <v>19035</v>
      </c>
      <c r="G6380" t="s">
        <v>16091</v>
      </c>
      <c r="H6380" t="s">
        <v>19036</v>
      </c>
      <c r="I6380" t="s">
        <v>16082</v>
      </c>
    </row>
    <row r="6381" spans="1:9">
      <c r="A6381" t="s">
        <v>16075</v>
      </c>
      <c r="B6381" t="s">
        <v>16076</v>
      </c>
      <c r="C6381" t="s">
        <v>19037</v>
      </c>
      <c r="D6381" t="s">
        <v>16078</v>
      </c>
      <c r="E6381" t="s">
        <v>11004</v>
      </c>
      <c r="F6381" t="s">
        <v>19038</v>
      </c>
      <c r="G6381" t="s">
        <v>16320</v>
      </c>
      <c r="H6381" t="s">
        <v>19039</v>
      </c>
      <c r="I6381" t="s">
        <v>16082</v>
      </c>
    </row>
    <row r="6382" spans="1:9">
      <c r="A6382" t="s">
        <v>16075</v>
      </c>
      <c r="B6382" t="s">
        <v>16076</v>
      </c>
      <c r="C6382" t="s">
        <v>19040</v>
      </c>
      <c r="D6382" t="s">
        <v>16078</v>
      </c>
      <c r="E6382" t="s">
        <v>5111</v>
      </c>
      <c r="F6382" t="s">
        <v>19041</v>
      </c>
      <c r="G6382" t="s">
        <v>16194</v>
      </c>
      <c r="H6382" t="s">
        <v>19042</v>
      </c>
      <c r="I6382" t="s">
        <v>16082</v>
      </c>
    </row>
    <row r="6383" spans="1:9">
      <c r="A6383" t="s">
        <v>16075</v>
      </c>
      <c r="B6383" t="s">
        <v>16076</v>
      </c>
      <c r="C6383" t="s">
        <v>19043</v>
      </c>
      <c r="D6383" t="s">
        <v>16078</v>
      </c>
      <c r="E6383" t="s">
        <v>19044</v>
      </c>
      <c r="F6383" t="s">
        <v>19045</v>
      </c>
      <c r="G6383" t="s">
        <v>16086</v>
      </c>
      <c r="H6383" t="s">
        <v>19046</v>
      </c>
      <c r="I6383" t="s">
        <v>16082</v>
      </c>
    </row>
    <row r="6384" spans="1:9">
      <c r="A6384" t="s">
        <v>16075</v>
      </c>
      <c r="B6384" t="s">
        <v>16076</v>
      </c>
      <c r="C6384" t="s">
        <v>19047</v>
      </c>
      <c r="D6384" t="s">
        <v>16078</v>
      </c>
      <c r="E6384" t="s">
        <v>19048</v>
      </c>
      <c r="F6384" t="s">
        <v>19049</v>
      </c>
      <c r="G6384" t="s">
        <v>16080</v>
      </c>
      <c r="H6384" t="s">
        <v>19050</v>
      </c>
      <c r="I6384" t="s">
        <v>16082</v>
      </c>
    </row>
    <row r="6385" spans="1:9">
      <c r="A6385" t="s">
        <v>16075</v>
      </c>
      <c r="B6385" t="s">
        <v>16076</v>
      </c>
      <c r="C6385" t="s">
        <v>19051</v>
      </c>
      <c r="D6385" t="s">
        <v>16078</v>
      </c>
      <c r="E6385" t="s">
        <v>15839</v>
      </c>
      <c r="F6385" t="s">
        <v>19052</v>
      </c>
      <c r="G6385" t="s">
        <v>16438</v>
      </c>
      <c r="H6385" t="s">
        <v>18780</v>
      </c>
      <c r="I6385" t="s">
        <v>16082</v>
      </c>
    </row>
    <row r="6386" spans="1:9">
      <c r="A6386" t="s">
        <v>16075</v>
      </c>
      <c r="B6386" t="s">
        <v>16076</v>
      </c>
      <c r="C6386" t="s">
        <v>19053</v>
      </c>
      <c r="D6386" t="s">
        <v>16078</v>
      </c>
      <c r="E6386" t="s">
        <v>19054</v>
      </c>
      <c r="F6386" t="s">
        <v>19055</v>
      </c>
      <c r="G6386" t="s">
        <v>16080</v>
      </c>
      <c r="H6386" t="s">
        <v>19056</v>
      </c>
      <c r="I6386" t="s">
        <v>16082</v>
      </c>
    </row>
    <row r="6387" spans="1:9">
      <c r="A6387" t="s">
        <v>16075</v>
      </c>
      <c r="B6387" t="s">
        <v>16076</v>
      </c>
      <c r="C6387" t="s">
        <v>19057</v>
      </c>
      <c r="D6387" t="s">
        <v>16078</v>
      </c>
      <c r="E6387" t="s">
        <v>13289</v>
      </c>
      <c r="F6387" t="s">
        <v>19058</v>
      </c>
      <c r="G6387" t="s">
        <v>16209</v>
      </c>
      <c r="H6387" t="s">
        <v>19059</v>
      </c>
      <c r="I6387" t="s">
        <v>16082</v>
      </c>
    </row>
    <row r="6388" spans="1:9">
      <c r="A6388" t="s">
        <v>16075</v>
      </c>
      <c r="B6388" t="s">
        <v>16076</v>
      </c>
      <c r="C6388" t="s">
        <v>19060</v>
      </c>
      <c r="D6388" t="s">
        <v>16078</v>
      </c>
      <c r="E6388" t="s">
        <v>19061</v>
      </c>
      <c r="F6388" t="s">
        <v>19062</v>
      </c>
      <c r="G6388" t="s">
        <v>16131</v>
      </c>
      <c r="H6388" t="s">
        <v>19063</v>
      </c>
      <c r="I6388" t="s">
        <v>16082</v>
      </c>
    </row>
    <row r="6389" spans="1:9">
      <c r="A6389" t="s">
        <v>16075</v>
      </c>
      <c r="B6389" t="s">
        <v>16076</v>
      </c>
      <c r="C6389" t="s">
        <v>19064</v>
      </c>
      <c r="D6389" t="s">
        <v>16078</v>
      </c>
      <c r="E6389" t="s">
        <v>13871</v>
      </c>
      <c r="F6389" t="s">
        <v>19065</v>
      </c>
      <c r="G6389" t="s">
        <v>16266</v>
      </c>
      <c r="H6389" t="s">
        <v>19066</v>
      </c>
      <c r="I6389" t="s">
        <v>16082</v>
      </c>
    </row>
    <row r="6390" spans="1:9">
      <c r="A6390" t="s">
        <v>16075</v>
      </c>
      <c r="B6390" t="s">
        <v>16076</v>
      </c>
      <c r="C6390" t="s">
        <v>19067</v>
      </c>
      <c r="D6390" t="s">
        <v>16078</v>
      </c>
      <c r="E6390" t="s">
        <v>14408</v>
      </c>
      <c r="F6390" t="s">
        <v>19068</v>
      </c>
      <c r="G6390" t="s">
        <v>16086</v>
      </c>
      <c r="H6390" t="s">
        <v>19069</v>
      </c>
      <c r="I6390" t="s">
        <v>16082</v>
      </c>
    </row>
    <row r="6391" spans="1:9">
      <c r="A6391" t="s">
        <v>16075</v>
      </c>
      <c r="B6391" t="s">
        <v>16076</v>
      </c>
      <c r="C6391" t="s">
        <v>19070</v>
      </c>
      <c r="D6391" t="s">
        <v>16078</v>
      </c>
      <c r="E6391" t="s">
        <v>9533</v>
      </c>
      <c r="F6391" t="s">
        <v>19071</v>
      </c>
      <c r="G6391" t="s">
        <v>16080</v>
      </c>
      <c r="H6391" t="s">
        <v>19072</v>
      </c>
      <c r="I6391" t="s">
        <v>16082</v>
      </c>
    </row>
    <row r="6392" spans="1:9">
      <c r="A6392" t="s">
        <v>16075</v>
      </c>
      <c r="B6392" t="s">
        <v>16076</v>
      </c>
      <c r="C6392" t="s">
        <v>19073</v>
      </c>
      <c r="D6392" t="s">
        <v>16078</v>
      </c>
      <c r="E6392" t="s">
        <v>19074</v>
      </c>
      <c r="F6392" t="s">
        <v>19075</v>
      </c>
      <c r="G6392" t="s">
        <v>16080</v>
      </c>
      <c r="H6392" t="s">
        <v>19076</v>
      </c>
      <c r="I6392" t="s">
        <v>16082</v>
      </c>
    </row>
    <row r="6393" spans="1:9">
      <c r="A6393" t="s">
        <v>16075</v>
      </c>
      <c r="B6393" t="s">
        <v>16076</v>
      </c>
      <c r="C6393" t="s">
        <v>19077</v>
      </c>
      <c r="D6393" t="s">
        <v>16078</v>
      </c>
      <c r="E6393" t="s">
        <v>2535</v>
      </c>
      <c r="F6393" t="s">
        <v>19078</v>
      </c>
      <c r="G6393" t="s">
        <v>16109</v>
      </c>
      <c r="H6393" t="s">
        <v>19079</v>
      </c>
      <c r="I6393" t="s">
        <v>16082</v>
      </c>
    </row>
    <row r="6394" spans="1:9">
      <c r="A6394" t="s">
        <v>16075</v>
      </c>
      <c r="B6394" t="s">
        <v>16076</v>
      </c>
      <c r="C6394" t="s">
        <v>19080</v>
      </c>
      <c r="D6394" t="s">
        <v>16078</v>
      </c>
      <c r="E6394" t="s">
        <v>2538</v>
      </c>
      <c r="F6394" t="s">
        <v>19081</v>
      </c>
      <c r="G6394" t="s">
        <v>16105</v>
      </c>
      <c r="H6394" t="s">
        <v>19079</v>
      </c>
    </row>
    <row r="6395" spans="1:9">
      <c r="A6395" t="s">
        <v>16075</v>
      </c>
      <c r="B6395" t="s">
        <v>16076</v>
      </c>
      <c r="C6395" t="s">
        <v>19082</v>
      </c>
      <c r="D6395" t="s">
        <v>16078</v>
      </c>
      <c r="E6395" t="s">
        <v>19083</v>
      </c>
      <c r="F6395" t="s">
        <v>19084</v>
      </c>
      <c r="G6395" t="s">
        <v>16105</v>
      </c>
      <c r="H6395" t="s">
        <v>19085</v>
      </c>
      <c r="I6395" t="s">
        <v>16082</v>
      </c>
    </row>
    <row r="6396" spans="1:9">
      <c r="A6396" t="s">
        <v>16075</v>
      </c>
      <c r="B6396" t="s">
        <v>16076</v>
      </c>
      <c r="C6396" t="s">
        <v>19086</v>
      </c>
      <c r="D6396" t="s">
        <v>16078</v>
      </c>
      <c r="E6396" t="s">
        <v>19087</v>
      </c>
      <c r="F6396" t="s">
        <v>19088</v>
      </c>
      <c r="G6396" t="s">
        <v>17229</v>
      </c>
      <c r="H6396" t="s">
        <v>19089</v>
      </c>
      <c r="I6396" t="s">
        <v>16082</v>
      </c>
    </row>
    <row r="6397" spans="1:9">
      <c r="A6397" t="s">
        <v>16075</v>
      </c>
      <c r="B6397" t="s">
        <v>16076</v>
      </c>
      <c r="C6397" t="s">
        <v>19090</v>
      </c>
      <c r="D6397" t="s">
        <v>16078</v>
      </c>
      <c r="E6397" t="s">
        <v>2541</v>
      </c>
      <c r="F6397" t="s">
        <v>19091</v>
      </c>
      <c r="G6397" t="s">
        <v>16178</v>
      </c>
      <c r="H6397" t="s">
        <v>19092</v>
      </c>
      <c r="I6397" t="s">
        <v>16082</v>
      </c>
    </row>
    <row r="6398" spans="1:9">
      <c r="A6398" t="s">
        <v>16075</v>
      </c>
      <c r="B6398" t="s">
        <v>16076</v>
      </c>
      <c r="C6398" t="s">
        <v>19093</v>
      </c>
      <c r="D6398" t="s">
        <v>16078</v>
      </c>
      <c r="E6398" t="s">
        <v>5114</v>
      </c>
      <c r="F6398" t="s">
        <v>19094</v>
      </c>
      <c r="G6398" t="s">
        <v>16534</v>
      </c>
      <c r="H6398" t="s">
        <v>19095</v>
      </c>
      <c r="I6398" t="s">
        <v>16082</v>
      </c>
    </row>
    <row r="6399" spans="1:9">
      <c r="A6399" t="s">
        <v>16075</v>
      </c>
      <c r="B6399" t="s">
        <v>16076</v>
      </c>
      <c r="C6399" t="s">
        <v>19096</v>
      </c>
      <c r="D6399" t="s">
        <v>16078</v>
      </c>
      <c r="E6399" t="s">
        <v>19097</v>
      </c>
      <c r="F6399" t="s">
        <v>19098</v>
      </c>
      <c r="G6399" t="s">
        <v>16086</v>
      </c>
      <c r="H6399" t="s">
        <v>19099</v>
      </c>
      <c r="I6399" t="s">
        <v>16082</v>
      </c>
    </row>
    <row r="6400" spans="1:9">
      <c r="A6400" t="s">
        <v>16075</v>
      </c>
      <c r="B6400" t="s">
        <v>16076</v>
      </c>
      <c r="C6400" t="s">
        <v>19100</v>
      </c>
      <c r="D6400" t="s">
        <v>16078</v>
      </c>
      <c r="E6400" t="s">
        <v>9538</v>
      </c>
      <c r="F6400" t="s">
        <v>19101</v>
      </c>
      <c r="G6400" t="s">
        <v>16462</v>
      </c>
      <c r="H6400" t="s">
        <v>19102</v>
      </c>
      <c r="I6400" t="s">
        <v>16082</v>
      </c>
    </row>
    <row r="6401" spans="1:9">
      <c r="A6401" t="s">
        <v>16075</v>
      </c>
      <c r="B6401" t="s">
        <v>16076</v>
      </c>
      <c r="C6401" t="s">
        <v>19103</v>
      </c>
      <c r="D6401" t="s">
        <v>16078</v>
      </c>
      <c r="E6401" t="s">
        <v>14411</v>
      </c>
      <c r="F6401" t="s">
        <v>19104</v>
      </c>
      <c r="G6401" t="s">
        <v>16131</v>
      </c>
      <c r="H6401" t="s">
        <v>19105</v>
      </c>
      <c r="I6401" t="s">
        <v>16082</v>
      </c>
    </row>
    <row r="6402" spans="1:9">
      <c r="A6402" t="s">
        <v>16075</v>
      </c>
      <c r="B6402" t="s">
        <v>16076</v>
      </c>
      <c r="C6402" t="s">
        <v>19106</v>
      </c>
      <c r="D6402" t="s">
        <v>16078</v>
      </c>
      <c r="E6402" t="s">
        <v>19107</v>
      </c>
      <c r="F6402" t="s">
        <v>19108</v>
      </c>
      <c r="G6402" t="s">
        <v>16168</v>
      </c>
      <c r="H6402" t="s">
        <v>19109</v>
      </c>
      <c r="I6402" t="s">
        <v>16082</v>
      </c>
    </row>
    <row r="6403" spans="1:9">
      <c r="A6403" t="s">
        <v>16075</v>
      </c>
      <c r="B6403" t="s">
        <v>16076</v>
      </c>
      <c r="C6403" t="s">
        <v>19110</v>
      </c>
      <c r="D6403" t="s">
        <v>16078</v>
      </c>
      <c r="E6403" t="s">
        <v>4761</v>
      </c>
      <c r="F6403" t="s">
        <v>19111</v>
      </c>
      <c r="G6403" t="s">
        <v>16091</v>
      </c>
      <c r="H6403" t="s">
        <v>19112</v>
      </c>
      <c r="I6403" t="s">
        <v>16082</v>
      </c>
    </row>
    <row r="6404" spans="1:9">
      <c r="A6404" t="s">
        <v>16075</v>
      </c>
      <c r="B6404" t="s">
        <v>16076</v>
      </c>
      <c r="C6404" t="s">
        <v>19113</v>
      </c>
      <c r="D6404" t="s">
        <v>16078</v>
      </c>
      <c r="E6404" t="s">
        <v>6512</v>
      </c>
      <c r="F6404" t="s">
        <v>19114</v>
      </c>
      <c r="G6404" t="s">
        <v>16183</v>
      </c>
      <c r="H6404" t="s">
        <v>19115</v>
      </c>
      <c r="I6404" t="s">
        <v>16082</v>
      </c>
    </row>
    <row r="6405" spans="1:9">
      <c r="A6405" t="s">
        <v>16075</v>
      </c>
      <c r="B6405" t="s">
        <v>16076</v>
      </c>
      <c r="C6405" t="s">
        <v>19116</v>
      </c>
      <c r="D6405" t="s">
        <v>16078</v>
      </c>
      <c r="E6405" t="s">
        <v>19117</v>
      </c>
      <c r="F6405" t="s">
        <v>19118</v>
      </c>
      <c r="G6405" t="s">
        <v>16209</v>
      </c>
      <c r="H6405" t="s">
        <v>19119</v>
      </c>
      <c r="I6405" t="s">
        <v>16082</v>
      </c>
    </row>
    <row r="6406" spans="1:9">
      <c r="A6406" t="s">
        <v>16075</v>
      </c>
      <c r="B6406" t="s">
        <v>16076</v>
      </c>
      <c r="C6406" t="s">
        <v>19120</v>
      </c>
      <c r="D6406" t="s">
        <v>16078</v>
      </c>
      <c r="E6406" t="s">
        <v>9541</v>
      </c>
      <c r="F6406" t="s">
        <v>19121</v>
      </c>
      <c r="G6406" t="s">
        <v>16131</v>
      </c>
      <c r="H6406" t="s">
        <v>19122</v>
      </c>
      <c r="I6406" t="s">
        <v>16082</v>
      </c>
    </row>
    <row r="6407" spans="1:9">
      <c r="A6407" t="s">
        <v>16075</v>
      </c>
      <c r="B6407" t="s">
        <v>16076</v>
      </c>
      <c r="C6407" t="s">
        <v>19123</v>
      </c>
      <c r="D6407" t="s">
        <v>16078</v>
      </c>
      <c r="E6407" t="s">
        <v>19124</v>
      </c>
      <c r="F6407" t="s">
        <v>19125</v>
      </c>
      <c r="G6407" t="s">
        <v>16173</v>
      </c>
      <c r="H6407" t="s">
        <v>18780</v>
      </c>
      <c r="I6407" t="s">
        <v>16082</v>
      </c>
    </row>
    <row r="6408" spans="1:9">
      <c r="A6408" t="s">
        <v>16075</v>
      </c>
      <c r="B6408" t="s">
        <v>16076</v>
      </c>
      <c r="C6408" t="s">
        <v>19126</v>
      </c>
      <c r="D6408" t="s">
        <v>16078</v>
      </c>
      <c r="E6408" t="s">
        <v>19127</v>
      </c>
      <c r="F6408" t="s">
        <v>19128</v>
      </c>
      <c r="G6408" t="s">
        <v>16131</v>
      </c>
      <c r="H6408" t="s">
        <v>19129</v>
      </c>
      <c r="I6408" t="s">
        <v>16082</v>
      </c>
    </row>
    <row r="6409" spans="1:9">
      <c r="A6409" t="s">
        <v>16075</v>
      </c>
      <c r="B6409" t="s">
        <v>16076</v>
      </c>
      <c r="C6409" t="s">
        <v>19130</v>
      </c>
      <c r="D6409" t="s">
        <v>16078</v>
      </c>
      <c r="E6409" t="s">
        <v>6681</v>
      </c>
      <c r="F6409" t="s">
        <v>19131</v>
      </c>
      <c r="G6409" t="s">
        <v>16209</v>
      </c>
      <c r="H6409" t="s">
        <v>18888</v>
      </c>
      <c r="I6409" t="s">
        <v>16082</v>
      </c>
    </row>
    <row r="6410" spans="1:9">
      <c r="A6410" t="s">
        <v>16075</v>
      </c>
      <c r="B6410" t="s">
        <v>16076</v>
      </c>
      <c r="C6410" t="s">
        <v>19132</v>
      </c>
      <c r="D6410" t="s">
        <v>16078</v>
      </c>
      <c r="E6410" t="s">
        <v>19133</v>
      </c>
      <c r="F6410" t="s">
        <v>19134</v>
      </c>
      <c r="G6410" t="s">
        <v>16320</v>
      </c>
      <c r="H6410" t="s">
        <v>19135</v>
      </c>
    </row>
    <row r="6411" spans="1:9">
      <c r="A6411" t="s">
        <v>16075</v>
      </c>
      <c r="B6411" t="s">
        <v>16076</v>
      </c>
      <c r="C6411" t="s">
        <v>19136</v>
      </c>
      <c r="D6411" t="s">
        <v>16078</v>
      </c>
      <c r="E6411" t="s">
        <v>19137</v>
      </c>
      <c r="F6411" t="s">
        <v>19138</v>
      </c>
      <c r="G6411" t="s">
        <v>16080</v>
      </c>
      <c r="H6411" t="s">
        <v>19139</v>
      </c>
      <c r="I6411" t="s">
        <v>16082</v>
      </c>
    </row>
    <row r="6412" spans="1:9">
      <c r="A6412" t="s">
        <v>16075</v>
      </c>
      <c r="B6412" t="s">
        <v>16076</v>
      </c>
      <c r="C6412" t="s">
        <v>19140</v>
      </c>
      <c r="D6412" t="s">
        <v>16078</v>
      </c>
      <c r="E6412" t="s">
        <v>2547</v>
      </c>
      <c r="F6412" t="s">
        <v>19141</v>
      </c>
      <c r="G6412" t="s">
        <v>16303</v>
      </c>
      <c r="H6412" t="s">
        <v>19142</v>
      </c>
      <c r="I6412" t="s">
        <v>16082</v>
      </c>
    </row>
    <row r="6413" spans="1:9">
      <c r="A6413" t="s">
        <v>16075</v>
      </c>
      <c r="B6413" t="s">
        <v>16076</v>
      </c>
      <c r="C6413" t="s">
        <v>19143</v>
      </c>
      <c r="D6413" t="s">
        <v>16078</v>
      </c>
      <c r="E6413" t="s">
        <v>4184</v>
      </c>
      <c r="F6413" t="s">
        <v>19144</v>
      </c>
      <c r="G6413" t="s">
        <v>16086</v>
      </c>
      <c r="H6413" t="s">
        <v>19145</v>
      </c>
      <c r="I6413" t="s">
        <v>16082</v>
      </c>
    </row>
    <row r="6414" spans="1:9">
      <c r="A6414" t="s">
        <v>16075</v>
      </c>
      <c r="B6414" t="s">
        <v>16076</v>
      </c>
      <c r="C6414" t="s">
        <v>19146</v>
      </c>
      <c r="D6414" t="s">
        <v>16078</v>
      </c>
      <c r="E6414" t="s">
        <v>12808</v>
      </c>
      <c r="F6414" t="s">
        <v>19147</v>
      </c>
      <c r="G6414" t="s">
        <v>16209</v>
      </c>
      <c r="H6414" t="s">
        <v>19148</v>
      </c>
      <c r="I6414" t="s">
        <v>16082</v>
      </c>
    </row>
    <row r="6415" spans="1:9">
      <c r="A6415" t="s">
        <v>16075</v>
      </c>
      <c r="B6415" t="s">
        <v>16076</v>
      </c>
      <c r="C6415" t="s">
        <v>19149</v>
      </c>
      <c r="D6415" t="s">
        <v>16078</v>
      </c>
      <c r="E6415" t="s">
        <v>3497</v>
      </c>
      <c r="F6415" t="s">
        <v>19150</v>
      </c>
      <c r="G6415" t="s">
        <v>16097</v>
      </c>
      <c r="H6415" t="s">
        <v>19151</v>
      </c>
      <c r="I6415" t="s">
        <v>16082</v>
      </c>
    </row>
    <row r="6416" spans="1:9">
      <c r="A6416" t="s">
        <v>16075</v>
      </c>
      <c r="B6416" t="s">
        <v>16076</v>
      </c>
      <c r="C6416" t="s">
        <v>19152</v>
      </c>
      <c r="D6416" t="s">
        <v>16078</v>
      </c>
      <c r="E6416" t="s">
        <v>19153</v>
      </c>
      <c r="F6416" t="s">
        <v>19154</v>
      </c>
      <c r="G6416" t="s">
        <v>16209</v>
      </c>
      <c r="H6416" t="s">
        <v>19155</v>
      </c>
      <c r="I6416" t="s">
        <v>16082</v>
      </c>
    </row>
    <row r="6417" spans="1:9">
      <c r="A6417" t="s">
        <v>16075</v>
      </c>
      <c r="B6417" t="s">
        <v>16076</v>
      </c>
      <c r="C6417" t="s">
        <v>19156</v>
      </c>
      <c r="D6417" t="s">
        <v>16078</v>
      </c>
      <c r="E6417" t="s">
        <v>19157</v>
      </c>
      <c r="F6417" t="s">
        <v>19158</v>
      </c>
      <c r="G6417" t="s">
        <v>16091</v>
      </c>
      <c r="H6417" t="s">
        <v>18777</v>
      </c>
      <c r="I6417" t="s">
        <v>16082</v>
      </c>
    </row>
    <row r="6418" spans="1:9">
      <c r="A6418" t="s">
        <v>16075</v>
      </c>
      <c r="B6418" t="s">
        <v>16076</v>
      </c>
      <c r="C6418" t="s">
        <v>19159</v>
      </c>
      <c r="D6418" t="s">
        <v>16078</v>
      </c>
      <c r="E6418" t="s">
        <v>19160</v>
      </c>
      <c r="F6418" t="s">
        <v>19161</v>
      </c>
      <c r="G6418" t="s">
        <v>16194</v>
      </c>
      <c r="H6418" t="s">
        <v>19162</v>
      </c>
      <c r="I6418" t="s">
        <v>16082</v>
      </c>
    </row>
    <row r="6419" spans="1:9">
      <c r="A6419" t="s">
        <v>16075</v>
      </c>
      <c r="B6419" t="s">
        <v>16076</v>
      </c>
      <c r="C6419" t="s">
        <v>19163</v>
      </c>
      <c r="D6419" t="s">
        <v>16078</v>
      </c>
      <c r="E6419" t="s">
        <v>5117</v>
      </c>
      <c r="F6419" t="s">
        <v>19164</v>
      </c>
      <c r="G6419" t="s">
        <v>16105</v>
      </c>
      <c r="H6419" t="s">
        <v>19165</v>
      </c>
      <c r="I6419" t="s">
        <v>16082</v>
      </c>
    </row>
    <row r="6420" spans="1:9">
      <c r="A6420" t="s">
        <v>16075</v>
      </c>
      <c r="B6420" t="s">
        <v>16076</v>
      </c>
      <c r="C6420" t="s">
        <v>19166</v>
      </c>
      <c r="D6420" t="s">
        <v>16078</v>
      </c>
      <c r="E6420" t="s">
        <v>19167</v>
      </c>
      <c r="F6420" t="s">
        <v>19168</v>
      </c>
      <c r="G6420" t="s">
        <v>16131</v>
      </c>
      <c r="H6420" t="s">
        <v>18784</v>
      </c>
      <c r="I6420" t="s">
        <v>16093</v>
      </c>
    </row>
    <row r="6421" spans="1:9">
      <c r="A6421" t="s">
        <v>16075</v>
      </c>
      <c r="B6421" t="s">
        <v>16076</v>
      </c>
      <c r="C6421" t="s">
        <v>19169</v>
      </c>
      <c r="D6421" t="s">
        <v>16078</v>
      </c>
      <c r="E6421" t="s">
        <v>19170</v>
      </c>
      <c r="F6421" t="s">
        <v>19171</v>
      </c>
      <c r="G6421" t="s">
        <v>16462</v>
      </c>
      <c r="H6421" t="s">
        <v>18784</v>
      </c>
      <c r="I6421" t="s">
        <v>16082</v>
      </c>
    </row>
    <row r="6422" spans="1:9">
      <c r="A6422" t="s">
        <v>16075</v>
      </c>
      <c r="B6422" t="s">
        <v>16076</v>
      </c>
      <c r="C6422" t="s">
        <v>19172</v>
      </c>
      <c r="D6422" t="s">
        <v>16078</v>
      </c>
      <c r="E6422" t="s">
        <v>19173</v>
      </c>
      <c r="F6422" t="s">
        <v>19174</v>
      </c>
      <c r="G6422" t="s">
        <v>16534</v>
      </c>
      <c r="H6422" t="s">
        <v>19175</v>
      </c>
      <c r="I6422" t="s">
        <v>16082</v>
      </c>
    </row>
    <row r="6423" spans="1:9">
      <c r="A6423" t="s">
        <v>16075</v>
      </c>
      <c r="B6423" t="s">
        <v>16076</v>
      </c>
      <c r="C6423" t="s">
        <v>19176</v>
      </c>
      <c r="D6423" t="s">
        <v>16078</v>
      </c>
      <c r="E6423" t="s">
        <v>14913</v>
      </c>
      <c r="F6423" t="s">
        <v>19177</v>
      </c>
      <c r="G6423" t="s">
        <v>16183</v>
      </c>
      <c r="H6423" t="s">
        <v>19178</v>
      </c>
      <c r="I6423" t="s">
        <v>16082</v>
      </c>
    </row>
    <row r="6424" spans="1:9">
      <c r="A6424" t="s">
        <v>16075</v>
      </c>
      <c r="B6424" t="s">
        <v>16076</v>
      </c>
      <c r="C6424" t="s">
        <v>19179</v>
      </c>
      <c r="D6424" t="s">
        <v>16078</v>
      </c>
      <c r="E6424" t="s">
        <v>9550</v>
      </c>
      <c r="F6424" t="s">
        <v>19180</v>
      </c>
      <c r="G6424" t="s">
        <v>16295</v>
      </c>
      <c r="H6424" t="s">
        <v>19181</v>
      </c>
      <c r="I6424" t="s">
        <v>16082</v>
      </c>
    </row>
    <row r="6425" spans="1:9">
      <c r="A6425" t="s">
        <v>16075</v>
      </c>
      <c r="B6425" t="s">
        <v>16076</v>
      </c>
      <c r="C6425" t="s">
        <v>19182</v>
      </c>
      <c r="D6425" t="s">
        <v>16078</v>
      </c>
      <c r="E6425" t="s">
        <v>6864</v>
      </c>
      <c r="F6425" t="s">
        <v>19183</v>
      </c>
      <c r="G6425" t="s">
        <v>16097</v>
      </c>
      <c r="H6425" t="s">
        <v>19184</v>
      </c>
      <c r="I6425" t="s">
        <v>16082</v>
      </c>
    </row>
    <row r="6426" spans="1:9">
      <c r="A6426" t="s">
        <v>16075</v>
      </c>
      <c r="B6426" t="s">
        <v>16076</v>
      </c>
      <c r="C6426" t="s">
        <v>19185</v>
      </c>
      <c r="D6426" t="s">
        <v>16078</v>
      </c>
      <c r="E6426" t="s">
        <v>9559</v>
      </c>
      <c r="F6426" t="s">
        <v>19186</v>
      </c>
      <c r="G6426" t="s">
        <v>16091</v>
      </c>
      <c r="H6426" t="s">
        <v>19187</v>
      </c>
      <c r="I6426" t="s">
        <v>16093</v>
      </c>
    </row>
    <row r="6427" spans="1:9">
      <c r="A6427" t="s">
        <v>16075</v>
      </c>
      <c r="B6427" t="s">
        <v>16076</v>
      </c>
      <c r="C6427" t="s">
        <v>19188</v>
      </c>
      <c r="D6427" t="s">
        <v>16078</v>
      </c>
      <c r="E6427" t="s">
        <v>19189</v>
      </c>
      <c r="F6427" t="s">
        <v>19190</v>
      </c>
      <c r="G6427" t="s">
        <v>16168</v>
      </c>
      <c r="H6427" t="s">
        <v>19191</v>
      </c>
      <c r="I6427" t="s">
        <v>16082</v>
      </c>
    </row>
    <row r="6428" spans="1:9">
      <c r="A6428" t="s">
        <v>16075</v>
      </c>
      <c r="B6428" t="s">
        <v>16076</v>
      </c>
      <c r="C6428" t="s">
        <v>19192</v>
      </c>
      <c r="D6428" t="s">
        <v>16078</v>
      </c>
      <c r="E6428" t="s">
        <v>19193</v>
      </c>
      <c r="F6428" t="s">
        <v>19194</v>
      </c>
      <c r="G6428" t="s">
        <v>16266</v>
      </c>
      <c r="H6428" t="s">
        <v>19079</v>
      </c>
      <c r="I6428" t="s">
        <v>16082</v>
      </c>
    </row>
    <row r="6429" spans="1:9">
      <c r="A6429" t="s">
        <v>16075</v>
      </c>
      <c r="B6429" t="s">
        <v>16076</v>
      </c>
      <c r="C6429" t="s">
        <v>19195</v>
      </c>
      <c r="D6429" t="s">
        <v>16078</v>
      </c>
      <c r="E6429" t="s">
        <v>6684</v>
      </c>
      <c r="F6429" t="s">
        <v>19196</v>
      </c>
      <c r="G6429" t="s">
        <v>16080</v>
      </c>
      <c r="H6429" t="s">
        <v>19007</v>
      </c>
      <c r="I6429" t="s">
        <v>16082</v>
      </c>
    </row>
    <row r="6430" spans="1:9">
      <c r="A6430" t="s">
        <v>16075</v>
      </c>
      <c r="B6430" t="s">
        <v>16076</v>
      </c>
      <c r="C6430" t="s">
        <v>19197</v>
      </c>
      <c r="D6430" t="s">
        <v>16078</v>
      </c>
      <c r="E6430" t="s">
        <v>19198</v>
      </c>
      <c r="F6430" t="s">
        <v>19199</v>
      </c>
      <c r="G6430" t="s">
        <v>16173</v>
      </c>
      <c r="H6430" t="s">
        <v>19200</v>
      </c>
      <c r="I6430" t="s">
        <v>16082</v>
      </c>
    </row>
    <row r="6431" spans="1:9">
      <c r="A6431" t="s">
        <v>16075</v>
      </c>
      <c r="B6431" t="s">
        <v>16076</v>
      </c>
      <c r="C6431" t="s">
        <v>19201</v>
      </c>
      <c r="D6431" t="s">
        <v>16078</v>
      </c>
      <c r="E6431" t="s">
        <v>19202</v>
      </c>
      <c r="F6431" t="s">
        <v>19203</v>
      </c>
      <c r="G6431" t="s">
        <v>16131</v>
      </c>
      <c r="H6431" t="s">
        <v>19204</v>
      </c>
      <c r="I6431" t="s">
        <v>16082</v>
      </c>
    </row>
    <row r="6432" spans="1:9">
      <c r="A6432" t="s">
        <v>16075</v>
      </c>
      <c r="B6432" t="s">
        <v>16076</v>
      </c>
      <c r="C6432" t="s">
        <v>19205</v>
      </c>
      <c r="D6432" t="s">
        <v>16078</v>
      </c>
      <c r="E6432" t="s">
        <v>19206</v>
      </c>
      <c r="F6432" t="s">
        <v>19207</v>
      </c>
      <c r="G6432" t="s">
        <v>16086</v>
      </c>
      <c r="H6432" t="s">
        <v>19208</v>
      </c>
      <c r="I6432" t="s">
        <v>16082</v>
      </c>
    </row>
    <row r="6433" spans="1:14">
      <c r="A6433" t="s">
        <v>16075</v>
      </c>
      <c r="B6433" t="s">
        <v>16076</v>
      </c>
      <c r="C6433" t="s">
        <v>19209</v>
      </c>
      <c r="D6433" t="s">
        <v>16078</v>
      </c>
      <c r="E6433" t="s">
        <v>2583</v>
      </c>
      <c r="F6433" t="s">
        <v>19210</v>
      </c>
      <c r="G6433" t="s">
        <v>16295</v>
      </c>
      <c r="H6433" t="s">
        <v>19211</v>
      </c>
      <c r="I6433" t="s">
        <v>16082</v>
      </c>
    </row>
    <row r="6434" spans="1:14">
      <c r="A6434" t="s">
        <v>16075</v>
      </c>
      <c r="B6434" t="s">
        <v>16076</v>
      </c>
      <c r="C6434" t="s">
        <v>19212</v>
      </c>
      <c r="D6434" t="s">
        <v>16078</v>
      </c>
      <c r="E6434" t="s">
        <v>4716</v>
      </c>
      <c r="F6434" t="s">
        <v>19213</v>
      </c>
      <c r="G6434" t="s">
        <v>16194</v>
      </c>
      <c r="H6434" t="s">
        <v>19214</v>
      </c>
      <c r="I6434" t="s">
        <v>16082</v>
      </c>
    </row>
    <row r="6435" spans="1:14">
      <c r="A6435" t="s">
        <v>16075</v>
      </c>
      <c r="B6435" t="s">
        <v>16076</v>
      </c>
      <c r="C6435" t="s">
        <v>19215</v>
      </c>
      <c r="D6435" t="s">
        <v>16078</v>
      </c>
      <c r="E6435" t="s">
        <v>2586</v>
      </c>
      <c r="F6435" t="s">
        <v>19216</v>
      </c>
      <c r="G6435" t="s">
        <v>17700</v>
      </c>
      <c r="H6435" t="s">
        <v>19217</v>
      </c>
    </row>
    <row r="6436" spans="1:14">
      <c r="A6436" t="s">
        <v>16075</v>
      </c>
      <c r="B6436" t="s">
        <v>16076</v>
      </c>
      <c r="C6436" t="s">
        <v>19218</v>
      </c>
      <c r="D6436" t="s">
        <v>16078</v>
      </c>
      <c r="E6436" t="s">
        <v>18791</v>
      </c>
      <c r="F6436" t="s">
        <v>19219</v>
      </c>
      <c r="G6436" t="s">
        <v>16209</v>
      </c>
      <c r="H6436" t="s">
        <v>19220</v>
      </c>
      <c r="I6436" t="s">
        <v>16093</v>
      </c>
    </row>
    <row r="6437" spans="1:14">
      <c r="A6437" t="s">
        <v>16075</v>
      </c>
      <c r="B6437" t="s">
        <v>16076</v>
      </c>
      <c r="C6437" t="s">
        <v>19221</v>
      </c>
      <c r="D6437" t="s">
        <v>16078</v>
      </c>
      <c r="E6437" t="s">
        <v>19222</v>
      </c>
      <c r="F6437" t="s">
        <v>19223</v>
      </c>
      <c r="G6437" t="s">
        <v>17229</v>
      </c>
      <c r="H6437" t="s">
        <v>19224</v>
      </c>
      <c r="I6437" t="s">
        <v>16093</v>
      </c>
    </row>
    <row r="6438" spans="1:14">
      <c r="A6438" t="s">
        <v>16075</v>
      </c>
      <c r="B6438" t="s">
        <v>16076</v>
      </c>
      <c r="C6438" t="s">
        <v>19225</v>
      </c>
      <c r="D6438" t="s">
        <v>16078</v>
      </c>
      <c r="E6438" t="s">
        <v>19226</v>
      </c>
      <c r="F6438" t="s">
        <v>19227</v>
      </c>
      <c r="G6438" t="s">
        <v>16194</v>
      </c>
      <c r="H6438" t="s">
        <v>19228</v>
      </c>
      <c r="I6438" t="s">
        <v>16082</v>
      </c>
    </row>
    <row r="6439" spans="1:14">
      <c r="A6439" t="s">
        <v>16075</v>
      </c>
      <c r="B6439" t="s">
        <v>16076</v>
      </c>
      <c r="C6439" t="s">
        <v>19229</v>
      </c>
      <c r="D6439" t="s">
        <v>16078</v>
      </c>
      <c r="E6439" t="s">
        <v>19230</v>
      </c>
      <c r="F6439" t="s">
        <v>19231</v>
      </c>
      <c r="G6439" t="s">
        <v>16209</v>
      </c>
      <c r="H6439" t="s">
        <v>19007</v>
      </c>
      <c r="I6439" t="s">
        <v>16082</v>
      </c>
    </row>
    <row r="6440" spans="1:14">
      <c r="A6440" t="s">
        <v>16075</v>
      </c>
      <c r="B6440" t="s">
        <v>16076</v>
      </c>
      <c r="C6440" t="s">
        <v>19232</v>
      </c>
      <c r="D6440" t="s">
        <v>16078</v>
      </c>
      <c r="E6440" t="s">
        <v>15224</v>
      </c>
      <c r="F6440" t="s">
        <v>19233</v>
      </c>
      <c r="G6440" t="s">
        <v>16101</v>
      </c>
      <c r="H6440" t="s">
        <v>19234</v>
      </c>
      <c r="I6440" t="s">
        <v>16082</v>
      </c>
      <c r="J6440" t="s">
        <v>13512</v>
      </c>
      <c r="K6440" t="s">
        <v>16075</v>
      </c>
      <c r="L6440" t="s">
        <v>16219</v>
      </c>
      <c r="M6440" t="s">
        <v>16082</v>
      </c>
      <c r="N6440" t="s">
        <v>19234</v>
      </c>
    </row>
    <row r="6441" spans="1:14">
      <c r="A6441" t="s">
        <v>16075</v>
      </c>
      <c r="B6441" t="s">
        <v>16076</v>
      </c>
      <c r="C6441" t="s">
        <v>19235</v>
      </c>
      <c r="D6441" t="s">
        <v>16078</v>
      </c>
      <c r="E6441" t="s">
        <v>19236</v>
      </c>
      <c r="F6441" t="s">
        <v>19237</v>
      </c>
      <c r="G6441" t="s">
        <v>16209</v>
      </c>
      <c r="H6441" t="s">
        <v>18227</v>
      </c>
      <c r="I6441" t="s">
        <v>16082</v>
      </c>
    </row>
    <row r="6442" spans="1:14">
      <c r="A6442" t="s">
        <v>16075</v>
      </c>
      <c r="B6442" t="s">
        <v>16076</v>
      </c>
      <c r="C6442" t="s">
        <v>19238</v>
      </c>
      <c r="D6442" t="s">
        <v>16078</v>
      </c>
      <c r="E6442" t="s">
        <v>12004</v>
      </c>
      <c r="F6442" t="s">
        <v>19239</v>
      </c>
      <c r="G6442" t="s">
        <v>16105</v>
      </c>
      <c r="H6442" t="s">
        <v>19240</v>
      </c>
      <c r="I6442" t="s">
        <v>16082</v>
      </c>
    </row>
    <row r="6443" spans="1:14">
      <c r="A6443" t="s">
        <v>16075</v>
      </c>
      <c r="B6443" t="s">
        <v>16076</v>
      </c>
      <c r="C6443" t="s">
        <v>19241</v>
      </c>
      <c r="D6443" t="s">
        <v>16078</v>
      </c>
      <c r="E6443" t="s">
        <v>778</v>
      </c>
      <c r="F6443" t="s">
        <v>19242</v>
      </c>
      <c r="G6443" t="s">
        <v>16462</v>
      </c>
      <c r="H6443" t="s">
        <v>19243</v>
      </c>
      <c r="I6443" t="s">
        <v>16082</v>
      </c>
    </row>
    <row r="6444" spans="1:14">
      <c r="A6444" t="s">
        <v>16075</v>
      </c>
      <c r="B6444" t="s">
        <v>16076</v>
      </c>
      <c r="C6444" t="s">
        <v>19244</v>
      </c>
      <c r="D6444" t="s">
        <v>16078</v>
      </c>
      <c r="E6444" t="s">
        <v>19245</v>
      </c>
      <c r="F6444" t="s">
        <v>19246</v>
      </c>
      <c r="G6444" t="s">
        <v>16131</v>
      </c>
      <c r="H6444" t="s">
        <v>19247</v>
      </c>
      <c r="I6444" t="s">
        <v>16082</v>
      </c>
    </row>
    <row r="6445" spans="1:14">
      <c r="A6445" t="s">
        <v>16075</v>
      </c>
      <c r="B6445" t="s">
        <v>16076</v>
      </c>
      <c r="C6445" t="s">
        <v>19248</v>
      </c>
      <c r="D6445" t="s">
        <v>16078</v>
      </c>
      <c r="E6445" t="s">
        <v>2592</v>
      </c>
      <c r="F6445" t="s">
        <v>19249</v>
      </c>
      <c r="G6445" t="s">
        <v>16131</v>
      </c>
      <c r="H6445" t="s">
        <v>19250</v>
      </c>
      <c r="I6445" t="s">
        <v>16082</v>
      </c>
    </row>
    <row r="6446" spans="1:14">
      <c r="A6446" t="s">
        <v>16075</v>
      </c>
      <c r="B6446" t="s">
        <v>16076</v>
      </c>
      <c r="C6446" t="s">
        <v>19251</v>
      </c>
      <c r="D6446" t="s">
        <v>16078</v>
      </c>
      <c r="E6446" t="s">
        <v>9562</v>
      </c>
      <c r="F6446" t="s">
        <v>19252</v>
      </c>
      <c r="G6446" t="s">
        <v>16194</v>
      </c>
      <c r="H6446" t="s">
        <v>19253</v>
      </c>
      <c r="I6446" t="s">
        <v>16082</v>
      </c>
    </row>
    <row r="6447" spans="1:14">
      <c r="A6447" t="s">
        <v>16075</v>
      </c>
      <c r="B6447" t="s">
        <v>16076</v>
      </c>
      <c r="C6447" t="s">
        <v>19254</v>
      </c>
      <c r="D6447" t="s">
        <v>16078</v>
      </c>
      <c r="E6447" t="s">
        <v>19255</v>
      </c>
      <c r="F6447" t="s">
        <v>19256</v>
      </c>
      <c r="G6447" t="s">
        <v>16109</v>
      </c>
      <c r="H6447" t="s">
        <v>19257</v>
      </c>
      <c r="I6447" t="s">
        <v>16082</v>
      </c>
    </row>
    <row r="6448" spans="1:14">
      <c r="A6448" t="s">
        <v>16075</v>
      </c>
      <c r="B6448" t="s">
        <v>16076</v>
      </c>
      <c r="C6448" t="s">
        <v>19258</v>
      </c>
      <c r="D6448" t="s">
        <v>16078</v>
      </c>
      <c r="E6448" t="s">
        <v>9565</v>
      </c>
      <c r="F6448" t="s">
        <v>19259</v>
      </c>
      <c r="G6448" t="s">
        <v>16086</v>
      </c>
      <c r="H6448" t="s">
        <v>19260</v>
      </c>
      <c r="I6448" t="s">
        <v>16082</v>
      </c>
    </row>
    <row r="6449" spans="1:14">
      <c r="A6449" t="s">
        <v>16075</v>
      </c>
      <c r="B6449" t="s">
        <v>16076</v>
      </c>
      <c r="C6449" t="s">
        <v>19261</v>
      </c>
      <c r="D6449" t="s">
        <v>16078</v>
      </c>
      <c r="E6449" t="s">
        <v>7351</v>
      </c>
      <c r="F6449" t="s">
        <v>19262</v>
      </c>
      <c r="G6449" t="s">
        <v>16116</v>
      </c>
      <c r="H6449" t="s">
        <v>19263</v>
      </c>
      <c r="I6449" t="s">
        <v>16093</v>
      </c>
    </row>
    <row r="6450" spans="1:14">
      <c r="A6450" t="s">
        <v>16075</v>
      </c>
      <c r="B6450" t="s">
        <v>16076</v>
      </c>
      <c r="C6450" t="s">
        <v>19264</v>
      </c>
      <c r="D6450" t="s">
        <v>16078</v>
      </c>
      <c r="E6450" t="s">
        <v>5120</v>
      </c>
      <c r="F6450" t="s">
        <v>19265</v>
      </c>
      <c r="G6450" t="s">
        <v>16303</v>
      </c>
      <c r="H6450" t="s">
        <v>19266</v>
      </c>
      <c r="I6450" t="s">
        <v>16082</v>
      </c>
    </row>
    <row r="6451" spans="1:14">
      <c r="A6451" t="s">
        <v>16075</v>
      </c>
      <c r="B6451" t="s">
        <v>16076</v>
      </c>
      <c r="C6451" t="s">
        <v>19267</v>
      </c>
      <c r="D6451" t="s">
        <v>16078</v>
      </c>
      <c r="E6451" t="s">
        <v>10401</v>
      </c>
      <c r="F6451" t="s">
        <v>19268</v>
      </c>
      <c r="G6451" t="s">
        <v>16116</v>
      </c>
      <c r="H6451" t="s">
        <v>19269</v>
      </c>
      <c r="I6451" t="s">
        <v>16082</v>
      </c>
    </row>
    <row r="6452" spans="1:14">
      <c r="A6452" t="s">
        <v>16075</v>
      </c>
      <c r="B6452" t="s">
        <v>16076</v>
      </c>
      <c r="C6452" t="s">
        <v>19270</v>
      </c>
      <c r="D6452" t="s">
        <v>16078</v>
      </c>
      <c r="E6452" t="s">
        <v>14424</v>
      </c>
      <c r="F6452" t="s">
        <v>19271</v>
      </c>
      <c r="G6452" t="s">
        <v>16131</v>
      </c>
      <c r="H6452" t="s">
        <v>19272</v>
      </c>
      <c r="I6452" t="s">
        <v>16082</v>
      </c>
    </row>
    <row r="6453" spans="1:14">
      <c r="A6453" t="s">
        <v>16075</v>
      </c>
      <c r="B6453" t="s">
        <v>16076</v>
      </c>
      <c r="C6453" t="s">
        <v>19273</v>
      </c>
      <c r="D6453" t="s">
        <v>16078</v>
      </c>
      <c r="E6453" t="s">
        <v>11598</v>
      </c>
      <c r="F6453" t="s">
        <v>19274</v>
      </c>
      <c r="G6453" t="s">
        <v>16105</v>
      </c>
      <c r="H6453" t="s">
        <v>19275</v>
      </c>
      <c r="I6453" t="s">
        <v>16082</v>
      </c>
    </row>
    <row r="6454" spans="1:14">
      <c r="A6454" t="s">
        <v>16075</v>
      </c>
      <c r="B6454" t="s">
        <v>16076</v>
      </c>
      <c r="C6454" t="s">
        <v>19276</v>
      </c>
      <c r="D6454" t="s">
        <v>16078</v>
      </c>
      <c r="E6454" t="s">
        <v>7354</v>
      </c>
      <c r="F6454" t="s">
        <v>19277</v>
      </c>
      <c r="G6454" t="s">
        <v>16139</v>
      </c>
      <c r="H6454" t="s">
        <v>17817</v>
      </c>
      <c r="I6454" t="s">
        <v>16093</v>
      </c>
    </row>
    <row r="6455" spans="1:14">
      <c r="A6455" t="s">
        <v>16075</v>
      </c>
      <c r="B6455" t="s">
        <v>16076</v>
      </c>
      <c r="C6455" t="s">
        <v>19278</v>
      </c>
      <c r="D6455" t="s">
        <v>16078</v>
      </c>
      <c r="E6455" t="s">
        <v>15850</v>
      </c>
      <c r="F6455" t="s">
        <v>19279</v>
      </c>
      <c r="G6455" t="s">
        <v>16116</v>
      </c>
      <c r="H6455" t="s">
        <v>19280</v>
      </c>
      <c r="I6455" t="s">
        <v>16082</v>
      </c>
      <c r="J6455" t="s">
        <v>19281</v>
      </c>
      <c r="K6455" t="s">
        <v>16075</v>
      </c>
      <c r="L6455" t="s">
        <v>16219</v>
      </c>
      <c r="M6455" t="s">
        <v>16082</v>
      </c>
      <c r="N6455" t="s">
        <v>19280</v>
      </c>
    </row>
    <row r="6456" spans="1:14">
      <c r="A6456" t="s">
        <v>16075</v>
      </c>
      <c r="B6456" t="s">
        <v>16076</v>
      </c>
      <c r="C6456" t="s">
        <v>19282</v>
      </c>
      <c r="D6456" t="s">
        <v>16078</v>
      </c>
      <c r="E6456" t="s">
        <v>3308</v>
      </c>
      <c r="F6456" t="s">
        <v>19283</v>
      </c>
      <c r="G6456" t="s">
        <v>16303</v>
      </c>
      <c r="H6456" t="s">
        <v>19284</v>
      </c>
      <c r="I6456" t="s">
        <v>16082</v>
      </c>
    </row>
    <row r="6457" spans="1:14">
      <c r="A6457" t="s">
        <v>16075</v>
      </c>
      <c r="B6457" t="s">
        <v>16076</v>
      </c>
      <c r="C6457" t="s">
        <v>19285</v>
      </c>
      <c r="D6457" t="s">
        <v>16078</v>
      </c>
      <c r="E6457" t="s">
        <v>4719</v>
      </c>
      <c r="F6457" t="s">
        <v>19286</v>
      </c>
      <c r="G6457" t="s">
        <v>16080</v>
      </c>
      <c r="H6457" t="s">
        <v>19287</v>
      </c>
      <c r="I6457" t="s">
        <v>16082</v>
      </c>
    </row>
    <row r="6458" spans="1:14">
      <c r="A6458" t="s">
        <v>16075</v>
      </c>
      <c r="B6458" t="s">
        <v>16076</v>
      </c>
      <c r="C6458" t="s">
        <v>19288</v>
      </c>
      <c r="D6458" t="s">
        <v>16078</v>
      </c>
      <c r="E6458" t="s">
        <v>4193</v>
      </c>
      <c r="F6458" t="s">
        <v>19289</v>
      </c>
      <c r="G6458" t="s">
        <v>16462</v>
      </c>
      <c r="H6458" t="s">
        <v>19290</v>
      </c>
      <c r="I6458" t="s">
        <v>16093</v>
      </c>
    </row>
    <row r="6459" spans="1:14">
      <c r="A6459" t="s">
        <v>16075</v>
      </c>
      <c r="B6459" t="s">
        <v>16076</v>
      </c>
      <c r="C6459" t="s">
        <v>19291</v>
      </c>
      <c r="D6459" t="s">
        <v>16078</v>
      </c>
      <c r="E6459" t="s">
        <v>19292</v>
      </c>
      <c r="F6459" t="s">
        <v>19293</v>
      </c>
      <c r="G6459" t="s">
        <v>16131</v>
      </c>
      <c r="H6459" t="s">
        <v>19294</v>
      </c>
      <c r="I6459" t="s">
        <v>16082</v>
      </c>
    </row>
    <row r="6460" spans="1:14">
      <c r="A6460" t="s">
        <v>16075</v>
      </c>
      <c r="B6460" t="s">
        <v>16076</v>
      </c>
      <c r="C6460" t="s">
        <v>19295</v>
      </c>
      <c r="D6460" t="s">
        <v>16078</v>
      </c>
      <c r="E6460" t="s">
        <v>19296</v>
      </c>
      <c r="F6460" t="s">
        <v>19297</v>
      </c>
      <c r="G6460" t="s">
        <v>16194</v>
      </c>
      <c r="H6460" t="s">
        <v>19298</v>
      </c>
      <c r="I6460" t="s">
        <v>16082</v>
      </c>
    </row>
    <row r="6461" spans="1:14">
      <c r="A6461" t="s">
        <v>16075</v>
      </c>
      <c r="B6461" t="s">
        <v>16076</v>
      </c>
      <c r="C6461" t="s">
        <v>19299</v>
      </c>
      <c r="D6461" t="s">
        <v>16078</v>
      </c>
      <c r="E6461" t="s">
        <v>19300</v>
      </c>
      <c r="F6461" t="s">
        <v>19301</v>
      </c>
      <c r="G6461" t="s">
        <v>16101</v>
      </c>
      <c r="H6461" t="s">
        <v>19302</v>
      </c>
      <c r="I6461" t="s">
        <v>16082</v>
      </c>
    </row>
    <row r="6462" spans="1:14">
      <c r="A6462" t="s">
        <v>16075</v>
      </c>
      <c r="B6462" t="s">
        <v>16076</v>
      </c>
      <c r="C6462" t="s">
        <v>19303</v>
      </c>
      <c r="D6462" t="s">
        <v>16078</v>
      </c>
      <c r="E6462" t="s">
        <v>19304</v>
      </c>
      <c r="F6462" t="s">
        <v>19305</v>
      </c>
      <c r="G6462" t="s">
        <v>16131</v>
      </c>
      <c r="H6462" t="s">
        <v>19306</v>
      </c>
      <c r="I6462" t="s">
        <v>16082</v>
      </c>
    </row>
    <row r="6463" spans="1:14">
      <c r="A6463" t="s">
        <v>16075</v>
      </c>
      <c r="B6463" t="s">
        <v>16076</v>
      </c>
      <c r="C6463" t="s">
        <v>19307</v>
      </c>
      <c r="D6463" t="s">
        <v>16078</v>
      </c>
      <c r="E6463" t="s">
        <v>19308</v>
      </c>
      <c r="F6463" t="s">
        <v>19309</v>
      </c>
      <c r="G6463" t="s">
        <v>16312</v>
      </c>
      <c r="H6463" t="s">
        <v>19310</v>
      </c>
    </row>
    <row r="6464" spans="1:14">
      <c r="A6464" t="s">
        <v>16075</v>
      </c>
      <c r="B6464" t="s">
        <v>16076</v>
      </c>
      <c r="C6464" t="s">
        <v>19311</v>
      </c>
      <c r="D6464" t="s">
        <v>16078</v>
      </c>
      <c r="E6464" t="s">
        <v>19312</v>
      </c>
      <c r="F6464" t="s">
        <v>19313</v>
      </c>
      <c r="G6464" t="s">
        <v>16116</v>
      </c>
      <c r="H6464" t="s">
        <v>19314</v>
      </c>
      <c r="I6464" t="s">
        <v>16082</v>
      </c>
    </row>
    <row r="6465" spans="1:14">
      <c r="A6465" t="s">
        <v>16075</v>
      </c>
      <c r="B6465" t="s">
        <v>16076</v>
      </c>
      <c r="C6465" t="s">
        <v>19315</v>
      </c>
      <c r="D6465" t="s">
        <v>16078</v>
      </c>
      <c r="E6465" t="s">
        <v>12814</v>
      </c>
      <c r="F6465" t="s">
        <v>19316</v>
      </c>
      <c r="G6465" t="s">
        <v>16086</v>
      </c>
      <c r="H6465" t="s">
        <v>19317</v>
      </c>
      <c r="I6465" t="s">
        <v>16082</v>
      </c>
    </row>
    <row r="6466" spans="1:14">
      <c r="A6466" t="s">
        <v>16075</v>
      </c>
      <c r="B6466" t="s">
        <v>16076</v>
      </c>
      <c r="C6466" t="s">
        <v>19318</v>
      </c>
      <c r="D6466" t="s">
        <v>16078</v>
      </c>
      <c r="E6466" t="s">
        <v>19319</v>
      </c>
      <c r="F6466" t="s">
        <v>19320</v>
      </c>
      <c r="G6466" t="s">
        <v>16194</v>
      </c>
      <c r="H6466" t="s">
        <v>19321</v>
      </c>
      <c r="I6466" t="s">
        <v>16082</v>
      </c>
    </row>
    <row r="6467" spans="1:14">
      <c r="A6467" t="s">
        <v>16075</v>
      </c>
      <c r="B6467" t="s">
        <v>16076</v>
      </c>
      <c r="C6467" t="s">
        <v>19322</v>
      </c>
      <c r="D6467" t="s">
        <v>16078</v>
      </c>
      <c r="E6467" t="s">
        <v>19323</v>
      </c>
      <c r="F6467" t="s">
        <v>19324</v>
      </c>
      <c r="G6467" t="s">
        <v>16091</v>
      </c>
      <c r="H6467" t="s">
        <v>19325</v>
      </c>
      <c r="I6467" t="s">
        <v>16082</v>
      </c>
    </row>
    <row r="6468" spans="1:14">
      <c r="A6468" t="s">
        <v>16075</v>
      </c>
      <c r="B6468" t="s">
        <v>16076</v>
      </c>
      <c r="C6468" t="s">
        <v>19326</v>
      </c>
      <c r="D6468" t="s">
        <v>16078</v>
      </c>
      <c r="E6468" t="s">
        <v>19327</v>
      </c>
      <c r="F6468" t="s">
        <v>19328</v>
      </c>
      <c r="G6468" t="s">
        <v>16131</v>
      </c>
      <c r="H6468" t="s">
        <v>19329</v>
      </c>
      <c r="I6468" t="s">
        <v>16082</v>
      </c>
    </row>
    <row r="6469" spans="1:14">
      <c r="A6469" t="s">
        <v>16075</v>
      </c>
      <c r="B6469" t="s">
        <v>16076</v>
      </c>
      <c r="C6469" t="s">
        <v>19330</v>
      </c>
      <c r="D6469" t="s">
        <v>16078</v>
      </c>
      <c r="E6469" t="s">
        <v>10410</v>
      </c>
      <c r="F6469" t="s">
        <v>19331</v>
      </c>
      <c r="G6469" t="s">
        <v>16209</v>
      </c>
      <c r="H6469" t="s">
        <v>19332</v>
      </c>
      <c r="I6469" t="s">
        <v>16082</v>
      </c>
    </row>
    <row r="6470" spans="1:14">
      <c r="A6470" t="s">
        <v>16075</v>
      </c>
      <c r="B6470" t="s">
        <v>16076</v>
      </c>
      <c r="C6470" t="s">
        <v>19333</v>
      </c>
      <c r="D6470" t="s">
        <v>16078</v>
      </c>
      <c r="E6470" t="s">
        <v>19334</v>
      </c>
      <c r="F6470" t="s">
        <v>19335</v>
      </c>
      <c r="G6470" t="s">
        <v>16869</v>
      </c>
      <c r="H6470" t="s">
        <v>19336</v>
      </c>
      <c r="I6470" t="s">
        <v>16082</v>
      </c>
    </row>
    <row r="6471" spans="1:14">
      <c r="A6471" t="s">
        <v>16075</v>
      </c>
      <c r="B6471" t="s">
        <v>16076</v>
      </c>
      <c r="C6471" t="s">
        <v>19337</v>
      </c>
      <c r="D6471" t="s">
        <v>16078</v>
      </c>
      <c r="E6471" t="s">
        <v>2601</v>
      </c>
      <c r="F6471" t="s">
        <v>19338</v>
      </c>
      <c r="G6471" t="s">
        <v>16178</v>
      </c>
      <c r="H6471" t="s">
        <v>19339</v>
      </c>
      <c r="I6471" t="s">
        <v>16082</v>
      </c>
      <c r="J6471" t="s">
        <v>19340</v>
      </c>
      <c r="K6471" t="s">
        <v>16075</v>
      </c>
      <c r="L6471" t="s">
        <v>16219</v>
      </c>
      <c r="M6471" t="s">
        <v>16082</v>
      </c>
      <c r="N6471" t="s">
        <v>19339</v>
      </c>
    </row>
    <row r="6472" spans="1:14">
      <c r="A6472" t="s">
        <v>16075</v>
      </c>
      <c r="B6472" t="s">
        <v>16076</v>
      </c>
      <c r="C6472" t="s">
        <v>19341</v>
      </c>
      <c r="D6472" t="s">
        <v>16078</v>
      </c>
      <c r="E6472" t="s">
        <v>9592</v>
      </c>
      <c r="F6472" t="s">
        <v>19342</v>
      </c>
      <c r="G6472" t="s">
        <v>16086</v>
      </c>
      <c r="H6472" t="s">
        <v>19343</v>
      </c>
      <c r="I6472" t="s">
        <v>16082</v>
      </c>
    </row>
    <row r="6473" spans="1:14">
      <c r="A6473" t="s">
        <v>16075</v>
      </c>
      <c r="B6473" t="s">
        <v>16076</v>
      </c>
      <c r="C6473" t="s">
        <v>19344</v>
      </c>
      <c r="D6473" t="s">
        <v>16078</v>
      </c>
      <c r="E6473" t="s">
        <v>7126</v>
      </c>
      <c r="F6473" t="s">
        <v>19345</v>
      </c>
      <c r="G6473" t="s">
        <v>16086</v>
      </c>
      <c r="H6473" t="s">
        <v>19332</v>
      </c>
      <c r="I6473" t="s">
        <v>16082</v>
      </c>
    </row>
    <row r="6474" spans="1:14">
      <c r="A6474" t="s">
        <v>16075</v>
      </c>
      <c r="B6474" t="s">
        <v>16076</v>
      </c>
      <c r="C6474" t="s">
        <v>19346</v>
      </c>
      <c r="D6474" t="s">
        <v>16078</v>
      </c>
      <c r="E6474" t="s">
        <v>19347</v>
      </c>
      <c r="F6474" t="s">
        <v>19348</v>
      </c>
      <c r="G6474" t="s">
        <v>16159</v>
      </c>
      <c r="H6474" t="s">
        <v>19349</v>
      </c>
      <c r="I6474" t="s">
        <v>16082</v>
      </c>
    </row>
    <row r="6475" spans="1:14">
      <c r="A6475" t="s">
        <v>16075</v>
      </c>
      <c r="B6475" t="s">
        <v>16076</v>
      </c>
      <c r="C6475" t="s">
        <v>19350</v>
      </c>
      <c r="D6475" t="s">
        <v>16078</v>
      </c>
      <c r="E6475" t="s">
        <v>19351</v>
      </c>
      <c r="F6475" t="s">
        <v>19352</v>
      </c>
      <c r="G6475" t="s">
        <v>16209</v>
      </c>
      <c r="H6475" t="s">
        <v>19353</v>
      </c>
      <c r="I6475" t="s">
        <v>16082</v>
      </c>
    </row>
    <row r="6476" spans="1:14">
      <c r="A6476" t="s">
        <v>16075</v>
      </c>
      <c r="B6476" t="s">
        <v>16076</v>
      </c>
      <c r="C6476" t="s">
        <v>19354</v>
      </c>
      <c r="D6476" t="s">
        <v>16078</v>
      </c>
      <c r="E6476" t="s">
        <v>11601</v>
      </c>
      <c r="F6476" t="s">
        <v>19355</v>
      </c>
      <c r="G6476" t="s">
        <v>16372</v>
      </c>
      <c r="H6476" t="s">
        <v>19356</v>
      </c>
      <c r="I6476" t="s">
        <v>16082</v>
      </c>
    </row>
    <row r="6477" spans="1:14">
      <c r="A6477" t="s">
        <v>16075</v>
      </c>
      <c r="B6477" t="s">
        <v>16076</v>
      </c>
      <c r="C6477" t="s">
        <v>19357</v>
      </c>
      <c r="D6477" t="s">
        <v>16078</v>
      </c>
      <c r="E6477" t="s">
        <v>19358</v>
      </c>
      <c r="F6477" t="s">
        <v>19359</v>
      </c>
      <c r="G6477" t="s">
        <v>16091</v>
      </c>
      <c r="H6477" t="s">
        <v>19360</v>
      </c>
      <c r="I6477" t="s">
        <v>16082</v>
      </c>
    </row>
    <row r="6478" spans="1:14">
      <c r="A6478" t="s">
        <v>16075</v>
      </c>
      <c r="B6478" t="s">
        <v>16076</v>
      </c>
      <c r="C6478" t="s">
        <v>19361</v>
      </c>
      <c r="D6478" t="s">
        <v>16078</v>
      </c>
      <c r="E6478" t="s">
        <v>19362</v>
      </c>
      <c r="F6478" t="s">
        <v>19363</v>
      </c>
      <c r="G6478" t="s">
        <v>16209</v>
      </c>
      <c r="H6478" t="s">
        <v>19364</v>
      </c>
      <c r="I6478" t="s">
        <v>16082</v>
      </c>
    </row>
    <row r="6479" spans="1:14">
      <c r="A6479" t="s">
        <v>16075</v>
      </c>
      <c r="B6479" t="s">
        <v>16076</v>
      </c>
      <c r="C6479" t="s">
        <v>19365</v>
      </c>
      <c r="D6479" t="s">
        <v>16078</v>
      </c>
      <c r="E6479" t="s">
        <v>19366</v>
      </c>
      <c r="F6479" t="s">
        <v>19367</v>
      </c>
      <c r="G6479" t="s">
        <v>16266</v>
      </c>
      <c r="H6479" t="s">
        <v>19368</v>
      </c>
      <c r="I6479" t="s">
        <v>16082</v>
      </c>
    </row>
    <row r="6480" spans="1:14">
      <c r="A6480" t="s">
        <v>16075</v>
      </c>
      <c r="B6480" t="s">
        <v>16076</v>
      </c>
      <c r="C6480" t="s">
        <v>19369</v>
      </c>
      <c r="D6480" t="s">
        <v>16078</v>
      </c>
      <c r="E6480" t="s">
        <v>19340</v>
      </c>
      <c r="F6480" t="s">
        <v>19370</v>
      </c>
      <c r="G6480" t="s">
        <v>16178</v>
      </c>
      <c r="H6480" t="s">
        <v>19371</v>
      </c>
      <c r="I6480" t="s">
        <v>16093</v>
      </c>
    </row>
    <row r="6481" spans="1:14">
      <c r="A6481" t="s">
        <v>16075</v>
      </c>
      <c r="B6481" t="s">
        <v>16076</v>
      </c>
      <c r="C6481" t="s">
        <v>19372</v>
      </c>
      <c r="D6481" t="s">
        <v>16078</v>
      </c>
      <c r="E6481" t="s">
        <v>19373</v>
      </c>
      <c r="F6481" t="s">
        <v>19374</v>
      </c>
      <c r="G6481" t="s">
        <v>16372</v>
      </c>
      <c r="H6481" t="s">
        <v>19375</v>
      </c>
      <c r="I6481" t="s">
        <v>16082</v>
      </c>
    </row>
    <row r="6482" spans="1:14">
      <c r="A6482" t="s">
        <v>16075</v>
      </c>
      <c r="B6482" t="s">
        <v>16076</v>
      </c>
      <c r="C6482" t="s">
        <v>19376</v>
      </c>
      <c r="D6482" t="s">
        <v>16078</v>
      </c>
      <c r="E6482" t="s">
        <v>19377</v>
      </c>
      <c r="F6482" t="s">
        <v>19378</v>
      </c>
      <c r="G6482" t="s">
        <v>16131</v>
      </c>
      <c r="H6482" t="s">
        <v>19379</v>
      </c>
      <c r="I6482" t="s">
        <v>16082</v>
      </c>
      <c r="J6482" t="s">
        <v>19377</v>
      </c>
      <c r="K6482" t="s">
        <v>16075</v>
      </c>
      <c r="L6482" t="s">
        <v>16219</v>
      </c>
      <c r="M6482" t="s">
        <v>16082</v>
      </c>
      <c r="N6482" t="s">
        <v>19379</v>
      </c>
    </row>
    <row r="6483" spans="1:14">
      <c r="A6483" t="s">
        <v>16075</v>
      </c>
      <c r="B6483" t="s">
        <v>16076</v>
      </c>
      <c r="C6483" t="s">
        <v>19380</v>
      </c>
      <c r="D6483" t="s">
        <v>16078</v>
      </c>
      <c r="E6483" t="s">
        <v>19381</v>
      </c>
      <c r="F6483" t="s">
        <v>19382</v>
      </c>
      <c r="G6483" t="s">
        <v>16159</v>
      </c>
      <c r="H6483" t="s">
        <v>19383</v>
      </c>
      <c r="I6483" t="s">
        <v>16082</v>
      </c>
    </row>
    <row r="6484" spans="1:14">
      <c r="A6484" t="s">
        <v>16075</v>
      </c>
      <c r="B6484" t="s">
        <v>16076</v>
      </c>
      <c r="C6484" t="s">
        <v>19384</v>
      </c>
      <c r="D6484" t="s">
        <v>16078</v>
      </c>
      <c r="E6484" t="s">
        <v>19385</v>
      </c>
      <c r="F6484" t="s">
        <v>19386</v>
      </c>
      <c r="G6484" t="s">
        <v>16462</v>
      </c>
      <c r="H6484" t="s">
        <v>19387</v>
      </c>
      <c r="I6484" t="s">
        <v>16082</v>
      </c>
    </row>
    <row r="6485" spans="1:14">
      <c r="A6485" t="s">
        <v>16075</v>
      </c>
      <c r="B6485" t="s">
        <v>16076</v>
      </c>
      <c r="C6485" t="s">
        <v>19388</v>
      </c>
      <c r="D6485" t="s">
        <v>16078</v>
      </c>
      <c r="E6485" t="s">
        <v>9595</v>
      </c>
      <c r="F6485" t="s">
        <v>19389</v>
      </c>
      <c r="G6485" t="s">
        <v>16097</v>
      </c>
      <c r="H6485" t="s">
        <v>19390</v>
      </c>
      <c r="I6485" t="s">
        <v>16082</v>
      </c>
    </row>
    <row r="6486" spans="1:14">
      <c r="A6486" t="s">
        <v>16075</v>
      </c>
      <c r="B6486" t="s">
        <v>16076</v>
      </c>
      <c r="C6486" t="s">
        <v>19391</v>
      </c>
      <c r="D6486" t="s">
        <v>16078</v>
      </c>
      <c r="E6486" t="s">
        <v>19392</v>
      </c>
      <c r="F6486" t="s">
        <v>19393</v>
      </c>
      <c r="G6486" t="s">
        <v>16266</v>
      </c>
      <c r="H6486" t="s">
        <v>19394</v>
      </c>
      <c r="I6486" t="s">
        <v>16082</v>
      </c>
    </row>
    <row r="6487" spans="1:14">
      <c r="A6487" t="s">
        <v>16075</v>
      </c>
      <c r="B6487" t="s">
        <v>16076</v>
      </c>
      <c r="C6487" t="s">
        <v>19395</v>
      </c>
      <c r="D6487" t="s">
        <v>16078</v>
      </c>
      <c r="E6487" t="s">
        <v>19396</v>
      </c>
      <c r="F6487" t="s">
        <v>19397</v>
      </c>
      <c r="G6487" t="s">
        <v>16168</v>
      </c>
      <c r="H6487" t="s">
        <v>19398</v>
      </c>
      <c r="I6487" t="s">
        <v>16082</v>
      </c>
    </row>
    <row r="6488" spans="1:14">
      <c r="A6488" t="s">
        <v>16075</v>
      </c>
      <c r="B6488" t="s">
        <v>16076</v>
      </c>
      <c r="C6488" t="s">
        <v>19399</v>
      </c>
      <c r="D6488" t="s">
        <v>16078</v>
      </c>
      <c r="E6488" t="s">
        <v>19400</v>
      </c>
      <c r="F6488" t="s">
        <v>19401</v>
      </c>
      <c r="G6488" t="s">
        <v>16495</v>
      </c>
      <c r="H6488" t="s">
        <v>19353</v>
      </c>
    </row>
    <row r="6489" spans="1:14">
      <c r="A6489" t="s">
        <v>16075</v>
      </c>
      <c r="B6489" t="s">
        <v>16076</v>
      </c>
      <c r="C6489" t="s">
        <v>19402</v>
      </c>
      <c r="D6489" t="s">
        <v>16078</v>
      </c>
      <c r="E6489" t="s">
        <v>9598</v>
      </c>
      <c r="F6489" t="s">
        <v>19403</v>
      </c>
      <c r="G6489" t="s">
        <v>16080</v>
      </c>
      <c r="H6489" t="s">
        <v>19404</v>
      </c>
      <c r="I6489" t="s">
        <v>16082</v>
      </c>
    </row>
    <row r="6490" spans="1:14">
      <c r="A6490" t="s">
        <v>16075</v>
      </c>
      <c r="B6490" t="s">
        <v>16076</v>
      </c>
      <c r="C6490" t="s">
        <v>19405</v>
      </c>
      <c r="D6490" t="s">
        <v>16078</v>
      </c>
      <c r="E6490" t="s">
        <v>9601</v>
      </c>
      <c r="F6490" t="s">
        <v>19406</v>
      </c>
      <c r="G6490" t="s">
        <v>16178</v>
      </c>
      <c r="H6490" t="s">
        <v>19407</v>
      </c>
      <c r="I6490" t="s">
        <v>16082</v>
      </c>
    </row>
    <row r="6491" spans="1:14">
      <c r="A6491" t="s">
        <v>16075</v>
      </c>
      <c r="B6491" t="s">
        <v>16076</v>
      </c>
      <c r="C6491" t="s">
        <v>19408</v>
      </c>
      <c r="D6491" t="s">
        <v>16078</v>
      </c>
      <c r="E6491" t="s">
        <v>19409</v>
      </c>
      <c r="F6491" t="s">
        <v>19410</v>
      </c>
      <c r="G6491" t="s">
        <v>16116</v>
      </c>
      <c r="H6491" t="s">
        <v>19411</v>
      </c>
      <c r="I6491" t="s">
        <v>16093</v>
      </c>
    </row>
    <row r="6492" spans="1:14">
      <c r="A6492" t="s">
        <v>16075</v>
      </c>
      <c r="B6492" t="s">
        <v>16076</v>
      </c>
      <c r="C6492" t="s">
        <v>19412</v>
      </c>
      <c r="D6492" t="s">
        <v>16078</v>
      </c>
      <c r="E6492" t="s">
        <v>19413</v>
      </c>
      <c r="F6492" t="s">
        <v>19414</v>
      </c>
      <c r="G6492" t="s">
        <v>16131</v>
      </c>
      <c r="H6492" t="s">
        <v>19415</v>
      </c>
      <c r="I6492" t="s">
        <v>16082</v>
      </c>
    </row>
    <row r="6493" spans="1:14">
      <c r="A6493" t="s">
        <v>16075</v>
      </c>
      <c r="B6493" t="s">
        <v>16076</v>
      </c>
      <c r="C6493" t="s">
        <v>19416</v>
      </c>
      <c r="D6493" t="s">
        <v>16078</v>
      </c>
      <c r="E6493" t="s">
        <v>8279</v>
      </c>
      <c r="F6493" t="s">
        <v>19417</v>
      </c>
      <c r="G6493" t="s">
        <v>16101</v>
      </c>
      <c r="H6493" t="s">
        <v>19418</v>
      </c>
      <c r="I6493" t="s">
        <v>16082</v>
      </c>
    </row>
    <row r="6494" spans="1:14">
      <c r="A6494" t="s">
        <v>16075</v>
      </c>
      <c r="B6494" t="s">
        <v>16076</v>
      </c>
      <c r="C6494" t="s">
        <v>19419</v>
      </c>
      <c r="D6494" t="s">
        <v>16078</v>
      </c>
      <c r="E6494" t="s">
        <v>19420</v>
      </c>
      <c r="F6494" t="s">
        <v>19421</v>
      </c>
      <c r="G6494" t="s">
        <v>16116</v>
      </c>
      <c r="H6494" t="s">
        <v>19422</v>
      </c>
      <c r="I6494" t="s">
        <v>16082</v>
      </c>
    </row>
    <row r="6495" spans="1:14">
      <c r="A6495" t="s">
        <v>16075</v>
      </c>
      <c r="B6495" t="s">
        <v>16076</v>
      </c>
      <c r="C6495" t="s">
        <v>19423</v>
      </c>
      <c r="D6495" t="s">
        <v>16078</v>
      </c>
      <c r="E6495" t="s">
        <v>19424</v>
      </c>
      <c r="F6495" t="s">
        <v>19425</v>
      </c>
      <c r="G6495" t="s">
        <v>16139</v>
      </c>
      <c r="H6495" t="s">
        <v>19426</v>
      </c>
      <c r="I6495" t="s">
        <v>16093</v>
      </c>
    </row>
    <row r="6496" spans="1:14">
      <c r="A6496" t="s">
        <v>16075</v>
      </c>
      <c r="B6496" t="s">
        <v>16076</v>
      </c>
      <c r="C6496" t="s">
        <v>19427</v>
      </c>
      <c r="D6496" t="s">
        <v>16078</v>
      </c>
      <c r="E6496" t="s">
        <v>11385</v>
      </c>
      <c r="F6496" t="s">
        <v>19428</v>
      </c>
      <c r="G6496" t="s">
        <v>16139</v>
      </c>
      <c r="H6496" t="s">
        <v>19429</v>
      </c>
      <c r="I6496" t="s">
        <v>16082</v>
      </c>
      <c r="J6496" t="s">
        <v>18063</v>
      </c>
      <c r="K6496" t="s">
        <v>16075</v>
      </c>
      <c r="L6496" t="s">
        <v>16219</v>
      </c>
      <c r="M6496" t="s">
        <v>16082</v>
      </c>
      <c r="N6496" t="s">
        <v>19429</v>
      </c>
    </row>
    <row r="6497" spans="1:9">
      <c r="A6497" t="s">
        <v>16075</v>
      </c>
      <c r="B6497" t="s">
        <v>16076</v>
      </c>
      <c r="C6497" t="s">
        <v>19430</v>
      </c>
      <c r="D6497" t="s">
        <v>16078</v>
      </c>
      <c r="E6497" t="s">
        <v>19431</v>
      </c>
      <c r="F6497" t="s">
        <v>19432</v>
      </c>
      <c r="G6497" t="s">
        <v>16320</v>
      </c>
      <c r="H6497" t="s">
        <v>19433</v>
      </c>
      <c r="I6497" t="s">
        <v>16082</v>
      </c>
    </row>
    <row r="6498" spans="1:9">
      <c r="A6498" t="s">
        <v>16075</v>
      </c>
      <c r="B6498" t="s">
        <v>16076</v>
      </c>
      <c r="C6498" t="s">
        <v>19434</v>
      </c>
      <c r="D6498" t="s">
        <v>16078</v>
      </c>
      <c r="E6498" t="s">
        <v>5129</v>
      </c>
      <c r="F6498" t="s">
        <v>19435</v>
      </c>
      <c r="G6498" t="s">
        <v>16086</v>
      </c>
      <c r="H6498" t="s">
        <v>19436</v>
      </c>
      <c r="I6498" t="s">
        <v>16082</v>
      </c>
    </row>
    <row r="6499" spans="1:9">
      <c r="A6499" t="s">
        <v>16075</v>
      </c>
      <c r="B6499" t="s">
        <v>16076</v>
      </c>
      <c r="C6499" t="s">
        <v>19437</v>
      </c>
      <c r="D6499" t="s">
        <v>16078</v>
      </c>
      <c r="E6499" t="s">
        <v>19438</v>
      </c>
      <c r="F6499" t="s">
        <v>19439</v>
      </c>
      <c r="G6499" t="s">
        <v>16139</v>
      </c>
      <c r="H6499" t="s">
        <v>19440</v>
      </c>
      <c r="I6499" t="s">
        <v>16093</v>
      </c>
    </row>
    <row r="6500" spans="1:9">
      <c r="A6500" t="s">
        <v>16075</v>
      </c>
      <c r="B6500" t="s">
        <v>16076</v>
      </c>
      <c r="C6500" t="s">
        <v>19441</v>
      </c>
      <c r="D6500" t="s">
        <v>16078</v>
      </c>
      <c r="E6500" t="s">
        <v>6515</v>
      </c>
      <c r="F6500" t="s">
        <v>6515</v>
      </c>
      <c r="G6500" t="s">
        <v>16080</v>
      </c>
      <c r="H6500" t="s">
        <v>19442</v>
      </c>
      <c r="I6500" t="s">
        <v>16082</v>
      </c>
    </row>
    <row r="6501" spans="1:9">
      <c r="A6501" t="s">
        <v>16075</v>
      </c>
      <c r="B6501" t="s">
        <v>16076</v>
      </c>
      <c r="C6501" t="s">
        <v>19443</v>
      </c>
      <c r="D6501" t="s">
        <v>16078</v>
      </c>
      <c r="E6501" t="s">
        <v>19444</v>
      </c>
      <c r="F6501" t="s">
        <v>19445</v>
      </c>
      <c r="G6501" t="s">
        <v>16209</v>
      </c>
      <c r="H6501" t="s">
        <v>19446</v>
      </c>
      <c r="I6501" t="s">
        <v>16082</v>
      </c>
    </row>
    <row r="6502" spans="1:9">
      <c r="A6502" t="s">
        <v>16075</v>
      </c>
      <c r="B6502" t="s">
        <v>16076</v>
      </c>
      <c r="C6502" t="s">
        <v>19447</v>
      </c>
      <c r="D6502" t="s">
        <v>16078</v>
      </c>
      <c r="E6502" t="s">
        <v>12013</v>
      </c>
      <c r="F6502" t="s">
        <v>19448</v>
      </c>
      <c r="G6502" t="s">
        <v>16209</v>
      </c>
      <c r="H6502" t="s">
        <v>17380</v>
      </c>
      <c r="I6502" t="s">
        <v>16082</v>
      </c>
    </row>
    <row r="6503" spans="1:9">
      <c r="A6503" t="s">
        <v>16075</v>
      </c>
      <c r="B6503" t="s">
        <v>16076</v>
      </c>
      <c r="C6503" t="s">
        <v>19449</v>
      </c>
      <c r="D6503" t="s">
        <v>16078</v>
      </c>
      <c r="E6503" t="s">
        <v>19450</v>
      </c>
      <c r="F6503" t="s">
        <v>11385</v>
      </c>
      <c r="G6503" t="s">
        <v>16131</v>
      </c>
      <c r="H6503" t="s">
        <v>19451</v>
      </c>
      <c r="I6503" t="s">
        <v>16082</v>
      </c>
    </row>
    <row r="6504" spans="1:9">
      <c r="A6504" t="s">
        <v>16075</v>
      </c>
      <c r="B6504" t="s">
        <v>16076</v>
      </c>
      <c r="C6504" t="s">
        <v>19452</v>
      </c>
      <c r="D6504" t="s">
        <v>16078</v>
      </c>
      <c r="E6504" t="s">
        <v>19453</v>
      </c>
      <c r="F6504" t="s">
        <v>19454</v>
      </c>
      <c r="G6504" t="s">
        <v>16372</v>
      </c>
      <c r="H6504" t="s">
        <v>19455</v>
      </c>
      <c r="I6504" t="s">
        <v>16082</v>
      </c>
    </row>
    <row r="6505" spans="1:9">
      <c r="A6505" t="s">
        <v>16075</v>
      </c>
      <c r="B6505" t="s">
        <v>16076</v>
      </c>
      <c r="C6505" t="s">
        <v>19456</v>
      </c>
      <c r="D6505" t="s">
        <v>16078</v>
      </c>
      <c r="E6505" t="s">
        <v>19457</v>
      </c>
      <c r="F6505" t="s">
        <v>19458</v>
      </c>
      <c r="G6505" t="s">
        <v>16209</v>
      </c>
      <c r="H6505" t="s">
        <v>19459</v>
      </c>
      <c r="I6505" t="s">
        <v>16082</v>
      </c>
    </row>
    <row r="6506" spans="1:9">
      <c r="A6506" t="s">
        <v>16075</v>
      </c>
      <c r="B6506" t="s">
        <v>16076</v>
      </c>
      <c r="C6506" t="s">
        <v>19460</v>
      </c>
      <c r="D6506" t="s">
        <v>16078</v>
      </c>
      <c r="E6506" t="s">
        <v>19461</v>
      </c>
      <c r="F6506" t="s">
        <v>19462</v>
      </c>
      <c r="G6506" t="s">
        <v>16194</v>
      </c>
      <c r="H6506" t="s">
        <v>19463</v>
      </c>
      <c r="I6506" t="s">
        <v>16082</v>
      </c>
    </row>
    <row r="6507" spans="1:9">
      <c r="A6507" t="s">
        <v>16075</v>
      </c>
      <c r="B6507" t="s">
        <v>16076</v>
      </c>
      <c r="C6507" t="s">
        <v>19464</v>
      </c>
      <c r="D6507" t="s">
        <v>16078</v>
      </c>
      <c r="E6507" t="s">
        <v>19465</v>
      </c>
      <c r="F6507" t="s">
        <v>19466</v>
      </c>
      <c r="G6507" t="s">
        <v>16116</v>
      </c>
      <c r="H6507" t="s">
        <v>19467</v>
      </c>
      <c r="I6507" t="s">
        <v>16082</v>
      </c>
    </row>
    <row r="6508" spans="1:9">
      <c r="A6508" t="s">
        <v>16075</v>
      </c>
      <c r="B6508" t="s">
        <v>16076</v>
      </c>
      <c r="C6508" t="s">
        <v>19468</v>
      </c>
      <c r="D6508" t="s">
        <v>16078</v>
      </c>
      <c r="E6508" t="s">
        <v>19469</v>
      </c>
      <c r="F6508" t="s">
        <v>19470</v>
      </c>
      <c r="G6508" t="s">
        <v>16380</v>
      </c>
      <c r="H6508" t="s">
        <v>19390</v>
      </c>
      <c r="I6508" t="s">
        <v>16082</v>
      </c>
    </row>
    <row r="6509" spans="1:9">
      <c r="A6509" t="s">
        <v>16075</v>
      </c>
      <c r="B6509" t="s">
        <v>16076</v>
      </c>
      <c r="C6509" t="s">
        <v>19471</v>
      </c>
      <c r="D6509" t="s">
        <v>16078</v>
      </c>
      <c r="E6509" t="s">
        <v>19472</v>
      </c>
      <c r="F6509" t="s">
        <v>19473</v>
      </c>
      <c r="G6509" t="s">
        <v>16259</v>
      </c>
      <c r="H6509" t="s">
        <v>19390</v>
      </c>
    </row>
    <row r="6510" spans="1:9">
      <c r="A6510" t="s">
        <v>16075</v>
      </c>
      <c r="B6510" t="s">
        <v>16076</v>
      </c>
      <c r="C6510" t="s">
        <v>19474</v>
      </c>
      <c r="D6510" t="s">
        <v>16078</v>
      </c>
      <c r="E6510" t="s">
        <v>19475</v>
      </c>
      <c r="F6510" t="s">
        <v>19476</v>
      </c>
      <c r="G6510" t="s">
        <v>16194</v>
      </c>
      <c r="H6510" t="s">
        <v>19477</v>
      </c>
      <c r="I6510" t="s">
        <v>16082</v>
      </c>
    </row>
    <row r="6511" spans="1:9">
      <c r="A6511" t="s">
        <v>16075</v>
      </c>
      <c r="B6511" t="s">
        <v>16076</v>
      </c>
      <c r="C6511" t="s">
        <v>19478</v>
      </c>
      <c r="D6511" t="s">
        <v>16078</v>
      </c>
      <c r="E6511" t="s">
        <v>6518</v>
      </c>
      <c r="F6511" t="s">
        <v>19479</v>
      </c>
      <c r="G6511" t="s">
        <v>16194</v>
      </c>
      <c r="H6511" t="s">
        <v>19480</v>
      </c>
      <c r="I6511" t="s">
        <v>16082</v>
      </c>
    </row>
    <row r="6512" spans="1:9">
      <c r="A6512" t="s">
        <v>16075</v>
      </c>
      <c r="B6512" t="s">
        <v>16076</v>
      </c>
      <c r="C6512" t="s">
        <v>19481</v>
      </c>
      <c r="D6512" t="s">
        <v>16078</v>
      </c>
      <c r="E6512" t="s">
        <v>19482</v>
      </c>
      <c r="F6512" t="s">
        <v>19483</v>
      </c>
      <c r="G6512" t="s">
        <v>16116</v>
      </c>
      <c r="H6512" t="s">
        <v>19484</v>
      </c>
      <c r="I6512" t="s">
        <v>16082</v>
      </c>
    </row>
    <row r="6513" spans="1:9">
      <c r="A6513" t="s">
        <v>16075</v>
      </c>
      <c r="B6513" t="s">
        <v>16076</v>
      </c>
      <c r="C6513" t="s">
        <v>19485</v>
      </c>
      <c r="D6513" t="s">
        <v>16078</v>
      </c>
      <c r="E6513" t="s">
        <v>9612</v>
      </c>
      <c r="F6513" t="s">
        <v>19486</v>
      </c>
      <c r="G6513" t="s">
        <v>16131</v>
      </c>
      <c r="H6513" t="s">
        <v>19487</v>
      </c>
      <c r="I6513" t="s">
        <v>16082</v>
      </c>
    </row>
    <row r="6514" spans="1:9">
      <c r="A6514" t="s">
        <v>16075</v>
      </c>
      <c r="B6514" t="s">
        <v>16076</v>
      </c>
      <c r="C6514" t="s">
        <v>19488</v>
      </c>
      <c r="D6514" t="s">
        <v>16078</v>
      </c>
      <c r="E6514" t="s">
        <v>19489</v>
      </c>
      <c r="F6514" t="s">
        <v>19490</v>
      </c>
      <c r="G6514" t="s">
        <v>16828</v>
      </c>
      <c r="H6514" t="s">
        <v>19491</v>
      </c>
    </row>
    <row r="6515" spans="1:9">
      <c r="A6515" t="s">
        <v>16075</v>
      </c>
      <c r="B6515" t="s">
        <v>16076</v>
      </c>
      <c r="C6515" t="s">
        <v>19492</v>
      </c>
      <c r="D6515" t="s">
        <v>16078</v>
      </c>
      <c r="E6515" t="s">
        <v>19493</v>
      </c>
      <c r="F6515" t="s">
        <v>19494</v>
      </c>
      <c r="G6515" t="s">
        <v>16534</v>
      </c>
      <c r="H6515" t="s">
        <v>19495</v>
      </c>
      <c r="I6515" t="s">
        <v>16082</v>
      </c>
    </row>
    <row r="6516" spans="1:9">
      <c r="A6516" t="s">
        <v>16075</v>
      </c>
      <c r="B6516" t="s">
        <v>16076</v>
      </c>
      <c r="C6516" t="s">
        <v>19496</v>
      </c>
      <c r="D6516" t="s">
        <v>16078</v>
      </c>
      <c r="E6516" t="s">
        <v>7105</v>
      </c>
      <c r="F6516" t="s">
        <v>19497</v>
      </c>
      <c r="G6516" t="s">
        <v>16194</v>
      </c>
      <c r="H6516" t="s">
        <v>19498</v>
      </c>
      <c r="I6516" t="s">
        <v>16082</v>
      </c>
    </row>
    <row r="6517" spans="1:9">
      <c r="A6517" t="s">
        <v>16075</v>
      </c>
      <c r="B6517" t="s">
        <v>16076</v>
      </c>
      <c r="C6517" t="s">
        <v>19499</v>
      </c>
      <c r="D6517" t="s">
        <v>16078</v>
      </c>
      <c r="E6517" t="s">
        <v>19500</v>
      </c>
      <c r="F6517" t="s">
        <v>19501</v>
      </c>
      <c r="G6517" t="s">
        <v>16097</v>
      </c>
      <c r="H6517" t="s">
        <v>19502</v>
      </c>
      <c r="I6517" t="s">
        <v>16082</v>
      </c>
    </row>
    <row r="6518" spans="1:9">
      <c r="A6518" t="s">
        <v>16075</v>
      </c>
      <c r="B6518" t="s">
        <v>16076</v>
      </c>
      <c r="C6518" t="s">
        <v>19503</v>
      </c>
      <c r="D6518" t="s">
        <v>16078</v>
      </c>
      <c r="E6518" t="s">
        <v>19504</v>
      </c>
      <c r="F6518" t="s">
        <v>19505</v>
      </c>
      <c r="G6518" t="s">
        <v>16593</v>
      </c>
      <c r="H6518" t="s">
        <v>19506</v>
      </c>
      <c r="I6518" t="s">
        <v>16082</v>
      </c>
    </row>
    <row r="6519" spans="1:9">
      <c r="A6519" t="s">
        <v>16075</v>
      </c>
      <c r="B6519" t="s">
        <v>16076</v>
      </c>
      <c r="C6519" t="s">
        <v>19507</v>
      </c>
      <c r="D6519" t="s">
        <v>16078</v>
      </c>
      <c r="E6519" t="s">
        <v>6687</v>
      </c>
      <c r="F6519" t="s">
        <v>19508</v>
      </c>
      <c r="G6519" t="s">
        <v>16086</v>
      </c>
      <c r="H6519" t="s">
        <v>19509</v>
      </c>
      <c r="I6519" t="s">
        <v>16082</v>
      </c>
    </row>
    <row r="6520" spans="1:9">
      <c r="A6520" t="s">
        <v>16075</v>
      </c>
      <c r="B6520" t="s">
        <v>16076</v>
      </c>
      <c r="C6520" t="s">
        <v>19510</v>
      </c>
      <c r="D6520" t="s">
        <v>16078</v>
      </c>
      <c r="E6520" t="s">
        <v>19511</v>
      </c>
      <c r="F6520" t="s">
        <v>19512</v>
      </c>
      <c r="G6520" t="s">
        <v>16295</v>
      </c>
      <c r="H6520" t="s">
        <v>19459</v>
      </c>
      <c r="I6520" t="s">
        <v>16082</v>
      </c>
    </row>
    <row r="6521" spans="1:9">
      <c r="A6521" t="s">
        <v>16075</v>
      </c>
      <c r="B6521" t="s">
        <v>16076</v>
      </c>
      <c r="C6521" t="s">
        <v>19513</v>
      </c>
      <c r="D6521" t="s">
        <v>16078</v>
      </c>
      <c r="E6521" t="s">
        <v>19514</v>
      </c>
      <c r="F6521" t="s">
        <v>19515</v>
      </c>
      <c r="G6521" t="s">
        <v>16194</v>
      </c>
      <c r="H6521" t="s">
        <v>19353</v>
      </c>
      <c r="I6521" t="s">
        <v>16082</v>
      </c>
    </row>
    <row r="6522" spans="1:9">
      <c r="A6522" t="s">
        <v>16075</v>
      </c>
      <c r="B6522" t="s">
        <v>16076</v>
      </c>
      <c r="C6522" t="s">
        <v>19516</v>
      </c>
      <c r="D6522" t="s">
        <v>16078</v>
      </c>
      <c r="E6522" t="s">
        <v>4722</v>
      </c>
      <c r="F6522" t="s">
        <v>19517</v>
      </c>
      <c r="G6522" t="s">
        <v>18592</v>
      </c>
      <c r="H6522" t="s">
        <v>19518</v>
      </c>
    </row>
    <row r="6523" spans="1:9">
      <c r="A6523" t="s">
        <v>16075</v>
      </c>
      <c r="B6523" t="s">
        <v>16076</v>
      </c>
      <c r="C6523" t="s">
        <v>19519</v>
      </c>
      <c r="D6523" t="s">
        <v>16078</v>
      </c>
      <c r="E6523" t="s">
        <v>19520</v>
      </c>
      <c r="F6523" t="s">
        <v>19521</v>
      </c>
      <c r="G6523" t="s">
        <v>16101</v>
      </c>
      <c r="H6523" t="s">
        <v>19522</v>
      </c>
      <c r="I6523" t="s">
        <v>16082</v>
      </c>
    </row>
    <row r="6524" spans="1:9">
      <c r="A6524" t="s">
        <v>16075</v>
      </c>
      <c r="B6524" t="s">
        <v>16076</v>
      </c>
      <c r="C6524" t="s">
        <v>19523</v>
      </c>
      <c r="D6524" t="s">
        <v>16078</v>
      </c>
      <c r="E6524" t="s">
        <v>19524</v>
      </c>
      <c r="F6524" t="s">
        <v>19525</v>
      </c>
      <c r="G6524" t="s">
        <v>16194</v>
      </c>
      <c r="H6524" t="s">
        <v>19526</v>
      </c>
      <c r="I6524" t="s">
        <v>16082</v>
      </c>
    </row>
    <row r="6525" spans="1:9">
      <c r="A6525" t="s">
        <v>16075</v>
      </c>
      <c r="B6525" t="s">
        <v>16076</v>
      </c>
      <c r="C6525" t="s">
        <v>19527</v>
      </c>
      <c r="D6525" t="s">
        <v>16078</v>
      </c>
      <c r="E6525" t="s">
        <v>19528</v>
      </c>
      <c r="F6525" t="s">
        <v>19529</v>
      </c>
      <c r="G6525" t="s">
        <v>16451</v>
      </c>
      <c r="H6525" t="s">
        <v>19530</v>
      </c>
      <c r="I6525" t="s">
        <v>16082</v>
      </c>
    </row>
    <row r="6526" spans="1:9">
      <c r="A6526" t="s">
        <v>16075</v>
      </c>
      <c r="B6526" t="s">
        <v>16076</v>
      </c>
      <c r="C6526" t="s">
        <v>19531</v>
      </c>
      <c r="D6526" t="s">
        <v>16078</v>
      </c>
      <c r="E6526" t="s">
        <v>19532</v>
      </c>
      <c r="F6526" t="s">
        <v>19533</v>
      </c>
      <c r="G6526" t="s">
        <v>16131</v>
      </c>
      <c r="H6526" t="s">
        <v>19105</v>
      </c>
      <c r="I6526" t="s">
        <v>16093</v>
      </c>
    </row>
    <row r="6527" spans="1:9">
      <c r="A6527" t="s">
        <v>16075</v>
      </c>
      <c r="B6527" t="s">
        <v>16076</v>
      </c>
      <c r="C6527" t="s">
        <v>19534</v>
      </c>
      <c r="D6527" t="s">
        <v>16078</v>
      </c>
      <c r="E6527" t="s">
        <v>7363</v>
      </c>
      <c r="F6527" t="s">
        <v>19535</v>
      </c>
      <c r="G6527" t="s">
        <v>18966</v>
      </c>
      <c r="H6527" t="s">
        <v>19536</v>
      </c>
      <c r="I6527" t="s">
        <v>16082</v>
      </c>
    </row>
    <row r="6528" spans="1:9">
      <c r="A6528" t="s">
        <v>16075</v>
      </c>
      <c r="B6528" t="s">
        <v>16076</v>
      </c>
      <c r="C6528" t="s">
        <v>19537</v>
      </c>
      <c r="D6528" t="s">
        <v>16078</v>
      </c>
      <c r="E6528" t="s">
        <v>19538</v>
      </c>
      <c r="F6528" t="s">
        <v>19539</v>
      </c>
      <c r="G6528" t="s">
        <v>16173</v>
      </c>
      <c r="H6528" t="s">
        <v>19540</v>
      </c>
      <c r="I6528" t="s">
        <v>16082</v>
      </c>
    </row>
    <row r="6529" spans="1:14">
      <c r="A6529" t="s">
        <v>16075</v>
      </c>
      <c r="B6529" t="s">
        <v>16076</v>
      </c>
      <c r="C6529" t="s">
        <v>19541</v>
      </c>
      <c r="D6529" t="s">
        <v>16078</v>
      </c>
      <c r="E6529" t="s">
        <v>19542</v>
      </c>
      <c r="F6529" t="s">
        <v>19543</v>
      </c>
      <c r="G6529" t="s">
        <v>16168</v>
      </c>
      <c r="H6529" t="s">
        <v>19544</v>
      </c>
      <c r="I6529" t="s">
        <v>16082</v>
      </c>
    </row>
    <row r="6530" spans="1:14">
      <c r="A6530" t="s">
        <v>16075</v>
      </c>
      <c r="B6530" t="s">
        <v>16076</v>
      </c>
      <c r="C6530" t="s">
        <v>19545</v>
      </c>
      <c r="D6530" t="s">
        <v>16078</v>
      </c>
      <c r="E6530" t="s">
        <v>5135</v>
      </c>
      <c r="F6530" t="s">
        <v>19546</v>
      </c>
      <c r="G6530" t="s">
        <v>16312</v>
      </c>
      <c r="H6530" t="s">
        <v>19547</v>
      </c>
      <c r="I6530" t="s">
        <v>16093</v>
      </c>
    </row>
    <row r="6531" spans="1:14">
      <c r="A6531" t="s">
        <v>16075</v>
      </c>
      <c r="B6531" t="s">
        <v>16076</v>
      </c>
      <c r="C6531" t="s">
        <v>19548</v>
      </c>
      <c r="D6531" t="s">
        <v>16078</v>
      </c>
      <c r="E6531" t="s">
        <v>19549</v>
      </c>
      <c r="F6531" t="s">
        <v>19550</v>
      </c>
      <c r="G6531" t="s">
        <v>16131</v>
      </c>
      <c r="H6531" t="s">
        <v>19551</v>
      </c>
      <c r="I6531" t="s">
        <v>16082</v>
      </c>
    </row>
    <row r="6532" spans="1:14">
      <c r="A6532" t="s">
        <v>16075</v>
      </c>
      <c r="B6532" t="s">
        <v>16076</v>
      </c>
      <c r="C6532" t="s">
        <v>19552</v>
      </c>
      <c r="D6532" t="s">
        <v>16078</v>
      </c>
      <c r="E6532" t="s">
        <v>14433</v>
      </c>
      <c r="F6532" t="s">
        <v>19553</v>
      </c>
      <c r="G6532" t="s">
        <v>16372</v>
      </c>
      <c r="H6532" t="s">
        <v>19554</v>
      </c>
      <c r="I6532" t="s">
        <v>16082</v>
      </c>
    </row>
    <row r="6533" spans="1:14">
      <c r="A6533" t="s">
        <v>16075</v>
      </c>
      <c r="B6533" t="s">
        <v>16076</v>
      </c>
      <c r="C6533" t="s">
        <v>19555</v>
      </c>
      <c r="D6533" t="s">
        <v>16078</v>
      </c>
      <c r="E6533" t="s">
        <v>19556</v>
      </c>
      <c r="F6533" t="s">
        <v>19557</v>
      </c>
      <c r="G6533" t="s">
        <v>16101</v>
      </c>
      <c r="H6533" t="s">
        <v>19558</v>
      </c>
      <c r="I6533" t="s">
        <v>16082</v>
      </c>
    </row>
    <row r="6534" spans="1:14">
      <c r="A6534" t="s">
        <v>16075</v>
      </c>
      <c r="B6534" t="s">
        <v>16076</v>
      </c>
      <c r="C6534" t="s">
        <v>19559</v>
      </c>
      <c r="D6534" t="s">
        <v>16078</v>
      </c>
      <c r="E6534" t="s">
        <v>19560</v>
      </c>
      <c r="F6534" t="s">
        <v>19561</v>
      </c>
      <c r="G6534" t="s">
        <v>16259</v>
      </c>
      <c r="H6534" t="s">
        <v>19562</v>
      </c>
    </row>
    <row r="6535" spans="1:14">
      <c r="A6535" t="s">
        <v>16075</v>
      </c>
      <c r="B6535" t="s">
        <v>16076</v>
      </c>
      <c r="C6535" t="s">
        <v>19563</v>
      </c>
      <c r="D6535" t="s">
        <v>16078</v>
      </c>
      <c r="E6535" t="s">
        <v>9620</v>
      </c>
      <c r="F6535" t="s">
        <v>19564</v>
      </c>
      <c r="G6535" t="s">
        <v>16159</v>
      </c>
      <c r="H6535" t="s">
        <v>19565</v>
      </c>
      <c r="I6535" t="s">
        <v>16082</v>
      </c>
    </row>
    <row r="6536" spans="1:14">
      <c r="A6536" t="s">
        <v>16075</v>
      </c>
      <c r="B6536" t="s">
        <v>16076</v>
      </c>
      <c r="C6536" t="s">
        <v>19566</v>
      </c>
      <c r="D6536" t="s">
        <v>16078</v>
      </c>
      <c r="E6536" t="s">
        <v>9623</v>
      </c>
      <c r="F6536" t="s">
        <v>19567</v>
      </c>
      <c r="G6536" t="s">
        <v>16173</v>
      </c>
      <c r="H6536" t="s">
        <v>19568</v>
      </c>
      <c r="I6536" t="s">
        <v>16082</v>
      </c>
    </row>
    <row r="6537" spans="1:14">
      <c r="A6537" t="s">
        <v>16075</v>
      </c>
      <c r="B6537" t="s">
        <v>16076</v>
      </c>
      <c r="C6537" t="s">
        <v>19569</v>
      </c>
      <c r="D6537" t="s">
        <v>16078</v>
      </c>
      <c r="E6537" t="s">
        <v>12022</v>
      </c>
      <c r="F6537" t="s">
        <v>19560</v>
      </c>
      <c r="G6537" t="s">
        <v>16139</v>
      </c>
      <c r="H6537" t="s">
        <v>19570</v>
      </c>
      <c r="I6537" t="s">
        <v>16082</v>
      </c>
    </row>
    <row r="6538" spans="1:14">
      <c r="A6538" t="s">
        <v>16075</v>
      </c>
      <c r="B6538" t="s">
        <v>16076</v>
      </c>
      <c r="C6538" t="s">
        <v>19571</v>
      </c>
      <c r="D6538" t="s">
        <v>16078</v>
      </c>
      <c r="E6538" t="s">
        <v>19572</v>
      </c>
      <c r="F6538" t="s">
        <v>19573</v>
      </c>
      <c r="G6538" t="s">
        <v>16116</v>
      </c>
      <c r="H6538" t="s">
        <v>19574</v>
      </c>
      <c r="I6538" t="s">
        <v>16082</v>
      </c>
    </row>
    <row r="6539" spans="1:14">
      <c r="A6539" t="s">
        <v>16075</v>
      </c>
      <c r="B6539" t="s">
        <v>16076</v>
      </c>
      <c r="C6539" t="s">
        <v>19575</v>
      </c>
      <c r="D6539" t="s">
        <v>16078</v>
      </c>
      <c r="E6539" t="s">
        <v>19576</v>
      </c>
      <c r="F6539" t="s">
        <v>19577</v>
      </c>
      <c r="G6539" t="s">
        <v>16303</v>
      </c>
      <c r="H6539" t="s">
        <v>19578</v>
      </c>
    </row>
    <row r="6540" spans="1:14">
      <c r="A6540" t="s">
        <v>16075</v>
      </c>
      <c r="B6540" t="s">
        <v>16076</v>
      </c>
      <c r="C6540" t="s">
        <v>19579</v>
      </c>
      <c r="D6540" t="s">
        <v>16078</v>
      </c>
      <c r="E6540" t="s">
        <v>19580</v>
      </c>
      <c r="F6540" t="s">
        <v>19581</v>
      </c>
      <c r="G6540" t="s">
        <v>16131</v>
      </c>
      <c r="H6540" t="s">
        <v>19582</v>
      </c>
      <c r="I6540" t="s">
        <v>16082</v>
      </c>
    </row>
    <row r="6541" spans="1:14">
      <c r="A6541" t="s">
        <v>16075</v>
      </c>
      <c r="B6541" t="s">
        <v>16076</v>
      </c>
      <c r="C6541" t="s">
        <v>19583</v>
      </c>
      <c r="D6541" t="s">
        <v>16078</v>
      </c>
      <c r="E6541" t="s">
        <v>10416</v>
      </c>
      <c r="F6541" t="s">
        <v>19584</v>
      </c>
      <c r="G6541" t="s">
        <v>16131</v>
      </c>
      <c r="H6541" t="s">
        <v>19585</v>
      </c>
      <c r="I6541" t="s">
        <v>16082</v>
      </c>
    </row>
    <row r="6542" spans="1:14">
      <c r="A6542" t="s">
        <v>16075</v>
      </c>
      <c r="B6542" t="s">
        <v>16076</v>
      </c>
      <c r="C6542" t="s">
        <v>19586</v>
      </c>
      <c r="D6542" t="s">
        <v>16078</v>
      </c>
      <c r="E6542" t="s">
        <v>19587</v>
      </c>
      <c r="F6542" t="s">
        <v>19588</v>
      </c>
      <c r="G6542" t="s">
        <v>16303</v>
      </c>
      <c r="H6542" t="s">
        <v>19589</v>
      </c>
      <c r="I6542" t="s">
        <v>16082</v>
      </c>
      <c r="J6542" t="s">
        <v>19587</v>
      </c>
      <c r="K6542" t="s">
        <v>16075</v>
      </c>
      <c r="L6542" t="s">
        <v>16219</v>
      </c>
      <c r="M6542" t="s">
        <v>16082</v>
      </c>
      <c r="N6542" t="s">
        <v>19589</v>
      </c>
    </row>
    <row r="6543" spans="1:14">
      <c r="A6543" t="s">
        <v>16075</v>
      </c>
      <c r="B6543" t="s">
        <v>16076</v>
      </c>
      <c r="C6543" t="s">
        <v>19590</v>
      </c>
      <c r="D6543" t="s">
        <v>16078</v>
      </c>
      <c r="E6543" t="s">
        <v>19591</v>
      </c>
      <c r="F6543" t="s">
        <v>19592</v>
      </c>
      <c r="G6543" t="s">
        <v>16295</v>
      </c>
      <c r="H6543" t="s">
        <v>19593</v>
      </c>
      <c r="I6543" t="s">
        <v>16082</v>
      </c>
    </row>
    <row r="6544" spans="1:14">
      <c r="A6544" t="s">
        <v>16075</v>
      </c>
      <c r="B6544" t="s">
        <v>16076</v>
      </c>
      <c r="C6544" t="s">
        <v>19594</v>
      </c>
      <c r="D6544" t="s">
        <v>16078</v>
      </c>
      <c r="E6544" t="s">
        <v>2634</v>
      </c>
      <c r="F6544" t="s">
        <v>19595</v>
      </c>
      <c r="G6544" t="s">
        <v>16534</v>
      </c>
      <c r="H6544" t="s">
        <v>19596</v>
      </c>
      <c r="I6544" t="s">
        <v>16082</v>
      </c>
    </row>
    <row r="6545" spans="1:9">
      <c r="A6545" t="s">
        <v>16075</v>
      </c>
      <c r="B6545" t="s">
        <v>16076</v>
      </c>
      <c r="C6545" t="s">
        <v>19597</v>
      </c>
      <c r="D6545" t="s">
        <v>16078</v>
      </c>
      <c r="E6545" t="s">
        <v>4762</v>
      </c>
      <c r="F6545" t="s">
        <v>19598</v>
      </c>
      <c r="G6545" t="s">
        <v>16209</v>
      </c>
      <c r="H6545" t="s">
        <v>19599</v>
      </c>
      <c r="I6545" t="s">
        <v>16082</v>
      </c>
    </row>
    <row r="6546" spans="1:9">
      <c r="A6546" t="s">
        <v>16075</v>
      </c>
      <c r="B6546" t="s">
        <v>16076</v>
      </c>
      <c r="C6546" t="s">
        <v>19600</v>
      </c>
      <c r="D6546" t="s">
        <v>16078</v>
      </c>
      <c r="E6546" t="s">
        <v>12844</v>
      </c>
      <c r="F6546" t="s">
        <v>19601</v>
      </c>
      <c r="G6546" t="s">
        <v>16194</v>
      </c>
      <c r="H6546" t="s">
        <v>19602</v>
      </c>
      <c r="I6546" t="s">
        <v>16082</v>
      </c>
    </row>
    <row r="6547" spans="1:9">
      <c r="A6547" t="s">
        <v>16075</v>
      </c>
      <c r="B6547" t="s">
        <v>16076</v>
      </c>
      <c r="C6547" t="s">
        <v>19603</v>
      </c>
      <c r="D6547" t="s">
        <v>16078</v>
      </c>
      <c r="E6547" t="s">
        <v>7128</v>
      </c>
      <c r="F6547" t="s">
        <v>19604</v>
      </c>
      <c r="G6547" t="s">
        <v>16091</v>
      </c>
      <c r="H6547" t="s">
        <v>19605</v>
      </c>
      <c r="I6547" t="s">
        <v>16082</v>
      </c>
    </row>
    <row r="6548" spans="1:9">
      <c r="A6548" t="s">
        <v>16075</v>
      </c>
      <c r="B6548" t="s">
        <v>16076</v>
      </c>
      <c r="C6548" t="s">
        <v>19606</v>
      </c>
      <c r="D6548" t="s">
        <v>16078</v>
      </c>
      <c r="E6548" t="s">
        <v>19607</v>
      </c>
      <c r="F6548" t="s">
        <v>19608</v>
      </c>
      <c r="G6548" t="s">
        <v>16828</v>
      </c>
      <c r="H6548" t="s">
        <v>19609</v>
      </c>
    </row>
    <row r="6549" spans="1:9">
      <c r="A6549" t="s">
        <v>16075</v>
      </c>
      <c r="B6549" t="s">
        <v>16076</v>
      </c>
      <c r="C6549" t="s">
        <v>19610</v>
      </c>
      <c r="D6549" t="s">
        <v>16078</v>
      </c>
      <c r="E6549" t="s">
        <v>2637</v>
      </c>
      <c r="F6549" t="s">
        <v>19611</v>
      </c>
      <c r="G6549" t="s">
        <v>16086</v>
      </c>
      <c r="H6549" t="s">
        <v>19612</v>
      </c>
      <c r="I6549" t="s">
        <v>16082</v>
      </c>
    </row>
    <row r="6550" spans="1:9">
      <c r="A6550" t="s">
        <v>16075</v>
      </c>
      <c r="B6550" t="s">
        <v>16076</v>
      </c>
      <c r="C6550" t="s">
        <v>19613</v>
      </c>
      <c r="D6550" t="s">
        <v>16078</v>
      </c>
      <c r="E6550" t="s">
        <v>19614</v>
      </c>
      <c r="F6550" t="s">
        <v>19615</v>
      </c>
      <c r="G6550" t="s">
        <v>16239</v>
      </c>
      <c r="H6550" t="s">
        <v>19616</v>
      </c>
      <c r="I6550" t="s">
        <v>16093</v>
      </c>
    </row>
    <row r="6551" spans="1:9">
      <c r="A6551" t="s">
        <v>16075</v>
      </c>
      <c r="B6551" t="s">
        <v>16076</v>
      </c>
      <c r="C6551" t="s">
        <v>19617</v>
      </c>
      <c r="D6551" t="s">
        <v>16078</v>
      </c>
      <c r="E6551" t="s">
        <v>19618</v>
      </c>
      <c r="F6551" t="s">
        <v>19619</v>
      </c>
      <c r="G6551" t="s">
        <v>16194</v>
      </c>
      <c r="H6551" t="s">
        <v>19620</v>
      </c>
      <c r="I6551" t="s">
        <v>16082</v>
      </c>
    </row>
    <row r="6552" spans="1:9">
      <c r="A6552" t="s">
        <v>16075</v>
      </c>
      <c r="B6552" t="s">
        <v>16076</v>
      </c>
      <c r="C6552" t="s">
        <v>19621</v>
      </c>
      <c r="D6552" t="s">
        <v>16078</v>
      </c>
      <c r="E6552" t="s">
        <v>6867</v>
      </c>
      <c r="F6552" t="s">
        <v>19622</v>
      </c>
      <c r="G6552" t="s">
        <v>16462</v>
      </c>
      <c r="H6552" t="s">
        <v>19383</v>
      </c>
      <c r="I6552" t="s">
        <v>16082</v>
      </c>
    </row>
    <row r="6553" spans="1:9">
      <c r="A6553" t="s">
        <v>16075</v>
      </c>
      <c r="B6553" t="s">
        <v>16076</v>
      </c>
      <c r="C6553" t="s">
        <v>19623</v>
      </c>
      <c r="D6553" t="s">
        <v>16078</v>
      </c>
      <c r="E6553" t="s">
        <v>19624</v>
      </c>
      <c r="F6553" t="s">
        <v>19625</v>
      </c>
      <c r="G6553" t="s">
        <v>16295</v>
      </c>
      <c r="H6553" t="s">
        <v>19626</v>
      </c>
      <c r="I6553" t="s">
        <v>16082</v>
      </c>
    </row>
    <row r="6554" spans="1:9">
      <c r="A6554" t="s">
        <v>16075</v>
      </c>
      <c r="B6554" t="s">
        <v>16076</v>
      </c>
      <c r="C6554" t="s">
        <v>19627</v>
      </c>
      <c r="D6554" t="s">
        <v>16078</v>
      </c>
      <c r="E6554" t="s">
        <v>19628</v>
      </c>
      <c r="F6554" t="s">
        <v>19629</v>
      </c>
      <c r="G6554" t="s">
        <v>16159</v>
      </c>
      <c r="H6554" t="s">
        <v>19502</v>
      </c>
      <c r="I6554" t="s">
        <v>16082</v>
      </c>
    </row>
    <row r="6555" spans="1:9">
      <c r="A6555" t="s">
        <v>16075</v>
      </c>
      <c r="B6555" t="s">
        <v>16076</v>
      </c>
      <c r="C6555" t="s">
        <v>19630</v>
      </c>
      <c r="D6555" t="s">
        <v>16078</v>
      </c>
      <c r="E6555" t="s">
        <v>19631</v>
      </c>
      <c r="F6555" t="s">
        <v>19632</v>
      </c>
      <c r="G6555" t="s">
        <v>16194</v>
      </c>
      <c r="H6555" t="s">
        <v>19633</v>
      </c>
      <c r="I6555" t="s">
        <v>16082</v>
      </c>
    </row>
    <row r="6556" spans="1:9">
      <c r="A6556" t="s">
        <v>16075</v>
      </c>
      <c r="B6556" t="s">
        <v>16076</v>
      </c>
      <c r="C6556" t="s">
        <v>19634</v>
      </c>
      <c r="D6556" t="s">
        <v>16078</v>
      </c>
      <c r="E6556" t="s">
        <v>19635</v>
      </c>
      <c r="F6556" t="s">
        <v>19636</v>
      </c>
      <c r="G6556" t="s">
        <v>16183</v>
      </c>
      <c r="H6556" t="s">
        <v>19637</v>
      </c>
      <c r="I6556" t="s">
        <v>16082</v>
      </c>
    </row>
    <row r="6557" spans="1:9">
      <c r="A6557" t="s">
        <v>16075</v>
      </c>
      <c r="B6557" t="s">
        <v>16076</v>
      </c>
      <c r="C6557" t="s">
        <v>19638</v>
      </c>
      <c r="D6557" t="s">
        <v>16078</v>
      </c>
      <c r="E6557" t="s">
        <v>2652</v>
      </c>
      <c r="F6557" t="s">
        <v>19639</v>
      </c>
      <c r="G6557" t="s">
        <v>16183</v>
      </c>
      <c r="H6557" t="s">
        <v>19640</v>
      </c>
      <c r="I6557" t="s">
        <v>16082</v>
      </c>
    </row>
    <row r="6558" spans="1:9">
      <c r="A6558" t="s">
        <v>16075</v>
      </c>
      <c r="B6558" t="s">
        <v>16076</v>
      </c>
      <c r="C6558" t="s">
        <v>19641</v>
      </c>
      <c r="D6558" t="s">
        <v>16078</v>
      </c>
      <c r="E6558" t="s">
        <v>19642</v>
      </c>
      <c r="F6558" t="s">
        <v>19643</v>
      </c>
      <c r="G6558" t="s">
        <v>16209</v>
      </c>
      <c r="H6558" t="s">
        <v>19644</v>
      </c>
      <c r="I6558" t="s">
        <v>16082</v>
      </c>
    </row>
    <row r="6559" spans="1:9">
      <c r="A6559" t="s">
        <v>16075</v>
      </c>
      <c r="B6559" t="s">
        <v>16076</v>
      </c>
      <c r="C6559" t="s">
        <v>19645</v>
      </c>
      <c r="D6559" t="s">
        <v>16078</v>
      </c>
      <c r="E6559" t="s">
        <v>19646</v>
      </c>
      <c r="F6559" t="s">
        <v>19647</v>
      </c>
      <c r="G6559" t="s">
        <v>16534</v>
      </c>
      <c r="H6559" t="s">
        <v>19648</v>
      </c>
      <c r="I6559" t="s">
        <v>16082</v>
      </c>
    </row>
    <row r="6560" spans="1:9">
      <c r="A6560" t="s">
        <v>16075</v>
      </c>
      <c r="B6560" t="s">
        <v>16076</v>
      </c>
      <c r="C6560" t="s">
        <v>19649</v>
      </c>
      <c r="D6560" t="s">
        <v>16078</v>
      </c>
      <c r="E6560" t="s">
        <v>19650</v>
      </c>
      <c r="F6560" t="s">
        <v>19651</v>
      </c>
      <c r="G6560" t="s">
        <v>16109</v>
      </c>
      <c r="H6560" t="s">
        <v>19652</v>
      </c>
      <c r="I6560" t="s">
        <v>16082</v>
      </c>
    </row>
    <row r="6561" spans="1:9">
      <c r="A6561" t="s">
        <v>16075</v>
      </c>
      <c r="B6561" t="s">
        <v>16076</v>
      </c>
      <c r="C6561" t="s">
        <v>19653</v>
      </c>
      <c r="D6561" t="s">
        <v>16078</v>
      </c>
      <c r="E6561" t="s">
        <v>19654</v>
      </c>
      <c r="F6561" t="s">
        <v>19655</v>
      </c>
      <c r="G6561" t="s">
        <v>16086</v>
      </c>
      <c r="H6561" t="s">
        <v>19656</v>
      </c>
      <c r="I6561" t="s">
        <v>16082</v>
      </c>
    </row>
    <row r="6562" spans="1:9">
      <c r="A6562" t="s">
        <v>16075</v>
      </c>
      <c r="B6562" t="s">
        <v>16076</v>
      </c>
      <c r="C6562" t="s">
        <v>19657</v>
      </c>
      <c r="D6562" t="s">
        <v>16078</v>
      </c>
      <c r="E6562" t="s">
        <v>10431</v>
      </c>
      <c r="F6562" t="s">
        <v>19658</v>
      </c>
      <c r="G6562" t="s">
        <v>16303</v>
      </c>
      <c r="I6562" t="s">
        <v>16082</v>
      </c>
    </row>
    <row r="6563" spans="1:9">
      <c r="A6563" t="s">
        <v>16075</v>
      </c>
      <c r="B6563" t="s">
        <v>16076</v>
      </c>
      <c r="C6563" t="s">
        <v>19659</v>
      </c>
      <c r="D6563" t="s">
        <v>16078</v>
      </c>
      <c r="E6563" t="s">
        <v>19660</v>
      </c>
      <c r="F6563" t="s">
        <v>19661</v>
      </c>
      <c r="G6563" t="s">
        <v>16869</v>
      </c>
      <c r="H6563" t="s">
        <v>19662</v>
      </c>
    </row>
    <row r="6564" spans="1:9">
      <c r="A6564" t="s">
        <v>16075</v>
      </c>
      <c r="B6564" t="s">
        <v>16076</v>
      </c>
      <c r="C6564" t="s">
        <v>19663</v>
      </c>
      <c r="D6564" t="s">
        <v>16078</v>
      </c>
      <c r="E6564" t="s">
        <v>19664</v>
      </c>
      <c r="F6564" t="s">
        <v>19665</v>
      </c>
      <c r="G6564" t="s">
        <v>16828</v>
      </c>
      <c r="H6564" t="s">
        <v>19666</v>
      </c>
    </row>
    <row r="6565" spans="1:9">
      <c r="A6565" t="s">
        <v>16075</v>
      </c>
      <c r="B6565" t="s">
        <v>16076</v>
      </c>
      <c r="C6565" t="s">
        <v>19667</v>
      </c>
      <c r="D6565" t="s">
        <v>16078</v>
      </c>
      <c r="E6565" t="s">
        <v>19668</v>
      </c>
      <c r="F6565" t="s">
        <v>19669</v>
      </c>
      <c r="G6565" t="s">
        <v>16462</v>
      </c>
      <c r="H6565" t="s">
        <v>19670</v>
      </c>
      <c r="I6565" t="s">
        <v>16082</v>
      </c>
    </row>
    <row r="6566" spans="1:9">
      <c r="A6566" t="s">
        <v>16075</v>
      </c>
      <c r="B6566" t="s">
        <v>16076</v>
      </c>
      <c r="C6566" t="s">
        <v>19671</v>
      </c>
      <c r="D6566" t="s">
        <v>16078</v>
      </c>
      <c r="E6566" t="s">
        <v>19672</v>
      </c>
      <c r="F6566" t="s">
        <v>19673</v>
      </c>
      <c r="G6566" t="s">
        <v>16320</v>
      </c>
      <c r="H6566" t="s">
        <v>19674</v>
      </c>
      <c r="I6566" t="s">
        <v>16082</v>
      </c>
    </row>
    <row r="6567" spans="1:9">
      <c r="A6567" t="s">
        <v>16075</v>
      </c>
      <c r="B6567" t="s">
        <v>16076</v>
      </c>
      <c r="C6567" t="s">
        <v>19675</v>
      </c>
      <c r="D6567" t="s">
        <v>16078</v>
      </c>
      <c r="E6567" t="s">
        <v>19676</v>
      </c>
      <c r="F6567" t="s">
        <v>19677</v>
      </c>
      <c r="G6567" t="s">
        <v>16194</v>
      </c>
      <c r="H6567" t="s">
        <v>19678</v>
      </c>
      <c r="I6567" t="s">
        <v>16082</v>
      </c>
    </row>
    <row r="6568" spans="1:9">
      <c r="A6568" t="s">
        <v>16075</v>
      </c>
      <c r="B6568" t="s">
        <v>16076</v>
      </c>
      <c r="C6568" t="s">
        <v>19679</v>
      </c>
      <c r="D6568" t="s">
        <v>16078</v>
      </c>
      <c r="E6568" t="s">
        <v>19680</v>
      </c>
      <c r="F6568" t="s">
        <v>19681</v>
      </c>
      <c r="G6568" t="s">
        <v>19682</v>
      </c>
      <c r="H6568" t="s">
        <v>19683</v>
      </c>
      <c r="I6568" t="s">
        <v>16082</v>
      </c>
    </row>
    <row r="6569" spans="1:9">
      <c r="A6569" t="s">
        <v>16075</v>
      </c>
      <c r="B6569" t="s">
        <v>16076</v>
      </c>
      <c r="C6569" t="s">
        <v>19684</v>
      </c>
      <c r="D6569" t="s">
        <v>16078</v>
      </c>
      <c r="E6569" t="s">
        <v>19685</v>
      </c>
      <c r="F6569" t="s">
        <v>19686</v>
      </c>
      <c r="G6569" t="s">
        <v>16451</v>
      </c>
      <c r="H6569" t="s">
        <v>19687</v>
      </c>
      <c r="I6569" t="s">
        <v>16082</v>
      </c>
    </row>
    <row r="6570" spans="1:9">
      <c r="A6570" t="s">
        <v>16075</v>
      </c>
      <c r="B6570" t="s">
        <v>16076</v>
      </c>
      <c r="C6570" t="s">
        <v>19688</v>
      </c>
      <c r="D6570" t="s">
        <v>16078</v>
      </c>
      <c r="E6570" t="s">
        <v>19689</v>
      </c>
      <c r="F6570" t="s">
        <v>19690</v>
      </c>
      <c r="G6570" t="s">
        <v>16438</v>
      </c>
      <c r="H6570" t="s">
        <v>19691</v>
      </c>
      <c r="I6570" t="s">
        <v>16082</v>
      </c>
    </row>
    <row r="6571" spans="1:9">
      <c r="A6571" t="s">
        <v>16075</v>
      </c>
      <c r="B6571" t="s">
        <v>16076</v>
      </c>
      <c r="C6571" t="s">
        <v>19692</v>
      </c>
      <c r="D6571" t="s">
        <v>16078</v>
      </c>
      <c r="E6571" t="s">
        <v>19693</v>
      </c>
      <c r="F6571" t="s">
        <v>19694</v>
      </c>
      <c r="G6571" t="s">
        <v>16168</v>
      </c>
      <c r="H6571" t="s">
        <v>19695</v>
      </c>
      <c r="I6571" t="s">
        <v>16082</v>
      </c>
    </row>
    <row r="6572" spans="1:9">
      <c r="A6572" t="s">
        <v>16075</v>
      </c>
      <c r="B6572" t="s">
        <v>16076</v>
      </c>
      <c r="C6572" t="s">
        <v>19696</v>
      </c>
      <c r="D6572" t="s">
        <v>16078</v>
      </c>
      <c r="E6572" t="s">
        <v>2661</v>
      </c>
      <c r="F6572" t="s">
        <v>19697</v>
      </c>
      <c r="G6572" t="s">
        <v>16534</v>
      </c>
      <c r="H6572" t="s">
        <v>18041</v>
      </c>
      <c r="I6572" t="s">
        <v>16082</v>
      </c>
    </row>
    <row r="6573" spans="1:9">
      <c r="A6573" t="s">
        <v>16075</v>
      </c>
      <c r="B6573" t="s">
        <v>16076</v>
      </c>
      <c r="C6573" t="s">
        <v>19698</v>
      </c>
      <c r="D6573" t="s">
        <v>16078</v>
      </c>
      <c r="E6573" t="s">
        <v>19699</v>
      </c>
      <c r="F6573" t="s">
        <v>19700</v>
      </c>
      <c r="G6573" t="s">
        <v>16131</v>
      </c>
      <c r="H6573" t="s">
        <v>18041</v>
      </c>
      <c r="I6573" t="s">
        <v>16082</v>
      </c>
    </row>
    <row r="6574" spans="1:9">
      <c r="A6574" t="s">
        <v>16075</v>
      </c>
      <c r="B6574" t="s">
        <v>16076</v>
      </c>
      <c r="C6574" t="s">
        <v>19701</v>
      </c>
      <c r="D6574" t="s">
        <v>16078</v>
      </c>
      <c r="E6574" t="s">
        <v>9648</v>
      </c>
      <c r="F6574" t="s">
        <v>19702</v>
      </c>
      <c r="G6574" t="s">
        <v>16209</v>
      </c>
      <c r="H6574" t="s">
        <v>19703</v>
      </c>
      <c r="I6574" t="s">
        <v>16082</v>
      </c>
    </row>
    <row r="6575" spans="1:9">
      <c r="A6575" t="s">
        <v>16075</v>
      </c>
      <c r="B6575" t="s">
        <v>16076</v>
      </c>
      <c r="C6575" t="s">
        <v>19704</v>
      </c>
      <c r="D6575" t="s">
        <v>16078</v>
      </c>
      <c r="E6575" t="s">
        <v>19705</v>
      </c>
      <c r="F6575" t="s">
        <v>19706</v>
      </c>
      <c r="G6575" t="s">
        <v>16683</v>
      </c>
      <c r="H6575" t="s">
        <v>18041</v>
      </c>
    </row>
    <row r="6576" spans="1:9">
      <c r="A6576" t="s">
        <v>16075</v>
      </c>
      <c r="B6576" t="s">
        <v>16076</v>
      </c>
      <c r="C6576" t="s">
        <v>19707</v>
      </c>
      <c r="D6576" t="s">
        <v>16078</v>
      </c>
      <c r="E6576" t="s">
        <v>19708</v>
      </c>
      <c r="F6576" t="s">
        <v>19709</v>
      </c>
      <c r="G6576" t="s">
        <v>16091</v>
      </c>
      <c r="H6576" t="s">
        <v>19710</v>
      </c>
      <c r="I6576" t="s">
        <v>16082</v>
      </c>
    </row>
    <row r="6577" spans="1:9">
      <c r="A6577" t="s">
        <v>16075</v>
      </c>
      <c r="B6577" t="s">
        <v>16076</v>
      </c>
      <c r="C6577" t="s">
        <v>19711</v>
      </c>
      <c r="D6577" t="s">
        <v>16078</v>
      </c>
      <c r="E6577" t="s">
        <v>12031</v>
      </c>
      <c r="F6577" t="s">
        <v>19712</v>
      </c>
      <c r="G6577" t="s">
        <v>16173</v>
      </c>
      <c r="H6577" t="s">
        <v>19713</v>
      </c>
      <c r="I6577" t="s">
        <v>16082</v>
      </c>
    </row>
    <row r="6578" spans="1:9">
      <c r="A6578" t="s">
        <v>16075</v>
      </c>
      <c r="B6578" t="s">
        <v>16076</v>
      </c>
      <c r="C6578" t="s">
        <v>19714</v>
      </c>
      <c r="D6578" t="s">
        <v>16078</v>
      </c>
      <c r="E6578" t="s">
        <v>19715</v>
      </c>
      <c r="F6578" t="s">
        <v>19716</v>
      </c>
      <c r="G6578" t="s">
        <v>16080</v>
      </c>
      <c r="H6578" t="s">
        <v>19717</v>
      </c>
      <c r="I6578" t="s">
        <v>16082</v>
      </c>
    </row>
    <row r="6579" spans="1:9">
      <c r="A6579" t="s">
        <v>16075</v>
      </c>
      <c r="B6579" t="s">
        <v>16076</v>
      </c>
      <c r="C6579" t="s">
        <v>19718</v>
      </c>
      <c r="D6579" t="s">
        <v>16078</v>
      </c>
      <c r="E6579" t="s">
        <v>19719</v>
      </c>
      <c r="F6579" t="s">
        <v>19720</v>
      </c>
      <c r="G6579" t="s">
        <v>16097</v>
      </c>
      <c r="H6579" t="s">
        <v>19721</v>
      </c>
      <c r="I6579" t="s">
        <v>16082</v>
      </c>
    </row>
    <row r="6580" spans="1:9">
      <c r="A6580" t="s">
        <v>16075</v>
      </c>
      <c r="B6580" t="s">
        <v>16076</v>
      </c>
      <c r="C6580" t="s">
        <v>19722</v>
      </c>
      <c r="D6580" t="s">
        <v>16078</v>
      </c>
      <c r="E6580" t="s">
        <v>6616</v>
      </c>
      <c r="F6580" t="s">
        <v>19723</v>
      </c>
      <c r="G6580" t="s">
        <v>16086</v>
      </c>
      <c r="H6580" t="s">
        <v>19724</v>
      </c>
      <c r="I6580" t="s">
        <v>16082</v>
      </c>
    </row>
    <row r="6581" spans="1:9">
      <c r="A6581" t="s">
        <v>16075</v>
      </c>
      <c r="B6581" t="s">
        <v>16076</v>
      </c>
      <c r="C6581" t="s">
        <v>19725</v>
      </c>
      <c r="D6581" t="s">
        <v>16078</v>
      </c>
      <c r="E6581" t="s">
        <v>19726</v>
      </c>
      <c r="F6581" t="s">
        <v>19727</v>
      </c>
      <c r="G6581" t="s">
        <v>16194</v>
      </c>
      <c r="H6581" t="s">
        <v>19728</v>
      </c>
      <c r="I6581" t="s">
        <v>16082</v>
      </c>
    </row>
    <row r="6582" spans="1:9">
      <c r="A6582" t="s">
        <v>16075</v>
      </c>
      <c r="B6582" t="s">
        <v>16076</v>
      </c>
      <c r="C6582" t="s">
        <v>19729</v>
      </c>
      <c r="D6582" t="s">
        <v>16078</v>
      </c>
      <c r="E6582" t="s">
        <v>19730</v>
      </c>
      <c r="F6582" t="s">
        <v>19731</v>
      </c>
      <c r="G6582" t="s">
        <v>16194</v>
      </c>
      <c r="H6582" t="s">
        <v>19732</v>
      </c>
      <c r="I6582" t="s">
        <v>16082</v>
      </c>
    </row>
    <row r="6583" spans="1:9">
      <c r="A6583" t="s">
        <v>16075</v>
      </c>
      <c r="B6583" t="s">
        <v>16076</v>
      </c>
      <c r="C6583" t="s">
        <v>19733</v>
      </c>
      <c r="D6583" t="s">
        <v>16078</v>
      </c>
      <c r="E6583" t="s">
        <v>19734</v>
      </c>
      <c r="F6583" t="s">
        <v>19735</v>
      </c>
      <c r="G6583" t="s">
        <v>16159</v>
      </c>
      <c r="H6583" t="s">
        <v>19736</v>
      </c>
      <c r="I6583" t="s">
        <v>16082</v>
      </c>
    </row>
    <row r="6584" spans="1:9">
      <c r="A6584" t="s">
        <v>16075</v>
      </c>
      <c r="B6584" t="s">
        <v>16076</v>
      </c>
      <c r="C6584" t="s">
        <v>19737</v>
      </c>
      <c r="D6584" t="s">
        <v>16078</v>
      </c>
      <c r="E6584" t="s">
        <v>19738</v>
      </c>
      <c r="F6584" t="s">
        <v>19739</v>
      </c>
      <c r="G6584" t="s">
        <v>16080</v>
      </c>
      <c r="H6584" t="s">
        <v>19740</v>
      </c>
      <c r="I6584" t="s">
        <v>16082</v>
      </c>
    </row>
    <row r="6585" spans="1:9">
      <c r="A6585" t="s">
        <v>16075</v>
      </c>
      <c r="B6585" t="s">
        <v>16076</v>
      </c>
      <c r="C6585" t="s">
        <v>19741</v>
      </c>
      <c r="D6585" t="s">
        <v>16078</v>
      </c>
      <c r="E6585" t="s">
        <v>19742</v>
      </c>
      <c r="F6585" t="s">
        <v>19743</v>
      </c>
      <c r="G6585" t="s">
        <v>16131</v>
      </c>
      <c r="H6585" t="s">
        <v>19744</v>
      </c>
      <c r="I6585" t="s">
        <v>16082</v>
      </c>
    </row>
    <row r="6586" spans="1:9">
      <c r="A6586" t="s">
        <v>16075</v>
      </c>
      <c r="B6586" t="s">
        <v>16076</v>
      </c>
      <c r="C6586" t="s">
        <v>19745</v>
      </c>
      <c r="D6586" t="s">
        <v>16078</v>
      </c>
      <c r="E6586" t="s">
        <v>19746</v>
      </c>
      <c r="F6586" t="s">
        <v>19747</v>
      </c>
      <c r="G6586" t="s">
        <v>16266</v>
      </c>
      <c r="H6586" t="s">
        <v>19748</v>
      </c>
      <c r="I6586" t="s">
        <v>16082</v>
      </c>
    </row>
    <row r="6587" spans="1:9">
      <c r="A6587" t="s">
        <v>16075</v>
      </c>
      <c r="B6587" t="s">
        <v>16076</v>
      </c>
      <c r="C6587" t="s">
        <v>19749</v>
      </c>
      <c r="D6587" t="s">
        <v>16078</v>
      </c>
      <c r="E6587" t="s">
        <v>19750</v>
      </c>
      <c r="F6587" t="s">
        <v>19751</v>
      </c>
      <c r="G6587" t="s">
        <v>17229</v>
      </c>
      <c r="H6587" t="s">
        <v>19752</v>
      </c>
      <c r="I6587" t="s">
        <v>16093</v>
      </c>
    </row>
    <row r="6588" spans="1:9">
      <c r="A6588" t="s">
        <v>16075</v>
      </c>
      <c r="B6588" t="s">
        <v>16076</v>
      </c>
      <c r="C6588" t="s">
        <v>19753</v>
      </c>
      <c r="D6588" t="s">
        <v>16078</v>
      </c>
      <c r="E6588" t="s">
        <v>19754</v>
      </c>
      <c r="F6588" t="s">
        <v>19755</v>
      </c>
      <c r="G6588" t="s">
        <v>16320</v>
      </c>
      <c r="H6588" t="s">
        <v>19756</v>
      </c>
      <c r="I6588" t="s">
        <v>16082</v>
      </c>
    </row>
    <row r="6589" spans="1:9">
      <c r="A6589" t="s">
        <v>16075</v>
      </c>
      <c r="B6589" t="s">
        <v>16076</v>
      </c>
      <c r="C6589" t="s">
        <v>19757</v>
      </c>
      <c r="D6589" t="s">
        <v>16078</v>
      </c>
      <c r="E6589" t="s">
        <v>19758</v>
      </c>
      <c r="F6589" t="s">
        <v>19759</v>
      </c>
      <c r="G6589" t="s">
        <v>16194</v>
      </c>
      <c r="H6589" t="s">
        <v>19760</v>
      </c>
      <c r="I6589" t="s">
        <v>16082</v>
      </c>
    </row>
    <row r="6590" spans="1:9">
      <c r="A6590" t="s">
        <v>16075</v>
      </c>
      <c r="B6590" t="s">
        <v>16076</v>
      </c>
      <c r="C6590" t="s">
        <v>19761</v>
      </c>
      <c r="D6590" t="s">
        <v>16078</v>
      </c>
      <c r="E6590" t="s">
        <v>19762</v>
      </c>
      <c r="F6590" t="s">
        <v>19763</v>
      </c>
      <c r="G6590" t="s">
        <v>16209</v>
      </c>
      <c r="H6590" t="s">
        <v>19764</v>
      </c>
      <c r="I6590" t="s">
        <v>16082</v>
      </c>
    </row>
    <row r="6591" spans="1:9">
      <c r="A6591" t="s">
        <v>16075</v>
      </c>
      <c r="B6591" t="s">
        <v>16076</v>
      </c>
      <c r="C6591" t="s">
        <v>19765</v>
      </c>
      <c r="D6591" t="s">
        <v>16078</v>
      </c>
      <c r="E6591" t="s">
        <v>19766</v>
      </c>
      <c r="F6591" t="s">
        <v>19767</v>
      </c>
      <c r="G6591" t="s">
        <v>16091</v>
      </c>
      <c r="H6591" t="s">
        <v>19768</v>
      </c>
      <c r="I6591" t="s">
        <v>16082</v>
      </c>
    </row>
    <row r="6592" spans="1:9">
      <c r="A6592" t="s">
        <v>16075</v>
      </c>
      <c r="B6592" t="s">
        <v>16076</v>
      </c>
      <c r="C6592" t="s">
        <v>19769</v>
      </c>
      <c r="D6592" t="s">
        <v>16078</v>
      </c>
      <c r="E6592" t="s">
        <v>19770</v>
      </c>
      <c r="F6592" t="s">
        <v>19771</v>
      </c>
      <c r="G6592" t="s">
        <v>16307</v>
      </c>
      <c r="H6592" t="s">
        <v>19772</v>
      </c>
      <c r="I6592" t="s">
        <v>16082</v>
      </c>
    </row>
    <row r="6593" spans="1:9">
      <c r="A6593" t="s">
        <v>16075</v>
      </c>
      <c r="B6593" t="s">
        <v>16076</v>
      </c>
      <c r="C6593" t="s">
        <v>19773</v>
      </c>
      <c r="D6593" t="s">
        <v>16078</v>
      </c>
      <c r="E6593" t="s">
        <v>19774</v>
      </c>
      <c r="F6593" t="s">
        <v>19775</v>
      </c>
      <c r="G6593" t="s">
        <v>16438</v>
      </c>
      <c r="H6593" t="s">
        <v>19776</v>
      </c>
      <c r="I6593" t="s">
        <v>16082</v>
      </c>
    </row>
    <row r="6594" spans="1:9">
      <c r="A6594" t="s">
        <v>16075</v>
      </c>
      <c r="B6594" t="s">
        <v>16076</v>
      </c>
      <c r="C6594" t="s">
        <v>19777</v>
      </c>
      <c r="D6594" t="s">
        <v>16078</v>
      </c>
      <c r="E6594" t="s">
        <v>19778</v>
      </c>
      <c r="F6594" t="s">
        <v>19779</v>
      </c>
      <c r="G6594" t="s">
        <v>16139</v>
      </c>
      <c r="H6594" t="s">
        <v>19780</v>
      </c>
      <c r="I6594" t="s">
        <v>16082</v>
      </c>
    </row>
    <row r="6595" spans="1:9">
      <c r="A6595" t="s">
        <v>16075</v>
      </c>
      <c r="B6595" t="s">
        <v>16076</v>
      </c>
      <c r="C6595" t="s">
        <v>19781</v>
      </c>
      <c r="D6595" t="s">
        <v>16078</v>
      </c>
      <c r="E6595" t="s">
        <v>19782</v>
      </c>
      <c r="F6595" t="s">
        <v>19783</v>
      </c>
      <c r="G6595" t="s">
        <v>16080</v>
      </c>
      <c r="H6595" t="s">
        <v>19784</v>
      </c>
      <c r="I6595" t="s">
        <v>16082</v>
      </c>
    </row>
    <row r="6596" spans="1:9">
      <c r="A6596" t="s">
        <v>16075</v>
      </c>
      <c r="B6596" t="s">
        <v>16076</v>
      </c>
      <c r="C6596" t="s">
        <v>19785</v>
      </c>
      <c r="D6596" t="s">
        <v>16078</v>
      </c>
      <c r="E6596" t="s">
        <v>19786</v>
      </c>
      <c r="F6596" t="s">
        <v>19787</v>
      </c>
      <c r="G6596" t="s">
        <v>16194</v>
      </c>
      <c r="H6596" t="s">
        <v>19788</v>
      </c>
      <c r="I6596" t="s">
        <v>16082</v>
      </c>
    </row>
    <row r="6597" spans="1:9">
      <c r="A6597" t="s">
        <v>16075</v>
      </c>
      <c r="B6597" t="s">
        <v>16076</v>
      </c>
      <c r="C6597" t="s">
        <v>19789</v>
      </c>
      <c r="D6597" t="s">
        <v>16078</v>
      </c>
      <c r="E6597" t="s">
        <v>19790</v>
      </c>
      <c r="F6597" t="s">
        <v>19791</v>
      </c>
      <c r="G6597" t="s">
        <v>16116</v>
      </c>
      <c r="H6597" t="s">
        <v>19792</v>
      </c>
      <c r="I6597" t="s">
        <v>16082</v>
      </c>
    </row>
    <row r="6598" spans="1:9">
      <c r="A6598" t="s">
        <v>16075</v>
      </c>
      <c r="B6598" t="s">
        <v>16076</v>
      </c>
      <c r="C6598" t="s">
        <v>19793</v>
      </c>
      <c r="D6598" t="s">
        <v>16078</v>
      </c>
      <c r="E6598" t="s">
        <v>19794</v>
      </c>
      <c r="F6598" t="s">
        <v>19795</v>
      </c>
      <c r="G6598" t="s">
        <v>16372</v>
      </c>
      <c r="H6598" t="s">
        <v>19796</v>
      </c>
      <c r="I6598" t="s">
        <v>16082</v>
      </c>
    </row>
    <row r="6599" spans="1:9">
      <c r="A6599" t="s">
        <v>16075</v>
      </c>
      <c r="B6599" t="s">
        <v>16076</v>
      </c>
      <c r="C6599" t="s">
        <v>19797</v>
      </c>
      <c r="D6599" t="s">
        <v>16078</v>
      </c>
      <c r="E6599" t="s">
        <v>19798</v>
      </c>
      <c r="F6599" t="s">
        <v>19799</v>
      </c>
      <c r="G6599" t="s">
        <v>16131</v>
      </c>
      <c r="H6599" t="s">
        <v>19800</v>
      </c>
      <c r="I6599" t="s">
        <v>16082</v>
      </c>
    </row>
    <row r="6600" spans="1:9">
      <c r="A6600" t="s">
        <v>16075</v>
      </c>
      <c r="B6600" t="s">
        <v>16076</v>
      </c>
      <c r="C6600" t="s">
        <v>19801</v>
      </c>
      <c r="D6600" t="s">
        <v>16078</v>
      </c>
      <c r="E6600" t="s">
        <v>19802</v>
      </c>
      <c r="F6600" t="s">
        <v>19803</v>
      </c>
      <c r="G6600" t="s">
        <v>16080</v>
      </c>
      <c r="H6600" t="s">
        <v>19804</v>
      </c>
      <c r="I6600" t="s">
        <v>16082</v>
      </c>
    </row>
    <row r="6601" spans="1:9">
      <c r="A6601" t="s">
        <v>16075</v>
      </c>
      <c r="B6601" t="s">
        <v>16076</v>
      </c>
      <c r="C6601" t="s">
        <v>19805</v>
      </c>
      <c r="D6601" t="s">
        <v>16078</v>
      </c>
      <c r="E6601" t="s">
        <v>19806</v>
      </c>
      <c r="F6601" t="s">
        <v>19807</v>
      </c>
      <c r="G6601" t="s">
        <v>16209</v>
      </c>
      <c r="H6601" t="s">
        <v>19804</v>
      </c>
      <c r="I6601" t="s">
        <v>16082</v>
      </c>
    </row>
    <row r="6602" spans="1:9">
      <c r="A6602" t="s">
        <v>16075</v>
      </c>
      <c r="B6602" t="s">
        <v>16076</v>
      </c>
      <c r="C6602" t="s">
        <v>19808</v>
      </c>
      <c r="D6602" t="s">
        <v>16078</v>
      </c>
      <c r="E6602" t="s">
        <v>19809</v>
      </c>
      <c r="F6602" t="s">
        <v>19810</v>
      </c>
      <c r="G6602" t="s">
        <v>16320</v>
      </c>
      <c r="H6602" t="s">
        <v>19811</v>
      </c>
      <c r="I6602" t="s">
        <v>16082</v>
      </c>
    </row>
    <row r="6603" spans="1:9">
      <c r="A6603" t="s">
        <v>16075</v>
      </c>
      <c r="B6603" t="s">
        <v>16076</v>
      </c>
      <c r="C6603" t="s">
        <v>19812</v>
      </c>
      <c r="D6603" t="s">
        <v>16078</v>
      </c>
      <c r="E6603" t="s">
        <v>19813</v>
      </c>
      <c r="F6603" t="s">
        <v>19814</v>
      </c>
      <c r="G6603" t="s">
        <v>16168</v>
      </c>
      <c r="H6603" t="s">
        <v>19815</v>
      </c>
      <c r="I6603" t="s">
        <v>16082</v>
      </c>
    </row>
    <row r="6604" spans="1:9">
      <c r="A6604" t="s">
        <v>16075</v>
      </c>
      <c r="B6604" t="s">
        <v>16076</v>
      </c>
      <c r="C6604" t="s">
        <v>19816</v>
      </c>
      <c r="D6604" t="s">
        <v>16078</v>
      </c>
      <c r="E6604" t="s">
        <v>19817</v>
      </c>
      <c r="F6604" t="s">
        <v>19818</v>
      </c>
      <c r="G6604" t="s">
        <v>16183</v>
      </c>
      <c r="H6604" t="s">
        <v>19819</v>
      </c>
      <c r="I6604" t="s">
        <v>16082</v>
      </c>
    </row>
    <row r="6605" spans="1:9">
      <c r="A6605" t="s">
        <v>16075</v>
      </c>
      <c r="B6605" t="s">
        <v>16076</v>
      </c>
      <c r="C6605" t="s">
        <v>19820</v>
      </c>
      <c r="D6605" t="s">
        <v>16078</v>
      </c>
      <c r="E6605" t="s">
        <v>19821</v>
      </c>
      <c r="F6605" t="s">
        <v>19822</v>
      </c>
      <c r="G6605" t="s">
        <v>16312</v>
      </c>
      <c r="H6605" t="s">
        <v>19780</v>
      </c>
    </row>
    <row r="6606" spans="1:9">
      <c r="A6606" t="s">
        <v>16075</v>
      </c>
      <c r="B6606" t="s">
        <v>16076</v>
      </c>
      <c r="C6606" t="s">
        <v>19823</v>
      </c>
      <c r="D6606" t="s">
        <v>16078</v>
      </c>
      <c r="E6606" t="s">
        <v>19824</v>
      </c>
      <c r="F6606" t="s">
        <v>19825</v>
      </c>
      <c r="G6606" t="s">
        <v>16320</v>
      </c>
      <c r="H6606" t="s">
        <v>17017</v>
      </c>
      <c r="I6606" t="s">
        <v>16082</v>
      </c>
    </row>
    <row r="6607" spans="1:9">
      <c r="A6607" t="s">
        <v>16075</v>
      </c>
      <c r="B6607" t="s">
        <v>16076</v>
      </c>
      <c r="C6607" t="s">
        <v>19826</v>
      </c>
      <c r="D6607" t="s">
        <v>16078</v>
      </c>
      <c r="E6607" t="s">
        <v>19827</v>
      </c>
      <c r="F6607" t="s">
        <v>19828</v>
      </c>
      <c r="G6607" t="s">
        <v>16462</v>
      </c>
      <c r="H6607" t="s">
        <v>19829</v>
      </c>
      <c r="I6607" t="s">
        <v>16093</v>
      </c>
    </row>
    <row r="6608" spans="1:9">
      <c r="A6608" t="s">
        <v>16075</v>
      </c>
      <c r="B6608" t="s">
        <v>16076</v>
      </c>
      <c r="C6608" t="s">
        <v>19830</v>
      </c>
      <c r="D6608" t="s">
        <v>16078</v>
      </c>
      <c r="E6608" t="s">
        <v>19831</v>
      </c>
      <c r="F6608" t="s">
        <v>19832</v>
      </c>
      <c r="G6608" t="s">
        <v>16091</v>
      </c>
      <c r="H6608" t="s">
        <v>19833</v>
      </c>
      <c r="I6608" t="s">
        <v>16082</v>
      </c>
    </row>
    <row r="6609" spans="1:14">
      <c r="A6609" t="s">
        <v>16075</v>
      </c>
      <c r="B6609" t="s">
        <v>16076</v>
      </c>
      <c r="C6609" t="s">
        <v>19834</v>
      </c>
      <c r="D6609" t="s">
        <v>16078</v>
      </c>
      <c r="E6609" t="s">
        <v>19835</v>
      </c>
      <c r="F6609" t="s">
        <v>19836</v>
      </c>
      <c r="G6609" t="s">
        <v>16372</v>
      </c>
      <c r="H6609" t="s">
        <v>19837</v>
      </c>
      <c r="I6609" t="s">
        <v>16082</v>
      </c>
    </row>
    <row r="6610" spans="1:14">
      <c r="A6610" t="s">
        <v>16075</v>
      </c>
      <c r="B6610" t="s">
        <v>16076</v>
      </c>
      <c r="C6610" t="s">
        <v>19838</v>
      </c>
      <c r="D6610" t="s">
        <v>16078</v>
      </c>
      <c r="E6610" t="s">
        <v>19839</v>
      </c>
      <c r="F6610" t="s">
        <v>19840</v>
      </c>
      <c r="G6610" t="s">
        <v>16462</v>
      </c>
      <c r="H6610" t="s">
        <v>19841</v>
      </c>
      <c r="I6610" t="s">
        <v>16082</v>
      </c>
      <c r="J6610" t="s">
        <v>19839</v>
      </c>
      <c r="K6610" t="s">
        <v>16075</v>
      </c>
      <c r="L6610" t="s">
        <v>16219</v>
      </c>
      <c r="M6610" t="s">
        <v>16082</v>
      </c>
      <c r="N6610" t="s">
        <v>19841</v>
      </c>
    </row>
    <row r="6611" spans="1:14">
      <c r="A6611" t="s">
        <v>16075</v>
      </c>
      <c r="B6611" t="s">
        <v>16076</v>
      </c>
      <c r="C6611" t="s">
        <v>19842</v>
      </c>
      <c r="D6611" t="s">
        <v>16078</v>
      </c>
      <c r="E6611" t="s">
        <v>19843</v>
      </c>
      <c r="F6611" t="s">
        <v>19844</v>
      </c>
      <c r="G6611" t="s">
        <v>16097</v>
      </c>
      <c r="H6611" t="s">
        <v>19845</v>
      </c>
      <c r="I6611" t="s">
        <v>16082</v>
      </c>
    </row>
    <row r="6612" spans="1:14">
      <c r="A6612" t="s">
        <v>16075</v>
      </c>
      <c r="B6612" t="s">
        <v>16076</v>
      </c>
      <c r="C6612" t="s">
        <v>19846</v>
      </c>
      <c r="D6612" t="s">
        <v>16078</v>
      </c>
      <c r="E6612" t="s">
        <v>19847</v>
      </c>
      <c r="F6612" t="s">
        <v>19848</v>
      </c>
      <c r="G6612" t="s">
        <v>16131</v>
      </c>
      <c r="H6612" t="s">
        <v>19849</v>
      </c>
      <c r="I6612" t="s">
        <v>16082</v>
      </c>
    </row>
    <row r="6613" spans="1:14">
      <c r="A6613" t="s">
        <v>16075</v>
      </c>
      <c r="B6613" t="s">
        <v>16076</v>
      </c>
      <c r="C6613" t="s">
        <v>19850</v>
      </c>
      <c r="D6613" t="s">
        <v>16078</v>
      </c>
      <c r="E6613" t="s">
        <v>19851</v>
      </c>
      <c r="F6613" t="s">
        <v>19852</v>
      </c>
      <c r="G6613" t="s">
        <v>16086</v>
      </c>
      <c r="H6613" t="s">
        <v>19853</v>
      </c>
      <c r="I6613" t="s">
        <v>16082</v>
      </c>
    </row>
    <row r="6614" spans="1:14">
      <c r="A6614" t="s">
        <v>16075</v>
      </c>
      <c r="B6614" t="s">
        <v>16076</v>
      </c>
      <c r="C6614" t="s">
        <v>19854</v>
      </c>
      <c r="D6614" t="s">
        <v>16078</v>
      </c>
      <c r="E6614" t="s">
        <v>19855</v>
      </c>
      <c r="F6614" t="s">
        <v>19856</v>
      </c>
      <c r="G6614" t="s">
        <v>16097</v>
      </c>
      <c r="H6614" t="s">
        <v>19857</v>
      </c>
      <c r="I6614" t="s">
        <v>16082</v>
      </c>
    </row>
    <row r="6615" spans="1:14">
      <c r="A6615" t="s">
        <v>16075</v>
      </c>
      <c r="B6615" t="s">
        <v>16076</v>
      </c>
      <c r="C6615" t="s">
        <v>19858</v>
      </c>
      <c r="D6615" t="s">
        <v>16078</v>
      </c>
      <c r="E6615" t="s">
        <v>19281</v>
      </c>
      <c r="F6615" t="s">
        <v>19859</v>
      </c>
      <c r="G6615" t="s">
        <v>16116</v>
      </c>
      <c r="H6615" t="s">
        <v>19860</v>
      </c>
    </row>
    <row r="6616" spans="1:14">
      <c r="A6616" t="s">
        <v>16075</v>
      </c>
      <c r="B6616" t="s">
        <v>16076</v>
      </c>
      <c r="C6616" t="s">
        <v>19861</v>
      </c>
      <c r="D6616" t="s">
        <v>16078</v>
      </c>
      <c r="E6616" t="s">
        <v>2673</v>
      </c>
      <c r="F6616" t="s">
        <v>19862</v>
      </c>
      <c r="G6616" t="s">
        <v>16320</v>
      </c>
      <c r="H6616" t="s">
        <v>19863</v>
      </c>
    </row>
    <row r="6617" spans="1:14">
      <c r="A6617" t="s">
        <v>16075</v>
      </c>
      <c r="B6617" t="s">
        <v>16076</v>
      </c>
      <c r="C6617" t="s">
        <v>19864</v>
      </c>
      <c r="D6617" t="s">
        <v>16078</v>
      </c>
      <c r="E6617" t="s">
        <v>19865</v>
      </c>
      <c r="F6617" t="s">
        <v>19866</v>
      </c>
      <c r="G6617" t="s">
        <v>16303</v>
      </c>
      <c r="H6617" t="s">
        <v>19867</v>
      </c>
      <c r="I6617" t="s">
        <v>16082</v>
      </c>
    </row>
    <row r="6618" spans="1:14">
      <c r="A6618" t="s">
        <v>16075</v>
      </c>
      <c r="B6618" t="s">
        <v>16076</v>
      </c>
      <c r="C6618" t="s">
        <v>19868</v>
      </c>
      <c r="D6618" t="s">
        <v>16078</v>
      </c>
      <c r="E6618" t="s">
        <v>19869</v>
      </c>
      <c r="F6618" t="s">
        <v>19870</v>
      </c>
      <c r="G6618" t="s">
        <v>16194</v>
      </c>
      <c r="H6618" t="s">
        <v>19871</v>
      </c>
      <c r="I6618" t="s">
        <v>16082</v>
      </c>
    </row>
    <row r="6619" spans="1:14">
      <c r="A6619" t="s">
        <v>16075</v>
      </c>
      <c r="B6619" t="s">
        <v>16076</v>
      </c>
      <c r="C6619" t="s">
        <v>19872</v>
      </c>
      <c r="D6619" t="s">
        <v>16078</v>
      </c>
      <c r="E6619" t="s">
        <v>6690</v>
      </c>
      <c r="F6619" t="s">
        <v>19873</v>
      </c>
      <c r="G6619" t="s">
        <v>16209</v>
      </c>
      <c r="H6619" t="s">
        <v>19874</v>
      </c>
      <c r="I6619" t="s">
        <v>16082</v>
      </c>
    </row>
    <row r="6620" spans="1:14">
      <c r="A6620" t="s">
        <v>16075</v>
      </c>
      <c r="B6620" t="s">
        <v>16076</v>
      </c>
      <c r="C6620" t="s">
        <v>19875</v>
      </c>
      <c r="D6620" t="s">
        <v>16078</v>
      </c>
      <c r="E6620" t="s">
        <v>15249</v>
      </c>
      <c r="F6620" t="s">
        <v>19876</v>
      </c>
      <c r="G6620" t="s">
        <v>16131</v>
      </c>
      <c r="H6620" t="s">
        <v>19877</v>
      </c>
      <c r="I6620" t="s">
        <v>16082</v>
      </c>
    </row>
    <row r="6621" spans="1:14">
      <c r="A6621" t="s">
        <v>16075</v>
      </c>
      <c r="B6621" t="s">
        <v>16076</v>
      </c>
      <c r="C6621" t="s">
        <v>19878</v>
      </c>
      <c r="D6621" t="s">
        <v>16078</v>
      </c>
      <c r="E6621" t="s">
        <v>19879</v>
      </c>
      <c r="F6621" t="s">
        <v>19879</v>
      </c>
      <c r="G6621" t="s">
        <v>16086</v>
      </c>
      <c r="H6621" t="s">
        <v>19880</v>
      </c>
      <c r="I6621" t="s">
        <v>16082</v>
      </c>
    </row>
    <row r="6622" spans="1:14">
      <c r="A6622" t="s">
        <v>16075</v>
      </c>
      <c r="B6622" t="s">
        <v>16076</v>
      </c>
      <c r="C6622" t="s">
        <v>19881</v>
      </c>
      <c r="D6622" t="s">
        <v>16078</v>
      </c>
      <c r="E6622" t="s">
        <v>19882</v>
      </c>
      <c r="F6622" t="s">
        <v>19883</v>
      </c>
      <c r="G6622" t="s">
        <v>16173</v>
      </c>
      <c r="H6622" t="s">
        <v>19884</v>
      </c>
      <c r="I6622" t="s">
        <v>16082</v>
      </c>
      <c r="J6622" t="s">
        <v>19882</v>
      </c>
      <c r="K6622" t="s">
        <v>16075</v>
      </c>
      <c r="L6622" t="s">
        <v>16219</v>
      </c>
      <c r="M6622" t="s">
        <v>16082</v>
      </c>
      <c r="N6622" t="s">
        <v>19884</v>
      </c>
    </row>
    <row r="6623" spans="1:14">
      <c r="A6623" t="s">
        <v>16075</v>
      </c>
      <c r="B6623" t="s">
        <v>16076</v>
      </c>
      <c r="C6623" t="s">
        <v>19885</v>
      </c>
      <c r="D6623" t="s">
        <v>16078</v>
      </c>
      <c r="E6623" t="s">
        <v>19886</v>
      </c>
      <c r="F6623" t="s">
        <v>19887</v>
      </c>
      <c r="G6623" t="s">
        <v>16194</v>
      </c>
      <c r="H6623" t="s">
        <v>19888</v>
      </c>
      <c r="I6623" t="s">
        <v>16082</v>
      </c>
    </row>
    <row r="6624" spans="1:14">
      <c r="A6624" t="s">
        <v>16075</v>
      </c>
      <c r="B6624" t="s">
        <v>16076</v>
      </c>
      <c r="C6624" t="s">
        <v>19889</v>
      </c>
      <c r="D6624" t="s">
        <v>16078</v>
      </c>
      <c r="E6624" t="s">
        <v>19890</v>
      </c>
      <c r="F6624" t="s">
        <v>19891</v>
      </c>
      <c r="G6624" t="s">
        <v>16086</v>
      </c>
      <c r="H6624" t="s">
        <v>19892</v>
      </c>
      <c r="I6624" t="s">
        <v>16082</v>
      </c>
    </row>
    <row r="6625" spans="1:9">
      <c r="A6625" t="s">
        <v>16075</v>
      </c>
      <c r="B6625" t="s">
        <v>16076</v>
      </c>
      <c r="C6625" t="s">
        <v>19893</v>
      </c>
      <c r="D6625" t="s">
        <v>16078</v>
      </c>
      <c r="E6625" t="s">
        <v>12240</v>
      </c>
      <c r="F6625" t="s">
        <v>19894</v>
      </c>
      <c r="G6625" t="s">
        <v>16593</v>
      </c>
      <c r="H6625" t="s">
        <v>19895</v>
      </c>
      <c r="I6625" t="s">
        <v>16082</v>
      </c>
    </row>
    <row r="6626" spans="1:9">
      <c r="A6626" t="s">
        <v>16075</v>
      </c>
      <c r="B6626" t="s">
        <v>16076</v>
      </c>
      <c r="C6626" t="s">
        <v>19896</v>
      </c>
      <c r="D6626" t="s">
        <v>16078</v>
      </c>
      <c r="E6626" t="s">
        <v>19897</v>
      </c>
      <c r="F6626" t="s">
        <v>19898</v>
      </c>
      <c r="G6626" t="s">
        <v>16173</v>
      </c>
      <c r="H6626" t="s">
        <v>19899</v>
      </c>
      <c r="I6626" t="s">
        <v>16082</v>
      </c>
    </row>
    <row r="6627" spans="1:9">
      <c r="A6627" t="s">
        <v>16075</v>
      </c>
      <c r="B6627" t="s">
        <v>16076</v>
      </c>
      <c r="C6627" t="s">
        <v>19900</v>
      </c>
      <c r="D6627" t="s">
        <v>16078</v>
      </c>
      <c r="E6627" t="s">
        <v>2676</v>
      </c>
      <c r="F6627" t="s">
        <v>19901</v>
      </c>
      <c r="G6627" t="s">
        <v>16209</v>
      </c>
      <c r="H6627" t="s">
        <v>19902</v>
      </c>
      <c r="I6627" t="s">
        <v>16082</v>
      </c>
    </row>
    <row r="6628" spans="1:9">
      <c r="A6628" t="s">
        <v>16075</v>
      </c>
      <c r="B6628" t="s">
        <v>16076</v>
      </c>
      <c r="C6628" t="s">
        <v>19903</v>
      </c>
      <c r="D6628" t="s">
        <v>16078</v>
      </c>
      <c r="E6628" t="s">
        <v>19904</v>
      </c>
      <c r="F6628" t="s">
        <v>19905</v>
      </c>
      <c r="G6628" t="s">
        <v>16105</v>
      </c>
      <c r="H6628" t="s">
        <v>19906</v>
      </c>
      <c r="I6628" t="s">
        <v>16082</v>
      </c>
    </row>
    <row r="6629" spans="1:9">
      <c r="A6629" t="s">
        <v>16075</v>
      </c>
      <c r="B6629" t="s">
        <v>16076</v>
      </c>
      <c r="C6629" t="s">
        <v>19907</v>
      </c>
      <c r="D6629" t="s">
        <v>16078</v>
      </c>
      <c r="E6629" t="s">
        <v>19908</v>
      </c>
      <c r="F6629" t="s">
        <v>19909</v>
      </c>
      <c r="G6629" t="s">
        <v>16183</v>
      </c>
      <c r="H6629" t="s">
        <v>19867</v>
      </c>
      <c r="I6629" t="s">
        <v>16082</v>
      </c>
    </row>
    <row r="6630" spans="1:9">
      <c r="A6630" t="s">
        <v>16075</v>
      </c>
      <c r="B6630" t="s">
        <v>16076</v>
      </c>
      <c r="C6630" t="s">
        <v>19910</v>
      </c>
      <c r="D6630" t="s">
        <v>16078</v>
      </c>
      <c r="E6630" t="s">
        <v>19911</v>
      </c>
      <c r="F6630" t="s">
        <v>19911</v>
      </c>
      <c r="G6630" t="s">
        <v>16116</v>
      </c>
      <c r="H6630" t="s">
        <v>19912</v>
      </c>
      <c r="I6630" t="s">
        <v>16082</v>
      </c>
    </row>
    <row r="6631" spans="1:9">
      <c r="A6631" t="s">
        <v>16075</v>
      </c>
      <c r="B6631" t="s">
        <v>16076</v>
      </c>
      <c r="C6631" t="s">
        <v>19913</v>
      </c>
      <c r="D6631" t="s">
        <v>16078</v>
      </c>
      <c r="E6631" t="s">
        <v>19914</v>
      </c>
      <c r="F6631" t="s">
        <v>19915</v>
      </c>
      <c r="G6631" t="s">
        <v>16846</v>
      </c>
      <c r="H6631" t="s">
        <v>19916</v>
      </c>
    </row>
    <row r="6632" spans="1:9">
      <c r="A6632" t="s">
        <v>16075</v>
      </c>
      <c r="B6632" t="s">
        <v>16076</v>
      </c>
      <c r="C6632" t="s">
        <v>19917</v>
      </c>
      <c r="D6632" t="s">
        <v>16078</v>
      </c>
      <c r="E6632" t="s">
        <v>19918</v>
      </c>
      <c r="F6632" t="s">
        <v>19919</v>
      </c>
      <c r="G6632" t="s">
        <v>16105</v>
      </c>
      <c r="H6632" t="s">
        <v>19845</v>
      </c>
      <c r="I6632" t="s">
        <v>16082</v>
      </c>
    </row>
    <row r="6633" spans="1:9">
      <c r="A6633" t="s">
        <v>16075</v>
      </c>
      <c r="B6633" t="s">
        <v>16076</v>
      </c>
      <c r="C6633" t="s">
        <v>19920</v>
      </c>
      <c r="D6633" t="s">
        <v>16078</v>
      </c>
      <c r="E6633" t="s">
        <v>2679</v>
      </c>
      <c r="F6633" t="s">
        <v>19921</v>
      </c>
      <c r="G6633" t="s">
        <v>18966</v>
      </c>
      <c r="H6633" t="s">
        <v>19922</v>
      </c>
      <c r="I6633" t="s">
        <v>16082</v>
      </c>
    </row>
    <row r="6634" spans="1:9">
      <c r="A6634" t="s">
        <v>16075</v>
      </c>
      <c r="B6634" t="s">
        <v>16076</v>
      </c>
      <c r="C6634" t="s">
        <v>19923</v>
      </c>
      <c r="D6634" t="s">
        <v>16078</v>
      </c>
      <c r="E6634" t="s">
        <v>19924</v>
      </c>
      <c r="F6634" t="s">
        <v>19925</v>
      </c>
      <c r="G6634" t="s">
        <v>16178</v>
      </c>
      <c r="H6634" t="s">
        <v>19926</v>
      </c>
      <c r="I6634" t="s">
        <v>16082</v>
      </c>
    </row>
    <row r="6635" spans="1:9">
      <c r="A6635" t="s">
        <v>16075</v>
      </c>
      <c r="B6635" t="s">
        <v>16076</v>
      </c>
      <c r="C6635" t="s">
        <v>19927</v>
      </c>
      <c r="D6635" t="s">
        <v>16078</v>
      </c>
      <c r="E6635" t="s">
        <v>19928</v>
      </c>
      <c r="F6635" t="s">
        <v>19929</v>
      </c>
      <c r="G6635" t="s">
        <v>16131</v>
      </c>
      <c r="H6635" t="s">
        <v>19930</v>
      </c>
      <c r="I6635" t="s">
        <v>16082</v>
      </c>
    </row>
    <row r="6636" spans="1:9">
      <c r="A6636" t="s">
        <v>16075</v>
      </c>
      <c r="B6636" t="s">
        <v>16076</v>
      </c>
      <c r="C6636" t="s">
        <v>19931</v>
      </c>
      <c r="D6636" t="s">
        <v>16078</v>
      </c>
      <c r="E6636" t="s">
        <v>15499</v>
      </c>
      <c r="F6636" t="s">
        <v>19932</v>
      </c>
      <c r="G6636" t="s">
        <v>16438</v>
      </c>
      <c r="H6636" t="s">
        <v>19933</v>
      </c>
      <c r="I6636" t="s">
        <v>16082</v>
      </c>
    </row>
    <row r="6637" spans="1:9">
      <c r="A6637" t="s">
        <v>16075</v>
      </c>
      <c r="B6637" t="s">
        <v>16076</v>
      </c>
      <c r="C6637" t="s">
        <v>19934</v>
      </c>
      <c r="D6637" t="s">
        <v>16078</v>
      </c>
      <c r="E6637" t="s">
        <v>19935</v>
      </c>
      <c r="F6637" t="s">
        <v>19935</v>
      </c>
      <c r="G6637" t="s">
        <v>16209</v>
      </c>
      <c r="H6637" t="s">
        <v>19936</v>
      </c>
      <c r="I6637" t="s">
        <v>16082</v>
      </c>
    </row>
    <row r="6638" spans="1:9">
      <c r="A6638" t="s">
        <v>16075</v>
      </c>
      <c r="B6638" t="s">
        <v>16076</v>
      </c>
      <c r="C6638" t="s">
        <v>19937</v>
      </c>
      <c r="D6638" t="s">
        <v>16078</v>
      </c>
      <c r="E6638" t="s">
        <v>19938</v>
      </c>
      <c r="F6638" t="s">
        <v>19939</v>
      </c>
      <c r="G6638" t="s">
        <v>16131</v>
      </c>
      <c r="H6638" t="s">
        <v>19940</v>
      </c>
      <c r="I6638" t="s">
        <v>16082</v>
      </c>
    </row>
    <row r="6639" spans="1:9">
      <c r="A6639" t="s">
        <v>16075</v>
      </c>
      <c r="B6639" t="s">
        <v>16076</v>
      </c>
      <c r="C6639" t="s">
        <v>19941</v>
      </c>
      <c r="D6639" t="s">
        <v>16078</v>
      </c>
      <c r="E6639" t="s">
        <v>19942</v>
      </c>
      <c r="F6639" t="s">
        <v>19943</v>
      </c>
      <c r="G6639" t="s">
        <v>16159</v>
      </c>
      <c r="H6639" t="s">
        <v>19944</v>
      </c>
      <c r="I6639" t="s">
        <v>16082</v>
      </c>
    </row>
    <row r="6640" spans="1:9">
      <c r="A6640" t="s">
        <v>16075</v>
      </c>
      <c r="B6640" t="s">
        <v>16076</v>
      </c>
      <c r="C6640" t="s">
        <v>19945</v>
      </c>
      <c r="D6640" t="s">
        <v>16078</v>
      </c>
      <c r="E6640" t="s">
        <v>3255</v>
      </c>
      <c r="F6640" t="s">
        <v>19946</v>
      </c>
      <c r="G6640" t="s">
        <v>17229</v>
      </c>
      <c r="H6640" t="s">
        <v>19947</v>
      </c>
      <c r="I6640" t="s">
        <v>16082</v>
      </c>
    </row>
    <row r="6641" spans="1:9">
      <c r="A6641" t="s">
        <v>16075</v>
      </c>
      <c r="B6641" t="s">
        <v>16076</v>
      </c>
      <c r="C6641" t="s">
        <v>19948</v>
      </c>
      <c r="D6641" t="s">
        <v>16078</v>
      </c>
      <c r="E6641" t="s">
        <v>19949</v>
      </c>
      <c r="F6641" t="s">
        <v>19950</v>
      </c>
      <c r="G6641" t="s">
        <v>16209</v>
      </c>
      <c r="H6641" t="s">
        <v>19951</v>
      </c>
      <c r="I6641" t="s">
        <v>16082</v>
      </c>
    </row>
    <row r="6642" spans="1:9">
      <c r="A6642" t="s">
        <v>16075</v>
      </c>
      <c r="B6642" t="s">
        <v>16076</v>
      </c>
      <c r="C6642" t="s">
        <v>19952</v>
      </c>
      <c r="D6642" t="s">
        <v>16078</v>
      </c>
      <c r="E6642" t="s">
        <v>19953</v>
      </c>
      <c r="F6642" t="s">
        <v>19954</v>
      </c>
      <c r="G6642" t="s">
        <v>16209</v>
      </c>
      <c r="H6642" t="s">
        <v>19955</v>
      </c>
      <c r="I6642" t="s">
        <v>16082</v>
      </c>
    </row>
    <row r="6643" spans="1:9">
      <c r="A6643" t="s">
        <v>16075</v>
      </c>
      <c r="B6643" t="s">
        <v>16076</v>
      </c>
      <c r="C6643" t="s">
        <v>19956</v>
      </c>
      <c r="D6643" t="s">
        <v>16078</v>
      </c>
      <c r="E6643" t="s">
        <v>19957</v>
      </c>
      <c r="F6643" t="s">
        <v>19958</v>
      </c>
      <c r="G6643" t="s">
        <v>16168</v>
      </c>
      <c r="H6643" t="s">
        <v>19959</v>
      </c>
      <c r="I6643" t="s">
        <v>16082</v>
      </c>
    </row>
    <row r="6644" spans="1:9">
      <c r="A6644" t="s">
        <v>16075</v>
      </c>
      <c r="B6644" t="s">
        <v>16076</v>
      </c>
      <c r="C6644" t="s">
        <v>19960</v>
      </c>
      <c r="D6644" t="s">
        <v>16078</v>
      </c>
      <c r="E6644" t="s">
        <v>19961</v>
      </c>
      <c r="F6644" t="s">
        <v>19962</v>
      </c>
      <c r="G6644" t="s">
        <v>16397</v>
      </c>
      <c r="H6644" t="s">
        <v>19963</v>
      </c>
      <c r="I6644" t="s">
        <v>16082</v>
      </c>
    </row>
    <row r="6645" spans="1:9">
      <c r="A6645" t="s">
        <v>16075</v>
      </c>
      <c r="B6645" t="s">
        <v>16076</v>
      </c>
      <c r="C6645" t="s">
        <v>19964</v>
      </c>
      <c r="D6645" t="s">
        <v>16078</v>
      </c>
      <c r="E6645" t="s">
        <v>19965</v>
      </c>
      <c r="F6645" t="s">
        <v>19966</v>
      </c>
      <c r="G6645" t="s">
        <v>16194</v>
      </c>
      <c r="H6645" t="s">
        <v>19967</v>
      </c>
      <c r="I6645" t="s">
        <v>16082</v>
      </c>
    </row>
    <row r="6646" spans="1:9">
      <c r="A6646" t="s">
        <v>16075</v>
      </c>
      <c r="B6646" t="s">
        <v>16076</v>
      </c>
      <c r="C6646" t="s">
        <v>19968</v>
      </c>
      <c r="D6646" t="s">
        <v>16078</v>
      </c>
      <c r="E6646" t="s">
        <v>19969</v>
      </c>
      <c r="F6646" t="s">
        <v>19970</v>
      </c>
      <c r="G6646" t="s">
        <v>16380</v>
      </c>
      <c r="H6646" t="s">
        <v>18041</v>
      </c>
      <c r="I6646" t="s">
        <v>16082</v>
      </c>
    </row>
    <row r="6647" spans="1:9">
      <c r="A6647" t="s">
        <v>16075</v>
      </c>
      <c r="B6647" t="s">
        <v>16076</v>
      </c>
      <c r="C6647" t="s">
        <v>19971</v>
      </c>
      <c r="D6647" t="s">
        <v>16078</v>
      </c>
      <c r="E6647" t="s">
        <v>19972</v>
      </c>
      <c r="F6647" t="s">
        <v>19973</v>
      </c>
      <c r="G6647" t="s">
        <v>16159</v>
      </c>
      <c r="H6647" t="s">
        <v>19974</v>
      </c>
      <c r="I6647" t="s">
        <v>16082</v>
      </c>
    </row>
    <row r="6648" spans="1:9">
      <c r="A6648" t="s">
        <v>16075</v>
      </c>
      <c r="B6648" t="s">
        <v>16076</v>
      </c>
      <c r="C6648" t="s">
        <v>19975</v>
      </c>
      <c r="D6648" t="s">
        <v>16078</v>
      </c>
      <c r="E6648" t="s">
        <v>19976</v>
      </c>
      <c r="F6648" t="s">
        <v>19977</v>
      </c>
      <c r="G6648" t="s">
        <v>16183</v>
      </c>
      <c r="H6648" t="s">
        <v>19978</v>
      </c>
      <c r="I6648" t="s">
        <v>16093</v>
      </c>
    </row>
    <row r="6649" spans="1:9">
      <c r="A6649" t="s">
        <v>16075</v>
      </c>
      <c r="B6649" t="s">
        <v>16076</v>
      </c>
      <c r="C6649" t="s">
        <v>19979</v>
      </c>
      <c r="D6649" t="s">
        <v>16078</v>
      </c>
      <c r="E6649" t="s">
        <v>19980</v>
      </c>
      <c r="F6649" t="s">
        <v>19981</v>
      </c>
      <c r="G6649" t="s">
        <v>16593</v>
      </c>
      <c r="H6649" t="s">
        <v>19982</v>
      </c>
      <c r="I6649" t="s">
        <v>16093</v>
      </c>
    </row>
    <row r="6650" spans="1:9">
      <c r="A6650" t="s">
        <v>16075</v>
      </c>
      <c r="B6650" t="s">
        <v>16076</v>
      </c>
      <c r="C6650" t="s">
        <v>19983</v>
      </c>
      <c r="D6650" t="s">
        <v>16078</v>
      </c>
      <c r="E6650" t="s">
        <v>19984</v>
      </c>
      <c r="F6650" t="s">
        <v>19985</v>
      </c>
      <c r="G6650" t="s">
        <v>16091</v>
      </c>
      <c r="I6650" t="s">
        <v>16082</v>
      </c>
    </row>
    <row r="6651" spans="1:9">
      <c r="A6651" t="s">
        <v>16075</v>
      </c>
      <c r="B6651" t="s">
        <v>16076</v>
      </c>
      <c r="C6651" t="s">
        <v>19986</v>
      </c>
      <c r="D6651" t="s">
        <v>16078</v>
      </c>
      <c r="E6651" t="s">
        <v>19987</v>
      </c>
      <c r="F6651" t="s">
        <v>19988</v>
      </c>
      <c r="G6651" t="s">
        <v>16105</v>
      </c>
      <c r="H6651" t="s">
        <v>19989</v>
      </c>
      <c r="I6651" t="s">
        <v>16082</v>
      </c>
    </row>
    <row r="6652" spans="1:9">
      <c r="A6652" t="s">
        <v>16075</v>
      </c>
      <c r="B6652" t="s">
        <v>16076</v>
      </c>
      <c r="C6652" t="s">
        <v>19990</v>
      </c>
      <c r="D6652" t="s">
        <v>16078</v>
      </c>
      <c r="E6652" t="s">
        <v>19991</v>
      </c>
      <c r="F6652" t="s">
        <v>19992</v>
      </c>
      <c r="G6652" t="s">
        <v>16194</v>
      </c>
      <c r="H6652" t="s">
        <v>19993</v>
      </c>
      <c r="I6652" t="s">
        <v>16082</v>
      </c>
    </row>
    <row r="6653" spans="1:9">
      <c r="A6653" t="s">
        <v>16075</v>
      </c>
      <c r="B6653" t="s">
        <v>16076</v>
      </c>
      <c r="C6653" t="s">
        <v>19994</v>
      </c>
      <c r="D6653" t="s">
        <v>16078</v>
      </c>
      <c r="E6653" t="s">
        <v>2685</v>
      </c>
      <c r="F6653" t="s">
        <v>19995</v>
      </c>
      <c r="G6653" t="s">
        <v>16438</v>
      </c>
      <c r="H6653" t="s">
        <v>19996</v>
      </c>
      <c r="I6653" t="s">
        <v>16082</v>
      </c>
    </row>
    <row r="6654" spans="1:9">
      <c r="A6654" t="s">
        <v>16075</v>
      </c>
      <c r="B6654" t="s">
        <v>16076</v>
      </c>
      <c r="C6654" t="s">
        <v>19997</v>
      </c>
      <c r="D6654" t="s">
        <v>16078</v>
      </c>
      <c r="E6654" t="s">
        <v>14447</v>
      </c>
      <c r="F6654" t="s">
        <v>19998</v>
      </c>
      <c r="G6654" t="s">
        <v>16209</v>
      </c>
      <c r="H6654" t="s">
        <v>19999</v>
      </c>
      <c r="I6654" t="s">
        <v>16082</v>
      </c>
    </row>
    <row r="6655" spans="1:9">
      <c r="A6655" t="s">
        <v>16075</v>
      </c>
      <c r="B6655" t="s">
        <v>16076</v>
      </c>
      <c r="C6655" t="s">
        <v>20000</v>
      </c>
      <c r="D6655" t="s">
        <v>16078</v>
      </c>
      <c r="E6655" t="s">
        <v>20001</v>
      </c>
      <c r="F6655" t="s">
        <v>20002</v>
      </c>
      <c r="G6655" t="s">
        <v>16159</v>
      </c>
      <c r="H6655" t="s">
        <v>20003</v>
      </c>
      <c r="I6655" t="s">
        <v>16082</v>
      </c>
    </row>
    <row r="6656" spans="1:9">
      <c r="A6656" t="s">
        <v>16075</v>
      </c>
      <c r="B6656" t="s">
        <v>16076</v>
      </c>
      <c r="C6656" t="s">
        <v>20004</v>
      </c>
      <c r="D6656" t="s">
        <v>16078</v>
      </c>
      <c r="E6656" t="s">
        <v>20005</v>
      </c>
      <c r="F6656" t="s">
        <v>20006</v>
      </c>
      <c r="G6656" t="s">
        <v>16159</v>
      </c>
      <c r="H6656" t="s">
        <v>20007</v>
      </c>
      <c r="I6656" t="s">
        <v>16082</v>
      </c>
    </row>
    <row r="6657" spans="1:9">
      <c r="A6657" t="s">
        <v>16075</v>
      </c>
      <c r="B6657" t="s">
        <v>16076</v>
      </c>
      <c r="C6657" t="s">
        <v>20008</v>
      </c>
      <c r="D6657" t="s">
        <v>16078</v>
      </c>
      <c r="E6657" t="s">
        <v>20009</v>
      </c>
      <c r="F6657" t="s">
        <v>20010</v>
      </c>
      <c r="G6657" t="s">
        <v>16097</v>
      </c>
      <c r="H6657" t="s">
        <v>20011</v>
      </c>
      <c r="I6657" t="s">
        <v>16082</v>
      </c>
    </row>
    <row r="6658" spans="1:9">
      <c r="A6658" t="s">
        <v>16075</v>
      </c>
      <c r="B6658" t="s">
        <v>16076</v>
      </c>
      <c r="C6658" t="s">
        <v>20012</v>
      </c>
      <c r="D6658" t="s">
        <v>16078</v>
      </c>
      <c r="E6658" t="s">
        <v>2691</v>
      </c>
      <c r="F6658" t="s">
        <v>20013</v>
      </c>
      <c r="G6658" t="s">
        <v>16097</v>
      </c>
      <c r="H6658" t="s">
        <v>19999</v>
      </c>
      <c r="I6658" t="s">
        <v>16082</v>
      </c>
    </row>
    <row r="6659" spans="1:9">
      <c r="A6659" t="s">
        <v>16075</v>
      </c>
      <c r="B6659" t="s">
        <v>16076</v>
      </c>
      <c r="C6659" t="s">
        <v>20014</v>
      </c>
      <c r="D6659" t="s">
        <v>16078</v>
      </c>
      <c r="E6659" t="s">
        <v>11607</v>
      </c>
      <c r="F6659" t="s">
        <v>20015</v>
      </c>
      <c r="G6659" t="s">
        <v>16438</v>
      </c>
      <c r="H6659" t="s">
        <v>20016</v>
      </c>
      <c r="I6659" t="s">
        <v>16082</v>
      </c>
    </row>
    <row r="6660" spans="1:9">
      <c r="A6660" t="s">
        <v>16075</v>
      </c>
      <c r="B6660" t="s">
        <v>16076</v>
      </c>
      <c r="C6660" t="s">
        <v>20017</v>
      </c>
      <c r="D6660" t="s">
        <v>16078</v>
      </c>
      <c r="E6660" t="s">
        <v>20018</v>
      </c>
      <c r="F6660" t="s">
        <v>20019</v>
      </c>
      <c r="G6660" t="s">
        <v>16091</v>
      </c>
      <c r="H6660" t="s">
        <v>20020</v>
      </c>
      <c r="I6660" t="s">
        <v>16082</v>
      </c>
    </row>
    <row r="6661" spans="1:9">
      <c r="A6661" t="s">
        <v>16075</v>
      </c>
      <c r="B6661" t="s">
        <v>16076</v>
      </c>
      <c r="C6661" t="s">
        <v>20021</v>
      </c>
      <c r="D6661" t="s">
        <v>16078</v>
      </c>
      <c r="E6661" t="s">
        <v>20022</v>
      </c>
      <c r="F6661" t="s">
        <v>20023</v>
      </c>
      <c r="G6661" t="s">
        <v>16097</v>
      </c>
      <c r="H6661" t="s">
        <v>20024</v>
      </c>
      <c r="I6661" t="s">
        <v>16093</v>
      </c>
    </row>
    <row r="6662" spans="1:9">
      <c r="A6662" t="s">
        <v>16075</v>
      </c>
      <c r="B6662" t="s">
        <v>16076</v>
      </c>
      <c r="C6662" t="s">
        <v>20025</v>
      </c>
      <c r="D6662" t="s">
        <v>16078</v>
      </c>
      <c r="E6662" t="s">
        <v>20026</v>
      </c>
      <c r="F6662" t="s">
        <v>20027</v>
      </c>
      <c r="G6662" t="s">
        <v>17282</v>
      </c>
      <c r="H6662" t="s">
        <v>20028</v>
      </c>
      <c r="I6662" t="s">
        <v>16082</v>
      </c>
    </row>
    <row r="6663" spans="1:9">
      <c r="A6663" t="s">
        <v>16075</v>
      </c>
      <c r="B6663" t="s">
        <v>16076</v>
      </c>
      <c r="C6663" t="s">
        <v>20029</v>
      </c>
      <c r="D6663" t="s">
        <v>16078</v>
      </c>
      <c r="E6663" t="s">
        <v>20030</v>
      </c>
      <c r="F6663" t="s">
        <v>20031</v>
      </c>
      <c r="G6663" t="s">
        <v>16105</v>
      </c>
      <c r="H6663" t="s">
        <v>20032</v>
      </c>
      <c r="I6663" t="s">
        <v>16082</v>
      </c>
    </row>
    <row r="6664" spans="1:9">
      <c r="A6664" t="s">
        <v>16075</v>
      </c>
      <c r="B6664" t="s">
        <v>16076</v>
      </c>
      <c r="C6664" t="s">
        <v>20033</v>
      </c>
      <c r="D6664" t="s">
        <v>16078</v>
      </c>
      <c r="E6664" t="s">
        <v>20034</v>
      </c>
      <c r="F6664" t="s">
        <v>20035</v>
      </c>
      <c r="G6664" t="s">
        <v>16320</v>
      </c>
      <c r="H6664" t="s">
        <v>20036</v>
      </c>
      <c r="I6664" t="s">
        <v>16082</v>
      </c>
    </row>
    <row r="6665" spans="1:9">
      <c r="A6665" t="s">
        <v>16075</v>
      </c>
      <c r="B6665" t="s">
        <v>16076</v>
      </c>
      <c r="C6665" t="s">
        <v>20037</v>
      </c>
      <c r="D6665" t="s">
        <v>16078</v>
      </c>
      <c r="E6665" t="s">
        <v>20038</v>
      </c>
      <c r="F6665" t="s">
        <v>20039</v>
      </c>
      <c r="G6665" t="s">
        <v>16097</v>
      </c>
      <c r="H6665" t="s">
        <v>20040</v>
      </c>
      <c r="I6665" t="s">
        <v>16082</v>
      </c>
    </row>
    <row r="6666" spans="1:9">
      <c r="A6666" t="s">
        <v>16075</v>
      </c>
      <c r="B6666" t="s">
        <v>16076</v>
      </c>
      <c r="C6666" t="s">
        <v>20041</v>
      </c>
      <c r="D6666" t="s">
        <v>16078</v>
      </c>
      <c r="E6666" t="s">
        <v>20042</v>
      </c>
      <c r="F6666" t="s">
        <v>20043</v>
      </c>
      <c r="G6666" t="s">
        <v>16173</v>
      </c>
      <c r="H6666" t="s">
        <v>19804</v>
      </c>
      <c r="I6666" t="s">
        <v>16082</v>
      </c>
    </row>
    <row r="6667" spans="1:9">
      <c r="A6667" t="s">
        <v>16075</v>
      </c>
      <c r="B6667" t="s">
        <v>16076</v>
      </c>
      <c r="C6667" t="s">
        <v>20044</v>
      </c>
      <c r="D6667" t="s">
        <v>16078</v>
      </c>
      <c r="E6667" t="s">
        <v>20045</v>
      </c>
      <c r="F6667" t="s">
        <v>20046</v>
      </c>
      <c r="G6667" t="s">
        <v>16194</v>
      </c>
      <c r="H6667" t="s">
        <v>19863</v>
      </c>
      <c r="I6667" t="s">
        <v>16082</v>
      </c>
    </row>
    <row r="6668" spans="1:9">
      <c r="A6668" t="s">
        <v>16075</v>
      </c>
      <c r="B6668" t="s">
        <v>16076</v>
      </c>
      <c r="C6668" t="s">
        <v>20047</v>
      </c>
      <c r="D6668" t="s">
        <v>16078</v>
      </c>
      <c r="E6668" t="s">
        <v>20048</v>
      </c>
      <c r="F6668" t="s">
        <v>20049</v>
      </c>
      <c r="G6668" t="s">
        <v>16080</v>
      </c>
      <c r="H6668" t="s">
        <v>17017</v>
      </c>
      <c r="I6668" t="s">
        <v>16082</v>
      </c>
    </row>
    <row r="6669" spans="1:9">
      <c r="A6669" t="s">
        <v>16075</v>
      </c>
      <c r="B6669" t="s">
        <v>16076</v>
      </c>
      <c r="C6669" t="s">
        <v>20050</v>
      </c>
      <c r="D6669" t="s">
        <v>16078</v>
      </c>
      <c r="E6669" t="s">
        <v>20051</v>
      </c>
      <c r="F6669" t="s">
        <v>20052</v>
      </c>
      <c r="G6669" t="s">
        <v>16101</v>
      </c>
      <c r="H6669" t="s">
        <v>20053</v>
      </c>
      <c r="I6669" t="s">
        <v>16082</v>
      </c>
    </row>
    <row r="6670" spans="1:9">
      <c r="A6670" t="s">
        <v>16075</v>
      </c>
      <c r="B6670" t="s">
        <v>16076</v>
      </c>
      <c r="C6670" t="s">
        <v>20054</v>
      </c>
      <c r="D6670" t="s">
        <v>16078</v>
      </c>
      <c r="E6670" t="s">
        <v>20055</v>
      </c>
      <c r="F6670" t="s">
        <v>20056</v>
      </c>
      <c r="G6670" t="s">
        <v>16097</v>
      </c>
      <c r="H6670" t="s">
        <v>20057</v>
      </c>
      <c r="I6670" t="s">
        <v>16082</v>
      </c>
    </row>
    <row r="6671" spans="1:9">
      <c r="A6671" t="s">
        <v>16075</v>
      </c>
      <c r="B6671" t="s">
        <v>16076</v>
      </c>
      <c r="C6671" t="s">
        <v>20058</v>
      </c>
      <c r="D6671" t="s">
        <v>16078</v>
      </c>
      <c r="E6671" t="s">
        <v>2697</v>
      </c>
      <c r="F6671" t="s">
        <v>20059</v>
      </c>
      <c r="G6671" t="s">
        <v>16173</v>
      </c>
      <c r="H6671" t="s">
        <v>20028</v>
      </c>
      <c r="I6671" t="s">
        <v>16082</v>
      </c>
    </row>
    <row r="6672" spans="1:9">
      <c r="A6672" t="s">
        <v>16075</v>
      </c>
      <c r="B6672" t="s">
        <v>16076</v>
      </c>
      <c r="C6672" t="s">
        <v>20060</v>
      </c>
      <c r="D6672" t="s">
        <v>16078</v>
      </c>
      <c r="E6672" t="s">
        <v>20061</v>
      </c>
      <c r="F6672" t="s">
        <v>20062</v>
      </c>
      <c r="G6672" t="s">
        <v>16131</v>
      </c>
      <c r="H6672" t="s">
        <v>19916</v>
      </c>
      <c r="I6672" t="s">
        <v>16082</v>
      </c>
    </row>
    <row r="6673" spans="1:9">
      <c r="A6673" t="s">
        <v>16075</v>
      </c>
      <c r="B6673" t="s">
        <v>16076</v>
      </c>
      <c r="C6673" t="s">
        <v>20063</v>
      </c>
      <c r="D6673" t="s">
        <v>16078</v>
      </c>
      <c r="E6673" t="s">
        <v>15671</v>
      </c>
      <c r="F6673" t="s">
        <v>20064</v>
      </c>
      <c r="G6673" t="s">
        <v>16372</v>
      </c>
      <c r="H6673" t="s">
        <v>20065</v>
      </c>
      <c r="I6673" t="s">
        <v>16082</v>
      </c>
    </row>
    <row r="6674" spans="1:9">
      <c r="A6674" t="s">
        <v>16075</v>
      </c>
      <c r="B6674" t="s">
        <v>16076</v>
      </c>
      <c r="C6674" t="s">
        <v>20066</v>
      </c>
      <c r="D6674" t="s">
        <v>16078</v>
      </c>
      <c r="E6674" t="s">
        <v>1237</v>
      </c>
      <c r="F6674" t="s">
        <v>20067</v>
      </c>
      <c r="G6674" t="s">
        <v>16209</v>
      </c>
      <c r="H6674" t="s">
        <v>20068</v>
      </c>
      <c r="I6674" t="s">
        <v>16082</v>
      </c>
    </row>
    <row r="6675" spans="1:9">
      <c r="A6675" t="s">
        <v>16075</v>
      </c>
      <c r="B6675" t="s">
        <v>16076</v>
      </c>
      <c r="C6675" t="s">
        <v>20069</v>
      </c>
      <c r="D6675" t="s">
        <v>16078</v>
      </c>
      <c r="E6675" t="s">
        <v>20070</v>
      </c>
      <c r="F6675" t="s">
        <v>20071</v>
      </c>
      <c r="G6675" t="s">
        <v>16131</v>
      </c>
      <c r="H6675" t="s">
        <v>20072</v>
      </c>
      <c r="I6675" t="s">
        <v>16082</v>
      </c>
    </row>
    <row r="6676" spans="1:9">
      <c r="A6676" t="s">
        <v>16075</v>
      </c>
      <c r="B6676" t="s">
        <v>16076</v>
      </c>
      <c r="C6676" t="s">
        <v>20073</v>
      </c>
      <c r="D6676" t="s">
        <v>16078</v>
      </c>
      <c r="E6676" t="s">
        <v>10623</v>
      </c>
      <c r="F6676" t="s">
        <v>20074</v>
      </c>
      <c r="G6676" t="s">
        <v>16295</v>
      </c>
      <c r="H6676" t="s">
        <v>20075</v>
      </c>
      <c r="I6676" t="s">
        <v>16082</v>
      </c>
    </row>
    <row r="6677" spans="1:9">
      <c r="A6677" t="s">
        <v>16075</v>
      </c>
      <c r="B6677" t="s">
        <v>16076</v>
      </c>
      <c r="C6677" t="s">
        <v>20076</v>
      </c>
      <c r="D6677" t="s">
        <v>16078</v>
      </c>
      <c r="E6677" t="s">
        <v>2703</v>
      </c>
      <c r="F6677" t="s">
        <v>20077</v>
      </c>
      <c r="G6677" t="s">
        <v>16194</v>
      </c>
      <c r="H6677" t="s">
        <v>20028</v>
      </c>
      <c r="I6677" t="s">
        <v>16082</v>
      </c>
    </row>
    <row r="6678" spans="1:9">
      <c r="A6678" t="s">
        <v>16075</v>
      </c>
      <c r="B6678" t="s">
        <v>16076</v>
      </c>
      <c r="C6678" t="s">
        <v>20078</v>
      </c>
      <c r="D6678" t="s">
        <v>16078</v>
      </c>
      <c r="E6678" t="s">
        <v>20079</v>
      </c>
      <c r="F6678" t="s">
        <v>20080</v>
      </c>
      <c r="G6678" t="s">
        <v>16080</v>
      </c>
      <c r="H6678" t="s">
        <v>20028</v>
      </c>
      <c r="I6678" t="s">
        <v>16082</v>
      </c>
    </row>
    <row r="6679" spans="1:9">
      <c r="A6679" t="s">
        <v>16075</v>
      </c>
      <c r="B6679" t="s">
        <v>16076</v>
      </c>
      <c r="C6679" t="s">
        <v>20081</v>
      </c>
      <c r="D6679" t="s">
        <v>16078</v>
      </c>
      <c r="E6679" t="s">
        <v>20082</v>
      </c>
      <c r="F6679" t="s">
        <v>20083</v>
      </c>
      <c r="G6679" t="s">
        <v>16828</v>
      </c>
      <c r="H6679" t="s">
        <v>20084</v>
      </c>
      <c r="I6679" t="s">
        <v>16093</v>
      </c>
    </row>
    <row r="6680" spans="1:9">
      <c r="A6680" t="s">
        <v>16075</v>
      </c>
      <c r="B6680" t="s">
        <v>16076</v>
      </c>
      <c r="C6680" t="s">
        <v>20085</v>
      </c>
      <c r="D6680" t="s">
        <v>16078</v>
      </c>
      <c r="E6680" t="s">
        <v>20086</v>
      </c>
      <c r="F6680" t="s">
        <v>20087</v>
      </c>
      <c r="G6680" t="s">
        <v>16091</v>
      </c>
      <c r="H6680" t="s">
        <v>20088</v>
      </c>
      <c r="I6680" t="s">
        <v>16082</v>
      </c>
    </row>
    <row r="6681" spans="1:9">
      <c r="A6681" t="s">
        <v>16075</v>
      </c>
      <c r="B6681" t="s">
        <v>16076</v>
      </c>
      <c r="C6681" t="s">
        <v>20089</v>
      </c>
      <c r="D6681" t="s">
        <v>16078</v>
      </c>
      <c r="E6681" t="s">
        <v>9691</v>
      </c>
      <c r="F6681" t="s">
        <v>20090</v>
      </c>
      <c r="G6681" t="s">
        <v>16086</v>
      </c>
      <c r="H6681" t="s">
        <v>20091</v>
      </c>
      <c r="I6681" t="s">
        <v>16082</v>
      </c>
    </row>
    <row r="6682" spans="1:9">
      <c r="A6682" t="s">
        <v>16075</v>
      </c>
      <c r="B6682" t="s">
        <v>16076</v>
      </c>
      <c r="C6682" t="s">
        <v>20092</v>
      </c>
      <c r="D6682" t="s">
        <v>16078</v>
      </c>
      <c r="E6682" t="s">
        <v>5153</v>
      </c>
      <c r="F6682" t="s">
        <v>20093</v>
      </c>
      <c r="G6682" t="s">
        <v>16846</v>
      </c>
      <c r="H6682" t="s">
        <v>20094</v>
      </c>
      <c r="I6682" t="s">
        <v>16082</v>
      </c>
    </row>
    <row r="6683" spans="1:9">
      <c r="A6683" t="s">
        <v>16075</v>
      </c>
      <c r="B6683" t="s">
        <v>16076</v>
      </c>
      <c r="C6683" t="s">
        <v>20095</v>
      </c>
      <c r="D6683" t="s">
        <v>16078</v>
      </c>
      <c r="E6683" t="s">
        <v>13931</v>
      </c>
      <c r="F6683" t="s">
        <v>20096</v>
      </c>
      <c r="G6683" t="s">
        <v>16209</v>
      </c>
      <c r="H6683" t="s">
        <v>17017</v>
      </c>
      <c r="I6683" t="s">
        <v>16082</v>
      </c>
    </row>
    <row r="6684" spans="1:9">
      <c r="A6684" t="s">
        <v>16075</v>
      </c>
      <c r="B6684" t="s">
        <v>16076</v>
      </c>
      <c r="C6684" t="s">
        <v>20097</v>
      </c>
      <c r="D6684" t="s">
        <v>16078</v>
      </c>
      <c r="E6684" t="s">
        <v>20098</v>
      </c>
      <c r="F6684" t="s">
        <v>20099</v>
      </c>
      <c r="G6684" t="s">
        <v>16451</v>
      </c>
      <c r="H6684" t="s">
        <v>20100</v>
      </c>
      <c r="I6684" t="s">
        <v>16082</v>
      </c>
    </row>
    <row r="6685" spans="1:9">
      <c r="A6685" t="s">
        <v>16075</v>
      </c>
      <c r="B6685" t="s">
        <v>16076</v>
      </c>
      <c r="C6685" t="s">
        <v>20101</v>
      </c>
      <c r="D6685" t="s">
        <v>16078</v>
      </c>
      <c r="E6685" t="s">
        <v>20102</v>
      </c>
      <c r="F6685" t="s">
        <v>20103</v>
      </c>
      <c r="G6685" t="s">
        <v>16438</v>
      </c>
      <c r="H6685" t="s">
        <v>20104</v>
      </c>
      <c r="I6685" t="s">
        <v>16082</v>
      </c>
    </row>
    <row r="6686" spans="1:9">
      <c r="A6686" t="s">
        <v>16075</v>
      </c>
      <c r="B6686" t="s">
        <v>16076</v>
      </c>
      <c r="C6686" t="s">
        <v>20105</v>
      </c>
      <c r="D6686" t="s">
        <v>16078</v>
      </c>
      <c r="E6686" t="s">
        <v>20106</v>
      </c>
      <c r="F6686" t="s">
        <v>20107</v>
      </c>
      <c r="G6686" t="s">
        <v>16105</v>
      </c>
      <c r="H6686" t="s">
        <v>20108</v>
      </c>
      <c r="I6686" t="s">
        <v>16082</v>
      </c>
    </row>
    <row r="6687" spans="1:9">
      <c r="A6687" t="s">
        <v>16075</v>
      </c>
      <c r="B6687" t="s">
        <v>16076</v>
      </c>
      <c r="C6687" t="s">
        <v>20109</v>
      </c>
      <c r="D6687" t="s">
        <v>16078</v>
      </c>
      <c r="E6687" t="s">
        <v>15418</v>
      </c>
      <c r="F6687" t="s">
        <v>20110</v>
      </c>
      <c r="G6687" t="s">
        <v>16131</v>
      </c>
      <c r="H6687" t="s">
        <v>17017</v>
      </c>
      <c r="I6687" t="s">
        <v>16082</v>
      </c>
    </row>
    <row r="6688" spans="1:9">
      <c r="A6688" t="s">
        <v>16075</v>
      </c>
      <c r="B6688" t="s">
        <v>16076</v>
      </c>
      <c r="C6688" t="s">
        <v>20111</v>
      </c>
      <c r="D6688" t="s">
        <v>16078</v>
      </c>
      <c r="E6688" t="s">
        <v>9696</v>
      </c>
      <c r="F6688" t="s">
        <v>20112</v>
      </c>
      <c r="G6688" t="s">
        <v>16131</v>
      </c>
      <c r="H6688" t="s">
        <v>20113</v>
      </c>
      <c r="I6688" t="s">
        <v>16082</v>
      </c>
    </row>
    <row r="6689" spans="1:9">
      <c r="A6689" t="s">
        <v>16075</v>
      </c>
      <c r="B6689" t="s">
        <v>16076</v>
      </c>
      <c r="C6689" t="s">
        <v>20114</v>
      </c>
      <c r="D6689" t="s">
        <v>16078</v>
      </c>
      <c r="E6689" t="s">
        <v>20115</v>
      </c>
      <c r="F6689" t="s">
        <v>20116</v>
      </c>
      <c r="G6689" t="s">
        <v>16101</v>
      </c>
      <c r="H6689" t="s">
        <v>17017</v>
      </c>
      <c r="I6689" t="s">
        <v>16082</v>
      </c>
    </row>
    <row r="6690" spans="1:9">
      <c r="A6690" t="s">
        <v>16075</v>
      </c>
      <c r="B6690" t="s">
        <v>16076</v>
      </c>
      <c r="C6690" t="s">
        <v>20117</v>
      </c>
      <c r="D6690" t="s">
        <v>16078</v>
      </c>
      <c r="E6690" t="s">
        <v>8355</v>
      </c>
      <c r="F6690" t="s">
        <v>20118</v>
      </c>
      <c r="G6690" t="s">
        <v>16194</v>
      </c>
      <c r="H6690" t="s">
        <v>20119</v>
      </c>
      <c r="I6690" t="s">
        <v>16082</v>
      </c>
    </row>
    <row r="6691" spans="1:9">
      <c r="A6691" t="s">
        <v>16075</v>
      </c>
      <c r="B6691" t="s">
        <v>16076</v>
      </c>
      <c r="C6691" t="s">
        <v>20120</v>
      </c>
      <c r="D6691" t="s">
        <v>16078</v>
      </c>
      <c r="E6691" t="s">
        <v>9699</v>
      </c>
      <c r="F6691" t="s">
        <v>20121</v>
      </c>
      <c r="G6691" t="s">
        <v>16397</v>
      </c>
      <c r="H6691" t="s">
        <v>17017</v>
      </c>
      <c r="I6691" t="s">
        <v>16082</v>
      </c>
    </row>
    <row r="6692" spans="1:9">
      <c r="A6692" t="s">
        <v>16075</v>
      </c>
      <c r="B6692" t="s">
        <v>16076</v>
      </c>
      <c r="C6692" t="s">
        <v>20122</v>
      </c>
      <c r="D6692" t="s">
        <v>16078</v>
      </c>
      <c r="E6692" t="s">
        <v>3363</v>
      </c>
      <c r="F6692" t="s">
        <v>20123</v>
      </c>
      <c r="G6692" t="s">
        <v>16131</v>
      </c>
      <c r="H6692" t="s">
        <v>20124</v>
      </c>
      <c r="I6692" t="s">
        <v>16082</v>
      </c>
    </row>
    <row r="6693" spans="1:9">
      <c r="A6693" t="s">
        <v>16075</v>
      </c>
      <c r="B6693" t="s">
        <v>16076</v>
      </c>
      <c r="C6693" t="s">
        <v>20125</v>
      </c>
      <c r="D6693" t="s">
        <v>16078</v>
      </c>
      <c r="E6693" t="s">
        <v>20126</v>
      </c>
      <c r="F6693" t="s">
        <v>20127</v>
      </c>
      <c r="G6693" t="s">
        <v>16194</v>
      </c>
      <c r="H6693" t="s">
        <v>20128</v>
      </c>
      <c r="I6693" t="s">
        <v>16082</v>
      </c>
    </row>
    <row r="6694" spans="1:9">
      <c r="A6694" t="s">
        <v>16075</v>
      </c>
      <c r="B6694" t="s">
        <v>16076</v>
      </c>
      <c r="C6694" t="s">
        <v>20129</v>
      </c>
      <c r="D6694" t="s">
        <v>16078</v>
      </c>
      <c r="E6694" t="s">
        <v>20130</v>
      </c>
      <c r="F6694" t="s">
        <v>20131</v>
      </c>
      <c r="G6694" t="s">
        <v>16194</v>
      </c>
      <c r="H6694" t="s">
        <v>20132</v>
      </c>
      <c r="I6694" t="s">
        <v>16082</v>
      </c>
    </row>
    <row r="6695" spans="1:9">
      <c r="A6695" t="s">
        <v>16075</v>
      </c>
      <c r="B6695" t="s">
        <v>16076</v>
      </c>
      <c r="C6695" t="s">
        <v>20133</v>
      </c>
      <c r="D6695" t="s">
        <v>16078</v>
      </c>
      <c r="E6695" t="s">
        <v>11197</v>
      </c>
      <c r="F6695" t="s">
        <v>20134</v>
      </c>
      <c r="G6695" t="s">
        <v>16131</v>
      </c>
      <c r="H6695" t="s">
        <v>20135</v>
      </c>
      <c r="I6695" t="s">
        <v>16082</v>
      </c>
    </row>
    <row r="6696" spans="1:9">
      <c r="A6696" t="s">
        <v>16075</v>
      </c>
      <c r="B6696" t="s">
        <v>16076</v>
      </c>
      <c r="C6696" t="s">
        <v>20136</v>
      </c>
      <c r="D6696" t="s">
        <v>16078</v>
      </c>
      <c r="E6696" t="s">
        <v>20137</v>
      </c>
      <c r="F6696" t="s">
        <v>20138</v>
      </c>
      <c r="G6696" t="s">
        <v>17700</v>
      </c>
      <c r="H6696" t="s">
        <v>20139</v>
      </c>
    </row>
    <row r="6697" spans="1:9">
      <c r="A6697" t="s">
        <v>16075</v>
      </c>
      <c r="B6697" t="s">
        <v>16076</v>
      </c>
      <c r="C6697" t="s">
        <v>20140</v>
      </c>
      <c r="D6697" t="s">
        <v>16078</v>
      </c>
      <c r="E6697" t="s">
        <v>20141</v>
      </c>
      <c r="F6697" t="s">
        <v>20142</v>
      </c>
      <c r="G6697" t="s">
        <v>17229</v>
      </c>
      <c r="H6697" t="s">
        <v>20143</v>
      </c>
      <c r="I6697" t="s">
        <v>16082</v>
      </c>
    </row>
    <row r="6698" spans="1:9">
      <c r="A6698" t="s">
        <v>16075</v>
      </c>
      <c r="B6698" t="s">
        <v>16076</v>
      </c>
      <c r="C6698" t="s">
        <v>20144</v>
      </c>
      <c r="D6698" t="s">
        <v>16078</v>
      </c>
      <c r="E6698" t="s">
        <v>20145</v>
      </c>
      <c r="F6698" t="s">
        <v>20146</v>
      </c>
      <c r="G6698" t="s">
        <v>16097</v>
      </c>
      <c r="H6698" t="s">
        <v>20147</v>
      </c>
      <c r="I6698" t="s">
        <v>16082</v>
      </c>
    </row>
    <row r="6699" spans="1:9">
      <c r="A6699" t="s">
        <v>16075</v>
      </c>
      <c r="B6699" t="s">
        <v>16076</v>
      </c>
      <c r="C6699" t="s">
        <v>20148</v>
      </c>
      <c r="D6699" t="s">
        <v>16078</v>
      </c>
      <c r="E6699" t="s">
        <v>20149</v>
      </c>
      <c r="F6699" t="s">
        <v>20150</v>
      </c>
      <c r="G6699" t="s">
        <v>16683</v>
      </c>
      <c r="H6699" t="s">
        <v>20151</v>
      </c>
    </row>
    <row r="6700" spans="1:9">
      <c r="A6700" t="s">
        <v>16075</v>
      </c>
      <c r="B6700" t="s">
        <v>16076</v>
      </c>
      <c r="C6700" t="s">
        <v>20152</v>
      </c>
      <c r="D6700" t="s">
        <v>16078</v>
      </c>
      <c r="E6700" t="s">
        <v>20153</v>
      </c>
      <c r="F6700" t="s">
        <v>20154</v>
      </c>
      <c r="G6700" t="s">
        <v>16194</v>
      </c>
      <c r="H6700" t="s">
        <v>20155</v>
      </c>
      <c r="I6700" t="s">
        <v>16082</v>
      </c>
    </row>
    <row r="6701" spans="1:9">
      <c r="A6701" t="s">
        <v>16075</v>
      </c>
      <c r="B6701" t="s">
        <v>16076</v>
      </c>
      <c r="C6701" t="s">
        <v>20156</v>
      </c>
      <c r="D6701" t="s">
        <v>16078</v>
      </c>
      <c r="E6701" t="s">
        <v>8041</v>
      </c>
      <c r="F6701" t="s">
        <v>20157</v>
      </c>
      <c r="G6701" t="s">
        <v>16091</v>
      </c>
      <c r="H6701" t="s">
        <v>20158</v>
      </c>
      <c r="I6701" t="s">
        <v>16093</v>
      </c>
    </row>
    <row r="6702" spans="1:9">
      <c r="A6702" t="s">
        <v>16075</v>
      </c>
      <c r="B6702" t="s">
        <v>16076</v>
      </c>
      <c r="C6702" t="s">
        <v>20159</v>
      </c>
      <c r="D6702" t="s">
        <v>16078</v>
      </c>
      <c r="E6702" t="s">
        <v>7934</v>
      </c>
      <c r="F6702" t="s">
        <v>20160</v>
      </c>
      <c r="G6702" t="s">
        <v>16495</v>
      </c>
      <c r="H6702" t="s">
        <v>20100</v>
      </c>
    </row>
    <row r="6703" spans="1:9">
      <c r="A6703" t="s">
        <v>16075</v>
      </c>
      <c r="B6703" t="s">
        <v>16076</v>
      </c>
      <c r="C6703" t="s">
        <v>20161</v>
      </c>
      <c r="D6703" t="s">
        <v>16078</v>
      </c>
      <c r="E6703" t="s">
        <v>20162</v>
      </c>
      <c r="F6703" t="s">
        <v>20163</v>
      </c>
      <c r="G6703" t="s">
        <v>16131</v>
      </c>
      <c r="H6703" t="s">
        <v>20164</v>
      </c>
      <c r="I6703" t="s">
        <v>16082</v>
      </c>
    </row>
    <row r="6704" spans="1:9">
      <c r="A6704" t="s">
        <v>16075</v>
      </c>
      <c r="B6704" t="s">
        <v>16076</v>
      </c>
      <c r="C6704" t="s">
        <v>20165</v>
      </c>
      <c r="D6704" t="s">
        <v>16078</v>
      </c>
      <c r="E6704" t="s">
        <v>3398</v>
      </c>
      <c r="F6704" t="s">
        <v>20166</v>
      </c>
      <c r="G6704" t="s">
        <v>16159</v>
      </c>
      <c r="H6704" t="s">
        <v>20028</v>
      </c>
      <c r="I6704" t="s">
        <v>16082</v>
      </c>
    </row>
    <row r="6705" spans="1:14">
      <c r="A6705" t="s">
        <v>16075</v>
      </c>
      <c r="B6705" t="s">
        <v>16076</v>
      </c>
      <c r="C6705" t="s">
        <v>20167</v>
      </c>
      <c r="D6705" t="s">
        <v>16078</v>
      </c>
      <c r="E6705" t="s">
        <v>20168</v>
      </c>
      <c r="F6705" t="s">
        <v>20169</v>
      </c>
      <c r="G6705" t="s">
        <v>16380</v>
      </c>
      <c r="H6705" t="s">
        <v>20170</v>
      </c>
      <c r="I6705" t="s">
        <v>16082</v>
      </c>
    </row>
    <row r="6706" spans="1:14">
      <c r="A6706" t="s">
        <v>16075</v>
      </c>
      <c r="B6706" t="s">
        <v>16076</v>
      </c>
      <c r="C6706" t="s">
        <v>20171</v>
      </c>
      <c r="D6706" t="s">
        <v>16078</v>
      </c>
      <c r="E6706" t="s">
        <v>20172</v>
      </c>
      <c r="F6706" t="s">
        <v>19961</v>
      </c>
      <c r="G6706" t="s">
        <v>16091</v>
      </c>
      <c r="H6706" t="s">
        <v>20173</v>
      </c>
      <c r="I6706" t="s">
        <v>16082</v>
      </c>
    </row>
    <row r="6707" spans="1:14">
      <c r="A6707" t="s">
        <v>16075</v>
      </c>
      <c r="B6707" t="s">
        <v>16076</v>
      </c>
      <c r="C6707" t="s">
        <v>20174</v>
      </c>
      <c r="D6707" t="s">
        <v>16078</v>
      </c>
      <c r="E6707" t="s">
        <v>7108</v>
      </c>
      <c r="F6707" t="s">
        <v>20175</v>
      </c>
      <c r="G6707" t="s">
        <v>16131</v>
      </c>
      <c r="H6707" t="s">
        <v>20028</v>
      </c>
      <c r="I6707" t="s">
        <v>16082</v>
      </c>
    </row>
    <row r="6708" spans="1:14">
      <c r="A6708" t="s">
        <v>16075</v>
      </c>
      <c r="B6708" t="s">
        <v>16076</v>
      </c>
      <c r="C6708" t="s">
        <v>20176</v>
      </c>
      <c r="D6708" t="s">
        <v>16078</v>
      </c>
      <c r="E6708" t="s">
        <v>4220</v>
      </c>
      <c r="F6708" t="s">
        <v>20177</v>
      </c>
      <c r="G6708" t="s">
        <v>16451</v>
      </c>
      <c r="H6708" t="s">
        <v>20178</v>
      </c>
      <c r="I6708" t="s">
        <v>16082</v>
      </c>
    </row>
    <row r="6709" spans="1:14">
      <c r="A6709" t="s">
        <v>16075</v>
      </c>
      <c r="B6709" t="s">
        <v>16076</v>
      </c>
      <c r="C6709" t="s">
        <v>20179</v>
      </c>
      <c r="D6709" t="s">
        <v>16078</v>
      </c>
      <c r="E6709" t="s">
        <v>20180</v>
      </c>
      <c r="F6709" t="s">
        <v>20181</v>
      </c>
      <c r="G6709" t="s">
        <v>16534</v>
      </c>
      <c r="H6709" t="s">
        <v>20182</v>
      </c>
      <c r="I6709" t="s">
        <v>16082</v>
      </c>
    </row>
    <row r="6710" spans="1:14">
      <c r="A6710" t="s">
        <v>16075</v>
      </c>
      <c r="B6710" t="s">
        <v>16076</v>
      </c>
      <c r="C6710" t="s">
        <v>20183</v>
      </c>
      <c r="D6710" t="s">
        <v>16078</v>
      </c>
      <c r="E6710" t="s">
        <v>1240</v>
      </c>
      <c r="F6710" t="s">
        <v>20184</v>
      </c>
      <c r="G6710" t="s">
        <v>16194</v>
      </c>
      <c r="H6710" t="s">
        <v>20185</v>
      </c>
      <c r="I6710" t="s">
        <v>16082</v>
      </c>
    </row>
    <row r="6711" spans="1:14">
      <c r="A6711" t="s">
        <v>16075</v>
      </c>
      <c r="B6711" t="s">
        <v>16076</v>
      </c>
      <c r="C6711" t="s">
        <v>20186</v>
      </c>
      <c r="D6711" t="s">
        <v>16078</v>
      </c>
      <c r="E6711" t="s">
        <v>20187</v>
      </c>
      <c r="F6711" t="s">
        <v>20188</v>
      </c>
      <c r="G6711" t="s">
        <v>16173</v>
      </c>
      <c r="H6711" t="s">
        <v>20189</v>
      </c>
      <c r="I6711" t="s">
        <v>16082</v>
      </c>
    </row>
    <row r="6712" spans="1:14">
      <c r="A6712" t="s">
        <v>16075</v>
      </c>
      <c r="B6712" t="s">
        <v>16076</v>
      </c>
      <c r="C6712" t="s">
        <v>20190</v>
      </c>
      <c r="D6712" t="s">
        <v>16078</v>
      </c>
      <c r="E6712" t="s">
        <v>20191</v>
      </c>
      <c r="F6712" t="s">
        <v>20192</v>
      </c>
      <c r="G6712" t="s">
        <v>16131</v>
      </c>
      <c r="H6712" t="s">
        <v>20193</v>
      </c>
      <c r="I6712" t="s">
        <v>16082</v>
      </c>
    </row>
    <row r="6713" spans="1:14">
      <c r="A6713" t="s">
        <v>16075</v>
      </c>
      <c r="B6713" t="s">
        <v>16076</v>
      </c>
      <c r="C6713" t="s">
        <v>20194</v>
      </c>
      <c r="D6713" t="s">
        <v>16078</v>
      </c>
      <c r="E6713" t="s">
        <v>20195</v>
      </c>
      <c r="F6713" t="s">
        <v>20196</v>
      </c>
      <c r="G6713" t="s">
        <v>16086</v>
      </c>
      <c r="H6713" t="s">
        <v>20197</v>
      </c>
      <c r="I6713" t="s">
        <v>16082</v>
      </c>
    </row>
    <row r="6714" spans="1:14">
      <c r="A6714" t="s">
        <v>16075</v>
      </c>
      <c r="B6714" t="s">
        <v>16076</v>
      </c>
      <c r="C6714" t="s">
        <v>20198</v>
      </c>
      <c r="D6714" t="s">
        <v>16078</v>
      </c>
      <c r="E6714" t="s">
        <v>20056</v>
      </c>
      <c r="F6714" t="s">
        <v>20199</v>
      </c>
      <c r="G6714" t="s">
        <v>16086</v>
      </c>
      <c r="H6714" t="s">
        <v>20200</v>
      </c>
      <c r="I6714" t="s">
        <v>16082</v>
      </c>
    </row>
    <row r="6715" spans="1:14">
      <c r="A6715" t="s">
        <v>16075</v>
      </c>
      <c r="B6715" t="s">
        <v>16076</v>
      </c>
      <c r="C6715" t="s">
        <v>20201</v>
      </c>
      <c r="D6715" t="s">
        <v>16078</v>
      </c>
      <c r="E6715" t="s">
        <v>20202</v>
      </c>
      <c r="F6715" t="s">
        <v>20203</v>
      </c>
      <c r="G6715" t="s">
        <v>16828</v>
      </c>
      <c r="H6715" t="s">
        <v>20113</v>
      </c>
    </row>
    <row r="6716" spans="1:14">
      <c r="A6716" t="s">
        <v>16075</v>
      </c>
      <c r="B6716" t="s">
        <v>16076</v>
      </c>
      <c r="C6716" t="s">
        <v>20204</v>
      </c>
      <c r="D6716" t="s">
        <v>16078</v>
      </c>
      <c r="E6716" t="s">
        <v>20205</v>
      </c>
      <c r="F6716" t="s">
        <v>20206</v>
      </c>
      <c r="G6716" t="s">
        <v>17282</v>
      </c>
      <c r="H6716" t="s">
        <v>20207</v>
      </c>
      <c r="I6716" t="s">
        <v>16082</v>
      </c>
      <c r="J6716" t="s">
        <v>5043</v>
      </c>
      <c r="K6716" t="s">
        <v>16075</v>
      </c>
      <c r="L6716" t="s">
        <v>16219</v>
      </c>
      <c r="M6716" t="s">
        <v>16082</v>
      </c>
      <c r="N6716" t="s">
        <v>20207</v>
      </c>
    </row>
    <row r="6717" spans="1:14">
      <c r="A6717" t="s">
        <v>16075</v>
      </c>
      <c r="B6717" t="s">
        <v>16076</v>
      </c>
      <c r="C6717" t="s">
        <v>20208</v>
      </c>
      <c r="D6717" t="s">
        <v>16078</v>
      </c>
      <c r="E6717" t="s">
        <v>3311</v>
      </c>
      <c r="F6717" t="s">
        <v>20209</v>
      </c>
      <c r="G6717" t="s">
        <v>16091</v>
      </c>
      <c r="H6717" t="s">
        <v>20210</v>
      </c>
      <c r="I6717" t="s">
        <v>16082</v>
      </c>
    </row>
    <row r="6718" spans="1:14">
      <c r="A6718" t="s">
        <v>16075</v>
      </c>
      <c r="B6718" t="s">
        <v>16076</v>
      </c>
      <c r="C6718" t="s">
        <v>20211</v>
      </c>
      <c r="D6718" t="s">
        <v>16078</v>
      </c>
      <c r="E6718" t="s">
        <v>20212</v>
      </c>
      <c r="F6718" t="s">
        <v>20213</v>
      </c>
      <c r="G6718" t="s">
        <v>16091</v>
      </c>
      <c r="H6718" t="s">
        <v>20214</v>
      </c>
      <c r="I6718" t="s">
        <v>16082</v>
      </c>
    </row>
    <row r="6719" spans="1:14">
      <c r="A6719" t="s">
        <v>16075</v>
      </c>
      <c r="B6719" t="s">
        <v>16076</v>
      </c>
      <c r="C6719" t="s">
        <v>20215</v>
      </c>
      <c r="D6719" t="s">
        <v>16078</v>
      </c>
      <c r="E6719" t="s">
        <v>20216</v>
      </c>
      <c r="F6719" t="s">
        <v>20217</v>
      </c>
      <c r="G6719" t="s">
        <v>16159</v>
      </c>
      <c r="H6719" t="s">
        <v>20218</v>
      </c>
      <c r="I6719" t="s">
        <v>16082</v>
      </c>
    </row>
    <row r="6720" spans="1:14">
      <c r="A6720" t="s">
        <v>16075</v>
      </c>
      <c r="B6720" t="s">
        <v>16076</v>
      </c>
      <c r="C6720" t="s">
        <v>20219</v>
      </c>
      <c r="D6720" t="s">
        <v>16078</v>
      </c>
      <c r="E6720" t="s">
        <v>20220</v>
      </c>
      <c r="F6720" t="s">
        <v>20221</v>
      </c>
      <c r="G6720" t="s">
        <v>16091</v>
      </c>
      <c r="H6720" t="s">
        <v>20222</v>
      </c>
      <c r="I6720" t="s">
        <v>16082</v>
      </c>
    </row>
    <row r="6721" spans="1:9">
      <c r="A6721" t="s">
        <v>16075</v>
      </c>
      <c r="B6721" t="s">
        <v>16076</v>
      </c>
      <c r="C6721" t="s">
        <v>20223</v>
      </c>
      <c r="D6721" t="s">
        <v>16078</v>
      </c>
      <c r="E6721" t="s">
        <v>20224</v>
      </c>
      <c r="F6721" t="s">
        <v>20225</v>
      </c>
      <c r="G6721" t="s">
        <v>16109</v>
      </c>
      <c r="H6721" t="s">
        <v>20226</v>
      </c>
      <c r="I6721" t="s">
        <v>16082</v>
      </c>
    </row>
    <row r="6722" spans="1:9">
      <c r="A6722" t="s">
        <v>16075</v>
      </c>
      <c r="B6722" t="s">
        <v>16076</v>
      </c>
      <c r="C6722" t="s">
        <v>20227</v>
      </c>
      <c r="D6722" t="s">
        <v>16078</v>
      </c>
      <c r="E6722" t="s">
        <v>15928</v>
      </c>
      <c r="F6722" t="s">
        <v>20228</v>
      </c>
      <c r="G6722" t="s">
        <v>16091</v>
      </c>
      <c r="H6722" t="s">
        <v>20229</v>
      </c>
      <c r="I6722" t="s">
        <v>16093</v>
      </c>
    </row>
    <row r="6723" spans="1:9">
      <c r="A6723" t="s">
        <v>16075</v>
      </c>
      <c r="B6723" t="s">
        <v>16076</v>
      </c>
      <c r="C6723" t="s">
        <v>20230</v>
      </c>
      <c r="D6723" t="s">
        <v>16078</v>
      </c>
      <c r="E6723" t="s">
        <v>20231</v>
      </c>
      <c r="F6723" t="s">
        <v>20232</v>
      </c>
      <c r="G6723" t="s">
        <v>16086</v>
      </c>
      <c r="H6723" t="s">
        <v>20233</v>
      </c>
      <c r="I6723" t="s">
        <v>16082</v>
      </c>
    </row>
    <row r="6724" spans="1:9">
      <c r="A6724" t="s">
        <v>16075</v>
      </c>
      <c r="B6724" t="s">
        <v>16076</v>
      </c>
      <c r="C6724" t="s">
        <v>20234</v>
      </c>
      <c r="D6724" t="s">
        <v>16078</v>
      </c>
      <c r="E6724" t="s">
        <v>20235</v>
      </c>
      <c r="F6724" t="s">
        <v>20236</v>
      </c>
      <c r="G6724" t="s">
        <v>16194</v>
      </c>
      <c r="H6724" t="s">
        <v>20237</v>
      </c>
      <c r="I6724" t="s">
        <v>16082</v>
      </c>
    </row>
    <row r="6725" spans="1:9">
      <c r="A6725" t="s">
        <v>16075</v>
      </c>
      <c r="B6725" t="s">
        <v>16076</v>
      </c>
      <c r="C6725" t="s">
        <v>20238</v>
      </c>
      <c r="D6725" t="s">
        <v>16078</v>
      </c>
      <c r="E6725" t="s">
        <v>20239</v>
      </c>
      <c r="F6725" t="s">
        <v>20240</v>
      </c>
      <c r="G6725" t="s">
        <v>16194</v>
      </c>
      <c r="H6725" t="s">
        <v>20241</v>
      </c>
      <c r="I6725" t="s">
        <v>16082</v>
      </c>
    </row>
    <row r="6726" spans="1:9">
      <c r="A6726" t="s">
        <v>16075</v>
      </c>
      <c r="B6726" t="s">
        <v>16076</v>
      </c>
      <c r="C6726" t="s">
        <v>20242</v>
      </c>
      <c r="D6726" t="s">
        <v>16078</v>
      </c>
      <c r="E6726" t="s">
        <v>1305</v>
      </c>
      <c r="F6726" t="s">
        <v>20243</v>
      </c>
      <c r="G6726" t="s">
        <v>16139</v>
      </c>
      <c r="H6726" t="s">
        <v>20244</v>
      </c>
      <c r="I6726" t="s">
        <v>16082</v>
      </c>
    </row>
    <row r="6727" spans="1:9">
      <c r="A6727" t="s">
        <v>16075</v>
      </c>
      <c r="B6727" t="s">
        <v>16076</v>
      </c>
      <c r="C6727" t="s">
        <v>20245</v>
      </c>
      <c r="D6727" t="s">
        <v>16078</v>
      </c>
      <c r="E6727" t="s">
        <v>20246</v>
      </c>
      <c r="F6727" t="s">
        <v>20247</v>
      </c>
      <c r="G6727" t="s">
        <v>16097</v>
      </c>
      <c r="H6727" t="s">
        <v>20248</v>
      </c>
      <c r="I6727" t="s">
        <v>16082</v>
      </c>
    </row>
    <row r="6728" spans="1:9">
      <c r="A6728" t="s">
        <v>16075</v>
      </c>
      <c r="B6728" t="s">
        <v>16076</v>
      </c>
      <c r="C6728" t="s">
        <v>20249</v>
      </c>
      <c r="D6728" t="s">
        <v>16078</v>
      </c>
      <c r="E6728" t="s">
        <v>9845</v>
      </c>
      <c r="F6728" t="s">
        <v>20250</v>
      </c>
      <c r="G6728" t="s">
        <v>16665</v>
      </c>
      <c r="H6728" t="s">
        <v>20251</v>
      </c>
    </row>
    <row r="6729" spans="1:9">
      <c r="A6729" t="s">
        <v>16075</v>
      </c>
      <c r="B6729" t="s">
        <v>16076</v>
      </c>
      <c r="C6729" t="s">
        <v>20252</v>
      </c>
      <c r="D6729" t="s">
        <v>16078</v>
      </c>
      <c r="E6729" t="s">
        <v>897</v>
      </c>
      <c r="F6729" t="s">
        <v>20253</v>
      </c>
      <c r="G6729" t="s">
        <v>16209</v>
      </c>
      <c r="H6729" t="s">
        <v>20254</v>
      </c>
      <c r="I6729" t="s">
        <v>16082</v>
      </c>
    </row>
    <row r="6730" spans="1:9">
      <c r="A6730" t="s">
        <v>16075</v>
      </c>
      <c r="B6730" t="s">
        <v>16076</v>
      </c>
      <c r="C6730" t="s">
        <v>20255</v>
      </c>
      <c r="D6730" t="s">
        <v>16078</v>
      </c>
      <c r="E6730" t="s">
        <v>20256</v>
      </c>
      <c r="F6730" t="s">
        <v>20257</v>
      </c>
      <c r="G6730" t="s">
        <v>16086</v>
      </c>
      <c r="H6730" t="s">
        <v>20258</v>
      </c>
      <c r="I6730" t="s">
        <v>16082</v>
      </c>
    </row>
    <row r="6731" spans="1:9">
      <c r="A6731" t="s">
        <v>16075</v>
      </c>
      <c r="B6731" t="s">
        <v>16076</v>
      </c>
      <c r="C6731" t="s">
        <v>20259</v>
      </c>
      <c r="D6731" t="s">
        <v>16078</v>
      </c>
      <c r="E6731" t="s">
        <v>5252</v>
      </c>
      <c r="F6731" t="s">
        <v>20260</v>
      </c>
      <c r="G6731" t="s">
        <v>16194</v>
      </c>
      <c r="H6731" t="s">
        <v>20261</v>
      </c>
      <c r="I6731" t="s">
        <v>16082</v>
      </c>
    </row>
    <row r="6732" spans="1:9">
      <c r="A6732" t="s">
        <v>16075</v>
      </c>
      <c r="B6732" t="s">
        <v>16076</v>
      </c>
      <c r="C6732" t="s">
        <v>20262</v>
      </c>
      <c r="D6732" t="s">
        <v>16078</v>
      </c>
      <c r="E6732" t="s">
        <v>10459</v>
      </c>
      <c r="F6732" t="s">
        <v>20263</v>
      </c>
      <c r="G6732" t="s">
        <v>16462</v>
      </c>
      <c r="H6732" t="s">
        <v>20264</v>
      </c>
      <c r="I6732" t="s">
        <v>16093</v>
      </c>
    </row>
    <row r="6733" spans="1:9">
      <c r="A6733" t="s">
        <v>16075</v>
      </c>
      <c r="B6733" t="s">
        <v>16076</v>
      </c>
      <c r="C6733" t="s">
        <v>20265</v>
      </c>
      <c r="D6733" t="s">
        <v>16078</v>
      </c>
      <c r="E6733" t="s">
        <v>9848</v>
      </c>
      <c r="F6733" t="s">
        <v>20266</v>
      </c>
      <c r="G6733" t="s">
        <v>16462</v>
      </c>
      <c r="H6733" t="s">
        <v>20267</v>
      </c>
      <c r="I6733" t="s">
        <v>16093</v>
      </c>
    </row>
    <row r="6734" spans="1:9">
      <c r="A6734" t="s">
        <v>16075</v>
      </c>
      <c r="B6734" t="s">
        <v>16076</v>
      </c>
      <c r="C6734" t="s">
        <v>20268</v>
      </c>
      <c r="D6734" t="s">
        <v>16078</v>
      </c>
      <c r="E6734" t="s">
        <v>6994</v>
      </c>
      <c r="F6734" t="s">
        <v>20269</v>
      </c>
      <c r="G6734" t="s">
        <v>16086</v>
      </c>
      <c r="H6734" t="s">
        <v>20270</v>
      </c>
      <c r="I6734" t="s">
        <v>16082</v>
      </c>
    </row>
    <row r="6735" spans="1:9">
      <c r="A6735" t="s">
        <v>16075</v>
      </c>
      <c r="B6735" t="s">
        <v>16076</v>
      </c>
      <c r="C6735" t="s">
        <v>20271</v>
      </c>
      <c r="D6735" t="s">
        <v>16078</v>
      </c>
      <c r="E6735" t="s">
        <v>3317</v>
      </c>
      <c r="F6735" t="s">
        <v>20272</v>
      </c>
      <c r="G6735" t="s">
        <v>16209</v>
      </c>
      <c r="H6735" t="s">
        <v>20273</v>
      </c>
      <c r="I6735" t="s">
        <v>16082</v>
      </c>
    </row>
    <row r="6736" spans="1:9">
      <c r="A6736" t="s">
        <v>16075</v>
      </c>
      <c r="B6736" t="s">
        <v>16076</v>
      </c>
      <c r="C6736" t="s">
        <v>20274</v>
      </c>
      <c r="D6736" t="s">
        <v>16078</v>
      </c>
      <c r="E6736" t="s">
        <v>15633</v>
      </c>
      <c r="F6736" t="s">
        <v>20275</v>
      </c>
      <c r="G6736" t="s">
        <v>16828</v>
      </c>
      <c r="H6736" t="s">
        <v>20276</v>
      </c>
      <c r="I6736" t="s">
        <v>16093</v>
      </c>
    </row>
    <row r="6737" spans="1:9">
      <c r="A6737" t="s">
        <v>16075</v>
      </c>
      <c r="B6737" t="s">
        <v>16076</v>
      </c>
      <c r="C6737" t="s">
        <v>20277</v>
      </c>
      <c r="D6737" t="s">
        <v>16078</v>
      </c>
      <c r="E6737" t="s">
        <v>15421</v>
      </c>
      <c r="F6737" t="s">
        <v>20278</v>
      </c>
      <c r="G6737" t="s">
        <v>16091</v>
      </c>
      <c r="H6737" t="s">
        <v>20279</v>
      </c>
      <c r="I6737" t="s">
        <v>16082</v>
      </c>
    </row>
    <row r="6738" spans="1:9">
      <c r="A6738" t="s">
        <v>16075</v>
      </c>
      <c r="B6738" t="s">
        <v>16076</v>
      </c>
      <c r="C6738" t="s">
        <v>20280</v>
      </c>
      <c r="D6738" t="s">
        <v>16078</v>
      </c>
      <c r="E6738" t="s">
        <v>11448</v>
      </c>
      <c r="F6738" t="s">
        <v>20281</v>
      </c>
      <c r="G6738" t="s">
        <v>16080</v>
      </c>
      <c r="H6738" t="s">
        <v>20282</v>
      </c>
      <c r="I6738" t="s">
        <v>16082</v>
      </c>
    </row>
    <row r="6739" spans="1:9">
      <c r="A6739" t="s">
        <v>16075</v>
      </c>
      <c r="B6739" t="s">
        <v>16076</v>
      </c>
      <c r="C6739" t="s">
        <v>20283</v>
      </c>
      <c r="D6739" t="s">
        <v>16078</v>
      </c>
      <c r="E6739" t="s">
        <v>4513</v>
      </c>
      <c r="F6739" t="s">
        <v>20284</v>
      </c>
      <c r="G6739" t="s">
        <v>16194</v>
      </c>
      <c r="H6739" t="s">
        <v>20285</v>
      </c>
      <c r="I6739" t="s">
        <v>16082</v>
      </c>
    </row>
    <row r="6740" spans="1:9">
      <c r="A6740" t="s">
        <v>16075</v>
      </c>
      <c r="B6740" t="s">
        <v>16076</v>
      </c>
      <c r="C6740" t="s">
        <v>20286</v>
      </c>
      <c r="D6740" t="s">
        <v>16078</v>
      </c>
      <c r="E6740" t="s">
        <v>842</v>
      </c>
      <c r="F6740" t="s">
        <v>20287</v>
      </c>
      <c r="G6740" t="s">
        <v>16194</v>
      </c>
      <c r="H6740" t="s">
        <v>20288</v>
      </c>
      <c r="I6740" t="s">
        <v>16082</v>
      </c>
    </row>
    <row r="6741" spans="1:9">
      <c r="A6741" t="s">
        <v>16075</v>
      </c>
      <c r="B6741" t="s">
        <v>16076</v>
      </c>
      <c r="C6741" t="s">
        <v>20289</v>
      </c>
      <c r="D6741" t="s">
        <v>16078</v>
      </c>
      <c r="E6741" t="s">
        <v>9856</v>
      </c>
      <c r="F6741" t="s">
        <v>20290</v>
      </c>
      <c r="G6741" t="s">
        <v>16086</v>
      </c>
      <c r="H6741" t="s">
        <v>20291</v>
      </c>
      <c r="I6741" t="s">
        <v>16082</v>
      </c>
    </row>
    <row r="6742" spans="1:9">
      <c r="A6742" t="s">
        <v>16075</v>
      </c>
      <c r="B6742" t="s">
        <v>16076</v>
      </c>
      <c r="C6742" t="s">
        <v>20292</v>
      </c>
      <c r="D6742" t="s">
        <v>16078</v>
      </c>
      <c r="E6742" t="s">
        <v>5255</v>
      </c>
      <c r="F6742" t="s">
        <v>20293</v>
      </c>
      <c r="G6742" t="s">
        <v>16080</v>
      </c>
      <c r="H6742" t="s">
        <v>20294</v>
      </c>
      <c r="I6742" t="s">
        <v>16082</v>
      </c>
    </row>
    <row r="6743" spans="1:9">
      <c r="A6743" t="s">
        <v>16075</v>
      </c>
      <c r="B6743" t="s">
        <v>16076</v>
      </c>
      <c r="C6743" t="s">
        <v>20295</v>
      </c>
      <c r="D6743" t="s">
        <v>16078</v>
      </c>
      <c r="E6743" t="s">
        <v>5258</v>
      </c>
      <c r="F6743" t="s">
        <v>20296</v>
      </c>
      <c r="G6743" t="s">
        <v>16159</v>
      </c>
      <c r="H6743" t="s">
        <v>20297</v>
      </c>
      <c r="I6743" t="s">
        <v>16082</v>
      </c>
    </row>
    <row r="6744" spans="1:9">
      <c r="A6744" t="s">
        <v>16075</v>
      </c>
      <c r="B6744" t="s">
        <v>16076</v>
      </c>
      <c r="C6744" t="s">
        <v>20298</v>
      </c>
      <c r="D6744" t="s">
        <v>16078</v>
      </c>
      <c r="E6744" t="s">
        <v>16050</v>
      </c>
      <c r="F6744" t="s">
        <v>20299</v>
      </c>
      <c r="G6744" t="s">
        <v>16209</v>
      </c>
      <c r="H6744" t="s">
        <v>20300</v>
      </c>
      <c r="I6744" t="s">
        <v>16082</v>
      </c>
    </row>
    <row r="6745" spans="1:9">
      <c r="A6745" t="s">
        <v>16075</v>
      </c>
      <c r="B6745" t="s">
        <v>16076</v>
      </c>
      <c r="C6745" t="s">
        <v>20301</v>
      </c>
      <c r="D6745" t="s">
        <v>16078</v>
      </c>
      <c r="E6745" t="s">
        <v>20302</v>
      </c>
      <c r="F6745" t="s">
        <v>20303</v>
      </c>
      <c r="G6745" t="s">
        <v>16131</v>
      </c>
      <c r="H6745" t="s">
        <v>20304</v>
      </c>
      <c r="I6745" t="s">
        <v>16082</v>
      </c>
    </row>
    <row r="6746" spans="1:9">
      <c r="A6746" t="s">
        <v>16075</v>
      </c>
      <c r="B6746" t="s">
        <v>16076</v>
      </c>
      <c r="C6746" t="s">
        <v>20305</v>
      </c>
      <c r="D6746" t="s">
        <v>16078</v>
      </c>
      <c r="E6746" t="s">
        <v>12089</v>
      </c>
      <c r="F6746" t="s">
        <v>20306</v>
      </c>
      <c r="G6746" t="s">
        <v>16828</v>
      </c>
      <c r="H6746" t="s">
        <v>20307</v>
      </c>
    </row>
    <row r="6747" spans="1:9">
      <c r="A6747" t="s">
        <v>16075</v>
      </c>
      <c r="B6747" t="s">
        <v>16076</v>
      </c>
      <c r="C6747" t="s">
        <v>20308</v>
      </c>
      <c r="D6747" t="s">
        <v>16078</v>
      </c>
      <c r="E6747" t="s">
        <v>14545</v>
      </c>
      <c r="F6747" t="s">
        <v>20309</v>
      </c>
      <c r="G6747" t="s">
        <v>16194</v>
      </c>
      <c r="H6747" t="s">
        <v>20310</v>
      </c>
      <c r="I6747" t="s">
        <v>16093</v>
      </c>
    </row>
    <row r="6748" spans="1:9">
      <c r="A6748" t="s">
        <v>16075</v>
      </c>
      <c r="B6748" t="s">
        <v>16076</v>
      </c>
      <c r="C6748" t="s">
        <v>20311</v>
      </c>
      <c r="D6748" t="s">
        <v>16078</v>
      </c>
      <c r="E6748" t="s">
        <v>5263</v>
      </c>
      <c r="F6748" t="s">
        <v>20312</v>
      </c>
      <c r="G6748" t="s">
        <v>16320</v>
      </c>
      <c r="H6748" t="s">
        <v>20313</v>
      </c>
      <c r="I6748" t="s">
        <v>16082</v>
      </c>
    </row>
    <row r="6749" spans="1:9">
      <c r="A6749" t="s">
        <v>16075</v>
      </c>
      <c r="B6749" t="s">
        <v>16076</v>
      </c>
      <c r="C6749" t="s">
        <v>20314</v>
      </c>
      <c r="D6749" t="s">
        <v>16078</v>
      </c>
      <c r="E6749" t="s">
        <v>20315</v>
      </c>
      <c r="F6749" t="s">
        <v>20316</v>
      </c>
      <c r="G6749" t="s">
        <v>16109</v>
      </c>
      <c r="H6749" t="s">
        <v>20317</v>
      </c>
      <c r="I6749" t="s">
        <v>16082</v>
      </c>
    </row>
    <row r="6750" spans="1:9">
      <c r="A6750" t="s">
        <v>16075</v>
      </c>
      <c r="B6750" t="s">
        <v>16076</v>
      </c>
      <c r="C6750" t="s">
        <v>20318</v>
      </c>
      <c r="D6750" t="s">
        <v>16078</v>
      </c>
      <c r="E6750" t="s">
        <v>9876</v>
      </c>
      <c r="F6750" t="s">
        <v>20319</v>
      </c>
      <c r="G6750" t="s">
        <v>16168</v>
      </c>
      <c r="H6750" t="s">
        <v>20320</v>
      </c>
      <c r="I6750" t="s">
        <v>16082</v>
      </c>
    </row>
    <row r="6751" spans="1:9">
      <c r="A6751" t="s">
        <v>16075</v>
      </c>
      <c r="B6751" t="s">
        <v>16076</v>
      </c>
      <c r="C6751" t="s">
        <v>20321</v>
      </c>
      <c r="D6751" t="s">
        <v>16078</v>
      </c>
      <c r="E6751" t="s">
        <v>11049</v>
      </c>
      <c r="F6751" t="s">
        <v>20322</v>
      </c>
      <c r="G6751" t="s">
        <v>16086</v>
      </c>
      <c r="H6751" t="s">
        <v>20323</v>
      </c>
      <c r="I6751" t="s">
        <v>16082</v>
      </c>
    </row>
    <row r="6752" spans="1:9">
      <c r="A6752" t="s">
        <v>16075</v>
      </c>
      <c r="B6752" t="s">
        <v>16076</v>
      </c>
      <c r="C6752" t="s">
        <v>20324</v>
      </c>
      <c r="D6752" t="s">
        <v>16078</v>
      </c>
      <c r="E6752" t="s">
        <v>15424</v>
      </c>
      <c r="F6752" t="s">
        <v>20325</v>
      </c>
      <c r="G6752" t="s">
        <v>16131</v>
      </c>
      <c r="H6752" t="s">
        <v>20326</v>
      </c>
      <c r="I6752" t="s">
        <v>16082</v>
      </c>
    </row>
    <row r="6753" spans="1:14">
      <c r="A6753" t="s">
        <v>16075</v>
      </c>
      <c r="B6753" t="s">
        <v>16076</v>
      </c>
      <c r="C6753" t="s">
        <v>20327</v>
      </c>
      <c r="D6753" t="s">
        <v>16078</v>
      </c>
      <c r="E6753" t="s">
        <v>20328</v>
      </c>
      <c r="F6753" t="s">
        <v>20329</v>
      </c>
      <c r="G6753" t="s">
        <v>16438</v>
      </c>
      <c r="H6753" t="s">
        <v>20330</v>
      </c>
      <c r="I6753" t="s">
        <v>16082</v>
      </c>
      <c r="J6753" t="s">
        <v>20328</v>
      </c>
      <c r="K6753" t="s">
        <v>16075</v>
      </c>
      <c r="L6753" t="s">
        <v>16219</v>
      </c>
      <c r="M6753" t="s">
        <v>16082</v>
      </c>
      <c r="N6753" t="s">
        <v>20330</v>
      </c>
    </row>
    <row r="6754" spans="1:14">
      <c r="A6754" t="s">
        <v>16075</v>
      </c>
      <c r="B6754" t="s">
        <v>16076</v>
      </c>
      <c r="C6754" t="s">
        <v>20331</v>
      </c>
      <c r="D6754" t="s">
        <v>16078</v>
      </c>
      <c r="E6754" t="s">
        <v>20332</v>
      </c>
      <c r="F6754" t="s">
        <v>20333</v>
      </c>
      <c r="G6754" t="s">
        <v>16194</v>
      </c>
      <c r="H6754" t="s">
        <v>20334</v>
      </c>
      <c r="I6754" t="s">
        <v>16082</v>
      </c>
    </row>
    <row r="6755" spans="1:14">
      <c r="A6755" t="s">
        <v>16075</v>
      </c>
      <c r="B6755" t="s">
        <v>16076</v>
      </c>
      <c r="C6755" t="s">
        <v>20335</v>
      </c>
      <c r="D6755" t="s">
        <v>16078</v>
      </c>
      <c r="E6755" t="s">
        <v>20336</v>
      </c>
      <c r="F6755" t="s">
        <v>20337</v>
      </c>
      <c r="G6755" t="s">
        <v>16139</v>
      </c>
      <c r="H6755" t="s">
        <v>20338</v>
      </c>
      <c r="I6755" t="s">
        <v>16082</v>
      </c>
    </row>
    <row r="6756" spans="1:14">
      <c r="A6756" t="s">
        <v>16075</v>
      </c>
      <c r="B6756" t="s">
        <v>16076</v>
      </c>
      <c r="C6756" t="s">
        <v>20339</v>
      </c>
      <c r="D6756" t="s">
        <v>16078</v>
      </c>
      <c r="E6756" t="s">
        <v>20340</v>
      </c>
      <c r="F6756" t="s">
        <v>20341</v>
      </c>
      <c r="G6756" t="s">
        <v>16438</v>
      </c>
      <c r="I6756" t="s">
        <v>16082</v>
      </c>
    </row>
    <row r="6757" spans="1:14">
      <c r="A6757" t="s">
        <v>16075</v>
      </c>
      <c r="B6757" t="s">
        <v>16076</v>
      </c>
      <c r="C6757" t="s">
        <v>20342</v>
      </c>
      <c r="D6757" t="s">
        <v>16078</v>
      </c>
      <c r="E6757" t="s">
        <v>4516</v>
      </c>
      <c r="F6757" t="s">
        <v>20343</v>
      </c>
      <c r="G6757" t="s">
        <v>16303</v>
      </c>
      <c r="H6757" t="s">
        <v>20344</v>
      </c>
      <c r="I6757" t="s">
        <v>16082</v>
      </c>
    </row>
    <row r="6758" spans="1:14">
      <c r="A6758" t="s">
        <v>16075</v>
      </c>
      <c r="B6758" t="s">
        <v>16076</v>
      </c>
      <c r="C6758" t="s">
        <v>20345</v>
      </c>
      <c r="D6758" t="s">
        <v>16078</v>
      </c>
      <c r="E6758" t="s">
        <v>20346</v>
      </c>
      <c r="F6758" t="s">
        <v>20347</v>
      </c>
      <c r="G6758" t="s">
        <v>16173</v>
      </c>
      <c r="H6758" t="s">
        <v>20348</v>
      </c>
      <c r="I6758" t="s">
        <v>16082</v>
      </c>
    </row>
    <row r="6759" spans="1:14">
      <c r="A6759" t="s">
        <v>16075</v>
      </c>
      <c r="B6759" t="s">
        <v>16076</v>
      </c>
      <c r="C6759" t="s">
        <v>20349</v>
      </c>
      <c r="D6759" t="s">
        <v>16078</v>
      </c>
      <c r="E6759" t="s">
        <v>12967</v>
      </c>
      <c r="F6759" t="s">
        <v>20350</v>
      </c>
      <c r="G6759" t="s">
        <v>16320</v>
      </c>
      <c r="H6759" t="s">
        <v>20351</v>
      </c>
    </row>
    <row r="6760" spans="1:14">
      <c r="A6760" t="s">
        <v>16075</v>
      </c>
      <c r="B6760" t="s">
        <v>16076</v>
      </c>
      <c r="C6760" t="s">
        <v>20352</v>
      </c>
      <c r="D6760" t="s">
        <v>16078</v>
      </c>
      <c r="E6760" t="s">
        <v>14548</v>
      </c>
      <c r="F6760" t="s">
        <v>20353</v>
      </c>
      <c r="G6760" t="s">
        <v>16320</v>
      </c>
      <c r="H6760" t="s">
        <v>19599</v>
      </c>
      <c r="I6760" t="s">
        <v>16082</v>
      </c>
    </row>
    <row r="6761" spans="1:14">
      <c r="A6761" t="s">
        <v>16075</v>
      </c>
      <c r="B6761" t="s">
        <v>16076</v>
      </c>
      <c r="C6761" t="s">
        <v>20354</v>
      </c>
      <c r="D6761" t="s">
        <v>16078</v>
      </c>
      <c r="E6761" t="s">
        <v>11056</v>
      </c>
      <c r="F6761" t="s">
        <v>20355</v>
      </c>
      <c r="G6761" t="s">
        <v>16194</v>
      </c>
      <c r="H6761" t="s">
        <v>20356</v>
      </c>
      <c r="I6761" t="s">
        <v>16082</v>
      </c>
    </row>
    <row r="6762" spans="1:14">
      <c r="A6762" t="s">
        <v>16075</v>
      </c>
      <c r="B6762" t="s">
        <v>16076</v>
      </c>
      <c r="C6762" t="s">
        <v>20357</v>
      </c>
      <c r="D6762" t="s">
        <v>16078</v>
      </c>
      <c r="E6762" t="s">
        <v>13208</v>
      </c>
      <c r="F6762" t="s">
        <v>20358</v>
      </c>
      <c r="G6762" t="s">
        <v>16168</v>
      </c>
      <c r="H6762" t="s">
        <v>20359</v>
      </c>
      <c r="I6762" t="s">
        <v>16082</v>
      </c>
    </row>
    <row r="6763" spans="1:14">
      <c r="A6763" t="s">
        <v>16075</v>
      </c>
      <c r="B6763" t="s">
        <v>16076</v>
      </c>
      <c r="C6763" t="s">
        <v>20360</v>
      </c>
      <c r="D6763" t="s">
        <v>16078</v>
      </c>
      <c r="E6763" t="s">
        <v>12970</v>
      </c>
      <c r="F6763" t="s">
        <v>20361</v>
      </c>
      <c r="G6763" t="s">
        <v>16194</v>
      </c>
      <c r="H6763" t="s">
        <v>17878</v>
      </c>
      <c r="I6763" t="s">
        <v>16093</v>
      </c>
    </row>
    <row r="6764" spans="1:14">
      <c r="A6764" t="s">
        <v>16075</v>
      </c>
      <c r="B6764" t="s">
        <v>16076</v>
      </c>
      <c r="C6764" t="s">
        <v>20362</v>
      </c>
      <c r="D6764" t="s">
        <v>16078</v>
      </c>
      <c r="E6764" t="s">
        <v>14553</v>
      </c>
      <c r="F6764" t="s">
        <v>20363</v>
      </c>
      <c r="G6764" t="s">
        <v>16131</v>
      </c>
      <c r="H6764" t="s">
        <v>20364</v>
      </c>
      <c r="I6764" t="s">
        <v>16082</v>
      </c>
    </row>
    <row r="6765" spans="1:14">
      <c r="A6765" t="s">
        <v>16075</v>
      </c>
      <c r="B6765" t="s">
        <v>16076</v>
      </c>
      <c r="C6765" t="s">
        <v>20365</v>
      </c>
      <c r="D6765" t="s">
        <v>16078</v>
      </c>
      <c r="E6765" t="s">
        <v>20366</v>
      </c>
      <c r="F6765" t="s">
        <v>20367</v>
      </c>
      <c r="G6765" t="s">
        <v>16116</v>
      </c>
      <c r="H6765" t="s">
        <v>20368</v>
      </c>
      <c r="I6765" t="s">
        <v>16082</v>
      </c>
    </row>
    <row r="6766" spans="1:14">
      <c r="A6766" t="s">
        <v>16075</v>
      </c>
      <c r="B6766" t="s">
        <v>16076</v>
      </c>
      <c r="C6766" t="s">
        <v>20369</v>
      </c>
      <c r="D6766" t="s">
        <v>16078</v>
      </c>
      <c r="E6766" t="s">
        <v>20370</v>
      </c>
      <c r="F6766" t="s">
        <v>20371</v>
      </c>
      <c r="G6766" t="s">
        <v>16194</v>
      </c>
      <c r="H6766" t="s">
        <v>20372</v>
      </c>
      <c r="I6766" t="s">
        <v>16082</v>
      </c>
    </row>
    <row r="6767" spans="1:14">
      <c r="A6767" t="s">
        <v>16075</v>
      </c>
      <c r="B6767" t="s">
        <v>16076</v>
      </c>
      <c r="C6767" t="s">
        <v>20373</v>
      </c>
      <c r="D6767" t="s">
        <v>16078</v>
      </c>
      <c r="E6767" t="s">
        <v>784</v>
      </c>
      <c r="F6767" t="s">
        <v>20374</v>
      </c>
      <c r="G6767" t="s">
        <v>16266</v>
      </c>
      <c r="H6767" t="s">
        <v>20375</v>
      </c>
      <c r="I6767" t="s">
        <v>16082</v>
      </c>
    </row>
    <row r="6768" spans="1:14">
      <c r="A6768" t="s">
        <v>16075</v>
      </c>
      <c r="B6768" t="s">
        <v>16076</v>
      </c>
      <c r="C6768" t="s">
        <v>20376</v>
      </c>
      <c r="D6768" t="s">
        <v>16078</v>
      </c>
      <c r="E6768" t="s">
        <v>3624</v>
      </c>
      <c r="F6768" t="s">
        <v>20377</v>
      </c>
      <c r="G6768" t="s">
        <v>16209</v>
      </c>
      <c r="H6768" t="s">
        <v>20378</v>
      </c>
      <c r="I6768" t="s">
        <v>16082</v>
      </c>
    </row>
    <row r="6769" spans="1:9">
      <c r="A6769" t="s">
        <v>16075</v>
      </c>
      <c r="B6769" t="s">
        <v>16076</v>
      </c>
      <c r="C6769" t="s">
        <v>20379</v>
      </c>
      <c r="D6769" t="s">
        <v>16078</v>
      </c>
      <c r="E6769" t="s">
        <v>20380</v>
      </c>
      <c r="F6769" t="s">
        <v>20381</v>
      </c>
      <c r="G6769" t="s">
        <v>16372</v>
      </c>
      <c r="H6769" t="s">
        <v>20382</v>
      </c>
      <c r="I6769" t="s">
        <v>16082</v>
      </c>
    </row>
    <row r="6770" spans="1:9">
      <c r="A6770" t="s">
        <v>16075</v>
      </c>
      <c r="B6770" t="s">
        <v>16076</v>
      </c>
      <c r="C6770" t="s">
        <v>20383</v>
      </c>
      <c r="D6770" t="s">
        <v>16078</v>
      </c>
      <c r="E6770" t="s">
        <v>20384</v>
      </c>
      <c r="F6770" t="s">
        <v>20385</v>
      </c>
      <c r="G6770" t="s">
        <v>16194</v>
      </c>
      <c r="H6770" t="s">
        <v>20386</v>
      </c>
      <c r="I6770" t="s">
        <v>16082</v>
      </c>
    </row>
    <row r="6771" spans="1:9">
      <c r="A6771" t="s">
        <v>16075</v>
      </c>
      <c r="B6771" t="s">
        <v>16076</v>
      </c>
      <c r="C6771" t="s">
        <v>20387</v>
      </c>
      <c r="D6771" t="s">
        <v>16078</v>
      </c>
      <c r="E6771" t="s">
        <v>20388</v>
      </c>
      <c r="F6771" t="s">
        <v>20389</v>
      </c>
      <c r="G6771" t="s">
        <v>16097</v>
      </c>
      <c r="H6771" t="s">
        <v>20390</v>
      </c>
      <c r="I6771" t="s">
        <v>16082</v>
      </c>
    </row>
    <row r="6772" spans="1:9">
      <c r="A6772" t="s">
        <v>16075</v>
      </c>
      <c r="B6772" t="s">
        <v>16076</v>
      </c>
      <c r="C6772" t="s">
        <v>20391</v>
      </c>
      <c r="D6772" t="s">
        <v>16078</v>
      </c>
      <c r="E6772" t="s">
        <v>20392</v>
      </c>
      <c r="F6772" t="s">
        <v>20393</v>
      </c>
      <c r="G6772" t="s">
        <v>16438</v>
      </c>
      <c r="H6772" t="s">
        <v>20394</v>
      </c>
      <c r="I6772" t="s">
        <v>16093</v>
      </c>
    </row>
    <row r="6773" spans="1:9">
      <c r="A6773" t="s">
        <v>16075</v>
      </c>
      <c r="B6773" t="s">
        <v>16076</v>
      </c>
      <c r="C6773" t="s">
        <v>20395</v>
      </c>
      <c r="D6773" t="s">
        <v>16078</v>
      </c>
      <c r="E6773" t="s">
        <v>20396</v>
      </c>
      <c r="F6773" t="s">
        <v>20397</v>
      </c>
      <c r="G6773" t="s">
        <v>16183</v>
      </c>
      <c r="H6773" t="s">
        <v>20398</v>
      </c>
      <c r="I6773" t="s">
        <v>16082</v>
      </c>
    </row>
    <row r="6774" spans="1:9">
      <c r="A6774" t="s">
        <v>16075</v>
      </c>
      <c r="B6774" t="s">
        <v>16076</v>
      </c>
      <c r="C6774" t="s">
        <v>20399</v>
      </c>
      <c r="D6774" t="s">
        <v>16078</v>
      </c>
      <c r="E6774" t="s">
        <v>20400</v>
      </c>
      <c r="F6774" t="s">
        <v>20401</v>
      </c>
      <c r="G6774" t="s">
        <v>16462</v>
      </c>
      <c r="H6774" t="s">
        <v>20402</v>
      </c>
      <c r="I6774" t="s">
        <v>16082</v>
      </c>
    </row>
    <row r="6775" spans="1:9">
      <c r="A6775" t="s">
        <v>16075</v>
      </c>
      <c r="B6775" t="s">
        <v>16076</v>
      </c>
      <c r="C6775" t="s">
        <v>20403</v>
      </c>
      <c r="D6775" t="s">
        <v>16078</v>
      </c>
      <c r="E6775" t="s">
        <v>9909</v>
      </c>
      <c r="F6775" t="s">
        <v>20404</v>
      </c>
      <c r="G6775" t="s">
        <v>16131</v>
      </c>
      <c r="H6775" t="s">
        <v>20270</v>
      </c>
      <c r="I6775" t="s">
        <v>16082</v>
      </c>
    </row>
    <row r="6776" spans="1:9">
      <c r="A6776" t="s">
        <v>16075</v>
      </c>
      <c r="B6776" t="s">
        <v>16076</v>
      </c>
      <c r="C6776" t="s">
        <v>20405</v>
      </c>
      <c r="D6776" t="s">
        <v>16078</v>
      </c>
      <c r="E6776" t="s">
        <v>20406</v>
      </c>
      <c r="F6776" t="s">
        <v>20407</v>
      </c>
      <c r="G6776" t="s">
        <v>16131</v>
      </c>
      <c r="H6776" t="s">
        <v>20408</v>
      </c>
      <c r="I6776" t="s">
        <v>16082</v>
      </c>
    </row>
    <row r="6777" spans="1:9">
      <c r="A6777" t="s">
        <v>16075</v>
      </c>
      <c r="B6777" t="s">
        <v>16076</v>
      </c>
      <c r="C6777" t="s">
        <v>20409</v>
      </c>
      <c r="D6777" t="s">
        <v>16078</v>
      </c>
      <c r="E6777" t="s">
        <v>20410</v>
      </c>
      <c r="F6777" t="s">
        <v>20411</v>
      </c>
      <c r="G6777" t="s">
        <v>16131</v>
      </c>
      <c r="H6777" t="s">
        <v>20412</v>
      </c>
      <c r="I6777" t="s">
        <v>16082</v>
      </c>
    </row>
    <row r="6778" spans="1:9">
      <c r="A6778" t="s">
        <v>16075</v>
      </c>
      <c r="B6778" t="s">
        <v>16076</v>
      </c>
      <c r="C6778" t="s">
        <v>20413</v>
      </c>
      <c r="D6778" t="s">
        <v>16078</v>
      </c>
      <c r="E6778" t="s">
        <v>2897</v>
      </c>
      <c r="F6778" t="s">
        <v>20414</v>
      </c>
      <c r="G6778" t="s">
        <v>16091</v>
      </c>
      <c r="H6778" t="s">
        <v>20415</v>
      </c>
      <c r="I6778" t="s">
        <v>16082</v>
      </c>
    </row>
    <row r="6779" spans="1:9">
      <c r="A6779" t="s">
        <v>16075</v>
      </c>
      <c r="B6779" t="s">
        <v>16076</v>
      </c>
      <c r="C6779" t="s">
        <v>20416</v>
      </c>
      <c r="D6779" t="s">
        <v>16078</v>
      </c>
      <c r="E6779" t="s">
        <v>845</v>
      </c>
      <c r="F6779" t="s">
        <v>20417</v>
      </c>
      <c r="G6779" t="s">
        <v>16320</v>
      </c>
      <c r="H6779" t="s">
        <v>20418</v>
      </c>
      <c r="I6779" t="s">
        <v>16082</v>
      </c>
    </row>
    <row r="6780" spans="1:9">
      <c r="A6780" t="s">
        <v>16075</v>
      </c>
      <c r="B6780" t="s">
        <v>16076</v>
      </c>
      <c r="C6780" t="s">
        <v>20419</v>
      </c>
      <c r="D6780" t="s">
        <v>16078</v>
      </c>
      <c r="E6780" t="s">
        <v>5268</v>
      </c>
      <c r="F6780" t="s">
        <v>20420</v>
      </c>
      <c r="G6780" t="s">
        <v>16194</v>
      </c>
      <c r="H6780" t="s">
        <v>20421</v>
      </c>
      <c r="I6780" t="s">
        <v>16082</v>
      </c>
    </row>
    <row r="6781" spans="1:9">
      <c r="A6781" t="s">
        <v>16075</v>
      </c>
      <c r="B6781" t="s">
        <v>16076</v>
      </c>
      <c r="C6781" t="s">
        <v>20422</v>
      </c>
      <c r="D6781" t="s">
        <v>16078</v>
      </c>
      <c r="E6781" t="s">
        <v>9912</v>
      </c>
      <c r="F6781" t="s">
        <v>20423</v>
      </c>
      <c r="G6781" t="s">
        <v>16116</v>
      </c>
      <c r="H6781" t="s">
        <v>20424</v>
      </c>
      <c r="I6781" t="s">
        <v>16082</v>
      </c>
    </row>
    <row r="6782" spans="1:9">
      <c r="A6782" t="s">
        <v>16075</v>
      </c>
      <c r="B6782" t="s">
        <v>16076</v>
      </c>
      <c r="C6782" t="s">
        <v>20425</v>
      </c>
      <c r="D6782" t="s">
        <v>16078</v>
      </c>
      <c r="E6782" t="s">
        <v>715</v>
      </c>
      <c r="F6782" t="s">
        <v>20426</v>
      </c>
      <c r="G6782" t="s">
        <v>18966</v>
      </c>
      <c r="H6782" t="s">
        <v>20427</v>
      </c>
      <c r="I6782" t="s">
        <v>16082</v>
      </c>
    </row>
    <row r="6783" spans="1:9">
      <c r="A6783" t="s">
        <v>16075</v>
      </c>
      <c r="B6783" t="s">
        <v>16076</v>
      </c>
      <c r="C6783" t="s">
        <v>20428</v>
      </c>
      <c r="D6783" t="s">
        <v>16078</v>
      </c>
      <c r="E6783" t="s">
        <v>7417</v>
      </c>
      <c r="F6783" t="s">
        <v>20429</v>
      </c>
      <c r="G6783" t="s">
        <v>16320</v>
      </c>
      <c r="H6783" t="s">
        <v>20430</v>
      </c>
      <c r="I6783" t="s">
        <v>16082</v>
      </c>
    </row>
    <row r="6784" spans="1:9">
      <c r="A6784" t="s">
        <v>16075</v>
      </c>
      <c r="B6784" t="s">
        <v>16076</v>
      </c>
      <c r="C6784" t="s">
        <v>20431</v>
      </c>
      <c r="D6784" t="s">
        <v>16078</v>
      </c>
      <c r="E6784" t="s">
        <v>9918</v>
      </c>
      <c r="F6784" t="s">
        <v>20432</v>
      </c>
      <c r="G6784" t="s">
        <v>16846</v>
      </c>
      <c r="H6784" t="s">
        <v>20421</v>
      </c>
    </row>
    <row r="6785" spans="1:9">
      <c r="A6785" t="s">
        <v>16075</v>
      </c>
      <c r="B6785" t="s">
        <v>16076</v>
      </c>
      <c r="C6785" t="s">
        <v>20433</v>
      </c>
      <c r="D6785" t="s">
        <v>16078</v>
      </c>
      <c r="E6785" t="s">
        <v>20434</v>
      </c>
      <c r="F6785" t="s">
        <v>20435</v>
      </c>
      <c r="G6785" t="s">
        <v>16846</v>
      </c>
      <c r="H6785" t="s">
        <v>20436</v>
      </c>
      <c r="I6785" t="s">
        <v>16093</v>
      </c>
    </row>
    <row r="6786" spans="1:9">
      <c r="A6786" t="s">
        <v>16075</v>
      </c>
      <c r="B6786" t="s">
        <v>16076</v>
      </c>
      <c r="C6786" t="s">
        <v>20437</v>
      </c>
      <c r="D6786" t="s">
        <v>16078</v>
      </c>
      <c r="E6786" t="s">
        <v>12976</v>
      </c>
      <c r="F6786" t="s">
        <v>20438</v>
      </c>
      <c r="G6786" t="s">
        <v>16183</v>
      </c>
      <c r="H6786" t="s">
        <v>20439</v>
      </c>
      <c r="I6786" t="s">
        <v>16082</v>
      </c>
    </row>
    <row r="6787" spans="1:9">
      <c r="A6787" t="s">
        <v>16075</v>
      </c>
      <c r="B6787" t="s">
        <v>16076</v>
      </c>
      <c r="C6787" t="s">
        <v>20440</v>
      </c>
      <c r="D6787" t="s">
        <v>16078</v>
      </c>
      <c r="E6787" t="s">
        <v>20441</v>
      </c>
      <c r="F6787" t="s">
        <v>20442</v>
      </c>
      <c r="G6787" t="s">
        <v>16091</v>
      </c>
      <c r="H6787" t="s">
        <v>20443</v>
      </c>
      <c r="I6787" t="s">
        <v>16082</v>
      </c>
    </row>
    <row r="6788" spans="1:9">
      <c r="A6788" t="s">
        <v>16075</v>
      </c>
      <c r="B6788" t="s">
        <v>16076</v>
      </c>
      <c r="C6788" t="s">
        <v>20444</v>
      </c>
      <c r="D6788" t="s">
        <v>16078</v>
      </c>
      <c r="E6788" t="s">
        <v>7423</v>
      </c>
      <c r="F6788" t="s">
        <v>20445</v>
      </c>
      <c r="G6788" t="s">
        <v>16105</v>
      </c>
      <c r="H6788" t="s">
        <v>20446</v>
      </c>
      <c r="I6788" t="s">
        <v>16093</v>
      </c>
    </row>
    <row r="6789" spans="1:9">
      <c r="A6789" t="s">
        <v>16075</v>
      </c>
      <c r="B6789" t="s">
        <v>16076</v>
      </c>
      <c r="C6789" t="s">
        <v>20447</v>
      </c>
      <c r="D6789" t="s">
        <v>16078</v>
      </c>
      <c r="E6789" t="s">
        <v>9921</v>
      </c>
      <c r="F6789" t="s">
        <v>20448</v>
      </c>
      <c r="G6789" t="s">
        <v>16131</v>
      </c>
      <c r="H6789" t="s">
        <v>20449</v>
      </c>
      <c r="I6789" t="s">
        <v>16082</v>
      </c>
    </row>
    <row r="6790" spans="1:9">
      <c r="A6790" t="s">
        <v>16075</v>
      </c>
      <c r="B6790" t="s">
        <v>16076</v>
      </c>
      <c r="C6790" t="s">
        <v>20450</v>
      </c>
      <c r="D6790" t="s">
        <v>16078</v>
      </c>
      <c r="E6790" t="s">
        <v>20451</v>
      </c>
      <c r="F6790" t="s">
        <v>20452</v>
      </c>
      <c r="G6790" t="s">
        <v>16086</v>
      </c>
      <c r="H6790" t="s">
        <v>20453</v>
      </c>
      <c r="I6790" t="s">
        <v>16082</v>
      </c>
    </row>
    <row r="6791" spans="1:9">
      <c r="A6791" t="s">
        <v>16075</v>
      </c>
      <c r="B6791" t="s">
        <v>16076</v>
      </c>
      <c r="C6791" t="s">
        <v>20454</v>
      </c>
      <c r="D6791" t="s">
        <v>16078</v>
      </c>
      <c r="E6791" t="s">
        <v>7426</v>
      </c>
      <c r="F6791" t="s">
        <v>20455</v>
      </c>
      <c r="G6791" t="s">
        <v>16159</v>
      </c>
      <c r="H6791" t="s">
        <v>20456</v>
      </c>
      <c r="I6791" t="s">
        <v>16082</v>
      </c>
    </row>
    <row r="6792" spans="1:9">
      <c r="A6792" t="s">
        <v>16075</v>
      </c>
      <c r="B6792" t="s">
        <v>16076</v>
      </c>
      <c r="C6792" t="s">
        <v>20457</v>
      </c>
      <c r="D6792" t="s">
        <v>16078</v>
      </c>
      <c r="E6792" t="s">
        <v>8222</v>
      </c>
      <c r="F6792" t="s">
        <v>20458</v>
      </c>
      <c r="G6792" t="s">
        <v>16080</v>
      </c>
      <c r="H6792" t="s">
        <v>20459</v>
      </c>
      <c r="I6792" t="s">
        <v>16082</v>
      </c>
    </row>
    <row r="6793" spans="1:9">
      <c r="A6793" t="s">
        <v>16075</v>
      </c>
      <c r="B6793" t="s">
        <v>16076</v>
      </c>
      <c r="C6793" t="s">
        <v>20460</v>
      </c>
      <c r="D6793" t="s">
        <v>16078</v>
      </c>
      <c r="E6793" t="s">
        <v>9924</v>
      </c>
      <c r="F6793" t="s">
        <v>20461</v>
      </c>
      <c r="G6793" t="s">
        <v>16097</v>
      </c>
      <c r="H6793" t="s">
        <v>20462</v>
      </c>
      <c r="I6793" t="s">
        <v>16082</v>
      </c>
    </row>
    <row r="6794" spans="1:9">
      <c r="A6794" t="s">
        <v>16075</v>
      </c>
      <c r="B6794" t="s">
        <v>16076</v>
      </c>
      <c r="C6794" t="s">
        <v>20463</v>
      </c>
      <c r="D6794" t="s">
        <v>16078</v>
      </c>
      <c r="E6794" t="s">
        <v>9927</v>
      </c>
      <c r="F6794" t="s">
        <v>20464</v>
      </c>
      <c r="G6794" t="s">
        <v>16116</v>
      </c>
      <c r="H6794" t="s">
        <v>20421</v>
      </c>
      <c r="I6794" t="s">
        <v>16082</v>
      </c>
    </row>
    <row r="6795" spans="1:9">
      <c r="A6795" t="s">
        <v>16075</v>
      </c>
      <c r="B6795" t="s">
        <v>16076</v>
      </c>
      <c r="C6795" t="s">
        <v>20465</v>
      </c>
      <c r="D6795" t="s">
        <v>16078</v>
      </c>
      <c r="E6795" t="s">
        <v>13597</v>
      </c>
      <c r="F6795" t="s">
        <v>20466</v>
      </c>
      <c r="G6795" t="s">
        <v>16131</v>
      </c>
      <c r="H6795" t="s">
        <v>20467</v>
      </c>
      <c r="I6795" t="s">
        <v>16082</v>
      </c>
    </row>
    <row r="6796" spans="1:9">
      <c r="A6796" t="s">
        <v>16075</v>
      </c>
      <c r="B6796" t="s">
        <v>16076</v>
      </c>
      <c r="C6796" t="s">
        <v>20468</v>
      </c>
      <c r="D6796" t="s">
        <v>16078</v>
      </c>
      <c r="E6796" t="s">
        <v>9930</v>
      </c>
      <c r="F6796" t="s">
        <v>20469</v>
      </c>
      <c r="G6796" t="s">
        <v>16194</v>
      </c>
      <c r="H6796" t="s">
        <v>20470</v>
      </c>
      <c r="I6796" t="s">
        <v>16082</v>
      </c>
    </row>
    <row r="6797" spans="1:9">
      <c r="A6797" t="s">
        <v>16075</v>
      </c>
      <c r="B6797" t="s">
        <v>16076</v>
      </c>
      <c r="C6797" t="s">
        <v>20471</v>
      </c>
      <c r="D6797" t="s">
        <v>16078</v>
      </c>
      <c r="E6797" t="s">
        <v>9933</v>
      </c>
      <c r="F6797" t="s">
        <v>20472</v>
      </c>
      <c r="G6797" t="s">
        <v>16194</v>
      </c>
      <c r="H6797" t="s">
        <v>20473</v>
      </c>
      <c r="I6797" t="s">
        <v>16082</v>
      </c>
    </row>
    <row r="6798" spans="1:9">
      <c r="A6798" t="s">
        <v>16075</v>
      </c>
      <c r="B6798" t="s">
        <v>16076</v>
      </c>
      <c r="C6798" t="s">
        <v>20474</v>
      </c>
      <c r="D6798" t="s">
        <v>16078</v>
      </c>
      <c r="E6798" t="s">
        <v>2903</v>
      </c>
      <c r="F6798" t="s">
        <v>20475</v>
      </c>
      <c r="G6798" t="s">
        <v>16312</v>
      </c>
      <c r="H6798" t="s">
        <v>20476</v>
      </c>
    </row>
    <row r="6799" spans="1:9">
      <c r="A6799" t="s">
        <v>16075</v>
      </c>
      <c r="B6799" t="s">
        <v>16076</v>
      </c>
      <c r="C6799" t="s">
        <v>20477</v>
      </c>
      <c r="D6799" t="s">
        <v>16078</v>
      </c>
      <c r="E6799" t="s">
        <v>6725</v>
      </c>
      <c r="F6799" t="s">
        <v>20478</v>
      </c>
      <c r="G6799" t="s">
        <v>16131</v>
      </c>
      <c r="H6799" t="s">
        <v>20421</v>
      </c>
      <c r="I6799" t="s">
        <v>16082</v>
      </c>
    </row>
    <row r="6800" spans="1:9">
      <c r="A6800" t="s">
        <v>16075</v>
      </c>
      <c r="B6800" t="s">
        <v>16076</v>
      </c>
      <c r="C6800" t="s">
        <v>20479</v>
      </c>
      <c r="D6800" t="s">
        <v>16078</v>
      </c>
      <c r="E6800" t="s">
        <v>13401</v>
      </c>
      <c r="F6800" t="s">
        <v>20480</v>
      </c>
      <c r="G6800" t="s">
        <v>16295</v>
      </c>
      <c r="H6800" t="s">
        <v>20481</v>
      </c>
      <c r="I6800" t="s">
        <v>16082</v>
      </c>
    </row>
    <row r="6801" spans="1:9">
      <c r="A6801" t="s">
        <v>16075</v>
      </c>
      <c r="B6801" t="s">
        <v>16076</v>
      </c>
      <c r="C6801" t="s">
        <v>20482</v>
      </c>
      <c r="D6801" t="s">
        <v>16078</v>
      </c>
      <c r="E6801" t="s">
        <v>3574</v>
      </c>
      <c r="F6801" t="s">
        <v>20483</v>
      </c>
      <c r="G6801" t="s">
        <v>16131</v>
      </c>
      <c r="H6801" t="s">
        <v>20484</v>
      </c>
      <c r="I6801" t="s">
        <v>16082</v>
      </c>
    </row>
    <row r="6802" spans="1:9">
      <c r="A6802" t="s">
        <v>16075</v>
      </c>
      <c r="B6802" t="s">
        <v>16076</v>
      </c>
      <c r="C6802" t="s">
        <v>20485</v>
      </c>
      <c r="D6802" t="s">
        <v>16078</v>
      </c>
      <c r="E6802" t="s">
        <v>20486</v>
      </c>
      <c r="F6802" t="s">
        <v>20487</v>
      </c>
      <c r="G6802" t="s">
        <v>16168</v>
      </c>
      <c r="H6802" t="s">
        <v>20488</v>
      </c>
      <c r="I6802" t="s">
        <v>16082</v>
      </c>
    </row>
    <row r="6803" spans="1:9">
      <c r="A6803" t="s">
        <v>16075</v>
      </c>
      <c r="B6803" t="s">
        <v>16076</v>
      </c>
      <c r="C6803" t="s">
        <v>20489</v>
      </c>
      <c r="D6803" t="s">
        <v>16078</v>
      </c>
      <c r="E6803" t="s">
        <v>20490</v>
      </c>
      <c r="F6803" t="s">
        <v>20491</v>
      </c>
      <c r="G6803" t="s">
        <v>16080</v>
      </c>
      <c r="H6803" t="s">
        <v>20492</v>
      </c>
      <c r="I6803" t="s">
        <v>16082</v>
      </c>
    </row>
    <row r="6804" spans="1:9">
      <c r="A6804" t="s">
        <v>16075</v>
      </c>
      <c r="B6804" t="s">
        <v>16076</v>
      </c>
      <c r="C6804" t="s">
        <v>20493</v>
      </c>
      <c r="D6804" t="s">
        <v>16078</v>
      </c>
      <c r="E6804" t="s">
        <v>10569</v>
      </c>
      <c r="F6804" t="s">
        <v>20494</v>
      </c>
      <c r="G6804" t="s">
        <v>16194</v>
      </c>
      <c r="H6804" t="s">
        <v>20495</v>
      </c>
      <c r="I6804" t="s">
        <v>16082</v>
      </c>
    </row>
    <row r="6805" spans="1:9">
      <c r="A6805" t="s">
        <v>16075</v>
      </c>
      <c r="B6805" t="s">
        <v>16076</v>
      </c>
      <c r="C6805" t="s">
        <v>20496</v>
      </c>
      <c r="D6805" t="s">
        <v>16078</v>
      </c>
      <c r="E6805" t="s">
        <v>7963</v>
      </c>
      <c r="F6805" t="s">
        <v>20497</v>
      </c>
      <c r="G6805" t="s">
        <v>16534</v>
      </c>
      <c r="H6805" t="s">
        <v>20498</v>
      </c>
      <c r="I6805" t="s">
        <v>16082</v>
      </c>
    </row>
    <row r="6806" spans="1:9">
      <c r="A6806" t="s">
        <v>16075</v>
      </c>
      <c r="B6806" t="s">
        <v>16076</v>
      </c>
      <c r="C6806" t="s">
        <v>20499</v>
      </c>
      <c r="D6806" t="s">
        <v>16078</v>
      </c>
      <c r="E6806" t="s">
        <v>11456</v>
      </c>
      <c r="F6806" t="s">
        <v>20500</v>
      </c>
      <c r="G6806" t="s">
        <v>16173</v>
      </c>
      <c r="H6806" t="s">
        <v>20501</v>
      </c>
      <c r="I6806" t="s">
        <v>16082</v>
      </c>
    </row>
    <row r="6807" spans="1:9">
      <c r="A6807" t="s">
        <v>16075</v>
      </c>
      <c r="B6807" t="s">
        <v>16076</v>
      </c>
      <c r="C6807" t="s">
        <v>20502</v>
      </c>
      <c r="D6807" t="s">
        <v>16078</v>
      </c>
      <c r="E6807" t="s">
        <v>20503</v>
      </c>
      <c r="F6807" t="s">
        <v>20504</v>
      </c>
      <c r="G6807" t="s">
        <v>16080</v>
      </c>
      <c r="H6807" t="s">
        <v>20505</v>
      </c>
      <c r="I6807" t="s">
        <v>16093</v>
      </c>
    </row>
    <row r="6808" spans="1:9">
      <c r="A6808" t="s">
        <v>16075</v>
      </c>
      <c r="B6808" t="s">
        <v>16076</v>
      </c>
      <c r="C6808" t="s">
        <v>20506</v>
      </c>
      <c r="D6808" t="s">
        <v>16078</v>
      </c>
      <c r="E6808" t="s">
        <v>20507</v>
      </c>
      <c r="F6808" t="s">
        <v>20508</v>
      </c>
      <c r="G6808" t="s">
        <v>16266</v>
      </c>
      <c r="H6808" t="s">
        <v>20509</v>
      </c>
      <c r="I6808" t="s">
        <v>16082</v>
      </c>
    </row>
    <row r="6809" spans="1:9">
      <c r="A6809" t="s">
        <v>16075</v>
      </c>
      <c r="B6809" t="s">
        <v>16076</v>
      </c>
      <c r="C6809" t="s">
        <v>20510</v>
      </c>
      <c r="D6809" t="s">
        <v>16078</v>
      </c>
      <c r="E6809" t="s">
        <v>20511</v>
      </c>
      <c r="F6809" t="s">
        <v>20512</v>
      </c>
      <c r="G6809" t="s">
        <v>16266</v>
      </c>
      <c r="H6809" t="s">
        <v>20513</v>
      </c>
      <c r="I6809" t="s">
        <v>16082</v>
      </c>
    </row>
    <row r="6810" spans="1:9">
      <c r="A6810" t="s">
        <v>16075</v>
      </c>
      <c r="B6810" t="s">
        <v>16076</v>
      </c>
      <c r="C6810" t="s">
        <v>20514</v>
      </c>
      <c r="D6810" t="s">
        <v>16078</v>
      </c>
      <c r="E6810" t="s">
        <v>13792</v>
      </c>
      <c r="F6810" t="s">
        <v>20515</v>
      </c>
      <c r="G6810" t="s">
        <v>16109</v>
      </c>
      <c r="H6810" t="s">
        <v>20516</v>
      </c>
      <c r="I6810" t="s">
        <v>16082</v>
      </c>
    </row>
    <row r="6811" spans="1:9">
      <c r="A6811" t="s">
        <v>16075</v>
      </c>
      <c r="B6811" t="s">
        <v>16076</v>
      </c>
      <c r="C6811" t="s">
        <v>20517</v>
      </c>
      <c r="D6811" t="s">
        <v>16078</v>
      </c>
      <c r="E6811" t="s">
        <v>20518</v>
      </c>
      <c r="F6811" t="s">
        <v>20519</v>
      </c>
      <c r="G6811" t="s">
        <v>16320</v>
      </c>
      <c r="H6811" t="s">
        <v>20520</v>
      </c>
      <c r="I6811" t="s">
        <v>16082</v>
      </c>
    </row>
    <row r="6812" spans="1:9">
      <c r="A6812" t="s">
        <v>16075</v>
      </c>
      <c r="B6812" t="s">
        <v>16076</v>
      </c>
      <c r="C6812" t="s">
        <v>20521</v>
      </c>
      <c r="D6812" t="s">
        <v>16078</v>
      </c>
      <c r="E6812" t="s">
        <v>20522</v>
      </c>
      <c r="F6812" t="s">
        <v>20523</v>
      </c>
      <c r="G6812" t="s">
        <v>16109</v>
      </c>
      <c r="H6812" t="s">
        <v>20524</v>
      </c>
      <c r="I6812" t="s">
        <v>16082</v>
      </c>
    </row>
    <row r="6813" spans="1:9">
      <c r="A6813" t="s">
        <v>16075</v>
      </c>
      <c r="B6813" t="s">
        <v>16076</v>
      </c>
      <c r="C6813" t="s">
        <v>20525</v>
      </c>
      <c r="D6813" t="s">
        <v>16078</v>
      </c>
      <c r="E6813" t="s">
        <v>20526</v>
      </c>
      <c r="F6813" t="s">
        <v>20527</v>
      </c>
      <c r="G6813" t="s">
        <v>16209</v>
      </c>
      <c r="H6813" t="s">
        <v>20528</v>
      </c>
      <c r="I6813" t="s">
        <v>16082</v>
      </c>
    </row>
    <row r="6814" spans="1:9">
      <c r="A6814" t="s">
        <v>16075</v>
      </c>
      <c r="B6814" t="s">
        <v>16076</v>
      </c>
      <c r="C6814" t="s">
        <v>20529</v>
      </c>
      <c r="D6814" t="s">
        <v>16078</v>
      </c>
      <c r="E6814" t="s">
        <v>20530</v>
      </c>
      <c r="F6814" t="s">
        <v>20531</v>
      </c>
      <c r="G6814" t="s">
        <v>16869</v>
      </c>
      <c r="H6814" t="s">
        <v>20532</v>
      </c>
      <c r="I6814" t="s">
        <v>16093</v>
      </c>
    </row>
    <row r="6815" spans="1:9">
      <c r="A6815" t="s">
        <v>16075</v>
      </c>
      <c r="B6815" t="s">
        <v>16076</v>
      </c>
      <c r="C6815" t="s">
        <v>20533</v>
      </c>
      <c r="D6815" t="s">
        <v>16078</v>
      </c>
      <c r="E6815" t="s">
        <v>13605</v>
      </c>
      <c r="F6815" t="s">
        <v>20534</v>
      </c>
      <c r="G6815" t="s">
        <v>16173</v>
      </c>
      <c r="H6815" t="s">
        <v>20535</v>
      </c>
      <c r="I6815" t="s">
        <v>16082</v>
      </c>
    </row>
    <row r="6816" spans="1:9">
      <c r="A6816" t="s">
        <v>16075</v>
      </c>
      <c r="B6816" t="s">
        <v>16076</v>
      </c>
      <c r="C6816" t="s">
        <v>20536</v>
      </c>
      <c r="D6816" t="s">
        <v>16078</v>
      </c>
      <c r="E6816" t="s">
        <v>14566</v>
      </c>
      <c r="F6816" t="s">
        <v>20537</v>
      </c>
      <c r="G6816" t="s">
        <v>16178</v>
      </c>
      <c r="H6816" t="s">
        <v>20538</v>
      </c>
      <c r="I6816" t="s">
        <v>16082</v>
      </c>
    </row>
    <row r="6817" spans="1:9">
      <c r="A6817" t="s">
        <v>16075</v>
      </c>
      <c r="B6817" t="s">
        <v>16076</v>
      </c>
      <c r="C6817" t="s">
        <v>20539</v>
      </c>
      <c r="D6817" t="s">
        <v>16078</v>
      </c>
      <c r="E6817" t="s">
        <v>20540</v>
      </c>
      <c r="F6817" t="s">
        <v>20541</v>
      </c>
      <c r="G6817" t="s">
        <v>16080</v>
      </c>
      <c r="H6817" t="s">
        <v>20542</v>
      </c>
      <c r="I6817" t="s">
        <v>16082</v>
      </c>
    </row>
    <row r="6818" spans="1:9">
      <c r="A6818" t="s">
        <v>16075</v>
      </c>
      <c r="B6818" t="s">
        <v>16076</v>
      </c>
      <c r="C6818" t="s">
        <v>20543</v>
      </c>
      <c r="D6818" t="s">
        <v>16078</v>
      </c>
      <c r="E6818" t="s">
        <v>1049</v>
      </c>
      <c r="F6818" t="s">
        <v>20544</v>
      </c>
      <c r="G6818" t="s">
        <v>16593</v>
      </c>
      <c r="H6818" t="s">
        <v>20545</v>
      </c>
      <c r="I6818" t="s">
        <v>16093</v>
      </c>
    </row>
    <row r="6819" spans="1:9">
      <c r="A6819" t="s">
        <v>16075</v>
      </c>
      <c r="B6819" t="s">
        <v>16076</v>
      </c>
      <c r="C6819" t="s">
        <v>20546</v>
      </c>
      <c r="D6819" t="s">
        <v>16078</v>
      </c>
      <c r="E6819" t="s">
        <v>900</v>
      </c>
      <c r="F6819" t="s">
        <v>20547</v>
      </c>
      <c r="G6819" t="s">
        <v>16131</v>
      </c>
      <c r="H6819" t="s">
        <v>20548</v>
      </c>
      <c r="I6819" t="s">
        <v>16082</v>
      </c>
    </row>
    <row r="6820" spans="1:9">
      <c r="A6820" t="s">
        <v>16075</v>
      </c>
      <c r="B6820" t="s">
        <v>16076</v>
      </c>
      <c r="C6820" t="s">
        <v>20549</v>
      </c>
      <c r="D6820" t="s">
        <v>16078</v>
      </c>
      <c r="E6820" t="s">
        <v>20550</v>
      </c>
      <c r="F6820" t="s">
        <v>20551</v>
      </c>
      <c r="G6820" t="s">
        <v>16183</v>
      </c>
      <c r="H6820" t="s">
        <v>20456</v>
      </c>
      <c r="I6820" t="s">
        <v>16082</v>
      </c>
    </row>
    <row r="6821" spans="1:9">
      <c r="A6821" t="s">
        <v>16075</v>
      </c>
      <c r="B6821" t="s">
        <v>16076</v>
      </c>
      <c r="C6821" t="s">
        <v>20552</v>
      </c>
      <c r="D6821" t="s">
        <v>16078</v>
      </c>
      <c r="E6821" t="s">
        <v>20553</v>
      </c>
      <c r="F6821" t="s">
        <v>20554</v>
      </c>
      <c r="G6821" t="s">
        <v>16168</v>
      </c>
      <c r="H6821" t="s">
        <v>20555</v>
      </c>
      <c r="I6821" t="s">
        <v>16082</v>
      </c>
    </row>
    <row r="6822" spans="1:9">
      <c r="A6822" t="s">
        <v>16075</v>
      </c>
      <c r="B6822" t="s">
        <v>16076</v>
      </c>
      <c r="C6822" t="s">
        <v>20556</v>
      </c>
      <c r="D6822" t="s">
        <v>16078</v>
      </c>
      <c r="E6822" t="s">
        <v>20557</v>
      </c>
      <c r="F6822" t="s">
        <v>20558</v>
      </c>
      <c r="G6822" t="s">
        <v>16209</v>
      </c>
      <c r="H6822" t="s">
        <v>20559</v>
      </c>
      <c r="I6822" t="s">
        <v>16082</v>
      </c>
    </row>
    <row r="6823" spans="1:9">
      <c r="A6823" t="s">
        <v>16075</v>
      </c>
      <c r="B6823" t="s">
        <v>16076</v>
      </c>
      <c r="C6823" t="s">
        <v>20560</v>
      </c>
      <c r="D6823" t="s">
        <v>16078</v>
      </c>
      <c r="E6823" t="s">
        <v>1052</v>
      </c>
      <c r="F6823" t="s">
        <v>20561</v>
      </c>
      <c r="G6823" t="s">
        <v>16101</v>
      </c>
      <c r="H6823" t="s">
        <v>20562</v>
      </c>
      <c r="I6823" t="s">
        <v>16082</v>
      </c>
    </row>
    <row r="6824" spans="1:9">
      <c r="A6824" t="s">
        <v>16075</v>
      </c>
      <c r="B6824" t="s">
        <v>16076</v>
      </c>
      <c r="C6824" t="s">
        <v>20563</v>
      </c>
      <c r="D6824" t="s">
        <v>16078</v>
      </c>
      <c r="E6824" t="s">
        <v>20564</v>
      </c>
      <c r="F6824" t="s">
        <v>20565</v>
      </c>
      <c r="G6824" t="s">
        <v>16372</v>
      </c>
      <c r="H6824" t="s">
        <v>20300</v>
      </c>
      <c r="I6824" t="s">
        <v>16082</v>
      </c>
    </row>
    <row r="6825" spans="1:9">
      <c r="A6825" t="s">
        <v>16075</v>
      </c>
      <c r="B6825" t="s">
        <v>16076</v>
      </c>
      <c r="C6825" t="s">
        <v>20566</v>
      </c>
      <c r="D6825" t="s">
        <v>16078</v>
      </c>
      <c r="E6825" t="s">
        <v>20567</v>
      </c>
      <c r="F6825" t="s">
        <v>20568</v>
      </c>
      <c r="G6825" t="s">
        <v>16091</v>
      </c>
      <c r="H6825" t="s">
        <v>20569</v>
      </c>
      <c r="I6825" t="s">
        <v>16082</v>
      </c>
    </row>
    <row r="6826" spans="1:9">
      <c r="A6826" t="s">
        <v>16075</v>
      </c>
      <c r="B6826" t="s">
        <v>16076</v>
      </c>
      <c r="C6826" t="s">
        <v>20570</v>
      </c>
      <c r="D6826" t="s">
        <v>16078</v>
      </c>
      <c r="E6826" t="s">
        <v>9948</v>
      </c>
      <c r="F6826" t="s">
        <v>20571</v>
      </c>
      <c r="G6826" t="s">
        <v>20572</v>
      </c>
      <c r="H6826" t="s">
        <v>20573</v>
      </c>
      <c r="I6826" t="s">
        <v>16093</v>
      </c>
    </row>
    <row r="6827" spans="1:9">
      <c r="A6827" t="s">
        <v>16075</v>
      </c>
      <c r="B6827" t="s">
        <v>16076</v>
      </c>
      <c r="C6827" t="s">
        <v>20574</v>
      </c>
      <c r="D6827" t="s">
        <v>16078</v>
      </c>
      <c r="E6827" t="s">
        <v>20575</v>
      </c>
      <c r="F6827" t="s">
        <v>20576</v>
      </c>
      <c r="G6827" t="s">
        <v>16266</v>
      </c>
      <c r="H6827" t="s">
        <v>20456</v>
      </c>
      <c r="I6827" t="s">
        <v>16082</v>
      </c>
    </row>
    <row r="6828" spans="1:9">
      <c r="A6828" t="s">
        <v>16075</v>
      </c>
      <c r="B6828" t="s">
        <v>16076</v>
      </c>
      <c r="C6828" t="s">
        <v>20577</v>
      </c>
      <c r="D6828" t="s">
        <v>16078</v>
      </c>
      <c r="E6828" t="s">
        <v>7798</v>
      </c>
      <c r="F6828" t="s">
        <v>20578</v>
      </c>
      <c r="G6828" t="s">
        <v>16209</v>
      </c>
      <c r="H6828" t="s">
        <v>20579</v>
      </c>
      <c r="I6828" t="s">
        <v>16082</v>
      </c>
    </row>
    <row r="6829" spans="1:9">
      <c r="A6829" t="s">
        <v>16075</v>
      </c>
      <c r="B6829" t="s">
        <v>16076</v>
      </c>
      <c r="C6829" t="s">
        <v>20580</v>
      </c>
      <c r="D6829" t="s">
        <v>16078</v>
      </c>
      <c r="E6829" t="s">
        <v>20581</v>
      </c>
      <c r="F6829" t="s">
        <v>20582</v>
      </c>
      <c r="G6829" t="s">
        <v>16846</v>
      </c>
      <c r="H6829" t="s">
        <v>20583</v>
      </c>
      <c r="I6829" t="s">
        <v>16093</v>
      </c>
    </row>
    <row r="6830" spans="1:9">
      <c r="A6830" t="s">
        <v>16075</v>
      </c>
      <c r="B6830" t="s">
        <v>16076</v>
      </c>
      <c r="C6830" t="s">
        <v>20584</v>
      </c>
      <c r="D6830" t="s">
        <v>16078</v>
      </c>
      <c r="E6830" t="s">
        <v>20585</v>
      </c>
      <c r="F6830" t="s">
        <v>20586</v>
      </c>
      <c r="G6830" t="s">
        <v>16091</v>
      </c>
      <c r="H6830" t="s">
        <v>20587</v>
      </c>
      <c r="I6830" t="s">
        <v>16082</v>
      </c>
    </row>
    <row r="6831" spans="1:9">
      <c r="A6831" t="s">
        <v>16075</v>
      </c>
      <c r="B6831" t="s">
        <v>16076</v>
      </c>
      <c r="C6831" t="s">
        <v>20588</v>
      </c>
      <c r="D6831" t="s">
        <v>16078</v>
      </c>
      <c r="E6831" t="s">
        <v>20589</v>
      </c>
      <c r="F6831" t="s">
        <v>20590</v>
      </c>
      <c r="G6831" t="s">
        <v>16194</v>
      </c>
      <c r="H6831" t="s">
        <v>20591</v>
      </c>
      <c r="I6831" t="s">
        <v>16082</v>
      </c>
    </row>
    <row r="6832" spans="1:9">
      <c r="A6832" t="s">
        <v>16075</v>
      </c>
      <c r="B6832" t="s">
        <v>16076</v>
      </c>
      <c r="C6832" t="s">
        <v>20592</v>
      </c>
      <c r="D6832" t="s">
        <v>16078</v>
      </c>
      <c r="E6832" t="s">
        <v>20593</v>
      </c>
      <c r="F6832" t="s">
        <v>20594</v>
      </c>
      <c r="G6832" t="s">
        <v>16183</v>
      </c>
      <c r="H6832" t="s">
        <v>20595</v>
      </c>
      <c r="I6832" t="s">
        <v>16093</v>
      </c>
    </row>
    <row r="6833" spans="1:9">
      <c r="A6833" t="s">
        <v>16075</v>
      </c>
      <c r="B6833" t="s">
        <v>16076</v>
      </c>
      <c r="C6833" t="s">
        <v>20596</v>
      </c>
      <c r="D6833" t="s">
        <v>16078</v>
      </c>
      <c r="E6833" t="s">
        <v>11463</v>
      </c>
      <c r="F6833" t="s">
        <v>20597</v>
      </c>
      <c r="G6833" t="s">
        <v>16116</v>
      </c>
      <c r="H6833" t="s">
        <v>20598</v>
      </c>
      <c r="I6833" t="s">
        <v>16082</v>
      </c>
    </row>
    <row r="6834" spans="1:9">
      <c r="A6834" t="s">
        <v>16075</v>
      </c>
      <c r="B6834" t="s">
        <v>16076</v>
      </c>
      <c r="C6834" t="s">
        <v>20599</v>
      </c>
      <c r="D6834" t="s">
        <v>16078</v>
      </c>
      <c r="E6834" t="s">
        <v>8225</v>
      </c>
      <c r="F6834" t="s">
        <v>20600</v>
      </c>
      <c r="G6834" t="s">
        <v>16131</v>
      </c>
      <c r="H6834" t="s">
        <v>20601</v>
      </c>
      <c r="I6834" t="s">
        <v>16082</v>
      </c>
    </row>
    <row r="6835" spans="1:9">
      <c r="A6835" t="s">
        <v>16075</v>
      </c>
      <c r="B6835" t="s">
        <v>16076</v>
      </c>
      <c r="C6835" t="s">
        <v>20602</v>
      </c>
      <c r="D6835" t="s">
        <v>16078</v>
      </c>
      <c r="E6835" t="s">
        <v>5279</v>
      </c>
      <c r="F6835" t="s">
        <v>20603</v>
      </c>
      <c r="G6835" t="s">
        <v>16116</v>
      </c>
      <c r="H6835" t="s">
        <v>20604</v>
      </c>
      <c r="I6835" t="s">
        <v>16082</v>
      </c>
    </row>
    <row r="6836" spans="1:9">
      <c r="A6836" t="s">
        <v>16075</v>
      </c>
      <c r="B6836" t="s">
        <v>16076</v>
      </c>
      <c r="C6836" t="s">
        <v>20605</v>
      </c>
      <c r="D6836" t="s">
        <v>16078</v>
      </c>
      <c r="E6836" t="s">
        <v>8196</v>
      </c>
      <c r="F6836" t="s">
        <v>20606</v>
      </c>
      <c r="G6836" t="s">
        <v>16178</v>
      </c>
      <c r="H6836" t="s">
        <v>20607</v>
      </c>
      <c r="I6836" t="s">
        <v>16082</v>
      </c>
    </row>
    <row r="6837" spans="1:9">
      <c r="A6837" t="s">
        <v>16075</v>
      </c>
      <c r="B6837" t="s">
        <v>16076</v>
      </c>
      <c r="C6837" t="s">
        <v>20608</v>
      </c>
      <c r="D6837" t="s">
        <v>16078</v>
      </c>
      <c r="E6837" t="s">
        <v>20609</v>
      </c>
      <c r="F6837" t="s">
        <v>20610</v>
      </c>
      <c r="G6837" t="s">
        <v>16194</v>
      </c>
      <c r="H6837" t="s">
        <v>20611</v>
      </c>
      <c r="I6837" t="s">
        <v>16082</v>
      </c>
    </row>
    <row r="6838" spans="1:9">
      <c r="A6838" t="s">
        <v>16075</v>
      </c>
      <c r="B6838" t="s">
        <v>16076</v>
      </c>
      <c r="C6838" t="s">
        <v>20612</v>
      </c>
      <c r="D6838" t="s">
        <v>16078</v>
      </c>
      <c r="E6838" t="s">
        <v>3735</v>
      </c>
      <c r="F6838" t="s">
        <v>20613</v>
      </c>
      <c r="G6838" t="s">
        <v>16086</v>
      </c>
      <c r="H6838" t="s">
        <v>20614</v>
      </c>
      <c r="I6838" t="s">
        <v>16082</v>
      </c>
    </row>
    <row r="6839" spans="1:9">
      <c r="A6839" t="s">
        <v>16075</v>
      </c>
      <c r="B6839" t="s">
        <v>16076</v>
      </c>
      <c r="C6839" t="s">
        <v>20615</v>
      </c>
      <c r="D6839" t="s">
        <v>16078</v>
      </c>
      <c r="E6839" t="s">
        <v>14858</v>
      </c>
      <c r="F6839" t="s">
        <v>20616</v>
      </c>
      <c r="G6839" t="s">
        <v>16372</v>
      </c>
      <c r="H6839" t="s">
        <v>20617</v>
      </c>
      <c r="I6839" t="s">
        <v>16082</v>
      </c>
    </row>
    <row r="6840" spans="1:9">
      <c r="A6840" t="s">
        <v>16075</v>
      </c>
      <c r="B6840" t="s">
        <v>16076</v>
      </c>
      <c r="C6840" t="s">
        <v>20618</v>
      </c>
      <c r="D6840" t="s">
        <v>16078</v>
      </c>
      <c r="E6840" t="s">
        <v>20619</v>
      </c>
      <c r="F6840" t="s">
        <v>20620</v>
      </c>
      <c r="G6840" t="s">
        <v>16462</v>
      </c>
      <c r="H6840" t="s">
        <v>20621</v>
      </c>
      <c r="I6840" t="s">
        <v>16082</v>
      </c>
    </row>
    <row r="6841" spans="1:9">
      <c r="A6841" t="s">
        <v>16075</v>
      </c>
      <c r="B6841" t="s">
        <v>16076</v>
      </c>
      <c r="C6841" t="s">
        <v>20622</v>
      </c>
      <c r="D6841" t="s">
        <v>16078</v>
      </c>
      <c r="E6841" t="s">
        <v>11067</v>
      </c>
      <c r="F6841" t="s">
        <v>20623</v>
      </c>
      <c r="G6841" t="s">
        <v>16131</v>
      </c>
      <c r="H6841" t="s">
        <v>20624</v>
      </c>
      <c r="I6841" t="s">
        <v>16082</v>
      </c>
    </row>
    <row r="6842" spans="1:9">
      <c r="A6842" t="s">
        <v>16075</v>
      </c>
      <c r="B6842" t="s">
        <v>16076</v>
      </c>
      <c r="C6842" t="s">
        <v>20625</v>
      </c>
      <c r="D6842" t="s">
        <v>16078</v>
      </c>
      <c r="E6842" t="s">
        <v>8183</v>
      </c>
      <c r="F6842" t="s">
        <v>20626</v>
      </c>
      <c r="G6842" t="s">
        <v>16101</v>
      </c>
      <c r="H6842" t="s">
        <v>20627</v>
      </c>
      <c r="I6842" t="s">
        <v>16082</v>
      </c>
    </row>
    <row r="6843" spans="1:9">
      <c r="A6843" t="s">
        <v>16075</v>
      </c>
      <c r="B6843" t="s">
        <v>16076</v>
      </c>
      <c r="C6843" t="s">
        <v>20628</v>
      </c>
      <c r="D6843" t="s">
        <v>16078</v>
      </c>
      <c r="E6843" t="s">
        <v>7435</v>
      </c>
      <c r="F6843" t="s">
        <v>20629</v>
      </c>
      <c r="G6843" t="s">
        <v>16194</v>
      </c>
      <c r="H6843" t="s">
        <v>20630</v>
      </c>
      <c r="I6843" t="s">
        <v>16082</v>
      </c>
    </row>
    <row r="6844" spans="1:9">
      <c r="A6844" t="s">
        <v>16075</v>
      </c>
      <c r="B6844" t="s">
        <v>16076</v>
      </c>
      <c r="C6844" t="s">
        <v>20631</v>
      </c>
      <c r="D6844" t="s">
        <v>16078</v>
      </c>
      <c r="E6844" t="s">
        <v>10572</v>
      </c>
      <c r="F6844" t="s">
        <v>20632</v>
      </c>
      <c r="G6844" t="s">
        <v>16080</v>
      </c>
      <c r="H6844" t="s">
        <v>20633</v>
      </c>
      <c r="I6844" t="s">
        <v>16082</v>
      </c>
    </row>
    <row r="6845" spans="1:9">
      <c r="A6845" t="s">
        <v>16075</v>
      </c>
      <c r="B6845" t="s">
        <v>16076</v>
      </c>
      <c r="C6845" t="s">
        <v>20634</v>
      </c>
      <c r="D6845" t="s">
        <v>16078</v>
      </c>
      <c r="E6845" t="s">
        <v>4540</v>
      </c>
      <c r="F6845" t="s">
        <v>20635</v>
      </c>
      <c r="G6845" t="s">
        <v>16080</v>
      </c>
      <c r="H6845" t="s">
        <v>20636</v>
      </c>
      <c r="I6845" t="s">
        <v>16082</v>
      </c>
    </row>
    <row r="6846" spans="1:9">
      <c r="A6846" t="s">
        <v>16075</v>
      </c>
      <c r="B6846" t="s">
        <v>16076</v>
      </c>
      <c r="C6846" t="s">
        <v>20637</v>
      </c>
      <c r="D6846" t="s">
        <v>16078</v>
      </c>
      <c r="E6846" t="s">
        <v>20638</v>
      </c>
      <c r="F6846" t="s">
        <v>20639</v>
      </c>
      <c r="G6846" t="s">
        <v>16173</v>
      </c>
      <c r="H6846" t="s">
        <v>20640</v>
      </c>
      <c r="I6846" t="s">
        <v>16082</v>
      </c>
    </row>
    <row r="6847" spans="1:9">
      <c r="A6847" t="s">
        <v>16075</v>
      </c>
      <c r="B6847" t="s">
        <v>16076</v>
      </c>
      <c r="C6847" t="s">
        <v>20641</v>
      </c>
      <c r="D6847" t="s">
        <v>16078</v>
      </c>
      <c r="E6847" t="s">
        <v>7968</v>
      </c>
      <c r="F6847" t="s">
        <v>20642</v>
      </c>
      <c r="G6847" t="s">
        <v>16086</v>
      </c>
      <c r="H6847" t="s">
        <v>20643</v>
      </c>
      <c r="I6847" t="s">
        <v>16082</v>
      </c>
    </row>
    <row r="6848" spans="1:9">
      <c r="A6848" t="s">
        <v>16075</v>
      </c>
      <c r="B6848" t="s">
        <v>16076</v>
      </c>
      <c r="C6848" t="s">
        <v>20644</v>
      </c>
      <c r="D6848" t="s">
        <v>16078</v>
      </c>
      <c r="E6848" t="s">
        <v>15944</v>
      </c>
      <c r="F6848" t="s">
        <v>20645</v>
      </c>
      <c r="G6848" t="s">
        <v>16266</v>
      </c>
      <c r="H6848" t="s">
        <v>20646</v>
      </c>
      <c r="I6848" t="s">
        <v>16082</v>
      </c>
    </row>
    <row r="6849" spans="1:14">
      <c r="A6849" t="s">
        <v>16075</v>
      </c>
      <c r="B6849" t="s">
        <v>16076</v>
      </c>
      <c r="C6849" t="s">
        <v>20647</v>
      </c>
      <c r="D6849" t="s">
        <v>16078</v>
      </c>
      <c r="E6849" t="s">
        <v>5282</v>
      </c>
      <c r="F6849" t="s">
        <v>20648</v>
      </c>
      <c r="G6849" t="s">
        <v>16131</v>
      </c>
      <c r="H6849" t="s">
        <v>20649</v>
      </c>
      <c r="I6849" t="s">
        <v>16082</v>
      </c>
    </row>
    <row r="6850" spans="1:14">
      <c r="A6850" t="s">
        <v>16075</v>
      </c>
      <c r="B6850" t="s">
        <v>16076</v>
      </c>
      <c r="C6850" t="s">
        <v>20650</v>
      </c>
      <c r="D6850" t="s">
        <v>16078</v>
      </c>
      <c r="E6850" t="s">
        <v>20651</v>
      </c>
      <c r="F6850" t="s">
        <v>20652</v>
      </c>
      <c r="G6850" t="s">
        <v>16209</v>
      </c>
      <c r="H6850" t="s">
        <v>20653</v>
      </c>
      <c r="I6850" t="s">
        <v>16082</v>
      </c>
    </row>
    <row r="6851" spans="1:14">
      <c r="A6851" t="s">
        <v>16075</v>
      </c>
      <c r="B6851" t="s">
        <v>16076</v>
      </c>
      <c r="C6851" t="s">
        <v>20654</v>
      </c>
      <c r="D6851" t="s">
        <v>16078</v>
      </c>
      <c r="E6851" t="s">
        <v>3765</v>
      </c>
      <c r="F6851" t="s">
        <v>20655</v>
      </c>
      <c r="G6851" t="s">
        <v>16091</v>
      </c>
      <c r="H6851" t="s">
        <v>20656</v>
      </c>
      <c r="I6851" t="s">
        <v>16082</v>
      </c>
    </row>
    <row r="6852" spans="1:14">
      <c r="A6852" t="s">
        <v>16075</v>
      </c>
      <c r="B6852" t="s">
        <v>16076</v>
      </c>
      <c r="C6852" t="s">
        <v>20657</v>
      </c>
      <c r="D6852" t="s">
        <v>16078</v>
      </c>
      <c r="E6852" t="s">
        <v>12105</v>
      </c>
      <c r="F6852" t="s">
        <v>20658</v>
      </c>
      <c r="G6852" t="s">
        <v>16086</v>
      </c>
      <c r="H6852" t="s">
        <v>20659</v>
      </c>
      <c r="I6852" t="s">
        <v>16082</v>
      </c>
    </row>
    <row r="6853" spans="1:14">
      <c r="A6853" t="s">
        <v>16075</v>
      </c>
      <c r="B6853" t="s">
        <v>16076</v>
      </c>
      <c r="C6853" t="s">
        <v>20660</v>
      </c>
      <c r="D6853" t="s">
        <v>16078</v>
      </c>
      <c r="E6853" t="s">
        <v>20661</v>
      </c>
      <c r="F6853" t="s">
        <v>20662</v>
      </c>
      <c r="G6853" t="s">
        <v>16091</v>
      </c>
      <c r="H6853" t="s">
        <v>20663</v>
      </c>
      <c r="I6853" t="s">
        <v>16082</v>
      </c>
      <c r="J6853" t="s">
        <v>20661</v>
      </c>
      <c r="K6853" t="s">
        <v>16075</v>
      </c>
      <c r="L6853" t="s">
        <v>16219</v>
      </c>
      <c r="M6853" t="s">
        <v>16082</v>
      </c>
      <c r="N6853" t="s">
        <v>20663</v>
      </c>
    </row>
    <row r="6854" spans="1:14">
      <c r="A6854" t="s">
        <v>16075</v>
      </c>
      <c r="B6854" t="s">
        <v>16076</v>
      </c>
      <c r="C6854" t="s">
        <v>20664</v>
      </c>
      <c r="D6854" t="s">
        <v>16078</v>
      </c>
      <c r="E6854" t="s">
        <v>4550</v>
      </c>
      <c r="F6854" t="s">
        <v>20665</v>
      </c>
      <c r="G6854" t="s">
        <v>16105</v>
      </c>
      <c r="H6854" t="s">
        <v>20666</v>
      </c>
      <c r="I6854" t="s">
        <v>16082</v>
      </c>
    </row>
    <row r="6855" spans="1:14">
      <c r="A6855" t="s">
        <v>16075</v>
      </c>
      <c r="B6855" t="s">
        <v>16076</v>
      </c>
      <c r="C6855" t="s">
        <v>20667</v>
      </c>
      <c r="D6855" t="s">
        <v>16078</v>
      </c>
      <c r="E6855" t="s">
        <v>20668</v>
      </c>
      <c r="F6855" t="s">
        <v>20669</v>
      </c>
      <c r="G6855" t="s">
        <v>16080</v>
      </c>
      <c r="H6855" t="s">
        <v>20670</v>
      </c>
      <c r="I6855" t="s">
        <v>16082</v>
      </c>
    </row>
    <row r="6856" spans="1:14">
      <c r="A6856" t="s">
        <v>16075</v>
      </c>
      <c r="B6856" t="s">
        <v>16076</v>
      </c>
      <c r="C6856" t="s">
        <v>20671</v>
      </c>
      <c r="D6856" t="s">
        <v>16078</v>
      </c>
      <c r="E6856" t="s">
        <v>3745</v>
      </c>
      <c r="F6856" t="s">
        <v>20672</v>
      </c>
      <c r="G6856" t="s">
        <v>16086</v>
      </c>
      <c r="H6856" t="s">
        <v>20673</v>
      </c>
      <c r="I6856" t="s">
        <v>16082</v>
      </c>
    </row>
    <row r="6857" spans="1:14">
      <c r="A6857" t="s">
        <v>16075</v>
      </c>
      <c r="B6857" t="s">
        <v>16076</v>
      </c>
      <c r="C6857" t="s">
        <v>20674</v>
      </c>
      <c r="D6857" t="s">
        <v>16078</v>
      </c>
      <c r="E6857" t="s">
        <v>20675</v>
      </c>
      <c r="F6857" t="s">
        <v>20676</v>
      </c>
      <c r="G6857" t="s">
        <v>17229</v>
      </c>
      <c r="I6857" t="s">
        <v>16082</v>
      </c>
    </row>
    <row r="6858" spans="1:14">
      <c r="A6858" t="s">
        <v>16075</v>
      </c>
      <c r="B6858" t="s">
        <v>16076</v>
      </c>
      <c r="C6858" t="s">
        <v>20677</v>
      </c>
      <c r="D6858" t="s">
        <v>16078</v>
      </c>
      <c r="E6858" t="s">
        <v>20678</v>
      </c>
      <c r="F6858" t="s">
        <v>20679</v>
      </c>
      <c r="G6858" t="s">
        <v>16091</v>
      </c>
      <c r="H6858" t="s">
        <v>20680</v>
      </c>
      <c r="I6858" t="s">
        <v>16082</v>
      </c>
    </row>
    <row r="6859" spans="1:14">
      <c r="A6859" t="s">
        <v>16075</v>
      </c>
      <c r="B6859" t="s">
        <v>16076</v>
      </c>
      <c r="C6859" t="s">
        <v>20681</v>
      </c>
      <c r="D6859" t="s">
        <v>16078</v>
      </c>
      <c r="E6859" t="s">
        <v>7975</v>
      </c>
      <c r="F6859" t="s">
        <v>20682</v>
      </c>
      <c r="G6859" t="s">
        <v>16194</v>
      </c>
      <c r="H6859" t="s">
        <v>20683</v>
      </c>
      <c r="I6859" t="s">
        <v>16082</v>
      </c>
    </row>
    <row r="6860" spans="1:14">
      <c r="A6860" t="s">
        <v>16075</v>
      </c>
      <c r="B6860" t="s">
        <v>16076</v>
      </c>
      <c r="C6860" t="s">
        <v>20684</v>
      </c>
      <c r="D6860" t="s">
        <v>16078</v>
      </c>
      <c r="E6860" t="s">
        <v>20685</v>
      </c>
      <c r="F6860" t="s">
        <v>20686</v>
      </c>
      <c r="G6860" t="s">
        <v>16209</v>
      </c>
      <c r="H6860" t="s">
        <v>20687</v>
      </c>
      <c r="I6860" t="s">
        <v>16082</v>
      </c>
    </row>
    <row r="6861" spans="1:14">
      <c r="A6861" t="s">
        <v>16075</v>
      </c>
      <c r="B6861" t="s">
        <v>16076</v>
      </c>
      <c r="C6861" t="s">
        <v>20688</v>
      </c>
      <c r="D6861" t="s">
        <v>16078</v>
      </c>
      <c r="E6861" t="s">
        <v>20689</v>
      </c>
      <c r="F6861" t="s">
        <v>20690</v>
      </c>
      <c r="G6861" t="s">
        <v>16303</v>
      </c>
      <c r="H6861" t="s">
        <v>20421</v>
      </c>
      <c r="I6861" t="s">
        <v>16082</v>
      </c>
    </row>
    <row r="6862" spans="1:14">
      <c r="A6862" t="s">
        <v>16075</v>
      </c>
      <c r="B6862" t="s">
        <v>16076</v>
      </c>
      <c r="C6862" t="s">
        <v>20691</v>
      </c>
      <c r="D6862" t="s">
        <v>16078</v>
      </c>
      <c r="E6862" t="s">
        <v>3748</v>
      </c>
      <c r="F6862" t="s">
        <v>20692</v>
      </c>
      <c r="G6862" t="s">
        <v>16194</v>
      </c>
      <c r="H6862" t="s">
        <v>20693</v>
      </c>
      <c r="I6862" t="s">
        <v>16082</v>
      </c>
    </row>
    <row r="6863" spans="1:14">
      <c r="A6863" t="s">
        <v>16075</v>
      </c>
      <c r="B6863" t="s">
        <v>16076</v>
      </c>
      <c r="C6863" t="s">
        <v>20694</v>
      </c>
      <c r="D6863" t="s">
        <v>16078</v>
      </c>
      <c r="E6863" t="s">
        <v>4552</v>
      </c>
      <c r="F6863" t="s">
        <v>20695</v>
      </c>
      <c r="G6863" t="s">
        <v>16159</v>
      </c>
      <c r="H6863" t="s">
        <v>20696</v>
      </c>
      <c r="I6863" t="s">
        <v>16082</v>
      </c>
    </row>
    <row r="6864" spans="1:14">
      <c r="A6864" t="s">
        <v>16075</v>
      </c>
      <c r="B6864" t="s">
        <v>16076</v>
      </c>
      <c r="C6864" t="s">
        <v>20697</v>
      </c>
      <c r="D6864" t="s">
        <v>16078</v>
      </c>
      <c r="E6864" t="s">
        <v>20698</v>
      </c>
      <c r="F6864" t="s">
        <v>20699</v>
      </c>
      <c r="G6864" t="s">
        <v>16131</v>
      </c>
      <c r="H6864" t="s">
        <v>20700</v>
      </c>
      <c r="I6864" t="s">
        <v>16093</v>
      </c>
    </row>
    <row r="6865" spans="1:9">
      <c r="A6865" t="s">
        <v>16075</v>
      </c>
      <c r="B6865" t="s">
        <v>16076</v>
      </c>
      <c r="C6865" t="s">
        <v>20701</v>
      </c>
      <c r="D6865" t="s">
        <v>16078</v>
      </c>
      <c r="E6865" t="s">
        <v>20702</v>
      </c>
      <c r="F6865" t="s">
        <v>20703</v>
      </c>
      <c r="G6865" t="s">
        <v>16194</v>
      </c>
      <c r="H6865" t="s">
        <v>20704</v>
      </c>
      <c r="I6865" t="s">
        <v>16082</v>
      </c>
    </row>
    <row r="6866" spans="1:9">
      <c r="A6866" t="s">
        <v>16075</v>
      </c>
      <c r="B6866" t="s">
        <v>16076</v>
      </c>
      <c r="C6866" t="s">
        <v>20705</v>
      </c>
      <c r="D6866" t="s">
        <v>16078</v>
      </c>
      <c r="E6866" t="s">
        <v>10817</v>
      </c>
      <c r="F6866" t="s">
        <v>20706</v>
      </c>
      <c r="G6866" t="s">
        <v>16131</v>
      </c>
      <c r="H6866" t="s">
        <v>20707</v>
      </c>
      <c r="I6866" t="s">
        <v>16082</v>
      </c>
    </row>
    <row r="6867" spans="1:9">
      <c r="A6867" t="s">
        <v>16075</v>
      </c>
      <c r="B6867" t="s">
        <v>16076</v>
      </c>
      <c r="C6867" t="s">
        <v>20708</v>
      </c>
      <c r="D6867" t="s">
        <v>16078</v>
      </c>
      <c r="E6867" t="s">
        <v>20709</v>
      </c>
      <c r="F6867" t="s">
        <v>20710</v>
      </c>
      <c r="G6867" t="s">
        <v>16159</v>
      </c>
      <c r="H6867" t="s">
        <v>20711</v>
      </c>
      <c r="I6867" t="s">
        <v>16082</v>
      </c>
    </row>
    <row r="6868" spans="1:9">
      <c r="A6868" t="s">
        <v>16075</v>
      </c>
      <c r="B6868" t="s">
        <v>16076</v>
      </c>
      <c r="C6868" t="s">
        <v>20712</v>
      </c>
      <c r="D6868" t="s">
        <v>16078</v>
      </c>
      <c r="E6868" t="s">
        <v>20713</v>
      </c>
      <c r="F6868" t="s">
        <v>20714</v>
      </c>
      <c r="G6868" t="s">
        <v>16209</v>
      </c>
      <c r="H6868" t="s">
        <v>20715</v>
      </c>
      <c r="I6868" t="s">
        <v>16082</v>
      </c>
    </row>
    <row r="6869" spans="1:9">
      <c r="A6869" t="s">
        <v>16075</v>
      </c>
      <c r="B6869" t="s">
        <v>16076</v>
      </c>
      <c r="C6869" t="s">
        <v>20716</v>
      </c>
      <c r="D6869" t="s">
        <v>16078</v>
      </c>
      <c r="E6869" t="s">
        <v>2933</v>
      </c>
      <c r="F6869" t="s">
        <v>20717</v>
      </c>
      <c r="G6869" t="s">
        <v>16097</v>
      </c>
      <c r="H6869" t="s">
        <v>20718</v>
      </c>
      <c r="I6869" t="s">
        <v>16082</v>
      </c>
    </row>
    <row r="6870" spans="1:9">
      <c r="A6870" t="s">
        <v>16075</v>
      </c>
      <c r="B6870" t="s">
        <v>16076</v>
      </c>
      <c r="C6870" t="s">
        <v>20719</v>
      </c>
      <c r="D6870" t="s">
        <v>16078</v>
      </c>
      <c r="E6870" t="s">
        <v>5291</v>
      </c>
      <c r="F6870" t="s">
        <v>20720</v>
      </c>
      <c r="G6870" t="s">
        <v>16131</v>
      </c>
      <c r="H6870" t="s">
        <v>20721</v>
      </c>
      <c r="I6870" t="s">
        <v>16082</v>
      </c>
    </row>
    <row r="6871" spans="1:9">
      <c r="A6871" t="s">
        <v>16075</v>
      </c>
      <c r="B6871" t="s">
        <v>16076</v>
      </c>
      <c r="C6871" t="s">
        <v>20722</v>
      </c>
      <c r="D6871" t="s">
        <v>16078</v>
      </c>
      <c r="E6871" t="s">
        <v>1332</v>
      </c>
      <c r="F6871" t="s">
        <v>20723</v>
      </c>
      <c r="G6871" t="s">
        <v>16131</v>
      </c>
      <c r="H6871" t="s">
        <v>20724</v>
      </c>
      <c r="I6871" t="s">
        <v>16082</v>
      </c>
    </row>
    <row r="6872" spans="1:9">
      <c r="A6872" t="s">
        <v>16075</v>
      </c>
      <c r="B6872" t="s">
        <v>16076</v>
      </c>
      <c r="C6872" t="s">
        <v>20725</v>
      </c>
      <c r="D6872" t="s">
        <v>16078</v>
      </c>
      <c r="E6872" t="s">
        <v>2939</v>
      </c>
      <c r="F6872" t="s">
        <v>20726</v>
      </c>
      <c r="G6872" t="s">
        <v>16194</v>
      </c>
      <c r="H6872" t="s">
        <v>20727</v>
      </c>
      <c r="I6872" t="s">
        <v>16082</v>
      </c>
    </row>
    <row r="6873" spans="1:9">
      <c r="A6873" t="s">
        <v>16075</v>
      </c>
      <c r="B6873" t="s">
        <v>16076</v>
      </c>
      <c r="C6873" t="s">
        <v>20728</v>
      </c>
      <c r="D6873" t="s">
        <v>16078</v>
      </c>
      <c r="E6873" t="s">
        <v>9972</v>
      </c>
      <c r="F6873" t="s">
        <v>20729</v>
      </c>
      <c r="G6873" t="s">
        <v>16209</v>
      </c>
      <c r="H6873" t="s">
        <v>20730</v>
      </c>
      <c r="I6873" t="s">
        <v>16082</v>
      </c>
    </row>
    <row r="6874" spans="1:9">
      <c r="A6874" t="s">
        <v>16075</v>
      </c>
      <c r="B6874" t="s">
        <v>16076</v>
      </c>
      <c r="C6874" t="s">
        <v>20731</v>
      </c>
      <c r="D6874" t="s">
        <v>16078</v>
      </c>
      <c r="E6874" t="s">
        <v>9975</v>
      </c>
      <c r="F6874" t="s">
        <v>20732</v>
      </c>
      <c r="G6874" t="s">
        <v>16097</v>
      </c>
      <c r="H6874" t="s">
        <v>20733</v>
      </c>
      <c r="I6874" t="s">
        <v>16082</v>
      </c>
    </row>
    <row r="6875" spans="1:9">
      <c r="A6875" t="s">
        <v>16075</v>
      </c>
      <c r="B6875" t="s">
        <v>16076</v>
      </c>
      <c r="C6875" t="s">
        <v>20734</v>
      </c>
      <c r="D6875" t="s">
        <v>16078</v>
      </c>
      <c r="E6875" t="s">
        <v>10478</v>
      </c>
      <c r="F6875" t="s">
        <v>20735</v>
      </c>
      <c r="G6875" t="s">
        <v>16080</v>
      </c>
      <c r="H6875" t="s">
        <v>20736</v>
      </c>
      <c r="I6875" t="s">
        <v>16082</v>
      </c>
    </row>
    <row r="6876" spans="1:9">
      <c r="A6876" t="s">
        <v>16075</v>
      </c>
      <c r="B6876" t="s">
        <v>16076</v>
      </c>
      <c r="C6876" t="s">
        <v>20737</v>
      </c>
      <c r="D6876" t="s">
        <v>16078</v>
      </c>
      <c r="E6876" t="s">
        <v>9983</v>
      </c>
      <c r="F6876" t="s">
        <v>20738</v>
      </c>
      <c r="G6876" t="s">
        <v>16173</v>
      </c>
      <c r="H6876" t="s">
        <v>20739</v>
      </c>
      <c r="I6876" t="s">
        <v>16082</v>
      </c>
    </row>
    <row r="6877" spans="1:9">
      <c r="A6877" t="s">
        <v>16075</v>
      </c>
      <c r="B6877" t="s">
        <v>16076</v>
      </c>
      <c r="C6877" t="s">
        <v>20740</v>
      </c>
      <c r="D6877" t="s">
        <v>16078</v>
      </c>
      <c r="E6877" t="s">
        <v>20741</v>
      </c>
      <c r="F6877" t="s">
        <v>20742</v>
      </c>
      <c r="G6877" t="s">
        <v>16097</v>
      </c>
      <c r="H6877" t="s">
        <v>20743</v>
      </c>
      <c r="I6877" t="s">
        <v>16082</v>
      </c>
    </row>
    <row r="6878" spans="1:9">
      <c r="A6878" t="s">
        <v>16075</v>
      </c>
      <c r="B6878" t="s">
        <v>16076</v>
      </c>
      <c r="C6878" t="s">
        <v>20744</v>
      </c>
      <c r="D6878" t="s">
        <v>16078</v>
      </c>
      <c r="E6878" t="s">
        <v>9992</v>
      </c>
      <c r="F6878" t="s">
        <v>20745</v>
      </c>
      <c r="G6878" t="s">
        <v>16091</v>
      </c>
      <c r="H6878" t="s">
        <v>20746</v>
      </c>
      <c r="I6878" t="s">
        <v>16082</v>
      </c>
    </row>
    <row r="6879" spans="1:9">
      <c r="A6879" t="s">
        <v>16075</v>
      </c>
      <c r="B6879" t="s">
        <v>16076</v>
      </c>
      <c r="C6879" t="s">
        <v>20747</v>
      </c>
      <c r="D6879" t="s">
        <v>16078</v>
      </c>
      <c r="E6879" t="s">
        <v>11469</v>
      </c>
      <c r="F6879" t="s">
        <v>20748</v>
      </c>
      <c r="G6879" t="s">
        <v>16131</v>
      </c>
      <c r="H6879" t="s">
        <v>20749</v>
      </c>
      <c r="I6879" t="s">
        <v>16082</v>
      </c>
    </row>
    <row r="6880" spans="1:9">
      <c r="A6880" t="s">
        <v>16075</v>
      </c>
      <c r="B6880" t="s">
        <v>16076</v>
      </c>
      <c r="C6880" t="s">
        <v>20750</v>
      </c>
      <c r="D6880" t="s">
        <v>16078</v>
      </c>
      <c r="E6880" t="s">
        <v>3527</v>
      </c>
      <c r="F6880" t="s">
        <v>20751</v>
      </c>
      <c r="G6880" t="s">
        <v>16080</v>
      </c>
      <c r="H6880" t="s">
        <v>20752</v>
      </c>
      <c r="I6880" t="s">
        <v>16082</v>
      </c>
    </row>
    <row r="6881" spans="1:9">
      <c r="A6881" t="s">
        <v>16075</v>
      </c>
      <c r="B6881" t="s">
        <v>16076</v>
      </c>
      <c r="C6881" t="s">
        <v>20753</v>
      </c>
      <c r="D6881" t="s">
        <v>16078</v>
      </c>
      <c r="E6881" t="s">
        <v>10000</v>
      </c>
      <c r="F6881" t="s">
        <v>20754</v>
      </c>
      <c r="G6881" t="s">
        <v>16194</v>
      </c>
      <c r="H6881" t="s">
        <v>20755</v>
      </c>
      <c r="I6881" t="s">
        <v>16082</v>
      </c>
    </row>
    <row r="6882" spans="1:9">
      <c r="A6882" t="s">
        <v>16075</v>
      </c>
      <c r="B6882" t="s">
        <v>16076</v>
      </c>
      <c r="C6882" t="s">
        <v>20756</v>
      </c>
      <c r="D6882" t="s">
        <v>16078</v>
      </c>
      <c r="E6882" t="s">
        <v>4849</v>
      </c>
      <c r="F6882" t="s">
        <v>20757</v>
      </c>
      <c r="G6882" t="s">
        <v>16091</v>
      </c>
      <c r="H6882" t="s">
        <v>20758</v>
      </c>
      <c r="I6882" t="s">
        <v>16082</v>
      </c>
    </row>
    <row r="6883" spans="1:9">
      <c r="A6883" t="s">
        <v>16075</v>
      </c>
      <c r="B6883" t="s">
        <v>16076</v>
      </c>
      <c r="C6883" t="s">
        <v>20759</v>
      </c>
      <c r="D6883" t="s">
        <v>16078</v>
      </c>
      <c r="E6883" t="s">
        <v>5294</v>
      </c>
      <c r="F6883" t="s">
        <v>20760</v>
      </c>
      <c r="G6883" t="s">
        <v>16194</v>
      </c>
      <c r="H6883" t="s">
        <v>20761</v>
      </c>
      <c r="I6883" t="s">
        <v>16082</v>
      </c>
    </row>
    <row r="6884" spans="1:9">
      <c r="A6884" t="s">
        <v>16075</v>
      </c>
      <c r="B6884" t="s">
        <v>16076</v>
      </c>
      <c r="C6884" t="s">
        <v>20762</v>
      </c>
      <c r="D6884" t="s">
        <v>16078</v>
      </c>
      <c r="E6884" t="s">
        <v>4564</v>
      </c>
      <c r="F6884" t="s">
        <v>20763</v>
      </c>
      <c r="G6884" t="s">
        <v>16397</v>
      </c>
      <c r="H6884" t="s">
        <v>20764</v>
      </c>
      <c r="I6884" t="s">
        <v>16082</v>
      </c>
    </row>
    <row r="6885" spans="1:9">
      <c r="A6885" t="s">
        <v>16075</v>
      </c>
      <c r="B6885" t="s">
        <v>16076</v>
      </c>
      <c r="C6885" t="s">
        <v>20765</v>
      </c>
      <c r="D6885" t="s">
        <v>16078</v>
      </c>
      <c r="E6885" t="s">
        <v>20766</v>
      </c>
      <c r="F6885" t="s">
        <v>20767</v>
      </c>
      <c r="G6885" t="s">
        <v>16097</v>
      </c>
      <c r="H6885" t="s">
        <v>20768</v>
      </c>
      <c r="I6885" t="s">
        <v>16082</v>
      </c>
    </row>
    <row r="6886" spans="1:9">
      <c r="A6886" t="s">
        <v>16075</v>
      </c>
      <c r="B6886" t="s">
        <v>16076</v>
      </c>
      <c r="C6886" t="s">
        <v>20769</v>
      </c>
      <c r="D6886" t="s">
        <v>16078</v>
      </c>
      <c r="E6886" t="s">
        <v>14602</v>
      </c>
      <c r="F6886" t="s">
        <v>20770</v>
      </c>
      <c r="G6886" t="s">
        <v>16086</v>
      </c>
      <c r="H6886" t="s">
        <v>20771</v>
      </c>
      <c r="I6886" t="s">
        <v>16082</v>
      </c>
    </row>
    <row r="6887" spans="1:9">
      <c r="A6887" t="s">
        <v>16075</v>
      </c>
      <c r="B6887" t="s">
        <v>16076</v>
      </c>
      <c r="C6887" t="s">
        <v>20772</v>
      </c>
      <c r="D6887" t="s">
        <v>16078</v>
      </c>
      <c r="E6887" t="s">
        <v>20773</v>
      </c>
      <c r="F6887" t="s">
        <v>20774</v>
      </c>
      <c r="G6887" t="s">
        <v>16109</v>
      </c>
      <c r="H6887" t="s">
        <v>20775</v>
      </c>
      <c r="I6887" t="s">
        <v>16082</v>
      </c>
    </row>
    <row r="6888" spans="1:9">
      <c r="A6888" t="s">
        <v>16075</v>
      </c>
      <c r="B6888" t="s">
        <v>16076</v>
      </c>
      <c r="C6888" t="s">
        <v>20776</v>
      </c>
      <c r="D6888" t="s">
        <v>16078</v>
      </c>
      <c r="E6888" t="s">
        <v>20777</v>
      </c>
      <c r="F6888" t="s">
        <v>20778</v>
      </c>
      <c r="G6888" t="s">
        <v>16266</v>
      </c>
      <c r="H6888" t="s">
        <v>20779</v>
      </c>
      <c r="I6888" t="s">
        <v>16082</v>
      </c>
    </row>
    <row r="6889" spans="1:9">
      <c r="A6889" t="s">
        <v>16075</v>
      </c>
      <c r="B6889" t="s">
        <v>16076</v>
      </c>
      <c r="C6889" t="s">
        <v>20780</v>
      </c>
      <c r="D6889" t="s">
        <v>16078</v>
      </c>
      <c r="E6889" t="s">
        <v>5297</v>
      </c>
      <c r="F6889" t="s">
        <v>20781</v>
      </c>
      <c r="G6889" t="s">
        <v>17282</v>
      </c>
      <c r="H6889" t="s">
        <v>20782</v>
      </c>
    </row>
    <row r="6890" spans="1:9">
      <c r="A6890" t="s">
        <v>16075</v>
      </c>
      <c r="B6890" t="s">
        <v>16076</v>
      </c>
      <c r="C6890" t="s">
        <v>20783</v>
      </c>
      <c r="D6890" t="s">
        <v>16078</v>
      </c>
      <c r="E6890" t="s">
        <v>5300</v>
      </c>
      <c r="F6890" t="s">
        <v>20784</v>
      </c>
      <c r="G6890" t="s">
        <v>16086</v>
      </c>
      <c r="H6890" t="s">
        <v>20785</v>
      </c>
      <c r="I6890" t="s">
        <v>16082</v>
      </c>
    </row>
    <row r="6891" spans="1:9">
      <c r="A6891" t="s">
        <v>16075</v>
      </c>
      <c r="B6891" t="s">
        <v>16076</v>
      </c>
      <c r="C6891" t="s">
        <v>20786</v>
      </c>
      <c r="D6891" t="s">
        <v>16078</v>
      </c>
      <c r="E6891" t="s">
        <v>13952</v>
      </c>
      <c r="F6891" t="s">
        <v>20787</v>
      </c>
      <c r="G6891" t="s">
        <v>16105</v>
      </c>
      <c r="H6891" t="s">
        <v>20788</v>
      </c>
      <c r="I6891" t="s">
        <v>16082</v>
      </c>
    </row>
    <row r="6892" spans="1:9">
      <c r="A6892" t="s">
        <v>16075</v>
      </c>
      <c r="B6892" t="s">
        <v>16076</v>
      </c>
      <c r="C6892" t="s">
        <v>20789</v>
      </c>
      <c r="D6892" t="s">
        <v>16078</v>
      </c>
      <c r="E6892" t="s">
        <v>20790</v>
      </c>
      <c r="F6892" t="s">
        <v>20791</v>
      </c>
      <c r="G6892" t="s">
        <v>16159</v>
      </c>
      <c r="H6892" t="s">
        <v>20792</v>
      </c>
      <c r="I6892" t="s">
        <v>16082</v>
      </c>
    </row>
    <row r="6893" spans="1:9">
      <c r="A6893" t="s">
        <v>16075</v>
      </c>
      <c r="B6893" t="s">
        <v>16076</v>
      </c>
      <c r="C6893" t="s">
        <v>20793</v>
      </c>
      <c r="D6893" t="s">
        <v>16078</v>
      </c>
      <c r="E6893" t="s">
        <v>20794</v>
      </c>
      <c r="F6893" t="s">
        <v>20795</v>
      </c>
      <c r="G6893" t="s">
        <v>16131</v>
      </c>
      <c r="H6893" t="s">
        <v>20796</v>
      </c>
      <c r="I6893" t="s">
        <v>16082</v>
      </c>
    </row>
    <row r="6894" spans="1:9">
      <c r="A6894" t="s">
        <v>16075</v>
      </c>
      <c r="B6894" t="s">
        <v>16076</v>
      </c>
      <c r="C6894" t="s">
        <v>20797</v>
      </c>
      <c r="D6894" t="s">
        <v>16078</v>
      </c>
      <c r="E6894" t="s">
        <v>20798</v>
      </c>
      <c r="F6894" t="s">
        <v>20799</v>
      </c>
      <c r="G6894" t="s">
        <v>16086</v>
      </c>
      <c r="H6894" t="s">
        <v>20800</v>
      </c>
      <c r="I6894" t="s">
        <v>16082</v>
      </c>
    </row>
    <row r="6895" spans="1:9">
      <c r="A6895" t="s">
        <v>16075</v>
      </c>
      <c r="B6895" t="s">
        <v>16076</v>
      </c>
      <c r="C6895" t="s">
        <v>20801</v>
      </c>
      <c r="D6895" t="s">
        <v>16078</v>
      </c>
      <c r="E6895" t="s">
        <v>10820</v>
      </c>
      <c r="F6895" t="s">
        <v>20802</v>
      </c>
      <c r="G6895" t="s">
        <v>16266</v>
      </c>
      <c r="H6895" t="s">
        <v>20803</v>
      </c>
      <c r="I6895" t="s">
        <v>16093</v>
      </c>
    </row>
    <row r="6896" spans="1:9">
      <c r="A6896" t="s">
        <v>16075</v>
      </c>
      <c r="B6896" t="s">
        <v>16076</v>
      </c>
      <c r="C6896" t="s">
        <v>20804</v>
      </c>
      <c r="D6896" t="s">
        <v>16078</v>
      </c>
      <c r="E6896" t="s">
        <v>7444</v>
      </c>
      <c r="F6896" t="s">
        <v>20805</v>
      </c>
      <c r="G6896" t="s">
        <v>16266</v>
      </c>
      <c r="H6896" t="s">
        <v>20806</v>
      </c>
      <c r="I6896" t="s">
        <v>16082</v>
      </c>
    </row>
    <row r="6897" spans="1:9">
      <c r="A6897" t="s">
        <v>16075</v>
      </c>
      <c r="B6897" t="s">
        <v>16076</v>
      </c>
      <c r="C6897" t="s">
        <v>20807</v>
      </c>
      <c r="D6897" t="s">
        <v>16078</v>
      </c>
      <c r="E6897" t="s">
        <v>20808</v>
      </c>
      <c r="F6897" t="s">
        <v>20809</v>
      </c>
      <c r="G6897" t="s">
        <v>16303</v>
      </c>
      <c r="H6897" t="s">
        <v>20810</v>
      </c>
      <c r="I6897" t="s">
        <v>16082</v>
      </c>
    </row>
    <row r="6898" spans="1:9">
      <c r="A6898" t="s">
        <v>16075</v>
      </c>
      <c r="B6898" t="s">
        <v>16076</v>
      </c>
      <c r="C6898" t="s">
        <v>20811</v>
      </c>
      <c r="D6898" t="s">
        <v>16078</v>
      </c>
      <c r="E6898" t="s">
        <v>903</v>
      </c>
      <c r="F6898" t="s">
        <v>20812</v>
      </c>
      <c r="G6898" t="s">
        <v>16097</v>
      </c>
      <c r="H6898" t="s">
        <v>20813</v>
      </c>
      <c r="I6898" t="s">
        <v>16082</v>
      </c>
    </row>
    <row r="6899" spans="1:9">
      <c r="A6899" t="s">
        <v>16075</v>
      </c>
      <c r="B6899" t="s">
        <v>16076</v>
      </c>
      <c r="C6899" t="s">
        <v>20814</v>
      </c>
      <c r="D6899" t="s">
        <v>16078</v>
      </c>
      <c r="E6899" t="s">
        <v>20815</v>
      </c>
      <c r="F6899" t="s">
        <v>20816</v>
      </c>
      <c r="G6899" t="s">
        <v>16080</v>
      </c>
      <c r="H6899" t="s">
        <v>20817</v>
      </c>
      <c r="I6899" t="s">
        <v>16082</v>
      </c>
    </row>
    <row r="6900" spans="1:9">
      <c r="A6900" t="s">
        <v>16075</v>
      </c>
      <c r="B6900" t="s">
        <v>16076</v>
      </c>
      <c r="C6900" t="s">
        <v>20818</v>
      </c>
      <c r="D6900" t="s">
        <v>16078</v>
      </c>
      <c r="E6900" t="s">
        <v>20819</v>
      </c>
      <c r="F6900" t="s">
        <v>20820</v>
      </c>
      <c r="G6900" t="s">
        <v>16116</v>
      </c>
      <c r="H6900" t="s">
        <v>20476</v>
      </c>
      <c r="I6900" t="s">
        <v>16082</v>
      </c>
    </row>
    <row r="6901" spans="1:9">
      <c r="A6901" t="s">
        <v>16075</v>
      </c>
      <c r="B6901" t="s">
        <v>16076</v>
      </c>
      <c r="C6901" t="s">
        <v>20821</v>
      </c>
      <c r="D6901" t="s">
        <v>16078</v>
      </c>
      <c r="E6901" t="s">
        <v>20822</v>
      </c>
      <c r="F6901" t="s">
        <v>20823</v>
      </c>
      <c r="G6901" t="s">
        <v>16194</v>
      </c>
      <c r="H6901" t="s">
        <v>20824</v>
      </c>
      <c r="I6901" t="s">
        <v>16082</v>
      </c>
    </row>
    <row r="6902" spans="1:9">
      <c r="A6902" t="s">
        <v>16075</v>
      </c>
      <c r="B6902" t="s">
        <v>16076</v>
      </c>
      <c r="C6902" t="s">
        <v>20825</v>
      </c>
      <c r="D6902" t="s">
        <v>16078</v>
      </c>
      <c r="E6902" t="s">
        <v>7450</v>
      </c>
      <c r="F6902" t="s">
        <v>20826</v>
      </c>
      <c r="G6902" t="s">
        <v>16194</v>
      </c>
      <c r="H6902" t="s">
        <v>20827</v>
      </c>
      <c r="I6902" t="s">
        <v>16082</v>
      </c>
    </row>
    <row r="6903" spans="1:9">
      <c r="A6903" t="s">
        <v>16075</v>
      </c>
      <c r="B6903" t="s">
        <v>16076</v>
      </c>
      <c r="C6903" t="s">
        <v>20828</v>
      </c>
      <c r="D6903" t="s">
        <v>16078</v>
      </c>
      <c r="E6903" t="s">
        <v>13612</v>
      </c>
      <c r="F6903" t="s">
        <v>20829</v>
      </c>
      <c r="G6903" t="s">
        <v>16194</v>
      </c>
      <c r="H6903" t="s">
        <v>20830</v>
      </c>
      <c r="I6903" t="s">
        <v>16082</v>
      </c>
    </row>
    <row r="6904" spans="1:9">
      <c r="A6904" t="s">
        <v>16075</v>
      </c>
      <c r="B6904" t="s">
        <v>16076</v>
      </c>
      <c r="C6904" t="s">
        <v>20831</v>
      </c>
      <c r="D6904" t="s">
        <v>16078</v>
      </c>
      <c r="E6904" t="s">
        <v>15521</v>
      </c>
      <c r="F6904" t="s">
        <v>20832</v>
      </c>
      <c r="G6904" t="s">
        <v>16168</v>
      </c>
      <c r="H6904" t="s">
        <v>20833</v>
      </c>
      <c r="I6904" t="s">
        <v>16082</v>
      </c>
    </row>
    <row r="6905" spans="1:9">
      <c r="A6905" t="s">
        <v>16075</v>
      </c>
      <c r="B6905" t="s">
        <v>16076</v>
      </c>
      <c r="C6905" t="s">
        <v>20834</v>
      </c>
      <c r="D6905" t="s">
        <v>16078</v>
      </c>
      <c r="E6905" t="s">
        <v>1431</v>
      </c>
      <c r="F6905" t="s">
        <v>20835</v>
      </c>
      <c r="G6905" t="s">
        <v>16438</v>
      </c>
      <c r="H6905" t="s">
        <v>20836</v>
      </c>
      <c r="I6905" t="s">
        <v>16082</v>
      </c>
    </row>
    <row r="6906" spans="1:9">
      <c r="A6906" t="s">
        <v>16075</v>
      </c>
      <c r="B6906" t="s">
        <v>16076</v>
      </c>
      <c r="C6906" t="s">
        <v>20837</v>
      </c>
      <c r="D6906" t="s">
        <v>16078</v>
      </c>
      <c r="E6906" t="s">
        <v>20838</v>
      </c>
      <c r="F6906" t="s">
        <v>20839</v>
      </c>
      <c r="G6906" t="s">
        <v>16194</v>
      </c>
      <c r="H6906" t="s">
        <v>19433</v>
      </c>
      <c r="I6906" t="s">
        <v>16082</v>
      </c>
    </row>
    <row r="6907" spans="1:9">
      <c r="A6907" t="s">
        <v>16075</v>
      </c>
      <c r="B6907" t="s">
        <v>16076</v>
      </c>
      <c r="C6907" t="s">
        <v>20840</v>
      </c>
      <c r="D6907" t="s">
        <v>16078</v>
      </c>
      <c r="E6907" t="s">
        <v>20841</v>
      </c>
      <c r="F6907" t="s">
        <v>20842</v>
      </c>
      <c r="G6907" t="s">
        <v>16105</v>
      </c>
      <c r="H6907" t="s">
        <v>20843</v>
      </c>
      <c r="I6907" t="s">
        <v>16082</v>
      </c>
    </row>
    <row r="6908" spans="1:9">
      <c r="A6908" t="s">
        <v>16075</v>
      </c>
      <c r="B6908" t="s">
        <v>16076</v>
      </c>
      <c r="C6908" t="s">
        <v>20844</v>
      </c>
      <c r="D6908" t="s">
        <v>16078</v>
      </c>
      <c r="E6908" t="s">
        <v>20845</v>
      </c>
      <c r="F6908" t="s">
        <v>20846</v>
      </c>
      <c r="G6908" t="s">
        <v>16183</v>
      </c>
      <c r="H6908" t="s">
        <v>20847</v>
      </c>
      <c r="I6908" t="s">
        <v>16082</v>
      </c>
    </row>
    <row r="6909" spans="1:9">
      <c r="A6909" t="s">
        <v>16075</v>
      </c>
      <c r="B6909" t="s">
        <v>16076</v>
      </c>
      <c r="C6909" t="s">
        <v>20848</v>
      </c>
      <c r="D6909" t="s">
        <v>16078</v>
      </c>
      <c r="E6909" t="s">
        <v>20849</v>
      </c>
      <c r="F6909" t="s">
        <v>20850</v>
      </c>
      <c r="G6909" t="s">
        <v>16080</v>
      </c>
      <c r="H6909" t="s">
        <v>20851</v>
      </c>
      <c r="I6909" t="s">
        <v>16082</v>
      </c>
    </row>
    <row r="6910" spans="1:9">
      <c r="A6910" t="s">
        <v>16075</v>
      </c>
      <c r="B6910" t="s">
        <v>16076</v>
      </c>
      <c r="C6910" t="s">
        <v>20852</v>
      </c>
      <c r="D6910" t="s">
        <v>16078</v>
      </c>
      <c r="E6910" t="s">
        <v>20853</v>
      </c>
      <c r="F6910" t="s">
        <v>20854</v>
      </c>
      <c r="G6910" t="s">
        <v>16194</v>
      </c>
      <c r="H6910" t="s">
        <v>20855</v>
      </c>
      <c r="I6910" t="s">
        <v>16082</v>
      </c>
    </row>
    <row r="6911" spans="1:9">
      <c r="A6911" t="s">
        <v>16075</v>
      </c>
      <c r="B6911" t="s">
        <v>16076</v>
      </c>
      <c r="C6911" t="s">
        <v>20856</v>
      </c>
      <c r="D6911" t="s">
        <v>16078</v>
      </c>
      <c r="E6911" t="s">
        <v>20857</v>
      </c>
      <c r="F6911" t="s">
        <v>20858</v>
      </c>
      <c r="G6911" t="s">
        <v>16194</v>
      </c>
      <c r="H6911" t="s">
        <v>20859</v>
      </c>
      <c r="I6911" t="s">
        <v>16082</v>
      </c>
    </row>
    <row r="6912" spans="1:9">
      <c r="A6912" t="s">
        <v>16075</v>
      </c>
      <c r="B6912" t="s">
        <v>16076</v>
      </c>
      <c r="C6912" t="s">
        <v>20860</v>
      </c>
      <c r="D6912" t="s">
        <v>16078</v>
      </c>
      <c r="E6912" t="s">
        <v>15322</v>
      </c>
      <c r="F6912" t="s">
        <v>20861</v>
      </c>
      <c r="G6912" t="s">
        <v>16080</v>
      </c>
      <c r="H6912" t="s">
        <v>20862</v>
      </c>
      <c r="I6912" t="s">
        <v>16093</v>
      </c>
    </row>
    <row r="6913" spans="1:14">
      <c r="A6913" t="s">
        <v>16075</v>
      </c>
      <c r="B6913" t="s">
        <v>16076</v>
      </c>
      <c r="C6913" t="s">
        <v>20863</v>
      </c>
      <c r="D6913" t="s">
        <v>16078</v>
      </c>
      <c r="E6913" t="s">
        <v>20864</v>
      </c>
      <c r="F6913" t="s">
        <v>20865</v>
      </c>
      <c r="G6913" t="s">
        <v>16846</v>
      </c>
      <c r="H6913" t="s">
        <v>20866</v>
      </c>
      <c r="I6913" t="s">
        <v>16082</v>
      </c>
    </row>
    <row r="6914" spans="1:14">
      <c r="A6914" t="s">
        <v>16075</v>
      </c>
      <c r="B6914" t="s">
        <v>16076</v>
      </c>
      <c r="C6914" t="s">
        <v>20867</v>
      </c>
      <c r="D6914" t="s">
        <v>16078</v>
      </c>
      <c r="E6914" t="s">
        <v>7463</v>
      </c>
      <c r="F6914" t="s">
        <v>20868</v>
      </c>
      <c r="G6914" t="s">
        <v>16086</v>
      </c>
      <c r="H6914" t="s">
        <v>20869</v>
      </c>
      <c r="I6914" t="s">
        <v>16082</v>
      </c>
    </row>
    <row r="6915" spans="1:14">
      <c r="A6915" t="s">
        <v>16075</v>
      </c>
      <c r="B6915" t="s">
        <v>16076</v>
      </c>
      <c r="C6915" t="s">
        <v>20870</v>
      </c>
      <c r="D6915" t="s">
        <v>16078</v>
      </c>
      <c r="E6915" t="s">
        <v>20871</v>
      </c>
      <c r="F6915" t="s">
        <v>20872</v>
      </c>
      <c r="G6915" t="s">
        <v>16209</v>
      </c>
      <c r="H6915" t="s">
        <v>20873</v>
      </c>
      <c r="I6915" t="s">
        <v>16082</v>
      </c>
    </row>
    <row r="6916" spans="1:14">
      <c r="A6916" t="s">
        <v>16075</v>
      </c>
      <c r="B6916" t="s">
        <v>16076</v>
      </c>
      <c r="C6916" t="s">
        <v>20874</v>
      </c>
      <c r="D6916" t="s">
        <v>16078</v>
      </c>
      <c r="E6916" t="s">
        <v>11477</v>
      </c>
      <c r="F6916" t="s">
        <v>20875</v>
      </c>
      <c r="G6916" t="s">
        <v>16451</v>
      </c>
      <c r="H6916" t="s">
        <v>20876</v>
      </c>
      <c r="I6916" t="s">
        <v>16082</v>
      </c>
    </row>
    <row r="6917" spans="1:14">
      <c r="A6917" t="s">
        <v>16075</v>
      </c>
      <c r="B6917" t="s">
        <v>16076</v>
      </c>
      <c r="C6917" t="s">
        <v>20877</v>
      </c>
      <c r="D6917" t="s">
        <v>16078</v>
      </c>
      <c r="E6917" t="s">
        <v>20878</v>
      </c>
      <c r="F6917" t="s">
        <v>20879</v>
      </c>
      <c r="G6917" t="s">
        <v>16194</v>
      </c>
      <c r="H6917" t="s">
        <v>20880</v>
      </c>
      <c r="I6917" t="s">
        <v>16082</v>
      </c>
    </row>
    <row r="6918" spans="1:14">
      <c r="A6918" t="s">
        <v>16075</v>
      </c>
      <c r="B6918" t="s">
        <v>16076</v>
      </c>
      <c r="C6918" t="s">
        <v>20881</v>
      </c>
      <c r="D6918" t="s">
        <v>16078</v>
      </c>
      <c r="E6918" t="s">
        <v>20882</v>
      </c>
      <c r="F6918" t="s">
        <v>20883</v>
      </c>
      <c r="G6918" t="s">
        <v>16080</v>
      </c>
      <c r="H6918" t="s">
        <v>20884</v>
      </c>
      <c r="I6918" t="s">
        <v>16082</v>
      </c>
      <c r="J6918" t="s">
        <v>20882</v>
      </c>
      <c r="K6918" t="s">
        <v>16075</v>
      </c>
      <c r="L6918" t="s">
        <v>16219</v>
      </c>
      <c r="M6918" t="s">
        <v>16082</v>
      </c>
      <c r="N6918" t="s">
        <v>20884</v>
      </c>
    </row>
    <row r="6919" spans="1:14">
      <c r="A6919" t="s">
        <v>16075</v>
      </c>
      <c r="B6919" t="s">
        <v>16076</v>
      </c>
      <c r="C6919" t="s">
        <v>20885</v>
      </c>
      <c r="D6919" t="s">
        <v>16078</v>
      </c>
      <c r="E6919" t="s">
        <v>7003</v>
      </c>
      <c r="F6919" t="s">
        <v>20886</v>
      </c>
      <c r="G6919" t="s">
        <v>16097</v>
      </c>
      <c r="H6919" t="s">
        <v>20887</v>
      </c>
      <c r="I6919" t="s">
        <v>16082</v>
      </c>
    </row>
    <row r="6920" spans="1:14">
      <c r="A6920" t="s">
        <v>16075</v>
      </c>
      <c r="B6920" t="s">
        <v>16076</v>
      </c>
      <c r="C6920" t="s">
        <v>20888</v>
      </c>
      <c r="D6920" t="s">
        <v>16078</v>
      </c>
      <c r="E6920" t="s">
        <v>20889</v>
      </c>
      <c r="F6920" t="s">
        <v>20890</v>
      </c>
      <c r="G6920" t="s">
        <v>16173</v>
      </c>
      <c r="H6920" t="s">
        <v>20891</v>
      </c>
      <c r="I6920" t="s">
        <v>16082</v>
      </c>
    </row>
    <row r="6921" spans="1:14">
      <c r="A6921" t="s">
        <v>16075</v>
      </c>
      <c r="B6921" t="s">
        <v>16076</v>
      </c>
      <c r="C6921" t="s">
        <v>20892</v>
      </c>
      <c r="D6921" t="s">
        <v>16078</v>
      </c>
      <c r="E6921" t="s">
        <v>2963</v>
      </c>
      <c r="F6921" t="s">
        <v>20893</v>
      </c>
      <c r="G6921" t="s">
        <v>16828</v>
      </c>
      <c r="H6921" t="s">
        <v>20894</v>
      </c>
    </row>
    <row r="6922" spans="1:14">
      <c r="A6922" t="s">
        <v>16075</v>
      </c>
      <c r="B6922" t="s">
        <v>16076</v>
      </c>
      <c r="C6922" t="s">
        <v>20895</v>
      </c>
      <c r="D6922" t="s">
        <v>16078</v>
      </c>
      <c r="E6922" t="s">
        <v>7466</v>
      </c>
      <c r="F6922" t="s">
        <v>20896</v>
      </c>
      <c r="G6922" t="s">
        <v>16183</v>
      </c>
      <c r="H6922" t="s">
        <v>20897</v>
      </c>
      <c r="I6922" t="s">
        <v>16082</v>
      </c>
    </row>
    <row r="6923" spans="1:14">
      <c r="A6923" t="s">
        <v>16075</v>
      </c>
      <c r="B6923" t="s">
        <v>16076</v>
      </c>
      <c r="C6923" t="s">
        <v>20898</v>
      </c>
      <c r="D6923" t="s">
        <v>16078</v>
      </c>
      <c r="E6923" t="s">
        <v>7469</v>
      </c>
      <c r="F6923" t="s">
        <v>20899</v>
      </c>
      <c r="G6923" t="s">
        <v>16080</v>
      </c>
      <c r="H6923" t="s">
        <v>20900</v>
      </c>
      <c r="I6923" t="s">
        <v>16093</v>
      </c>
    </row>
    <row r="6924" spans="1:14">
      <c r="A6924" t="s">
        <v>16075</v>
      </c>
      <c r="B6924" t="s">
        <v>16076</v>
      </c>
      <c r="C6924" t="s">
        <v>20901</v>
      </c>
      <c r="D6924" t="s">
        <v>16078</v>
      </c>
      <c r="E6924" t="s">
        <v>2966</v>
      </c>
      <c r="F6924" t="s">
        <v>20902</v>
      </c>
      <c r="G6924" t="s">
        <v>16131</v>
      </c>
      <c r="H6924" t="s">
        <v>20903</v>
      </c>
      <c r="I6924" t="s">
        <v>16082</v>
      </c>
    </row>
    <row r="6925" spans="1:14">
      <c r="A6925" t="s">
        <v>16075</v>
      </c>
      <c r="B6925" t="s">
        <v>16076</v>
      </c>
      <c r="C6925" t="s">
        <v>20904</v>
      </c>
      <c r="D6925" t="s">
        <v>16078</v>
      </c>
      <c r="E6925" t="s">
        <v>11083</v>
      </c>
      <c r="F6925" t="s">
        <v>20905</v>
      </c>
      <c r="G6925" t="s">
        <v>16097</v>
      </c>
      <c r="H6925" t="s">
        <v>20906</v>
      </c>
      <c r="I6925" t="s">
        <v>16082</v>
      </c>
    </row>
    <row r="6926" spans="1:14">
      <c r="A6926" t="s">
        <v>16075</v>
      </c>
      <c r="B6926" t="s">
        <v>16076</v>
      </c>
      <c r="C6926" t="s">
        <v>20907</v>
      </c>
      <c r="D6926" t="s">
        <v>16078</v>
      </c>
      <c r="E6926" t="s">
        <v>3652</v>
      </c>
      <c r="F6926" t="s">
        <v>20908</v>
      </c>
      <c r="G6926" t="s">
        <v>16131</v>
      </c>
      <c r="H6926" t="s">
        <v>20909</v>
      </c>
      <c r="I6926" t="s">
        <v>16082</v>
      </c>
    </row>
    <row r="6927" spans="1:14">
      <c r="A6927" t="s">
        <v>16075</v>
      </c>
      <c r="B6927" t="s">
        <v>16076</v>
      </c>
      <c r="C6927" t="s">
        <v>20910</v>
      </c>
      <c r="D6927" t="s">
        <v>16078</v>
      </c>
      <c r="E6927" t="s">
        <v>20911</v>
      </c>
      <c r="F6927" t="s">
        <v>20912</v>
      </c>
      <c r="G6927" t="s">
        <v>16194</v>
      </c>
      <c r="H6927" t="s">
        <v>20913</v>
      </c>
      <c r="I6927" t="s">
        <v>16082</v>
      </c>
    </row>
    <row r="6928" spans="1:14">
      <c r="A6928" t="s">
        <v>16075</v>
      </c>
      <c r="B6928" t="s">
        <v>16076</v>
      </c>
      <c r="C6928" t="s">
        <v>20914</v>
      </c>
      <c r="D6928" t="s">
        <v>16078</v>
      </c>
      <c r="E6928" t="s">
        <v>1397</v>
      </c>
      <c r="F6928" t="s">
        <v>20915</v>
      </c>
      <c r="G6928" t="s">
        <v>16105</v>
      </c>
    </row>
    <row r="6929" spans="1:9">
      <c r="A6929" t="s">
        <v>16075</v>
      </c>
      <c r="B6929" t="s">
        <v>16076</v>
      </c>
      <c r="C6929" t="s">
        <v>20916</v>
      </c>
      <c r="D6929" t="s">
        <v>16078</v>
      </c>
      <c r="E6929" t="s">
        <v>20917</v>
      </c>
      <c r="F6929" t="s">
        <v>20918</v>
      </c>
      <c r="G6929" t="s">
        <v>16828</v>
      </c>
      <c r="H6929" t="s">
        <v>20919</v>
      </c>
      <c r="I6929" t="s">
        <v>16082</v>
      </c>
    </row>
    <row r="6930" spans="1:9">
      <c r="A6930" t="s">
        <v>16075</v>
      </c>
      <c r="B6930" t="s">
        <v>16076</v>
      </c>
      <c r="C6930" t="s">
        <v>20920</v>
      </c>
      <c r="D6930" t="s">
        <v>16078</v>
      </c>
      <c r="E6930" t="s">
        <v>20921</v>
      </c>
      <c r="F6930" t="s">
        <v>11477</v>
      </c>
      <c r="G6930" t="s">
        <v>16259</v>
      </c>
      <c r="H6930" t="s">
        <v>20922</v>
      </c>
    </row>
    <row r="6931" spans="1:9">
      <c r="A6931" t="s">
        <v>16075</v>
      </c>
      <c r="B6931" t="s">
        <v>16076</v>
      </c>
      <c r="C6931" t="s">
        <v>20923</v>
      </c>
      <c r="D6931" t="s">
        <v>16078</v>
      </c>
      <c r="E6931" t="s">
        <v>14629</v>
      </c>
      <c r="F6931" t="s">
        <v>20924</v>
      </c>
      <c r="G6931" t="s">
        <v>16295</v>
      </c>
      <c r="H6931" t="s">
        <v>20925</v>
      </c>
      <c r="I6931" t="s">
        <v>16093</v>
      </c>
    </row>
    <row r="6932" spans="1:9">
      <c r="A6932" t="s">
        <v>16075</v>
      </c>
      <c r="B6932" t="s">
        <v>16076</v>
      </c>
      <c r="C6932" t="s">
        <v>20926</v>
      </c>
      <c r="D6932" t="s">
        <v>16078</v>
      </c>
      <c r="E6932" t="s">
        <v>20927</v>
      </c>
      <c r="F6932" t="s">
        <v>20928</v>
      </c>
      <c r="G6932" t="s">
        <v>16131</v>
      </c>
      <c r="H6932" t="s">
        <v>20929</v>
      </c>
      <c r="I6932" t="s">
        <v>16082</v>
      </c>
    </row>
    <row r="6933" spans="1:9">
      <c r="A6933" t="s">
        <v>16075</v>
      </c>
      <c r="B6933" t="s">
        <v>16076</v>
      </c>
      <c r="C6933" t="s">
        <v>20930</v>
      </c>
      <c r="D6933" t="s">
        <v>16078</v>
      </c>
      <c r="E6933" t="s">
        <v>20931</v>
      </c>
      <c r="F6933" t="s">
        <v>20932</v>
      </c>
      <c r="G6933" t="s">
        <v>16131</v>
      </c>
      <c r="H6933" t="s">
        <v>20933</v>
      </c>
      <c r="I6933" t="s">
        <v>16082</v>
      </c>
    </row>
    <row r="6934" spans="1:9">
      <c r="A6934" t="s">
        <v>16075</v>
      </c>
      <c r="B6934" t="s">
        <v>16076</v>
      </c>
      <c r="C6934" t="s">
        <v>20934</v>
      </c>
      <c r="D6934" t="s">
        <v>16078</v>
      </c>
      <c r="E6934" t="s">
        <v>13173</v>
      </c>
      <c r="F6934" t="s">
        <v>20935</v>
      </c>
      <c r="G6934" t="s">
        <v>16109</v>
      </c>
      <c r="H6934" t="s">
        <v>20936</v>
      </c>
      <c r="I6934" t="s">
        <v>16082</v>
      </c>
    </row>
    <row r="6935" spans="1:9">
      <c r="A6935" t="s">
        <v>16075</v>
      </c>
      <c r="B6935" t="s">
        <v>16076</v>
      </c>
      <c r="C6935" t="s">
        <v>20937</v>
      </c>
      <c r="D6935" t="s">
        <v>16078</v>
      </c>
      <c r="E6935" t="s">
        <v>4576</v>
      </c>
      <c r="F6935" t="s">
        <v>20938</v>
      </c>
      <c r="G6935" t="s">
        <v>16397</v>
      </c>
      <c r="H6935" t="s">
        <v>20939</v>
      </c>
      <c r="I6935" t="s">
        <v>16093</v>
      </c>
    </row>
    <row r="6936" spans="1:9">
      <c r="A6936" t="s">
        <v>16075</v>
      </c>
      <c r="B6936" t="s">
        <v>16076</v>
      </c>
      <c r="C6936" t="s">
        <v>20940</v>
      </c>
      <c r="D6936" t="s">
        <v>16078</v>
      </c>
      <c r="E6936" t="s">
        <v>20941</v>
      </c>
      <c r="F6936" t="s">
        <v>20942</v>
      </c>
      <c r="G6936" t="s">
        <v>16105</v>
      </c>
      <c r="H6936" t="s">
        <v>20943</v>
      </c>
    </row>
    <row r="6937" spans="1:9">
      <c r="A6937" t="s">
        <v>16075</v>
      </c>
      <c r="B6937" t="s">
        <v>16076</v>
      </c>
      <c r="C6937" t="s">
        <v>20944</v>
      </c>
      <c r="D6937" t="s">
        <v>16078</v>
      </c>
      <c r="E6937" t="s">
        <v>20945</v>
      </c>
      <c r="F6937" t="s">
        <v>20946</v>
      </c>
      <c r="G6937" t="s">
        <v>16116</v>
      </c>
      <c r="H6937" t="s">
        <v>20947</v>
      </c>
      <c r="I6937" t="s">
        <v>16082</v>
      </c>
    </row>
    <row r="6938" spans="1:9">
      <c r="A6938" t="s">
        <v>16075</v>
      </c>
      <c r="B6938" t="s">
        <v>16076</v>
      </c>
      <c r="C6938" t="s">
        <v>20948</v>
      </c>
      <c r="D6938" t="s">
        <v>16078</v>
      </c>
      <c r="E6938" t="s">
        <v>12255</v>
      </c>
      <c r="F6938" t="s">
        <v>20949</v>
      </c>
      <c r="G6938" t="s">
        <v>16451</v>
      </c>
      <c r="H6938" t="s">
        <v>20950</v>
      </c>
      <c r="I6938" t="s">
        <v>16082</v>
      </c>
    </row>
    <row r="6939" spans="1:9">
      <c r="A6939" t="s">
        <v>16075</v>
      </c>
      <c r="B6939" t="s">
        <v>16076</v>
      </c>
      <c r="C6939" t="s">
        <v>20951</v>
      </c>
      <c r="D6939" t="s">
        <v>16078</v>
      </c>
      <c r="E6939" t="s">
        <v>7977</v>
      </c>
      <c r="F6939" t="s">
        <v>20952</v>
      </c>
      <c r="G6939" t="s">
        <v>16086</v>
      </c>
      <c r="H6939" t="s">
        <v>20953</v>
      </c>
      <c r="I6939" t="s">
        <v>16082</v>
      </c>
    </row>
    <row r="6940" spans="1:9">
      <c r="A6940" t="s">
        <v>16075</v>
      </c>
      <c r="B6940" t="s">
        <v>16076</v>
      </c>
      <c r="C6940" t="s">
        <v>20954</v>
      </c>
      <c r="D6940" t="s">
        <v>16078</v>
      </c>
      <c r="E6940" t="s">
        <v>10272</v>
      </c>
      <c r="F6940" t="s">
        <v>20955</v>
      </c>
      <c r="G6940" t="s">
        <v>16462</v>
      </c>
      <c r="H6940" t="s">
        <v>20956</v>
      </c>
      <c r="I6940" t="s">
        <v>16082</v>
      </c>
    </row>
    <row r="6941" spans="1:9">
      <c r="A6941" t="s">
        <v>16075</v>
      </c>
      <c r="B6941" t="s">
        <v>16076</v>
      </c>
      <c r="C6941" t="s">
        <v>20957</v>
      </c>
      <c r="D6941" t="s">
        <v>16078</v>
      </c>
      <c r="E6941" t="s">
        <v>20958</v>
      </c>
      <c r="F6941" t="s">
        <v>20959</v>
      </c>
      <c r="G6941" t="s">
        <v>16097</v>
      </c>
      <c r="H6941" t="s">
        <v>20960</v>
      </c>
      <c r="I6941" t="s">
        <v>16082</v>
      </c>
    </row>
    <row r="6942" spans="1:9">
      <c r="A6942" t="s">
        <v>16075</v>
      </c>
      <c r="B6942" t="s">
        <v>16076</v>
      </c>
      <c r="C6942" t="s">
        <v>20961</v>
      </c>
      <c r="D6942" t="s">
        <v>16078</v>
      </c>
      <c r="E6942" t="s">
        <v>20962</v>
      </c>
      <c r="F6942" t="s">
        <v>20963</v>
      </c>
      <c r="G6942" t="s">
        <v>16168</v>
      </c>
      <c r="H6942" t="s">
        <v>20964</v>
      </c>
      <c r="I6942" t="s">
        <v>16082</v>
      </c>
    </row>
    <row r="6943" spans="1:9">
      <c r="A6943" t="s">
        <v>16075</v>
      </c>
      <c r="B6943" t="s">
        <v>16076</v>
      </c>
      <c r="C6943" t="s">
        <v>20965</v>
      </c>
      <c r="D6943" t="s">
        <v>16078</v>
      </c>
      <c r="E6943" t="s">
        <v>8374</v>
      </c>
      <c r="F6943" t="s">
        <v>20966</v>
      </c>
      <c r="G6943" t="s">
        <v>16086</v>
      </c>
      <c r="H6943" t="s">
        <v>20967</v>
      </c>
      <c r="I6943" t="s">
        <v>16082</v>
      </c>
    </row>
    <row r="6944" spans="1:9">
      <c r="A6944" t="s">
        <v>16075</v>
      </c>
      <c r="B6944" t="s">
        <v>16076</v>
      </c>
      <c r="C6944" t="s">
        <v>20968</v>
      </c>
      <c r="D6944" t="s">
        <v>16078</v>
      </c>
      <c r="E6944" t="s">
        <v>10652</v>
      </c>
      <c r="F6944" t="s">
        <v>20969</v>
      </c>
      <c r="G6944" t="s">
        <v>16194</v>
      </c>
      <c r="H6944" t="s">
        <v>20970</v>
      </c>
      <c r="I6944" t="s">
        <v>16082</v>
      </c>
    </row>
    <row r="6945" spans="1:9">
      <c r="A6945" t="s">
        <v>16075</v>
      </c>
      <c r="B6945" t="s">
        <v>16076</v>
      </c>
      <c r="C6945" t="s">
        <v>20971</v>
      </c>
      <c r="D6945" t="s">
        <v>16078</v>
      </c>
      <c r="E6945" t="s">
        <v>11480</v>
      </c>
      <c r="F6945" t="s">
        <v>11480</v>
      </c>
      <c r="G6945" t="s">
        <v>16266</v>
      </c>
      <c r="H6945" t="s">
        <v>20972</v>
      </c>
      <c r="I6945" t="s">
        <v>16082</v>
      </c>
    </row>
    <row r="6946" spans="1:9">
      <c r="A6946" t="s">
        <v>16075</v>
      </c>
      <c r="B6946" t="s">
        <v>16076</v>
      </c>
      <c r="C6946" t="s">
        <v>20973</v>
      </c>
      <c r="D6946" t="s">
        <v>16078</v>
      </c>
      <c r="E6946" t="s">
        <v>20974</v>
      </c>
      <c r="F6946" t="s">
        <v>20975</v>
      </c>
      <c r="G6946" t="s">
        <v>16194</v>
      </c>
      <c r="H6946" t="s">
        <v>20976</v>
      </c>
      <c r="I6946" t="s">
        <v>16082</v>
      </c>
    </row>
    <row r="6947" spans="1:9">
      <c r="A6947" t="s">
        <v>16075</v>
      </c>
      <c r="B6947" t="s">
        <v>16076</v>
      </c>
      <c r="C6947" t="s">
        <v>20977</v>
      </c>
      <c r="D6947" t="s">
        <v>16078</v>
      </c>
      <c r="E6947" t="s">
        <v>7474</v>
      </c>
      <c r="F6947" t="s">
        <v>20978</v>
      </c>
      <c r="G6947" t="s">
        <v>16869</v>
      </c>
      <c r="H6947" t="s">
        <v>20979</v>
      </c>
    </row>
    <row r="6948" spans="1:9">
      <c r="A6948" t="s">
        <v>16075</v>
      </c>
      <c r="B6948" t="s">
        <v>16076</v>
      </c>
      <c r="C6948" t="s">
        <v>20980</v>
      </c>
      <c r="D6948" t="s">
        <v>16078</v>
      </c>
      <c r="E6948" t="s">
        <v>1055</v>
      </c>
      <c r="F6948" t="s">
        <v>20981</v>
      </c>
      <c r="G6948" t="s">
        <v>16091</v>
      </c>
      <c r="H6948" t="s">
        <v>20982</v>
      </c>
      <c r="I6948" t="s">
        <v>16082</v>
      </c>
    </row>
    <row r="6949" spans="1:9">
      <c r="A6949" t="s">
        <v>16075</v>
      </c>
      <c r="B6949" t="s">
        <v>16076</v>
      </c>
      <c r="C6949" t="s">
        <v>20983</v>
      </c>
      <c r="D6949" t="s">
        <v>16078</v>
      </c>
      <c r="E6949" t="s">
        <v>20984</v>
      </c>
      <c r="F6949" t="s">
        <v>20985</v>
      </c>
      <c r="G6949" t="s">
        <v>16209</v>
      </c>
      <c r="H6949" t="s">
        <v>20986</v>
      </c>
      <c r="I6949" t="s">
        <v>16082</v>
      </c>
    </row>
    <row r="6950" spans="1:9">
      <c r="A6950" t="s">
        <v>16075</v>
      </c>
      <c r="B6950" t="s">
        <v>16076</v>
      </c>
      <c r="C6950" t="s">
        <v>20987</v>
      </c>
      <c r="D6950" t="s">
        <v>16078</v>
      </c>
      <c r="E6950" t="s">
        <v>20988</v>
      </c>
      <c r="F6950" t="s">
        <v>20989</v>
      </c>
      <c r="G6950" t="s">
        <v>16194</v>
      </c>
      <c r="H6950" t="s">
        <v>20990</v>
      </c>
      <c r="I6950" t="s">
        <v>16082</v>
      </c>
    </row>
    <row r="6951" spans="1:9">
      <c r="A6951" t="s">
        <v>16075</v>
      </c>
      <c r="B6951" t="s">
        <v>16076</v>
      </c>
      <c r="C6951" t="s">
        <v>20991</v>
      </c>
      <c r="D6951" t="s">
        <v>16078</v>
      </c>
      <c r="E6951" t="s">
        <v>20992</v>
      </c>
      <c r="F6951" t="s">
        <v>20993</v>
      </c>
      <c r="G6951" t="s">
        <v>16194</v>
      </c>
      <c r="H6951" t="s">
        <v>20994</v>
      </c>
      <c r="I6951" t="s">
        <v>16082</v>
      </c>
    </row>
    <row r="6952" spans="1:9">
      <c r="A6952" t="s">
        <v>16075</v>
      </c>
      <c r="B6952" t="s">
        <v>16076</v>
      </c>
      <c r="C6952" t="s">
        <v>20995</v>
      </c>
      <c r="D6952" t="s">
        <v>16078</v>
      </c>
      <c r="E6952" t="s">
        <v>20996</v>
      </c>
      <c r="F6952" t="s">
        <v>20997</v>
      </c>
      <c r="G6952" t="s">
        <v>16397</v>
      </c>
      <c r="H6952" t="s">
        <v>20998</v>
      </c>
    </row>
    <row r="6953" spans="1:9">
      <c r="A6953" t="s">
        <v>16075</v>
      </c>
      <c r="B6953" t="s">
        <v>16076</v>
      </c>
      <c r="C6953" t="s">
        <v>20999</v>
      </c>
      <c r="D6953" t="s">
        <v>16078</v>
      </c>
      <c r="E6953" t="s">
        <v>7670</v>
      </c>
      <c r="F6953" t="s">
        <v>21000</v>
      </c>
      <c r="G6953" t="s">
        <v>16183</v>
      </c>
      <c r="H6953" t="s">
        <v>21001</v>
      </c>
      <c r="I6953" t="s">
        <v>16093</v>
      </c>
    </row>
    <row r="6954" spans="1:9">
      <c r="A6954" t="s">
        <v>16075</v>
      </c>
      <c r="B6954" t="s">
        <v>16076</v>
      </c>
      <c r="C6954" t="s">
        <v>21002</v>
      </c>
      <c r="D6954" t="s">
        <v>16078</v>
      </c>
      <c r="E6954" t="s">
        <v>21003</v>
      </c>
      <c r="F6954" t="s">
        <v>21004</v>
      </c>
      <c r="G6954" t="s">
        <v>16091</v>
      </c>
      <c r="H6954" t="s">
        <v>21005</v>
      </c>
      <c r="I6954" t="s">
        <v>16082</v>
      </c>
    </row>
    <row r="6955" spans="1:9">
      <c r="A6955" t="s">
        <v>16075</v>
      </c>
      <c r="B6955" t="s">
        <v>16076</v>
      </c>
      <c r="C6955" t="s">
        <v>21006</v>
      </c>
      <c r="D6955" t="s">
        <v>16078</v>
      </c>
      <c r="E6955" t="s">
        <v>13041</v>
      </c>
      <c r="F6955" t="s">
        <v>21007</v>
      </c>
      <c r="G6955" t="s">
        <v>17229</v>
      </c>
      <c r="H6955" t="s">
        <v>21008</v>
      </c>
      <c r="I6955" t="s">
        <v>16082</v>
      </c>
    </row>
    <row r="6956" spans="1:9">
      <c r="A6956" t="s">
        <v>16075</v>
      </c>
      <c r="B6956" t="s">
        <v>16076</v>
      </c>
      <c r="C6956" t="s">
        <v>21009</v>
      </c>
      <c r="D6956" t="s">
        <v>16078</v>
      </c>
      <c r="E6956" t="s">
        <v>15527</v>
      </c>
      <c r="F6956" t="s">
        <v>21010</v>
      </c>
      <c r="G6956" t="s">
        <v>16097</v>
      </c>
      <c r="H6956" t="s">
        <v>21011</v>
      </c>
      <c r="I6956" t="s">
        <v>16093</v>
      </c>
    </row>
    <row r="6957" spans="1:9">
      <c r="A6957" t="s">
        <v>16075</v>
      </c>
      <c r="B6957" t="s">
        <v>16076</v>
      </c>
      <c r="C6957" t="s">
        <v>21012</v>
      </c>
      <c r="D6957" t="s">
        <v>16078</v>
      </c>
      <c r="E6957" t="s">
        <v>21013</v>
      </c>
      <c r="F6957" t="s">
        <v>21014</v>
      </c>
      <c r="G6957" t="s">
        <v>16178</v>
      </c>
      <c r="H6957" t="s">
        <v>21015</v>
      </c>
      <c r="I6957" t="s">
        <v>16082</v>
      </c>
    </row>
    <row r="6958" spans="1:9">
      <c r="A6958" t="s">
        <v>16075</v>
      </c>
      <c r="B6958" t="s">
        <v>16076</v>
      </c>
      <c r="C6958" t="s">
        <v>21016</v>
      </c>
      <c r="D6958" t="s">
        <v>16078</v>
      </c>
      <c r="E6958" t="s">
        <v>848</v>
      </c>
      <c r="F6958" t="s">
        <v>10727</v>
      </c>
      <c r="G6958" t="s">
        <v>16086</v>
      </c>
      <c r="H6958" t="s">
        <v>21017</v>
      </c>
      <c r="I6958" t="s">
        <v>16082</v>
      </c>
    </row>
    <row r="6959" spans="1:9">
      <c r="A6959" t="s">
        <v>16075</v>
      </c>
      <c r="B6959" t="s">
        <v>16076</v>
      </c>
      <c r="C6959" t="s">
        <v>21018</v>
      </c>
      <c r="D6959" t="s">
        <v>16078</v>
      </c>
      <c r="E6959" t="s">
        <v>10022</v>
      </c>
      <c r="F6959" t="s">
        <v>21019</v>
      </c>
      <c r="G6959" t="s">
        <v>16131</v>
      </c>
      <c r="H6959" t="s">
        <v>21020</v>
      </c>
      <c r="I6959" t="s">
        <v>16082</v>
      </c>
    </row>
    <row r="6960" spans="1:9">
      <c r="A6960" t="s">
        <v>16075</v>
      </c>
      <c r="B6960" t="s">
        <v>16076</v>
      </c>
      <c r="C6960" t="s">
        <v>21021</v>
      </c>
      <c r="D6960" t="s">
        <v>16078</v>
      </c>
      <c r="E6960" t="s">
        <v>2999</v>
      </c>
      <c r="F6960" t="s">
        <v>21022</v>
      </c>
      <c r="G6960" t="s">
        <v>16183</v>
      </c>
      <c r="H6960" t="s">
        <v>21023</v>
      </c>
      <c r="I6960" t="s">
        <v>16082</v>
      </c>
    </row>
    <row r="6961" spans="1:9">
      <c r="A6961" t="s">
        <v>16075</v>
      </c>
      <c r="B6961" t="s">
        <v>16076</v>
      </c>
      <c r="C6961" t="s">
        <v>21024</v>
      </c>
      <c r="D6961" t="s">
        <v>16078</v>
      </c>
      <c r="E6961" t="s">
        <v>13910</v>
      </c>
      <c r="F6961" t="s">
        <v>21025</v>
      </c>
      <c r="G6961" t="s">
        <v>16194</v>
      </c>
      <c r="H6961" t="s">
        <v>21026</v>
      </c>
      <c r="I6961" t="s">
        <v>16082</v>
      </c>
    </row>
    <row r="6962" spans="1:9">
      <c r="A6962" t="s">
        <v>16075</v>
      </c>
      <c r="B6962" t="s">
        <v>16076</v>
      </c>
      <c r="C6962" t="s">
        <v>21027</v>
      </c>
      <c r="D6962" t="s">
        <v>16078</v>
      </c>
      <c r="E6962" t="s">
        <v>21028</v>
      </c>
      <c r="F6962" t="s">
        <v>21029</v>
      </c>
      <c r="G6962" t="s">
        <v>16091</v>
      </c>
      <c r="H6962" t="s">
        <v>21030</v>
      </c>
      <c r="I6962" t="s">
        <v>16082</v>
      </c>
    </row>
    <row r="6963" spans="1:9">
      <c r="A6963" t="s">
        <v>16075</v>
      </c>
      <c r="B6963" t="s">
        <v>16076</v>
      </c>
      <c r="C6963" t="s">
        <v>21031</v>
      </c>
      <c r="D6963" t="s">
        <v>16078</v>
      </c>
      <c r="E6963" t="s">
        <v>21032</v>
      </c>
      <c r="F6963" t="s">
        <v>21033</v>
      </c>
      <c r="G6963" t="s">
        <v>16086</v>
      </c>
      <c r="H6963" t="s">
        <v>21034</v>
      </c>
      <c r="I6963" t="s">
        <v>16082</v>
      </c>
    </row>
    <row r="6964" spans="1:9">
      <c r="A6964" t="s">
        <v>16075</v>
      </c>
      <c r="B6964" t="s">
        <v>16076</v>
      </c>
      <c r="C6964" t="s">
        <v>21035</v>
      </c>
      <c r="D6964" t="s">
        <v>16078</v>
      </c>
      <c r="E6964" t="s">
        <v>21036</v>
      </c>
      <c r="F6964" t="s">
        <v>21037</v>
      </c>
      <c r="G6964" t="s">
        <v>16209</v>
      </c>
      <c r="H6964" t="s">
        <v>21038</v>
      </c>
      <c r="I6964" t="s">
        <v>16082</v>
      </c>
    </row>
    <row r="6965" spans="1:9">
      <c r="A6965" t="s">
        <v>16075</v>
      </c>
      <c r="B6965" t="s">
        <v>16076</v>
      </c>
      <c r="C6965" t="s">
        <v>21039</v>
      </c>
      <c r="D6965" t="s">
        <v>16078</v>
      </c>
      <c r="E6965" t="s">
        <v>21040</v>
      </c>
      <c r="F6965" t="s">
        <v>21041</v>
      </c>
      <c r="G6965" t="s">
        <v>16109</v>
      </c>
      <c r="H6965" t="s">
        <v>21042</v>
      </c>
      <c r="I6965" t="s">
        <v>16082</v>
      </c>
    </row>
    <row r="6966" spans="1:9">
      <c r="A6966" t="s">
        <v>16075</v>
      </c>
      <c r="B6966" t="s">
        <v>16076</v>
      </c>
      <c r="C6966" t="s">
        <v>21043</v>
      </c>
      <c r="D6966" t="s">
        <v>16078</v>
      </c>
      <c r="E6966" t="s">
        <v>21044</v>
      </c>
      <c r="F6966" t="s">
        <v>21045</v>
      </c>
      <c r="G6966" t="s">
        <v>16380</v>
      </c>
      <c r="H6966" t="s">
        <v>21046</v>
      </c>
      <c r="I6966" t="s">
        <v>16082</v>
      </c>
    </row>
    <row r="6967" spans="1:9">
      <c r="A6967" t="s">
        <v>16075</v>
      </c>
      <c r="B6967" t="s">
        <v>16076</v>
      </c>
      <c r="C6967" t="s">
        <v>21047</v>
      </c>
      <c r="D6967" t="s">
        <v>16078</v>
      </c>
      <c r="E6967" t="s">
        <v>14650</v>
      </c>
      <c r="F6967" t="s">
        <v>21048</v>
      </c>
      <c r="G6967" t="s">
        <v>16116</v>
      </c>
      <c r="H6967" t="s">
        <v>21049</v>
      </c>
      <c r="I6967" t="s">
        <v>16082</v>
      </c>
    </row>
    <row r="6968" spans="1:9">
      <c r="A6968" t="s">
        <v>16075</v>
      </c>
      <c r="B6968" t="s">
        <v>16076</v>
      </c>
      <c r="C6968" t="s">
        <v>21050</v>
      </c>
      <c r="D6968" t="s">
        <v>16078</v>
      </c>
      <c r="E6968" t="s">
        <v>21051</v>
      </c>
      <c r="F6968" t="s">
        <v>21052</v>
      </c>
      <c r="G6968" t="s">
        <v>16091</v>
      </c>
      <c r="H6968" t="s">
        <v>21053</v>
      </c>
      <c r="I6968" t="s">
        <v>16082</v>
      </c>
    </row>
    <row r="6969" spans="1:9">
      <c r="A6969" t="s">
        <v>16075</v>
      </c>
      <c r="B6969" t="s">
        <v>16076</v>
      </c>
      <c r="C6969" t="s">
        <v>21054</v>
      </c>
      <c r="D6969" t="s">
        <v>16078</v>
      </c>
      <c r="E6969" t="s">
        <v>14653</v>
      </c>
      <c r="F6969" t="s">
        <v>21055</v>
      </c>
      <c r="G6969" t="s">
        <v>16178</v>
      </c>
      <c r="H6969" t="s">
        <v>21056</v>
      </c>
      <c r="I6969" t="s">
        <v>16082</v>
      </c>
    </row>
    <row r="6970" spans="1:9">
      <c r="A6970" t="s">
        <v>16075</v>
      </c>
      <c r="B6970" t="s">
        <v>16076</v>
      </c>
      <c r="C6970" t="s">
        <v>21057</v>
      </c>
      <c r="D6970" t="s">
        <v>16078</v>
      </c>
      <c r="E6970" t="s">
        <v>7111</v>
      </c>
      <c r="F6970" t="s">
        <v>21058</v>
      </c>
      <c r="G6970" t="s">
        <v>16194</v>
      </c>
      <c r="H6970" t="s">
        <v>21059</v>
      </c>
      <c r="I6970" t="s">
        <v>16082</v>
      </c>
    </row>
    <row r="6971" spans="1:9">
      <c r="A6971" t="s">
        <v>16075</v>
      </c>
      <c r="B6971" t="s">
        <v>16076</v>
      </c>
      <c r="C6971" t="s">
        <v>21060</v>
      </c>
      <c r="D6971" t="s">
        <v>16078</v>
      </c>
      <c r="E6971" t="s">
        <v>13215</v>
      </c>
      <c r="F6971" t="s">
        <v>21061</v>
      </c>
      <c r="G6971" t="s">
        <v>16462</v>
      </c>
      <c r="H6971" t="s">
        <v>21062</v>
      </c>
      <c r="I6971" t="s">
        <v>16082</v>
      </c>
    </row>
    <row r="6972" spans="1:9">
      <c r="A6972" t="s">
        <v>16075</v>
      </c>
      <c r="B6972" t="s">
        <v>16076</v>
      </c>
      <c r="C6972" t="s">
        <v>21063</v>
      </c>
      <c r="D6972" t="s">
        <v>16078</v>
      </c>
      <c r="E6972" t="s">
        <v>21064</v>
      </c>
      <c r="F6972" t="s">
        <v>21065</v>
      </c>
      <c r="G6972" t="s">
        <v>16109</v>
      </c>
      <c r="H6972" t="s">
        <v>21066</v>
      </c>
      <c r="I6972" t="s">
        <v>16082</v>
      </c>
    </row>
    <row r="6973" spans="1:9">
      <c r="A6973" t="s">
        <v>16075</v>
      </c>
      <c r="B6973" t="s">
        <v>16076</v>
      </c>
      <c r="C6973" t="s">
        <v>21067</v>
      </c>
      <c r="D6973" t="s">
        <v>16078</v>
      </c>
      <c r="E6973" t="s">
        <v>14656</v>
      </c>
      <c r="F6973" t="s">
        <v>21068</v>
      </c>
      <c r="G6973" t="s">
        <v>16194</v>
      </c>
      <c r="H6973" t="s">
        <v>21069</v>
      </c>
      <c r="I6973" t="s">
        <v>16082</v>
      </c>
    </row>
    <row r="6974" spans="1:9">
      <c r="A6974" t="s">
        <v>16075</v>
      </c>
      <c r="B6974" t="s">
        <v>16076</v>
      </c>
      <c r="C6974" t="s">
        <v>21070</v>
      </c>
      <c r="D6974" t="s">
        <v>16078</v>
      </c>
      <c r="E6974" t="s">
        <v>21071</v>
      </c>
      <c r="F6974" t="s">
        <v>21072</v>
      </c>
      <c r="G6974" t="s">
        <v>16159</v>
      </c>
      <c r="H6974" t="s">
        <v>21073</v>
      </c>
      <c r="I6974" t="s">
        <v>16082</v>
      </c>
    </row>
    <row r="6975" spans="1:9">
      <c r="A6975" t="s">
        <v>16075</v>
      </c>
      <c r="B6975" t="s">
        <v>16076</v>
      </c>
      <c r="C6975" t="s">
        <v>21074</v>
      </c>
      <c r="D6975" t="s">
        <v>16078</v>
      </c>
      <c r="E6975" t="s">
        <v>21075</v>
      </c>
      <c r="F6975" t="s">
        <v>21076</v>
      </c>
      <c r="G6975" t="s">
        <v>16312</v>
      </c>
      <c r="H6975" t="s">
        <v>21077</v>
      </c>
    </row>
    <row r="6976" spans="1:9">
      <c r="A6976" t="s">
        <v>16075</v>
      </c>
      <c r="B6976" t="s">
        <v>16076</v>
      </c>
      <c r="C6976" t="s">
        <v>21078</v>
      </c>
      <c r="D6976" t="s">
        <v>16078</v>
      </c>
      <c r="E6976" t="s">
        <v>21079</v>
      </c>
      <c r="F6976" t="s">
        <v>21080</v>
      </c>
      <c r="G6976" t="s">
        <v>16116</v>
      </c>
      <c r="H6976" t="s">
        <v>21081</v>
      </c>
      <c r="I6976" t="s">
        <v>16082</v>
      </c>
    </row>
    <row r="6977" spans="1:9">
      <c r="A6977" t="s">
        <v>16075</v>
      </c>
      <c r="B6977" t="s">
        <v>16076</v>
      </c>
      <c r="C6977" t="s">
        <v>21082</v>
      </c>
      <c r="D6977" t="s">
        <v>16078</v>
      </c>
      <c r="E6977" t="s">
        <v>11668</v>
      </c>
      <c r="F6977" t="s">
        <v>21083</v>
      </c>
      <c r="G6977" t="s">
        <v>16793</v>
      </c>
      <c r="H6977" t="s">
        <v>21084</v>
      </c>
    </row>
    <row r="6978" spans="1:9">
      <c r="A6978" t="s">
        <v>16075</v>
      </c>
      <c r="B6978" t="s">
        <v>16076</v>
      </c>
      <c r="C6978" t="s">
        <v>21085</v>
      </c>
      <c r="D6978" t="s">
        <v>16078</v>
      </c>
      <c r="E6978" t="s">
        <v>13691</v>
      </c>
      <c r="F6978" t="s">
        <v>21086</v>
      </c>
      <c r="G6978" t="s">
        <v>16080</v>
      </c>
      <c r="H6978" t="s">
        <v>21087</v>
      </c>
      <c r="I6978" t="s">
        <v>16093</v>
      </c>
    </row>
    <row r="6979" spans="1:9">
      <c r="A6979" t="s">
        <v>16075</v>
      </c>
      <c r="B6979" t="s">
        <v>16076</v>
      </c>
      <c r="C6979" t="s">
        <v>21088</v>
      </c>
      <c r="D6979" t="s">
        <v>16078</v>
      </c>
      <c r="E6979" t="s">
        <v>21089</v>
      </c>
      <c r="F6979" t="s">
        <v>21090</v>
      </c>
      <c r="G6979" t="s">
        <v>16194</v>
      </c>
      <c r="H6979" t="s">
        <v>21091</v>
      </c>
      <c r="I6979" t="s">
        <v>16082</v>
      </c>
    </row>
    <row r="6980" spans="1:9">
      <c r="A6980" t="s">
        <v>16075</v>
      </c>
      <c r="B6980" t="s">
        <v>16076</v>
      </c>
      <c r="C6980" t="s">
        <v>21092</v>
      </c>
      <c r="D6980" t="s">
        <v>16078</v>
      </c>
      <c r="E6980" t="s">
        <v>21093</v>
      </c>
      <c r="F6980" t="s">
        <v>21094</v>
      </c>
      <c r="G6980" t="s">
        <v>16131</v>
      </c>
      <c r="H6980" t="s">
        <v>21095</v>
      </c>
      <c r="I6980" t="s">
        <v>16082</v>
      </c>
    </row>
    <row r="6981" spans="1:9">
      <c r="A6981" t="s">
        <v>16075</v>
      </c>
      <c r="B6981" t="s">
        <v>16076</v>
      </c>
      <c r="C6981" t="s">
        <v>21096</v>
      </c>
      <c r="D6981" t="s">
        <v>16078</v>
      </c>
      <c r="E6981" t="s">
        <v>3325</v>
      </c>
      <c r="F6981" t="s">
        <v>21097</v>
      </c>
      <c r="G6981" t="s">
        <v>16091</v>
      </c>
      <c r="H6981" t="s">
        <v>21098</v>
      </c>
      <c r="I6981" t="s">
        <v>16082</v>
      </c>
    </row>
    <row r="6982" spans="1:9">
      <c r="A6982" t="s">
        <v>16075</v>
      </c>
      <c r="B6982" t="s">
        <v>16076</v>
      </c>
      <c r="C6982" t="s">
        <v>21099</v>
      </c>
      <c r="D6982" t="s">
        <v>16078</v>
      </c>
      <c r="E6982" t="s">
        <v>21100</v>
      </c>
      <c r="F6982" t="s">
        <v>21101</v>
      </c>
      <c r="G6982" t="s">
        <v>16295</v>
      </c>
      <c r="H6982" t="s">
        <v>21102</v>
      </c>
      <c r="I6982" t="s">
        <v>16082</v>
      </c>
    </row>
    <row r="6983" spans="1:9">
      <c r="A6983" t="s">
        <v>16075</v>
      </c>
      <c r="B6983" t="s">
        <v>16076</v>
      </c>
      <c r="C6983" t="s">
        <v>21103</v>
      </c>
      <c r="D6983" t="s">
        <v>16078</v>
      </c>
      <c r="E6983" t="s">
        <v>21104</v>
      </c>
      <c r="F6983" t="s">
        <v>21105</v>
      </c>
      <c r="G6983" t="s">
        <v>16178</v>
      </c>
      <c r="H6983" t="s">
        <v>21106</v>
      </c>
      <c r="I6983" t="s">
        <v>16082</v>
      </c>
    </row>
    <row r="6984" spans="1:9">
      <c r="A6984" t="s">
        <v>16075</v>
      </c>
      <c r="B6984" t="s">
        <v>16076</v>
      </c>
      <c r="C6984" t="s">
        <v>21107</v>
      </c>
      <c r="D6984" t="s">
        <v>16078</v>
      </c>
      <c r="E6984" t="s">
        <v>11487</v>
      </c>
      <c r="F6984" t="s">
        <v>21108</v>
      </c>
      <c r="G6984" t="s">
        <v>16086</v>
      </c>
      <c r="H6984" t="s">
        <v>21109</v>
      </c>
      <c r="I6984" t="s">
        <v>16082</v>
      </c>
    </row>
    <row r="6985" spans="1:9">
      <c r="A6985" t="s">
        <v>16075</v>
      </c>
      <c r="B6985" t="s">
        <v>16076</v>
      </c>
      <c r="C6985" t="s">
        <v>21110</v>
      </c>
      <c r="D6985" t="s">
        <v>16078</v>
      </c>
      <c r="E6985" t="s">
        <v>21111</v>
      </c>
      <c r="F6985" t="s">
        <v>21112</v>
      </c>
      <c r="G6985" t="s">
        <v>16194</v>
      </c>
      <c r="H6985" t="s">
        <v>21113</v>
      </c>
      <c r="I6985" t="s">
        <v>16082</v>
      </c>
    </row>
    <row r="6986" spans="1:9">
      <c r="A6986" t="s">
        <v>16075</v>
      </c>
      <c r="B6986" t="s">
        <v>16076</v>
      </c>
      <c r="C6986" t="s">
        <v>21114</v>
      </c>
      <c r="D6986" t="s">
        <v>16078</v>
      </c>
      <c r="E6986" t="s">
        <v>21115</v>
      </c>
      <c r="F6986" t="s">
        <v>21116</v>
      </c>
      <c r="G6986" t="s">
        <v>16295</v>
      </c>
      <c r="H6986" t="s">
        <v>21117</v>
      </c>
      <c r="I6986" t="s">
        <v>16093</v>
      </c>
    </row>
    <row r="6987" spans="1:9">
      <c r="A6987" t="s">
        <v>16075</v>
      </c>
      <c r="B6987" t="s">
        <v>16076</v>
      </c>
      <c r="C6987" t="s">
        <v>21118</v>
      </c>
      <c r="D6987" t="s">
        <v>16078</v>
      </c>
      <c r="E6987" t="s">
        <v>3002</v>
      </c>
      <c r="F6987" t="s">
        <v>21119</v>
      </c>
      <c r="G6987" t="s">
        <v>16105</v>
      </c>
      <c r="H6987" t="s">
        <v>21120</v>
      </c>
      <c r="I6987" t="s">
        <v>16093</v>
      </c>
    </row>
    <row r="6988" spans="1:9">
      <c r="A6988" t="s">
        <v>16075</v>
      </c>
      <c r="B6988" t="s">
        <v>16076</v>
      </c>
      <c r="C6988" t="s">
        <v>21121</v>
      </c>
      <c r="D6988" t="s">
        <v>16078</v>
      </c>
      <c r="E6988" t="s">
        <v>21122</v>
      </c>
      <c r="F6988" t="s">
        <v>21123</v>
      </c>
      <c r="G6988" t="s">
        <v>16131</v>
      </c>
      <c r="H6988" t="s">
        <v>21124</v>
      </c>
      <c r="I6988" t="s">
        <v>16082</v>
      </c>
    </row>
    <row r="6989" spans="1:9">
      <c r="A6989" t="s">
        <v>16075</v>
      </c>
      <c r="B6989" t="s">
        <v>16076</v>
      </c>
      <c r="C6989" t="s">
        <v>21125</v>
      </c>
      <c r="D6989" t="s">
        <v>16078</v>
      </c>
      <c r="E6989" t="s">
        <v>21126</v>
      </c>
      <c r="F6989" t="s">
        <v>21127</v>
      </c>
      <c r="G6989" t="s">
        <v>16091</v>
      </c>
      <c r="H6989" t="s">
        <v>21128</v>
      </c>
      <c r="I6989" t="s">
        <v>16082</v>
      </c>
    </row>
    <row r="6990" spans="1:9">
      <c r="A6990" t="s">
        <v>16075</v>
      </c>
      <c r="B6990" t="s">
        <v>16076</v>
      </c>
      <c r="C6990" t="s">
        <v>21129</v>
      </c>
      <c r="D6990" t="s">
        <v>16078</v>
      </c>
      <c r="E6990" t="s">
        <v>7480</v>
      </c>
      <c r="F6990" t="s">
        <v>21130</v>
      </c>
      <c r="G6990" t="s">
        <v>16131</v>
      </c>
      <c r="H6990" t="s">
        <v>21131</v>
      </c>
      <c r="I6990" t="s">
        <v>16082</v>
      </c>
    </row>
    <row r="6991" spans="1:9">
      <c r="A6991" t="s">
        <v>16075</v>
      </c>
      <c r="B6991" t="s">
        <v>16076</v>
      </c>
      <c r="C6991" t="s">
        <v>21132</v>
      </c>
      <c r="D6991" t="s">
        <v>16078</v>
      </c>
      <c r="E6991" t="s">
        <v>21133</v>
      </c>
      <c r="F6991" t="s">
        <v>21134</v>
      </c>
      <c r="G6991" t="s">
        <v>16462</v>
      </c>
      <c r="H6991" t="s">
        <v>21135</v>
      </c>
      <c r="I6991" t="s">
        <v>16093</v>
      </c>
    </row>
    <row r="6992" spans="1:9">
      <c r="A6992" t="s">
        <v>16075</v>
      </c>
      <c r="B6992" t="s">
        <v>16076</v>
      </c>
      <c r="C6992" t="s">
        <v>21136</v>
      </c>
      <c r="D6992" t="s">
        <v>16078</v>
      </c>
      <c r="E6992" t="s">
        <v>21137</v>
      </c>
      <c r="F6992" t="s">
        <v>21138</v>
      </c>
      <c r="G6992" t="s">
        <v>16080</v>
      </c>
      <c r="H6992" t="s">
        <v>21139</v>
      </c>
      <c r="I6992" t="s">
        <v>16082</v>
      </c>
    </row>
    <row r="6993" spans="1:9">
      <c r="A6993" t="s">
        <v>16075</v>
      </c>
      <c r="B6993" t="s">
        <v>16076</v>
      </c>
      <c r="C6993" t="s">
        <v>21140</v>
      </c>
      <c r="D6993" t="s">
        <v>16078</v>
      </c>
      <c r="E6993" t="s">
        <v>21141</v>
      </c>
      <c r="F6993" t="s">
        <v>21142</v>
      </c>
      <c r="G6993" t="s">
        <v>16091</v>
      </c>
      <c r="H6993" t="s">
        <v>21143</v>
      </c>
      <c r="I6993" t="s">
        <v>16093</v>
      </c>
    </row>
    <row r="6994" spans="1:9">
      <c r="A6994" t="s">
        <v>16075</v>
      </c>
      <c r="B6994" t="s">
        <v>16076</v>
      </c>
      <c r="C6994" t="s">
        <v>21144</v>
      </c>
      <c r="D6994" t="s">
        <v>16078</v>
      </c>
      <c r="E6994" t="s">
        <v>21145</v>
      </c>
      <c r="F6994" t="s">
        <v>21146</v>
      </c>
      <c r="G6994" t="s">
        <v>16462</v>
      </c>
      <c r="H6994" t="s">
        <v>21147</v>
      </c>
      <c r="I6994" t="s">
        <v>16082</v>
      </c>
    </row>
    <row r="6995" spans="1:9">
      <c r="A6995" t="s">
        <v>16075</v>
      </c>
      <c r="B6995" t="s">
        <v>16076</v>
      </c>
      <c r="C6995" t="s">
        <v>21148</v>
      </c>
      <c r="D6995" t="s">
        <v>16078</v>
      </c>
      <c r="E6995" t="s">
        <v>21149</v>
      </c>
      <c r="F6995" t="s">
        <v>21150</v>
      </c>
      <c r="G6995" t="s">
        <v>16131</v>
      </c>
      <c r="H6995" t="s">
        <v>21151</v>
      </c>
      <c r="I6995" t="s">
        <v>16082</v>
      </c>
    </row>
    <row r="6996" spans="1:9">
      <c r="A6996" t="s">
        <v>16075</v>
      </c>
      <c r="B6996" t="s">
        <v>16076</v>
      </c>
      <c r="C6996" t="s">
        <v>21152</v>
      </c>
      <c r="D6996" t="s">
        <v>16078</v>
      </c>
      <c r="E6996" t="s">
        <v>14668</v>
      </c>
      <c r="F6996" t="s">
        <v>21153</v>
      </c>
      <c r="G6996" t="s">
        <v>16159</v>
      </c>
      <c r="H6996" t="s">
        <v>21154</v>
      </c>
      <c r="I6996" t="s">
        <v>16082</v>
      </c>
    </row>
    <row r="6997" spans="1:9">
      <c r="A6997" t="s">
        <v>16075</v>
      </c>
      <c r="B6997" t="s">
        <v>16076</v>
      </c>
      <c r="C6997" t="s">
        <v>21155</v>
      </c>
      <c r="D6997" t="s">
        <v>16078</v>
      </c>
      <c r="E6997" t="s">
        <v>10656</v>
      </c>
      <c r="F6997" t="s">
        <v>21156</v>
      </c>
      <c r="G6997" t="s">
        <v>16116</v>
      </c>
      <c r="H6997" t="s">
        <v>21157</v>
      </c>
      <c r="I6997" t="s">
        <v>16082</v>
      </c>
    </row>
    <row r="6998" spans="1:9">
      <c r="A6998" t="s">
        <v>16075</v>
      </c>
      <c r="B6998" t="s">
        <v>16076</v>
      </c>
      <c r="C6998" t="s">
        <v>21158</v>
      </c>
      <c r="D6998" t="s">
        <v>16078</v>
      </c>
      <c r="E6998" t="s">
        <v>21159</v>
      </c>
      <c r="F6998" t="s">
        <v>21160</v>
      </c>
      <c r="G6998" t="s">
        <v>16209</v>
      </c>
      <c r="H6998" t="s">
        <v>21161</v>
      </c>
      <c r="I6998" t="s">
        <v>16082</v>
      </c>
    </row>
    <row r="6999" spans="1:9">
      <c r="A6999" t="s">
        <v>16075</v>
      </c>
      <c r="B6999" t="s">
        <v>16076</v>
      </c>
      <c r="C6999" t="s">
        <v>21162</v>
      </c>
      <c r="D6999" t="s">
        <v>16078</v>
      </c>
      <c r="E6999" t="s">
        <v>4587</v>
      </c>
      <c r="F6999" t="s">
        <v>21163</v>
      </c>
      <c r="G6999" t="s">
        <v>16173</v>
      </c>
      <c r="H6999" t="s">
        <v>21161</v>
      </c>
      <c r="I6999" t="s">
        <v>16082</v>
      </c>
    </row>
    <row r="7000" spans="1:9">
      <c r="A7000" t="s">
        <v>16075</v>
      </c>
      <c r="B7000" t="s">
        <v>16076</v>
      </c>
      <c r="C7000" t="s">
        <v>21164</v>
      </c>
      <c r="D7000" t="s">
        <v>16078</v>
      </c>
      <c r="E7000" t="s">
        <v>21165</v>
      </c>
      <c r="F7000" t="s">
        <v>21166</v>
      </c>
      <c r="G7000" t="s">
        <v>16159</v>
      </c>
      <c r="H7000" t="s">
        <v>16819</v>
      </c>
      <c r="I7000" t="s">
        <v>16082</v>
      </c>
    </row>
    <row r="7001" spans="1:9">
      <c r="A7001" t="s">
        <v>16075</v>
      </c>
      <c r="B7001" t="s">
        <v>16076</v>
      </c>
      <c r="C7001" t="s">
        <v>21167</v>
      </c>
      <c r="D7001" t="s">
        <v>16078</v>
      </c>
      <c r="E7001" t="s">
        <v>21168</v>
      </c>
      <c r="F7001" t="s">
        <v>21169</v>
      </c>
      <c r="G7001" t="s">
        <v>16194</v>
      </c>
      <c r="H7001" t="s">
        <v>21170</v>
      </c>
      <c r="I7001" t="s">
        <v>16082</v>
      </c>
    </row>
    <row r="7002" spans="1:9">
      <c r="A7002" t="s">
        <v>16075</v>
      </c>
      <c r="B7002" t="s">
        <v>16076</v>
      </c>
      <c r="C7002" t="s">
        <v>21171</v>
      </c>
      <c r="D7002" t="s">
        <v>16078</v>
      </c>
      <c r="E7002" t="s">
        <v>7483</v>
      </c>
      <c r="F7002" t="s">
        <v>21172</v>
      </c>
      <c r="G7002" t="s">
        <v>16109</v>
      </c>
      <c r="H7002" t="s">
        <v>21173</v>
      </c>
      <c r="I7002" t="s">
        <v>16082</v>
      </c>
    </row>
    <row r="7003" spans="1:9">
      <c r="A7003" t="s">
        <v>16075</v>
      </c>
      <c r="B7003" t="s">
        <v>16076</v>
      </c>
      <c r="C7003" t="s">
        <v>21174</v>
      </c>
      <c r="D7003" t="s">
        <v>16078</v>
      </c>
      <c r="E7003" t="s">
        <v>21175</v>
      </c>
      <c r="F7003" t="s">
        <v>21176</v>
      </c>
      <c r="G7003" t="s">
        <v>16101</v>
      </c>
      <c r="H7003" t="s">
        <v>21177</v>
      </c>
      <c r="I7003" t="s">
        <v>16082</v>
      </c>
    </row>
    <row r="7004" spans="1:9">
      <c r="A7004" t="s">
        <v>16075</v>
      </c>
      <c r="B7004" t="s">
        <v>16076</v>
      </c>
      <c r="C7004" t="s">
        <v>21178</v>
      </c>
      <c r="D7004" t="s">
        <v>16078</v>
      </c>
      <c r="E7004" t="s">
        <v>8186</v>
      </c>
      <c r="F7004" t="s">
        <v>21179</v>
      </c>
      <c r="G7004" t="s">
        <v>16105</v>
      </c>
      <c r="H7004" t="s">
        <v>21180</v>
      </c>
      <c r="I7004" t="s">
        <v>16082</v>
      </c>
    </row>
    <row r="7005" spans="1:9">
      <c r="A7005" t="s">
        <v>16075</v>
      </c>
      <c r="B7005" t="s">
        <v>16076</v>
      </c>
      <c r="C7005" t="s">
        <v>21181</v>
      </c>
      <c r="D7005" t="s">
        <v>16078</v>
      </c>
      <c r="E7005" t="s">
        <v>10025</v>
      </c>
      <c r="F7005" t="s">
        <v>21182</v>
      </c>
      <c r="G7005" t="s">
        <v>16194</v>
      </c>
      <c r="H7005" t="s">
        <v>21183</v>
      </c>
      <c r="I7005" t="s">
        <v>16082</v>
      </c>
    </row>
    <row r="7006" spans="1:9">
      <c r="A7006" t="s">
        <v>16075</v>
      </c>
      <c r="B7006" t="s">
        <v>16076</v>
      </c>
      <c r="C7006" t="s">
        <v>21184</v>
      </c>
      <c r="D7006" t="s">
        <v>16078</v>
      </c>
      <c r="E7006" t="s">
        <v>21185</v>
      </c>
      <c r="F7006" t="s">
        <v>21186</v>
      </c>
      <c r="G7006" t="s">
        <v>16080</v>
      </c>
      <c r="H7006" t="s">
        <v>21187</v>
      </c>
      <c r="I7006" t="s">
        <v>16082</v>
      </c>
    </row>
    <row r="7007" spans="1:9">
      <c r="A7007" t="s">
        <v>16075</v>
      </c>
      <c r="B7007" t="s">
        <v>16076</v>
      </c>
      <c r="C7007" t="s">
        <v>21188</v>
      </c>
      <c r="D7007" t="s">
        <v>16078</v>
      </c>
      <c r="E7007" t="s">
        <v>21189</v>
      </c>
      <c r="F7007" t="s">
        <v>21190</v>
      </c>
      <c r="G7007" t="s">
        <v>16097</v>
      </c>
      <c r="H7007" t="s">
        <v>21191</v>
      </c>
      <c r="I7007" t="s">
        <v>16082</v>
      </c>
    </row>
    <row r="7008" spans="1:9">
      <c r="A7008" t="s">
        <v>16075</v>
      </c>
      <c r="B7008" t="s">
        <v>16076</v>
      </c>
      <c r="C7008" t="s">
        <v>21192</v>
      </c>
      <c r="D7008" t="s">
        <v>16078</v>
      </c>
      <c r="E7008" t="s">
        <v>21193</v>
      </c>
      <c r="F7008" t="s">
        <v>21194</v>
      </c>
      <c r="G7008" t="s">
        <v>16159</v>
      </c>
      <c r="H7008" t="s">
        <v>21195</v>
      </c>
      <c r="I7008" t="s">
        <v>16082</v>
      </c>
    </row>
    <row r="7009" spans="1:9">
      <c r="A7009" t="s">
        <v>16075</v>
      </c>
      <c r="B7009" t="s">
        <v>16076</v>
      </c>
      <c r="C7009" t="s">
        <v>21196</v>
      </c>
      <c r="D7009" t="s">
        <v>16078</v>
      </c>
      <c r="E7009" t="s">
        <v>8048</v>
      </c>
      <c r="F7009" t="s">
        <v>21197</v>
      </c>
      <c r="G7009" t="s">
        <v>16080</v>
      </c>
      <c r="H7009" t="s">
        <v>21198</v>
      </c>
      <c r="I7009" t="s">
        <v>16082</v>
      </c>
    </row>
    <row r="7010" spans="1:9">
      <c r="A7010" t="s">
        <v>16075</v>
      </c>
      <c r="B7010" t="s">
        <v>16076</v>
      </c>
      <c r="C7010" t="s">
        <v>21199</v>
      </c>
      <c r="D7010" t="s">
        <v>16078</v>
      </c>
      <c r="E7010" t="s">
        <v>21200</v>
      </c>
      <c r="F7010" t="s">
        <v>21201</v>
      </c>
      <c r="G7010" t="s">
        <v>16159</v>
      </c>
      <c r="H7010" t="s">
        <v>21202</v>
      </c>
      <c r="I7010" t="s">
        <v>16082</v>
      </c>
    </row>
    <row r="7011" spans="1:9">
      <c r="A7011" t="s">
        <v>16075</v>
      </c>
      <c r="B7011" t="s">
        <v>16076</v>
      </c>
      <c r="C7011" t="s">
        <v>21203</v>
      </c>
      <c r="D7011" t="s">
        <v>16078</v>
      </c>
      <c r="E7011" t="s">
        <v>5317</v>
      </c>
      <c r="F7011" t="s">
        <v>21204</v>
      </c>
      <c r="G7011" t="s">
        <v>16105</v>
      </c>
      <c r="H7011" t="s">
        <v>21205</v>
      </c>
      <c r="I7011" t="s">
        <v>16082</v>
      </c>
    </row>
    <row r="7012" spans="1:9">
      <c r="A7012" t="s">
        <v>16075</v>
      </c>
      <c r="B7012" t="s">
        <v>16076</v>
      </c>
      <c r="C7012" t="s">
        <v>21206</v>
      </c>
      <c r="D7012" t="s">
        <v>16078</v>
      </c>
      <c r="E7012" t="s">
        <v>21207</v>
      </c>
      <c r="F7012" t="s">
        <v>21208</v>
      </c>
      <c r="G7012" t="s">
        <v>16397</v>
      </c>
      <c r="H7012" t="s">
        <v>21209</v>
      </c>
      <c r="I7012" t="s">
        <v>16082</v>
      </c>
    </row>
    <row r="7013" spans="1:9">
      <c r="A7013" t="s">
        <v>16075</v>
      </c>
      <c r="B7013" t="s">
        <v>16076</v>
      </c>
      <c r="C7013" t="s">
        <v>21210</v>
      </c>
      <c r="D7013" t="s">
        <v>16078</v>
      </c>
      <c r="E7013" t="s">
        <v>21211</v>
      </c>
      <c r="F7013" t="s">
        <v>21212</v>
      </c>
      <c r="G7013" t="s">
        <v>16194</v>
      </c>
      <c r="H7013" t="s">
        <v>21213</v>
      </c>
      <c r="I7013" t="s">
        <v>16082</v>
      </c>
    </row>
    <row r="7014" spans="1:9">
      <c r="A7014" t="s">
        <v>16075</v>
      </c>
      <c r="B7014" t="s">
        <v>16076</v>
      </c>
      <c r="C7014" t="s">
        <v>21214</v>
      </c>
      <c r="D7014" t="s">
        <v>16078</v>
      </c>
      <c r="E7014" t="s">
        <v>3008</v>
      </c>
      <c r="F7014" t="s">
        <v>21215</v>
      </c>
      <c r="G7014" t="s">
        <v>16534</v>
      </c>
      <c r="H7014" t="s">
        <v>21216</v>
      </c>
      <c r="I7014" t="s">
        <v>16082</v>
      </c>
    </row>
    <row r="7015" spans="1:9">
      <c r="A7015" t="s">
        <v>16075</v>
      </c>
      <c r="B7015" t="s">
        <v>16076</v>
      </c>
      <c r="C7015" t="s">
        <v>21217</v>
      </c>
      <c r="D7015" t="s">
        <v>16078</v>
      </c>
      <c r="E7015" t="s">
        <v>14123</v>
      </c>
      <c r="F7015" t="s">
        <v>21218</v>
      </c>
      <c r="G7015" t="s">
        <v>16091</v>
      </c>
      <c r="H7015" t="s">
        <v>21219</v>
      </c>
      <c r="I7015" t="s">
        <v>16082</v>
      </c>
    </row>
    <row r="7016" spans="1:9">
      <c r="A7016" t="s">
        <v>16075</v>
      </c>
      <c r="B7016" t="s">
        <v>16076</v>
      </c>
      <c r="C7016" t="s">
        <v>21220</v>
      </c>
      <c r="D7016" t="s">
        <v>16078</v>
      </c>
      <c r="E7016" t="s">
        <v>21221</v>
      </c>
      <c r="F7016" t="s">
        <v>21222</v>
      </c>
      <c r="G7016" t="s">
        <v>16312</v>
      </c>
      <c r="H7016" t="s">
        <v>21147</v>
      </c>
    </row>
    <row r="7017" spans="1:9">
      <c r="A7017" t="s">
        <v>16075</v>
      </c>
      <c r="B7017" t="s">
        <v>16076</v>
      </c>
      <c r="C7017" t="s">
        <v>21223</v>
      </c>
      <c r="D7017" t="s">
        <v>16078</v>
      </c>
      <c r="E7017" t="s">
        <v>21224</v>
      </c>
      <c r="F7017" t="s">
        <v>21224</v>
      </c>
      <c r="G7017" t="s">
        <v>16183</v>
      </c>
      <c r="H7017" t="s">
        <v>21225</v>
      </c>
      <c r="I7017" t="s">
        <v>16082</v>
      </c>
    </row>
    <row r="7018" spans="1:9">
      <c r="A7018" t="s">
        <v>16075</v>
      </c>
      <c r="B7018" t="s">
        <v>16076</v>
      </c>
      <c r="C7018" t="s">
        <v>21226</v>
      </c>
      <c r="D7018" t="s">
        <v>16078</v>
      </c>
      <c r="E7018" t="s">
        <v>11121</v>
      </c>
      <c r="F7018" t="s">
        <v>21227</v>
      </c>
      <c r="G7018" t="s">
        <v>16239</v>
      </c>
      <c r="H7018" t="s">
        <v>21228</v>
      </c>
      <c r="I7018" t="s">
        <v>16082</v>
      </c>
    </row>
    <row r="7019" spans="1:9">
      <c r="A7019" t="s">
        <v>16075</v>
      </c>
      <c r="B7019" t="s">
        <v>16076</v>
      </c>
      <c r="C7019" t="s">
        <v>21229</v>
      </c>
      <c r="D7019" t="s">
        <v>16078</v>
      </c>
      <c r="E7019" t="s">
        <v>11495</v>
      </c>
      <c r="F7019" t="s">
        <v>21230</v>
      </c>
      <c r="G7019" t="s">
        <v>16091</v>
      </c>
      <c r="H7019" t="s">
        <v>21231</v>
      </c>
      <c r="I7019" t="s">
        <v>16093</v>
      </c>
    </row>
    <row r="7020" spans="1:9">
      <c r="A7020" t="s">
        <v>16075</v>
      </c>
      <c r="B7020" t="s">
        <v>16076</v>
      </c>
      <c r="C7020" t="s">
        <v>21232</v>
      </c>
      <c r="D7020" t="s">
        <v>16078</v>
      </c>
      <c r="E7020" t="s">
        <v>7009</v>
      </c>
      <c r="F7020" t="s">
        <v>21233</v>
      </c>
      <c r="G7020" t="s">
        <v>16295</v>
      </c>
      <c r="H7020" t="s">
        <v>21154</v>
      </c>
      <c r="I7020" t="s">
        <v>16082</v>
      </c>
    </row>
    <row r="7021" spans="1:9">
      <c r="A7021" t="s">
        <v>16075</v>
      </c>
      <c r="B7021" t="s">
        <v>16076</v>
      </c>
      <c r="C7021" t="s">
        <v>21234</v>
      </c>
      <c r="D7021" t="s">
        <v>16078</v>
      </c>
      <c r="E7021" t="s">
        <v>12126</v>
      </c>
      <c r="F7021" t="s">
        <v>21235</v>
      </c>
      <c r="G7021" t="s">
        <v>16101</v>
      </c>
      <c r="H7021" t="s">
        <v>21236</v>
      </c>
      <c r="I7021" t="s">
        <v>16082</v>
      </c>
    </row>
    <row r="7022" spans="1:9">
      <c r="A7022" t="s">
        <v>16075</v>
      </c>
      <c r="B7022" t="s">
        <v>16076</v>
      </c>
      <c r="C7022" t="s">
        <v>21237</v>
      </c>
      <c r="D7022" t="s">
        <v>16078</v>
      </c>
      <c r="E7022" t="s">
        <v>21238</v>
      </c>
      <c r="F7022" t="s">
        <v>21239</v>
      </c>
      <c r="G7022" t="s">
        <v>16793</v>
      </c>
      <c r="H7022" t="s">
        <v>21240</v>
      </c>
      <c r="I7022" t="s">
        <v>16093</v>
      </c>
    </row>
    <row r="7023" spans="1:9">
      <c r="A7023" t="s">
        <v>16075</v>
      </c>
      <c r="B7023" t="s">
        <v>16076</v>
      </c>
      <c r="C7023" t="s">
        <v>21241</v>
      </c>
      <c r="D7023" t="s">
        <v>16078</v>
      </c>
      <c r="E7023" t="s">
        <v>5323</v>
      </c>
      <c r="F7023" t="s">
        <v>21242</v>
      </c>
      <c r="G7023" t="s">
        <v>16451</v>
      </c>
      <c r="H7023" t="s">
        <v>21243</v>
      </c>
      <c r="I7023" t="s">
        <v>16082</v>
      </c>
    </row>
    <row r="7024" spans="1:9">
      <c r="A7024" t="s">
        <v>16075</v>
      </c>
      <c r="B7024" t="s">
        <v>16076</v>
      </c>
      <c r="C7024" t="s">
        <v>21244</v>
      </c>
      <c r="D7024" t="s">
        <v>16078</v>
      </c>
      <c r="E7024" t="s">
        <v>10031</v>
      </c>
      <c r="F7024" t="s">
        <v>21245</v>
      </c>
      <c r="G7024" t="s">
        <v>16793</v>
      </c>
      <c r="H7024" t="s">
        <v>21246</v>
      </c>
    </row>
    <row r="7025" spans="1:14">
      <c r="A7025" t="s">
        <v>16075</v>
      </c>
      <c r="B7025" t="s">
        <v>16076</v>
      </c>
      <c r="C7025" t="s">
        <v>21247</v>
      </c>
      <c r="D7025" t="s">
        <v>16078</v>
      </c>
      <c r="E7025" t="s">
        <v>21248</v>
      </c>
      <c r="F7025" t="s">
        <v>21249</v>
      </c>
      <c r="G7025" t="s">
        <v>16101</v>
      </c>
      <c r="H7025" t="s">
        <v>21250</v>
      </c>
      <c r="I7025" t="s">
        <v>16082</v>
      </c>
    </row>
    <row r="7026" spans="1:14">
      <c r="A7026" t="s">
        <v>16075</v>
      </c>
      <c r="B7026" t="s">
        <v>16076</v>
      </c>
      <c r="C7026" t="s">
        <v>21251</v>
      </c>
      <c r="D7026" t="s">
        <v>16078</v>
      </c>
      <c r="E7026" t="s">
        <v>21252</v>
      </c>
      <c r="F7026" t="s">
        <v>21253</v>
      </c>
      <c r="G7026" t="s">
        <v>16209</v>
      </c>
      <c r="H7026" t="s">
        <v>21254</v>
      </c>
      <c r="I7026" t="s">
        <v>16082</v>
      </c>
    </row>
    <row r="7027" spans="1:14">
      <c r="A7027" t="s">
        <v>16075</v>
      </c>
      <c r="B7027" t="s">
        <v>16076</v>
      </c>
      <c r="C7027" t="s">
        <v>21255</v>
      </c>
      <c r="D7027" t="s">
        <v>16078</v>
      </c>
      <c r="E7027" t="s">
        <v>21256</v>
      </c>
      <c r="F7027" t="s">
        <v>21257</v>
      </c>
      <c r="G7027" t="s">
        <v>16320</v>
      </c>
      <c r="H7027" t="s">
        <v>21258</v>
      </c>
      <c r="I7027" t="s">
        <v>16082</v>
      </c>
    </row>
    <row r="7028" spans="1:14">
      <c r="A7028" t="s">
        <v>16075</v>
      </c>
      <c r="B7028" t="s">
        <v>16076</v>
      </c>
      <c r="C7028" t="s">
        <v>21259</v>
      </c>
      <c r="D7028" t="s">
        <v>16078</v>
      </c>
      <c r="E7028" t="s">
        <v>21260</v>
      </c>
      <c r="F7028" t="s">
        <v>21261</v>
      </c>
      <c r="G7028" t="s">
        <v>16793</v>
      </c>
      <c r="H7028" t="s">
        <v>21262</v>
      </c>
      <c r="I7028" t="s">
        <v>16082</v>
      </c>
      <c r="J7028" t="s">
        <v>21260</v>
      </c>
      <c r="K7028" t="s">
        <v>16075</v>
      </c>
      <c r="L7028" t="s">
        <v>16219</v>
      </c>
      <c r="M7028" t="s">
        <v>16082</v>
      </c>
      <c r="N7028" t="s">
        <v>21262</v>
      </c>
    </row>
    <row r="7029" spans="1:14">
      <c r="A7029" t="s">
        <v>16075</v>
      </c>
      <c r="B7029" t="s">
        <v>16076</v>
      </c>
      <c r="C7029" t="s">
        <v>21263</v>
      </c>
      <c r="D7029" t="s">
        <v>16078</v>
      </c>
      <c r="E7029" t="s">
        <v>10034</v>
      </c>
      <c r="F7029" t="s">
        <v>21264</v>
      </c>
      <c r="G7029" t="s">
        <v>16116</v>
      </c>
      <c r="H7029" t="s">
        <v>21265</v>
      </c>
      <c r="I7029" t="s">
        <v>16082</v>
      </c>
    </row>
    <row r="7030" spans="1:14">
      <c r="A7030" t="s">
        <v>16075</v>
      </c>
      <c r="B7030" t="s">
        <v>16076</v>
      </c>
      <c r="C7030" t="s">
        <v>21266</v>
      </c>
      <c r="D7030" t="s">
        <v>16078</v>
      </c>
      <c r="E7030" t="s">
        <v>21267</v>
      </c>
      <c r="F7030" t="s">
        <v>21268</v>
      </c>
      <c r="G7030" t="s">
        <v>16080</v>
      </c>
      <c r="H7030" t="s">
        <v>21269</v>
      </c>
      <c r="I7030" t="s">
        <v>16082</v>
      </c>
    </row>
    <row r="7031" spans="1:14">
      <c r="A7031" t="s">
        <v>16075</v>
      </c>
      <c r="B7031" t="s">
        <v>16076</v>
      </c>
      <c r="C7031" t="s">
        <v>21270</v>
      </c>
      <c r="D7031" t="s">
        <v>16078</v>
      </c>
      <c r="E7031" t="s">
        <v>21271</v>
      </c>
      <c r="F7031" t="s">
        <v>21272</v>
      </c>
      <c r="G7031" t="s">
        <v>16139</v>
      </c>
      <c r="H7031" t="s">
        <v>21273</v>
      </c>
      <c r="I7031" t="s">
        <v>16082</v>
      </c>
    </row>
    <row r="7032" spans="1:14">
      <c r="A7032" t="s">
        <v>16075</v>
      </c>
      <c r="B7032" t="s">
        <v>16076</v>
      </c>
      <c r="C7032" t="s">
        <v>21274</v>
      </c>
      <c r="D7032" t="s">
        <v>16078</v>
      </c>
      <c r="E7032" t="s">
        <v>10040</v>
      </c>
      <c r="F7032" t="s">
        <v>21275</v>
      </c>
      <c r="G7032" t="s">
        <v>16683</v>
      </c>
      <c r="H7032" t="s">
        <v>21276</v>
      </c>
      <c r="I7032" t="s">
        <v>16093</v>
      </c>
    </row>
    <row r="7033" spans="1:14">
      <c r="A7033" t="s">
        <v>16075</v>
      </c>
      <c r="B7033" t="s">
        <v>16076</v>
      </c>
      <c r="C7033" t="s">
        <v>21277</v>
      </c>
      <c r="D7033" t="s">
        <v>16078</v>
      </c>
      <c r="E7033" t="s">
        <v>21278</v>
      </c>
      <c r="F7033" t="s">
        <v>21279</v>
      </c>
      <c r="G7033" t="s">
        <v>16131</v>
      </c>
      <c r="H7033" t="s">
        <v>21280</v>
      </c>
      <c r="I7033" t="s">
        <v>16082</v>
      </c>
    </row>
    <row r="7034" spans="1:14">
      <c r="A7034" t="s">
        <v>16075</v>
      </c>
      <c r="B7034" t="s">
        <v>16076</v>
      </c>
      <c r="C7034" t="s">
        <v>21281</v>
      </c>
      <c r="D7034" t="s">
        <v>16078</v>
      </c>
      <c r="E7034" t="s">
        <v>10043</v>
      </c>
      <c r="F7034" t="s">
        <v>21282</v>
      </c>
      <c r="G7034" t="s">
        <v>16109</v>
      </c>
      <c r="H7034" t="s">
        <v>21170</v>
      </c>
      <c r="I7034" t="s">
        <v>16082</v>
      </c>
    </row>
    <row r="7035" spans="1:14">
      <c r="A7035" t="s">
        <v>16075</v>
      </c>
      <c r="B7035" t="s">
        <v>16076</v>
      </c>
      <c r="C7035" t="s">
        <v>21283</v>
      </c>
      <c r="D7035" t="s">
        <v>16078</v>
      </c>
      <c r="E7035" t="s">
        <v>3017</v>
      </c>
      <c r="F7035" t="s">
        <v>21284</v>
      </c>
      <c r="G7035" t="s">
        <v>16159</v>
      </c>
      <c r="H7035" t="s">
        <v>21285</v>
      </c>
      <c r="I7035" t="s">
        <v>16082</v>
      </c>
    </row>
    <row r="7036" spans="1:14">
      <c r="A7036" t="s">
        <v>16075</v>
      </c>
      <c r="B7036" t="s">
        <v>16076</v>
      </c>
      <c r="C7036" t="s">
        <v>21286</v>
      </c>
      <c r="D7036" t="s">
        <v>16078</v>
      </c>
      <c r="E7036" t="s">
        <v>5326</v>
      </c>
      <c r="F7036" t="s">
        <v>21287</v>
      </c>
      <c r="G7036" t="s">
        <v>16266</v>
      </c>
      <c r="H7036" t="s">
        <v>21288</v>
      </c>
      <c r="I7036" t="s">
        <v>16082</v>
      </c>
    </row>
    <row r="7037" spans="1:14">
      <c r="A7037" t="s">
        <v>16075</v>
      </c>
      <c r="B7037" t="s">
        <v>16076</v>
      </c>
      <c r="C7037" t="s">
        <v>21289</v>
      </c>
      <c r="D7037" t="s">
        <v>16078</v>
      </c>
      <c r="E7037" t="s">
        <v>13054</v>
      </c>
      <c r="F7037" t="s">
        <v>21290</v>
      </c>
      <c r="G7037" t="s">
        <v>16173</v>
      </c>
      <c r="H7037" t="s">
        <v>21291</v>
      </c>
      <c r="I7037" t="s">
        <v>16082</v>
      </c>
    </row>
    <row r="7038" spans="1:14">
      <c r="A7038" t="s">
        <v>16075</v>
      </c>
      <c r="B7038" t="s">
        <v>16076</v>
      </c>
      <c r="C7038" t="s">
        <v>21292</v>
      </c>
      <c r="D7038" t="s">
        <v>16078</v>
      </c>
      <c r="E7038" t="s">
        <v>15344</v>
      </c>
      <c r="F7038" t="s">
        <v>21293</v>
      </c>
      <c r="G7038" t="s">
        <v>16086</v>
      </c>
      <c r="H7038" t="s">
        <v>21294</v>
      </c>
      <c r="I7038" t="s">
        <v>16082</v>
      </c>
    </row>
    <row r="7039" spans="1:14">
      <c r="A7039" t="s">
        <v>16075</v>
      </c>
      <c r="B7039" t="s">
        <v>16076</v>
      </c>
      <c r="C7039" t="s">
        <v>21295</v>
      </c>
      <c r="D7039" t="s">
        <v>16078</v>
      </c>
      <c r="E7039" t="s">
        <v>21296</v>
      </c>
      <c r="F7039" t="s">
        <v>21297</v>
      </c>
      <c r="G7039" t="s">
        <v>17700</v>
      </c>
      <c r="H7039" t="s">
        <v>21298</v>
      </c>
    </row>
    <row r="7040" spans="1:14">
      <c r="A7040" t="s">
        <v>16075</v>
      </c>
      <c r="B7040" t="s">
        <v>16076</v>
      </c>
      <c r="C7040" t="s">
        <v>21299</v>
      </c>
      <c r="D7040" t="s">
        <v>16078</v>
      </c>
      <c r="E7040" t="s">
        <v>21300</v>
      </c>
      <c r="F7040" t="s">
        <v>21301</v>
      </c>
      <c r="G7040" t="s">
        <v>16451</v>
      </c>
      <c r="H7040" t="s">
        <v>21302</v>
      </c>
      <c r="I7040" t="s">
        <v>16082</v>
      </c>
    </row>
    <row r="7041" spans="1:9">
      <c r="A7041" t="s">
        <v>16075</v>
      </c>
      <c r="B7041" t="s">
        <v>16076</v>
      </c>
      <c r="C7041" t="s">
        <v>21303</v>
      </c>
      <c r="D7041" t="s">
        <v>16078</v>
      </c>
      <c r="E7041" t="s">
        <v>21304</v>
      </c>
      <c r="F7041" t="s">
        <v>21305</v>
      </c>
      <c r="G7041" t="s">
        <v>16109</v>
      </c>
      <c r="H7041" t="s">
        <v>21306</v>
      </c>
      <c r="I7041" t="s">
        <v>16082</v>
      </c>
    </row>
    <row r="7042" spans="1:9">
      <c r="A7042" t="s">
        <v>16075</v>
      </c>
      <c r="B7042" t="s">
        <v>16076</v>
      </c>
      <c r="C7042" t="s">
        <v>21307</v>
      </c>
      <c r="D7042" t="s">
        <v>16078</v>
      </c>
      <c r="E7042" t="s">
        <v>6532</v>
      </c>
      <c r="F7042" t="s">
        <v>21308</v>
      </c>
      <c r="G7042" t="s">
        <v>16109</v>
      </c>
      <c r="H7042" t="s">
        <v>21309</v>
      </c>
      <c r="I7042" t="s">
        <v>16082</v>
      </c>
    </row>
    <row r="7043" spans="1:9">
      <c r="A7043" t="s">
        <v>16075</v>
      </c>
      <c r="B7043" t="s">
        <v>16076</v>
      </c>
      <c r="C7043" t="s">
        <v>21310</v>
      </c>
      <c r="D7043" t="s">
        <v>16078</v>
      </c>
      <c r="E7043" t="s">
        <v>21311</v>
      </c>
      <c r="F7043" t="s">
        <v>21312</v>
      </c>
      <c r="G7043" t="s">
        <v>16080</v>
      </c>
      <c r="H7043" t="s">
        <v>21313</v>
      </c>
      <c r="I7043" t="s">
        <v>16082</v>
      </c>
    </row>
    <row r="7044" spans="1:9">
      <c r="A7044" t="s">
        <v>16075</v>
      </c>
      <c r="B7044" t="s">
        <v>16076</v>
      </c>
      <c r="C7044" t="s">
        <v>21314</v>
      </c>
      <c r="D7044" t="s">
        <v>16078</v>
      </c>
      <c r="E7044" t="s">
        <v>21315</v>
      </c>
      <c r="F7044" t="s">
        <v>21316</v>
      </c>
      <c r="G7044" t="s">
        <v>16131</v>
      </c>
      <c r="H7044" t="s">
        <v>21317</v>
      </c>
      <c r="I7044" t="s">
        <v>16082</v>
      </c>
    </row>
    <row r="7045" spans="1:9">
      <c r="A7045" t="s">
        <v>16075</v>
      </c>
      <c r="B7045" t="s">
        <v>16076</v>
      </c>
      <c r="C7045" t="s">
        <v>21318</v>
      </c>
      <c r="D7045" t="s">
        <v>16078</v>
      </c>
      <c r="E7045" t="s">
        <v>21319</v>
      </c>
      <c r="F7045" t="s">
        <v>21320</v>
      </c>
      <c r="G7045" t="s">
        <v>16462</v>
      </c>
      <c r="H7045" t="s">
        <v>21321</v>
      </c>
      <c r="I7045" t="s">
        <v>16082</v>
      </c>
    </row>
    <row r="7046" spans="1:9">
      <c r="A7046" t="s">
        <v>16075</v>
      </c>
      <c r="B7046" t="s">
        <v>16076</v>
      </c>
      <c r="C7046" t="s">
        <v>21322</v>
      </c>
      <c r="D7046" t="s">
        <v>16078</v>
      </c>
      <c r="E7046" t="s">
        <v>21323</v>
      </c>
      <c r="F7046" t="s">
        <v>21324</v>
      </c>
      <c r="G7046" t="s">
        <v>16131</v>
      </c>
      <c r="H7046" t="s">
        <v>21034</v>
      </c>
      <c r="I7046" t="s">
        <v>16082</v>
      </c>
    </row>
    <row r="7047" spans="1:9">
      <c r="A7047" t="s">
        <v>16075</v>
      </c>
      <c r="B7047" t="s">
        <v>16076</v>
      </c>
      <c r="C7047" t="s">
        <v>21325</v>
      </c>
      <c r="D7047" t="s">
        <v>16078</v>
      </c>
      <c r="E7047" t="s">
        <v>7488</v>
      </c>
      <c r="F7047" t="s">
        <v>21326</v>
      </c>
      <c r="G7047" t="s">
        <v>16080</v>
      </c>
      <c r="I7047" t="s">
        <v>16082</v>
      </c>
    </row>
    <row r="7048" spans="1:9">
      <c r="A7048" t="s">
        <v>16075</v>
      </c>
      <c r="B7048" t="s">
        <v>16076</v>
      </c>
      <c r="C7048" t="s">
        <v>21327</v>
      </c>
      <c r="D7048" t="s">
        <v>16078</v>
      </c>
      <c r="E7048" t="s">
        <v>13057</v>
      </c>
      <c r="F7048" t="s">
        <v>21328</v>
      </c>
      <c r="G7048" t="s">
        <v>16091</v>
      </c>
      <c r="H7048" t="s">
        <v>21329</v>
      </c>
      <c r="I7048" t="s">
        <v>16082</v>
      </c>
    </row>
    <row r="7049" spans="1:9">
      <c r="A7049" t="s">
        <v>16075</v>
      </c>
      <c r="B7049" t="s">
        <v>16076</v>
      </c>
      <c r="C7049" t="s">
        <v>21330</v>
      </c>
      <c r="D7049" t="s">
        <v>16078</v>
      </c>
      <c r="E7049" t="s">
        <v>21331</v>
      </c>
      <c r="F7049" t="s">
        <v>21332</v>
      </c>
      <c r="G7049" t="s">
        <v>16086</v>
      </c>
      <c r="H7049" t="s">
        <v>21333</v>
      </c>
      <c r="I7049" t="s">
        <v>16082</v>
      </c>
    </row>
    <row r="7050" spans="1:9">
      <c r="A7050" t="s">
        <v>16075</v>
      </c>
      <c r="B7050" t="s">
        <v>16076</v>
      </c>
      <c r="C7050" t="s">
        <v>21334</v>
      </c>
      <c r="D7050" t="s">
        <v>16078</v>
      </c>
      <c r="E7050" t="s">
        <v>21335</v>
      </c>
      <c r="F7050" t="s">
        <v>21336</v>
      </c>
      <c r="G7050" t="s">
        <v>16131</v>
      </c>
      <c r="H7050" t="s">
        <v>21337</v>
      </c>
      <c r="I7050" t="s">
        <v>16082</v>
      </c>
    </row>
    <row r="7051" spans="1:9">
      <c r="A7051" t="s">
        <v>16075</v>
      </c>
      <c r="B7051" t="s">
        <v>16076</v>
      </c>
      <c r="C7051" t="s">
        <v>21338</v>
      </c>
      <c r="D7051" t="s">
        <v>16078</v>
      </c>
      <c r="E7051" t="s">
        <v>21339</v>
      </c>
      <c r="F7051" t="s">
        <v>21340</v>
      </c>
      <c r="G7051" t="s">
        <v>16534</v>
      </c>
      <c r="H7051" t="s">
        <v>21341</v>
      </c>
      <c r="I7051" t="s">
        <v>16093</v>
      </c>
    </row>
    <row r="7052" spans="1:9">
      <c r="A7052" t="s">
        <v>16075</v>
      </c>
      <c r="B7052" t="s">
        <v>16076</v>
      </c>
      <c r="C7052" t="s">
        <v>21342</v>
      </c>
      <c r="D7052" t="s">
        <v>16078</v>
      </c>
      <c r="E7052" t="s">
        <v>21343</v>
      </c>
      <c r="F7052" t="s">
        <v>21344</v>
      </c>
      <c r="G7052" t="s">
        <v>16194</v>
      </c>
      <c r="H7052" t="s">
        <v>21345</v>
      </c>
      <c r="I7052" t="s">
        <v>16082</v>
      </c>
    </row>
    <row r="7053" spans="1:9">
      <c r="A7053" t="s">
        <v>16075</v>
      </c>
      <c r="B7053" t="s">
        <v>16076</v>
      </c>
      <c r="C7053" t="s">
        <v>21346</v>
      </c>
      <c r="D7053" t="s">
        <v>16078</v>
      </c>
      <c r="E7053" t="s">
        <v>21347</v>
      </c>
      <c r="F7053" t="s">
        <v>21348</v>
      </c>
      <c r="G7053" t="s">
        <v>16266</v>
      </c>
      <c r="H7053" t="s">
        <v>20595</v>
      </c>
      <c r="I7053" t="s">
        <v>16082</v>
      </c>
    </row>
    <row r="7054" spans="1:9">
      <c r="A7054" t="s">
        <v>16075</v>
      </c>
      <c r="B7054" t="s">
        <v>16076</v>
      </c>
      <c r="C7054" t="s">
        <v>21349</v>
      </c>
      <c r="D7054" t="s">
        <v>16078</v>
      </c>
      <c r="E7054" t="s">
        <v>21350</v>
      </c>
      <c r="F7054" t="s">
        <v>21351</v>
      </c>
      <c r="G7054" t="s">
        <v>16116</v>
      </c>
      <c r="H7054" t="s">
        <v>21352</v>
      </c>
      <c r="I7054" t="s">
        <v>16082</v>
      </c>
    </row>
    <row r="7055" spans="1:9">
      <c r="A7055" t="s">
        <v>16075</v>
      </c>
      <c r="B7055" t="s">
        <v>16076</v>
      </c>
      <c r="C7055" t="s">
        <v>21353</v>
      </c>
      <c r="D7055" t="s">
        <v>16078</v>
      </c>
      <c r="E7055" t="s">
        <v>21354</v>
      </c>
      <c r="F7055" t="s">
        <v>21355</v>
      </c>
      <c r="G7055" t="s">
        <v>16380</v>
      </c>
      <c r="H7055" t="s">
        <v>21356</v>
      </c>
      <c r="I7055" t="s">
        <v>16082</v>
      </c>
    </row>
    <row r="7056" spans="1:9">
      <c r="A7056" t="s">
        <v>16075</v>
      </c>
      <c r="B7056" t="s">
        <v>16076</v>
      </c>
      <c r="C7056" t="s">
        <v>21357</v>
      </c>
      <c r="D7056" t="s">
        <v>16078</v>
      </c>
      <c r="E7056" t="s">
        <v>7982</v>
      </c>
      <c r="F7056" t="s">
        <v>21358</v>
      </c>
      <c r="G7056" t="s">
        <v>16086</v>
      </c>
      <c r="H7056" t="s">
        <v>21359</v>
      </c>
      <c r="I7056" t="s">
        <v>16082</v>
      </c>
    </row>
    <row r="7057" spans="1:9">
      <c r="A7057" t="s">
        <v>16075</v>
      </c>
      <c r="B7057" t="s">
        <v>16076</v>
      </c>
      <c r="C7057" t="s">
        <v>21360</v>
      </c>
      <c r="D7057" t="s">
        <v>16078</v>
      </c>
      <c r="E7057" t="s">
        <v>21361</v>
      </c>
      <c r="F7057" t="s">
        <v>21362</v>
      </c>
      <c r="G7057" t="s">
        <v>16080</v>
      </c>
      <c r="H7057" t="s">
        <v>20986</v>
      </c>
      <c r="I7057" t="s">
        <v>16082</v>
      </c>
    </row>
    <row r="7058" spans="1:9">
      <c r="A7058" t="s">
        <v>16075</v>
      </c>
      <c r="B7058" t="s">
        <v>16076</v>
      </c>
      <c r="C7058" t="s">
        <v>21363</v>
      </c>
      <c r="D7058" t="s">
        <v>16078</v>
      </c>
      <c r="E7058" t="s">
        <v>21364</v>
      </c>
      <c r="F7058" t="s">
        <v>21365</v>
      </c>
      <c r="G7058" t="s">
        <v>16131</v>
      </c>
      <c r="H7058" t="s">
        <v>21366</v>
      </c>
      <c r="I7058" t="s">
        <v>16082</v>
      </c>
    </row>
    <row r="7059" spans="1:9">
      <c r="A7059" t="s">
        <v>16075</v>
      </c>
      <c r="B7059" t="s">
        <v>16076</v>
      </c>
      <c r="C7059" t="s">
        <v>21367</v>
      </c>
      <c r="D7059" t="s">
        <v>16078</v>
      </c>
      <c r="E7059" t="s">
        <v>21368</v>
      </c>
      <c r="F7059" t="s">
        <v>21369</v>
      </c>
      <c r="G7059" t="s">
        <v>16303</v>
      </c>
      <c r="H7059" t="s">
        <v>21370</v>
      </c>
      <c r="I7059" t="s">
        <v>16082</v>
      </c>
    </row>
    <row r="7060" spans="1:9">
      <c r="A7060" t="s">
        <v>16075</v>
      </c>
      <c r="B7060" t="s">
        <v>16076</v>
      </c>
      <c r="C7060" t="s">
        <v>21371</v>
      </c>
      <c r="D7060" t="s">
        <v>16078</v>
      </c>
      <c r="E7060" t="s">
        <v>21372</v>
      </c>
      <c r="F7060" t="s">
        <v>21373</v>
      </c>
      <c r="G7060" t="s">
        <v>16080</v>
      </c>
      <c r="H7060" t="s">
        <v>21374</v>
      </c>
      <c r="I7060" t="s">
        <v>16082</v>
      </c>
    </row>
    <row r="7061" spans="1:9">
      <c r="A7061" t="s">
        <v>16075</v>
      </c>
      <c r="B7061" t="s">
        <v>16076</v>
      </c>
      <c r="C7061" t="s">
        <v>21375</v>
      </c>
      <c r="D7061" t="s">
        <v>16078</v>
      </c>
      <c r="E7061" t="s">
        <v>21376</v>
      </c>
      <c r="F7061" t="s">
        <v>21377</v>
      </c>
      <c r="G7061" t="s">
        <v>16109</v>
      </c>
      <c r="H7061" t="s">
        <v>21378</v>
      </c>
      <c r="I7061" t="s">
        <v>16082</v>
      </c>
    </row>
    <row r="7062" spans="1:9">
      <c r="A7062" t="s">
        <v>16075</v>
      </c>
      <c r="B7062" t="s">
        <v>16076</v>
      </c>
      <c r="C7062" t="s">
        <v>21379</v>
      </c>
      <c r="D7062" t="s">
        <v>16078</v>
      </c>
      <c r="E7062" t="s">
        <v>4599</v>
      </c>
      <c r="F7062" t="s">
        <v>21380</v>
      </c>
      <c r="G7062" t="s">
        <v>16209</v>
      </c>
      <c r="H7062" t="s">
        <v>21381</v>
      </c>
      <c r="I7062" t="s">
        <v>16082</v>
      </c>
    </row>
    <row r="7063" spans="1:9">
      <c r="A7063" t="s">
        <v>16075</v>
      </c>
      <c r="B7063" t="s">
        <v>16076</v>
      </c>
      <c r="C7063" t="s">
        <v>21382</v>
      </c>
      <c r="D7063" t="s">
        <v>16078</v>
      </c>
      <c r="E7063" t="s">
        <v>21383</v>
      </c>
      <c r="F7063" t="s">
        <v>21384</v>
      </c>
      <c r="G7063" t="s">
        <v>16380</v>
      </c>
      <c r="H7063" t="s">
        <v>21385</v>
      </c>
      <c r="I7063" t="s">
        <v>16082</v>
      </c>
    </row>
    <row r="7064" spans="1:9">
      <c r="A7064" t="s">
        <v>16075</v>
      </c>
      <c r="B7064" t="s">
        <v>16076</v>
      </c>
      <c r="C7064" t="s">
        <v>21386</v>
      </c>
      <c r="D7064" t="s">
        <v>16078</v>
      </c>
      <c r="E7064" t="s">
        <v>21387</v>
      </c>
      <c r="F7064" t="s">
        <v>21388</v>
      </c>
      <c r="G7064" t="s">
        <v>16097</v>
      </c>
      <c r="H7064" t="s">
        <v>21389</v>
      </c>
      <c r="I7064" t="s">
        <v>16082</v>
      </c>
    </row>
    <row r="7065" spans="1:9">
      <c r="A7065" t="s">
        <v>16075</v>
      </c>
      <c r="B7065" t="s">
        <v>16076</v>
      </c>
      <c r="C7065" t="s">
        <v>21390</v>
      </c>
      <c r="D7065" t="s">
        <v>16078</v>
      </c>
      <c r="E7065" t="s">
        <v>21391</v>
      </c>
      <c r="F7065" t="s">
        <v>21392</v>
      </c>
      <c r="G7065" t="s">
        <v>16105</v>
      </c>
      <c r="H7065" t="s">
        <v>21393</v>
      </c>
      <c r="I7065" t="s">
        <v>16082</v>
      </c>
    </row>
    <row r="7066" spans="1:9">
      <c r="A7066" t="s">
        <v>16075</v>
      </c>
      <c r="B7066" t="s">
        <v>16076</v>
      </c>
      <c r="C7066" t="s">
        <v>21394</v>
      </c>
      <c r="D7066" t="s">
        <v>16078</v>
      </c>
      <c r="E7066" t="s">
        <v>21395</v>
      </c>
      <c r="F7066" t="s">
        <v>21396</v>
      </c>
      <c r="G7066" t="s">
        <v>16131</v>
      </c>
      <c r="H7066" t="s">
        <v>21397</v>
      </c>
      <c r="I7066" t="s">
        <v>16082</v>
      </c>
    </row>
    <row r="7067" spans="1:9">
      <c r="A7067" t="s">
        <v>16075</v>
      </c>
      <c r="B7067" t="s">
        <v>16076</v>
      </c>
      <c r="C7067" t="s">
        <v>21398</v>
      </c>
      <c r="D7067" t="s">
        <v>16078</v>
      </c>
      <c r="E7067" t="s">
        <v>21399</v>
      </c>
      <c r="F7067" t="s">
        <v>21400</v>
      </c>
      <c r="G7067" t="s">
        <v>16683</v>
      </c>
      <c r="H7067" t="s">
        <v>21401</v>
      </c>
    </row>
    <row r="7068" spans="1:9">
      <c r="A7068" t="s">
        <v>16075</v>
      </c>
      <c r="B7068" t="s">
        <v>16076</v>
      </c>
      <c r="C7068" t="s">
        <v>21402</v>
      </c>
      <c r="D7068" t="s">
        <v>16078</v>
      </c>
      <c r="E7068" t="s">
        <v>7494</v>
      </c>
      <c r="F7068" t="s">
        <v>21403</v>
      </c>
      <c r="G7068" t="s">
        <v>16178</v>
      </c>
      <c r="H7068" t="s">
        <v>21404</v>
      </c>
      <c r="I7068" t="s">
        <v>16082</v>
      </c>
    </row>
    <row r="7069" spans="1:9">
      <c r="A7069" t="s">
        <v>16075</v>
      </c>
      <c r="B7069" t="s">
        <v>16076</v>
      </c>
      <c r="C7069" t="s">
        <v>21405</v>
      </c>
      <c r="D7069" t="s">
        <v>16078</v>
      </c>
      <c r="E7069" t="s">
        <v>21406</v>
      </c>
      <c r="F7069" t="s">
        <v>21407</v>
      </c>
      <c r="G7069" t="s">
        <v>16178</v>
      </c>
      <c r="H7069" t="s">
        <v>21408</v>
      </c>
      <c r="I7069" t="s">
        <v>16082</v>
      </c>
    </row>
    <row r="7070" spans="1:9">
      <c r="A7070" t="s">
        <v>16075</v>
      </c>
      <c r="B7070" t="s">
        <v>16076</v>
      </c>
      <c r="C7070" t="s">
        <v>21409</v>
      </c>
      <c r="D7070" t="s">
        <v>16078</v>
      </c>
      <c r="E7070" t="s">
        <v>21410</v>
      </c>
      <c r="F7070" t="s">
        <v>21411</v>
      </c>
      <c r="G7070" t="s">
        <v>16080</v>
      </c>
      <c r="H7070" t="s">
        <v>21412</v>
      </c>
      <c r="I7070" t="s">
        <v>16082</v>
      </c>
    </row>
    <row r="7071" spans="1:9">
      <c r="A7071" t="s">
        <v>16075</v>
      </c>
      <c r="B7071" t="s">
        <v>16076</v>
      </c>
      <c r="C7071" t="s">
        <v>21413</v>
      </c>
      <c r="D7071" t="s">
        <v>16078</v>
      </c>
      <c r="E7071" t="s">
        <v>21414</v>
      </c>
      <c r="F7071" t="s">
        <v>21415</v>
      </c>
      <c r="G7071" t="s">
        <v>16178</v>
      </c>
      <c r="H7071" t="s">
        <v>21412</v>
      </c>
      <c r="I7071" t="s">
        <v>16082</v>
      </c>
    </row>
    <row r="7072" spans="1:9">
      <c r="A7072" t="s">
        <v>16075</v>
      </c>
      <c r="B7072" t="s">
        <v>16076</v>
      </c>
      <c r="C7072" t="s">
        <v>21416</v>
      </c>
      <c r="D7072" t="s">
        <v>16078</v>
      </c>
      <c r="E7072" t="s">
        <v>7497</v>
      </c>
      <c r="F7072" t="s">
        <v>21417</v>
      </c>
      <c r="G7072" t="s">
        <v>16109</v>
      </c>
      <c r="H7072" t="s">
        <v>21418</v>
      </c>
      <c r="I7072" t="s">
        <v>16082</v>
      </c>
    </row>
    <row r="7073" spans="1:9">
      <c r="A7073" t="s">
        <v>16075</v>
      </c>
      <c r="B7073" t="s">
        <v>16076</v>
      </c>
      <c r="C7073" t="s">
        <v>21419</v>
      </c>
      <c r="D7073" t="s">
        <v>16078</v>
      </c>
      <c r="E7073" t="s">
        <v>21420</v>
      </c>
      <c r="F7073" t="s">
        <v>21421</v>
      </c>
      <c r="G7073" t="s">
        <v>16320</v>
      </c>
      <c r="H7073" t="s">
        <v>21422</v>
      </c>
      <c r="I7073" t="s">
        <v>16093</v>
      </c>
    </row>
    <row r="7074" spans="1:9">
      <c r="A7074" t="s">
        <v>16075</v>
      </c>
      <c r="B7074" t="s">
        <v>16076</v>
      </c>
      <c r="C7074" t="s">
        <v>21423</v>
      </c>
      <c r="D7074" t="s">
        <v>16078</v>
      </c>
      <c r="E7074" t="s">
        <v>3041</v>
      </c>
      <c r="F7074" t="s">
        <v>21424</v>
      </c>
      <c r="G7074" t="s">
        <v>16131</v>
      </c>
      <c r="H7074" t="s">
        <v>21425</v>
      </c>
      <c r="I7074" t="s">
        <v>16082</v>
      </c>
    </row>
    <row r="7075" spans="1:9">
      <c r="A7075" t="s">
        <v>16075</v>
      </c>
      <c r="B7075" t="s">
        <v>16076</v>
      </c>
      <c r="C7075" t="s">
        <v>21426</v>
      </c>
      <c r="D7075" t="s">
        <v>16078</v>
      </c>
      <c r="E7075" t="s">
        <v>21427</v>
      </c>
      <c r="F7075" t="s">
        <v>21428</v>
      </c>
      <c r="G7075" t="s">
        <v>16173</v>
      </c>
      <c r="H7075" t="s">
        <v>21429</v>
      </c>
      <c r="I7075" t="s">
        <v>16082</v>
      </c>
    </row>
    <row r="7076" spans="1:9">
      <c r="A7076" t="s">
        <v>16075</v>
      </c>
      <c r="B7076" t="s">
        <v>16076</v>
      </c>
      <c r="C7076" t="s">
        <v>21430</v>
      </c>
      <c r="D7076" t="s">
        <v>16078</v>
      </c>
      <c r="E7076" t="s">
        <v>21431</v>
      </c>
      <c r="F7076" t="s">
        <v>21432</v>
      </c>
      <c r="G7076" t="s">
        <v>16131</v>
      </c>
      <c r="H7076" t="s">
        <v>21433</v>
      </c>
      <c r="I7076" t="s">
        <v>16082</v>
      </c>
    </row>
    <row r="7077" spans="1:9">
      <c r="A7077" t="s">
        <v>16075</v>
      </c>
      <c r="B7077" t="s">
        <v>16076</v>
      </c>
      <c r="C7077" t="s">
        <v>21434</v>
      </c>
      <c r="D7077" t="s">
        <v>16078</v>
      </c>
      <c r="E7077" t="s">
        <v>21435</v>
      </c>
      <c r="F7077" t="s">
        <v>21436</v>
      </c>
      <c r="G7077" t="s">
        <v>16080</v>
      </c>
      <c r="H7077" t="s">
        <v>21437</v>
      </c>
      <c r="I7077" t="s">
        <v>16082</v>
      </c>
    </row>
    <row r="7078" spans="1:9">
      <c r="A7078" t="s">
        <v>16075</v>
      </c>
      <c r="B7078" t="s">
        <v>16076</v>
      </c>
      <c r="C7078" t="s">
        <v>21438</v>
      </c>
      <c r="D7078" t="s">
        <v>16078</v>
      </c>
      <c r="E7078" t="s">
        <v>4864</v>
      </c>
      <c r="F7078" t="s">
        <v>21439</v>
      </c>
      <c r="G7078" t="s">
        <v>16259</v>
      </c>
      <c r="H7078" t="s">
        <v>21440</v>
      </c>
    </row>
    <row r="7079" spans="1:9">
      <c r="A7079" t="s">
        <v>16075</v>
      </c>
      <c r="B7079" t="s">
        <v>16076</v>
      </c>
      <c r="C7079" t="s">
        <v>21441</v>
      </c>
      <c r="D7079" t="s">
        <v>16078</v>
      </c>
      <c r="E7079" t="s">
        <v>21442</v>
      </c>
      <c r="F7079" t="s">
        <v>21443</v>
      </c>
      <c r="G7079" t="s">
        <v>16086</v>
      </c>
      <c r="H7079" t="s">
        <v>21444</v>
      </c>
      <c r="I7079" t="s">
        <v>16082</v>
      </c>
    </row>
    <row r="7080" spans="1:9">
      <c r="A7080" t="s">
        <v>16075</v>
      </c>
      <c r="B7080" t="s">
        <v>16076</v>
      </c>
      <c r="C7080" t="s">
        <v>21445</v>
      </c>
      <c r="D7080" t="s">
        <v>16078</v>
      </c>
      <c r="E7080" t="s">
        <v>21446</v>
      </c>
      <c r="F7080" t="s">
        <v>21447</v>
      </c>
      <c r="G7080" t="s">
        <v>16086</v>
      </c>
      <c r="H7080" t="s">
        <v>21448</v>
      </c>
      <c r="I7080" t="s">
        <v>16082</v>
      </c>
    </row>
    <row r="7081" spans="1:9">
      <c r="A7081" t="s">
        <v>16075</v>
      </c>
      <c r="B7081" t="s">
        <v>16076</v>
      </c>
      <c r="C7081" t="s">
        <v>21449</v>
      </c>
      <c r="D7081" t="s">
        <v>16078</v>
      </c>
      <c r="E7081" t="s">
        <v>21450</v>
      </c>
      <c r="F7081" t="s">
        <v>21451</v>
      </c>
      <c r="G7081" t="s">
        <v>16105</v>
      </c>
      <c r="H7081" t="s">
        <v>21452</v>
      </c>
      <c r="I7081" t="s">
        <v>16093</v>
      </c>
    </row>
    <row r="7082" spans="1:9">
      <c r="A7082" t="s">
        <v>16075</v>
      </c>
      <c r="B7082" t="s">
        <v>16076</v>
      </c>
      <c r="C7082" t="s">
        <v>21453</v>
      </c>
      <c r="D7082" t="s">
        <v>16078</v>
      </c>
      <c r="E7082" t="s">
        <v>21454</v>
      </c>
      <c r="F7082" t="s">
        <v>21455</v>
      </c>
      <c r="G7082" t="s">
        <v>16159</v>
      </c>
      <c r="H7082" t="s">
        <v>21456</v>
      </c>
      <c r="I7082" t="s">
        <v>16082</v>
      </c>
    </row>
    <row r="7083" spans="1:9">
      <c r="A7083" t="s">
        <v>16075</v>
      </c>
      <c r="B7083" t="s">
        <v>16076</v>
      </c>
      <c r="C7083" t="s">
        <v>21457</v>
      </c>
      <c r="D7083" t="s">
        <v>16078</v>
      </c>
      <c r="E7083" t="s">
        <v>21458</v>
      </c>
      <c r="F7083" t="s">
        <v>21459</v>
      </c>
      <c r="G7083" t="s">
        <v>16086</v>
      </c>
      <c r="H7083" t="s">
        <v>21460</v>
      </c>
      <c r="I7083" t="s">
        <v>16082</v>
      </c>
    </row>
    <row r="7084" spans="1:9">
      <c r="A7084" t="s">
        <v>16075</v>
      </c>
      <c r="B7084" t="s">
        <v>16076</v>
      </c>
      <c r="C7084" t="s">
        <v>21461</v>
      </c>
      <c r="D7084" t="s">
        <v>16078</v>
      </c>
      <c r="E7084" t="s">
        <v>21462</v>
      </c>
      <c r="F7084" t="s">
        <v>21463</v>
      </c>
      <c r="G7084" t="s">
        <v>16101</v>
      </c>
      <c r="H7084" t="s">
        <v>21464</v>
      </c>
      <c r="I7084" t="s">
        <v>16082</v>
      </c>
    </row>
    <row r="7085" spans="1:9">
      <c r="A7085" t="s">
        <v>16075</v>
      </c>
      <c r="B7085" t="s">
        <v>16076</v>
      </c>
      <c r="C7085" t="s">
        <v>21465</v>
      </c>
      <c r="D7085" t="s">
        <v>16078</v>
      </c>
      <c r="E7085" t="s">
        <v>21466</v>
      </c>
      <c r="F7085" t="s">
        <v>21467</v>
      </c>
      <c r="G7085" t="s">
        <v>16080</v>
      </c>
      <c r="H7085" t="s">
        <v>21464</v>
      </c>
      <c r="I7085" t="s">
        <v>16082</v>
      </c>
    </row>
    <row r="7086" spans="1:9">
      <c r="A7086" t="s">
        <v>16075</v>
      </c>
      <c r="B7086" t="s">
        <v>16076</v>
      </c>
      <c r="C7086" t="s">
        <v>21468</v>
      </c>
      <c r="D7086" t="s">
        <v>16078</v>
      </c>
      <c r="E7086" t="s">
        <v>21469</v>
      </c>
      <c r="F7086" t="s">
        <v>21470</v>
      </c>
      <c r="G7086" t="s">
        <v>16312</v>
      </c>
      <c r="H7086" t="s">
        <v>21471</v>
      </c>
    </row>
    <row r="7087" spans="1:9">
      <c r="A7087" t="s">
        <v>16075</v>
      </c>
      <c r="B7087" t="s">
        <v>16076</v>
      </c>
      <c r="C7087" t="s">
        <v>21472</v>
      </c>
      <c r="D7087" t="s">
        <v>16078</v>
      </c>
      <c r="E7087" t="s">
        <v>21473</v>
      </c>
      <c r="F7087" t="s">
        <v>21474</v>
      </c>
      <c r="G7087" t="s">
        <v>16683</v>
      </c>
      <c r="H7087" t="s">
        <v>21471</v>
      </c>
      <c r="I7087" t="s">
        <v>16093</v>
      </c>
    </row>
    <row r="7088" spans="1:9">
      <c r="A7088" t="s">
        <v>16075</v>
      </c>
      <c r="B7088" t="s">
        <v>16076</v>
      </c>
      <c r="C7088" t="s">
        <v>21475</v>
      </c>
      <c r="D7088" t="s">
        <v>16078</v>
      </c>
      <c r="E7088" t="s">
        <v>21476</v>
      </c>
      <c r="F7088" t="s">
        <v>21477</v>
      </c>
      <c r="G7088" t="s">
        <v>16194</v>
      </c>
      <c r="H7088" t="s">
        <v>21478</v>
      </c>
      <c r="I7088" t="s">
        <v>16082</v>
      </c>
    </row>
    <row r="7089" spans="1:9">
      <c r="A7089" t="s">
        <v>16075</v>
      </c>
      <c r="B7089" t="s">
        <v>16076</v>
      </c>
      <c r="C7089" t="s">
        <v>21479</v>
      </c>
      <c r="D7089" t="s">
        <v>16078</v>
      </c>
      <c r="E7089" t="s">
        <v>21477</v>
      </c>
      <c r="F7089" t="s">
        <v>21480</v>
      </c>
      <c r="G7089" t="s">
        <v>16534</v>
      </c>
      <c r="H7089" t="s">
        <v>21481</v>
      </c>
      <c r="I7089" t="s">
        <v>16082</v>
      </c>
    </row>
    <row r="7090" spans="1:9">
      <c r="A7090" t="s">
        <v>16075</v>
      </c>
      <c r="B7090" t="s">
        <v>16076</v>
      </c>
      <c r="C7090" t="s">
        <v>21482</v>
      </c>
      <c r="D7090" t="s">
        <v>16078</v>
      </c>
      <c r="E7090" t="s">
        <v>21483</v>
      </c>
      <c r="F7090" t="s">
        <v>21484</v>
      </c>
      <c r="G7090" t="s">
        <v>16116</v>
      </c>
      <c r="H7090" t="s">
        <v>21485</v>
      </c>
      <c r="I7090" t="s">
        <v>16082</v>
      </c>
    </row>
    <row r="7091" spans="1:9">
      <c r="A7091" t="s">
        <v>16075</v>
      </c>
      <c r="B7091" t="s">
        <v>16076</v>
      </c>
      <c r="C7091" t="s">
        <v>21486</v>
      </c>
      <c r="D7091" t="s">
        <v>16078</v>
      </c>
      <c r="E7091" t="s">
        <v>21487</v>
      </c>
      <c r="F7091" t="s">
        <v>21487</v>
      </c>
      <c r="G7091" t="s">
        <v>16086</v>
      </c>
      <c r="H7091" t="s">
        <v>21488</v>
      </c>
      <c r="I7091" t="s">
        <v>16082</v>
      </c>
    </row>
    <row r="7092" spans="1:9">
      <c r="A7092" t="s">
        <v>16075</v>
      </c>
      <c r="B7092" t="s">
        <v>16076</v>
      </c>
      <c r="C7092" t="s">
        <v>21489</v>
      </c>
      <c r="D7092" t="s">
        <v>16078</v>
      </c>
      <c r="E7092" t="s">
        <v>21490</v>
      </c>
      <c r="F7092" t="s">
        <v>21491</v>
      </c>
      <c r="G7092" t="s">
        <v>16183</v>
      </c>
      <c r="H7092" t="s">
        <v>21492</v>
      </c>
      <c r="I7092" t="s">
        <v>16082</v>
      </c>
    </row>
    <row r="7093" spans="1:9">
      <c r="A7093" t="s">
        <v>16075</v>
      </c>
      <c r="B7093" t="s">
        <v>16076</v>
      </c>
      <c r="C7093" t="s">
        <v>21493</v>
      </c>
      <c r="D7093" t="s">
        <v>16078</v>
      </c>
      <c r="E7093" t="s">
        <v>21494</v>
      </c>
      <c r="F7093" t="s">
        <v>21495</v>
      </c>
      <c r="G7093" t="s">
        <v>16116</v>
      </c>
      <c r="H7093" t="s">
        <v>21496</v>
      </c>
      <c r="I7093" t="s">
        <v>16082</v>
      </c>
    </row>
    <row r="7094" spans="1:9">
      <c r="A7094" t="s">
        <v>16075</v>
      </c>
      <c r="B7094" t="s">
        <v>16076</v>
      </c>
      <c r="C7094" t="s">
        <v>21497</v>
      </c>
      <c r="D7094" t="s">
        <v>16078</v>
      </c>
      <c r="E7094" t="s">
        <v>21498</v>
      </c>
      <c r="F7094" t="s">
        <v>21499</v>
      </c>
      <c r="G7094" t="s">
        <v>16312</v>
      </c>
      <c r="H7094" t="s">
        <v>21500</v>
      </c>
    </row>
    <row r="7095" spans="1:9">
      <c r="A7095" t="s">
        <v>16075</v>
      </c>
      <c r="B7095" t="s">
        <v>16076</v>
      </c>
      <c r="C7095" t="s">
        <v>21501</v>
      </c>
      <c r="D7095" t="s">
        <v>16078</v>
      </c>
      <c r="E7095" t="s">
        <v>21502</v>
      </c>
      <c r="F7095" t="s">
        <v>21503</v>
      </c>
      <c r="G7095" t="s">
        <v>16097</v>
      </c>
      <c r="H7095" t="s">
        <v>21504</v>
      </c>
      <c r="I7095" t="s">
        <v>16082</v>
      </c>
    </row>
    <row r="7096" spans="1:9">
      <c r="A7096" t="s">
        <v>16075</v>
      </c>
      <c r="B7096" t="s">
        <v>16076</v>
      </c>
      <c r="C7096" t="s">
        <v>21505</v>
      </c>
      <c r="D7096" t="s">
        <v>16078</v>
      </c>
      <c r="E7096" t="s">
        <v>21506</v>
      </c>
      <c r="F7096" t="s">
        <v>21507</v>
      </c>
      <c r="G7096" t="s">
        <v>16534</v>
      </c>
      <c r="H7096" t="s">
        <v>21508</v>
      </c>
      <c r="I7096" t="s">
        <v>16082</v>
      </c>
    </row>
    <row r="7097" spans="1:9">
      <c r="A7097" t="s">
        <v>16075</v>
      </c>
      <c r="B7097" t="s">
        <v>16076</v>
      </c>
      <c r="C7097" t="s">
        <v>21509</v>
      </c>
      <c r="D7097" t="s">
        <v>16078</v>
      </c>
      <c r="E7097" t="s">
        <v>21510</v>
      </c>
      <c r="F7097" t="s">
        <v>21511</v>
      </c>
      <c r="G7097" t="s">
        <v>16131</v>
      </c>
      <c r="H7097" t="s">
        <v>21512</v>
      </c>
      <c r="I7097" t="s">
        <v>16082</v>
      </c>
    </row>
    <row r="7098" spans="1:9">
      <c r="A7098" t="s">
        <v>16075</v>
      </c>
      <c r="B7098" t="s">
        <v>16076</v>
      </c>
      <c r="C7098" t="s">
        <v>21513</v>
      </c>
      <c r="D7098" t="s">
        <v>16078</v>
      </c>
      <c r="E7098" t="s">
        <v>21514</v>
      </c>
      <c r="F7098" t="s">
        <v>21515</v>
      </c>
      <c r="G7098" t="s">
        <v>16109</v>
      </c>
      <c r="H7098" t="s">
        <v>21516</v>
      </c>
      <c r="I7098" t="s">
        <v>16093</v>
      </c>
    </row>
    <row r="7099" spans="1:9">
      <c r="A7099" t="s">
        <v>16075</v>
      </c>
      <c r="B7099" t="s">
        <v>16076</v>
      </c>
      <c r="C7099" t="s">
        <v>21517</v>
      </c>
      <c r="D7099" t="s">
        <v>16078</v>
      </c>
      <c r="E7099" t="s">
        <v>11508</v>
      </c>
      <c r="F7099" t="s">
        <v>21518</v>
      </c>
      <c r="G7099" t="s">
        <v>16846</v>
      </c>
      <c r="H7099" t="s">
        <v>21519</v>
      </c>
      <c r="I7099" t="s">
        <v>16082</v>
      </c>
    </row>
    <row r="7100" spans="1:9">
      <c r="A7100" t="s">
        <v>16075</v>
      </c>
      <c r="B7100" t="s">
        <v>16076</v>
      </c>
      <c r="C7100" t="s">
        <v>21520</v>
      </c>
      <c r="D7100" t="s">
        <v>16078</v>
      </c>
      <c r="E7100" t="s">
        <v>21521</v>
      </c>
      <c r="F7100" t="s">
        <v>21522</v>
      </c>
      <c r="G7100" t="s">
        <v>16194</v>
      </c>
      <c r="H7100" t="s">
        <v>21523</v>
      </c>
      <c r="I7100" t="s">
        <v>16082</v>
      </c>
    </row>
    <row r="7101" spans="1:9">
      <c r="A7101" t="s">
        <v>16075</v>
      </c>
      <c r="B7101" t="s">
        <v>16076</v>
      </c>
      <c r="C7101" t="s">
        <v>21524</v>
      </c>
      <c r="D7101" t="s">
        <v>16078</v>
      </c>
      <c r="E7101" t="s">
        <v>21525</v>
      </c>
      <c r="F7101" t="s">
        <v>21526</v>
      </c>
      <c r="G7101" t="s">
        <v>16194</v>
      </c>
      <c r="H7101" t="s">
        <v>21527</v>
      </c>
      <c r="I7101" t="s">
        <v>16082</v>
      </c>
    </row>
    <row r="7102" spans="1:9">
      <c r="A7102" t="s">
        <v>16075</v>
      </c>
      <c r="B7102" t="s">
        <v>16076</v>
      </c>
      <c r="C7102" t="s">
        <v>21528</v>
      </c>
      <c r="D7102" t="s">
        <v>16078</v>
      </c>
      <c r="E7102" t="s">
        <v>21529</v>
      </c>
      <c r="F7102" t="s">
        <v>21530</v>
      </c>
      <c r="G7102" t="s">
        <v>16194</v>
      </c>
      <c r="H7102" t="s">
        <v>21531</v>
      </c>
      <c r="I7102" t="s">
        <v>16082</v>
      </c>
    </row>
    <row r="7103" spans="1:9">
      <c r="A7103" t="s">
        <v>16075</v>
      </c>
      <c r="B7103" t="s">
        <v>16076</v>
      </c>
      <c r="C7103" t="s">
        <v>21532</v>
      </c>
      <c r="D7103" t="s">
        <v>16078</v>
      </c>
      <c r="E7103" t="s">
        <v>21533</v>
      </c>
      <c r="F7103" t="s">
        <v>21534</v>
      </c>
      <c r="G7103" t="s">
        <v>16259</v>
      </c>
      <c r="H7103" t="s">
        <v>21535</v>
      </c>
    </row>
    <row r="7104" spans="1:9">
      <c r="A7104" t="s">
        <v>16075</v>
      </c>
      <c r="B7104" t="s">
        <v>16076</v>
      </c>
      <c r="C7104" t="s">
        <v>21536</v>
      </c>
      <c r="D7104" t="s">
        <v>16078</v>
      </c>
      <c r="E7104" t="s">
        <v>21537</v>
      </c>
      <c r="F7104" t="s">
        <v>21538</v>
      </c>
      <c r="G7104" t="s">
        <v>16080</v>
      </c>
      <c r="H7104" t="s">
        <v>21539</v>
      </c>
      <c r="I7104" t="s">
        <v>16082</v>
      </c>
    </row>
    <row r="7105" spans="1:9">
      <c r="A7105" t="s">
        <v>16075</v>
      </c>
      <c r="B7105" t="s">
        <v>16076</v>
      </c>
      <c r="C7105" t="s">
        <v>21540</v>
      </c>
      <c r="D7105" t="s">
        <v>16078</v>
      </c>
      <c r="E7105" t="s">
        <v>21541</v>
      </c>
      <c r="F7105" t="s">
        <v>21542</v>
      </c>
      <c r="G7105" t="s">
        <v>16194</v>
      </c>
      <c r="H7105" t="s">
        <v>21543</v>
      </c>
      <c r="I7105" t="s">
        <v>16082</v>
      </c>
    </row>
    <row r="7106" spans="1:9">
      <c r="A7106" t="s">
        <v>16075</v>
      </c>
      <c r="B7106" t="s">
        <v>16076</v>
      </c>
      <c r="C7106" t="s">
        <v>21544</v>
      </c>
      <c r="D7106" t="s">
        <v>16078</v>
      </c>
      <c r="E7106" t="s">
        <v>21545</v>
      </c>
      <c r="F7106" t="s">
        <v>21546</v>
      </c>
      <c r="G7106" t="s">
        <v>16173</v>
      </c>
      <c r="H7106" t="s">
        <v>21547</v>
      </c>
      <c r="I7106" t="s">
        <v>16093</v>
      </c>
    </row>
    <row r="7107" spans="1:9">
      <c r="A7107" t="s">
        <v>16075</v>
      </c>
      <c r="B7107" t="s">
        <v>16076</v>
      </c>
      <c r="C7107" t="s">
        <v>21548</v>
      </c>
      <c r="D7107" t="s">
        <v>16078</v>
      </c>
      <c r="E7107" t="s">
        <v>21549</v>
      </c>
      <c r="F7107" t="s">
        <v>21550</v>
      </c>
      <c r="G7107" t="s">
        <v>16397</v>
      </c>
      <c r="H7107" t="s">
        <v>21551</v>
      </c>
      <c r="I7107" t="s">
        <v>16082</v>
      </c>
    </row>
    <row r="7108" spans="1:9">
      <c r="A7108" t="s">
        <v>16075</v>
      </c>
      <c r="B7108" t="s">
        <v>16076</v>
      </c>
      <c r="C7108" t="s">
        <v>21552</v>
      </c>
      <c r="D7108" t="s">
        <v>16078</v>
      </c>
      <c r="E7108" t="s">
        <v>13068</v>
      </c>
      <c r="F7108" t="s">
        <v>21553</v>
      </c>
      <c r="G7108" t="s">
        <v>16116</v>
      </c>
      <c r="H7108" t="s">
        <v>21554</v>
      </c>
      <c r="I7108" t="s">
        <v>16082</v>
      </c>
    </row>
    <row r="7109" spans="1:9">
      <c r="A7109" t="s">
        <v>16075</v>
      </c>
      <c r="B7109" t="s">
        <v>16076</v>
      </c>
      <c r="C7109" t="s">
        <v>21555</v>
      </c>
      <c r="D7109" t="s">
        <v>16078</v>
      </c>
      <c r="E7109" t="s">
        <v>21556</v>
      </c>
      <c r="F7109" t="s">
        <v>21557</v>
      </c>
      <c r="G7109" t="s">
        <v>16194</v>
      </c>
      <c r="H7109" t="s">
        <v>21558</v>
      </c>
      <c r="I7109" t="s">
        <v>16082</v>
      </c>
    </row>
    <row r="7110" spans="1:9">
      <c r="A7110" t="s">
        <v>16075</v>
      </c>
      <c r="B7110" t="s">
        <v>16076</v>
      </c>
      <c r="C7110" t="s">
        <v>21559</v>
      </c>
      <c r="D7110" t="s">
        <v>16078</v>
      </c>
      <c r="E7110" t="s">
        <v>21560</v>
      </c>
      <c r="F7110" t="s">
        <v>21561</v>
      </c>
      <c r="G7110" t="s">
        <v>16194</v>
      </c>
      <c r="H7110" t="s">
        <v>21562</v>
      </c>
      <c r="I7110" t="s">
        <v>16082</v>
      </c>
    </row>
    <row r="7111" spans="1:9">
      <c r="A7111" t="s">
        <v>16075</v>
      </c>
      <c r="B7111" t="s">
        <v>16076</v>
      </c>
      <c r="C7111" t="s">
        <v>21563</v>
      </c>
      <c r="D7111" t="s">
        <v>16078</v>
      </c>
      <c r="E7111" t="s">
        <v>21564</v>
      </c>
      <c r="F7111" t="s">
        <v>21565</v>
      </c>
      <c r="G7111" t="s">
        <v>16086</v>
      </c>
      <c r="H7111" t="s">
        <v>21566</v>
      </c>
      <c r="I7111" t="s">
        <v>16082</v>
      </c>
    </row>
    <row r="7112" spans="1:9">
      <c r="A7112" t="s">
        <v>16075</v>
      </c>
      <c r="B7112" t="s">
        <v>16076</v>
      </c>
      <c r="C7112" t="s">
        <v>21567</v>
      </c>
      <c r="D7112" t="s">
        <v>16078</v>
      </c>
      <c r="E7112" t="s">
        <v>21568</v>
      </c>
      <c r="F7112" t="s">
        <v>21569</v>
      </c>
      <c r="G7112" t="s">
        <v>16793</v>
      </c>
      <c r="H7112" t="s">
        <v>21566</v>
      </c>
    </row>
    <row r="7113" spans="1:9">
      <c r="A7113" t="s">
        <v>16075</v>
      </c>
      <c r="B7113" t="s">
        <v>16076</v>
      </c>
      <c r="C7113" t="s">
        <v>21570</v>
      </c>
      <c r="D7113" t="s">
        <v>16078</v>
      </c>
      <c r="E7113" t="s">
        <v>21571</v>
      </c>
      <c r="F7113" t="s">
        <v>21571</v>
      </c>
      <c r="G7113" t="s">
        <v>16109</v>
      </c>
      <c r="H7113" t="s">
        <v>21572</v>
      </c>
      <c r="I7113" t="s">
        <v>16082</v>
      </c>
    </row>
    <row r="7114" spans="1:9">
      <c r="A7114" t="s">
        <v>16075</v>
      </c>
      <c r="B7114" t="s">
        <v>16076</v>
      </c>
      <c r="C7114" t="s">
        <v>21573</v>
      </c>
      <c r="D7114" t="s">
        <v>16078</v>
      </c>
      <c r="E7114" t="s">
        <v>4617</v>
      </c>
      <c r="F7114" t="s">
        <v>21574</v>
      </c>
      <c r="G7114" t="s">
        <v>16372</v>
      </c>
      <c r="H7114" t="s">
        <v>21575</v>
      </c>
      <c r="I7114" t="s">
        <v>16082</v>
      </c>
    </row>
    <row r="7115" spans="1:9">
      <c r="A7115" t="s">
        <v>16075</v>
      </c>
      <c r="B7115" t="s">
        <v>16076</v>
      </c>
      <c r="C7115" t="s">
        <v>21576</v>
      </c>
      <c r="D7115" t="s">
        <v>16078</v>
      </c>
      <c r="E7115" t="s">
        <v>21577</v>
      </c>
      <c r="F7115" t="s">
        <v>21578</v>
      </c>
      <c r="G7115" t="s">
        <v>16194</v>
      </c>
      <c r="H7115" t="s">
        <v>21579</v>
      </c>
      <c r="I7115" t="s">
        <v>16082</v>
      </c>
    </row>
    <row r="7116" spans="1:9">
      <c r="A7116" t="s">
        <v>16075</v>
      </c>
      <c r="B7116" t="s">
        <v>16076</v>
      </c>
      <c r="C7116" t="s">
        <v>21580</v>
      </c>
      <c r="D7116" t="s">
        <v>16078</v>
      </c>
      <c r="E7116" t="s">
        <v>21581</v>
      </c>
      <c r="F7116" t="s">
        <v>21582</v>
      </c>
      <c r="G7116" t="s">
        <v>16091</v>
      </c>
      <c r="H7116" t="s">
        <v>21583</v>
      </c>
      <c r="I7116" t="s">
        <v>16082</v>
      </c>
    </row>
    <row r="7117" spans="1:9">
      <c r="A7117" t="s">
        <v>16075</v>
      </c>
      <c r="B7117" t="s">
        <v>16076</v>
      </c>
      <c r="C7117" t="s">
        <v>21584</v>
      </c>
      <c r="D7117" t="s">
        <v>16078</v>
      </c>
      <c r="E7117" t="s">
        <v>21585</v>
      </c>
      <c r="F7117" t="s">
        <v>21586</v>
      </c>
      <c r="G7117" t="s">
        <v>16846</v>
      </c>
      <c r="H7117" t="s">
        <v>21587</v>
      </c>
      <c r="I7117" t="s">
        <v>16082</v>
      </c>
    </row>
    <row r="7118" spans="1:9">
      <c r="A7118" t="s">
        <v>16075</v>
      </c>
      <c r="B7118" t="s">
        <v>16076</v>
      </c>
      <c r="C7118" t="s">
        <v>21588</v>
      </c>
      <c r="D7118" t="s">
        <v>16078</v>
      </c>
      <c r="E7118" t="s">
        <v>7990</v>
      </c>
      <c r="F7118" t="s">
        <v>21589</v>
      </c>
      <c r="G7118" t="s">
        <v>16462</v>
      </c>
      <c r="H7118" t="s">
        <v>21590</v>
      </c>
      <c r="I7118" t="s">
        <v>16082</v>
      </c>
    </row>
    <row r="7119" spans="1:9">
      <c r="A7119" t="s">
        <v>16075</v>
      </c>
      <c r="B7119" t="s">
        <v>16076</v>
      </c>
      <c r="C7119" t="s">
        <v>21591</v>
      </c>
      <c r="D7119" t="s">
        <v>16078</v>
      </c>
      <c r="E7119" t="s">
        <v>21592</v>
      </c>
      <c r="F7119" t="s">
        <v>21593</v>
      </c>
      <c r="G7119" t="s">
        <v>16194</v>
      </c>
      <c r="H7119" t="s">
        <v>21594</v>
      </c>
      <c r="I7119" t="s">
        <v>16082</v>
      </c>
    </row>
    <row r="7120" spans="1:9">
      <c r="A7120" t="s">
        <v>16075</v>
      </c>
      <c r="B7120" t="s">
        <v>16076</v>
      </c>
      <c r="C7120" t="s">
        <v>21595</v>
      </c>
      <c r="D7120" t="s">
        <v>16078</v>
      </c>
      <c r="E7120" t="s">
        <v>21596</v>
      </c>
      <c r="F7120" t="s">
        <v>21597</v>
      </c>
      <c r="G7120" t="s">
        <v>16086</v>
      </c>
      <c r="H7120" t="s">
        <v>21598</v>
      </c>
      <c r="I7120" t="s">
        <v>16082</v>
      </c>
    </row>
    <row r="7121" spans="1:9">
      <c r="A7121" t="s">
        <v>16075</v>
      </c>
      <c r="B7121" t="s">
        <v>16076</v>
      </c>
      <c r="C7121" t="s">
        <v>21599</v>
      </c>
      <c r="D7121" t="s">
        <v>16078</v>
      </c>
      <c r="E7121" t="s">
        <v>21600</v>
      </c>
      <c r="F7121" t="s">
        <v>21601</v>
      </c>
      <c r="G7121" t="s">
        <v>16266</v>
      </c>
      <c r="H7121" t="s">
        <v>21602</v>
      </c>
      <c r="I7121" t="s">
        <v>16082</v>
      </c>
    </row>
    <row r="7122" spans="1:9">
      <c r="A7122" t="s">
        <v>16075</v>
      </c>
      <c r="B7122" t="s">
        <v>16076</v>
      </c>
      <c r="C7122" t="s">
        <v>21603</v>
      </c>
      <c r="D7122" t="s">
        <v>16078</v>
      </c>
      <c r="E7122" t="s">
        <v>21604</v>
      </c>
      <c r="F7122" t="s">
        <v>21605</v>
      </c>
      <c r="G7122" t="s">
        <v>16080</v>
      </c>
      <c r="H7122" t="s">
        <v>21606</v>
      </c>
      <c r="I7122" t="s">
        <v>16082</v>
      </c>
    </row>
    <row r="7123" spans="1:9">
      <c r="A7123" t="s">
        <v>16075</v>
      </c>
      <c r="B7123" t="s">
        <v>16076</v>
      </c>
      <c r="C7123" t="s">
        <v>21607</v>
      </c>
      <c r="D7123" t="s">
        <v>16078</v>
      </c>
      <c r="E7123" t="s">
        <v>1356</v>
      </c>
      <c r="F7123" t="s">
        <v>21608</v>
      </c>
      <c r="G7123" t="s">
        <v>16173</v>
      </c>
      <c r="H7123" t="s">
        <v>21609</v>
      </c>
      <c r="I7123" t="s">
        <v>16082</v>
      </c>
    </row>
    <row r="7124" spans="1:9">
      <c r="A7124" t="s">
        <v>16075</v>
      </c>
      <c r="B7124" t="s">
        <v>16076</v>
      </c>
      <c r="C7124" t="s">
        <v>21610</v>
      </c>
      <c r="D7124" t="s">
        <v>16078</v>
      </c>
      <c r="E7124" t="s">
        <v>13795</v>
      </c>
      <c r="F7124" t="s">
        <v>21611</v>
      </c>
      <c r="G7124" t="s">
        <v>16194</v>
      </c>
      <c r="H7124" t="s">
        <v>21612</v>
      </c>
      <c r="I7124" t="s">
        <v>16082</v>
      </c>
    </row>
    <row r="7125" spans="1:9">
      <c r="A7125" t="s">
        <v>16075</v>
      </c>
      <c r="B7125" t="s">
        <v>16076</v>
      </c>
      <c r="C7125" t="s">
        <v>21613</v>
      </c>
      <c r="D7125" t="s">
        <v>16078</v>
      </c>
      <c r="E7125" t="s">
        <v>21614</v>
      </c>
      <c r="F7125" t="s">
        <v>21615</v>
      </c>
      <c r="G7125" t="s">
        <v>16091</v>
      </c>
      <c r="H7125" t="s">
        <v>21616</v>
      </c>
      <c r="I7125" t="s">
        <v>16082</v>
      </c>
    </row>
    <row r="7126" spans="1:9">
      <c r="A7126" t="s">
        <v>16075</v>
      </c>
      <c r="B7126" t="s">
        <v>16076</v>
      </c>
      <c r="C7126" t="s">
        <v>21617</v>
      </c>
      <c r="D7126" t="s">
        <v>16078</v>
      </c>
      <c r="E7126" t="s">
        <v>11511</v>
      </c>
      <c r="F7126" t="s">
        <v>21618</v>
      </c>
      <c r="G7126" t="s">
        <v>16462</v>
      </c>
      <c r="H7126" t="s">
        <v>21619</v>
      </c>
      <c r="I7126" t="s">
        <v>16082</v>
      </c>
    </row>
    <row r="7127" spans="1:9">
      <c r="A7127" t="s">
        <v>16075</v>
      </c>
      <c r="B7127" t="s">
        <v>16076</v>
      </c>
      <c r="C7127" t="s">
        <v>21620</v>
      </c>
      <c r="D7127" t="s">
        <v>16078</v>
      </c>
      <c r="E7127" t="s">
        <v>21621</v>
      </c>
      <c r="F7127" t="s">
        <v>21622</v>
      </c>
      <c r="G7127" t="s">
        <v>16462</v>
      </c>
      <c r="H7127" t="s">
        <v>21623</v>
      </c>
      <c r="I7127" t="s">
        <v>16082</v>
      </c>
    </row>
    <row r="7128" spans="1:9">
      <c r="A7128" t="s">
        <v>16075</v>
      </c>
      <c r="B7128" t="s">
        <v>16076</v>
      </c>
      <c r="C7128" t="s">
        <v>21624</v>
      </c>
      <c r="D7128" t="s">
        <v>16078</v>
      </c>
      <c r="E7128" t="s">
        <v>21625</v>
      </c>
      <c r="F7128" t="s">
        <v>21626</v>
      </c>
      <c r="G7128" t="s">
        <v>16312</v>
      </c>
      <c r="H7128" t="s">
        <v>21627</v>
      </c>
    </row>
    <row r="7129" spans="1:9">
      <c r="A7129" t="s">
        <v>16075</v>
      </c>
      <c r="B7129" t="s">
        <v>16076</v>
      </c>
      <c r="C7129" t="s">
        <v>21628</v>
      </c>
      <c r="D7129" t="s">
        <v>16078</v>
      </c>
      <c r="E7129" t="s">
        <v>21629</v>
      </c>
      <c r="F7129" t="s">
        <v>21630</v>
      </c>
      <c r="G7129" t="s">
        <v>16131</v>
      </c>
      <c r="H7129" t="s">
        <v>21631</v>
      </c>
      <c r="I7129" t="s">
        <v>16082</v>
      </c>
    </row>
    <row r="7130" spans="1:9">
      <c r="A7130" t="s">
        <v>16075</v>
      </c>
      <c r="B7130" t="s">
        <v>16076</v>
      </c>
      <c r="C7130" t="s">
        <v>21632</v>
      </c>
      <c r="D7130" t="s">
        <v>16078</v>
      </c>
      <c r="E7130" t="s">
        <v>21633</v>
      </c>
      <c r="F7130" t="s">
        <v>21634</v>
      </c>
      <c r="G7130" t="s">
        <v>16178</v>
      </c>
      <c r="H7130" t="s">
        <v>21464</v>
      </c>
      <c r="I7130" t="s">
        <v>16082</v>
      </c>
    </row>
    <row r="7131" spans="1:9">
      <c r="A7131" t="s">
        <v>16075</v>
      </c>
      <c r="B7131" t="s">
        <v>16076</v>
      </c>
      <c r="C7131" t="s">
        <v>21635</v>
      </c>
      <c r="D7131" t="s">
        <v>16078</v>
      </c>
      <c r="E7131" t="s">
        <v>21636</v>
      </c>
      <c r="F7131" t="s">
        <v>21637</v>
      </c>
      <c r="G7131" t="s">
        <v>19682</v>
      </c>
      <c r="H7131" t="s">
        <v>21638</v>
      </c>
      <c r="I7131" t="s">
        <v>16082</v>
      </c>
    </row>
    <row r="7132" spans="1:9">
      <c r="A7132" t="s">
        <v>16075</v>
      </c>
      <c r="B7132" t="s">
        <v>16076</v>
      </c>
      <c r="C7132" t="s">
        <v>21639</v>
      </c>
      <c r="D7132" t="s">
        <v>16078</v>
      </c>
      <c r="E7132" t="s">
        <v>21640</v>
      </c>
      <c r="F7132" t="s">
        <v>21641</v>
      </c>
      <c r="G7132" t="s">
        <v>16097</v>
      </c>
      <c r="H7132" t="s">
        <v>21464</v>
      </c>
      <c r="I7132" t="s">
        <v>16082</v>
      </c>
    </row>
    <row r="7133" spans="1:9">
      <c r="A7133" t="s">
        <v>16075</v>
      </c>
      <c r="B7133" t="s">
        <v>16076</v>
      </c>
      <c r="C7133" t="s">
        <v>21642</v>
      </c>
      <c r="D7133" t="s">
        <v>16078</v>
      </c>
      <c r="E7133" t="s">
        <v>21643</v>
      </c>
      <c r="F7133" t="s">
        <v>21644</v>
      </c>
      <c r="G7133" t="s">
        <v>16080</v>
      </c>
      <c r="H7133" t="s">
        <v>21645</v>
      </c>
      <c r="I7133" t="s">
        <v>16082</v>
      </c>
    </row>
    <row r="7134" spans="1:9">
      <c r="A7134" t="s">
        <v>16075</v>
      </c>
      <c r="B7134" t="s">
        <v>16076</v>
      </c>
      <c r="C7134" t="s">
        <v>21646</v>
      </c>
      <c r="D7134" t="s">
        <v>16078</v>
      </c>
      <c r="E7134" t="s">
        <v>21647</v>
      </c>
      <c r="F7134" t="s">
        <v>21648</v>
      </c>
      <c r="G7134" t="s">
        <v>16194</v>
      </c>
      <c r="H7134" t="s">
        <v>21649</v>
      </c>
      <c r="I7134" t="s">
        <v>16082</v>
      </c>
    </row>
    <row r="7135" spans="1:9">
      <c r="A7135" t="s">
        <v>16075</v>
      </c>
      <c r="B7135" t="s">
        <v>16076</v>
      </c>
      <c r="C7135" t="s">
        <v>21650</v>
      </c>
      <c r="D7135" t="s">
        <v>16078</v>
      </c>
      <c r="E7135" t="s">
        <v>21651</v>
      </c>
      <c r="F7135" t="s">
        <v>21652</v>
      </c>
      <c r="G7135" t="s">
        <v>16209</v>
      </c>
      <c r="H7135" t="s">
        <v>21653</v>
      </c>
      <c r="I7135" t="s">
        <v>16093</v>
      </c>
    </row>
    <row r="7136" spans="1:9">
      <c r="A7136" t="s">
        <v>16075</v>
      </c>
      <c r="B7136" t="s">
        <v>16076</v>
      </c>
      <c r="C7136" t="s">
        <v>21654</v>
      </c>
      <c r="D7136" t="s">
        <v>16078</v>
      </c>
      <c r="E7136" t="s">
        <v>21655</v>
      </c>
      <c r="F7136" t="s">
        <v>21656</v>
      </c>
      <c r="G7136" t="s">
        <v>16086</v>
      </c>
      <c r="H7136" t="s">
        <v>21657</v>
      </c>
      <c r="I7136" t="s">
        <v>16082</v>
      </c>
    </row>
    <row r="7137" spans="1:9">
      <c r="A7137" t="s">
        <v>16075</v>
      </c>
      <c r="B7137" t="s">
        <v>16076</v>
      </c>
      <c r="C7137" t="s">
        <v>21658</v>
      </c>
      <c r="D7137" t="s">
        <v>16078</v>
      </c>
      <c r="E7137" t="s">
        <v>10099</v>
      </c>
      <c r="F7137" t="s">
        <v>21659</v>
      </c>
      <c r="G7137" t="s">
        <v>16194</v>
      </c>
      <c r="H7137" t="s">
        <v>21660</v>
      </c>
      <c r="I7137" t="s">
        <v>16082</v>
      </c>
    </row>
    <row r="7138" spans="1:9">
      <c r="A7138" t="s">
        <v>16075</v>
      </c>
      <c r="B7138" t="s">
        <v>16076</v>
      </c>
      <c r="C7138" t="s">
        <v>21661</v>
      </c>
      <c r="D7138" t="s">
        <v>16078</v>
      </c>
      <c r="E7138" t="s">
        <v>10108</v>
      </c>
      <c r="F7138" t="s">
        <v>21662</v>
      </c>
      <c r="G7138" t="s">
        <v>16105</v>
      </c>
      <c r="H7138" t="s">
        <v>21663</v>
      </c>
      <c r="I7138" t="s">
        <v>16082</v>
      </c>
    </row>
    <row r="7139" spans="1:9">
      <c r="A7139" t="s">
        <v>16075</v>
      </c>
      <c r="B7139" t="s">
        <v>16076</v>
      </c>
      <c r="C7139" t="s">
        <v>21664</v>
      </c>
      <c r="D7139" t="s">
        <v>16078</v>
      </c>
      <c r="E7139" t="s">
        <v>21665</v>
      </c>
      <c r="F7139" t="s">
        <v>21666</v>
      </c>
      <c r="G7139" t="s">
        <v>16846</v>
      </c>
      <c r="H7139" t="s">
        <v>21667</v>
      </c>
      <c r="I7139" t="s">
        <v>16093</v>
      </c>
    </row>
    <row r="7140" spans="1:9">
      <c r="A7140" t="s">
        <v>16075</v>
      </c>
      <c r="B7140" t="s">
        <v>16076</v>
      </c>
      <c r="C7140" t="s">
        <v>21668</v>
      </c>
      <c r="D7140" t="s">
        <v>16078</v>
      </c>
      <c r="E7140" t="s">
        <v>21669</v>
      </c>
      <c r="F7140" t="s">
        <v>21670</v>
      </c>
      <c r="G7140" t="s">
        <v>16397</v>
      </c>
      <c r="H7140" t="s">
        <v>21671</v>
      </c>
      <c r="I7140" t="s">
        <v>16082</v>
      </c>
    </row>
    <row r="7141" spans="1:9">
      <c r="A7141" t="s">
        <v>16075</v>
      </c>
      <c r="B7141" t="s">
        <v>16076</v>
      </c>
      <c r="C7141" t="s">
        <v>21672</v>
      </c>
      <c r="D7141" t="s">
        <v>16078</v>
      </c>
      <c r="E7141" t="s">
        <v>3079</v>
      </c>
      <c r="F7141" t="s">
        <v>3079</v>
      </c>
      <c r="G7141" t="s">
        <v>16194</v>
      </c>
      <c r="H7141" t="s">
        <v>21673</v>
      </c>
      <c r="I7141" t="s">
        <v>16082</v>
      </c>
    </row>
    <row r="7142" spans="1:9">
      <c r="A7142" t="s">
        <v>16075</v>
      </c>
      <c r="B7142" t="s">
        <v>16076</v>
      </c>
      <c r="C7142" t="s">
        <v>21674</v>
      </c>
      <c r="D7142" t="s">
        <v>16078</v>
      </c>
      <c r="E7142" t="s">
        <v>5341</v>
      </c>
      <c r="F7142" t="s">
        <v>21675</v>
      </c>
      <c r="G7142" t="s">
        <v>16438</v>
      </c>
      <c r="H7142" t="s">
        <v>21676</v>
      </c>
      <c r="I7142" t="s">
        <v>16082</v>
      </c>
    </row>
    <row r="7143" spans="1:9">
      <c r="A7143" t="s">
        <v>16075</v>
      </c>
      <c r="B7143" t="s">
        <v>16076</v>
      </c>
      <c r="C7143" t="s">
        <v>21677</v>
      </c>
      <c r="D7143" t="s">
        <v>16078</v>
      </c>
      <c r="E7143" t="s">
        <v>21678</v>
      </c>
      <c r="F7143" t="s">
        <v>21679</v>
      </c>
      <c r="G7143" t="s">
        <v>16683</v>
      </c>
      <c r="H7143" t="s">
        <v>21680</v>
      </c>
    </row>
    <row r="7144" spans="1:9">
      <c r="A7144" t="s">
        <v>16075</v>
      </c>
      <c r="B7144" t="s">
        <v>16076</v>
      </c>
      <c r="C7144" t="s">
        <v>21681</v>
      </c>
      <c r="D7144" t="s">
        <v>16078</v>
      </c>
      <c r="E7144" t="s">
        <v>21682</v>
      </c>
      <c r="F7144" t="s">
        <v>21683</v>
      </c>
      <c r="G7144" t="s">
        <v>16312</v>
      </c>
      <c r="H7144" t="s">
        <v>21684</v>
      </c>
    </row>
    <row r="7145" spans="1:9">
      <c r="A7145" t="s">
        <v>16075</v>
      </c>
      <c r="B7145" t="s">
        <v>16076</v>
      </c>
      <c r="C7145" t="s">
        <v>21685</v>
      </c>
      <c r="D7145" t="s">
        <v>16078</v>
      </c>
      <c r="E7145" t="s">
        <v>21686</v>
      </c>
      <c r="F7145" t="s">
        <v>21687</v>
      </c>
      <c r="G7145" t="s">
        <v>16131</v>
      </c>
      <c r="H7145" t="s">
        <v>21688</v>
      </c>
      <c r="I7145" t="s">
        <v>16082</v>
      </c>
    </row>
    <row r="7146" spans="1:9">
      <c r="A7146" t="s">
        <v>16075</v>
      </c>
      <c r="B7146" t="s">
        <v>16076</v>
      </c>
      <c r="C7146" t="s">
        <v>21689</v>
      </c>
      <c r="D7146" t="s">
        <v>16078</v>
      </c>
      <c r="E7146" t="s">
        <v>21690</v>
      </c>
      <c r="F7146" t="s">
        <v>21691</v>
      </c>
      <c r="G7146" t="s">
        <v>16091</v>
      </c>
      <c r="H7146" t="s">
        <v>21692</v>
      </c>
      <c r="I7146" t="s">
        <v>16093</v>
      </c>
    </row>
    <row r="7147" spans="1:9">
      <c r="A7147" t="s">
        <v>16075</v>
      </c>
      <c r="B7147" t="s">
        <v>16076</v>
      </c>
      <c r="C7147" t="s">
        <v>21693</v>
      </c>
      <c r="D7147" t="s">
        <v>16078</v>
      </c>
      <c r="E7147" t="s">
        <v>4749</v>
      </c>
      <c r="F7147" t="s">
        <v>21694</v>
      </c>
      <c r="G7147" t="s">
        <v>16312</v>
      </c>
      <c r="H7147" t="s">
        <v>21695</v>
      </c>
    </row>
    <row r="7148" spans="1:9">
      <c r="A7148" t="s">
        <v>16075</v>
      </c>
      <c r="B7148" t="s">
        <v>16076</v>
      </c>
      <c r="C7148" t="s">
        <v>21696</v>
      </c>
      <c r="D7148" t="s">
        <v>16078</v>
      </c>
      <c r="E7148" t="s">
        <v>21697</v>
      </c>
      <c r="F7148" t="s">
        <v>21698</v>
      </c>
      <c r="G7148" t="s">
        <v>16397</v>
      </c>
      <c r="H7148" t="s">
        <v>21699</v>
      </c>
      <c r="I7148" t="s">
        <v>16082</v>
      </c>
    </row>
    <row r="7149" spans="1:9">
      <c r="A7149" t="s">
        <v>16075</v>
      </c>
      <c r="B7149" t="s">
        <v>16076</v>
      </c>
      <c r="C7149" t="s">
        <v>21700</v>
      </c>
      <c r="D7149" t="s">
        <v>16078</v>
      </c>
      <c r="E7149" t="s">
        <v>21701</v>
      </c>
      <c r="F7149" t="s">
        <v>21702</v>
      </c>
      <c r="G7149" t="s">
        <v>16168</v>
      </c>
      <c r="H7149" t="s">
        <v>21703</v>
      </c>
      <c r="I7149" t="s">
        <v>16082</v>
      </c>
    </row>
    <row r="7150" spans="1:9">
      <c r="A7150" t="s">
        <v>16075</v>
      </c>
      <c r="B7150" t="s">
        <v>16076</v>
      </c>
      <c r="C7150" t="s">
        <v>21704</v>
      </c>
      <c r="D7150" t="s">
        <v>16078</v>
      </c>
      <c r="E7150" t="s">
        <v>21705</v>
      </c>
      <c r="F7150" t="s">
        <v>21706</v>
      </c>
      <c r="G7150" t="s">
        <v>16194</v>
      </c>
      <c r="H7150" t="s">
        <v>21707</v>
      </c>
      <c r="I7150" t="s">
        <v>16082</v>
      </c>
    </row>
    <row r="7151" spans="1:9">
      <c r="A7151" t="s">
        <v>16075</v>
      </c>
      <c r="B7151" t="s">
        <v>16076</v>
      </c>
      <c r="C7151" t="s">
        <v>21708</v>
      </c>
      <c r="D7151" t="s">
        <v>16078</v>
      </c>
      <c r="E7151" t="s">
        <v>21709</v>
      </c>
      <c r="F7151" t="s">
        <v>21710</v>
      </c>
      <c r="G7151" t="s">
        <v>16209</v>
      </c>
      <c r="H7151" t="s">
        <v>21711</v>
      </c>
      <c r="I7151" t="s">
        <v>16082</v>
      </c>
    </row>
    <row r="7152" spans="1:9">
      <c r="A7152" t="s">
        <v>16075</v>
      </c>
      <c r="B7152" t="s">
        <v>16076</v>
      </c>
      <c r="C7152" t="s">
        <v>21712</v>
      </c>
      <c r="D7152" t="s">
        <v>16078</v>
      </c>
      <c r="E7152" t="s">
        <v>21713</v>
      </c>
      <c r="F7152" t="s">
        <v>21714</v>
      </c>
      <c r="G7152" t="s">
        <v>16194</v>
      </c>
      <c r="H7152" t="s">
        <v>21715</v>
      </c>
      <c r="I7152" t="s">
        <v>16082</v>
      </c>
    </row>
    <row r="7153" spans="1:9">
      <c r="A7153" t="s">
        <v>16075</v>
      </c>
      <c r="B7153" t="s">
        <v>16076</v>
      </c>
      <c r="C7153" t="s">
        <v>21716</v>
      </c>
      <c r="D7153" t="s">
        <v>16078</v>
      </c>
      <c r="E7153" t="s">
        <v>21717</v>
      </c>
      <c r="F7153" t="s">
        <v>21718</v>
      </c>
      <c r="G7153" t="s">
        <v>16131</v>
      </c>
      <c r="H7153" t="s">
        <v>21719</v>
      </c>
      <c r="I7153" t="s">
        <v>16082</v>
      </c>
    </row>
    <row r="7154" spans="1:9">
      <c r="A7154" t="s">
        <v>16075</v>
      </c>
      <c r="B7154" t="s">
        <v>16076</v>
      </c>
      <c r="C7154" t="s">
        <v>21720</v>
      </c>
      <c r="D7154" t="s">
        <v>16078</v>
      </c>
      <c r="E7154" t="s">
        <v>21721</v>
      </c>
      <c r="F7154" t="s">
        <v>21722</v>
      </c>
      <c r="G7154" t="s">
        <v>16097</v>
      </c>
      <c r="H7154" t="s">
        <v>21723</v>
      </c>
      <c r="I7154" t="s">
        <v>16082</v>
      </c>
    </row>
    <row r="7155" spans="1:9">
      <c r="A7155" t="s">
        <v>16075</v>
      </c>
      <c r="B7155" t="s">
        <v>16076</v>
      </c>
      <c r="C7155" t="s">
        <v>21724</v>
      </c>
      <c r="D7155" t="s">
        <v>16078</v>
      </c>
      <c r="E7155" t="s">
        <v>21725</v>
      </c>
      <c r="F7155" t="s">
        <v>21726</v>
      </c>
      <c r="G7155" t="s">
        <v>16131</v>
      </c>
      <c r="H7155" t="s">
        <v>21727</v>
      </c>
      <c r="I7155" t="s">
        <v>16082</v>
      </c>
    </row>
    <row r="7156" spans="1:9">
      <c r="A7156" t="s">
        <v>16075</v>
      </c>
      <c r="B7156" t="s">
        <v>16076</v>
      </c>
      <c r="C7156" t="s">
        <v>21728</v>
      </c>
      <c r="D7156" t="s">
        <v>16078</v>
      </c>
      <c r="E7156" t="s">
        <v>21729</v>
      </c>
      <c r="F7156" t="s">
        <v>21730</v>
      </c>
      <c r="G7156" t="s">
        <v>16101</v>
      </c>
      <c r="H7156" t="s">
        <v>21731</v>
      </c>
      <c r="I7156" t="s">
        <v>16082</v>
      </c>
    </row>
    <row r="7157" spans="1:9">
      <c r="A7157" t="s">
        <v>16075</v>
      </c>
      <c r="B7157" t="s">
        <v>16076</v>
      </c>
      <c r="C7157" t="s">
        <v>21732</v>
      </c>
      <c r="D7157" t="s">
        <v>16078</v>
      </c>
      <c r="E7157" t="s">
        <v>21733</v>
      </c>
      <c r="F7157" t="s">
        <v>21734</v>
      </c>
      <c r="G7157" t="s">
        <v>16091</v>
      </c>
      <c r="H7157" t="s">
        <v>21735</v>
      </c>
      <c r="I7157" t="s">
        <v>16082</v>
      </c>
    </row>
    <row r="7158" spans="1:9">
      <c r="A7158" t="s">
        <v>16075</v>
      </c>
      <c r="B7158" t="s">
        <v>16076</v>
      </c>
      <c r="C7158" t="s">
        <v>21736</v>
      </c>
      <c r="D7158" t="s">
        <v>16078</v>
      </c>
      <c r="E7158" t="s">
        <v>21737</v>
      </c>
      <c r="F7158" t="s">
        <v>21738</v>
      </c>
      <c r="G7158" t="s">
        <v>16109</v>
      </c>
      <c r="H7158" t="s">
        <v>21739</v>
      </c>
      <c r="I7158" t="s">
        <v>16082</v>
      </c>
    </row>
    <row r="7159" spans="1:9">
      <c r="A7159" t="s">
        <v>16075</v>
      </c>
      <c r="B7159" t="s">
        <v>16076</v>
      </c>
      <c r="C7159" t="s">
        <v>21740</v>
      </c>
      <c r="D7159" t="s">
        <v>16078</v>
      </c>
      <c r="E7159" t="s">
        <v>21741</v>
      </c>
      <c r="F7159" t="s">
        <v>21742</v>
      </c>
      <c r="G7159" t="s">
        <v>16194</v>
      </c>
      <c r="H7159" t="s">
        <v>21743</v>
      </c>
      <c r="I7159" t="s">
        <v>16082</v>
      </c>
    </row>
    <row r="7160" spans="1:9">
      <c r="A7160" t="s">
        <v>16075</v>
      </c>
      <c r="B7160" t="s">
        <v>16076</v>
      </c>
      <c r="C7160" t="s">
        <v>21744</v>
      </c>
      <c r="D7160" t="s">
        <v>16078</v>
      </c>
      <c r="E7160" t="s">
        <v>21745</v>
      </c>
      <c r="F7160" t="s">
        <v>21746</v>
      </c>
      <c r="G7160" t="s">
        <v>16168</v>
      </c>
      <c r="H7160" t="s">
        <v>21747</v>
      </c>
      <c r="I7160" t="s">
        <v>16082</v>
      </c>
    </row>
    <row r="7161" spans="1:9">
      <c r="A7161" t="s">
        <v>16075</v>
      </c>
      <c r="B7161" t="s">
        <v>16076</v>
      </c>
      <c r="C7161" t="s">
        <v>21748</v>
      </c>
      <c r="D7161" t="s">
        <v>16078</v>
      </c>
      <c r="E7161" t="s">
        <v>4638</v>
      </c>
      <c r="F7161" t="s">
        <v>21749</v>
      </c>
      <c r="G7161" t="s">
        <v>16109</v>
      </c>
      <c r="H7161" t="s">
        <v>21750</v>
      </c>
      <c r="I7161" t="s">
        <v>16082</v>
      </c>
    </row>
    <row r="7162" spans="1:9">
      <c r="A7162" t="s">
        <v>16075</v>
      </c>
      <c r="B7162" t="s">
        <v>16076</v>
      </c>
      <c r="C7162" t="s">
        <v>21751</v>
      </c>
      <c r="D7162" t="s">
        <v>16078</v>
      </c>
      <c r="E7162" t="s">
        <v>21752</v>
      </c>
      <c r="F7162" t="s">
        <v>21753</v>
      </c>
      <c r="G7162" t="s">
        <v>16295</v>
      </c>
      <c r="H7162" t="s">
        <v>21754</v>
      </c>
      <c r="I7162" t="s">
        <v>16082</v>
      </c>
    </row>
    <row r="7163" spans="1:9">
      <c r="A7163" t="s">
        <v>16075</v>
      </c>
      <c r="B7163" t="s">
        <v>16076</v>
      </c>
      <c r="C7163" t="s">
        <v>21755</v>
      </c>
      <c r="D7163" t="s">
        <v>16078</v>
      </c>
      <c r="E7163" t="s">
        <v>21756</v>
      </c>
      <c r="F7163" t="s">
        <v>21757</v>
      </c>
      <c r="G7163" t="s">
        <v>16295</v>
      </c>
      <c r="H7163" t="s">
        <v>21758</v>
      </c>
      <c r="I7163" t="s">
        <v>16082</v>
      </c>
    </row>
    <row r="7164" spans="1:9">
      <c r="A7164" t="s">
        <v>16075</v>
      </c>
      <c r="B7164" t="s">
        <v>16076</v>
      </c>
      <c r="C7164" t="s">
        <v>21759</v>
      </c>
      <c r="D7164" t="s">
        <v>16078</v>
      </c>
      <c r="E7164" t="s">
        <v>21760</v>
      </c>
      <c r="F7164" t="s">
        <v>21761</v>
      </c>
      <c r="G7164" t="s">
        <v>16091</v>
      </c>
      <c r="H7164" t="s">
        <v>21762</v>
      </c>
      <c r="I7164" t="s">
        <v>16082</v>
      </c>
    </row>
    <row r="7165" spans="1:9">
      <c r="A7165" t="s">
        <v>16075</v>
      </c>
      <c r="B7165" t="s">
        <v>16076</v>
      </c>
      <c r="C7165" t="s">
        <v>21763</v>
      </c>
      <c r="D7165" t="s">
        <v>16078</v>
      </c>
      <c r="E7165" t="s">
        <v>21764</v>
      </c>
      <c r="F7165" t="s">
        <v>21765</v>
      </c>
      <c r="G7165" t="s">
        <v>16097</v>
      </c>
      <c r="H7165" t="s">
        <v>21766</v>
      </c>
      <c r="I7165" t="s">
        <v>16082</v>
      </c>
    </row>
    <row r="7166" spans="1:9">
      <c r="A7166" t="s">
        <v>16075</v>
      </c>
      <c r="B7166" t="s">
        <v>16076</v>
      </c>
      <c r="C7166" t="s">
        <v>21767</v>
      </c>
      <c r="D7166" t="s">
        <v>16078</v>
      </c>
      <c r="E7166" t="s">
        <v>21768</v>
      </c>
      <c r="F7166" t="s">
        <v>21769</v>
      </c>
      <c r="G7166" t="s">
        <v>16105</v>
      </c>
      <c r="H7166" t="s">
        <v>21770</v>
      </c>
      <c r="I7166" t="s">
        <v>16082</v>
      </c>
    </row>
    <row r="7167" spans="1:9">
      <c r="A7167" t="s">
        <v>16075</v>
      </c>
      <c r="B7167" t="s">
        <v>16076</v>
      </c>
      <c r="C7167" t="s">
        <v>21771</v>
      </c>
      <c r="D7167" t="s">
        <v>16078</v>
      </c>
      <c r="E7167" t="s">
        <v>21772</v>
      </c>
      <c r="F7167" t="s">
        <v>21773</v>
      </c>
      <c r="G7167" t="s">
        <v>16168</v>
      </c>
      <c r="H7167" t="s">
        <v>21774</v>
      </c>
      <c r="I7167" t="s">
        <v>16082</v>
      </c>
    </row>
    <row r="7168" spans="1:9">
      <c r="A7168" t="s">
        <v>16075</v>
      </c>
      <c r="B7168" t="s">
        <v>16076</v>
      </c>
      <c r="C7168" t="s">
        <v>21775</v>
      </c>
      <c r="D7168" t="s">
        <v>16078</v>
      </c>
      <c r="E7168" t="s">
        <v>21776</v>
      </c>
      <c r="F7168" t="s">
        <v>21777</v>
      </c>
      <c r="G7168" t="s">
        <v>16109</v>
      </c>
      <c r="H7168" t="s">
        <v>21778</v>
      </c>
      <c r="I7168" t="s">
        <v>16082</v>
      </c>
    </row>
    <row r="7169" spans="1:9">
      <c r="A7169" t="s">
        <v>16075</v>
      </c>
      <c r="B7169" t="s">
        <v>16076</v>
      </c>
      <c r="C7169" t="s">
        <v>21779</v>
      </c>
      <c r="D7169" t="s">
        <v>16078</v>
      </c>
      <c r="E7169" t="s">
        <v>21780</v>
      </c>
      <c r="F7169" t="s">
        <v>21781</v>
      </c>
      <c r="G7169" t="s">
        <v>16109</v>
      </c>
      <c r="H7169" t="s">
        <v>21782</v>
      </c>
      <c r="I7169" t="s">
        <v>16082</v>
      </c>
    </row>
    <row r="7170" spans="1:9">
      <c r="A7170" t="s">
        <v>16075</v>
      </c>
      <c r="B7170" t="s">
        <v>16076</v>
      </c>
      <c r="C7170" t="s">
        <v>21783</v>
      </c>
      <c r="D7170" t="s">
        <v>16078</v>
      </c>
      <c r="E7170" t="s">
        <v>21784</v>
      </c>
      <c r="F7170" t="s">
        <v>21785</v>
      </c>
      <c r="G7170" t="s">
        <v>16091</v>
      </c>
      <c r="H7170" t="s">
        <v>21786</v>
      </c>
      <c r="I7170" t="s">
        <v>16082</v>
      </c>
    </row>
    <row r="7171" spans="1:9">
      <c r="A7171" t="s">
        <v>16075</v>
      </c>
      <c r="B7171" t="s">
        <v>16076</v>
      </c>
      <c r="C7171" t="s">
        <v>21787</v>
      </c>
      <c r="D7171" t="s">
        <v>16078</v>
      </c>
      <c r="E7171" t="s">
        <v>21788</v>
      </c>
      <c r="F7171" t="s">
        <v>21789</v>
      </c>
      <c r="G7171" t="s">
        <v>16097</v>
      </c>
      <c r="H7171" t="s">
        <v>21790</v>
      </c>
      <c r="I7171" t="s">
        <v>16082</v>
      </c>
    </row>
    <row r="7172" spans="1:9">
      <c r="A7172" t="s">
        <v>16075</v>
      </c>
      <c r="B7172" t="s">
        <v>16076</v>
      </c>
      <c r="C7172" t="s">
        <v>21791</v>
      </c>
      <c r="D7172" t="s">
        <v>16078</v>
      </c>
      <c r="E7172" t="s">
        <v>21792</v>
      </c>
      <c r="F7172" t="s">
        <v>21793</v>
      </c>
      <c r="G7172" t="s">
        <v>16828</v>
      </c>
      <c r="H7172" t="s">
        <v>21794</v>
      </c>
      <c r="I7172" t="s">
        <v>16082</v>
      </c>
    </row>
    <row r="7173" spans="1:9">
      <c r="A7173" t="s">
        <v>16075</v>
      </c>
      <c r="B7173" t="s">
        <v>16076</v>
      </c>
      <c r="C7173" t="s">
        <v>21795</v>
      </c>
      <c r="D7173" t="s">
        <v>16078</v>
      </c>
      <c r="E7173" t="s">
        <v>21796</v>
      </c>
      <c r="F7173" t="s">
        <v>21797</v>
      </c>
      <c r="G7173" t="s">
        <v>16097</v>
      </c>
      <c r="H7173" t="s">
        <v>21798</v>
      </c>
      <c r="I7173" t="s">
        <v>16082</v>
      </c>
    </row>
    <row r="7174" spans="1:9">
      <c r="A7174" t="s">
        <v>16075</v>
      </c>
      <c r="B7174" t="s">
        <v>16076</v>
      </c>
      <c r="C7174" t="s">
        <v>21799</v>
      </c>
      <c r="D7174" t="s">
        <v>16078</v>
      </c>
      <c r="E7174" t="s">
        <v>21800</v>
      </c>
      <c r="F7174" t="s">
        <v>21801</v>
      </c>
      <c r="G7174" t="s">
        <v>16101</v>
      </c>
      <c r="H7174" t="s">
        <v>21802</v>
      </c>
      <c r="I7174" t="s">
        <v>16082</v>
      </c>
    </row>
    <row r="7175" spans="1:9">
      <c r="A7175" t="s">
        <v>16075</v>
      </c>
      <c r="B7175" t="s">
        <v>16076</v>
      </c>
      <c r="C7175" t="s">
        <v>21803</v>
      </c>
      <c r="D7175" t="s">
        <v>16078</v>
      </c>
      <c r="E7175" t="s">
        <v>21804</v>
      </c>
      <c r="F7175" t="s">
        <v>21805</v>
      </c>
      <c r="G7175" t="s">
        <v>16397</v>
      </c>
      <c r="H7175" t="s">
        <v>21806</v>
      </c>
      <c r="I7175" t="s">
        <v>16082</v>
      </c>
    </row>
    <row r="7176" spans="1:9">
      <c r="A7176" t="s">
        <v>16075</v>
      </c>
      <c r="B7176" t="s">
        <v>16076</v>
      </c>
      <c r="C7176" t="s">
        <v>21807</v>
      </c>
      <c r="D7176" t="s">
        <v>16078</v>
      </c>
      <c r="E7176" t="s">
        <v>21808</v>
      </c>
      <c r="F7176" t="s">
        <v>21809</v>
      </c>
      <c r="G7176" t="s">
        <v>16194</v>
      </c>
      <c r="H7176" t="s">
        <v>21810</v>
      </c>
      <c r="I7176" t="s">
        <v>16082</v>
      </c>
    </row>
    <row r="7177" spans="1:9">
      <c r="A7177" t="s">
        <v>16075</v>
      </c>
      <c r="B7177" t="s">
        <v>16076</v>
      </c>
      <c r="C7177" t="s">
        <v>21811</v>
      </c>
      <c r="D7177" t="s">
        <v>16078</v>
      </c>
      <c r="E7177" t="s">
        <v>21812</v>
      </c>
      <c r="F7177" t="s">
        <v>21813</v>
      </c>
      <c r="G7177" t="s">
        <v>16209</v>
      </c>
      <c r="H7177" t="s">
        <v>21814</v>
      </c>
      <c r="I7177" t="s">
        <v>16082</v>
      </c>
    </row>
    <row r="7178" spans="1:9">
      <c r="A7178" t="s">
        <v>16075</v>
      </c>
      <c r="B7178" t="s">
        <v>16076</v>
      </c>
      <c r="C7178" t="s">
        <v>21815</v>
      </c>
      <c r="D7178" t="s">
        <v>16078</v>
      </c>
      <c r="E7178" t="s">
        <v>21816</v>
      </c>
      <c r="F7178" t="s">
        <v>21817</v>
      </c>
      <c r="G7178" t="s">
        <v>16209</v>
      </c>
      <c r="H7178" t="s">
        <v>21818</v>
      </c>
      <c r="I7178" t="s">
        <v>16082</v>
      </c>
    </row>
    <row r="7179" spans="1:9">
      <c r="A7179" t="s">
        <v>16075</v>
      </c>
      <c r="B7179" t="s">
        <v>16076</v>
      </c>
      <c r="C7179" t="s">
        <v>21819</v>
      </c>
      <c r="D7179" t="s">
        <v>16078</v>
      </c>
      <c r="E7179" t="s">
        <v>21820</v>
      </c>
      <c r="F7179" t="s">
        <v>21821</v>
      </c>
      <c r="G7179" t="s">
        <v>16091</v>
      </c>
      <c r="H7179" t="s">
        <v>21822</v>
      </c>
      <c r="I7179" t="s">
        <v>16082</v>
      </c>
    </row>
    <row r="7180" spans="1:9">
      <c r="A7180" t="s">
        <v>16075</v>
      </c>
      <c r="B7180" t="s">
        <v>16076</v>
      </c>
      <c r="C7180" t="s">
        <v>21823</v>
      </c>
      <c r="D7180" t="s">
        <v>16078</v>
      </c>
      <c r="E7180" t="s">
        <v>21824</v>
      </c>
      <c r="F7180" t="s">
        <v>21825</v>
      </c>
      <c r="G7180" t="s">
        <v>16178</v>
      </c>
      <c r="H7180" t="s">
        <v>21826</v>
      </c>
      <c r="I7180" t="s">
        <v>16082</v>
      </c>
    </row>
    <row r="7181" spans="1:9">
      <c r="A7181" t="s">
        <v>16075</v>
      </c>
      <c r="B7181" t="s">
        <v>16076</v>
      </c>
      <c r="C7181" t="s">
        <v>21827</v>
      </c>
      <c r="D7181" t="s">
        <v>16078</v>
      </c>
      <c r="E7181" t="s">
        <v>21828</v>
      </c>
      <c r="F7181" t="s">
        <v>21829</v>
      </c>
      <c r="G7181" t="s">
        <v>16131</v>
      </c>
      <c r="H7181" t="s">
        <v>21830</v>
      </c>
      <c r="I7181" t="s">
        <v>16082</v>
      </c>
    </row>
    <row r="7182" spans="1:9">
      <c r="A7182" t="s">
        <v>16075</v>
      </c>
      <c r="B7182" t="s">
        <v>16076</v>
      </c>
      <c r="C7182" t="s">
        <v>21831</v>
      </c>
      <c r="D7182" t="s">
        <v>16078</v>
      </c>
      <c r="E7182" t="s">
        <v>3434</v>
      </c>
      <c r="F7182" t="s">
        <v>21832</v>
      </c>
      <c r="G7182" t="s">
        <v>16091</v>
      </c>
      <c r="H7182" t="s">
        <v>21833</v>
      </c>
      <c r="I7182" t="s">
        <v>16082</v>
      </c>
    </row>
    <row r="7183" spans="1:9">
      <c r="A7183" t="s">
        <v>16075</v>
      </c>
      <c r="B7183" t="s">
        <v>16076</v>
      </c>
      <c r="C7183" t="s">
        <v>21834</v>
      </c>
      <c r="D7183" t="s">
        <v>16078</v>
      </c>
      <c r="E7183" t="s">
        <v>21835</v>
      </c>
      <c r="F7183" t="s">
        <v>21836</v>
      </c>
      <c r="G7183" t="s">
        <v>16266</v>
      </c>
      <c r="H7183" t="s">
        <v>21837</v>
      </c>
      <c r="I7183" t="s">
        <v>16082</v>
      </c>
    </row>
    <row r="7184" spans="1:9">
      <c r="A7184" t="s">
        <v>16075</v>
      </c>
      <c r="B7184" t="s">
        <v>16076</v>
      </c>
      <c r="C7184" t="s">
        <v>21838</v>
      </c>
      <c r="D7184" t="s">
        <v>16078</v>
      </c>
      <c r="E7184" t="s">
        <v>21839</v>
      </c>
      <c r="F7184" t="s">
        <v>21840</v>
      </c>
      <c r="G7184" t="s">
        <v>16105</v>
      </c>
      <c r="H7184" t="s">
        <v>21841</v>
      </c>
      <c r="I7184" t="s">
        <v>16082</v>
      </c>
    </row>
    <row r="7185" spans="1:9">
      <c r="A7185" t="s">
        <v>16075</v>
      </c>
      <c r="B7185" t="s">
        <v>16076</v>
      </c>
      <c r="C7185" t="s">
        <v>21842</v>
      </c>
      <c r="D7185" t="s">
        <v>16078</v>
      </c>
      <c r="E7185" t="s">
        <v>21843</v>
      </c>
      <c r="F7185" t="s">
        <v>21844</v>
      </c>
      <c r="G7185" t="s">
        <v>16194</v>
      </c>
      <c r="H7185" t="s">
        <v>21845</v>
      </c>
      <c r="I7185" t="s">
        <v>16082</v>
      </c>
    </row>
    <row r="7186" spans="1:9">
      <c r="A7186" t="s">
        <v>16075</v>
      </c>
      <c r="B7186" t="s">
        <v>16076</v>
      </c>
      <c r="C7186" t="s">
        <v>21846</v>
      </c>
      <c r="D7186" t="s">
        <v>16078</v>
      </c>
      <c r="E7186" t="s">
        <v>21847</v>
      </c>
      <c r="F7186" t="s">
        <v>21848</v>
      </c>
      <c r="G7186" t="s">
        <v>16097</v>
      </c>
      <c r="H7186" t="s">
        <v>21849</v>
      </c>
      <c r="I7186" t="s">
        <v>16082</v>
      </c>
    </row>
    <row r="7187" spans="1:9">
      <c r="A7187" t="s">
        <v>16075</v>
      </c>
      <c r="B7187" t="s">
        <v>16076</v>
      </c>
      <c r="C7187" t="s">
        <v>21850</v>
      </c>
      <c r="D7187" t="s">
        <v>16078</v>
      </c>
      <c r="E7187" t="s">
        <v>21851</v>
      </c>
      <c r="F7187" t="s">
        <v>21852</v>
      </c>
      <c r="G7187" t="s">
        <v>16091</v>
      </c>
      <c r="H7187" t="s">
        <v>21853</v>
      </c>
      <c r="I7187" t="s">
        <v>16082</v>
      </c>
    </row>
    <row r="7188" spans="1:9">
      <c r="A7188" t="s">
        <v>16075</v>
      </c>
      <c r="B7188" t="s">
        <v>16076</v>
      </c>
      <c r="C7188" t="s">
        <v>21854</v>
      </c>
      <c r="D7188" t="s">
        <v>16078</v>
      </c>
      <c r="E7188" t="s">
        <v>21855</v>
      </c>
      <c r="F7188" t="s">
        <v>21856</v>
      </c>
      <c r="G7188" t="s">
        <v>16091</v>
      </c>
      <c r="H7188" t="s">
        <v>21857</v>
      </c>
      <c r="I7188" t="s">
        <v>16082</v>
      </c>
    </row>
    <row r="7189" spans="1:9">
      <c r="A7189" t="s">
        <v>16075</v>
      </c>
      <c r="B7189" t="s">
        <v>16076</v>
      </c>
      <c r="C7189" t="s">
        <v>21858</v>
      </c>
      <c r="D7189" t="s">
        <v>16078</v>
      </c>
      <c r="E7189" t="s">
        <v>21859</v>
      </c>
      <c r="F7189" t="s">
        <v>21860</v>
      </c>
      <c r="G7189" t="s">
        <v>16397</v>
      </c>
      <c r="H7189" t="s">
        <v>21861</v>
      </c>
      <c r="I7189" t="s">
        <v>16082</v>
      </c>
    </row>
    <row r="7190" spans="1:9">
      <c r="A7190" t="s">
        <v>16075</v>
      </c>
      <c r="B7190" t="s">
        <v>16076</v>
      </c>
      <c r="C7190" t="s">
        <v>21862</v>
      </c>
      <c r="D7190" t="s">
        <v>16078</v>
      </c>
      <c r="E7190" t="s">
        <v>6275</v>
      </c>
      <c r="F7190" t="s">
        <v>21863</v>
      </c>
      <c r="G7190" t="s">
        <v>16168</v>
      </c>
      <c r="H7190" t="s">
        <v>17942</v>
      </c>
      <c r="I7190" t="s">
        <v>16082</v>
      </c>
    </row>
    <row r="7191" spans="1:9">
      <c r="A7191" t="s">
        <v>16075</v>
      </c>
      <c r="B7191" t="s">
        <v>16076</v>
      </c>
      <c r="C7191" t="s">
        <v>21864</v>
      </c>
      <c r="D7191" t="s">
        <v>16078</v>
      </c>
      <c r="E7191" t="s">
        <v>21865</v>
      </c>
      <c r="F7191" t="s">
        <v>21866</v>
      </c>
      <c r="G7191" t="s">
        <v>16097</v>
      </c>
      <c r="H7191" t="s">
        <v>21867</v>
      </c>
      <c r="I7191" t="s">
        <v>16082</v>
      </c>
    </row>
    <row r="7192" spans="1:9">
      <c r="A7192" t="s">
        <v>16075</v>
      </c>
      <c r="B7192" t="s">
        <v>16076</v>
      </c>
      <c r="C7192" t="s">
        <v>21868</v>
      </c>
      <c r="D7192" t="s">
        <v>16078</v>
      </c>
      <c r="E7192" t="s">
        <v>21869</v>
      </c>
      <c r="F7192" t="s">
        <v>21870</v>
      </c>
      <c r="G7192" t="s">
        <v>16091</v>
      </c>
      <c r="H7192" t="s">
        <v>21871</v>
      </c>
      <c r="I7192" t="s">
        <v>16082</v>
      </c>
    </row>
    <row r="7193" spans="1:9">
      <c r="A7193" t="s">
        <v>16075</v>
      </c>
      <c r="B7193" t="s">
        <v>16076</v>
      </c>
      <c r="C7193" t="s">
        <v>21872</v>
      </c>
      <c r="D7193" t="s">
        <v>16078</v>
      </c>
      <c r="E7193" t="s">
        <v>21873</v>
      </c>
      <c r="F7193" t="s">
        <v>21874</v>
      </c>
      <c r="G7193" t="s">
        <v>16131</v>
      </c>
      <c r="H7193" t="s">
        <v>21875</v>
      </c>
      <c r="I7193" t="s">
        <v>16082</v>
      </c>
    </row>
    <row r="7194" spans="1:9">
      <c r="A7194" t="s">
        <v>16075</v>
      </c>
      <c r="B7194" t="s">
        <v>16076</v>
      </c>
      <c r="C7194" t="s">
        <v>21876</v>
      </c>
      <c r="D7194" t="s">
        <v>16078</v>
      </c>
      <c r="E7194" t="s">
        <v>21877</v>
      </c>
      <c r="F7194" t="s">
        <v>21878</v>
      </c>
      <c r="G7194" t="s">
        <v>16173</v>
      </c>
      <c r="H7194" t="s">
        <v>21879</v>
      </c>
      <c r="I7194" t="s">
        <v>16082</v>
      </c>
    </row>
    <row r="7195" spans="1:9">
      <c r="A7195" t="s">
        <v>16075</v>
      </c>
      <c r="B7195" t="s">
        <v>16076</v>
      </c>
      <c r="C7195" t="s">
        <v>21880</v>
      </c>
      <c r="D7195" t="s">
        <v>16078</v>
      </c>
      <c r="E7195" t="s">
        <v>21881</v>
      </c>
      <c r="F7195" t="s">
        <v>21882</v>
      </c>
      <c r="G7195" t="s">
        <v>16080</v>
      </c>
      <c r="H7195" t="s">
        <v>21883</v>
      </c>
      <c r="I7195" t="s">
        <v>16082</v>
      </c>
    </row>
    <row r="7196" spans="1:9">
      <c r="A7196" t="s">
        <v>16075</v>
      </c>
      <c r="B7196" t="s">
        <v>16076</v>
      </c>
      <c r="C7196" t="s">
        <v>21884</v>
      </c>
      <c r="D7196" t="s">
        <v>16078</v>
      </c>
      <c r="E7196" t="s">
        <v>10732</v>
      </c>
      <c r="F7196" t="s">
        <v>21885</v>
      </c>
      <c r="G7196" t="s">
        <v>16209</v>
      </c>
      <c r="H7196" t="s">
        <v>21886</v>
      </c>
      <c r="I7196" t="s">
        <v>16082</v>
      </c>
    </row>
    <row r="7197" spans="1:9">
      <c r="A7197" t="s">
        <v>16075</v>
      </c>
      <c r="B7197" t="s">
        <v>16076</v>
      </c>
      <c r="C7197" t="s">
        <v>21887</v>
      </c>
      <c r="D7197" t="s">
        <v>16078</v>
      </c>
      <c r="E7197" t="s">
        <v>21888</v>
      </c>
      <c r="F7197" t="s">
        <v>21889</v>
      </c>
      <c r="G7197" t="s">
        <v>16131</v>
      </c>
      <c r="H7197" t="s">
        <v>21890</v>
      </c>
      <c r="I7197" t="s">
        <v>16082</v>
      </c>
    </row>
    <row r="7198" spans="1:9">
      <c r="A7198" t="s">
        <v>16075</v>
      </c>
      <c r="B7198" t="s">
        <v>16076</v>
      </c>
      <c r="C7198" t="s">
        <v>21891</v>
      </c>
      <c r="D7198" t="s">
        <v>16078</v>
      </c>
      <c r="E7198" t="s">
        <v>21892</v>
      </c>
      <c r="F7198" t="s">
        <v>21893</v>
      </c>
      <c r="G7198" t="s">
        <v>16091</v>
      </c>
      <c r="H7198" t="s">
        <v>21894</v>
      </c>
      <c r="I7198" t="s">
        <v>16082</v>
      </c>
    </row>
    <row r="7199" spans="1:9">
      <c r="A7199" t="s">
        <v>16075</v>
      </c>
      <c r="B7199" t="s">
        <v>16076</v>
      </c>
      <c r="C7199" t="s">
        <v>21895</v>
      </c>
      <c r="D7199" t="s">
        <v>16078</v>
      </c>
      <c r="E7199" t="s">
        <v>3187</v>
      </c>
      <c r="F7199" t="s">
        <v>21896</v>
      </c>
      <c r="G7199" t="s">
        <v>16209</v>
      </c>
      <c r="H7199" t="s">
        <v>21897</v>
      </c>
      <c r="I7199" t="s">
        <v>16082</v>
      </c>
    </row>
    <row r="7200" spans="1:9">
      <c r="A7200" t="s">
        <v>16075</v>
      </c>
      <c r="B7200" t="s">
        <v>16076</v>
      </c>
      <c r="C7200" t="s">
        <v>21898</v>
      </c>
      <c r="D7200" t="s">
        <v>16078</v>
      </c>
      <c r="E7200" t="s">
        <v>21899</v>
      </c>
      <c r="F7200" t="s">
        <v>21900</v>
      </c>
      <c r="G7200" t="s">
        <v>16178</v>
      </c>
      <c r="H7200" t="s">
        <v>21901</v>
      </c>
      <c r="I7200" t="s">
        <v>16082</v>
      </c>
    </row>
    <row r="7201" spans="1:9">
      <c r="A7201" t="s">
        <v>16075</v>
      </c>
      <c r="B7201" t="s">
        <v>16076</v>
      </c>
      <c r="C7201" t="s">
        <v>21902</v>
      </c>
      <c r="D7201" t="s">
        <v>16078</v>
      </c>
      <c r="E7201" t="s">
        <v>21903</v>
      </c>
      <c r="F7201" t="s">
        <v>21904</v>
      </c>
      <c r="G7201" t="s">
        <v>16159</v>
      </c>
      <c r="H7201" t="s">
        <v>21905</v>
      </c>
      <c r="I7201" t="s">
        <v>16082</v>
      </c>
    </row>
    <row r="7202" spans="1:9">
      <c r="A7202" t="s">
        <v>16075</v>
      </c>
      <c r="B7202" t="s">
        <v>16076</v>
      </c>
      <c r="C7202" t="s">
        <v>21906</v>
      </c>
      <c r="D7202" t="s">
        <v>16078</v>
      </c>
      <c r="E7202" t="s">
        <v>21907</v>
      </c>
      <c r="F7202" t="s">
        <v>21908</v>
      </c>
      <c r="G7202" t="s">
        <v>16266</v>
      </c>
      <c r="H7202" t="s">
        <v>21909</v>
      </c>
      <c r="I7202" t="s">
        <v>16082</v>
      </c>
    </row>
    <row r="7203" spans="1:9">
      <c r="A7203" t="s">
        <v>16075</v>
      </c>
      <c r="B7203" t="s">
        <v>16076</v>
      </c>
      <c r="C7203" t="s">
        <v>21910</v>
      </c>
      <c r="D7203" t="s">
        <v>16078</v>
      </c>
      <c r="E7203" t="s">
        <v>21911</v>
      </c>
      <c r="F7203" t="s">
        <v>21912</v>
      </c>
      <c r="G7203" t="s">
        <v>16173</v>
      </c>
      <c r="H7203" t="s">
        <v>21913</v>
      </c>
      <c r="I7203" t="s">
        <v>16082</v>
      </c>
    </row>
    <row r="7204" spans="1:9">
      <c r="A7204" t="s">
        <v>16075</v>
      </c>
      <c r="B7204" t="s">
        <v>16076</v>
      </c>
      <c r="C7204" t="s">
        <v>21914</v>
      </c>
      <c r="D7204" t="s">
        <v>16078</v>
      </c>
      <c r="E7204" t="s">
        <v>21915</v>
      </c>
      <c r="F7204" t="s">
        <v>21916</v>
      </c>
      <c r="G7204" t="s">
        <v>16091</v>
      </c>
      <c r="H7204" t="s">
        <v>21917</v>
      </c>
      <c r="I7204" t="s">
        <v>16082</v>
      </c>
    </row>
    <row r="7205" spans="1:9">
      <c r="A7205" t="s">
        <v>16075</v>
      </c>
      <c r="B7205" t="s">
        <v>16076</v>
      </c>
      <c r="C7205" t="s">
        <v>21918</v>
      </c>
      <c r="D7205" t="s">
        <v>16078</v>
      </c>
      <c r="E7205" t="s">
        <v>21919</v>
      </c>
      <c r="F7205" t="s">
        <v>21920</v>
      </c>
      <c r="G7205" t="s">
        <v>16091</v>
      </c>
      <c r="H7205" t="s">
        <v>21921</v>
      </c>
      <c r="I7205" t="s">
        <v>16082</v>
      </c>
    </row>
    <row r="7206" spans="1:9">
      <c r="A7206" t="s">
        <v>16075</v>
      </c>
      <c r="B7206" t="s">
        <v>16076</v>
      </c>
      <c r="C7206" t="s">
        <v>21922</v>
      </c>
      <c r="D7206" t="s">
        <v>16078</v>
      </c>
      <c r="E7206" t="s">
        <v>21923</v>
      </c>
      <c r="F7206" t="s">
        <v>21924</v>
      </c>
      <c r="G7206" t="s">
        <v>16097</v>
      </c>
      <c r="H7206" t="s">
        <v>21925</v>
      </c>
      <c r="I7206" t="s">
        <v>16082</v>
      </c>
    </row>
    <row r="7207" spans="1:9">
      <c r="A7207" t="s">
        <v>16075</v>
      </c>
      <c r="B7207" t="s">
        <v>16076</v>
      </c>
      <c r="C7207" t="s">
        <v>21926</v>
      </c>
      <c r="D7207" t="s">
        <v>16078</v>
      </c>
      <c r="E7207" t="s">
        <v>21927</v>
      </c>
      <c r="F7207" t="s">
        <v>21928</v>
      </c>
      <c r="G7207" t="s">
        <v>16266</v>
      </c>
      <c r="H7207" t="s">
        <v>21929</v>
      </c>
      <c r="I7207" t="s">
        <v>16082</v>
      </c>
    </row>
    <row r="7208" spans="1:9">
      <c r="A7208" t="s">
        <v>16075</v>
      </c>
      <c r="B7208" t="s">
        <v>16076</v>
      </c>
      <c r="C7208" t="s">
        <v>21930</v>
      </c>
      <c r="D7208" t="s">
        <v>16078</v>
      </c>
      <c r="E7208" t="s">
        <v>21931</v>
      </c>
      <c r="F7208" t="s">
        <v>21932</v>
      </c>
      <c r="G7208" t="s">
        <v>16091</v>
      </c>
      <c r="H7208" t="s">
        <v>21933</v>
      </c>
      <c r="I7208" t="s">
        <v>16082</v>
      </c>
    </row>
    <row r="7209" spans="1:9">
      <c r="A7209" t="s">
        <v>16075</v>
      </c>
      <c r="B7209" t="s">
        <v>16076</v>
      </c>
      <c r="C7209" t="s">
        <v>21934</v>
      </c>
      <c r="D7209" t="s">
        <v>16078</v>
      </c>
      <c r="E7209" t="s">
        <v>21935</v>
      </c>
      <c r="F7209" t="s">
        <v>21936</v>
      </c>
      <c r="G7209" t="s">
        <v>16295</v>
      </c>
      <c r="H7209" t="s">
        <v>21937</v>
      </c>
      <c r="I7209" t="s">
        <v>16082</v>
      </c>
    </row>
    <row r="7210" spans="1:9">
      <c r="A7210" t="s">
        <v>16075</v>
      </c>
      <c r="B7210" t="s">
        <v>16076</v>
      </c>
      <c r="C7210" t="s">
        <v>21938</v>
      </c>
      <c r="D7210" t="s">
        <v>16078</v>
      </c>
      <c r="E7210" t="s">
        <v>21939</v>
      </c>
      <c r="F7210" t="s">
        <v>21940</v>
      </c>
      <c r="G7210" t="s">
        <v>16168</v>
      </c>
      <c r="H7210" t="s">
        <v>21941</v>
      </c>
      <c r="I7210" t="s">
        <v>16082</v>
      </c>
    </row>
    <row r="7211" spans="1:9">
      <c r="A7211" t="s">
        <v>16075</v>
      </c>
      <c r="B7211" t="s">
        <v>16076</v>
      </c>
      <c r="C7211" t="s">
        <v>21942</v>
      </c>
      <c r="D7211" t="s">
        <v>16078</v>
      </c>
      <c r="E7211" t="s">
        <v>21943</v>
      </c>
      <c r="F7211" t="s">
        <v>21944</v>
      </c>
      <c r="G7211" t="s">
        <v>16091</v>
      </c>
      <c r="H7211" t="s">
        <v>21945</v>
      </c>
      <c r="I7211" t="s">
        <v>16082</v>
      </c>
    </row>
    <row r="7212" spans="1:9">
      <c r="A7212" t="s">
        <v>16075</v>
      </c>
      <c r="B7212" t="s">
        <v>16076</v>
      </c>
      <c r="C7212" t="s">
        <v>21946</v>
      </c>
      <c r="D7212" t="s">
        <v>16078</v>
      </c>
      <c r="E7212" t="s">
        <v>21947</v>
      </c>
      <c r="F7212" t="s">
        <v>21948</v>
      </c>
      <c r="G7212" t="s">
        <v>16091</v>
      </c>
      <c r="H7212" t="s">
        <v>21949</v>
      </c>
      <c r="I7212" t="s">
        <v>16082</v>
      </c>
    </row>
    <row r="7213" spans="1:9">
      <c r="A7213" t="s">
        <v>16075</v>
      </c>
      <c r="B7213" t="s">
        <v>16076</v>
      </c>
      <c r="C7213" t="s">
        <v>21950</v>
      </c>
      <c r="D7213" t="s">
        <v>16078</v>
      </c>
      <c r="E7213" t="s">
        <v>21951</v>
      </c>
      <c r="F7213" t="s">
        <v>21952</v>
      </c>
      <c r="G7213" t="s">
        <v>16091</v>
      </c>
      <c r="H7213" t="s">
        <v>21953</v>
      </c>
      <c r="I7213" t="s">
        <v>16082</v>
      </c>
    </row>
    <row r="7214" spans="1:9">
      <c r="A7214" t="s">
        <v>16075</v>
      </c>
      <c r="B7214" t="s">
        <v>16076</v>
      </c>
      <c r="C7214" t="s">
        <v>21954</v>
      </c>
      <c r="D7214" t="s">
        <v>16078</v>
      </c>
      <c r="E7214" t="s">
        <v>21955</v>
      </c>
      <c r="F7214" t="s">
        <v>21956</v>
      </c>
      <c r="G7214" t="s">
        <v>16194</v>
      </c>
      <c r="H7214" t="s">
        <v>21957</v>
      </c>
      <c r="I7214" t="s">
        <v>16082</v>
      </c>
    </row>
    <row r="7215" spans="1:9">
      <c r="A7215" t="s">
        <v>16075</v>
      </c>
      <c r="B7215" t="s">
        <v>16076</v>
      </c>
      <c r="C7215" t="s">
        <v>21958</v>
      </c>
      <c r="D7215" t="s">
        <v>16078</v>
      </c>
      <c r="E7215" t="s">
        <v>21959</v>
      </c>
      <c r="F7215" t="s">
        <v>21960</v>
      </c>
      <c r="G7215" t="s">
        <v>16080</v>
      </c>
      <c r="H7215" t="s">
        <v>21961</v>
      </c>
      <c r="I7215" t="s">
        <v>16082</v>
      </c>
    </row>
    <row r="7216" spans="1:9">
      <c r="A7216" t="s">
        <v>16075</v>
      </c>
      <c r="B7216" t="s">
        <v>16076</v>
      </c>
      <c r="C7216" t="s">
        <v>21962</v>
      </c>
      <c r="D7216" t="s">
        <v>16078</v>
      </c>
      <c r="E7216" t="s">
        <v>21963</v>
      </c>
      <c r="F7216" t="s">
        <v>21964</v>
      </c>
      <c r="G7216" t="s">
        <v>16080</v>
      </c>
      <c r="H7216" t="s">
        <v>21965</v>
      </c>
      <c r="I7216" t="s">
        <v>16082</v>
      </c>
    </row>
    <row r="7217" spans="1:9">
      <c r="A7217" t="s">
        <v>16075</v>
      </c>
      <c r="B7217" t="s">
        <v>16076</v>
      </c>
      <c r="C7217" t="s">
        <v>21966</v>
      </c>
      <c r="D7217" t="s">
        <v>16078</v>
      </c>
      <c r="E7217" t="s">
        <v>21967</v>
      </c>
      <c r="F7217" t="s">
        <v>21968</v>
      </c>
      <c r="G7217" t="s">
        <v>16183</v>
      </c>
      <c r="H7217" t="s">
        <v>21969</v>
      </c>
      <c r="I7217" t="s">
        <v>16082</v>
      </c>
    </row>
    <row r="7218" spans="1:9">
      <c r="A7218" t="s">
        <v>16075</v>
      </c>
      <c r="B7218" t="s">
        <v>16076</v>
      </c>
      <c r="C7218" t="s">
        <v>21970</v>
      </c>
      <c r="D7218" t="s">
        <v>16078</v>
      </c>
      <c r="E7218" t="s">
        <v>21971</v>
      </c>
      <c r="F7218" t="s">
        <v>21972</v>
      </c>
      <c r="G7218" t="s">
        <v>16209</v>
      </c>
      <c r="H7218" t="s">
        <v>21973</v>
      </c>
      <c r="I7218" t="s">
        <v>16082</v>
      </c>
    </row>
    <row r="7219" spans="1:9">
      <c r="A7219" t="s">
        <v>16075</v>
      </c>
      <c r="B7219" t="s">
        <v>16076</v>
      </c>
      <c r="C7219" t="s">
        <v>21974</v>
      </c>
      <c r="D7219" t="s">
        <v>16078</v>
      </c>
      <c r="E7219" t="s">
        <v>21975</v>
      </c>
      <c r="F7219" t="s">
        <v>21976</v>
      </c>
      <c r="G7219" t="s">
        <v>16266</v>
      </c>
      <c r="H7219" t="s">
        <v>21977</v>
      </c>
      <c r="I7219" t="s">
        <v>16082</v>
      </c>
    </row>
    <row r="7220" spans="1:9">
      <c r="A7220" t="s">
        <v>16075</v>
      </c>
      <c r="B7220" t="s">
        <v>16076</v>
      </c>
      <c r="C7220" t="s">
        <v>21978</v>
      </c>
      <c r="D7220" t="s">
        <v>16078</v>
      </c>
      <c r="E7220" t="s">
        <v>21979</v>
      </c>
      <c r="F7220" t="s">
        <v>21980</v>
      </c>
      <c r="G7220" t="s">
        <v>16266</v>
      </c>
      <c r="H7220" t="s">
        <v>21981</v>
      </c>
      <c r="I7220" t="s">
        <v>16082</v>
      </c>
    </row>
    <row r="7221" spans="1:9">
      <c r="A7221" t="s">
        <v>16075</v>
      </c>
      <c r="B7221" t="s">
        <v>16076</v>
      </c>
      <c r="C7221" t="s">
        <v>21982</v>
      </c>
      <c r="D7221" t="s">
        <v>16078</v>
      </c>
      <c r="E7221" t="s">
        <v>21983</v>
      </c>
      <c r="F7221" t="s">
        <v>21984</v>
      </c>
      <c r="G7221" t="s">
        <v>16080</v>
      </c>
      <c r="H7221" t="s">
        <v>21985</v>
      </c>
      <c r="I7221" t="s">
        <v>16082</v>
      </c>
    </row>
    <row r="7222" spans="1:9">
      <c r="A7222" t="s">
        <v>16075</v>
      </c>
      <c r="B7222" t="s">
        <v>16076</v>
      </c>
      <c r="C7222" t="s">
        <v>21986</v>
      </c>
      <c r="D7222" t="s">
        <v>16078</v>
      </c>
      <c r="E7222" t="s">
        <v>21987</v>
      </c>
      <c r="F7222" t="s">
        <v>21988</v>
      </c>
      <c r="G7222" t="s">
        <v>16295</v>
      </c>
      <c r="H7222" t="s">
        <v>21989</v>
      </c>
      <c r="I7222" t="s">
        <v>16082</v>
      </c>
    </row>
    <row r="7223" spans="1:9">
      <c r="A7223" t="s">
        <v>16075</v>
      </c>
      <c r="B7223" t="s">
        <v>16076</v>
      </c>
      <c r="C7223" t="s">
        <v>21990</v>
      </c>
      <c r="D7223" t="s">
        <v>16078</v>
      </c>
      <c r="E7223" t="s">
        <v>21991</v>
      </c>
      <c r="F7223" t="s">
        <v>21992</v>
      </c>
      <c r="G7223" t="s">
        <v>16097</v>
      </c>
      <c r="H7223" t="s">
        <v>21993</v>
      </c>
      <c r="I7223" t="s">
        <v>16082</v>
      </c>
    </row>
    <row r="7224" spans="1:9">
      <c r="A7224" t="s">
        <v>16075</v>
      </c>
      <c r="B7224" t="s">
        <v>16076</v>
      </c>
      <c r="C7224" t="s">
        <v>21994</v>
      </c>
      <c r="D7224" t="s">
        <v>16078</v>
      </c>
      <c r="E7224" t="s">
        <v>21995</v>
      </c>
      <c r="F7224" t="s">
        <v>21996</v>
      </c>
      <c r="G7224" t="s">
        <v>16105</v>
      </c>
      <c r="H7224" t="s">
        <v>21997</v>
      </c>
      <c r="I7224" t="s">
        <v>16082</v>
      </c>
    </row>
    <row r="7225" spans="1:9">
      <c r="A7225" t="s">
        <v>16075</v>
      </c>
      <c r="B7225" t="s">
        <v>16076</v>
      </c>
      <c r="C7225" t="s">
        <v>21998</v>
      </c>
      <c r="D7225" t="s">
        <v>16078</v>
      </c>
      <c r="E7225" t="s">
        <v>21999</v>
      </c>
      <c r="F7225" t="s">
        <v>21052</v>
      </c>
      <c r="G7225" t="s">
        <v>16091</v>
      </c>
      <c r="H7225" t="s">
        <v>21053</v>
      </c>
      <c r="I7225" t="s">
        <v>16082</v>
      </c>
    </row>
    <row r="7226" spans="1:9">
      <c r="A7226" t="s">
        <v>16075</v>
      </c>
      <c r="B7226" t="s">
        <v>16076</v>
      </c>
      <c r="C7226" t="s">
        <v>22000</v>
      </c>
      <c r="D7226" t="s">
        <v>16078</v>
      </c>
      <c r="E7226" t="s">
        <v>3193</v>
      </c>
      <c r="F7226" t="s">
        <v>22001</v>
      </c>
      <c r="G7226" t="s">
        <v>16091</v>
      </c>
      <c r="H7226" t="s">
        <v>22002</v>
      </c>
      <c r="I7226" t="s">
        <v>16082</v>
      </c>
    </row>
    <row r="7227" spans="1:9">
      <c r="A7227" t="s">
        <v>16075</v>
      </c>
      <c r="B7227" t="s">
        <v>16076</v>
      </c>
      <c r="C7227" t="s">
        <v>22003</v>
      </c>
      <c r="D7227" t="s">
        <v>16078</v>
      </c>
      <c r="E7227" t="s">
        <v>22004</v>
      </c>
      <c r="F7227" t="s">
        <v>22005</v>
      </c>
      <c r="G7227" t="s">
        <v>16209</v>
      </c>
      <c r="H7227" t="s">
        <v>22006</v>
      </c>
      <c r="I7227" t="s">
        <v>16082</v>
      </c>
    </row>
    <row r="7228" spans="1:9">
      <c r="A7228" t="s">
        <v>16075</v>
      </c>
      <c r="B7228" t="s">
        <v>16076</v>
      </c>
      <c r="C7228" t="s">
        <v>22007</v>
      </c>
      <c r="D7228" t="s">
        <v>16078</v>
      </c>
      <c r="E7228" t="s">
        <v>22008</v>
      </c>
      <c r="F7228" t="s">
        <v>22009</v>
      </c>
      <c r="G7228" t="s">
        <v>16295</v>
      </c>
      <c r="H7228" t="s">
        <v>22010</v>
      </c>
      <c r="I7228" t="s">
        <v>16082</v>
      </c>
    </row>
    <row r="7229" spans="1:9">
      <c r="A7229" t="s">
        <v>16075</v>
      </c>
      <c r="B7229" t="s">
        <v>16076</v>
      </c>
      <c r="C7229" t="s">
        <v>22011</v>
      </c>
      <c r="D7229" t="s">
        <v>16078</v>
      </c>
      <c r="E7229" t="s">
        <v>22012</v>
      </c>
      <c r="F7229" t="s">
        <v>22013</v>
      </c>
      <c r="G7229" t="s">
        <v>16105</v>
      </c>
      <c r="H7229" t="s">
        <v>22014</v>
      </c>
      <c r="I7229" t="s">
        <v>16082</v>
      </c>
    </row>
    <row r="7230" spans="1:9">
      <c r="A7230" t="s">
        <v>16075</v>
      </c>
      <c r="B7230" t="s">
        <v>16076</v>
      </c>
      <c r="C7230" t="s">
        <v>22015</v>
      </c>
      <c r="D7230" t="s">
        <v>16078</v>
      </c>
      <c r="E7230" t="s">
        <v>22016</v>
      </c>
      <c r="F7230" t="s">
        <v>22017</v>
      </c>
      <c r="G7230" t="s">
        <v>16109</v>
      </c>
      <c r="H7230" t="s">
        <v>22018</v>
      </c>
      <c r="I7230" t="s">
        <v>16082</v>
      </c>
    </row>
    <row r="7231" spans="1:9">
      <c r="A7231" t="s">
        <v>16075</v>
      </c>
      <c r="B7231" t="s">
        <v>16076</v>
      </c>
      <c r="C7231" t="s">
        <v>22019</v>
      </c>
      <c r="D7231" t="s">
        <v>16078</v>
      </c>
      <c r="E7231" t="s">
        <v>22020</v>
      </c>
      <c r="F7231" t="s">
        <v>22021</v>
      </c>
      <c r="G7231" t="s">
        <v>16173</v>
      </c>
      <c r="H7231" t="s">
        <v>22022</v>
      </c>
      <c r="I7231" t="s">
        <v>16082</v>
      </c>
    </row>
    <row r="7232" spans="1:9">
      <c r="A7232" t="s">
        <v>16075</v>
      </c>
      <c r="B7232" t="s">
        <v>16076</v>
      </c>
      <c r="C7232" t="s">
        <v>22023</v>
      </c>
      <c r="D7232" t="s">
        <v>16078</v>
      </c>
      <c r="E7232" t="s">
        <v>22024</v>
      </c>
      <c r="F7232" t="s">
        <v>22025</v>
      </c>
      <c r="G7232" t="s">
        <v>16194</v>
      </c>
      <c r="H7232" t="s">
        <v>22026</v>
      </c>
      <c r="I7232" t="s">
        <v>16082</v>
      </c>
    </row>
    <row r="7233" spans="1:9">
      <c r="A7233" t="s">
        <v>16075</v>
      </c>
      <c r="B7233" t="s">
        <v>16076</v>
      </c>
      <c r="C7233" t="s">
        <v>22027</v>
      </c>
      <c r="D7233" t="s">
        <v>16078</v>
      </c>
      <c r="E7233" t="s">
        <v>22028</v>
      </c>
      <c r="F7233" t="s">
        <v>22029</v>
      </c>
      <c r="G7233" t="s">
        <v>16097</v>
      </c>
      <c r="H7233" t="s">
        <v>22030</v>
      </c>
      <c r="I7233" t="s">
        <v>16082</v>
      </c>
    </row>
    <row r="7234" spans="1:9">
      <c r="A7234" t="s">
        <v>16075</v>
      </c>
      <c r="B7234" t="s">
        <v>16076</v>
      </c>
      <c r="C7234" t="s">
        <v>22031</v>
      </c>
      <c r="D7234" t="s">
        <v>16078</v>
      </c>
      <c r="E7234" t="s">
        <v>22032</v>
      </c>
      <c r="F7234" t="s">
        <v>22033</v>
      </c>
      <c r="G7234" t="s">
        <v>16159</v>
      </c>
      <c r="H7234" t="s">
        <v>22034</v>
      </c>
      <c r="I7234" t="s">
        <v>16082</v>
      </c>
    </row>
    <row r="7235" spans="1:9">
      <c r="A7235" t="s">
        <v>16075</v>
      </c>
      <c r="B7235" t="s">
        <v>16076</v>
      </c>
      <c r="C7235" t="s">
        <v>22035</v>
      </c>
      <c r="D7235" t="s">
        <v>16078</v>
      </c>
      <c r="E7235" t="s">
        <v>22036</v>
      </c>
      <c r="F7235" t="s">
        <v>22037</v>
      </c>
      <c r="G7235" t="s">
        <v>17229</v>
      </c>
      <c r="H7235" t="s">
        <v>22038</v>
      </c>
      <c r="I7235" t="s">
        <v>16082</v>
      </c>
    </row>
    <row r="7236" spans="1:9">
      <c r="A7236" t="s">
        <v>16075</v>
      </c>
      <c r="B7236" t="s">
        <v>16076</v>
      </c>
      <c r="C7236" t="s">
        <v>22039</v>
      </c>
      <c r="D7236" t="s">
        <v>16078</v>
      </c>
      <c r="E7236" t="s">
        <v>5385</v>
      </c>
      <c r="F7236" t="s">
        <v>22040</v>
      </c>
      <c r="G7236" t="s">
        <v>16116</v>
      </c>
      <c r="H7236" t="s">
        <v>22041</v>
      </c>
    </row>
    <row r="7237" spans="1:9">
      <c r="A7237" t="s">
        <v>16075</v>
      </c>
      <c r="B7237" t="s">
        <v>16076</v>
      </c>
      <c r="C7237" t="s">
        <v>22042</v>
      </c>
      <c r="D7237" t="s">
        <v>16078</v>
      </c>
      <c r="E7237" t="s">
        <v>5391</v>
      </c>
      <c r="F7237" t="s">
        <v>22043</v>
      </c>
      <c r="G7237" t="s">
        <v>16109</v>
      </c>
      <c r="H7237" t="s">
        <v>22044</v>
      </c>
      <c r="I7237" t="s">
        <v>16082</v>
      </c>
    </row>
    <row r="7238" spans="1:9">
      <c r="A7238" t="s">
        <v>16075</v>
      </c>
      <c r="B7238" t="s">
        <v>16076</v>
      </c>
      <c r="C7238" t="s">
        <v>22045</v>
      </c>
      <c r="D7238" t="s">
        <v>16078</v>
      </c>
      <c r="E7238" t="s">
        <v>3199</v>
      </c>
      <c r="F7238" t="s">
        <v>22046</v>
      </c>
      <c r="G7238" t="s">
        <v>16194</v>
      </c>
      <c r="H7238" t="s">
        <v>22047</v>
      </c>
      <c r="I7238" t="s">
        <v>16082</v>
      </c>
    </row>
    <row r="7239" spans="1:9">
      <c r="A7239" t="s">
        <v>16075</v>
      </c>
      <c r="B7239" t="s">
        <v>16076</v>
      </c>
      <c r="C7239" t="s">
        <v>22048</v>
      </c>
      <c r="D7239" t="s">
        <v>16078</v>
      </c>
      <c r="E7239" t="s">
        <v>6535</v>
      </c>
      <c r="F7239" t="s">
        <v>22049</v>
      </c>
      <c r="G7239" t="s">
        <v>16105</v>
      </c>
      <c r="H7239" t="s">
        <v>22050</v>
      </c>
      <c r="I7239" t="s">
        <v>16082</v>
      </c>
    </row>
    <row r="7240" spans="1:9">
      <c r="A7240" t="s">
        <v>16075</v>
      </c>
      <c r="B7240" t="s">
        <v>16076</v>
      </c>
      <c r="C7240" t="s">
        <v>22051</v>
      </c>
      <c r="D7240" t="s">
        <v>16078</v>
      </c>
      <c r="E7240" t="s">
        <v>22052</v>
      </c>
      <c r="F7240" t="s">
        <v>22053</v>
      </c>
      <c r="G7240" t="s">
        <v>16168</v>
      </c>
      <c r="H7240" t="s">
        <v>22054</v>
      </c>
      <c r="I7240" t="s">
        <v>16082</v>
      </c>
    </row>
    <row r="7241" spans="1:9">
      <c r="A7241" t="s">
        <v>16075</v>
      </c>
      <c r="B7241" t="s">
        <v>16076</v>
      </c>
      <c r="C7241" t="s">
        <v>22055</v>
      </c>
      <c r="D7241" t="s">
        <v>16078</v>
      </c>
      <c r="E7241" t="s">
        <v>5397</v>
      </c>
      <c r="F7241" t="s">
        <v>22056</v>
      </c>
      <c r="G7241" t="s">
        <v>16159</v>
      </c>
      <c r="H7241" t="s">
        <v>22057</v>
      </c>
      <c r="I7241" t="s">
        <v>16093</v>
      </c>
    </row>
    <row r="7242" spans="1:9">
      <c r="A7242" t="s">
        <v>16075</v>
      </c>
      <c r="B7242" t="s">
        <v>16076</v>
      </c>
      <c r="C7242" t="s">
        <v>22058</v>
      </c>
      <c r="D7242" t="s">
        <v>16078</v>
      </c>
      <c r="E7242" t="s">
        <v>22059</v>
      </c>
      <c r="F7242" t="s">
        <v>22060</v>
      </c>
      <c r="G7242" t="s">
        <v>17282</v>
      </c>
      <c r="H7242" t="s">
        <v>22061</v>
      </c>
      <c r="I7242" t="s">
        <v>16082</v>
      </c>
    </row>
    <row r="7243" spans="1:9">
      <c r="A7243" t="s">
        <v>16075</v>
      </c>
      <c r="B7243" t="s">
        <v>16076</v>
      </c>
      <c r="C7243" t="s">
        <v>22062</v>
      </c>
      <c r="D7243" t="s">
        <v>16078</v>
      </c>
      <c r="E7243" t="s">
        <v>5430</v>
      </c>
      <c r="F7243" t="s">
        <v>22063</v>
      </c>
      <c r="G7243" t="s">
        <v>16091</v>
      </c>
      <c r="H7243" t="s">
        <v>22064</v>
      </c>
      <c r="I7243" t="s">
        <v>16082</v>
      </c>
    </row>
    <row r="7244" spans="1:9">
      <c r="A7244" t="s">
        <v>16075</v>
      </c>
      <c r="B7244" t="s">
        <v>16076</v>
      </c>
      <c r="C7244" t="s">
        <v>22065</v>
      </c>
      <c r="D7244" t="s">
        <v>16078</v>
      </c>
      <c r="E7244" t="s">
        <v>22066</v>
      </c>
      <c r="F7244" t="s">
        <v>22067</v>
      </c>
      <c r="G7244" t="s">
        <v>16303</v>
      </c>
      <c r="H7244" t="s">
        <v>22068</v>
      </c>
      <c r="I7244" t="s">
        <v>16082</v>
      </c>
    </row>
    <row r="7245" spans="1:9">
      <c r="A7245" t="s">
        <v>16075</v>
      </c>
      <c r="B7245" t="s">
        <v>16076</v>
      </c>
      <c r="C7245" t="s">
        <v>22069</v>
      </c>
      <c r="D7245" t="s">
        <v>16078</v>
      </c>
      <c r="E7245" t="s">
        <v>5493</v>
      </c>
      <c r="F7245" t="s">
        <v>22070</v>
      </c>
      <c r="G7245" t="s">
        <v>16178</v>
      </c>
      <c r="H7245" t="s">
        <v>22071</v>
      </c>
      <c r="I7245" t="s">
        <v>16082</v>
      </c>
    </row>
    <row r="7246" spans="1:9">
      <c r="A7246" t="s">
        <v>16075</v>
      </c>
      <c r="B7246" t="s">
        <v>16076</v>
      </c>
      <c r="C7246" t="s">
        <v>22072</v>
      </c>
      <c r="D7246" t="s">
        <v>16078</v>
      </c>
      <c r="E7246" t="s">
        <v>22073</v>
      </c>
      <c r="F7246" t="s">
        <v>22074</v>
      </c>
      <c r="G7246" t="s">
        <v>16194</v>
      </c>
      <c r="H7246" t="s">
        <v>22075</v>
      </c>
      <c r="I7246" t="s">
        <v>16082</v>
      </c>
    </row>
    <row r="7247" spans="1:9">
      <c r="A7247" t="s">
        <v>16075</v>
      </c>
      <c r="B7247" t="s">
        <v>16076</v>
      </c>
      <c r="C7247" t="s">
        <v>22076</v>
      </c>
      <c r="D7247" t="s">
        <v>16078</v>
      </c>
      <c r="E7247" t="s">
        <v>5573</v>
      </c>
      <c r="F7247" t="s">
        <v>22077</v>
      </c>
      <c r="G7247" t="s">
        <v>16209</v>
      </c>
      <c r="H7247" t="s">
        <v>22078</v>
      </c>
      <c r="I7247" t="s">
        <v>16082</v>
      </c>
    </row>
    <row r="7248" spans="1:9">
      <c r="A7248" t="s">
        <v>16075</v>
      </c>
      <c r="B7248" t="s">
        <v>16076</v>
      </c>
      <c r="C7248" t="s">
        <v>22079</v>
      </c>
      <c r="D7248" t="s">
        <v>16078</v>
      </c>
      <c r="E7248" t="s">
        <v>5576</v>
      </c>
      <c r="F7248" t="s">
        <v>22080</v>
      </c>
      <c r="G7248" t="s">
        <v>16105</v>
      </c>
      <c r="H7248" t="s">
        <v>22081</v>
      </c>
      <c r="I7248" t="s">
        <v>16082</v>
      </c>
    </row>
    <row r="7249" spans="1:14">
      <c r="A7249" t="s">
        <v>16075</v>
      </c>
      <c r="B7249" t="s">
        <v>16076</v>
      </c>
      <c r="C7249" t="s">
        <v>22082</v>
      </c>
      <c r="D7249" t="s">
        <v>16078</v>
      </c>
      <c r="E7249" t="s">
        <v>22083</v>
      </c>
      <c r="F7249" t="s">
        <v>22084</v>
      </c>
      <c r="G7249" t="s">
        <v>17229</v>
      </c>
      <c r="H7249" t="s">
        <v>22085</v>
      </c>
      <c r="I7249" t="s">
        <v>16082</v>
      </c>
    </row>
    <row r="7250" spans="1:14">
      <c r="A7250" t="s">
        <v>16075</v>
      </c>
      <c r="B7250" t="s">
        <v>16076</v>
      </c>
      <c r="C7250" t="s">
        <v>22086</v>
      </c>
      <c r="D7250" t="s">
        <v>16078</v>
      </c>
      <c r="E7250" t="s">
        <v>22087</v>
      </c>
      <c r="F7250" t="s">
        <v>22088</v>
      </c>
      <c r="G7250" t="s">
        <v>16380</v>
      </c>
      <c r="H7250" t="s">
        <v>22089</v>
      </c>
      <c r="I7250" t="s">
        <v>16082</v>
      </c>
      <c r="J7250" t="s">
        <v>22087</v>
      </c>
      <c r="K7250" t="s">
        <v>16075</v>
      </c>
      <c r="L7250" t="s">
        <v>16219</v>
      </c>
      <c r="M7250" t="s">
        <v>16082</v>
      </c>
      <c r="N7250" t="s">
        <v>22090</v>
      </c>
    </row>
    <row r="7251" spans="1:14">
      <c r="A7251" t="s">
        <v>16075</v>
      </c>
      <c r="B7251" t="s">
        <v>16076</v>
      </c>
      <c r="C7251" t="s">
        <v>22091</v>
      </c>
      <c r="D7251" t="s">
        <v>16078</v>
      </c>
      <c r="E7251" t="s">
        <v>5600</v>
      </c>
      <c r="F7251" t="s">
        <v>22092</v>
      </c>
      <c r="G7251" t="s">
        <v>16091</v>
      </c>
      <c r="H7251" t="s">
        <v>22093</v>
      </c>
      <c r="I7251" t="s">
        <v>16082</v>
      </c>
    </row>
    <row r="7252" spans="1:14">
      <c r="A7252" t="s">
        <v>16075</v>
      </c>
      <c r="B7252" t="s">
        <v>16076</v>
      </c>
      <c r="C7252" t="s">
        <v>22094</v>
      </c>
      <c r="D7252" t="s">
        <v>16078</v>
      </c>
      <c r="E7252" t="s">
        <v>22095</v>
      </c>
      <c r="F7252" t="s">
        <v>22096</v>
      </c>
      <c r="G7252" t="s">
        <v>16086</v>
      </c>
      <c r="H7252" t="s">
        <v>22097</v>
      </c>
      <c r="I7252" t="s">
        <v>16082</v>
      </c>
    </row>
    <row r="7253" spans="1:14">
      <c r="A7253" t="s">
        <v>16075</v>
      </c>
      <c r="B7253" t="s">
        <v>16076</v>
      </c>
      <c r="C7253" t="s">
        <v>22098</v>
      </c>
      <c r="D7253" t="s">
        <v>16078</v>
      </c>
      <c r="E7253" t="s">
        <v>5615</v>
      </c>
      <c r="F7253" t="s">
        <v>22099</v>
      </c>
      <c r="G7253" t="s">
        <v>16209</v>
      </c>
      <c r="H7253" t="s">
        <v>22100</v>
      </c>
      <c r="I7253" t="s">
        <v>16082</v>
      </c>
    </row>
    <row r="7254" spans="1:14">
      <c r="A7254" t="s">
        <v>16075</v>
      </c>
      <c r="B7254" t="s">
        <v>16076</v>
      </c>
      <c r="C7254" t="s">
        <v>22101</v>
      </c>
      <c r="D7254" t="s">
        <v>16078</v>
      </c>
      <c r="E7254" t="s">
        <v>7548</v>
      </c>
      <c r="F7254" t="s">
        <v>22102</v>
      </c>
      <c r="G7254" t="s">
        <v>16091</v>
      </c>
      <c r="H7254" t="s">
        <v>22103</v>
      </c>
      <c r="I7254" t="s">
        <v>16082</v>
      </c>
    </row>
    <row r="7255" spans="1:14">
      <c r="A7255" t="s">
        <v>16075</v>
      </c>
      <c r="B7255" t="s">
        <v>16076</v>
      </c>
      <c r="C7255" t="s">
        <v>22104</v>
      </c>
      <c r="D7255" t="s">
        <v>16078</v>
      </c>
      <c r="E7255" t="s">
        <v>5666</v>
      </c>
      <c r="F7255" t="s">
        <v>22105</v>
      </c>
      <c r="G7255" t="s">
        <v>16451</v>
      </c>
      <c r="H7255" t="s">
        <v>22106</v>
      </c>
      <c r="I7255" t="s">
        <v>16082</v>
      </c>
    </row>
    <row r="7256" spans="1:14">
      <c r="A7256" t="s">
        <v>16075</v>
      </c>
      <c r="B7256" t="s">
        <v>16076</v>
      </c>
      <c r="C7256" t="s">
        <v>22107</v>
      </c>
      <c r="D7256" t="s">
        <v>16078</v>
      </c>
      <c r="E7256" t="s">
        <v>22108</v>
      </c>
      <c r="F7256" t="s">
        <v>22109</v>
      </c>
      <c r="G7256" t="s">
        <v>16534</v>
      </c>
      <c r="H7256" t="s">
        <v>22110</v>
      </c>
      <c r="I7256" t="s">
        <v>16093</v>
      </c>
    </row>
    <row r="7257" spans="1:14">
      <c r="A7257" t="s">
        <v>16075</v>
      </c>
      <c r="B7257" t="s">
        <v>16076</v>
      </c>
      <c r="C7257" t="s">
        <v>22111</v>
      </c>
      <c r="D7257" t="s">
        <v>16078</v>
      </c>
      <c r="E7257" t="s">
        <v>22112</v>
      </c>
      <c r="F7257" t="s">
        <v>22113</v>
      </c>
      <c r="G7257" t="s">
        <v>16097</v>
      </c>
      <c r="H7257" t="s">
        <v>22114</v>
      </c>
      <c r="I7257" t="s">
        <v>16082</v>
      </c>
    </row>
    <row r="7258" spans="1:14">
      <c r="A7258" t="s">
        <v>16075</v>
      </c>
      <c r="B7258" t="s">
        <v>16076</v>
      </c>
      <c r="C7258" t="s">
        <v>22115</v>
      </c>
      <c r="D7258" t="s">
        <v>16078</v>
      </c>
      <c r="E7258" t="s">
        <v>22116</v>
      </c>
      <c r="F7258" t="s">
        <v>22117</v>
      </c>
      <c r="G7258" t="s">
        <v>16097</v>
      </c>
      <c r="H7258" t="s">
        <v>22118</v>
      </c>
      <c r="I7258" t="s">
        <v>16082</v>
      </c>
    </row>
    <row r="7259" spans="1:14">
      <c r="A7259" t="s">
        <v>16075</v>
      </c>
      <c r="B7259" t="s">
        <v>16076</v>
      </c>
      <c r="C7259" t="s">
        <v>22119</v>
      </c>
      <c r="D7259" t="s">
        <v>16078</v>
      </c>
      <c r="E7259" t="s">
        <v>22120</v>
      </c>
      <c r="F7259" t="s">
        <v>22121</v>
      </c>
      <c r="G7259" t="s">
        <v>16194</v>
      </c>
      <c r="H7259" t="s">
        <v>22122</v>
      </c>
      <c r="I7259" t="s">
        <v>16082</v>
      </c>
    </row>
    <row r="7260" spans="1:14">
      <c r="A7260" t="s">
        <v>16075</v>
      </c>
      <c r="B7260" t="s">
        <v>16076</v>
      </c>
      <c r="C7260" t="s">
        <v>22123</v>
      </c>
      <c r="D7260" t="s">
        <v>16078</v>
      </c>
      <c r="E7260" t="s">
        <v>5717</v>
      </c>
      <c r="F7260" t="s">
        <v>22124</v>
      </c>
      <c r="G7260" t="s">
        <v>16194</v>
      </c>
      <c r="H7260" t="s">
        <v>22125</v>
      </c>
      <c r="I7260" t="s">
        <v>16082</v>
      </c>
    </row>
    <row r="7261" spans="1:14">
      <c r="A7261" t="s">
        <v>16075</v>
      </c>
      <c r="B7261" t="s">
        <v>16076</v>
      </c>
      <c r="C7261" t="s">
        <v>22126</v>
      </c>
      <c r="D7261" t="s">
        <v>16078</v>
      </c>
      <c r="E7261" t="s">
        <v>22127</v>
      </c>
      <c r="F7261" t="s">
        <v>22128</v>
      </c>
      <c r="G7261" t="s">
        <v>16086</v>
      </c>
      <c r="H7261" t="s">
        <v>22129</v>
      </c>
      <c r="I7261" t="s">
        <v>16082</v>
      </c>
    </row>
    <row r="7262" spans="1:14">
      <c r="A7262" t="s">
        <v>16075</v>
      </c>
      <c r="B7262" t="s">
        <v>16076</v>
      </c>
      <c r="C7262" t="s">
        <v>22130</v>
      </c>
      <c r="D7262" t="s">
        <v>16078</v>
      </c>
      <c r="E7262" t="s">
        <v>5720</v>
      </c>
      <c r="F7262" t="s">
        <v>22131</v>
      </c>
      <c r="G7262" t="s">
        <v>16173</v>
      </c>
      <c r="H7262" t="s">
        <v>22038</v>
      </c>
      <c r="I7262" t="s">
        <v>16082</v>
      </c>
    </row>
    <row r="7263" spans="1:14">
      <c r="A7263" t="s">
        <v>16075</v>
      </c>
      <c r="B7263" t="s">
        <v>16076</v>
      </c>
      <c r="C7263" t="s">
        <v>22132</v>
      </c>
      <c r="D7263" t="s">
        <v>16078</v>
      </c>
      <c r="E7263" t="s">
        <v>22133</v>
      </c>
      <c r="F7263" t="s">
        <v>22134</v>
      </c>
      <c r="G7263" t="s">
        <v>16105</v>
      </c>
      <c r="H7263" t="s">
        <v>22135</v>
      </c>
      <c r="I7263" t="s">
        <v>16082</v>
      </c>
    </row>
    <row r="7264" spans="1:14">
      <c r="A7264" t="s">
        <v>16075</v>
      </c>
      <c r="B7264" t="s">
        <v>16076</v>
      </c>
      <c r="C7264" t="s">
        <v>22136</v>
      </c>
      <c r="D7264" t="s">
        <v>16078</v>
      </c>
      <c r="E7264" t="s">
        <v>22137</v>
      </c>
      <c r="F7264" t="s">
        <v>22138</v>
      </c>
      <c r="G7264" t="s">
        <v>16159</v>
      </c>
      <c r="H7264" t="s">
        <v>22139</v>
      </c>
      <c r="I7264" t="s">
        <v>16082</v>
      </c>
    </row>
    <row r="7265" spans="1:9">
      <c r="A7265" t="s">
        <v>16075</v>
      </c>
      <c r="B7265" t="s">
        <v>16076</v>
      </c>
      <c r="C7265" t="s">
        <v>22140</v>
      </c>
      <c r="D7265" t="s">
        <v>16078</v>
      </c>
      <c r="E7265" t="s">
        <v>5740</v>
      </c>
      <c r="F7265" t="s">
        <v>22141</v>
      </c>
      <c r="G7265" t="s">
        <v>16086</v>
      </c>
      <c r="H7265" t="s">
        <v>22142</v>
      </c>
      <c r="I7265" t="s">
        <v>16082</v>
      </c>
    </row>
    <row r="7266" spans="1:9">
      <c r="A7266" t="s">
        <v>16075</v>
      </c>
      <c r="B7266" t="s">
        <v>16076</v>
      </c>
      <c r="C7266" t="s">
        <v>22143</v>
      </c>
      <c r="D7266" t="s">
        <v>16078</v>
      </c>
      <c r="E7266" t="s">
        <v>22144</v>
      </c>
      <c r="F7266" t="s">
        <v>22145</v>
      </c>
      <c r="G7266" t="s">
        <v>16194</v>
      </c>
      <c r="H7266" t="s">
        <v>22146</v>
      </c>
      <c r="I7266" t="s">
        <v>16082</v>
      </c>
    </row>
    <row r="7267" spans="1:9">
      <c r="A7267" t="s">
        <v>16075</v>
      </c>
      <c r="B7267" t="s">
        <v>16076</v>
      </c>
      <c r="C7267" t="s">
        <v>22147</v>
      </c>
      <c r="D7267" t="s">
        <v>16078</v>
      </c>
      <c r="E7267" t="s">
        <v>5754</v>
      </c>
      <c r="F7267" t="s">
        <v>22148</v>
      </c>
      <c r="G7267" t="s">
        <v>16320</v>
      </c>
      <c r="H7267" t="s">
        <v>22149</v>
      </c>
      <c r="I7267" t="s">
        <v>16082</v>
      </c>
    </row>
    <row r="7268" spans="1:9">
      <c r="A7268" t="s">
        <v>16075</v>
      </c>
      <c r="B7268" t="s">
        <v>16076</v>
      </c>
      <c r="C7268" t="s">
        <v>22150</v>
      </c>
      <c r="D7268" t="s">
        <v>16078</v>
      </c>
      <c r="E7268" t="s">
        <v>22151</v>
      </c>
      <c r="F7268" t="s">
        <v>22152</v>
      </c>
      <c r="G7268" t="s">
        <v>16380</v>
      </c>
      <c r="H7268" t="s">
        <v>22153</v>
      </c>
      <c r="I7268" t="s">
        <v>16082</v>
      </c>
    </row>
    <row r="7269" spans="1:9">
      <c r="A7269" t="s">
        <v>16075</v>
      </c>
      <c r="B7269" t="s">
        <v>16076</v>
      </c>
      <c r="C7269" t="s">
        <v>22154</v>
      </c>
      <c r="D7269" t="s">
        <v>16078</v>
      </c>
      <c r="E7269" t="s">
        <v>5760</v>
      </c>
      <c r="F7269" t="s">
        <v>22155</v>
      </c>
      <c r="G7269" t="s">
        <v>16194</v>
      </c>
      <c r="H7269" t="s">
        <v>22156</v>
      </c>
      <c r="I7269" t="s">
        <v>16082</v>
      </c>
    </row>
    <row r="7270" spans="1:9">
      <c r="A7270" t="s">
        <v>16075</v>
      </c>
      <c r="B7270" t="s">
        <v>16076</v>
      </c>
      <c r="C7270" t="s">
        <v>22157</v>
      </c>
      <c r="D7270" t="s">
        <v>16078</v>
      </c>
      <c r="E7270" t="s">
        <v>5766</v>
      </c>
      <c r="F7270" t="s">
        <v>22158</v>
      </c>
      <c r="G7270" t="s">
        <v>16194</v>
      </c>
      <c r="H7270" t="s">
        <v>22159</v>
      </c>
      <c r="I7270" t="s">
        <v>16082</v>
      </c>
    </row>
    <row r="7271" spans="1:9">
      <c r="A7271" t="s">
        <v>16075</v>
      </c>
      <c r="B7271" t="s">
        <v>16076</v>
      </c>
      <c r="C7271" t="s">
        <v>22160</v>
      </c>
      <c r="D7271" t="s">
        <v>16078</v>
      </c>
      <c r="E7271" t="s">
        <v>22161</v>
      </c>
      <c r="F7271" t="s">
        <v>22162</v>
      </c>
      <c r="G7271" t="s">
        <v>16194</v>
      </c>
      <c r="H7271" t="s">
        <v>22163</v>
      </c>
      <c r="I7271" t="s">
        <v>16082</v>
      </c>
    </row>
    <row r="7272" spans="1:9">
      <c r="A7272" t="s">
        <v>16075</v>
      </c>
      <c r="B7272" t="s">
        <v>16076</v>
      </c>
      <c r="C7272" t="s">
        <v>22164</v>
      </c>
      <c r="D7272" t="s">
        <v>16078</v>
      </c>
      <c r="E7272" t="s">
        <v>22165</v>
      </c>
      <c r="F7272" t="s">
        <v>22166</v>
      </c>
      <c r="G7272" t="s">
        <v>18592</v>
      </c>
      <c r="H7272" t="s">
        <v>22167</v>
      </c>
    </row>
    <row r="7273" spans="1:9">
      <c r="A7273" t="s">
        <v>16075</v>
      </c>
      <c r="B7273" t="s">
        <v>16076</v>
      </c>
      <c r="C7273" t="s">
        <v>22168</v>
      </c>
      <c r="D7273" t="s">
        <v>16078</v>
      </c>
      <c r="E7273" t="s">
        <v>7562</v>
      </c>
      <c r="F7273" t="s">
        <v>22169</v>
      </c>
      <c r="G7273" t="s">
        <v>16086</v>
      </c>
      <c r="H7273" t="s">
        <v>22170</v>
      </c>
      <c r="I7273" t="s">
        <v>16082</v>
      </c>
    </row>
    <row r="7274" spans="1:9">
      <c r="A7274" t="s">
        <v>16075</v>
      </c>
      <c r="B7274" t="s">
        <v>16076</v>
      </c>
      <c r="C7274" t="s">
        <v>22171</v>
      </c>
      <c r="D7274" t="s">
        <v>16078</v>
      </c>
      <c r="E7274" t="s">
        <v>7565</v>
      </c>
      <c r="F7274" t="s">
        <v>22172</v>
      </c>
      <c r="G7274" t="s">
        <v>16462</v>
      </c>
      <c r="H7274" t="s">
        <v>22173</v>
      </c>
      <c r="I7274" t="s">
        <v>16082</v>
      </c>
    </row>
    <row r="7275" spans="1:9">
      <c r="A7275" t="s">
        <v>16075</v>
      </c>
      <c r="B7275" t="s">
        <v>16076</v>
      </c>
      <c r="C7275" t="s">
        <v>22174</v>
      </c>
      <c r="D7275" t="s">
        <v>16078</v>
      </c>
      <c r="E7275" t="s">
        <v>5769</v>
      </c>
      <c r="F7275" t="s">
        <v>22175</v>
      </c>
      <c r="G7275" t="s">
        <v>16159</v>
      </c>
      <c r="H7275" t="s">
        <v>22176</v>
      </c>
      <c r="I7275" t="s">
        <v>16082</v>
      </c>
    </row>
    <row r="7276" spans="1:9">
      <c r="A7276" t="s">
        <v>16075</v>
      </c>
      <c r="B7276" t="s">
        <v>16076</v>
      </c>
      <c r="C7276" t="s">
        <v>22177</v>
      </c>
      <c r="D7276" t="s">
        <v>16078</v>
      </c>
      <c r="E7276" t="s">
        <v>5778</v>
      </c>
      <c r="F7276" t="s">
        <v>22178</v>
      </c>
      <c r="G7276" t="s">
        <v>16173</v>
      </c>
      <c r="H7276" t="s">
        <v>22179</v>
      </c>
      <c r="I7276" t="s">
        <v>16082</v>
      </c>
    </row>
    <row r="7277" spans="1:9">
      <c r="A7277" t="s">
        <v>16075</v>
      </c>
      <c r="B7277" t="s">
        <v>16076</v>
      </c>
      <c r="C7277" t="s">
        <v>22180</v>
      </c>
      <c r="D7277" t="s">
        <v>16078</v>
      </c>
      <c r="E7277" t="s">
        <v>22181</v>
      </c>
      <c r="F7277" t="s">
        <v>22182</v>
      </c>
      <c r="G7277" t="s">
        <v>16372</v>
      </c>
      <c r="H7277" t="s">
        <v>22183</v>
      </c>
      <c r="I7277" t="s">
        <v>16093</v>
      </c>
    </row>
    <row r="7278" spans="1:9">
      <c r="A7278" t="s">
        <v>16075</v>
      </c>
      <c r="B7278" t="s">
        <v>16076</v>
      </c>
      <c r="C7278" t="s">
        <v>22184</v>
      </c>
      <c r="D7278" t="s">
        <v>16078</v>
      </c>
      <c r="E7278" t="s">
        <v>22185</v>
      </c>
      <c r="F7278" t="s">
        <v>13878</v>
      </c>
      <c r="G7278" t="s">
        <v>16194</v>
      </c>
      <c r="H7278" t="s">
        <v>22186</v>
      </c>
      <c r="I7278" t="s">
        <v>16082</v>
      </c>
    </row>
    <row r="7279" spans="1:9">
      <c r="A7279" t="s">
        <v>16075</v>
      </c>
      <c r="B7279" t="s">
        <v>16076</v>
      </c>
      <c r="C7279" t="s">
        <v>22187</v>
      </c>
      <c r="D7279" t="s">
        <v>16078</v>
      </c>
      <c r="E7279" t="s">
        <v>22188</v>
      </c>
      <c r="F7279" t="s">
        <v>22189</v>
      </c>
      <c r="G7279" t="s">
        <v>16372</v>
      </c>
      <c r="H7279" t="s">
        <v>22190</v>
      </c>
      <c r="I7279" t="s">
        <v>16093</v>
      </c>
    </row>
    <row r="7280" spans="1:9">
      <c r="A7280" t="s">
        <v>16075</v>
      </c>
      <c r="B7280" t="s">
        <v>16076</v>
      </c>
      <c r="C7280" t="s">
        <v>22191</v>
      </c>
      <c r="D7280" t="s">
        <v>16078</v>
      </c>
      <c r="E7280" t="s">
        <v>22192</v>
      </c>
      <c r="F7280" t="s">
        <v>22193</v>
      </c>
      <c r="G7280" t="s">
        <v>16593</v>
      </c>
      <c r="H7280" t="s">
        <v>22194</v>
      </c>
      <c r="I7280" t="s">
        <v>16082</v>
      </c>
    </row>
    <row r="7281" spans="1:9">
      <c r="A7281" t="s">
        <v>16075</v>
      </c>
      <c r="B7281" t="s">
        <v>16076</v>
      </c>
      <c r="C7281" t="s">
        <v>22195</v>
      </c>
      <c r="D7281" t="s">
        <v>16078</v>
      </c>
      <c r="E7281" t="s">
        <v>14875</v>
      </c>
      <c r="F7281" t="s">
        <v>22196</v>
      </c>
      <c r="G7281" t="s">
        <v>16462</v>
      </c>
      <c r="H7281" t="s">
        <v>22197</v>
      </c>
      <c r="I7281" t="s">
        <v>16082</v>
      </c>
    </row>
    <row r="7282" spans="1:9">
      <c r="A7282" t="s">
        <v>16075</v>
      </c>
      <c r="B7282" t="s">
        <v>16076</v>
      </c>
      <c r="C7282" t="s">
        <v>22198</v>
      </c>
      <c r="D7282" t="s">
        <v>16078</v>
      </c>
      <c r="E7282" t="s">
        <v>5835</v>
      </c>
      <c r="F7282" t="s">
        <v>22199</v>
      </c>
      <c r="G7282" t="s">
        <v>16109</v>
      </c>
      <c r="H7282" t="s">
        <v>22038</v>
      </c>
      <c r="I7282" t="s">
        <v>16082</v>
      </c>
    </row>
    <row r="7283" spans="1:9">
      <c r="A7283" t="s">
        <v>16075</v>
      </c>
      <c r="B7283" t="s">
        <v>16076</v>
      </c>
      <c r="C7283" t="s">
        <v>22200</v>
      </c>
      <c r="D7283" t="s">
        <v>16078</v>
      </c>
      <c r="E7283" t="s">
        <v>22201</v>
      </c>
      <c r="F7283" t="s">
        <v>22202</v>
      </c>
      <c r="G7283" t="s">
        <v>16109</v>
      </c>
      <c r="H7283" t="s">
        <v>22203</v>
      </c>
      <c r="I7283" t="s">
        <v>16082</v>
      </c>
    </row>
    <row r="7284" spans="1:9">
      <c r="A7284" t="s">
        <v>16075</v>
      </c>
      <c r="B7284" t="s">
        <v>16076</v>
      </c>
      <c r="C7284" t="s">
        <v>22204</v>
      </c>
      <c r="D7284" t="s">
        <v>16078</v>
      </c>
      <c r="E7284" t="s">
        <v>22205</v>
      </c>
      <c r="F7284" t="s">
        <v>22206</v>
      </c>
      <c r="G7284" t="s">
        <v>16194</v>
      </c>
      <c r="H7284" t="s">
        <v>22207</v>
      </c>
      <c r="I7284" t="s">
        <v>16082</v>
      </c>
    </row>
    <row r="7285" spans="1:9">
      <c r="A7285" t="s">
        <v>16075</v>
      </c>
      <c r="B7285" t="s">
        <v>16076</v>
      </c>
      <c r="C7285" t="s">
        <v>22208</v>
      </c>
      <c r="D7285" t="s">
        <v>16078</v>
      </c>
      <c r="E7285" t="s">
        <v>5915</v>
      </c>
      <c r="F7285" t="s">
        <v>22209</v>
      </c>
      <c r="G7285" t="s">
        <v>16209</v>
      </c>
      <c r="H7285" t="s">
        <v>22071</v>
      </c>
      <c r="I7285" t="s">
        <v>16082</v>
      </c>
    </row>
    <row r="7286" spans="1:9">
      <c r="A7286" t="s">
        <v>16075</v>
      </c>
      <c r="B7286" t="s">
        <v>16076</v>
      </c>
      <c r="C7286" t="s">
        <v>22210</v>
      </c>
      <c r="D7286" t="s">
        <v>16078</v>
      </c>
      <c r="E7286" t="s">
        <v>22211</v>
      </c>
      <c r="F7286" t="s">
        <v>22212</v>
      </c>
      <c r="G7286" t="s">
        <v>16086</v>
      </c>
      <c r="H7286" t="s">
        <v>22213</v>
      </c>
      <c r="I7286" t="s">
        <v>16082</v>
      </c>
    </row>
    <row r="7287" spans="1:9">
      <c r="A7287" t="s">
        <v>16075</v>
      </c>
      <c r="B7287" t="s">
        <v>16076</v>
      </c>
      <c r="C7287" t="s">
        <v>22214</v>
      </c>
      <c r="D7287" t="s">
        <v>16078</v>
      </c>
      <c r="E7287" t="s">
        <v>5921</v>
      </c>
      <c r="F7287" t="s">
        <v>22215</v>
      </c>
      <c r="G7287" t="s">
        <v>16846</v>
      </c>
      <c r="H7287" t="s">
        <v>22216</v>
      </c>
    </row>
    <row r="7288" spans="1:9">
      <c r="A7288" t="s">
        <v>16075</v>
      </c>
      <c r="B7288" t="s">
        <v>16076</v>
      </c>
      <c r="C7288" t="s">
        <v>22217</v>
      </c>
      <c r="D7288" t="s">
        <v>16078</v>
      </c>
      <c r="E7288" t="s">
        <v>5936</v>
      </c>
      <c r="F7288" t="s">
        <v>22218</v>
      </c>
      <c r="G7288" t="s">
        <v>16080</v>
      </c>
      <c r="H7288" t="s">
        <v>22219</v>
      </c>
      <c r="I7288" t="s">
        <v>16082</v>
      </c>
    </row>
    <row r="7289" spans="1:9">
      <c r="A7289" t="s">
        <v>16075</v>
      </c>
      <c r="B7289" t="s">
        <v>16076</v>
      </c>
      <c r="C7289" t="s">
        <v>22220</v>
      </c>
      <c r="D7289" t="s">
        <v>16078</v>
      </c>
      <c r="E7289" t="s">
        <v>22221</v>
      </c>
      <c r="F7289" t="s">
        <v>22222</v>
      </c>
      <c r="G7289" t="s">
        <v>16080</v>
      </c>
      <c r="H7289" t="s">
        <v>22223</v>
      </c>
      <c r="I7289" t="s">
        <v>16082</v>
      </c>
    </row>
    <row r="7290" spans="1:9">
      <c r="A7290" t="s">
        <v>16075</v>
      </c>
      <c r="B7290" t="s">
        <v>16076</v>
      </c>
      <c r="C7290" t="s">
        <v>22224</v>
      </c>
      <c r="D7290" t="s">
        <v>16078</v>
      </c>
      <c r="E7290" t="s">
        <v>6299</v>
      </c>
      <c r="F7290" t="s">
        <v>22225</v>
      </c>
      <c r="G7290" t="s">
        <v>16086</v>
      </c>
      <c r="H7290" t="s">
        <v>22226</v>
      </c>
      <c r="I7290" t="s">
        <v>16082</v>
      </c>
    </row>
    <row r="7291" spans="1:9">
      <c r="A7291" t="s">
        <v>16075</v>
      </c>
      <c r="B7291" t="s">
        <v>16076</v>
      </c>
      <c r="C7291" t="s">
        <v>22227</v>
      </c>
      <c r="D7291" t="s">
        <v>16078</v>
      </c>
      <c r="E7291" t="s">
        <v>5942</v>
      </c>
      <c r="F7291" t="s">
        <v>22228</v>
      </c>
      <c r="G7291" t="s">
        <v>16097</v>
      </c>
      <c r="H7291" t="s">
        <v>22229</v>
      </c>
      <c r="I7291" t="s">
        <v>16082</v>
      </c>
    </row>
    <row r="7292" spans="1:9">
      <c r="A7292" t="s">
        <v>16075</v>
      </c>
      <c r="B7292" t="s">
        <v>16076</v>
      </c>
      <c r="C7292" t="s">
        <v>22230</v>
      </c>
      <c r="D7292" t="s">
        <v>16078</v>
      </c>
      <c r="E7292" t="s">
        <v>5948</v>
      </c>
      <c r="F7292" t="s">
        <v>22231</v>
      </c>
      <c r="G7292" t="s">
        <v>16097</v>
      </c>
      <c r="H7292" t="s">
        <v>22232</v>
      </c>
      <c r="I7292" t="s">
        <v>16082</v>
      </c>
    </row>
    <row r="7293" spans="1:9">
      <c r="A7293" t="s">
        <v>16075</v>
      </c>
      <c r="B7293" t="s">
        <v>16076</v>
      </c>
      <c r="C7293" t="s">
        <v>22233</v>
      </c>
      <c r="D7293" t="s">
        <v>16078</v>
      </c>
      <c r="E7293" t="s">
        <v>5957</v>
      </c>
      <c r="F7293" t="s">
        <v>22234</v>
      </c>
      <c r="G7293" t="s">
        <v>16534</v>
      </c>
      <c r="H7293" t="s">
        <v>22235</v>
      </c>
      <c r="I7293" t="s">
        <v>16082</v>
      </c>
    </row>
    <row r="7294" spans="1:9">
      <c r="A7294" t="s">
        <v>16075</v>
      </c>
      <c r="B7294" t="s">
        <v>16076</v>
      </c>
      <c r="C7294" t="s">
        <v>22236</v>
      </c>
      <c r="D7294" t="s">
        <v>16078</v>
      </c>
      <c r="E7294" t="s">
        <v>5972</v>
      </c>
      <c r="F7294" t="s">
        <v>22237</v>
      </c>
      <c r="G7294" t="s">
        <v>16209</v>
      </c>
      <c r="H7294" t="s">
        <v>22238</v>
      </c>
      <c r="I7294" t="s">
        <v>16082</v>
      </c>
    </row>
    <row r="7295" spans="1:9">
      <c r="A7295" t="s">
        <v>16075</v>
      </c>
      <c r="B7295" t="s">
        <v>16076</v>
      </c>
      <c r="C7295" t="s">
        <v>22239</v>
      </c>
      <c r="D7295" t="s">
        <v>16078</v>
      </c>
      <c r="E7295" t="s">
        <v>22240</v>
      </c>
      <c r="F7295" t="s">
        <v>22241</v>
      </c>
      <c r="G7295" t="s">
        <v>16105</v>
      </c>
      <c r="H7295" t="s">
        <v>22242</v>
      </c>
      <c r="I7295" t="s">
        <v>16082</v>
      </c>
    </row>
    <row r="7296" spans="1:9">
      <c r="A7296" t="s">
        <v>16075</v>
      </c>
      <c r="B7296" t="s">
        <v>16076</v>
      </c>
      <c r="C7296" t="s">
        <v>22243</v>
      </c>
      <c r="D7296" t="s">
        <v>16078</v>
      </c>
      <c r="E7296" t="s">
        <v>22244</v>
      </c>
      <c r="F7296" t="s">
        <v>22245</v>
      </c>
      <c r="G7296" t="s">
        <v>16869</v>
      </c>
      <c r="H7296" t="s">
        <v>22203</v>
      </c>
      <c r="I7296" t="s">
        <v>16082</v>
      </c>
    </row>
    <row r="7297" spans="1:9">
      <c r="A7297" t="s">
        <v>16075</v>
      </c>
      <c r="B7297" t="s">
        <v>16076</v>
      </c>
      <c r="C7297" t="s">
        <v>22246</v>
      </c>
      <c r="D7297" t="s">
        <v>16078</v>
      </c>
      <c r="E7297" t="s">
        <v>22247</v>
      </c>
      <c r="F7297" t="s">
        <v>22105</v>
      </c>
      <c r="G7297" t="s">
        <v>16295</v>
      </c>
      <c r="H7297" t="s">
        <v>22248</v>
      </c>
      <c r="I7297" t="s">
        <v>16082</v>
      </c>
    </row>
    <row r="7298" spans="1:9">
      <c r="A7298" t="s">
        <v>16075</v>
      </c>
      <c r="B7298" t="s">
        <v>16076</v>
      </c>
      <c r="C7298" t="s">
        <v>22249</v>
      </c>
      <c r="D7298" t="s">
        <v>16078</v>
      </c>
      <c r="E7298" t="s">
        <v>22250</v>
      </c>
      <c r="F7298" t="s">
        <v>22251</v>
      </c>
      <c r="G7298" t="s">
        <v>16846</v>
      </c>
      <c r="H7298" t="s">
        <v>22203</v>
      </c>
      <c r="I7298" t="s">
        <v>16082</v>
      </c>
    </row>
    <row r="7299" spans="1:9">
      <c r="A7299" t="s">
        <v>16075</v>
      </c>
      <c r="B7299" t="s">
        <v>16076</v>
      </c>
      <c r="C7299" t="s">
        <v>22252</v>
      </c>
      <c r="D7299" t="s">
        <v>16078</v>
      </c>
      <c r="E7299" t="s">
        <v>22253</v>
      </c>
      <c r="F7299" t="s">
        <v>22254</v>
      </c>
      <c r="G7299" t="s">
        <v>16209</v>
      </c>
      <c r="H7299" t="s">
        <v>22255</v>
      </c>
      <c r="I7299" t="s">
        <v>16082</v>
      </c>
    </row>
    <row r="7300" spans="1:9">
      <c r="A7300" t="s">
        <v>16075</v>
      </c>
      <c r="B7300" t="s">
        <v>16076</v>
      </c>
      <c r="C7300" t="s">
        <v>22256</v>
      </c>
      <c r="D7300" t="s">
        <v>16078</v>
      </c>
      <c r="E7300" t="s">
        <v>22257</v>
      </c>
      <c r="F7300" t="s">
        <v>22257</v>
      </c>
      <c r="G7300" t="s">
        <v>16105</v>
      </c>
      <c r="H7300" t="s">
        <v>22258</v>
      </c>
      <c r="I7300" t="s">
        <v>16082</v>
      </c>
    </row>
    <row r="7301" spans="1:9">
      <c r="A7301" t="s">
        <v>16075</v>
      </c>
      <c r="B7301" t="s">
        <v>16076</v>
      </c>
      <c r="C7301" t="s">
        <v>22259</v>
      </c>
      <c r="D7301" t="s">
        <v>16078</v>
      </c>
      <c r="E7301" t="s">
        <v>22260</v>
      </c>
      <c r="F7301" t="s">
        <v>22261</v>
      </c>
      <c r="G7301" t="s">
        <v>16869</v>
      </c>
      <c r="H7301" t="s">
        <v>22262</v>
      </c>
      <c r="I7301" t="s">
        <v>16082</v>
      </c>
    </row>
    <row r="7302" spans="1:9">
      <c r="A7302" t="s">
        <v>16075</v>
      </c>
      <c r="B7302" t="s">
        <v>16076</v>
      </c>
      <c r="C7302" t="s">
        <v>22263</v>
      </c>
      <c r="D7302" t="s">
        <v>16078</v>
      </c>
      <c r="E7302" t="s">
        <v>6307</v>
      </c>
      <c r="F7302" t="s">
        <v>22264</v>
      </c>
      <c r="G7302" t="s">
        <v>16209</v>
      </c>
      <c r="H7302" t="s">
        <v>22265</v>
      </c>
      <c r="I7302" t="s">
        <v>16082</v>
      </c>
    </row>
    <row r="7303" spans="1:9">
      <c r="A7303" t="s">
        <v>16075</v>
      </c>
      <c r="B7303" t="s">
        <v>16076</v>
      </c>
      <c r="C7303" t="s">
        <v>22266</v>
      </c>
      <c r="D7303" t="s">
        <v>16078</v>
      </c>
      <c r="E7303" t="s">
        <v>6037</v>
      </c>
      <c r="F7303" t="s">
        <v>22267</v>
      </c>
      <c r="G7303" t="s">
        <v>16194</v>
      </c>
      <c r="H7303" t="s">
        <v>22268</v>
      </c>
      <c r="I7303" t="s">
        <v>16082</v>
      </c>
    </row>
    <row r="7304" spans="1:9">
      <c r="A7304" t="s">
        <v>16075</v>
      </c>
      <c r="B7304" t="s">
        <v>16076</v>
      </c>
      <c r="C7304" t="s">
        <v>22269</v>
      </c>
      <c r="D7304" t="s">
        <v>16078</v>
      </c>
      <c r="E7304" t="s">
        <v>22270</v>
      </c>
      <c r="F7304" t="s">
        <v>22271</v>
      </c>
      <c r="G7304" t="s">
        <v>16397</v>
      </c>
      <c r="H7304" t="s">
        <v>22272</v>
      </c>
      <c r="I7304" t="s">
        <v>16082</v>
      </c>
    </row>
    <row r="7305" spans="1:9">
      <c r="A7305" t="s">
        <v>16075</v>
      </c>
      <c r="B7305" t="s">
        <v>16076</v>
      </c>
      <c r="C7305" t="s">
        <v>22273</v>
      </c>
      <c r="D7305" t="s">
        <v>16078</v>
      </c>
      <c r="E7305" t="s">
        <v>22274</v>
      </c>
      <c r="F7305" t="s">
        <v>22275</v>
      </c>
      <c r="G7305" t="s">
        <v>16105</v>
      </c>
      <c r="H7305" t="s">
        <v>22276</v>
      </c>
      <c r="I7305" t="s">
        <v>16082</v>
      </c>
    </row>
    <row r="7306" spans="1:9">
      <c r="A7306" t="s">
        <v>16075</v>
      </c>
      <c r="B7306" t="s">
        <v>16076</v>
      </c>
      <c r="C7306" t="s">
        <v>22277</v>
      </c>
      <c r="D7306" t="s">
        <v>16078</v>
      </c>
      <c r="E7306" t="s">
        <v>6317</v>
      </c>
      <c r="F7306" t="s">
        <v>22278</v>
      </c>
      <c r="G7306" t="s">
        <v>16183</v>
      </c>
      <c r="H7306" t="s">
        <v>22279</v>
      </c>
      <c r="I7306" t="s">
        <v>16082</v>
      </c>
    </row>
    <row r="7307" spans="1:9">
      <c r="A7307" t="s">
        <v>16075</v>
      </c>
      <c r="B7307" t="s">
        <v>16076</v>
      </c>
      <c r="C7307" t="s">
        <v>22280</v>
      </c>
      <c r="D7307" t="s">
        <v>16078</v>
      </c>
      <c r="E7307" t="s">
        <v>22281</v>
      </c>
      <c r="F7307" t="s">
        <v>22282</v>
      </c>
      <c r="G7307" t="s">
        <v>16372</v>
      </c>
      <c r="H7307" t="s">
        <v>22283</v>
      </c>
      <c r="I7307" t="s">
        <v>16082</v>
      </c>
    </row>
    <row r="7308" spans="1:9">
      <c r="A7308" t="s">
        <v>16075</v>
      </c>
      <c r="B7308" t="s">
        <v>16076</v>
      </c>
      <c r="C7308" t="s">
        <v>22284</v>
      </c>
      <c r="D7308" t="s">
        <v>16078</v>
      </c>
      <c r="E7308" t="s">
        <v>22285</v>
      </c>
      <c r="F7308" t="s">
        <v>22286</v>
      </c>
      <c r="G7308" t="s">
        <v>16116</v>
      </c>
      <c r="H7308" t="s">
        <v>22287</v>
      </c>
      <c r="I7308" t="s">
        <v>16082</v>
      </c>
    </row>
    <row r="7309" spans="1:9">
      <c r="A7309" t="s">
        <v>16075</v>
      </c>
      <c r="B7309" t="s">
        <v>16076</v>
      </c>
      <c r="C7309" t="s">
        <v>22288</v>
      </c>
      <c r="D7309" t="s">
        <v>16078</v>
      </c>
      <c r="E7309" t="s">
        <v>22289</v>
      </c>
      <c r="F7309" t="s">
        <v>22290</v>
      </c>
      <c r="G7309" t="s">
        <v>16097</v>
      </c>
      <c r="H7309" t="s">
        <v>22291</v>
      </c>
      <c r="I7309" t="s">
        <v>16082</v>
      </c>
    </row>
    <row r="7310" spans="1:9">
      <c r="A7310" t="s">
        <v>16075</v>
      </c>
      <c r="B7310" t="s">
        <v>16076</v>
      </c>
      <c r="C7310" t="s">
        <v>22292</v>
      </c>
      <c r="D7310" t="s">
        <v>16078</v>
      </c>
      <c r="E7310" t="s">
        <v>22293</v>
      </c>
      <c r="F7310" t="s">
        <v>22294</v>
      </c>
    </row>
    <row r="7311" spans="1:9">
      <c r="A7311" t="s">
        <v>16075</v>
      </c>
      <c r="B7311" t="s">
        <v>16076</v>
      </c>
      <c r="C7311" t="s">
        <v>22295</v>
      </c>
      <c r="D7311" t="s">
        <v>16078</v>
      </c>
      <c r="E7311" t="s">
        <v>22296</v>
      </c>
      <c r="F7311" t="s">
        <v>22297</v>
      </c>
    </row>
    <row r="7312" spans="1:9">
      <c r="A7312" t="s">
        <v>16075</v>
      </c>
      <c r="B7312" t="s">
        <v>16076</v>
      </c>
      <c r="C7312" t="s">
        <v>22298</v>
      </c>
      <c r="D7312" t="s">
        <v>16078</v>
      </c>
      <c r="E7312" t="s">
        <v>22299</v>
      </c>
      <c r="F7312" t="s">
        <v>22300</v>
      </c>
    </row>
    <row r="7313" spans="1:14">
      <c r="A7313" t="s">
        <v>16075</v>
      </c>
      <c r="B7313" t="s">
        <v>16076</v>
      </c>
      <c r="C7313" t="s">
        <v>22301</v>
      </c>
      <c r="D7313" t="s">
        <v>16078</v>
      </c>
      <c r="E7313" t="s">
        <v>22302</v>
      </c>
      <c r="F7313" t="s">
        <v>22303</v>
      </c>
    </row>
    <row r="7314" spans="1:14">
      <c r="A7314" t="s">
        <v>16075</v>
      </c>
      <c r="B7314" t="s">
        <v>16076</v>
      </c>
      <c r="C7314" t="s">
        <v>22304</v>
      </c>
      <c r="D7314" t="s">
        <v>16078</v>
      </c>
      <c r="E7314" t="s">
        <v>22305</v>
      </c>
      <c r="F7314" t="s">
        <v>22306</v>
      </c>
    </row>
    <row r="7315" spans="1:14">
      <c r="A7315" t="s">
        <v>16075</v>
      </c>
      <c r="B7315" t="s">
        <v>16076</v>
      </c>
      <c r="C7315" t="s">
        <v>22307</v>
      </c>
      <c r="D7315" t="s">
        <v>16078</v>
      </c>
      <c r="E7315" t="s">
        <v>22308</v>
      </c>
      <c r="F7315" t="s">
        <v>22309</v>
      </c>
    </row>
    <row r="7316" spans="1:14">
      <c r="A7316" t="s">
        <v>16075</v>
      </c>
      <c r="B7316" t="s">
        <v>16076</v>
      </c>
      <c r="C7316" t="s">
        <v>22310</v>
      </c>
      <c r="D7316" t="s">
        <v>16078</v>
      </c>
      <c r="E7316" t="s">
        <v>22311</v>
      </c>
      <c r="F7316" t="s">
        <v>22312</v>
      </c>
    </row>
    <row r="7317" spans="1:14">
      <c r="A7317" t="s">
        <v>16075</v>
      </c>
      <c r="B7317" t="s">
        <v>16076</v>
      </c>
      <c r="C7317" t="s">
        <v>22313</v>
      </c>
      <c r="D7317" t="s">
        <v>16078</v>
      </c>
      <c r="E7317" t="s">
        <v>22314</v>
      </c>
      <c r="F7317" t="s">
        <v>22315</v>
      </c>
    </row>
    <row r="7318" spans="1:14">
      <c r="A7318" t="s">
        <v>16075</v>
      </c>
      <c r="B7318" t="s">
        <v>16076</v>
      </c>
      <c r="C7318" t="s">
        <v>22316</v>
      </c>
      <c r="D7318" t="s">
        <v>16078</v>
      </c>
      <c r="E7318" t="s">
        <v>22317</v>
      </c>
      <c r="F7318" t="s">
        <v>22318</v>
      </c>
    </row>
    <row r="7319" spans="1:14">
      <c r="A7319" t="s">
        <v>16075</v>
      </c>
      <c r="B7319" t="s">
        <v>16076</v>
      </c>
      <c r="C7319" t="s">
        <v>22319</v>
      </c>
      <c r="D7319" t="s">
        <v>16078</v>
      </c>
      <c r="E7319" t="s">
        <v>22320</v>
      </c>
      <c r="F7319" t="s">
        <v>22321</v>
      </c>
    </row>
    <row r="7320" spans="1:14">
      <c r="A7320" t="s">
        <v>16075</v>
      </c>
      <c r="B7320" t="s">
        <v>16076</v>
      </c>
      <c r="C7320" t="s">
        <v>22322</v>
      </c>
      <c r="D7320" t="s">
        <v>16078</v>
      </c>
      <c r="E7320" t="s">
        <v>655</v>
      </c>
      <c r="F7320" t="s">
        <v>22323</v>
      </c>
    </row>
    <row r="7321" spans="1:14">
      <c r="A7321" t="s">
        <v>16075</v>
      </c>
      <c r="B7321" t="s">
        <v>16076</v>
      </c>
      <c r="D7321" t="s">
        <v>16078</v>
      </c>
      <c r="F7321" t="s">
        <v>16115</v>
      </c>
      <c r="G7321" t="s">
        <v>16116</v>
      </c>
      <c r="H7321" t="s">
        <v>22324</v>
      </c>
      <c r="J7321" t="s">
        <v>16114</v>
      </c>
      <c r="K7321" t="s">
        <v>16075</v>
      </c>
      <c r="L7321" t="s">
        <v>16219</v>
      </c>
      <c r="N7321" t="s">
        <v>22324</v>
      </c>
    </row>
    <row r="7322" spans="1:14">
      <c r="A7322" t="s">
        <v>16075</v>
      </c>
      <c r="B7322" t="s">
        <v>16076</v>
      </c>
      <c r="D7322" t="s">
        <v>16078</v>
      </c>
      <c r="F7322" t="s">
        <v>16376</v>
      </c>
      <c r="G7322" t="s">
        <v>16194</v>
      </c>
      <c r="H7322" t="s">
        <v>22325</v>
      </c>
      <c r="J7322" t="s">
        <v>16375</v>
      </c>
      <c r="K7322" t="s">
        <v>16075</v>
      </c>
      <c r="L7322" t="s">
        <v>16219</v>
      </c>
      <c r="N7322" t="s">
        <v>22325</v>
      </c>
    </row>
    <row r="7323" spans="1:14">
      <c r="A7323" t="s">
        <v>16075</v>
      </c>
      <c r="B7323" t="s">
        <v>16076</v>
      </c>
      <c r="D7323" t="s">
        <v>16078</v>
      </c>
      <c r="F7323" t="s">
        <v>22326</v>
      </c>
      <c r="G7323" t="s">
        <v>16116</v>
      </c>
      <c r="H7323" t="s">
        <v>22327</v>
      </c>
      <c r="J7323" t="s">
        <v>16543</v>
      </c>
      <c r="K7323" t="s">
        <v>16075</v>
      </c>
      <c r="L7323" t="s">
        <v>16219</v>
      </c>
      <c r="N7323" t="s">
        <v>22327</v>
      </c>
    </row>
    <row r="7324" spans="1:14">
      <c r="A7324" t="s">
        <v>16075</v>
      </c>
      <c r="B7324" t="s">
        <v>16076</v>
      </c>
      <c r="D7324" t="s">
        <v>16078</v>
      </c>
      <c r="F7324" t="s">
        <v>16682</v>
      </c>
      <c r="G7324" t="s">
        <v>16683</v>
      </c>
      <c r="H7324" t="s">
        <v>22328</v>
      </c>
      <c r="J7324" t="s">
        <v>16681</v>
      </c>
      <c r="K7324" t="s">
        <v>16075</v>
      </c>
      <c r="L7324" t="s">
        <v>16219</v>
      </c>
      <c r="N7324" t="s">
        <v>22328</v>
      </c>
    </row>
    <row r="7325" spans="1:14">
      <c r="A7325" t="s">
        <v>16075</v>
      </c>
      <c r="B7325" t="s">
        <v>16076</v>
      </c>
      <c r="D7325" t="s">
        <v>16078</v>
      </c>
      <c r="F7325" t="s">
        <v>22329</v>
      </c>
      <c r="G7325" t="s">
        <v>16131</v>
      </c>
      <c r="H7325" t="s">
        <v>22330</v>
      </c>
      <c r="J7325" t="s">
        <v>16834</v>
      </c>
      <c r="K7325" t="s">
        <v>16075</v>
      </c>
      <c r="L7325" t="s">
        <v>16219</v>
      </c>
      <c r="N7325" t="s">
        <v>22330</v>
      </c>
    </row>
    <row r="7326" spans="1:14">
      <c r="A7326" t="s">
        <v>16075</v>
      </c>
      <c r="B7326" t="s">
        <v>16076</v>
      </c>
      <c r="D7326" t="s">
        <v>16078</v>
      </c>
      <c r="F7326" t="s">
        <v>16868</v>
      </c>
      <c r="G7326" t="s">
        <v>16869</v>
      </c>
      <c r="H7326" t="s">
        <v>22331</v>
      </c>
      <c r="J7326" t="s">
        <v>16867</v>
      </c>
      <c r="K7326" t="s">
        <v>16075</v>
      </c>
      <c r="L7326" t="s">
        <v>16219</v>
      </c>
      <c r="N7326" t="s">
        <v>22331</v>
      </c>
    </row>
    <row r="7327" spans="1:14">
      <c r="A7327" t="s">
        <v>16075</v>
      </c>
      <c r="B7327" t="s">
        <v>16076</v>
      </c>
      <c r="D7327" t="s">
        <v>16078</v>
      </c>
      <c r="F7327" t="s">
        <v>16928</v>
      </c>
      <c r="G7327" t="s">
        <v>16320</v>
      </c>
      <c r="H7327" t="s">
        <v>22332</v>
      </c>
      <c r="J7327" t="s">
        <v>16927</v>
      </c>
      <c r="K7327" t="s">
        <v>16075</v>
      </c>
      <c r="L7327" t="s">
        <v>16219</v>
      </c>
      <c r="N7327" t="s">
        <v>22332</v>
      </c>
    </row>
    <row r="7328" spans="1:14">
      <c r="A7328" t="s">
        <v>16075</v>
      </c>
      <c r="B7328" t="s">
        <v>16076</v>
      </c>
      <c r="D7328" t="s">
        <v>16078</v>
      </c>
      <c r="F7328" t="s">
        <v>22333</v>
      </c>
      <c r="G7328" t="s">
        <v>16097</v>
      </c>
      <c r="H7328" t="s">
        <v>22334</v>
      </c>
      <c r="J7328" t="s">
        <v>22335</v>
      </c>
      <c r="K7328" t="s">
        <v>16075</v>
      </c>
      <c r="L7328" t="s">
        <v>16219</v>
      </c>
      <c r="N7328" t="s">
        <v>22334</v>
      </c>
    </row>
    <row r="7329" spans="1:14">
      <c r="A7329" t="s">
        <v>16075</v>
      </c>
      <c r="B7329" t="s">
        <v>16076</v>
      </c>
      <c r="D7329" t="s">
        <v>16078</v>
      </c>
      <c r="F7329" t="s">
        <v>17395</v>
      </c>
      <c r="G7329" t="s">
        <v>16116</v>
      </c>
      <c r="H7329" t="s">
        <v>22336</v>
      </c>
      <c r="J7329" t="s">
        <v>17394</v>
      </c>
      <c r="K7329" t="s">
        <v>16075</v>
      </c>
      <c r="L7329" t="s">
        <v>16219</v>
      </c>
      <c r="N7329" t="s">
        <v>22336</v>
      </c>
    </row>
    <row r="7330" spans="1:14">
      <c r="A7330" t="s">
        <v>16075</v>
      </c>
      <c r="B7330" t="s">
        <v>16076</v>
      </c>
      <c r="D7330" t="s">
        <v>16078</v>
      </c>
      <c r="F7330" t="s">
        <v>17489</v>
      </c>
      <c r="G7330" t="s">
        <v>16116</v>
      </c>
      <c r="H7330" t="s">
        <v>22337</v>
      </c>
      <c r="J7330" t="s">
        <v>17488</v>
      </c>
      <c r="K7330" t="s">
        <v>16075</v>
      </c>
      <c r="L7330" t="s">
        <v>16219</v>
      </c>
      <c r="N7330" t="s">
        <v>22337</v>
      </c>
    </row>
    <row r="7331" spans="1:14">
      <c r="A7331" t="s">
        <v>16075</v>
      </c>
      <c r="B7331" t="s">
        <v>16076</v>
      </c>
      <c r="D7331" t="s">
        <v>16078</v>
      </c>
      <c r="F7331" t="s">
        <v>17546</v>
      </c>
      <c r="G7331" t="s">
        <v>16131</v>
      </c>
      <c r="H7331" t="s">
        <v>22338</v>
      </c>
      <c r="J7331" t="s">
        <v>17546</v>
      </c>
      <c r="K7331" t="s">
        <v>16075</v>
      </c>
      <c r="L7331" t="s">
        <v>16219</v>
      </c>
      <c r="N7331" t="s">
        <v>22338</v>
      </c>
    </row>
    <row r="7332" spans="1:14">
      <c r="A7332" t="s">
        <v>16075</v>
      </c>
      <c r="B7332" t="s">
        <v>16076</v>
      </c>
      <c r="D7332" t="s">
        <v>16078</v>
      </c>
      <c r="F7332" t="s">
        <v>22339</v>
      </c>
      <c r="G7332" t="s">
        <v>16109</v>
      </c>
      <c r="H7332" t="s">
        <v>22340</v>
      </c>
      <c r="J7332" t="s">
        <v>22341</v>
      </c>
      <c r="K7332" t="s">
        <v>16075</v>
      </c>
      <c r="L7332" t="s">
        <v>16219</v>
      </c>
      <c r="N7332" t="s">
        <v>22340</v>
      </c>
    </row>
    <row r="7333" spans="1:14">
      <c r="A7333" t="s">
        <v>16075</v>
      </c>
      <c r="B7333" t="s">
        <v>16076</v>
      </c>
      <c r="D7333" t="s">
        <v>16078</v>
      </c>
      <c r="F7333" t="s">
        <v>22342</v>
      </c>
      <c r="G7333" t="s">
        <v>16086</v>
      </c>
      <c r="H7333" t="s">
        <v>22343</v>
      </c>
      <c r="J7333" t="s">
        <v>22344</v>
      </c>
      <c r="K7333" t="s">
        <v>16075</v>
      </c>
      <c r="L7333" t="s">
        <v>16219</v>
      </c>
      <c r="N7333" t="s">
        <v>22343</v>
      </c>
    </row>
    <row r="7334" spans="1:14">
      <c r="A7334" t="s">
        <v>16075</v>
      </c>
      <c r="B7334" t="s">
        <v>16076</v>
      </c>
      <c r="D7334" t="s">
        <v>16078</v>
      </c>
      <c r="F7334" t="s">
        <v>22345</v>
      </c>
      <c r="J7334" t="s">
        <v>17748</v>
      </c>
      <c r="K7334" t="s">
        <v>16075</v>
      </c>
      <c r="L7334" t="s">
        <v>16219</v>
      </c>
    </row>
    <row r="7335" spans="1:14">
      <c r="A7335" t="s">
        <v>16075</v>
      </c>
      <c r="B7335" t="s">
        <v>16076</v>
      </c>
      <c r="D7335" t="s">
        <v>16078</v>
      </c>
      <c r="F7335" t="s">
        <v>17789</v>
      </c>
      <c r="G7335" t="s">
        <v>16086</v>
      </c>
      <c r="H7335" t="s">
        <v>22346</v>
      </c>
      <c r="J7335" t="s">
        <v>17788</v>
      </c>
      <c r="K7335" t="s">
        <v>16075</v>
      </c>
      <c r="L7335" t="s">
        <v>16219</v>
      </c>
      <c r="N7335" t="s">
        <v>22346</v>
      </c>
    </row>
    <row r="7336" spans="1:14">
      <c r="A7336" t="s">
        <v>16075</v>
      </c>
      <c r="B7336" t="s">
        <v>16076</v>
      </c>
      <c r="D7336" t="s">
        <v>16078</v>
      </c>
      <c r="F7336" t="s">
        <v>17923</v>
      </c>
      <c r="G7336" t="s">
        <v>16266</v>
      </c>
      <c r="H7336" t="s">
        <v>22347</v>
      </c>
      <c r="J7336" t="s">
        <v>17922</v>
      </c>
      <c r="K7336" t="s">
        <v>16075</v>
      </c>
      <c r="L7336" t="s">
        <v>16219</v>
      </c>
      <c r="N7336" t="s">
        <v>22347</v>
      </c>
    </row>
    <row r="7337" spans="1:14">
      <c r="A7337" t="s">
        <v>16075</v>
      </c>
      <c r="B7337" t="s">
        <v>16076</v>
      </c>
      <c r="D7337" t="s">
        <v>16078</v>
      </c>
      <c r="F7337" t="s">
        <v>18199</v>
      </c>
      <c r="G7337" t="s">
        <v>16194</v>
      </c>
      <c r="H7337" t="s">
        <v>22348</v>
      </c>
      <c r="J7337" t="s">
        <v>18198</v>
      </c>
      <c r="K7337" t="s">
        <v>16075</v>
      </c>
      <c r="L7337" t="s">
        <v>16219</v>
      </c>
      <c r="N7337" t="s">
        <v>22348</v>
      </c>
    </row>
    <row r="7338" spans="1:14">
      <c r="A7338" t="s">
        <v>16075</v>
      </c>
      <c r="B7338" t="s">
        <v>16076</v>
      </c>
      <c r="D7338" t="s">
        <v>16078</v>
      </c>
      <c r="F7338" t="s">
        <v>22349</v>
      </c>
      <c r="G7338" t="s">
        <v>16116</v>
      </c>
      <c r="H7338" t="s">
        <v>22350</v>
      </c>
      <c r="J7338" t="s">
        <v>10382</v>
      </c>
      <c r="K7338" t="s">
        <v>16075</v>
      </c>
      <c r="L7338" t="s">
        <v>16219</v>
      </c>
      <c r="N7338" t="s">
        <v>22350</v>
      </c>
    </row>
    <row r="7339" spans="1:14">
      <c r="A7339" t="s">
        <v>16075</v>
      </c>
      <c r="B7339" t="s">
        <v>16076</v>
      </c>
      <c r="D7339" t="s">
        <v>16078</v>
      </c>
      <c r="F7339" t="s">
        <v>18600</v>
      </c>
      <c r="G7339" t="s">
        <v>16091</v>
      </c>
      <c r="H7339" t="s">
        <v>22351</v>
      </c>
      <c r="J7339" t="s">
        <v>18599</v>
      </c>
      <c r="K7339" t="s">
        <v>16075</v>
      </c>
      <c r="L7339" t="s">
        <v>16219</v>
      </c>
      <c r="N7339" t="s">
        <v>22351</v>
      </c>
    </row>
    <row r="7340" spans="1:14">
      <c r="A7340" t="s">
        <v>16075</v>
      </c>
      <c r="B7340" t="s">
        <v>16076</v>
      </c>
      <c r="D7340" t="s">
        <v>16078</v>
      </c>
      <c r="F7340" t="s">
        <v>18611</v>
      </c>
      <c r="G7340" t="s">
        <v>16194</v>
      </c>
      <c r="H7340" t="s">
        <v>22352</v>
      </c>
      <c r="J7340" t="s">
        <v>11338</v>
      </c>
      <c r="K7340" t="s">
        <v>16075</v>
      </c>
      <c r="L7340" t="s">
        <v>16219</v>
      </c>
      <c r="N7340" t="s">
        <v>22352</v>
      </c>
    </row>
    <row r="7341" spans="1:14">
      <c r="A7341" t="s">
        <v>16075</v>
      </c>
      <c r="B7341" t="s">
        <v>16076</v>
      </c>
      <c r="D7341" t="s">
        <v>16078</v>
      </c>
      <c r="F7341" t="s">
        <v>18794</v>
      </c>
      <c r="G7341" t="s">
        <v>16091</v>
      </c>
      <c r="H7341" t="s">
        <v>22353</v>
      </c>
      <c r="J7341" t="s">
        <v>18793</v>
      </c>
      <c r="K7341" t="s">
        <v>16075</v>
      </c>
      <c r="L7341" t="s">
        <v>16219</v>
      </c>
      <c r="N7341" t="s">
        <v>22353</v>
      </c>
    </row>
    <row r="7342" spans="1:14">
      <c r="A7342" t="s">
        <v>16075</v>
      </c>
      <c r="B7342" t="s">
        <v>16076</v>
      </c>
      <c r="D7342" t="s">
        <v>16078</v>
      </c>
      <c r="F7342" t="s">
        <v>18953</v>
      </c>
      <c r="G7342" t="s">
        <v>16091</v>
      </c>
      <c r="H7342" t="s">
        <v>22354</v>
      </c>
      <c r="J7342" t="s">
        <v>18952</v>
      </c>
      <c r="K7342" t="s">
        <v>16075</v>
      </c>
      <c r="L7342" t="s">
        <v>16219</v>
      </c>
      <c r="N7342" t="s">
        <v>22354</v>
      </c>
    </row>
    <row r="7343" spans="1:14">
      <c r="A7343" t="s">
        <v>16075</v>
      </c>
      <c r="B7343" t="s">
        <v>16076</v>
      </c>
      <c r="D7343" t="s">
        <v>16078</v>
      </c>
      <c r="F7343" t="s">
        <v>18957</v>
      </c>
      <c r="G7343" t="s">
        <v>16116</v>
      </c>
      <c r="H7343" t="s">
        <v>22355</v>
      </c>
      <c r="J7343" t="s">
        <v>18956</v>
      </c>
      <c r="K7343" t="s">
        <v>16075</v>
      </c>
      <c r="L7343" t="s">
        <v>16219</v>
      </c>
      <c r="N7343" t="s">
        <v>22355</v>
      </c>
    </row>
    <row r="7344" spans="1:14">
      <c r="A7344" t="s">
        <v>16075</v>
      </c>
      <c r="B7344" t="s">
        <v>16076</v>
      </c>
      <c r="D7344" t="s">
        <v>16078</v>
      </c>
      <c r="F7344" t="s">
        <v>18965</v>
      </c>
      <c r="G7344" t="s">
        <v>18966</v>
      </c>
      <c r="H7344" t="s">
        <v>22356</v>
      </c>
      <c r="J7344" t="s">
        <v>18964</v>
      </c>
      <c r="K7344" t="s">
        <v>16075</v>
      </c>
      <c r="L7344" t="s">
        <v>16219</v>
      </c>
      <c r="N7344" t="s">
        <v>22356</v>
      </c>
    </row>
    <row r="7345" spans="1:14">
      <c r="A7345" t="s">
        <v>16075</v>
      </c>
      <c r="B7345" t="s">
        <v>16076</v>
      </c>
      <c r="D7345" t="s">
        <v>16078</v>
      </c>
      <c r="F7345" t="s">
        <v>18978</v>
      </c>
      <c r="G7345" t="s">
        <v>16116</v>
      </c>
      <c r="H7345" t="s">
        <v>22357</v>
      </c>
      <c r="J7345" t="s">
        <v>18977</v>
      </c>
      <c r="K7345" t="s">
        <v>16075</v>
      </c>
      <c r="L7345" t="s">
        <v>16219</v>
      </c>
      <c r="N7345" t="s">
        <v>22357</v>
      </c>
    </row>
    <row r="7346" spans="1:14">
      <c r="A7346" t="s">
        <v>16075</v>
      </c>
      <c r="B7346" t="s">
        <v>16076</v>
      </c>
      <c r="D7346" t="s">
        <v>16078</v>
      </c>
      <c r="F7346" t="s">
        <v>19108</v>
      </c>
      <c r="G7346" t="s">
        <v>16168</v>
      </c>
      <c r="H7346" t="s">
        <v>22358</v>
      </c>
      <c r="J7346" t="s">
        <v>19107</v>
      </c>
      <c r="K7346" t="s">
        <v>16075</v>
      </c>
      <c r="L7346" t="s">
        <v>16219</v>
      </c>
      <c r="N7346" t="s">
        <v>22358</v>
      </c>
    </row>
    <row r="7347" spans="1:14">
      <c r="A7347" t="s">
        <v>16075</v>
      </c>
      <c r="B7347" t="s">
        <v>16076</v>
      </c>
      <c r="D7347" t="s">
        <v>16078</v>
      </c>
      <c r="F7347" t="s">
        <v>22359</v>
      </c>
      <c r="G7347" t="s">
        <v>16320</v>
      </c>
      <c r="H7347" t="s">
        <v>22360</v>
      </c>
      <c r="J7347" t="s">
        <v>22361</v>
      </c>
      <c r="K7347" t="s">
        <v>16075</v>
      </c>
      <c r="L7347" t="s">
        <v>16219</v>
      </c>
      <c r="N7347" t="s">
        <v>22360</v>
      </c>
    </row>
    <row r="7348" spans="1:14">
      <c r="A7348" t="s">
        <v>16075</v>
      </c>
      <c r="B7348" t="s">
        <v>16076</v>
      </c>
      <c r="D7348" t="s">
        <v>16078</v>
      </c>
      <c r="F7348" t="s">
        <v>22362</v>
      </c>
      <c r="G7348" t="s">
        <v>16178</v>
      </c>
      <c r="H7348" t="s">
        <v>22363</v>
      </c>
      <c r="J7348" t="s">
        <v>19482</v>
      </c>
      <c r="K7348" t="s">
        <v>16075</v>
      </c>
      <c r="L7348" t="s">
        <v>16219</v>
      </c>
      <c r="N7348" t="s">
        <v>22363</v>
      </c>
    </row>
    <row r="7349" spans="1:14">
      <c r="A7349" t="s">
        <v>16075</v>
      </c>
      <c r="B7349" t="s">
        <v>16076</v>
      </c>
      <c r="D7349" t="s">
        <v>16078</v>
      </c>
      <c r="F7349" t="s">
        <v>22364</v>
      </c>
      <c r="G7349" t="s">
        <v>16312</v>
      </c>
      <c r="H7349" t="s">
        <v>22365</v>
      </c>
      <c r="J7349" t="s">
        <v>22366</v>
      </c>
      <c r="K7349" t="s">
        <v>16075</v>
      </c>
      <c r="L7349" t="s">
        <v>16219</v>
      </c>
      <c r="N7349" t="s">
        <v>22365</v>
      </c>
    </row>
    <row r="7350" spans="1:14">
      <c r="A7350" t="s">
        <v>16075</v>
      </c>
      <c r="B7350" t="s">
        <v>16076</v>
      </c>
      <c r="D7350" t="s">
        <v>16078</v>
      </c>
      <c r="F7350" t="s">
        <v>19709</v>
      </c>
      <c r="G7350" t="s">
        <v>16091</v>
      </c>
      <c r="H7350" t="s">
        <v>22367</v>
      </c>
      <c r="J7350" t="s">
        <v>19708</v>
      </c>
      <c r="K7350" t="s">
        <v>16075</v>
      </c>
      <c r="L7350" t="s">
        <v>16219</v>
      </c>
      <c r="N7350" t="s">
        <v>22367</v>
      </c>
    </row>
    <row r="7351" spans="1:14">
      <c r="A7351" t="s">
        <v>16075</v>
      </c>
      <c r="B7351" t="s">
        <v>16076</v>
      </c>
      <c r="D7351" t="s">
        <v>16078</v>
      </c>
      <c r="F7351" t="s">
        <v>19791</v>
      </c>
      <c r="G7351" t="s">
        <v>16116</v>
      </c>
      <c r="H7351" t="s">
        <v>22368</v>
      </c>
      <c r="J7351" t="s">
        <v>19790</v>
      </c>
      <c r="K7351" t="s">
        <v>16075</v>
      </c>
      <c r="L7351" t="s">
        <v>16219</v>
      </c>
      <c r="N7351" t="s">
        <v>22368</v>
      </c>
    </row>
    <row r="7352" spans="1:14">
      <c r="A7352" t="s">
        <v>16075</v>
      </c>
      <c r="B7352" t="s">
        <v>16076</v>
      </c>
      <c r="D7352" t="s">
        <v>16078</v>
      </c>
      <c r="F7352" t="s">
        <v>22369</v>
      </c>
      <c r="G7352" t="s">
        <v>16320</v>
      </c>
      <c r="H7352" t="s">
        <v>22370</v>
      </c>
      <c r="J7352" t="s">
        <v>19824</v>
      </c>
      <c r="K7352" t="s">
        <v>16075</v>
      </c>
      <c r="L7352" t="s">
        <v>16219</v>
      </c>
      <c r="N7352" t="s">
        <v>22370</v>
      </c>
    </row>
    <row r="7353" spans="1:14">
      <c r="A7353" t="s">
        <v>16075</v>
      </c>
      <c r="B7353" t="s">
        <v>16076</v>
      </c>
      <c r="D7353" t="s">
        <v>16078</v>
      </c>
      <c r="F7353" t="s">
        <v>19832</v>
      </c>
      <c r="G7353" t="s">
        <v>16091</v>
      </c>
      <c r="H7353" t="s">
        <v>22371</v>
      </c>
      <c r="J7353" t="s">
        <v>19831</v>
      </c>
      <c r="K7353" t="s">
        <v>16075</v>
      </c>
      <c r="L7353" t="s">
        <v>16219</v>
      </c>
      <c r="N7353" t="s">
        <v>22371</v>
      </c>
    </row>
    <row r="7354" spans="1:14">
      <c r="A7354" t="s">
        <v>16075</v>
      </c>
      <c r="B7354" t="s">
        <v>16076</v>
      </c>
      <c r="D7354" t="s">
        <v>16078</v>
      </c>
      <c r="F7354" t="s">
        <v>22372</v>
      </c>
      <c r="G7354" t="s">
        <v>16091</v>
      </c>
      <c r="H7354" t="s">
        <v>22373</v>
      </c>
      <c r="J7354" t="s">
        <v>22374</v>
      </c>
      <c r="K7354" t="s">
        <v>16075</v>
      </c>
      <c r="L7354" t="s">
        <v>16219</v>
      </c>
      <c r="N7354" t="s">
        <v>22373</v>
      </c>
    </row>
    <row r="7355" spans="1:14">
      <c r="A7355" t="s">
        <v>16075</v>
      </c>
      <c r="B7355" t="s">
        <v>16076</v>
      </c>
      <c r="D7355" t="s">
        <v>16078</v>
      </c>
      <c r="F7355" t="s">
        <v>19870</v>
      </c>
      <c r="G7355" t="s">
        <v>16194</v>
      </c>
      <c r="H7355" t="s">
        <v>22375</v>
      </c>
      <c r="J7355" t="s">
        <v>19869</v>
      </c>
      <c r="K7355" t="s">
        <v>16075</v>
      </c>
      <c r="L7355" t="s">
        <v>16219</v>
      </c>
      <c r="N7355" t="s">
        <v>22375</v>
      </c>
    </row>
    <row r="7356" spans="1:14">
      <c r="A7356" t="s">
        <v>16075</v>
      </c>
      <c r="B7356" t="s">
        <v>16076</v>
      </c>
      <c r="D7356" t="s">
        <v>16078</v>
      </c>
      <c r="F7356" t="s">
        <v>19879</v>
      </c>
      <c r="G7356" t="s">
        <v>16086</v>
      </c>
      <c r="H7356" t="s">
        <v>22376</v>
      </c>
      <c r="J7356" t="s">
        <v>19879</v>
      </c>
      <c r="K7356" t="s">
        <v>16075</v>
      </c>
      <c r="L7356" t="s">
        <v>16219</v>
      </c>
      <c r="N7356" t="s">
        <v>22376</v>
      </c>
    </row>
    <row r="7357" spans="1:14">
      <c r="A7357" t="s">
        <v>16075</v>
      </c>
      <c r="B7357" t="s">
        <v>16076</v>
      </c>
      <c r="D7357" t="s">
        <v>16078</v>
      </c>
      <c r="F7357" t="s">
        <v>22377</v>
      </c>
      <c r="G7357" t="s">
        <v>16320</v>
      </c>
      <c r="H7357" t="s">
        <v>22378</v>
      </c>
      <c r="J7357" t="s">
        <v>22379</v>
      </c>
      <c r="K7357" t="s">
        <v>16075</v>
      </c>
      <c r="L7357" t="s">
        <v>16219</v>
      </c>
      <c r="N7357" t="s">
        <v>22378</v>
      </c>
    </row>
    <row r="7358" spans="1:14">
      <c r="A7358" t="s">
        <v>16075</v>
      </c>
      <c r="B7358" t="s">
        <v>16076</v>
      </c>
      <c r="D7358" t="s">
        <v>16078</v>
      </c>
      <c r="F7358" t="s">
        <v>22380</v>
      </c>
      <c r="G7358" t="s">
        <v>16239</v>
      </c>
      <c r="H7358" t="s">
        <v>22381</v>
      </c>
      <c r="J7358" t="s">
        <v>20001</v>
      </c>
      <c r="K7358" t="s">
        <v>16075</v>
      </c>
      <c r="L7358" t="s">
        <v>16219</v>
      </c>
      <c r="N7358" t="s">
        <v>22381</v>
      </c>
    </row>
    <row r="7359" spans="1:14">
      <c r="A7359" t="s">
        <v>16075</v>
      </c>
      <c r="B7359" t="s">
        <v>16076</v>
      </c>
      <c r="D7359" t="s">
        <v>16078</v>
      </c>
      <c r="F7359" t="s">
        <v>20213</v>
      </c>
      <c r="G7359" t="s">
        <v>16091</v>
      </c>
      <c r="H7359" t="s">
        <v>22382</v>
      </c>
      <c r="J7359" t="s">
        <v>20212</v>
      </c>
      <c r="K7359" t="s">
        <v>16075</v>
      </c>
      <c r="L7359" t="s">
        <v>16219</v>
      </c>
      <c r="N7359" t="s">
        <v>22382</v>
      </c>
    </row>
    <row r="7360" spans="1:14">
      <c r="A7360" t="s">
        <v>16075</v>
      </c>
      <c r="B7360" t="s">
        <v>16076</v>
      </c>
      <c r="D7360" t="s">
        <v>16078</v>
      </c>
      <c r="F7360" t="s">
        <v>20221</v>
      </c>
      <c r="G7360" t="s">
        <v>16091</v>
      </c>
      <c r="H7360" t="s">
        <v>22383</v>
      </c>
      <c r="J7360" t="s">
        <v>20220</v>
      </c>
      <c r="K7360" t="s">
        <v>16075</v>
      </c>
      <c r="L7360" t="s">
        <v>16219</v>
      </c>
      <c r="N7360" t="s">
        <v>22383</v>
      </c>
    </row>
    <row r="7361" spans="1:14">
      <c r="A7361" t="s">
        <v>16075</v>
      </c>
      <c r="B7361" t="s">
        <v>16076</v>
      </c>
      <c r="D7361" t="s">
        <v>16078</v>
      </c>
      <c r="F7361" t="s">
        <v>22384</v>
      </c>
      <c r="G7361" t="s">
        <v>16194</v>
      </c>
      <c r="H7361" t="s">
        <v>22385</v>
      </c>
      <c r="J7361" t="s">
        <v>20235</v>
      </c>
      <c r="K7361" t="s">
        <v>16075</v>
      </c>
      <c r="L7361" t="s">
        <v>16219</v>
      </c>
      <c r="N7361" t="s">
        <v>22385</v>
      </c>
    </row>
    <row r="7362" spans="1:14">
      <c r="A7362" t="s">
        <v>16075</v>
      </c>
      <c r="B7362" t="s">
        <v>16076</v>
      </c>
      <c r="D7362" t="s">
        <v>16078</v>
      </c>
      <c r="F7362" t="s">
        <v>20337</v>
      </c>
      <c r="G7362" t="s">
        <v>16139</v>
      </c>
      <c r="H7362" t="s">
        <v>22386</v>
      </c>
      <c r="J7362" t="s">
        <v>20340</v>
      </c>
      <c r="K7362" t="s">
        <v>16075</v>
      </c>
      <c r="L7362" t="s">
        <v>16219</v>
      </c>
      <c r="N7362" t="s">
        <v>22386</v>
      </c>
    </row>
    <row r="7363" spans="1:14">
      <c r="A7363" t="s">
        <v>16075</v>
      </c>
      <c r="B7363" t="s">
        <v>16076</v>
      </c>
      <c r="D7363" t="s">
        <v>16078</v>
      </c>
      <c r="F7363" t="s">
        <v>20414</v>
      </c>
      <c r="G7363" t="s">
        <v>16091</v>
      </c>
      <c r="H7363" t="s">
        <v>22387</v>
      </c>
      <c r="J7363" t="s">
        <v>2897</v>
      </c>
      <c r="K7363" t="s">
        <v>16075</v>
      </c>
      <c r="L7363" t="s">
        <v>16219</v>
      </c>
      <c r="N7363" t="s">
        <v>22387</v>
      </c>
    </row>
    <row r="7364" spans="1:14">
      <c r="A7364" t="s">
        <v>16075</v>
      </c>
      <c r="B7364" t="s">
        <v>16076</v>
      </c>
      <c r="D7364" t="s">
        <v>16078</v>
      </c>
      <c r="F7364" t="s">
        <v>20423</v>
      </c>
      <c r="G7364" t="s">
        <v>16116</v>
      </c>
      <c r="H7364" t="s">
        <v>22388</v>
      </c>
      <c r="J7364" t="s">
        <v>9912</v>
      </c>
      <c r="K7364" t="s">
        <v>16075</v>
      </c>
      <c r="L7364" t="s">
        <v>16219</v>
      </c>
      <c r="N7364" t="s">
        <v>22388</v>
      </c>
    </row>
    <row r="7365" spans="1:14">
      <c r="A7365" t="s">
        <v>16075</v>
      </c>
      <c r="B7365" t="s">
        <v>16076</v>
      </c>
      <c r="D7365" t="s">
        <v>16078</v>
      </c>
      <c r="F7365" t="s">
        <v>22389</v>
      </c>
      <c r="G7365" t="s">
        <v>16846</v>
      </c>
      <c r="H7365" t="s">
        <v>22390</v>
      </c>
      <c r="J7365" t="s">
        <v>9918</v>
      </c>
      <c r="K7365" t="s">
        <v>16075</v>
      </c>
      <c r="L7365" t="s">
        <v>16219</v>
      </c>
      <c r="N7365" t="s">
        <v>22390</v>
      </c>
    </row>
    <row r="7366" spans="1:14">
      <c r="A7366" t="s">
        <v>16075</v>
      </c>
      <c r="B7366" t="s">
        <v>16076</v>
      </c>
      <c r="D7366" t="s">
        <v>16078</v>
      </c>
      <c r="F7366" t="s">
        <v>22391</v>
      </c>
      <c r="G7366" t="s">
        <v>16869</v>
      </c>
      <c r="H7366" t="s">
        <v>22392</v>
      </c>
      <c r="J7366" t="s">
        <v>13612</v>
      </c>
      <c r="K7366" t="s">
        <v>16075</v>
      </c>
      <c r="L7366" t="s">
        <v>16219</v>
      </c>
      <c r="N7366" t="s">
        <v>22392</v>
      </c>
    </row>
    <row r="7367" spans="1:14">
      <c r="A7367" t="s">
        <v>16075</v>
      </c>
      <c r="B7367" t="s">
        <v>16076</v>
      </c>
      <c r="D7367" t="s">
        <v>16078</v>
      </c>
      <c r="F7367" t="s">
        <v>22393</v>
      </c>
      <c r="G7367" t="s">
        <v>16109</v>
      </c>
      <c r="H7367" t="s">
        <v>22394</v>
      </c>
      <c r="J7367" t="s">
        <v>22395</v>
      </c>
      <c r="K7367" t="s">
        <v>16075</v>
      </c>
      <c r="L7367" t="s">
        <v>16219</v>
      </c>
      <c r="N7367" t="s">
        <v>22394</v>
      </c>
    </row>
    <row r="7368" spans="1:14">
      <c r="A7368" t="s">
        <v>16075</v>
      </c>
      <c r="B7368" t="s">
        <v>16076</v>
      </c>
      <c r="D7368" t="s">
        <v>16078</v>
      </c>
      <c r="F7368" t="s">
        <v>21090</v>
      </c>
      <c r="G7368" t="s">
        <v>16194</v>
      </c>
      <c r="H7368" t="s">
        <v>22396</v>
      </c>
      <c r="J7368" t="s">
        <v>21089</v>
      </c>
      <c r="K7368" t="s">
        <v>16075</v>
      </c>
      <c r="L7368" t="s">
        <v>16219</v>
      </c>
      <c r="N7368" t="s">
        <v>22396</v>
      </c>
    </row>
    <row r="7369" spans="1:14">
      <c r="A7369" t="s">
        <v>16075</v>
      </c>
      <c r="B7369" t="s">
        <v>16076</v>
      </c>
      <c r="D7369" t="s">
        <v>16078</v>
      </c>
      <c r="F7369" t="s">
        <v>21101</v>
      </c>
      <c r="G7369" t="s">
        <v>16295</v>
      </c>
      <c r="H7369" t="s">
        <v>22397</v>
      </c>
      <c r="J7369" t="s">
        <v>21100</v>
      </c>
      <c r="K7369" t="s">
        <v>16075</v>
      </c>
      <c r="L7369" t="s">
        <v>16219</v>
      </c>
      <c r="N7369" t="s">
        <v>22397</v>
      </c>
    </row>
    <row r="7370" spans="1:14">
      <c r="A7370" t="s">
        <v>16075</v>
      </c>
      <c r="B7370" t="s">
        <v>16076</v>
      </c>
      <c r="D7370" t="s">
        <v>16078</v>
      </c>
      <c r="F7370" t="s">
        <v>21182</v>
      </c>
      <c r="G7370" t="s">
        <v>16194</v>
      </c>
      <c r="H7370" t="s">
        <v>22398</v>
      </c>
      <c r="J7370" t="s">
        <v>10025</v>
      </c>
      <c r="K7370" t="s">
        <v>16075</v>
      </c>
      <c r="L7370" t="s">
        <v>16219</v>
      </c>
      <c r="N7370" t="s">
        <v>22398</v>
      </c>
    </row>
    <row r="7371" spans="1:14">
      <c r="A7371" t="s">
        <v>16075</v>
      </c>
      <c r="B7371" t="s">
        <v>16076</v>
      </c>
      <c r="D7371" t="s">
        <v>16078</v>
      </c>
      <c r="F7371" t="s">
        <v>21264</v>
      </c>
      <c r="G7371" t="s">
        <v>16116</v>
      </c>
      <c r="H7371" t="s">
        <v>22399</v>
      </c>
      <c r="J7371" t="s">
        <v>10034</v>
      </c>
      <c r="K7371" t="s">
        <v>16075</v>
      </c>
      <c r="L7371" t="s">
        <v>16219</v>
      </c>
      <c r="N7371" t="s">
        <v>22399</v>
      </c>
    </row>
    <row r="7372" spans="1:14">
      <c r="A7372" t="s">
        <v>16075</v>
      </c>
      <c r="B7372" t="s">
        <v>16076</v>
      </c>
      <c r="D7372" t="s">
        <v>16078</v>
      </c>
      <c r="F7372" t="s">
        <v>21316</v>
      </c>
      <c r="G7372" t="s">
        <v>16131</v>
      </c>
      <c r="H7372" t="s">
        <v>22400</v>
      </c>
      <c r="J7372" t="s">
        <v>21315</v>
      </c>
      <c r="K7372" t="s">
        <v>16075</v>
      </c>
      <c r="L7372" t="s">
        <v>16219</v>
      </c>
      <c r="N7372" t="s">
        <v>22400</v>
      </c>
    </row>
    <row r="7373" spans="1:14">
      <c r="A7373" t="s">
        <v>16075</v>
      </c>
      <c r="B7373" t="s">
        <v>16076</v>
      </c>
      <c r="D7373" t="s">
        <v>16078</v>
      </c>
      <c r="F7373" t="s">
        <v>21355</v>
      </c>
      <c r="G7373" t="s">
        <v>16380</v>
      </c>
      <c r="H7373" t="s">
        <v>22401</v>
      </c>
      <c r="J7373" t="s">
        <v>21354</v>
      </c>
      <c r="K7373" t="s">
        <v>16075</v>
      </c>
      <c r="L7373" t="s">
        <v>16219</v>
      </c>
      <c r="N7373" t="s">
        <v>22401</v>
      </c>
    </row>
    <row r="7374" spans="1:14">
      <c r="A7374" t="s">
        <v>16075</v>
      </c>
      <c r="B7374" t="s">
        <v>16076</v>
      </c>
      <c r="D7374" t="s">
        <v>16078</v>
      </c>
      <c r="F7374" t="s">
        <v>21451</v>
      </c>
      <c r="G7374" t="s">
        <v>16105</v>
      </c>
      <c r="H7374" t="s">
        <v>22402</v>
      </c>
      <c r="J7374" t="s">
        <v>21450</v>
      </c>
      <c r="K7374" t="s">
        <v>16075</v>
      </c>
      <c r="L7374" t="s">
        <v>16219</v>
      </c>
      <c r="N7374" t="s">
        <v>22402</v>
      </c>
    </row>
    <row r="7375" spans="1:14">
      <c r="A7375" t="s">
        <v>16075</v>
      </c>
      <c r="B7375" t="s">
        <v>16076</v>
      </c>
      <c r="D7375" t="s">
        <v>16078</v>
      </c>
      <c r="F7375" t="s">
        <v>18256</v>
      </c>
      <c r="G7375" t="s">
        <v>16116</v>
      </c>
      <c r="H7375" t="s">
        <v>22403</v>
      </c>
      <c r="J7375" t="s">
        <v>22404</v>
      </c>
      <c r="K7375" t="s">
        <v>16075</v>
      </c>
      <c r="L7375" t="s">
        <v>16219</v>
      </c>
      <c r="N7375" t="s">
        <v>22403</v>
      </c>
    </row>
    <row r="7376" spans="1:14">
      <c r="A7376" t="s">
        <v>16075</v>
      </c>
      <c r="B7376" t="s">
        <v>16076</v>
      </c>
      <c r="D7376" t="s">
        <v>16078</v>
      </c>
      <c r="F7376" t="s">
        <v>21515</v>
      </c>
      <c r="G7376" t="s">
        <v>16109</v>
      </c>
      <c r="H7376" t="s">
        <v>22405</v>
      </c>
      <c r="J7376" t="s">
        <v>21514</v>
      </c>
      <c r="K7376" t="s">
        <v>16075</v>
      </c>
      <c r="L7376" t="s">
        <v>16219</v>
      </c>
      <c r="N7376" t="s">
        <v>22405</v>
      </c>
    </row>
    <row r="7377" spans="1:14">
      <c r="A7377" t="s">
        <v>16075</v>
      </c>
      <c r="B7377" t="s">
        <v>16076</v>
      </c>
      <c r="D7377" t="s">
        <v>16078</v>
      </c>
      <c r="F7377" t="s">
        <v>21691</v>
      </c>
      <c r="G7377" t="s">
        <v>16091</v>
      </c>
      <c r="H7377" t="s">
        <v>22406</v>
      </c>
      <c r="J7377" t="s">
        <v>21690</v>
      </c>
      <c r="K7377" t="s">
        <v>16075</v>
      </c>
      <c r="L7377" t="s">
        <v>16219</v>
      </c>
      <c r="N7377" t="s">
        <v>22406</v>
      </c>
    </row>
    <row r="7378" spans="1:14">
      <c r="A7378" t="s">
        <v>22407</v>
      </c>
      <c r="B7378" t="s">
        <v>22408</v>
      </c>
      <c r="C7378" t="s">
        <v>22409</v>
      </c>
      <c r="D7378" t="s">
        <v>22410</v>
      </c>
      <c r="E7378" t="s">
        <v>22411</v>
      </c>
      <c r="F7378" t="s">
        <v>22412</v>
      </c>
      <c r="J7378" t="s">
        <v>22411</v>
      </c>
      <c r="K7378" t="s">
        <v>22407</v>
      </c>
      <c r="L7378" t="s">
        <v>916</v>
      </c>
    </row>
    <row r="7379" spans="1:14">
      <c r="A7379" t="s">
        <v>22407</v>
      </c>
      <c r="B7379" t="s">
        <v>22408</v>
      </c>
      <c r="C7379" t="s">
        <v>22413</v>
      </c>
      <c r="D7379" t="s">
        <v>22410</v>
      </c>
      <c r="E7379" t="s">
        <v>22414</v>
      </c>
      <c r="F7379" t="s">
        <v>22415</v>
      </c>
      <c r="J7379" t="s">
        <v>22414</v>
      </c>
      <c r="K7379" t="s">
        <v>22407</v>
      </c>
      <c r="L7379" t="s">
        <v>916</v>
      </c>
    </row>
    <row r="7380" spans="1:14">
      <c r="A7380" t="s">
        <v>22407</v>
      </c>
      <c r="B7380" t="s">
        <v>22408</v>
      </c>
      <c r="C7380" t="s">
        <v>22416</v>
      </c>
      <c r="D7380" t="s">
        <v>22410</v>
      </c>
      <c r="E7380" t="s">
        <v>22417</v>
      </c>
      <c r="F7380" t="s">
        <v>22418</v>
      </c>
      <c r="J7380" t="s">
        <v>22417</v>
      </c>
      <c r="K7380" t="s">
        <v>22407</v>
      </c>
      <c r="L7380" t="s">
        <v>916</v>
      </c>
    </row>
    <row r="7381" spans="1:14">
      <c r="A7381" t="s">
        <v>22407</v>
      </c>
      <c r="B7381" t="s">
        <v>22408</v>
      </c>
      <c r="C7381" t="s">
        <v>22419</v>
      </c>
      <c r="D7381" t="s">
        <v>22410</v>
      </c>
      <c r="E7381" t="s">
        <v>10926</v>
      </c>
      <c r="F7381" t="s">
        <v>22420</v>
      </c>
      <c r="J7381" t="s">
        <v>10926</v>
      </c>
      <c r="K7381" t="s">
        <v>22407</v>
      </c>
      <c r="L7381" t="s">
        <v>916</v>
      </c>
    </row>
    <row r="7382" spans="1:14">
      <c r="A7382" t="s">
        <v>22407</v>
      </c>
      <c r="B7382" t="s">
        <v>22408</v>
      </c>
      <c r="C7382" t="s">
        <v>22421</v>
      </c>
      <c r="D7382" t="s">
        <v>22410</v>
      </c>
      <c r="E7382" t="s">
        <v>22422</v>
      </c>
      <c r="F7382" t="s">
        <v>22423</v>
      </c>
      <c r="J7382" t="s">
        <v>22422</v>
      </c>
      <c r="K7382" t="s">
        <v>22407</v>
      </c>
      <c r="L7382" t="s">
        <v>916</v>
      </c>
    </row>
    <row r="7383" spans="1:14">
      <c r="A7383" t="s">
        <v>22407</v>
      </c>
      <c r="B7383" t="s">
        <v>22408</v>
      </c>
      <c r="C7383" t="s">
        <v>22424</v>
      </c>
      <c r="D7383" t="s">
        <v>22410</v>
      </c>
      <c r="E7383" t="s">
        <v>22425</v>
      </c>
      <c r="F7383" t="s">
        <v>22426</v>
      </c>
      <c r="J7383" t="s">
        <v>22425</v>
      </c>
      <c r="K7383" t="s">
        <v>22407</v>
      </c>
      <c r="L7383" t="s">
        <v>916</v>
      </c>
    </row>
    <row r="7384" spans="1:14">
      <c r="A7384" t="s">
        <v>22407</v>
      </c>
      <c r="B7384" t="s">
        <v>22408</v>
      </c>
      <c r="C7384" t="s">
        <v>22427</v>
      </c>
      <c r="D7384" t="s">
        <v>22410</v>
      </c>
      <c r="E7384" t="s">
        <v>22428</v>
      </c>
      <c r="F7384" t="s">
        <v>22429</v>
      </c>
      <c r="J7384" t="s">
        <v>22428</v>
      </c>
      <c r="K7384" t="s">
        <v>22407</v>
      </c>
      <c r="L7384" t="s">
        <v>916</v>
      </c>
    </row>
    <row r="7385" spans="1:14">
      <c r="A7385" t="s">
        <v>22407</v>
      </c>
      <c r="B7385" t="s">
        <v>22408</v>
      </c>
      <c r="C7385" t="s">
        <v>22430</v>
      </c>
      <c r="D7385" t="s">
        <v>22410</v>
      </c>
      <c r="E7385" t="s">
        <v>18080</v>
      </c>
      <c r="F7385" t="s">
        <v>22431</v>
      </c>
      <c r="J7385" t="s">
        <v>18080</v>
      </c>
      <c r="K7385" t="s">
        <v>22407</v>
      </c>
      <c r="L7385" t="s">
        <v>916</v>
      </c>
    </row>
    <row r="7386" spans="1:14">
      <c r="A7386" t="s">
        <v>22407</v>
      </c>
      <c r="B7386" t="s">
        <v>22408</v>
      </c>
      <c r="C7386" t="s">
        <v>22432</v>
      </c>
      <c r="D7386" t="s">
        <v>22410</v>
      </c>
      <c r="E7386" t="s">
        <v>22433</v>
      </c>
      <c r="F7386" t="s">
        <v>22434</v>
      </c>
      <c r="J7386" t="s">
        <v>22433</v>
      </c>
      <c r="K7386" t="s">
        <v>22407</v>
      </c>
      <c r="L7386" t="s">
        <v>916</v>
      </c>
    </row>
    <row r="7387" spans="1:14">
      <c r="A7387" t="s">
        <v>22407</v>
      </c>
      <c r="B7387" t="s">
        <v>22408</v>
      </c>
      <c r="C7387" t="s">
        <v>22435</v>
      </c>
      <c r="D7387" t="s">
        <v>22410</v>
      </c>
      <c r="E7387" t="s">
        <v>22436</v>
      </c>
      <c r="F7387" t="s">
        <v>22437</v>
      </c>
      <c r="J7387" t="s">
        <v>22436</v>
      </c>
      <c r="K7387" t="s">
        <v>22407</v>
      </c>
      <c r="L7387" t="s">
        <v>916</v>
      </c>
    </row>
    <row r="7388" spans="1:14">
      <c r="A7388" t="s">
        <v>22407</v>
      </c>
      <c r="B7388" t="s">
        <v>22408</v>
      </c>
      <c r="C7388" t="s">
        <v>22438</v>
      </c>
      <c r="D7388" t="s">
        <v>22410</v>
      </c>
      <c r="E7388" t="s">
        <v>18542</v>
      </c>
      <c r="F7388" t="s">
        <v>22439</v>
      </c>
      <c r="J7388" t="s">
        <v>18542</v>
      </c>
      <c r="K7388" t="s">
        <v>22407</v>
      </c>
      <c r="L7388" t="s">
        <v>916</v>
      </c>
    </row>
    <row r="7389" spans="1:14">
      <c r="A7389" t="s">
        <v>22407</v>
      </c>
      <c r="B7389" t="s">
        <v>22408</v>
      </c>
      <c r="C7389" t="s">
        <v>22440</v>
      </c>
      <c r="D7389" t="s">
        <v>22410</v>
      </c>
      <c r="E7389" t="s">
        <v>22441</v>
      </c>
      <c r="F7389" t="s">
        <v>22442</v>
      </c>
      <c r="J7389" t="s">
        <v>22441</v>
      </c>
      <c r="K7389" t="s">
        <v>22407</v>
      </c>
      <c r="L7389" t="s">
        <v>916</v>
      </c>
    </row>
    <row r="7390" spans="1:14">
      <c r="A7390" t="s">
        <v>22407</v>
      </c>
      <c r="B7390" t="s">
        <v>22408</v>
      </c>
      <c r="C7390" t="s">
        <v>22443</v>
      </c>
      <c r="D7390" t="s">
        <v>22410</v>
      </c>
      <c r="E7390" t="s">
        <v>9357</v>
      </c>
      <c r="F7390" t="s">
        <v>22444</v>
      </c>
      <c r="J7390" t="s">
        <v>9357</v>
      </c>
      <c r="K7390" t="s">
        <v>22407</v>
      </c>
      <c r="L7390" t="s">
        <v>916</v>
      </c>
    </row>
    <row r="7391" spans="1:14">
      <c r="A7391" t="s">
        <v>22407</v>
      </c>
      <c r="B7391" t="s">
        <v>22408</v>
      </c>
      <c r="C7391" t="s">
        <v>22445</v>
      </c>
      <c r="D7391" t="s">
        <v>22410</v>
      </c>
      <c r="E7391" t="s">
        <v>22446</v>
      </c>
      <c r="F7391" t="s">
        <v>22447</v>
      </c>
      <c r="J7391" t="s">
        <v>22446</v>
      </c>
      <c r="K7391" t="s">
        <v>22407</v>
      </c>
      <c r="L7391" t="s">
        <v>916</v>
      </c>
    </row>
    <row r="7392" spans="1:14">
      <c r="A7392" t="s">
        <v>22407</v>
      </c>
      <c r="B7392" t="s">
        <v>22408</v>
      </c>
      <c r="C7392" t="s">
        <v>22448</v>
      </c>
      <c r="D7392" t="s">
        <v>22410</v>
      </c>
      <c r="E7392" t="s">
        <v>7318</v>
      </c>
      <c r="F7392" t="s">
        <v>22449</v>
      </c>
      <c r="J7392" t="s">
        <v>7318</v>
      </c>
      <c r="K7392" t="s">
        <v>22407</v>
      </c>
      <c r="L7392" t="s">
        <v>916</v>
      </c>
    </row>
    <row r="7393" spans="1:12">
      <c r="A7393" t="s">
        <v>22407</v>
      </c>
      <c r="B7393" t="s">
        <v>22408</v>
      </c>
      <c r="C7393" t="s">
        <v>22450</v>
      </c>
      <c r="D7393" t="s">
        <v>22410</v>
      </c>
      <c r="E7393" t="s">
        <v>22451</v>
      </c>
      <c r="F7393" t="s">
        <v>22452</v>
      </c>
      <c r="J7393" t="s">
        <v>22451</v>
      </c>
      <c r="K7393" t="s">
        <v>22407</v>
      </c>
      <c r="L7393" t="s">
        <v>916</v>
      </c>
    </row>
    <row r="7394" spans="1:12">
      <c r="A7394" t="s">
        <v>22407</v>
      </c>
      <c r="B7394" t="s">
        <v>22408</v>
      </c>
      <c r="C7394" t="s">
        <v>22453</v>
      </c>
      <c r="D7394" t="s">
        <v>22410</v>
      </c>
      <c r="E7394" t="s">
        <v>22454</v>
      </c>
      <c r="F7394" t="s">
        <v>22455</v>
      </c>
      <c r="J7394" t="s">
        <v>22454</v>
      </c>
      <c r="K7394" t="s">
        <v>22407</v>
      </c>
      <c r="L7394" t="s">
        <v>916</v>
      </c>
    </row>
    <row r="7395" spans="1:12">
      <c r="A7395" t="s">
        <v>22407</v>
      </c>
      <c r="B7395" t="s">
        <v>22408</v>
      </c>
      <c r="C7395" t="s">
        <v>22456</v>
      </c>
      <c r="D7395" t="s">
        <v>22410</v>
      </c>
      <c r="E7395" t="s">
        <v>19054</v>
      </c>
      <c r="F7395" t="s">
        <v>22457</v>
      </c>
      <c r="J7395" t="s">
        <v>19054</v>
      </c>
      <c r="K7395" t="s">
        <v>22407</v>
      </c>
      <c r="L7395" t="s">
        <v>916</v>
      </c>
    </row>
    <row r="7396" spans="1:12">
      <c r="A7396" t="s">
        <v>22407</v>
      </c>
      <c r="B7396" t="s">
        <v>22408</v>
      </c>
      <c r="C7396" t="s">
        <v>22458</v>
      </c>
      <c r="D7396" t="s">
        <v>22410</v>
      </c>
      <c r="E7396" t="s">
        <v>22459</v>
      </c>
      <c r="F7396" t="s">
        <v>22460</v>
      </c>
      <c r="J7396" t="s">
        <v>22459</v>
      </c>
      <c r="K7396" t="s">
        <v>22407</v>
      </c>
      <c r="L7396" t="s">
        <v>916</v>
      </c>
    </row>
    <row r="7397" spans="1:12">
      <c r="A7397" t="s">
        <v>22407</v>
      </c>
      <c r="B7397" t="s">
        <v>22408</v>
      </c>
      <c r="C7397" t="s">
        <v>22461</v>
      </c>
      <c r="D7397" t="s">
        <v>22410</v>
      </c>
      <c r="E7397" t="s">
        <v>22462</v>
      </c>
      <c r="F7397" t="s">
        <v>22463</v>
      </c>
      <c r="J7397" t="s">
        <v>22462</v>
      </c>
      <c r="K7397" t="s">
        <v>22407</v>
      </c>
      <c r="L7397" t="s">
        <v>916</v>
      </c>
    </row>
    <row r="7398" spans="1:12">
      <c r="A7398" t="s">
        <v>22407</v>
      </c>
      <c r="B7398" t="s">
        <v>22408</v>
      </c>
      <c r="C7398" t="s">
        <v>22464</v>
      </c>
      <c r="D7398" t="s">
        <v>22410</v>
      </c>
      <c r="E7398" t="s">
        <v>22465</v>
      </c>
      <c r="F7398" t="s">
        <v>22466</v>
      </c>
      <c r="J7398" t="s">
        <v>22465</v>
      </c>
      <c r="K7398" t="s">
        <v>22407</v>
      </c>
      <c r="L7398" t="s">
        <v>916</v>
      </c>
    </row>
    <row r="7399" spans="1:12">
      <c r="A7399" t="s">
        <v>22407</v>
      </c>
      <c r="B7399" t="s">
        <v>22408</v>
      </c>
      <c r="C7399" t="s">
        <v>22467</v>
      </c>
      <c r="D7399" t="s">
        <v>22410</v>
      </c>
      <c r="E7399" t="s">
        <v>22468</v>
      </c>
      <c r="F7399" t="s">
        <v>22469</v>
      </c>
      <c r="J7399" t="s">
        <v>22468</v>
      </c>
      <c r="K7399" t="s">
        <v>22407</v>
      </c>
      <c r="L7399" t="s">
        <v>916</v>
      </c>
    </row>
    <row r="7400" spans="1:12">
      <c r="A7400" t="s">
        <v>22407</v>
      </c>
      <c r="B7400" t="s">
        <v>22408</v>
      </c>
      <c r="C7400" t="s">
        <v>22470</v>
      </c>
      <c r="D7400" t="s">
        <v>22410</v>
      </c>
      <c r="E7400" t="s">
        <v>22471</v>
      </c>
      <c r="F7400" t="s">
        <v>22472</v>
      </c>
      <c r="J7400" t="s">
        <v>22471</v>
      </c>
      <c r="K7400" t="s">
        <v>22407</v>
      </c>
      <c r="L7400" t="s">
        <v>916</v>
      </c>
    </row>
    <row r="7401" spans="1:12">
      <c r="A7401" t="s">
        <v>22407</v>
      </c>
      <c r="B7401" t="s">
        <v>22408</v>
      </c>
      <c r="C7401" t="s">
        <v>22473</v>
      </c>
      <c r="D7401" t="s">
        <v>22410</v>
      </c>
      <c r="E7401" t="s">
        <v>22474</v>
      </c>
      <c r="F7401" t="s">
        <v>22475</v>
      </c>
      <c r="J7401" t="s">
        <v>22474</v>
      </c>
      <c r="K7401" t="s">
        <v>22407</v>
      </c>
      <c r="L7401" t="s">
        <v>916</v>
      </c>
    </row>
    <row r="7402" spans="1:12">
      <c r="A7402" t="s">
        <v>22407</v>
      </c>
      <c r="B7402" t="s">
        <v>22408</v>
      </c>
      <c r="C7402" t="s">
        <v>22476</v>
      </c>
      <c r="D7402" t="s">
        <v>22410</v>
      </c>
      <c r="E7402" t="s">
        <v>22477</v>
      </c>
      <c r="F7402" t="s">
        <v>11219</v>
      </c>
      <c r="J7402" t="s">
        <v>22477</v>
      </c>
      <c r="K7402" t="s">
        <v>22407</v>
      </c>
      <c r="L7402" t="s">
        <v>916</v>
      </c>
    </row>
    <row r="7403" spans="1:12">
      <c r="A7403" t="s">
        <v>22407</v>
      </c>
      <c r="B7403" t="s">
        <v>22408</v>
      </c>
      <c r="C7403" t="s">
        <v>22478</v>
      </c>
      <c r="D7403" t="s">
        <v>22410</v>
      </c>
      <c r="E7403" t="s">
        <v>22479</v>
      </c>
      <c r="F7403" t="s">
        <v>22480</v>
      </c>
      <c r="J7403" t="s">
        <v>22479</v>
      </c>
      <c r="K7403" t="s">
        <v>22407</v>
      </c>
      <c r="L7403" t="s">
        <v>916</v>
      </c>
    </row>
    <row r="7404" spans="1:12">
      <c r="A7404" t="s">
        <v>22407</v>
      </c>
      <c r="B7404" t="s">
        <v>22408</v>
      </c>
      <c r="C7404" t="s">
        <v>22481</v>
      </c>
      <c r="D7404" t="s">
        <v>22410</v>
      </c>
      <c r="E7404" t="s">
        <v>906</v>
      </c>
      <c r="F7404" t="s">
        <v>22482</v>
      </c>
      <c r="J7404" t="s">
        <v>906</v>
      </c>
      <c r="K7404" t="s">
        <v>22407</v>
      </c>
      <c r="L7404" t="s">
        <v>916</v>
      </c>
    </row>
    <row r="7405" spans="1:12">
      <c r="A7405" t="s">
        <v>22407</v>
      </c>
      <c r="B7405" t="s">
        <v>22408</v>
      </c>
      <c r="C7405" t="s">
        <v>22483</v>
      </c>
      <c r="D7405" t="s">
        <v>22410</v>
      </c>
      <c r="E7405" t="s">
        <v>22484</v>
      </c>
      <c r="F7405" t="s">
        <v>22485</v>
      </c>
      <c r="J7405" t="s">
        <v>22484</v>
      </c>
      <c r="K7405" t="s">
        <v>22407</v>
      </c>
      <c r="L7405" t="s">
        <v>916</v>
      </c>
    </row>
    <row r="7406" spans="1:12">
      <c r="A7406" t="s">
        <v>22407</v>
      </c>
      <c r="B7406" t="s">
        <v>22408</v>
      </c>
      <c r="C7406" t="s">
        <v>22486</v>
      </c>
      <c r="D7406" t="s">
        <v>22410</v>
      </c>
      <c r="E7406" t="s">
        <v>655</v>
      </c>
      <c r="F7406" t="s">
        <v>656</v>
      </c>
    </row>
    <row r="7407" spans="1:12">
      <c r="A7407" t="s">
        <v>22487</v>
      </c>
      <c r="B7407" t="s">
        <v>22488</v>
      </c>
      <c r="C7407" t="s">
        <v>22489</v>
      </c>
      <c r="D7407" t="s">
        <v>30</v>
      </c>
      <c r="E7407" t="s">
        <v>16781</v>
      </c>
      <c r="F7407" t="s">
        <v>22490</v>
      </c>
      <c r="J7407" t="s">
        <v>16781</v>
      </c>
      <c r="K7407" t="s">
        <v>22491</v>
      </c>
      <c r="L7407" t="s">
        <v>863</v>
      </c>
    </row>
    <row r="7408" spans="1:12">
      <c r="A7408" t="s">
        <v>22487</v>
      </c>
      <c r="B7408" t="s">
        <v>22488</v>
      </c>
      <c r="C7408" t="s">
        <v>22492</v>
      </c>
      <c r="D7408" t="s">
        <v>30</v>
      </c>
      <c r="E7408" t="s">
        <v>655</v>
      </c>
      <c r="F7408" t="s">
        <v>656</v>
      </c>
    </row>
    <row r="7409" spans="1:12">
      <c r="A7409" t="s">
        <v>22493</v>
      </c>
      <c r="B7409" t="s">
        <v>22494</v>
      </c>
      <c r="C7409" t="s">
        <v>22495</v>
      </c>
      <c r="D7409" t="s">
        <v>22496</v>
      </c>
      <c r="E7409" t="s">
        <v>22497</v>
      </c>
      <c r="F7409" t="s">
        <v>22498</v>
      </c>
      <c r="J7409" t="s">
        <v>22497</v>
      </c>
      <c r="K7409" t="s">
        <v>22499</v>
      </c>
      <c r="L7409" t="s">
        <v>3638</v>
      </c>
    </row>
    <row r="7410" spans="1:12">
      <c r="A7410" t="s">
        <v>22493</v>
      </c>
      <c r="B7410" t="s">
        <v>22494</v>
      </c>
      <c r="C7410" t="s">
        <v>22500</v>
      </c>
      <c r="D7410" t="s">
        <v>22496</v>
      </c>
      <c r="E7410" t="s">
        <v>10603</v>
      </c>
      <c r="F7410" t="s">
        <v>22501</v>
      </c>
    </row>
    <row r="7411" spans="1:12">
      <c r="A7411" t="s">
        <v>22493</v>
      </c>
      <c r="B7411" t="s">
        <v>22494</v>
      </c>
      <c r="C7411" t="s">
        <v>22502</v>
      </c>
      <c r="D7411" t="s">
        <v>22496</v>
      </c>
      <c r="E7411" t="s">
        <v>18181</v>
      </c>
      <c r="F7411" t="s">
        <v>22503</v>
      </c>
    </row>
    <row r="7412" spans="1:12">
      <c r="A7412" t="s">
        <v>22493</v>
      </c>
      <c r="B7412" t="s">
        <v>22494</v>
      </c>
      <c r="C7412" t="s">
        <v>22504</v>
      </c>
      <c r="D7412" t="s">
        <v>22496</v>
      </c>
      <c r="E7412" t="s">
        <v>18259</v>
      </c>
      <c r="F7412" t="s">
        <v>22505</v>
      </c>
      <c r="J7412" t="s">
        <v>18259</v>
      </c>
      <c r="K7412" t="s">
        <v>22499</v>
      </c>
      <c r="L7412" t="s">
        <v>3638</v>
      </c>
    </row>
    <row r="7413" spans="1:12">
      <c r="A7413" t="s">
        <v>22493</v>
      </c>
      <c r="B7413" t="s">
        <v>22494</v>
      </c>
      <c r="C7413" t="s">
        <v>22506</v>
      </c>
      <c r="D7413" t="s">
        <v>22496</v>
      </c>
      <c r="E7413" t="s">
        <v>6790</v>
      </c>
      <c r="F7413" t="s">
        <v>22507</v>
      </c>
      <c r="J7413" t="s">
        <v>6790</v>
      </c>
      <c r="K7413" t="s">
        <v>22499</v>
      </c>
      <c r="L7413" t="s">
        <v>3638</v>
      </c>
    </row>
    <row r="7414" spans="1:12">
      <c r="A7414" t="s">
        <v>22493</v>
      </c>
      <c r="B7414" t="s">
        <v>22494</v>
      </c>
      <c r="C7414" t="s">
        <v>22508</v>
      </c>
      <c r="D7414" t="s">
        <v>22496</v>
      </c>
      <c r="E7414" t="s">
        <v>18532</v>
      </c>
      <c r="F7414" t="s">
        <v>22509</v>
      </c>
      <c r="J7414" t="s">
        <v>18532</v>
      </c>
      <c r="K7414" t="s">
        <v>22499</v>
      </c>
      <c r="L7414" t="s">
        <v>3638</v>
      </c>
    </row>
    <row r="7415" spans="1:12">
      <c r="A7415" t="s">
        <v>22493</v>
      </c>
      <c r="B7415" t="s">
        <v>22494</v>
      </c>
      <c r="C7415" t="s">
        <v>22510</v>
      </c>
      <c r="D7415" t="s">
        <v>22496</v>
      </c>
      <c r="E7415" t="s">
        <v>22511</v>
      </c>
      <c r="F7415" t="s">
        <v>22512</v>
      </c>
      <c r="J7415" t="s">
        <v>22511</v>
      </c>
      <c r="K7415" t="s">
        <v>22499</v>
      </c>
      <c r="L7415" t="s">
        <v>3638</v>
      </c>
    </row>
    <row r="7416" spans="1:12">
      <c r="A7416" t="s">
        <v>22493</v>
      </c>
      <c r="B7416" t="s">
        <v>22494</v>
      </c>
      <c r="C7416" t="s">
        <v>22513</v>
      </c>
      <c r="D7416" t="s">
        <v>22496</v>
      </c>
      <c r="E7416" t="s">
        <v>22514</v>
      </c>
      <c r="F7416" t="s">
        <v>22515</v>
      </c>
      <c r="J7416" t="s">
        <v>22514</v>
      </c>
      <c r="K7416" t="s">
        <v>22499</v>
      </c>
      <c r="L7416" t="s">
        <v>3638</v>
      </c>
    </row>
    <row r="7417" spans="1:12">
      <c r="A7417" t="s">
        <v>22493</v>
      </c>
      <c r="B7417" t="s">
        <v>22494</v>
      </c>
      <c r="C7417" t="s">
        <v>22516</v>
      </c>
      <c r="D7417" t="s">
        <v>22496</v>
      </c>
      <c r="E7417" t="s">
        <v>18722</v>
      </c>
      <c r="F7417" t="s">
        <v>22517</v>
      </c>
      <c r="J7417" t="s">
        <v>18722</v>
      </c>
      <c r="K7417" t="s">
        <v>22499</v>
      </c>
      <c r="L7417" t="s">
        <v>3638</v>
      </c>
    </row>
    <row r="7418" spans="1:12">
      <c r="A7418" t="s">
        <v>22493</v>
      </c>
      <c r="B7418" t="s">
        <v>22494</v>
      </c>
      <c r="C7418" t="s">
        <v>22518</v>
      </c>
      <c r="D7418" t="s">
        <v>22496</v>
      </c>
      <c r="E7418" t="s">
        <v>19972</v>
      </c>
      <c r="F7418" t="s">
        <v>22519</v>
      </c>
      <c r="J7418" t="s">
        <v>19972</v>
      </c>
      <c r="K7418" t="s">
        <v>22499</v>
      </c>
      <c r="L7418" t="s">
        <v>3638</v>
      </c>
    </row>
    <row r="7419" spans="1:12">
      <c r="A7419" t="s">
        <v>22493</v>
      </c>
      <c r="B7419" t="s">
        <v>22494</v>
      </c>
      <c r="C7419" t="s">
        <v>22520</v>
      </c>
      <c r="D7419" t="s">
        <v>22496</v>
      </c>
      <c r="E7419" t="s">
        <v>12037</v>
      </c>
      <c r="F7419" t="s">
        <v>22521</v>
      </c>
      <c r="J7419" t="s">
        <v>12037</v>
      </c>
      <c r="K7419" t="s">
        <v>22499</v>
      </c>
      <c r="L7419" t="s">
        <v>3638</v>
      </c>
    </row>
    <row r="7420" spans="1:12">
      <c r="A7420" t="s">
        <v>22493</v>
      </c>
      <c r="B7420" t="s">
        <v>22494</v>
      </c>
      <c r="C7420" t="s">
        <v>22522</v>
      </c>
      <c r="D7420" t="s">
        <v>22496</v>
      </c>
      <c r="E7420" t="s">
        <v>22523</v>
      </c>
      <c r="F7420" t="s">
        <v>22524</v>
      </c>
      <c r="J7420" t="s">
        <v>22523</v>
      </c>
      <c r="K7420" t="s">
        <v>22499</v>
      </c>
      <c r="L7420" t="s">
        <v>3638</v>
      </c>
    </row>
    <row r="7421" spans="1:12">
      <c r="A7421" t="s">
        <v>22493</v>
      </c>
      <c r="B7421" t="s">
        <v>22494</v>
      </c>
      <c r="C7421" t="s">
        <v>22525</v>
      </c>
      <c r="D7421" t="s">
        <v>22496</v>
      </c>
      <c r="E7421" t="s">
        <v>22526</v>
      </c>
      <c r="F7421" t="s">
        <v>22527</v>
      </c>
      <c r="J7421" t="s">
        <v>22526</v>
      </c>
      <c r="K7421" t="s">
        <v>22499</v>
      </c>
      <c r="L7421" t="s">
        <v>3638</v>
      </c>
    </row>
    <row r="7422" spans="1:12">
      <c r="A7422" t="s">
        <v>22493</v>
      </c>
      <c r="B7422" t="s">
        <v>22494</v>
      </c>
      <c r="C7422" t="s">
        <v>22528</v>
      </c>
      <c r="D7422" t="s">
        <v>22496</v>
      </c>
      <c r="E7422" t="s">
        <v>9927</v>
      </c>
      <c r="F7422" t="s">
        <v>22529</v>
      </c>
    </row>
    <row r="7423" spans="1:12">
      <c r="A7423" t="s">
        <v>22493</v>
      </c>
      <c r="B7423" t="s">
        <v>22494</v>
      </c>
      <c r="C7423" t="s">
        <v>22530</v>
      </c>
      <c r="D7423" t="s">
        <v>22496</v>
      </c>
      <c r="E7423" t="s">
        <v>22531</v>
      </c>
      <c r="F7423" t="s">
        <v>22532</v>
      </c>
      <c r="J7423" t="s">
        <v>22531</v>
      </c>
      <c r="K7423" t="s">
        <v>22499</v>
      </c>
      <c r="L7423" t="s">
        <v>3638</v>
      </c>
    </row>
    <row r="7424" spans="1:12">
      <c r="A7424" t="s">
        <v>22493</v>
      </c>
      <c r="B7424" t="s">
        <v>22494</v>
      </c>
      <c r="C7424" t="s">
        <v>22533</v>
      </c>
      <c r="D7424" t="s">
        <v>22496</v>
      </c>
      <c r="E7424" t="s">
        <v>655</v>
      </c>
      <c r="F7424" t="s">
        <v>656</v>
      </c>
    </row>
    <row r="7425" spans="1:12">
      <c r="A7425" t="s">
        <v>22534</v>
      </c>
      <c r="B7425" t="s">
        <v>22535</v>
      </c>
      <c r="C7425" t="s">
        <v>22536</v>
      </c>
      <c r="D7425" t="s">
        <v>22537</v>
      </c>
      <c r="E7425" t="s">
        <v>22538</v>
      </c>
      <c r="F7425" t="s">
        <v>22539</v>
      </c>
      <c r="J7425" t="s">
        <v>22538</v>
      </c>
      <c r="K7425" t="s">
        <v>22540</v>
      </c>
      <c r="L7425" t="s">
        <v>1389</v>
      </c>
    </row>
    <row r="7426" spans="1:12">
      <c r="A7426" t="s">
        <v>22534</v>
      </c>
      <c r="B7426" t="s">
        <v>22535</v>
      </c>
      <c r="C7426" t="s">
        <v>22541</v>
      </c>
      <c r="D7426" t="s">
        <v>22537</v>
      </c>
      <c r="E7426" t="s">
        <v>8397</v>
      </c>
      <c r="F7426" t="s">
        <v>22542</v>
      </c>
      <c r="J7426" t="s">
        <v>8397</v>
      </c>
      <c r="K7426" t="s">
        <v>22540</v>
      </c>
      <c r="L7426" t="s">
        <v>1389</v>
      </c>
    </row>
    <row r="7427" spans="1:12">
      <c r="A7427" t="s">
        <v>22534</v>
      </c>
      <c r="B7427" t="s">
        <v>22535</v>
      </c>
      <c r="C7427" t="s">
        <v>22543</v>
      </c>
      <c r="D7427" t="s">
        <v>22537</v>
      </c>
      <c r="E7427" t="s">
        <v>22544</v>
      </c>
      <c r="F7427" t="s">
        <v>22545</v>
      </c>
      <c r="J7427" t="s">
        <v>22544</v>
      </c>
      <c r="K7427" t="s">
        <v>22540</v>
      </c>
      <c r="L7427" t="s">
        <v>1389</v>
      </c>
    </row>
    <row r="7428" spans="1:12">
      <c r="A7428" t="s">
        <v>22534</v>
      </c>
      <c r="B7428" t="s">
        <v>22535</v>
      </c>
      <c r="C7428" t="s">
        <v>22546</v>
      </c>
      <c r="D7428" t="s">
        <v>22537</v>
      </c>
      <c r="E7428" t="s">
        <v>22547</v>
      </c>
      <c r="F7428" t="s">
        <v>22548</v>
      </c>
      <c r="J7428" t="s">
        <v>22547</v>
      </c>
      <c r="K7428" t="s">
        <v>22540</v>
      </c>
      <c r="L7428" t="s">
        <v>1389</v>
      </c>
    </row>
    <row r="7429" spans="1:12">
      <c r="A7429" t="s">
        <v>22534</v>
      </c>
      <c r="B7429" t="s">
        <v>22535</v>
      </c>
      <c r="C7429" t="s">
        <v>22549</v>
      </c>
      <c r="D7429" t="s">
        <v>22537</v>
      </c>
      <c r="E7429" t="s">
        <v>1541</v>
      </c>
      <c r="F7429" t="s">
        <v>22550</v>
      </c>
      <c r="J7429" t="s">
        <v>1541</v>
      </c>
      <c r="K7429" t="s">
        <v>22540</v>
      </c>
      <c r="L7429" t="s">
        <v>1389</v>
      </c>
    </row>
    <row r="7430" spans="1:12">
      <c r="A7430" t="s">
        <v>22534</v>
      </c>
      <c r="B7430" t="s">
        <v>22535</v>
      </c>
      <c r="C7430" t="s">
        <v>22551</v>
      </c>
      <c r="D7430" t="s">
        <v>22537</v>
      </c>
      <c r="E7430" t="s">
        <v>22552</v>
      </c>
      <c r="F7430" t="s">
        <v>22553</v>
      </c>
      <c r="J7430" t="s">
        <v>22552</v>
      </c>
      <c r="K7430" t="s">
        <v>22540</v>
      </c>
      <c r="L7430" t="s">
        <v>1389</v>
      </c>
    </row>
    <row r="7431" spans="1:12">
      <c r="A7431" t="s">
        <v>22534</v>
      </c>
      <c r="B7431" t="s">
        <v>22535</v>
      </c>
      <c r="C7431" t="s">
        <v>22554</v>
      </c>
      <c r="D7431" t="s">
        <v>22537</v>
      </c>
      <c r="E7431" t="s">
        <v>22555</v>
      </c>
      <c r="F7431" t="s">
        <v>22556</v>
      </c>
      <c r="J7431" t="s">
        <v>22555</v>
      </c>
      <c r="K7431" t="s">
        <v>22540</v>
      </c>
      <c r="L7431" t="s">
        <v>1389</v>
      </c>
    </row>
    <row r="7432" spans="1:12">
      <c r="A7432" t="s">
        <v>22534</v>
      </c>
      <c r="B7432" t="s">
        <v>22535</v>
      </c>
      <c r="C7432" t="s">
        <v>22557</v>
      </c>
      <c r="D7432" t="s">
        <v>22537</v>
      </c>
      <c r="E7432" t="s">
        <v>22558</v>
      </c>
      <c r="F7432" t="s">
        <v>22559</v>
      </c>
      <c r="J7432" t="s">
        <v>22558</v>
      </c>
      <c r="K7432" t="s">
        <v>22540</v>
      </c>
      <c r="L7432" t="s">
        <v>1389</v>
      </c>
    </row>
    <row r="7433" spans="1:12">
      <c r="A7433" t="s">
        <v>22534</v>
      </c>
      <c r="B7433" t="s">
        <v>22535</v>
      </c>
      <c r="C7433" t="s">
        <v>22560</v>
      </c>
      <c r="D7433" t="s">
        <v>22537</v>
      </c>
      <c r="E7433" t="s">
        <v>8908</v>
      </c>
      <c r="F7433" t="s">
        <v>22561</v>
      </c>
    </row>
    <row r="7434" spans="1:12">
      <c r="A7434" t="s">
        <v>22534</v>
      </c>
      <c r="B7434" t="s">
        <v>22535</v>
      </c>
      <c r="C7434" t="s">
        <v>22562</v>
      </c>
      <c r="D7434" t="s">
        <v>22537</v>
      </c>
      <c r="E7434" t="s">
        <v>18578</v>
      </c>
      <c r="F7434" t="s">
        <v>22563</v>
      </c>
      <c r="J7434" t="s">
        <v>18578</v>
      </c>
      <c r="K7434" t="s">
        <v>22540</v>
      </c>
      <c r="L7434" t="s">
        <v>1389</v>
      </c>
    </row>
    <row r="7435" spans="1:12">
      <c r="A7435" t="s">
        <v>22534</v>
      </c>
      <c r="B7435" t="s">
        <v>22535</v>
      </c>
      <c r="C7435" t="s">
        <v>22564</v>
      </c>
      <c r="D7435" t="s">
        <v>22537</v>
      </c>
      <c r="E7435" t="s">
        <v>22565</v>
      </c>
      <c r="F7435" t="s">
        <v>22566</v>
      </c>
      <c r="J7435" t="s">
        <v>22565</v>
      </c>
      <c r="K7435" t="s">
        <v>22540</v>
      </c>
      <c r="L7435" t="s">
        <v>1389</v>
      </c>
    </row>
    <row r="7436" spans="1:12">
      <c r="A7436" t="s">
        <v>22534</v>
      </c>
      <c r="B7436" t="s">
        <v>22535</v>
      </c>
      <c r="C7436" t="s">
        <v>22567</v>
      </c>
      <c r="D7436" t="s">
        <v>22537</v>
      </c>
      <c r="E7436" t="s">
        <v>19153</v>
      </c>
      <c r="F7436" t="s">
        <v>22568</v>
      </c>
      <c r="J7436" t="s">
        <v>19153</v>
      </c>
      <c r="K7436" t="s">
        <v>22540</v>
      </c>
      <c r="L7436" t="s">
        <v>1389</v>
      </c>
    </row>
    <row r="7437" spans="1:12">
      <c r="A7437" t="s">
        <v>22534</v>
      </c>
      <c r="B7437" t="s">
        <v>22535</v>
      </c>
      <c r="C7437" t="s">
        <v>22569</v>
      </c>
      <c r="D7437" t="s">
        <v>22537</v>
      </c>
      <c r="E7437" t="s">
        <v>19236</v>
      </c>
      <c r="F7437" t="s">
        <v>22570</v>
      </c>
      <c r="J7437" t="s">
        <v>19236</v>
      </c>
      <c r="K7437" t="s">
        <v>22540</v>
      </c>
      <c r="L7437" t="s">
        <v>1389</v>
      </c>
    </row>
    <row r="7438" spans="1:12">
      <c r="A7438" t="s">
        <v>22534</v>
      </c>
      <c r="B7438" t="s">
        <v>22535</v>
      </c>
      <c r="C7438" t="s">
        <v>22571</v>
      </c>
      <c r="D7438" t="s">
        <v>22537</v>
      </c>
      <c r="E7438" t="s">
        <v>22572</v>
      </c>
      <c r="F7438" t="s">
        <v>22573</v>
      </c>
      <c r="J7438" t="s">
        <v>22572</v>
      </c>
      <c r="K7438" t="s">
        <v>22540</v>
      </c>
      <c r="L7438" t="s">
        <v>1389</v>
      </c>
    </row>
    <row r="7439" spans="1:12">
      <c r="A7439" t="s">
        <v>22534</v>
      </c>
      <c r="B7439" t="s">
        <v>22535</v>
      </c>
      <c r="C7439" t="s">
        <v>22574</v>
      </c>
      <c r="D7439" t="s">
        <v>22537</v>
      </c>
      <c r="E7439" t="s">
        <v>9623</v>
      </c>
      <c r="F7439" t="s">
        <v>22575</v>
      </c>
      <c r="J7439" t="s">
        <v>9623</v>
      </c>
      <c r="K7439" t="s">
        <v>22540</v>
      </c>
      <c r="L7439" t="s">
        <v>1389</v>
      </c>
    </row>
    <row r="7440" spans="1:12">
      <c r="A7440" t="s">
        <v>22534</v>
      </c>
      <c r="B7440" t="s">
        <v>22535</v>
      </c>
      <c r="C7440" t="s">
        <v>22576</v>
      </c>
      <c r="D7440" t="s">
        <v>22537</v>
      </c>
      <c r="E7440" t="s">
        <v>22577</v>
      </c>
      <c r="F7440" t="s">
        <v>22578</v>
      </c>
      <c r="J7440" t="s">
        <v>22577</v>
      </c>
      <c r="K7440" t="s">
        <v>22540</v>
      </c>
      <c r="L7440" t="s">
        <v>1389</v>
      </c>
    </row>
    <row r="7441" spans="1:12">
      <c r="A7441" t="s">
        <v>22534</v>
      </c>
      <c r="B7441" t="s">
        <v>22535</v>
      </c>
      <c r="C7441" t="s">
        <v>22579</v>
      </c>
      <c r="D7441" t="s">
        <v>22537</v>
      </c>
      <c r="E7441" t="s">
        <v>22580</v>
      </c>
      <c r="F7441" t="s">
        <v>22581</v>
      </c>
    </row>
    <row r="7442" spans="1:12">
      <c r="A7442" t="s">
        <v>22534</v>
      </c>
      <c r="B7442" t="s">
        <v>22535</v>
      </c>
      <c r="C7442" t="s">
        <v>22582</v>
      </c>
      <c r="D7442" t="s">
        <v>22537</v>
      </c>
      <c r="E7442" t="s">
        <v>22583</v>
      </c>
      <c r="F7442" t="s">
        <v>22584</v>
      </c>
      <c r="J7442" t="s">
        <v>22583</v>
      </c>
      <c r="K7442" t="s">
        <v>22540</v>
      </c>
      <c r="L7442" t="s">
        <v>1389</v>
      </c>
    </row>
    <row r="7443" spans="1:12">
      <c r="A7443" t="s">
        <v>22534</v>
      </c>
      <c r="B7443" t="s">
        <v>22535</v>
      </c>
      <c r="C7443" t="s">
        <v>22585</v>
      </c>
      <c r="D7443" t="s">
        <v>22537</v>
      </c>
      <c r="E7443" t="s">
        <v>21149</v>
      </c>
      <c r="F7443" t="s">
        <v>22586</v>
      </c>
      <c r="J7443" t="s">
        <v>21149</v>
      </c>
      <c r="K7443" t="s">
        <v>22540</v>
      </c>
      <c r="L7443" t="s">
        <v>1389</v>
      </c>
    </row>
    <row r="7444" spans="1:12">
      <c r="A7444" t="s">
        <v>22534</v>
      </c>
      <c r="B7444" t="s">
        <v>22535</v>
      </c>
      <c r="C7444" t="s">
        <v>22587</v>
      </c>
      <c r="D7444" t="s">
        <v>22537</v>
      </c>
      <c r="E7444" t="s">
        <v>22588</v>
      </c>
      <c r="F7444" t="s">
        <v>22589</v>
      </c>
      <c r="J7444" t="s">
        <v>22588</v>
      </c>
      <c r="K7444" t="s">
        <v>22540</v>
      </c>
      <c r="L7444" t="s">
        <v>1389</v>
      </c>
    </row>
    <row r="7445" spans="1:12">
      <c r="A7445" t="s">
        <v>22534</v>
      </c>
      <c r="B7445" t="s">
        <v>22535</v>
      </c>
      <c r="C7445" t="s">
        <v>22590</v>
      </c>
      <c r="D7445" t="s">
        <v>22537</v>
      </c>
      <c r="E7445" t="s">
        <v>21339</v>
      </c>
      <c r="F7445" t="s">
        <v>22591</v>
      </c>
      <c r="J7445" t="s">
        <v>21339</v>
      </c>
      <c r="K7445" t="s">
        <v>22540</v>
      </c>
      <c r="L7445" t="s">
        <v>1389</v>
      </c>
    </row>
    <row r="7446" spans="1:12">
      <c r="A7446" t="s">
        <v>22534</v>
      </c>
      <c r="B7446" t="s">
        <v>22535</v>
      </c>
      <c r="C7446" t="s">
        <v>22592</v>
      </c>
      <c r="D7446" t="s">
        <v>22537</v>
      </c>
      <c r="E7446" t="s">
        <v>21717</v>
      </c>
      <c r="F7446" t="s">
        <v>22593</v>
      </c>
    </row>
    <row r="7447" spans="1:12">
      <c r="A7447" t="s">
        <v>22534</v>
      </c>
      <c r="B7447" t="s">
        <v>22535</v>
      </c>
      <c r="C7447" t="s">
        <v>22594</v>
      </c>
      <c r="D7447" t="s">
        <v>22537</v>
      </c>
      <c r="E7447" t="s">
        <v>655</v>
      </c>
      <c r="F7447" t="s">
        <v>656</v>
      </c>
    </row>
    <row r="7448" spans="1:12">
      <c r="A7448" t="s">
        <v>22595</v>
      </c>
      <c r="B7448" t="s">
        <v>22596</v>
      </c>
      <c r="C7448" t="s">
        <v>22597</v>
      </c>
      <c r="D7448" t="s">
        <v>22598</v>
      </c>
      <c r="E7448" t="s">
        <v>16171</v>
      </c>
      <c r="F7448" t="s">
        <v>22599</v>
      </c>
      <c r="J7448" t="s">
        <v>16171</v>
      </c>
      <c r="K7448" t="s">
        <v>22600</v>
      </c>
      <c r="L7448" t="s">
        <v>916</v>
      </c>
    </row>
    <row r="7449" spans="1:12">
      <c r="A7449" t="s">
        <v>22595</v>
      </c>
      <c r="B7449" t="s">
        <v>22596</v>
      </c>
      <c r="C7449" t="s">
        <v>22601</v>
      </c>
      <c r="D7449" t="s">
        <v>22598</v>
      </c>
      <c r="E7449" t="s">
        <v>22602</v>
      </c>
      <c r="F7449" t="s">
        <v>22603</v>
      </c>
    </row>
    <row r="7450" spans="1:12">
      <c r="A7450" t="s">
        <v>22595</v>
      </c>
      <c r="B7450" t="s">
        <v>22596</v>
      </c>
      <c r="C7450" t="s">
        <v>22604</v>
      </c>
      <c r="D7450" t="s">
        <v>22598</v>
      </c>
      <c r="E7450" t="s">
        <v>16941</v>
      </c>
      <c r="F7450" t="s">
        <v>22605</v>
      </c>
      <c r="J7450" t="s">
        <v>16941</v>
      </c>
      <c r="K7450" t="s">
        <v>22600</v>
      </c>
      <c r="L7450" t="s">
        <v>916</v>
      </c>
    </row>
    <row r="7451" spans="1:12">
      <c r="A7451" t="s">
        <v>22595</v>
      </c>
      <c r="B7451" t="s">
        <v>22596</v>
      </c>
      <c r="C7451" t="s">
        <v>22606</v>
      </c>
      <c r="D7451" t="s">
        <v>22598</v>
      </c>
      <c r="E7451" t="s">
        <v>19642</v>
      </c>
      <c r="F7451" t="s">
        <v>22607</v>
      </c>
      <c r="J7451" t="s">
        <v>19642</v>
      </c>
      <c r="K7451" t="s">
        <v>22600</v>
      </c>
      <c r="L7451" t="s">
        <v>916</v>
      </c>
    </row>
    <row r="7452" spans="1:12">
      <c r="A7452" t="s">
        <v>22595</v>
      </c>
      <c r="B7452" t="s">
        <v>22596</v>
      </c>
      <c r="C7452" t="s">
        <v>22608</v>
      </c>
      <c r="D7452" t="s">
        <v>22598</v>
      </c>
      <c r="E7452" t="s">
        <v>22609</v>
      </c>
      <c r="F7452" t="s">
        <v>22610</v>
      </c>
      <c r="J7452" t="s">
        <v>22609</v>
      </c>
      <c r="K7452" t="s">
        <v>22600</v>
      </c>
      <c r="L7452" t="s">
        <v>916</v>
      </c>
    </row>
    <row r="7453" spans="1:12">
      <c r="A7453" t="s">
        <v>22595</v>
      </c>
      <c r="B7453" t="s">
        <v>22596</v>
      </c>
      <c r="C7453" t="s">
        <v>22611</v>
      </c>
      <c r="D7453" t="s">
        <v>22598</v>
      </c>
      <c r="E7453" t="s">
        <v>655</v>
      </c>
      <c r="F7453" t="s">
        <v>656</v>
      </c>
    </row>
    <row r="7454" spans="1:12">
      <c r="A7454" t="s">
        <v>22612</v>
      </c>
      <c r="B7454" t="s">
        <v>22613</v>
      </c>
      <c r="C7454" t="s">
        <v>22614</v>
      </c>
      <c r="D7454" t="s">
        <v>22615</v>
      </c>
      <c r="E7454" t="s">
        <v>7136</v>
      </c>
      <c r="F7454" t="s">
        <v>22616</v>
      </c>
    </row>
    <row r="7455" spans="1:12">
      <c r="A7455" t="s">
        <v>22612</v>
      </c>
      <c r="B7455" t="s">
        <v>22613</v>
      </c>
      <c r="C7455" t="s">
        <v>22617</v>
      </c>
      <c r="D7455" t="s">
        <v>22615</v>
      </c>
      <c r="E7455" t="s">
        <v>22618</v>
      </c>
      <c r="F7455" t="s">
        <v>22619</v>
      </c>
      <c r="J7455" t="s">
        <v>22618</v>
      </c>
      <c r="K7455" t="s">
        <v>22620</v>
      </c>
      <c r="L7455" t="s">
        <v>814</v>
      </c>
    </row>
    <row r="7456" spans="1:12">
      <c r="A7456" t="s">
        <v>22612</v>
      </c>
      <c r="B7456" t="s">
        <v>22613</v>
      </c>
      <c r="C7456" t="s">
        <v>22621</v>
      </c>
      <c r="D7456" t="s">
        <v>22615</v>
      </c>
      <c r="E7456" t="s">
        <v>11456</v>
      </c>
      <c r="F7456" t="s">
        <v>22622</v>
      </c>
      <c r="J7456" t="s">
        <v>11456</v>
      </c>
      <c r="K7456" t="s">
        <v>22620</v>
      </c>
      <c r="L7456" t="s">
        <v>814</v>
      </c>
    </row>
    <row r="7457" spans="1:12">
      <c r="A7457" t="s">
        <v>22612</v>
      </c>
      <c r="B7457" t="s">
        <v>22613</v>
      </c>
      <c r="C7457" t="s">
        <v>22623</v>
      </c>
      <c r="D7457" t="s">
        <v>22615</v>
      </c>
      <c r="E7457" t="s">
        <v>655</v>
      </c>
      <c r="F7457" t="s">
        <v>656</v>
      </c>
    </row>
    <row r="7458" spans="1:12">
      <c r="A7458" t="s">
        <v>22624</v>
      </c>
      <c r="B7458" t="s">
        <v>22625</v>
      </c>
      <c r="C7458" t="s">
        <v>22626</v>
      </c>
      <c r="D7458" t="s">
        <v>22627</v>
      </c>
      <c r="E7458" t="s">
        <v>16498</v>
      </c>
      <c r="F7458" t="s">
        <v>22628</v>
      </c>
    </row>
    <row r="7459" spans="1:12">
      <c r="A7459" t="s">
        <v>22624</v>
      </c>
      <c r="B7459" t="s">
        <v>22625</v>
      </c>
      <c r="C7459" t="s">
        <v>22629</v>
      </c>
      <c r="D7459" t="s">
        <v>22627</v>
      </c>
      <c r="E7459" t="s">
        <v>22630</v>
      </c>
      <c r="F7459" t="s">
        <v>22631</v>
      </c>
      <c r="J7459" t="s">
        <v>22630</v>
      </c>
      <c r="K7459" t="s">
        <v>22632</v>
      </c>
      <c r="L7459" t="s">
        <v>3638</v>
      </c>
    </row>
    <row r="7460" spans="1:12">
      <c r="A7460" t="s">
        <v>22624</v>
      </c>
      <c r="B7460" t="s">
        <v>22625</v>
      </c>
      <c r="C7460" t="s">
        <v>22633</v>
      </c>
      <c r="D7460" t="s">
        <v>22627</v>
      </c>
      <c r="E7460" t="s">
        <v>22634</v>
      </c>
      <c r="F7460" t="s">
        <v>22635</v>
      </c>
    </row>
    <row r="7461" spans="1:12">
      <c r="A7461" t="s">
        <v>22624</v>
      </c>
      <c r="B7461" t="s">
        <v>22625</v>
      </c>
      <c r="C7461" t="s">
        <v>22636</v>
      </c>
      <c r="D7461" t="s">
        <v>22627</v>
      </c>
      <c r="E7461" t="s">
        <v>16934</v>
      </c>
      <c r="F7461" t="s">
        <v>22637</v>
      </c>
    </row>
    <row r="7462" spans="1:12">
      <c r="A7462" t="s">
        <v>22624</v>
      </c>
      <c r="B7462" t="s">
        <v>22625</v>
      </c>
      <c r="C7462" t="s">
        <v>22638</v>
      </c>
      <c r="D7462" t="s">
        <v>22627</v>
      </c>
      <c r="E7462" t="s">
        <v>9125</v>
      </c>
      <c r="F7462" t="s">
        <v>22639</v>
      </c>
    </row>
    <row r="7463" spans="1:12">
      <c r="A7463" t="s">
        <v>22624</v>
      </c>
      <c r="B7463" t="s">
        <v>22625</v>
      </c>
      <c r="C7463" t="s">
        <v>22640</v>
      </c>
      <c r="D7463" t="s">
        <v>22627</v>
      </c>
      <c r="E7463" t="s">
        <v>14424</v>
      </c>
      <c r="F7463" t="s">
        <v>22641</v>
      </c>
    </row>
    <row r="7464" spans="1:12">
      <c r="A7464" t="s">
        <v>22624</v>
      </c>
      <c r="B7464" t="s">
        <v>22625</v>
      </c>
      <c r="C7464" t="s">
        <v>22642</v>
      </c>
      <c r="D7464" t="s">
        <v>22627</v>
      </c>
      <c r="E7464" t="s">
        <v>6616</v>
      </c>
      <c r="F7464" t="s">
        <v>22643</v>
      </c>
    </row>
    <row r="7465" spans="1:12">
      <c r="A7465" t="s">
        <v>22624</v>
      </c>
      <c r="B7465" t="s">
        <v>22625</v>
      </c>
      <c r="C7465" t="s">
        <v>22644</v>
      </c>
      <c r="D7465" t="s">
        <v>22627</v>
      </c>
      <c r="E7465" t="s">
        <v>22645</v>
      </c>
      <c r="F7465" t="s">
        <v>22646</v>
      </c>
    </row>
    <row r="7466" spans="1:12">
      <c r="A7466" t="s">
        <v>22624</v>
      </c>
      <c r="B7466" t="s">
        <v>22625</v>
      </c>
      <c r="C7466" t="s">
        <v>22647</v>
      </c>
      <c r="D7466" t="s">
        <v>22627</v>
      </c>
      <c r="E7466" t="s">
        <v>15421</v>
      </c>
      <c r="F7466" t="s">
        <v>22648</v>
      </c>
    </row>
    <row r="7467" spans="1:12">
      <c r="A7467" t="s">
        <v>22624</v>
      </c>
      <c r="B7467" t="s">
        <v>22625</v>
      </c>
      <c r="C7467" t="s">
        <v>22649</v>
      </c>
      <c r="D7467" t="s">
        <v>22627</v>
      </c>
      <c r="E7467" t="s">
        <v>9933</v>
      </c>
      <c r="F7467" t="s">
        <v>22650</v>
      </c>
    </row>
    <row r="7468" spans="1:12">
      <c r="A7468" t="s">
        <v>22624</v>
      </c>
      <c r="B7468" t="s">
        <v>22625</v>
      </c>
      <c r="C7468" t="s">
        <v>22651</v>
      </c>
      <c r="D7468" t="s">
        <v>22627</v>
      </c>
      <c r="E7468" t="s">
        <v>3151</v>
      </c>
      <c r="F7468" t="s">
        <v>22652</v>
      </c>
    </row>
    <row r="7469" spans="1:12">
      <c r="A7469" t="s">
        <v>22624</v>
      </c>
      <c r="B7469" t="s">
        <v>22625</v>
      </c>
      <c r="C7469" t="s">
        <v>22653</v>
      </c>
      <c r="D7469" t="s">
        <v>22627</v>
      </c>
      <c r="E7469" t="s">
        <v>655</v>
      </c>
      <c r="F7469" t="s">
        <v>656</v>
      </c>
    </row>
    <row r="7470" spans="1:12">
      <c r="A7470" t="s">
        <v>22654</v>
      </c>
      <c r="B7470" t="s">
        <v>22655</v>
      </c>
      <c r="C7470" t="s">
        <v>22656</v>
      </c>
      <c r="D7470" t="s">
        <v>22657</v>
      </c>
      <c r="E7470" t="s">
        <v>22658</v>
      </c>
      <c r="F7470" t="s">
        <v>22659</v>
      </c>
    </row>
    <row r="7471" spans="1:12">
      <c r="A7471" t="s">
        <v>22654</v>
      </c>
      <c r="B7471" t="s">
        <v>22655</v>
      </c>
      <c r="C7471" t="s">
        <v>22660</v>
      </c>
      <c r="D7471" t="s">
        <v>22657</v>
      </c>
      <c r="E7471" t="s">
        <v>4924</v>
      </c>
      <c r="F7471" t="s">
        <v>22661</v>
      </c>
    </row>
    <row r="7472" spans="1:12">
      <c r="A7472" t="s">
        <v>22654</v>
      </c>
      <c r="B7472" t="s">
        <v>22655</v>
      </c>
      <c r="C7472" t="s">
        <v>22662</v>
      </c>
      <c r="D7472" t="s">
        <v>22657</v>
      </c>
      <c r="E7472" t="s">
        <v>12442</v>
      </c>
      <c r="F7472" t="s">
        <v>22663</v>
      </c>
      <c r="J7472" t="s">
        <v>12442</v>
      </c>
      <c r="K7472" t="s">
        <v>22664</v>
      </c>
      <c r="L7472" t="s">
        <v>3638</v>
      </c>
    </row>
    <row r="7473" spans="1:12">
      <c r="A7473" t="s">
        <v>22654</v>
      </c>
      <c r="B7473" t="s">
        <v>22655</v>
      </c>
      <c r="C7473" t="s">
        <v>22665</v>
      </c>
      <c r="D7473" t="s">
        <v>22657</v>
      </c>
      <c r="E7473" t="s">
        <v>22666</v>
      </c>
      <c r="F7473" t="s">
        <v>22667</v>
      </c>
      <c r="J7473" t="s">
        <v>22666</v>
      </c>
      <c r="K7473" t="s">
        <v>22664</v>
      </c>
      <c r="L7473" t="s">
        <v>3638</v>
      </c>
    </row>
    <row r="7474" spans="1:12">
      <c r="A7474" t="s">
        <v>22654</v>
      </c>
      <c r="B7474" t="s">
        <v>22655</v>
      </c>
      <c r="C7474" t="s">
        <v>22668</v>
      </c>
      <c r="D7474" t="s">
        <v>22657</v>
      </c>
      <c r="E7474" t="s">
        <v>16518</v>
      </c>
      <c r="F7474" t="s">
        <v>22661</v>
      </c>
      <c r="J7474" t="s">
        <v>16518</v>
      </c>
      <c r="K7474" t="s">
        <v>22664</v>
      </c>
      <c r="L7474" t="s">
        <v>3638</v>
      </c>
    </row>
    <row r="7475" spans="1:12">
      <c r="A7475" t="s">
        <v>22654</v>
      </c>
      <c r="B7475" t="s">
        <v>22655</v>
      </c>
      <c r="C7475" t="s">
        <v>22669</v>
      </c>
      <c r="D7475" t="s">
        <v>22657</v>
      </c>
      <c r="E7475" t="s">
        <v>22670</v>
      </c>
      <c r="F7475" t="s">
        <v>22671</v>
      </c>
      <c r="J7475" t="s">
        <v>22670</v>
      </c>
      <c r="K7475" t="s">
        <v>22664</v>
      </c>
      <c r="L7475" t="s">
        <v>3638</v>
      </c>
    </row>
    <row r="7476" spans="1:12">
      <c r="A7476" t="s">
        <v>22654</v>
      </c>
      <c r="B7476" t="s">
        <v>22655</v>
      </c>
      <c r="C7476" t="s">
        <v>22672</v>
      </c>
      <c r="D7476" t="s">
        <v>22657</v>
      </c>
      <c r="E7476" t="s">
        <v>17072</v>
      </c>
      <c r="F7476" t="s">
        <v>22673</v>
      </c>
      <c r="J7476" t="s">
        <v>17072</v>
      </c>
      <c r="K7476" t="s">
        <v>22664</v>
      </c>
      <c r="L7476" t="s">
        <v>3638</v>
      </c>
    </row>
    <row r="7477" spans="1:12">
      <c r="A7477" t="s">
        <v>22654</v>
      </c>
      <c r="B7477" t="s">
        <v>22655</v>
      </c>
      <c r="C7477" t="s">
        <v>22674</v>
      </c>
      <c r="D7477" t="s">
        <v>22657</v>
      </c>
      <c r="E7477" t="s">
        <v>22675</v>
      </c>
      <c r="F7477" t="s">
        <v>22676</v>
      </c>
      <c r="J7477" t="s">
        <v>22675</v>
      </c>
      <c r="K7477" t="s">
        <v>22664</v>
      </c>
      <c r="L7477" t="s">
        <v>3638</v>
      </c>
    </row>
    <row r="7478" spans="1:12">
      <c r="A7478" t="s">
        <v>22654</v>
      </c>
      <c r="B7478" t="s">
        <v>22655</v>
      </c>
      <c r="C7478" t="s">
        <v>22677</v>
      </c>
      <c r="D7478" t="s">
        <v>22657</v>
      </c>
      <c r="E7478" t="s">
        <v>7265</v>
      </c>
      <c r="F7478" t="s">
        <v>22678</v>
      </c>
    </row>
    <row r="7479" spans="1:12">
      <c r="A7479" t="s">
        <v>22654</v>
      </c>
      <c r="B7479" t="s">
        <v>22655</v>
      </c>
      <c r="C7479" t="s">
        <v>22679</v>
      </c>
      <c r="D7479" t="s">
        <v>22657</v>
      </c>
      <c r="E7479" t="s">
        <v>17841</v>
      </c>
      <c r="F7479" t="s">
        <v>22680</v>
      </c>
      <c r="J7479" t="s">
        <v>17841</v>
      </c>
      <c r="K7479" t="s">
        <v>22664</v>
      </c>
      <c r="L7479" t="s">
        <v>3638</v>
      </c>
    </row>
    <row r="7480" spans="1:12">
      <c r="A7480" t="s">
        <v>22654</v>
      </c>
      <c r="B7480" t="s">
        <v>22655</v>
      </c>
      <c r="C7480" t="s">
        <v>22681</v>
      </c>
      <c r="D7480" t="s">
        <v>22657</v>
      </c>
      <c r="E7480" t="s">
        <v>3483</v>
      </c>
      <c r="F7480" t="s">
        <v>22682</v>
      </c>
    </row>
    <row r="7481" spans="1:12">
      <c r="A7481" t="s">
        <v>22654</v>
      </c>
      <c r="B7481" t="s">
        <v>22655</v>
      </c>
      <c r="C7481" t="s">
        <v>22683</v>
      </c>
      <c r="D7481" t="s">
        <v>22657</v>
      </c>
      <c r="E7481" t="s">
        <v>7298</v>
      </c>
      <c r="F7481" t="s">
        <v>22684</v>
      </c>
    </row>
    <row r="7482" spans="1:12">
      <c r="A7482" t="s">
        <v>22654</v>
      </c>
      <c r="B7482" t="s">
        <v>22655</v>
      </c>
      <c r="C7482" t="s">
        <v>22685</v>
      </c>
      <c r="D7482" t="s">
        <v>22657</v>
      </c>
      <c r="E7482" t="s">
        <v>22686</v>
      </c>
      <c r="F7482" t="s">
        <v>22687</v>
      </c>
    </row>
    <row r="7483" spans="1:12">
      <c r="A7483" t="s">
        <v>22654</v>
      </c>
      <c r="B7483" t="s">
        <v>22655</v>
      </c>
      <c r="C7483" t="s">
        <v>22688</v>
      </c>
      <c r="D7483" t="s">
        <v>22657</v>
      </c>
      <c r="E7483" t="s">
        <v>22689</v>
      </c>
      <c r="F7483" t="s">
        <v>22690</v>
      </c>
      <c r="J7483" t="s">
        <v>22689</v>
      </c>
      <c r="K7483" t="s">
        <v>22664</v>
      </c>
      <c r="L7483" t="s">
        <v>3638</v>
      </c>
    </row>
    <row r="7484" spans="1:12">
      <c r="A7484" t="s">
        <v>22654</v>
      </c>
      <c r="B7484" t="s">
        <v>22655</v>
      </c>
      <c r="C7484" t="s">
        <v>22691</v>
      </c>
      <c r="D7484" t="s">
        <v>22657</v>
      </c>
      <c r="E7484" t="s">
        <v>22692</v>
      </c>
      <c r="F7484" t="s">
        <v>22693</v>
      </c>
      <c r="J7484" t="s">
        <v>22692</v>
      </c>
      <c r="K7484" t="s">
        <v>22664</v>
      </c>
      <c r="L7484" t="s">
        <v>3638</v>
      </c>
    </row>
    <row r="7485" spans="1:12">
      <c r="A7485" t="s">
        <v>22654</v>
      </c>
      <c r="B7485" t="s">
        <v>22655</v>
      </c>
      <c r="C7485" t="s">
        <v>22694</v>
      </c>
      <c r="D7485" t="s">
        <v>22657</v>
      </c>
      <c r="E7485" t="s">
        <v>18631</v>
      </c>
      <c r="F7485" t="s">
        <v>22695</v>
      </c>
      <c r="J7485" t="s">
        <v>18631</v>
      </c>
      <c r="K7485" t="s">
        <v>22664</v>
      </c>
      <c r="L7485" t="s">
        <v>3638</v>
      </c>
    </row>
    <row r="7486" spans="1:12">
      <c r="A7486" t="s">
        <v>22654</v>
      </c>
      <c r="B7486" t="s">
        <v>22655</v>
      </c>
      <c r="C7486" t="s">
        <v>22696</v>
      </c>
      <c r="D7486" t="s">
        <v>22657</v>
      </c>
      <c r="E7486" t="s">
        <v>18648</v>
      </c>
      <c r="F7486" t="s">
        <v>22697</v>
      </c>
      <c r="J7486" t="s">
        <v>18648</v>
      </c>
      <c r="K7486" t="s">
        <v>22664</v>
      </c>
      <c r="L7486" t="s">
        <v>3638</v>
      </c>
    </row>
    <row r="7487" spans="1:12">
      <c r="A7487" t="s">
        <v>22654</v>
      </c>
      <c r="B7487" t="s">
        <v>22655</v>
      </c>
      <c r="C7487" t="s">
        <v>22698</v>
      </c>
      <c r="D7487" t="s">
        <v>22657</v>
      </c>
      <c r="E7487" t="s">
        <v>18775</v>
      </c>
      <c r="F7487" t="s">
        <v>22699</v>
      </c>
    </row>
    <row r="7488" spans="1:12">
      <c r="A7488" t="s">
        <v>22654</v>
      </c>
      <c r="B7488" t="s">
        <v>22655</v>
      </c>
      <c r="C7488" t="s">
        <v>22700</v>
      </c>
      <c r="D7488" t="s">
        <v>22657</v>
      </c>
      <c r="E7488" t="s">
        <v>14910</v>
      </c>
      <c r="F7488" t="s">
        <v>22701</v>
      </c>
    </row>
    <row r="7489" spans="1:12">
      <c r="A7489" t="s">
        <v>22654</v>
      </c>
      <c r="B7489" t="s">
        <v>22655</v>
      </c>
      <c r="C7489" t="s">
        <v>22702</v>
      </c>
      <c r="D7489" t="s">
        <v>22657</v>
      </c>
      <c r="E7489" t="s">
        <v>6835</v>
      </c>
      <c r="F7489" t="s">
        <v>22703</v>
      </c>
    </row>
    <row r="7490" spans="1:12">
      <c r="A7490" t="s">
        <v>22654</v>
      </c>
      <c r="B7490" t="s">
        <v>22655</v>
      </c>
      <c r="C7490" t="s">
        <v>22704</v>
      </c>
      <c r="D7490" t="s">
        <v>22657</v>
      </c>
      <c r="E7490" t="s">
        <v>6864</v>
      </c>
      <c r="F7490" t="s">
        <v>22705</v>
      </c>
    </row>
    <row r="7491" spans="1:12">
      <c r="A7491" t="s">
        <v>22654</v>
      </c>
      <c r="B7491" t="s">
        <v>22655</v>
      </c>
      <c r="C7491" t="s">
        <v>22706</v>
      </c>
      <c r="D7491" t="s">
        <v>22657</v>
      </c>
      <c r="E7491" t="s">
        <v>19886</v>
      </c>
      <c r="F7491" t="s">
        <v>22707</v>
      </c>
    </row>
    <row r="7492" spans="1:12">
      <c r="A7492" t="s">
        <v>22654</v>
      </c>
      <c r="B7492" t="s">
        <v>22655</v>
      </c>
      <c r="C7492" t="s">
        <v>22708</v>
      </c>
      <c r="D7492" t="s">
        <v>22657</v>
      </c>
      <c r="E7492" t="s">
        <v>19897</v>
      </c>
      <c r="F7492" t="s">
        <v>22709</v>
      </c>
    </row>
    <row r="7493" spans="1:12">
      <c r="A7493" t="s">
        <v>22654</v>
      </c>
      <c r="B7493" t="s">
        <v>22655</v>
      </c>
      <c r="C7493" t="s">
        <v>22710</v>
      </c>
      <c r="D7493" t="s">
        <v>22657</v>
      </c>
      <c r="E7493" t="s">
        <v>2691</v>
      </c>
      <c r="F7493" t="s">
        <v>22711</v>
      </c>
    </row>
    <row r="7494" spans="1:12">
      <c r="A7494" t="s">
        <v>22654</v>
      </c>
      <c r="B7494" t="s">
        <v>22655</v>
      </c>
      <c r="C7494" t="s">
        <v>22712</v>
      </c>
      <c r="D7494" t="s">
        <v>22657</v>
      </c>
      <c r="E7494" t="s">
        <v>9696</v>
      </c>
      <c r="F7494" t="s">
        <v>22713</v>
      </c>
      <c r="J7494" t="s">
        <v>9696</v>
      </c>
      <c r="K7494" t="s">
        <v>22664</v>
      </c>
      <c r="L7494" t="s">
        <v>3638</v>
      </c>
    </row>
    <row r="7495" spans="1:12">
      <c r="A7495" t="s">
        <v>22654</v>
      </c>
      <c r="B7495" t="s">
        <v>22655</v>
      </c>
      <c r="C7495" t="s">
        <v>22714</v>
      </c>
      <c r="D7495" t="s">
        <v>22657</v>
      </c>
      <c r="E7495" t="s">
        <v>10797</v>
      </c>
      <c r="F7495" t="s">
        <v>22715</v>
      </c>
    </row>
    <row r="7496" spans="1:12">
      <c r="A7496" t="s">
        <v>22654</v>
      </c>
      <c r="B7496" t="s">
        <v>22655</v>
      </c>
      <c r="C7496" t="s">
        <v>22716</v>
      </c>
      <c r="D7496" t="s">
        <v>22657</v>
      </c>
      <c r="E7496" t="s">
        <v>22717</v>
      </c>
      <c r="F7496" t="s">
        <v>22718</v>
      </c>
      <c r="J7496" t="s">
        <v>22717</v>
      </c>
      <c r="K7496" t="s">
        <v>22664</v>
      </c>
      <c r="L7496" t="s">
        <v>3638</v>
      </c>
    </row>
    <row r="7497" spans="1:12">
      <c r="A7497" t="s">
        <v>22654</v>
      </c>
      <c r="B7497" t="s">
        <v>22655</v>
      </c>
      <c r="C7497" t="s">
        <v>22719</v>
      </c>
      <c r="D7497" t="s">
        <v>22657</v>
      </c>
      <c r="E7497" t="s">
        <v>10517</v>
      </c>
      <c r="F7497" t="s">
        <v>22720</v>
      </c>
      <c r="J7497" t="s">
        <v>10517</v>
      </c>
      <c r="K7497" t="s">
        <v>22664</v>
      </c>
      <c r="L7497" t="s">
        <v>3638</v>
      </c>
    </row>
    <row r="7498" spans="1:12">
      <c r="A7498" t="s">
        <v>22654</v>
      </c>
      <c r="B7498" t="s">
        <v>22655</v>
      </c>
      <c r="C7498" t="s">
        <v>22721</v>
      </c>
      <c r="D7498" t="s">
        <v>22657</v>
      </c>
      <c r="E7498" t="s">
        <v>12092</v>
      </c>
      <c r="F7498" t="s">
        <v>22722</v>
      </c>
    </row>
    <row r="7499" spans="1:12">
      <c r="A7499" t="s">
        <v>22654</v>
      </c>
      <c r="B7499" t="s">
        <v>22655</v>
      </c>
      <c r="C7499" t="s">
        <v>22723</v>
      </c>
      <c r="D7499" t="s">
        <v>22657</v>
      </c>
      <c r="E7499" t="s">
        <v>9898</v>
      </c>
      <c r="F7499" t="s">
        <v>22724</v>
      </c>
      <c r="J7499" t="s">
        <v>9898</v>
      </c>
      <c r="K7499" t="s">
        <v>22664</v>
      </c>
      <c r="L7499" t="s">
        <v>3638</v>
      </c>
    </row>
    <row r="7500" spans="1:12">
      <c r="A7500" t="s">
        <v>22654</v>
      </c>
      <c r="B7500" t="s">
        <v>22655</v>
      </c>
      <c r="C7500" t="s">
        <v>22725</v>
      </c>
      <c r="D7500" t="s">
        <v>22657</v>
      </c>
      <c r="E7500" t="s">
        <v>12976</v>
      </c>
      <c r="F7500" t="s">
        <v>22726</v>
      </c>
      <c r="J7500" t="s">
        <v>12976</v>
      </c>
      <c r="K7500" t="s">
        <v>22664</v>
      </c>
      <c r="L7500" t="s">
        <v>3638</v>
      </c>
    </row>
    <row r="7501" spans="1:12">
      <c r="A7501" t="s">
        <v>22654</v>
      </c>
      <c r="B7501" t="s">
        <v>22655</v>
      </c>
      <c r="C7501" t="s">
        <v>22727</v>
      </c>
      <c r="D7501" t="s">
        <v>22657</v>
      </c>
      <c r="E7501" t="s">
        <v>20777</v>
      </c>
      <c r="F7501" t="s">
        <v>22728</v>
      </c>
    </row>
    <row r="7502" spans="1:12">
      <c r="A7502" t="s">
        <v>22654</v>
      </c>
      <c r="B7502" t="s">
        <v>22655</v>
      </c>
      <c r="C7502" t="s">
        <v>22729</v>
      </c>
      <c r="D7502" t="s">
        <v>22657</v>
      </c>
      <c r="E7502" t="s">
        <v>20864</v>
      </c>
      <c r="F7502" t="s">
        <v>22730</v>
      </c>
      <c r="J7502" t="s">
        <v>20864</v>
      </c>
      <c r="K7502" t="s">
        <v>22664</v>
      </c>
      <c r="L7502" t="s">
        <v>3638</v>
      </c>
    </row>
    <row r="7503" spans="1:12">
      <c r="A7503" t="s">
        <v>22654</v>
      </c>
      <c r="B7503" t="s">
        <v>22655</v>
      </c>
      <c r="C7503" t="s">
        <v>22731</v>
      </c>
      <c r="D7503" t="s">
        <v>22657</v>
      </c>
      <c r="E7503" t="s">
        <v>22732</v>
      </c>
      <c r="F7503" t="s">
        <v>22733</v>
      </c>
    </row>
    <row r="7504" spans="1:12">
      <c r="A7504" t="s">
        <v>22654</v>
      </c>
      <c r="B7504" t="s">
        <v>22655</v>
      </c>
      <c r="C7504" t="s">
        <v>22734</v>
      </c>
      <c r="D7504" t="s">
        <v>22657</v>
      </c>
      <c r="E7504" t="s">
        <v>7488</v>
      </c>
      <c r="F7504" t="s">
        <v>22735</v>
      </c>
    </row>
    <row r="7505" spans="1:12">
      <c r="A7505" t="s">
        <v>22654</v>
      </c>
      <c r="B7505" t="s">
        <v>22655</v>
      </c>
      <c r="C7505" t="s">
        <v>22736</v>
      </c>
      <c r="D7505" t="s">
        <v>22657</v>
      </c>
      <c r="E7505" t="s">
        <v>3038</v>
      </c>
      <c r="F7505" t="s">
        <v>22737</v>
      </c>
    </row>
    <row r="7506" spans="1:12">
      <c r="A7506" t="s">
        <v>22654</v>
      </c>
      <c r="B7506" t="s">
        <v>22655</v>
      </c>
      <c r="C7506" t="s">
        <v>22738</v>
      </c>
      <c r="D7506" t="s">
        <v>22657</v>
      </c>
      <c r="E7506" t="s">
        <v>21621</v>
      </c>
      <c r="F7506" t="s">
        <v>22739</v>
      </c>
      <c r="J7506" t="s">
        <v>21621</v>
      </c>
      <c r="K7506" t="s">
        <v>22664</v>
      </c>
      <c r="L7506" t="s">
        <v>3638</v>
      </c>
    </row>
    <row r="7507" spans="1:12">
      <c r="A7507" t="s">
        <v>22654</v>
      </c>
      <c r="B7507" t="s">
        <v>22655</v>
      </c>
      <c r="C7507" t="s">
        <v>22740</v>
      </c>
      <c r="D7507" t="s">
        <v>22657</v>
      </c>
      <c r="E7507" t="s">
        <v>3136</v>
      </c>
      <c r="F7507" t="s">
        <v>22741</v>
      </c>
    </row>
    <row r="7508" spans="1:12">
      <c r="A7508" t="s">
        <v>22654</v>
      </c>
      <c r="B7508" t="s">
        <v>22655</v>
      </c>
      <c r="C7508" t="s">
        <v>22742</v>
      </c>
      <c r="D7508" t="s">
        <v>22657</v>
      </c>
      <c r="E7508" t="s">
        <v>5769</v>
      </c>
      <c r="F7508" t="s">
        <v>22743</v>
      </c>
    </row>
    <row r="7509" spans="1:12">
      <c r="A7509" t="s">
        <v>22654</v>
      </c>
      <c r="B7509" t="s">
        <v>22655</v>
      </c>
      <c r="C7509" t="s">
        <v>22744</v>
      </c>
      <c r="D7509" t="s">
        <v>22657</v>
      </c>
      <c r="E7509" t="s">
        <v>22188</v>
      </c>
      <c r="F7509" t="s">
        <v>22720</v>
      </c>
    </row>
    <row r="7510" spans="1:12">
      <c r="A7510" t="s">
        <v>22654</v>
      </c>
      <c r="B7510" t="s">
        <v>22655</v>
      </c>
      <c r="C7510" t="s">
        <v>22745</v>
      </c>
      <c r="D7510" t="s">
        <v>22657</v>
      </c>
      <c r="E7510" t="s">
        <v>655</v>
      </c>
      <c r="F7510" t="s">
        <v>656</v>
      </c>
    </row>
    <row r="7511" spans="1:12">
      <c r="A7511" t="s">
        <v>22654</v>
      </c>
      <c r="B7511" t="s">
        <v>22655</v>
      </c>
      <c r="D7511" t="s">
        <v>22657</v>
      </c>
      <c r="F7511" t="s">
        <v>22746</v>
      </c>
      <c r="J7511" t="s">
        <v>22747</v>
      </c>
      <c r="K7511" t="s">
        <v>22664</v>
      </c>
      <c r="L7511" t="s">
        <v>3638</v>
      </c>
    </row>
    <row r="7512" spans="1:12">
      <c r="A7512" t="s">
        <v>22654</v>
      </c>
      <c r="B7512" t="s">
        <v>22655</v>
      </c>
      <c r="D7512" t="s">
        <v>22657</v>
      </c>
      <c r="F7512" t="s">
        <v>22748</v>
      </c>
      <c r="J7512" t="s">
        <v>22749</v>
      </c>
      <c r="K7512" t="s">
        <v>22664</v>
      </c>
      <c r="L7512" t="s">
        <v>3638</v>
      </c>
    </row>
    <row r="7513" spans="1:12">
      <c r="A7513" t="s">
        <v>22654</v>
      </c>
      <c r="B7513" t="s">
        <v>22655</v>
      </c>
      <c r="D7513" t="s">
        <v>22657</v>
      </c>
      <c r="F7513" t="s">
        <v>22750</v>
      </c>
      <c r="J7513" t="s">
        <v>22751</v>
      </c>
      <c r="K7513" t="s">
        <v>22664</v>
      </c>
      <c r="L7513" t="s">
        <v>3638</v>
      </c>
    </row>
    <row r="7514" spans="1:12">
      <c r="A7514" t="s">
        <v>22752</v>
      </c>
      <c r="B7514" t="s">
        <v>22753</v>
      </c>
      <c r="C7514" t="s">
        <v>22754</v>
      </c>
      <c r="D7514" t="s">
        <v>22755</v>
      </c>
      <c r="E7514" t="s">
        <v>22756</v>
      </c>
      <c r="F7514" t="s">
        <v>22757</v>
      </c>
    </row>
    <row r="7515" spans="1:12">
      <c r="A7515" t="s">
        <v>22752</v>
      </c>
      <c r="B7515" t="s">
        <v>22753</v>
      </c>
      <c r="C7515" t="s">
        <v>22758</v>
      </c>
      <c r="D7515" t="s">
        <v>22755</v>
      </c>
      <c r="E7515" t="s">
        <v>22759</v>
      </c>
      <c r="F7515" t="s">
        <v>22760</v>
      </c>
    </row>
    <row r="7516" spans="1:12">
      <c r="A7516" t="s">
        <v>22752</v>
      </c>
      <c r="B7516" t="s">
        <v>22753</v>
      </c>
      <c r="C7516" t="s">
        <v>22761</v>
      </c>
      <c r="D7516" t="s">
        <v>22755</v>
      </c>
      <c r="E7516" t="s">
        <v>4127</v>
      </c>
      <c r="F7516" t="s">
        <v>22762</v>
      </c>
    </row>
    <row r="7517" spans="1:12">
      <c r="A7517" t="s">
        <v>22752</v>
      </c>
      <c r="B7517" t="s">
        <v>22753</v>
      </c>
      <c r="C7517" t="s">
        <v>22763</v>
      </c>
      <c r="D7517" t="s">
        <v>22755</v>
      </c>
      <c r="E7517" t="s">
        <v>2305</v>
      </c>
      <c r="F7517" t="s">
        <v>22752</v>
      </c>
      <c r="J7517" t="s">
        <v>2305</v>
      </c>
      <c r="K7517" t="s">
        <v>18623</v>
      </c>
      <c r="L7517" t="s">
        <v>664</v>
      </c>
    </row>
    <row r="7518" spans="1:12">
      <c r="A7518" t="s">
        <v>22752</v>
      </c>
      <c r="B7518" t="s">
        <v>22753</v>
      </c>
      <c r="C7518" t="s">
        <v>22764</v>
      </c>
      <c r="D7518" t="s">
        <v>22755</v>
      </c>
      <c r="E7518" t="s">
        <v>2308</v>
      </c>
      <c r="F7518" t="s">
        <v>22765</v>
      </c>
    </row>
    <row r="7519" spans="1:12">
      <c r="A7519" t="s">
        <v>22752</v>
      </c>
      <c r="B7519" t="s">
        <v>22753</v>
      </c>
      <c r="C7519" t="s">
        <v>22766</v>
      </c>
      <c r="D7519" t="s">
        <v>22755</v>
      </c>
      <c r="E7519" t="s">
        <v>4163</v>
      </c>
      <c r="F7519" t="s">
        <v>22767</v>
      </c>
    </row>
    <row r="7520" spans="1:12">
      <c r="A7520" t="s">
        <v>22752</v>
      </c>
      <c r="B7520" t="s">
        <v>22753</v>
      </c>
      <c r="C7520" t="s">
        <v>22768</v>
      </c>
      <c r="D7520" t="s">
        <v>22755</v>
      </c>
      <c r="E7520" t="s">
        <v>22769</v>
      </c>
      <c r="F7520" t="s">
        <v>22770</v>
      </c>
    </row>
    <row r="7521" spans="1:12">
      <c r="A7521" t="s">
        <v>22752</v>
      </c>
      <c r="B7521" t="s">
        <v>22753</v>
      </c>
      <c r="C7521" t="s">
        <v>22771</v>
      </c>
      <c r="D7521" t="s">
        <v>22755</v>
      </c>
      <c r="E7521" t="s">
        <v>5105</v>
      </c>
      <c r="F7521" t="s">
        <v>22772</v>
      </c>
    </row>
    <row r="7522" spans="1:12">
      <c r="A7522" t="s">
        <v>22752</v>
      </c>
      <c r="B7522" t="s">
        <v>22753</v>
      </c>
      <c r="C7522" t="s">
        <v>22773</v>
      </c>
      <c r="D7522" t="s">
        <v>22755</v>
      </c>
      <c r="E7522" t="s">
        <v>22774</v>
      </c>
      <c r="F7522" t="s">
        <v>22775</v>
      </c>
    </row>
    <row r="7523" spans="1:12">
      <c r="A7523" t="s">
        <v>22752</v>
      </c>
      <c r="B7523" t="s">
        <v>22753</v>
      </c>
      <c r="C7523" t="s">
        <v>22776</v>
      </c>
      <c r="D7523" t="s">
        <v>22755</v>
      </c>
      <c r="E7523" t="s">
        <v>9845</v>
      </c>
      <c r="F7523" t="s">
        <v>22777</v>
      </c>
    </row>
    <row r="7524" spans="1:12">
      <c r="A7524" t="s">
        <v>22752</v>
      </c>
      <c r="B7524" t="s">
        <v>22753</v>
      </c>
      <c r="C7524" t="s">
        <v>22778</v>
      </c>
      <c r="D7524" t="s">
        <v>22755</v>
      </c>
      <c r="E7524" t="s">
        <v>16003</v>
      </c>
      <c r="F7524" t="s">
        <v>22779</v>
      </c>
    </row>
    <row r="7525" spans="1:12">
      <c r="A7525" t="s">
        <v>22752</v>
      </c>
      <c r="B7525" t="s">
        <v>22753</v>
      </c>
      <c r="C7525" t="s">
        <v>22780</v>
      </c>
      <c r="D7525" t="s">
        <v>22755</v>
      </c>
      <c r="E7525" t="s">
        <v>655</v>
      </c>
      <c r="F7525" t="s">
        <v>656</v>
      </c>
    </row>
    <row r="7526" spans="1:12">
      <c r="A7526" t="s">
        <v>22781</v>
      </c>
      <c r="B7526" t="s">
        <v>22782</v>
      </c>
      <c r="C7526" t="s">
        <v>22783</v>
      </c>
      <c r="D7526" t="s">
        <v>22784</v>
      </c>
      <c r="E7526" t="s">
        <v>22785</v>
      </c>
      <c r="F7526" t="s">
        <v>22786</v>
      </c>
      <c r="J7526" t="s">
        <v>22785</v>
      </c>
      <c r="K7526" t="s">
        <v>22787</v>
      </c>
      <c r="L7526" t="s">
        <v>814</v>
      </c>
    </row>
    <row r="7527" spans="1:12">
      <c r="A7527" t="s">
        <v>22781</v>
      </c>
      <c r="B7527" t="s">
        <v>22782</v>
      </c>
      <c r="C7527" t="s">
        <v>22788</v>
      </c>
      <c r="D7527" t="s">
        <v>22784</v>
      </c>
      <c r="E7527" t="s">
        <v>22789</v>
      </c>
      <c r="F7527" t="s">
        <v>22790</v>
      </c>
      <c r="J7527" t="s">
        <v>22789</v>
      </c>
      <c r="K7527" t="s">
        <v>22787</v>
      </c>
      <c r="L7527" t="s">
        <v>814</v>
      </c>
    </row>
    <row r="7528" spans="1:12">
      <c r="A7528" t="s">
        <v>22781</v>
      </c>
      <c r="B7528" t="s">
        <v>22782</v>
      </c>
      <c r="C7528" t="s">
        <v>22791</v>
      </c>
      <c r="D7528" t="s">
        <v>22784</v>
      </c>
      <c r="E7528" t="s">
        <v>22792</v>
      </c>
      <c r="F7528" t="s">
        <v>22793</v>
      </c>
      <c r="J7528" t="s">
        <v>22792</v>
      </c>
      <c r="K7528" t="s">
        <v>22787</v>
      </c>
      <c r="L7528" t="s">
        <v>814</v>
      </c>
    </row>
    <row r="7529" spans="1:12">
      <c r="A7529" t="s">
        <v>22781</v>
      </c>
      <c r="B7529" t="s">
        <v>22782</v>
      </c>
      <c r="C7529" t="s">
        <v>22794</v>
      </c>
      <c r="D7529" t="s">
        <v>22784</v>
      </c>
      <c r="E7529" t="s">
        <v>655</v>
      </c>
      <c r="F7529" t="s">
        <v>656</v>
      </c>
    </row>
    <row r="7530" spans="1:12">
      <c r="A7530" t="s">
        <v>22795</v>
      </c>
      <c r="B7530" t="s">
        <v>22796</v>
      </c>
      <c r="C7530" t="s">
        <v>22797</v>
      </c>
      <c r="D7530" t="s">
        <v>22798</v>
      </c>
      <c r="E7530" t="s">
        <v>22799</v>
      </c>
      <c r="F7530" t="s">
        <v>22800</v>
      </c>
    </row>
    <row r="7531" spans="1:12">
      <c r="A7531" t="s">
        <v>22795</v>
      </c>
      <c r="B7531" t="s">
        <v>22796</v>
      </c>
      <c r="C7531" t="s">
        <v>22801</v>
      </c>
      <c r="D7531" t="s">
        <v>22798</v>
      </c>
      <c r="E7531" t="s">
        <v>22802</v>
      </c>
      <c r="F7531" t="s">
        <v>22803</v>
      </c>
      <c r="J7531" t="s">
        <v>22802</v>
      </c>
      <c r="K7531" t="s">
        <v>22804</v>
      </c>
      <c r="L7531" t="s">
        <v>863</v>
      </c>
    </row>
    <row r="7532" spans="1:12">
      <c r="A7532" t="s">
        <v>22795</v>
      </c>
      <c r="B7532" t="s">
        <v>22796</v>
      </c>
      <c r="C7532" t="s">
        <v>22805</v>
      </c>
      <c r="D7532" t="s">
        <v>22798</v>
      </c>
      <c r="E7532" t="s">
        <v>10867</v>
      </c>
      <c r="F7532" t="s">
        <v>22806</v>
      </c>
      <c r="J7532" t="s">
        <v>10867</v>
      </c>
      <c r="K7532" t="s">
        <v>22804</v>
      </c>
      <c r="L7532" t="s">
        <v>863</v>
      </c>
    </row>
    <row r="7533" spans="1:12">
      <c r="A7533" t="s">
        <v>22795</v>
      </c>
      <c r="B7533" t="s">
        <v>22796</v>
      </c>
      <c r="C7533" t="s">
        <v>22807</v>
      </c>
      <c r="D7533" t="s">
        <v>22798</v>
      </c>
      <c r="E7533" t="s">
        <v>655</v>
      </c>
      <c r="F7533" t="s">
        <v>656</v>
      </c>
    </row>
    <row r="7534" spans="1:12">
      <c r="A7534" t="s">
        <v>22795</v>
      </c>
      <c r="B7534" t="s">
        <v>22796</v>
      </c>
      <c r="D7534" t="s">
        <v>22798</v>
      </c>
      <c r="F7534" t="s">
        <v>22808</v>
      </c>
      <c r="J7534" t="s">
        <v>22809</v>
      </c>
      <c r="K7534" t="s">
        <v>22804</v>
      </c>
      <c r="L7534" t="s">
        <v>863</v>
      </c>
    </row>
    <row r="7535" spans="1:12">
      <c r="A7535" t="s">
        <v>22810</v>
      </c>
      <c r="B7535" t="s">
        <v>22811</v>
      </c>
      <c r="C7535" t="s">
        <v>22812</v>
      </c>
      <c r="D7535" t="s">
        <v>22813</v>
      </c>
      <c r="E7535" t="s">
        <v>22814</v>
      </c>
      <c r="F7535" t="s">
        <v>22815</v>
      </c>
      <c r="J7535" t="s">
        <v>22814</v>
      </c>
      <c r="K7535" t="s">
        <v>22816</v>
      </c>
      <c r="L7535" t="s">
        <v>3638</v>
      </c>
    </row>
    <row r="7536" spans="1:12">
      <c r="A7536" t="s">
        <v>22810</v>
      </c>
      <c r="B7536" t="s">
        <v>22811</v>
      </c>
      <c r="C7536" t="s">
        <v>22817</v>
      </c>
      <c r="D7536" t="s">
        <v>22813</v>
      </c>
      <c r="E7536" t="s">
        <v>10368</v>
      </c>
      <c r="F7536" t="s">
        <v>22818</v>
      </c>
      <c r="J7536" t="s">
        <v>10368</v>
      </c>
      <c r="K7536" t="s">
        <v>22816</v>
      </c>
      <c r="L7536" t="s">
        <v>3638</v>
      </c>
    </row>
    <row r="7537" spans="1:12">
      <c r="A7537" t="s">
        <v>22810</v>
      </c>
      <c r="B7537" t="s">
        <v>22811</v>
      </c>
      <c r="C7537" t="s">
        <v>22819</v>
      </c>
      <c r="D7537" t="s">
        <v>22813</v>
      </c>
      <c r="E7537" t="s">
        <v>22820</v>
      </c>
      <c r="F7537" t="s">
        <v>22821</v>
      </c>
      <c r="J7537" t="s">
        <v>22820</v>
      </c>
      <c r="K7537" t="s">
        <v>22816</v>
      </c>
      <c r="L7537" t="s">
        <v>3638</v>
      </c>
    </row>
    <row r="7538" spans="1:12">
      <c r="A7538" t="s">
        <v>22810</v>
      </c>
      <c r="B7538" t="s">
        <v>22811</v>
      </c>
      <c r="C7538" t="s">
        <v>22822</v>
      </c>
      <c r="D7538" t="s">
        <v>22813</v>
      </c>
      <c r="E7538" t="s">
        <v>22823</v>
      </c>
      <c r="F7538" t="s">
        <v>22824</v>
      </c>
      <c r="J7538" t="s">
        <v>22823</v>
      </c>
      <c r="K7538" t="s">
        <v>22816</v>
      </c>
      <c r="L7538" t="s">
        <v>3638</v>
      </c>
    </row>
    <row r="7539" spans="1:12">
      <c r="A7539" t="s">
        <v>22810</v>
      </c>
      <c r="B7539" t="s">
        <v>22811</v>
      </c>
      <c r="C7539" t="s">
        <v>22825</v>
      </c>
      <c r="D7539" t="s">
        <v>22813</v>
      </c>
      <c r="E7539" t="s">
        <v>22826</v>
      </c>
      <c r="F7539" t="s">
        <v>22827</v>
      </c>
      <c r="J7539" t="s">
        <v>22826</v>
      </c>
      <c r="K7539" t="s">
        <v>22816</v>
      </c>
      <c r="L7539" t="s">
        <v>3638</v>
      </c>
    </row>
    <row r="7540" spans="1:12">
      <c r="A7540" t="s">
        <v>22810</v>
      </c>
      <c r="B7540" t="s">
        <v>22811</v>
      </c>
      <c r="C7540" t="s">
        <v>22828</v>
      </c>
      <c r="D7540" t="s">
        <v>22813</v>
      </c>
      <c r="E7540" t="s">
        <v>14482</v>
      </c>
      <c r="F7540" t="s">
        <v>22829</v>
      </c>
      <c r="J7540" t="s">
        <v>14482</v>
      </c>
      <c r="K7540" t="s">
        <v>22816</v>
      </c>
      <c r="L7540" t="s">
        <v>3638</v>
      </c>
    </row>
    <row r="7541" spans="1:12">
      <c r="A7541" t="s">
        <v>22810</v>
      </c>
      <c r="B7541" t="s">
        <v>22811</v>
      </c>
      <c r="C7541" t="s">
        <v>22830</v>
      </c>
      <c r="D7541" t="s">
        <v>22813</v>
      </c>
      <c r="E7541" t="s">
        <v>22831</v>
      </c>
      <c r="F7541" t="s">
        <v>22832</v>
      </c>
      <c r="J7541" t="s">
        <v>22831</v>
      </c>
      <c r="K7541" t="s">
        <v>22816</v>
      </c>
      <c r="L7541" t="s">
        <v>3638</v>
      </c>
    </row>
    <row r="7542" spans="1:12">
      <c r="A7542" t="s">
        <v>22810</v>
      </c>
      <c r="B7542" t="s">
        <v>22811</v>
      </c>
      <c r="C7542" t="s">
        <v>22833</v>
      </c>
      <c r="D7542" t="s">
        <v>22813</v>
      </c>
      <c r="E7542" t="s">
        <v>12986</v>
      </c>
      <c r="F7542" t="s">
        <v>22834</v>
      </c>
      <c r="J7542" t="s">
        <v>12986</v>
      </c>
      <c r="K7542" t="s">
        <v>22816</v>
      </c>
      <c r="L7542" t="s">
        <v>3638</v>
      </c>
    </row>
    <row r="7543" spans="1:12">
      <c r="A7543" t="s">
        <v>22810</v>
      </c>
      <c r="B7543" t="s">
        <v>22811</v>
      </c>
      <c r="C7543" t="s">
        <v>22835</v>
      </c>
      <c r="D7543" t="s">
        <v>22813</v>
      </c>
      <c r="E7543" t="s">
        <v>22836</v>
      </c>
      <c r="F7543" t="s">
        <v>22837</v>
      </c>
      <c r="J7543" t="s">
        <v>22836</v>
      </c>
      <c r="K7543" t="s">
        <v>22816</v>
      </c>
      <c r="L7543" t="s">
        <v>3638</v>
      </c>
    </row>
    <row r="7544" spans="1:12">
      <c r="A7544" t="s">
        <v>22810</v>
      </c>
      <c r="B7544" t="s">
        <v>22811</v>
      </c>
      <c r="C7544" t="s">
        <v>22838</v>
      </c>
      <c r="D7544" t="s">
        <v>22813</v>
      </c>
      <c r="E7544" t="s">
        <v>22839</v>
      </c>
      <c r="F7544" t="s">
        <v>22840</v>
      </c>
      <c r="J7544" t="s">
        <v>22839</v>
      </c>
      <c r="K7544" t="s">
        <v>22816</v>
      </c>
      <c r="L7544" t="s">
        <v>3638</v>
      </c>
    </row>
    <row r="7545" spans="1:12">
      <c r="A7545" t="s">
        <v>22810</v>
      </c>
      <c r="B7545" t="s">
        <v>22811</v>
      </c>
      <c r="C7545" t="s">
        <v>22841</v>
      </c>
      <c r="D7545" t="s">
        <v>22813</v>
      </c>
      <c r="E7545" t="s">
        <v>22842</v>
      </c>
      <c r="F7545" t="s">
        <v>22843</v>
      </c>
      <c r="J7545" t="s">
        <v>22842</v>
      </c>
      <c r="K7545" t="s">
        <v>22816</v>
      </c>
      <c r="L7545" t="s">
        <v>3638</v>
      </c>
    </row>
    <row r="7546" spans="1:12">
      <c r="A7546" t="s">
        <v>22810</v>
      </c>
      <c r="B7546" t="s">
        <v>22811</v>
      </c>
      <c r="C7546" t="s">
        <v>22844</v>
      </c>
      <c r="D7546" t="s">
        <v>22813</v>
      </c>
      <c r="E7546" t="s">
        <v>22845</v>
      </c>
      <c r="F7546" t="s">
        <v>22846</v>
      </c>
      <c r="J7546" t="s">
        <v>22845</v>
      </c>
      <c r="K7546" t="s">
        <v>22816</v>
      </c>
      <c r="L7546" t="s">
        <v>3638</v>
      </c>
    </row>
    <row r="7547" spans="1:12">
      <c r="A7547" t="s">
        <v>22810</v>
      </c>
      <c r="B7547" t="s">
        <v>22811</v>
      </c>
      <c r="C7547" t="s">
        <v>22847</v>
      </c>
      <c r="D7547" t="s">
        <v>22813</v>
      </c>
      <c r="E7547" t="s">
        <v>22848</v>
      </c>
      <c r="F7547" t="s">
        <v>22849</v>
      </c>
      <c r="J7547" t="s">
        <v>22848</v>
      </c>
      <c r="K7547" t="s">
        <v>22816</v>
      </c>
      <c r="L7547" t="s">
        <v>3638</v>
      </c>
    </row>
    <row r="7548" spans="1:12">
      <c r="A7548" t="s">
        <v>22810</v>
      </c>
      <c r="B7548" t="s">
        <v>22811</v>
      </c>
      <c r="C7548" t="s">
        <v>22850</v>
      </c>
      <c r="D7548" t="s">
        <v>22813</v>
      </c>
      <c r="E7548" t="s">
        <v>22851</v>
      </c>
      <c r="F7548" t="s">
        <v>22852</v>
      </c>
      <c r="J7548" t="s">
        <v>22851</v>
      </c>
      <c r="K7548" t="s">
        <v>22816</v>
      </c>
      <c r="L7548" t="s">
        <v>3638</v>
      </c>
    </row>
    <row r="7549" spans="1:12">
      <c r="A7549" t="s">
        <v>22810</v>
      </c>
      <c r="B7549" t="s">
        <v>22811</v>
      </c>
      <c r="C7549" t="s">
        <v>22853</v>
      </c>
      <c r="D7549" t="s">
        <v>22813</v>
      </c>
      <c r="E7549" t="s">
        <v>655</v>
      </c>
      <c r="F7549" t="s">
        <v>656</v>
      </c>
    </row>
    <row r="7550" spans="1:12">
      <c r="A7550" t="s">
        <v>22810</v>
      </c>
      <c r="B7550" t="s">
        <v>22811</v>
      </c>
      <c r="D7550" t="s">
        <v>22813</v>
      </c>
      <c r="F7550" t="s">
        <v>22854</v>
      </c>
      <c r="J7550" t="s">
        <v>22855</v>
      </c>
      <c r="K7550" t="s">
        <v>22816</v>
      </c>
      <c r="L7550" t="s">
        <v>3638</v>
      </c>
    </row>
    <row r="7551" spans="1:12">
      <c r="A7551" t="s">
        <v>22856</v>
      </c>
      <c r="B7551" t="s">
        <v>22857</v>
      </c>
      <c r="C7551" t="s">
        <v>22858</v>
      </c>
      <c r="D7551" t="s">
        <v>22859</v>
      </c>
      <c r="E7551" t="s">
        <v>14955</v>
      </c>
      <c r="F7551" t="s">
        <v>22860</v>
      </c>
      <c r="J7551" t="s">
        <v>14955</v>
      </c>
      <c r="K7551" t="s">
        <v>22861</v>
      </c>
      <c r="L7551" t="s">
        <v>664</v>
      </c>
    </row>
    <row r="7552" spans="1:12">
      <c r="A7552" t="s">
        <v>22856</v>
      </c>
      <c r="B7552" t="s">
        <v>22857</v>
      </c>
      <c r="C7552" t="s">
        <v>22862</v>
      </c>
      <c r="D7552" t="s">
        <v>22859</v>
      </c>
      <c r="E7552" t="s">
        <v>16493</v>
      </c>
      <c r="F7552" t="s">
        <v>22863</v>
      </c>
    </row>
    <row r="7553" spans="1:12">
      <c r="A7553" t="s">
        <v>22856</v>
      </c>
      <c r="B7553" t="s">
        <v>22857</v>
      </c>
      <c r="C7553" t="s">
        <v>22864</v>
      </c>
      <c r="D7553" t="s">
        <v>22859</v>
      </c>
      <c r="E7553" t="s">
        <v>22865</v>
      </c>
      <c r="F7553" t="s">
        <v>22866</v>
      </c>
    </row>
    <row r="7554" spans="1:12">
      <c r="A7554" t="s">
        <v>22856</v>
      </c>
      <c r="B7554" t="s">
        <v>22857</v>
      </c>
      <c r="C7554" t="s">
        <v>22867</v>
      </c>
      <c r="D7554" t="s">
        <v>22859</v>
      </c>
      <c r="E7554" t="s">
        <v>22868</v>
      </c>
      <c r="F7554" t="s">
        <v>22869</v>
      </c>
    </row>
    <row r="7555" spans="1:12">
      <c r="A7555" t="s">
        <v>22856</v>
      </c>
      <c r="B7555" t="s">
        <v>22857</v>
      </c>
      <c r="C7555" t="s">
        <v>22870</v>
      </c>
      <c r="D7555" t="s">
        <v>22859</v>
      </c>
      <c r="E7555" t="s">
        <v>22871</v>
      </c>
      <c r="F7555" t="s">
        <v>22872</v>
      </c>
    </row>
    <row r="7556" spans="1:12">
      <c r="A7556" t="s">
        <v>22856</v>
      </c>
      <c r="B7556" t="s">
        <v>22857</v>
      </c>
      <c r="C7556" t="s">
        <v>22873</v>
      </c>
      <c r="D7556" t="s">
        <v>22859</v>
      </c>
      <c r="E7556" t="s">
        <v>5300</v>
      </c>
      <c r="F7556" t="s">
        <v>22874</v>
      </c>
    </row>
    <row r="7557" spans="1:12">
      <c r="A7557" t="s">
        <v>22856</v>
      </c>
      <c r="B7557" t="s">
        <v>22857</v>
      </c>
      <c r="C7557" t="s">
        <v>22875</v>
      </c>
      <c r="D7557" t="s">
        <v>22859</v>
      </c>
      <c r="E7557" t="s">
        <v>655</v>
      </c>
      <c r="F7557" t="s">
        <v>656</v>
      </c>
    </row>
    <row r="7558" spans="1:12">
      <c r="A7558" t="s">
        <v>22876</v>
      </c>
      <c r="B7558" t="s">
        <v>22877</v>
      </c>
      <c r="C7558" t="s">
        <v>22878</v>
      </c>
      <c r="D7558" t="s">
        <v>22879</v>
      </c>
      <c r="E7558" t="s">
        <v>22880</v>
      </c>
      <c r="F7558" t="s">
        <v>22881</v>
      </c>
      <c r="J7558" t="s">
        <v>22880</v>
      </c>
      <c r="K7558" t="s">
        <v>22882</v>
      </c>
      <c r="L7558" t="s">
        <v>814</v>
      </c>
    </row>
    <row r="7559" spans="1:12">
      <c r="A7559" t="s">
        <v>22876</v>
      </c>
      <c r="B7559" t="s">
        <v>22877</v>
      </c>
      <c r="C7559" t="s">
        <v>22883</v>
      </c>
      <c r="D7559" t="s">
        <v>22879</v>
      </c>
      <c r="E7559" t="s">
        <v>22884</v>
      </c>
      <c r="F7559" t="s">
        <v>22881</v>
      </c>
      <c r="J7559" t="s">
        <v>22884</v>
      </c>
      <c r="K7559" t="s">
        <v>22882</v>
      </c>
      <c r="L7559" t="s">
        <v>814</v>
      </c>
    </row>
    <row r="7560" spans="1:12">
      <c r="A7560" t="s">
        <v>22876</v>
      </c>
      <c r="B7560" t="s">
        <v>22877</v>
      </c>
      <c r="C7560" t="s">
        <v>22885</v>
      </c>
      <c r="D7560" t="s">
        <v>22879</v>
      </c>
      <c r="E7560" t="s">
        <v>655</v>
      </c>
      <c r="F7560" t="s">
        <v>656</v>
      </c>
    </row>
    <row r="7561" spans="1:12">
      <c r="A7561" t="s">
        <v>22886</v>
      </c>
      <c r="B7561" t="s">
        <v>22887</v>
      </c>
      <c r="C7561" t="s">
        <v>22888</v>
      </c>
      <c r="D7561" t="s">
        <v>22889</v>
      </c>
      <c r="E7561" t="s">
        <v>655</v>
      </c>
      <c r="F7561" t="s">
        <v>656</v>
      </c>
    </row>
    <row r="7562" spans="1:12">
      <c r="A7562" t="s">
        <v>22890</v>
      </c>
      <c r="B7562" t="s">
        <v>22891</v>
      </c>
      <c r="C7562" t="s">
        <v>22892</v>
      </c>
      <c r="D7562" t="s">
        <v>22893</v>
      </c>
      <c r="E7562" t="s">
        <v>22894</v>
      </c>
      <c r="F7562" t="s">
        <v>22895</v>
      </c>
      <c r="J7562" t="s">
        <v>22894</v>
      </c>
      <c r="K7562" t="s">
        <v>22896</v>
      </c>
      <c r="L7562" t="s">
        <v>725</v>
      </c>
    </row>
    <row r="7563" spans="1:12">
      <c r="A7563" t="s">
        <v>22890</v>
      </c>
      <c r="B7563" t="s">
        <v>22891</v>
      </c>
      <c r="C7563" t="s">
        <v>22897</v>
      </c>
      <c r="D7563" t="s">
        <v>22893</v>
      </c>
      <c r="E7563" t="s">
        <v>12391</v>
      </c>
      <c r="F7563" t="s">
        <v>22898</v>
      </c>
    </row>
    <row r="7564" spans="1:12">
      <c r="A7564" t="s">
        <v>22890</v>
      </c>
      <c r="B7564" t="s">
        <v>22891</v>
      </c>
      <c r="C7564" t="s">
        <v>22899</v>
      </c>
      <c r="D7564" t="s">
        <v>22893</v>
      </c>
      <c r="E7564" t="s">
        <v>22900</v>
      </c>
      <c r="F7564" t="s">
        <v>22901</v>
      </c>
      <c r="J7564" t="s">
        <v>22900</v>
      </c>
      <c r="K7564" t="s">
        <v>22896</v>
      </c>
      <c r="L7564" t="s">
        <v>725</v>
      </c>
    </row>
    <row r="7565" spans="1:12">
      <c r="A7565" t="s">
        <v>22890</v>
      </c>
      <c r="B7565" t="s">
        <v>22891</v>
      </c>
      <c r="C7565" t="s">
        <v>22902</v>
      </c>
      <c r="D7565" t="s">
        <v>22893</v>
      </c>
      <c r="E7565" t="s">
        <v>22903</v>
      </c>
      <c r="F7565" t="s">
        <v>22904</v>
      </c>
      <c r="J7565" t="s">
        <v>22903</v>
      </c>
      <c r="K7565" t="s">
        <v>22896</v>
      </c>
      <c r="L7565" t="s">
        <v>725</v>
      </c>
    </row>
    <row r="7566" spans="1:12">
      <c r="A7566" t="s">
        <v>22890</v>
      </c>
      <c r="B7566" t="s">
        <v>22891</v>
      </c>
      <c r="C7566" t="s">
        <v>22905</v>
      </c>
      <c r="D7566" t="s">
        <v>22893</v>
      </c>
      <c r="E7566" t="s">
        <v>5003</v>
      </c>
      <c r="F7566" t="s">
        <v>22906</v>
      </c>
    </row>
    <row r="7567" spans="1:12">
      <c r="A7567" t="s">
        <v>22890</v>
      </c>
      <c r="B7567" t="s">
        <v>22891</v>
      </c>
      <c r="C7567" t="s">
        <v>22907</v>
      </c>
      <c r="D7567" t="s">
        <v>22893</v>
      </c>
      <c r="E7567" t="s">
        <v>22908</v>
      </c>
      <c r="F7567" t="s">
        <v>22909</v>
      </c>
      <c r="J7567" t="s">
        <v>22908</v>
      </c>
      <c r="K7567" t="s">
        <v>22896</v>
      </c>
      <c r="L7567" t="s">
        <v>725</v>
      </c>
    </row>
    <row r="7568" spans="1:12">
      <c r="A7568" t="s">
        <v>22890</v>
      </c>
      <c r="B7568" t="s">
        <v>22891</v>
      </c>
      <c r="C7568" t="s">
        <v>22910</v>
      </c>
      <c r="D7568" t="s">
        <v>22893</v>
      </c>
      <c r="E7568" t="s">
        <v>2106</v>
      </c>
      <c r="F7568" t="s">
        <v>22911</v>
      </c>
    </row>
    <row r="7569" spans="1:12">
      <c r="A7569" t="s">
        <v>22890</v>
      </c>
      <c r="B7569" t="s">
        <v>22891</v>
      </c>
      <c r="C7569" t="s">
        <v>22912</v>
      </c>
      <c r="D7569" t="s">
        <v>22893</v>
      </c>
      <c r="E7569" t="s">
        <v>22913</v>
      </c>
      <c r="F7569" t="s">
        <v>22914</v>
      </c>
      <c r="J7569" t="s">
        <v>22913</v>
      </c>
      <c r="K7569" t="s">
        <v>22896</v>
      </c>
      <c r="L7569" t="s">
        <v>725</v>
      </c>
    </row>
    <row r="7570" spans="1:12">
      <c r="A7570" t="s">
        <v>22890</v>
      </c>
      <c r="B7570" t="s">
        <v>22891</v>
      </c>
      <c r="C7570" t="s">
        <v>22915</v>
      </c>
      <c r="D7570" t="s">
        <v>22893</v>
      </c>
      <c r="E7570" t="s">
        <v>3480</v>
      </c>
      <c r="F7570" t="s">
        <v>22916</v>
      </c>
    </row>
    <row r="7571" spans="1:12">
      <c r="A7571" t="s">
        <v>22890</v>
      </c>
      <c r="B7571" t="s">
        <v>22891</v>
      </c>
      <c r="C7571" t="s">
        <v>22917</v>
      </c>
      <c r="D7571" t="s">
        <v>22893</v>
      </c>
      <c r="E7571" t="s">
        <v>11565</v>
      </c>
      <c r="F7571" t="s">
        <v>22918</v>
      </c>
    </row>
    <row r="7572" spans="1:12">
      <c r="A7572" t="s">
        <v>22890</v>
      </c>
      <c r="B7572" t="s">
        <v>22891</v>
      </c>
      <c r="C7572" t="s">
        <v>22919</v>
      </c>
      <c r="D7572" t="s">
        <v>22893</v>
      </c>
      <c r="E7572" t="s">
        <v>18306</v>
      </c>
      <c r="F7572" t="s">
        <v>22920</v>
      </c>
    </row>
    <row r="7573" spans="1:12">
      <c r="A7573" t="s">
        <v>22890</v>
      </c>
      <c r="B7573" t="s">
        <v>22891</v>
      </c>
      <c r="C7573" t="s">
        <v>22921</v>
      </c>
      <c r="D7573" t="s">
        <v>22893</v>
      </c>
      <c r="E7573" t="s">
        <v>3566</v>
      </c>
      <c r="F7573" t="s">
        <v>22922</v>
      </c>
    </row>
    <row r="7574" spans="1:12">
      <c r="A7574" t="s">
        <v>22890</v>
      </c>
      <c r="B7574" t="s">
        <v>22891</v>
      </c>
      <c r="C7574" t="s">
        <v>22923</v>
      </c>
      <c r="D7574" t="s">
        <v>22893</v>
      </c>
      <c r="E7574" t="s">
        <v>9556</v>
      </c>
      <c r="F7574" t="s">
        <v>22924</v>
      </c>
    </row>
    <row r="7575" spans="1:12">
      <c r="A7575" t="s">
        <v>22890</v>
      </c>
      <c r="B7575" t="s">
        <v>22891</v>
      </c>
      <c r="C7575" t="s">
        <v>22925</v>
      </c>
      <c r="D7575" t="s">
        <v>22893</v>
      </c>
      <c r="E7575" t="s">
        <v>12896</v>
      </c>
      <c r="F7575" t="s">
        <v>22926</v>
      </c>
    </row>
    <row r="7576" spans="1:12">
      <c r="A7576" t="s">
        <v>22890</v>
      </c>
      <c r="B7576" t="s">
        <v>22891</v>
      </c>
      <c r="C7576" t="s">
        <v>22927</v>
      </c>
      <c r="D7576" t="s">
        <v>22893</v>
      </c>
      <c r="E7576" t="s">
        <v>22928</v>
      </c>
      <c r="F7576" t="s">
        <v>22929</v>
      </c>
      <c r="J7576" t="s">
        <v>22928</v>
      </c>
      <c r="K7576" t="s">
        <v>22896</v>
      </c>
      <c r="L7576" t="s">
        <v>725</v>
      </c>
    </row>
    <row r="7577" spans="1:12">
      <c r="A7577" t="s">
        <v>22890</v>
      </c>
      <c r="B7577" t="s">
        <v>22891</v>
      </c>
      <c r="C7577" t="s">
        <v>22930</v>
      </c>
      <c r="D7577" t="s">
        <v>22893</v>
      </c>
      <c r="E7577" t="s">
        <v>7003</v>
      </c>
      <c r="F7577" t="s">
        <v>22931</v>
      </c>
    </row>
    <row r="7578" spans="1:12">
      <c r="A7578" t="s">
        <v>22890</v>
      </c>
      <c r="B7578" t="s">
        <v>22891</v>
      </c>
      <c r="C7578" t="s">
        <v>22932</v>
      </c>
      <c r="D7578" t="s">
        <v>22893</v>
      </c>
      <c r="E7578" t="s">
        <v>5326</v>
      </c>
      <c r="F7578" t="s">
        <v>22933</v>
      </c>
      <c r="J7578" t="s">
        <v>5326</v>
      </c>
      <c r="K7578" t="s">
        <v>22896</v>
      </c>
      <c r="L7578" t="s">
        <v>725</v>
      </c>
    </row>
    <row r="7579" spans="1:12">
      <c r="A7579" t="s">
        <v>22890</v>
      </c>
      <c r="B7579" t="s">
        <v>22891</v>
      </c>
      <c r="C7579" t="s">
        <v>22934</v>
      </c>
      <c r="D7579" t="s">
        <v>22893</v>
      </c>
      <c r="E7579" t="s">
        <v>655</v>
      </c>
      <c r="F7579" t="s">
        <v>656</v>
      </c>
    </row>
    <row r="7580" spans="1:12">
      <c r="A7580" t="s">
        <v>8006</v>
      </c>
      <c r="B7580" t="s">
        <v>22935</v>
      </c>
      <c r="C7580" t="s">
        <v>22936</v>
      </c>
      <c r="D7580" t="s">
        <v>22937</v>
      </c>
      <c r="E7580" t="s">
        <v>22938</v>
      </c>
      <c r="F7580" t="s">
        <v>22939</v>
      </c>
      <c r="J7580" t="s">
        <v>22938</v>
      </c>
      <c r="K7580" t="s">
        <v>22940</v>
      </c>
      <c r="L7580" t="s">
        <v>916</v>
      </c>
    </row>
    <row r="7581" spans="1:12">
      <c r="A7581" t="s">
        <v>8006</v>
      </c>
      <c r="B7581" t="s">
        <v>22935</v>
      </c>
      <c r="C7581" t="s">
        <v>22941</v>
      </c>
      <c r="D7581" t="s">
        <v>22937</v>
      </c>
      <c r="E7581" t="s">
        <v>4647</v>
      </c>
      <c r="F7581" t="s">
        <v>22942</v>
      </c>
    </row>
    <row r="7582" spans="1:12">
      <c r="A7582" t="s">
        <v>8006</v>
      </c>
      <c r="B7582" t="s">
        <v>22935</v>
      </c>
      <c r="C7582" t="s">
        <v>22943</v>
      </c>
      <c r="D7582" t="s">
        <v>22937</v>
      </c>
      <c r="E7582" t="s">
        <v>22944</v>
      </c>
      <c r="F7582" t="s">
        <v>22945</v>
      </c>
      <c r="J7582" t="s">
        <v>22944</v>
      </c>
      <c r="K7582" t="s">
        <v>22940</v>
      </c>
      <c r="L7582" t="s">
        <v>916</v>
      </c>
    </row>
    <row r="7583" spans="1:12">
      <c r="A7583" t="s">
        <v>8006</v>
      </c>
      <c r="B7583" t="s">
        <v>22935</v>
      </c>
      <c r="C7583" t="s">
        <v>22946</v>
      </c>
      <c r="D7583" t="s">
        <v>22937</v>
      </c>
      <c r="E7583" t="s">
        <v>22947</v>
      </c>
      <c r="F7583" t="s">
        <v>22948</v>
      </c>
    </row>
    <row r="7584" spans="1:12">
      <c r="A7584" t="s">
        <v>8006</v>
      </c>
      <c r="B7584" t="s">
        <v>22935</v>
      </c>
      <c r="C7584" t="s">
        <v>22949</v>
      </c>
      <c r="D7584" t="s">
        <v>22937</v>
      </c>
      <c r="E7584" t="s">
        <v>12548</v>
      </c>
      <c r="F7584" t="s">
        <v>22950</v>
      </c>
      <c r="J7584" t="s">
        <v>12548</v>
      </c>
      <c r="K7584" t="s">
        <v>22940</v>
      </c>
      <c r="L7584" t="s">
        <v>916</v>
      </c>
    </row>
    <row r="7585" spans="1:12">
      <c r="A7585" t="s">
        <v>8006</v>
      </c>
      <c r="B7585" t="s">
        <v>22935</v>
      </c>
      <c r="C7585" t="s">
        <v>22951</v>
      </c>
      <c r="D7585" t="s">
        <v>22937</v>
      </c>
      <c r="E7585" t="s">
        <v>22952</v>
      </c>
      <c r="F7585" t="s">
        <v>22953</v>
      </c>
    </row>
    <row r="7586" spans="1:12">
      <c r="A7586" t="s">
        <v>8006</v>
      </c>
      <c r="B7586" t="s">
        <v>22935</v>
      </c>
      <c r="C7586" t="s">
        <v>22954</v>
      </c>
      <c r="D7586" t="s">
        <v>22937</v>
      </c>
      <c r="E7586" t="s">
        <v>22955</v>
      </c>
      <c r="F7586" t="s">
        <v>22956</v>
      </c>
      <c r="J7586" t="s">
        <v>22955</v>
      </c>
      <c r="K7586" t="s">
        <v>22940</v>
      </c>
      <c r="L7586" t="s">
        <v>916</v>
      </c>
    </row>
    <row r="7587" spans="1:12">
      <c r="A7587" t="s">
        <v>8006</v>
      </c>
      <c r="B7587" t="s">
        <v>22935</v>
      </c>
      <c r="C7587" t="s">
        <v>22957</v>
      </c>
      <c r="D7587" t="s">
        <v>22937</v>
      </c>
      <c r="E7587" t="s">
        <v>9027</v>
      </c>
      <c r="F7587" t="s">
        <v>22958</v>
      </c>
    </row>
    <row r="7588" spans="1:12">
      <c r="A7588" t="s">
        <v>8006</v>
      </c>
      <c r="B7588" t="s">
        <v>22935</v>
      </c>
      <c r="C7588" t="s">
        <v>22959</v>
      </c>
      <c r="D7588" t="s">
        <v>22937</v>
      </c>
      <c r="E7588" t="s">
        <v>5029</v>
      </c>
      <c r="F7588" t="s">
        <v>22960</v>
      </c>
    </row>
    <row r="7589" spans="1:12">
      <c r="A7589" t="s">
        <v>8006</v>
      </c>
      <c r="B7589" t="s">
        <v>22935</v>
      </c>
      <c r="C7589" t="s">
        <v>22961</v>
      </c>
      <c r="D7589" t="s">
        <v>22937</v>
      </c>
      <c r="E7589" t="s">
        <v>22962</v>
      </c>
      <c r="F7589" t="s">
        <v>22963</v>
      </c>
    </row>
    <row r="7590" spans="1:12">
      <c r="A7590" t="s">
        <v>8006</v>
      </c>
      <c r="B7590" t="s">
        <v>22935</v>
      </c>
      <c r="C7590" t="s">
        <v>22964</v>
      </c>
      <c r="D7590" t="s">
        <v>22937</v>
      </c>
      <c r="E7590" t="s">
        <v>8141</v>
      </c>
      <c r="F7590" t="s">
        <v>22965</v>
      </c>
    </row>
    <row r="7591" spans="1:12">
      <c r="A7591" t="s">
        <v>8006</v>
      </c>
      <c r="B7591" t="s">
        <v>22935</v>
      </c>
      <c r="C7591" t="s">
        <v>22966</v>
      </c>
      <c r="D7591" t="s">
        <v>22937</v>
      </c>
      <c r="E7591" t="s">
        <v>22967</v>
      </c>
      <c r="F7591" t="s">
        <v>22968</v>
      </c>
      <c r="J7591" t="s">
        <v>22967</v>
      </c>
      <c r="K7591" t="s">
        <v>22940</v>
      </c>
      <c r="L7591" t="s">
        <v>916</v>
      </c>
    </row>
    <row r="7592" spans="1:12">
      <c r="A7592" t="s">
        <v>8006</v>
      </c>
      <c r="B7592" t="s">
        <v>22935</v>
      </c>
      <c r="C7592" t="s">
        <v>22969</v>
      </c>
      <c r="D7592" t="s">
        <v>22937</v>
      </c>
      <c r="E7592" t="s">
        <v>19413</v>
      </c>
      <c r="F7592" t="s">
        <v>22970</v>
      </c>
      <c r="J7592" t="s">
        <v>19413</v>
      </c>
      <c r="K7592" t="s">
        <v>22940</v>
      </c>
      <c r="L7592" t="s">
        <v>916</v>
      </c>
    </row>
    <row r="7593" spans="1:12">
      <c r="A7593" t="s">
        <v>8006</v>
      </c>
      <c r="B7593" t="s">
        <v>22935</v>
      </c>
      <c r="C7593" t="s">
        <v>22971</v>
      </c>
      <c r="D7593" t="s">
        <v>22937</v>
      </c>
      <c r="E7593" t="s">
        <v>22972</v>
      </c>
      <c r="F7593" t="s">
        <v>22973</v>
      </c>
    </row>
    <row r="7594" spans="1:12">
      <c r="A7594" t="s">
        <v>8006</v>
      </c>
      <c r="B7594" t="s">
        <v>22935</v>
      </c>
      <c r="C7594" t="s">
        <v>22974</v>
      </c>
      <c r="D7594" t="s">
        <v>22937</v>
      </c>
      <c r="E7594" t="s">
        <v>22975</v>
      </c>
      <c r="F7594" t="s">
        <v>22976</v>
      </c>
      <c r="J7594" t="s">
        <v>22975</v>
      </c>
      <c r="K7594" t="s">
        <v>22940</v>
      </c>
      <c r="L7594" t="s">
        <v>916</v>
      </c>
    </row>
    <row r="7595" spans="1:12">
      <c r="A7595" t="s">
        <v>8006</v>
      </c>
      <c r="B7595" t="s">
        <v>22935</v>
      </c>
      <c r="C7595" t="s">
        <v>22977</v>
      </c>
      <c r="D7595" t="s">
        <v>22937</v>
      </c>
      <c r="E7595" t="s">
        <v>897</v>
      </c>
      <c r="F7595" t="s">
        <v>22978</v>
      </c>
    </row>
    <row r="7596" spans="1:12">
      <c r="A7596" t="s">
        <v>8006</v>
      </c>
      <c r="B7596" t="s">
        <v>22935</v>
      </c>
      <c r="C7596" t="s">
        <v>22979</v>
      </c>
      <c r="D7596" t="s">
        <v>22937</v>
      </c>
      <c r="E7596" t="s">
        <v>20302</v>
      </c>
      <c r="F7596" t="s">
        <v>22980</v>
      </c>
      <c r="J7596" t="s">
        <v>20302</v>
      </c>
      <c r="K7596" t="s">
        <v>22940</v>
      </c>
      <c r="L7596" t="s">
        <v>916</v>
      </c>
    </row>
    <row r="7597" spans="1:12">
      <c r="A7597" t="s">
        <v>8006</v>
      </c>
      <c r="B7597" t="s">
        <v>22935</v>
      </c>
      <c r="C7597" t="s">
        <v>22981</v>
      </c>
      <c r="D7597" t="s">
        <v>22937</v>
      </c>
      <c r="E7597" t="s">
        <v>5279</v>
      </c>
      <c r="F7597" t="s">
        <v>22982</v>
      </c>
      <c r="J7597" t="s">
        <v>5279</v>
      </c>
      <c r="K7597" t="s">
        <v>22940</v>
      </c>
      <c r="L7597" t="s">
        <v>916</v>
      </c>
    </row>
    <row r="7598" spans="1:12">
      <c r="A7598" t="s">
        <v>8006</v>
      </c>
      <c r="B7598" t="s">
        <v>22935</v>
      </c>
      <c r="C7598" t="s">
        <v>22983</v>
      </c>
      <c r="D7598" t="s">
        <v>22937</v>
      </c>
      <c r="E7598" t="s">
        <v>22984</v>
      </c>
      <c r="F7598" t="s">
        <v>22985</v>
      </c>
      <c r="J7598" t="s">
        <v>22984</v>
      </c>
      <c r="K7598" t="s">
        <v>22940</v>
      </c>
      <c r="L7598" t="s">
        <v>916</v>
      </c>
    </row>
    <row r="7599" spans="1:12">
      <c r="A7599" t="s">
        <v>8006</v>
      </c>
      <c r="B7599" t="s">
        <v>22935</v>
      </c>
      <c r="C7599" t="s">
        <v>22986</v>
      </c>
      <c r="D7599" t="s">
        <v>22937</v>
      </c>
      <c r="E7599" t="s">
        <v>12129</v>
      </c>
      <c r="F7599" t="s">
        <v>22987</v>
      </c>
      <c r="J7599" t="s">
        <v>12129</v>
      </c>
      <c r="K7599" t="s">
        <v>22940</v>
      </c>
      <c r="L7599" t="s">
        <v>916</v>
      </c>
    </row>
    <row r="7600" spans="1:12">
      <c r="A7600" t="s">
        <v>8006</v>
      </c>
      <c r="B7600" t="s">
        <v>22935</v>
      </c>
      <c r="C7600" t="s">
        <v>22988</v>
      </c>
      <c r="D7600" t="s">
        <v>22937</v>
      </c>
      <c r="E7600" t="s">
        <v>10048</v>
      </c>
      <c r="F7600" t="s">
        <v>22989</v>
      </c>
    </row>
    <row r="7601" spans="1:12">
      <c r="A7601" t="s">
        <v>8006</v>
      </c>
      <c r="B7601" t="s">
        <v>22935</v>
      </c>
      <c r="C7601" t="s">
        <v>22990</v>
      </c>
      <c r="D7601" t="s">
        <v>22937</v>
      </c>
      <c r="E7601" t="s">
        <v>21466</v>
      </c>
      <c r="F7601" t="s">
        <v>22991</v>
      </c>
      <c r="J7601" t="s">
        <v>21466</v>
      </c>
      <c r="K7601" t="s">
        <v>22940</v>
      </c>
      <c r="L7601" t="s">
        <v>916</v>
      </c>
    </row>
    <row r="7602" spans="1:12">
      <c r="A7602" t="s">
        <v>8006</v>
      </c>
      <c r="B7602" t="s">
        <v>22935</v>
      </c>
      <c r="C7602" t="s">
        <v>22992</v>
      </c>
      <c r="D7602" t="s">
        <v>22937</v>
      </c>
      <c r="E7602" t="s">
        <v>22993</v>
      </c>
      <c r="F7602" t="s">
        <v>22994</v>
      </c>
      <c r="J7602" t="s">
        <v>22993</v>
      </c>
      <c r="K7602" t="s">
        <v>22940</v>
      </c>
      <c r="L7602" t="s">
        <v>916</v>
      </c>
    </row>
    <row r="7603" spans="1:12">
      <c r="A7603" t="s">
        <v>8006</v>
      </c>
      <c r="B7603" t="s">
        <v>22935</v>
      </c>
      <c r="C7603" t="s">
        <v>22995</v>
      </c>
      <c r="D7603" t="s">
        <v>22937</v>
      </c>
      <c r="E7603" t="s">
        <v>10146</v>
      </c>
      <c r="F7603" t="s">
        <v>22996</v>
      </c>
      <c r="J7603" t="s">
        <v>10146</v>
      </c>
      <c r="K7603" t="s">
        <v>22940</v>
      </c>
      <c r="L7603" t="s">
        <v>916</v>
      </c>
    </row>
    <row r="7604" spans="1:12">
      <c r="A7604" t="s">
        <v>8006</v>
      </c>
      <c r="B7604" t="s">
        <v>22935</v>
      </c>
      <c r="C7604" t="s">
        <v>22997</v>
      </c>
      <c r="D7604" t="s">
        <v>22937</v>
      </c>
      <c r="E7604" t="s">
        <v>22998</v>
      </c>
      <c r="F7604" t="s">
        <v>22999</v>
      </c>
      <c r="J7604" t="s">
        <v>22998</v>
      </c>
      <c r="K7604" t="s">
        <v>22940</v>
      </c>
      <c r="L7604" t="s">
        <v>916</v>
      </c>
    </row>
    <row r="7605" spans="1:12">
      <c r="A7605" t="s">
        <v>8006</v>
      </c>
      <c r="B7605" t="s">
        <v>22935</v>
      </c>
      <c r="C7605" t="s">
        <v>23000</v>
      </c>
      <c r="D7605" t="s">
        <v>22937</v>
      </c>
      <c r="E7605" t="s">
        <v>655</v>
      </c>
      <c r="F7605" t="s">
        <v>656</v>
      </c>
    </row>
    <row r="7606" spans="1:12">
      <c r="A7606" t="s">
        <v>8006</v>
      </c>
      <c r="B7606" t="s">
        <v>22935</v>
      </c>
      <c r="D7606" t="s">
        <v>22937</v>
      </c>
      <c r="F7606" t="s">
        <v>22968</v>
      </c>
      <c r="J7606" t="s">
        <v>23001</v>
      </c>
      <c r="K7606" t="s">
        <v>22940</v>
      </c>
      <c r="L7606" t="s">
        <v>916</v>
      </c>
    </row>
    <row r="7607" spans="1:12">
      <c r="A7607" t="s">
        <v>8006</v>
      </c>
      <c r="B7607" t="s">
        <v>22935</v>
      </c>
      <c r="D7607" t="s">
        <v>22937</v>
      </c>
      <c r="F7607" t="s">
        <v>22982</v>
      </c>
      <c r="J7607" t="s">
        <v>23002</v>
      </c>
      <c r="K7607" t="s">
        <v>22940</v>
      </c>
      <c r="L7607" t="s">
        <v>916</v>
      </c>
    </row>
    <row r="7608" spans="1:12">
      <c r="A7608" t="s">
        <v>23003</v>
      </c>
      <c r="B7608" t="s">
        <v>23004</v>
      </c>
      <c r="C7608" t="s">
        <v>23005</v>
      </c>
      <c r="D7608" t="s">
        <v>23006</v>
      </c>
      <c r="E7608" t="s">
        <v>23007</v>
      </c>
      <c r="F7608" t="s">
        <v>23008</v>
      </c>
      <c r="J7608" t="s">
        <v>23007</v>
      </c>
      <c r="K7608" t="s">
        <v>23009</v>
      </c>
      <c r="L7608" t="s">
        <v>916</v>
      </c>
    </row>
    <row r="7609" spans="1:12">
      <c r="A7609" t="s">
        <v>23003</v>
      </c>
      <c r="B7609" t="s">
        <v>23004</v>
      </c>
      <c r="C7609" t="s">
        <v>23010</v>
      </c>
      <c r="D7609" t="s">
        <v>23006</v>
      </c>
      <c r="E7609" t="s">
        <v>23011</v>
      </c>
      <c r="F7609" t="s">
        <v>23012</v>
      </c>
      <c r="J7609" t="s">
        <v>23011</v>
      </c>
      <c r="K7609" t="s">
        <v>23009</v>
      </c>
      <c r="L7609" t="s">
        <v>916</v>
      </c>
    </row>
    <row r="7610" spans="1:12">
      <c r="A7610" t="s">
        <v>23003</v>
      </c>
      <c r="B7610" t="s">
        <v>23004</v>
      </c>
      <c r="C7610" t="s">
        <v>23013</v>
      </c>
      <c r="D7610" t="s">
        <v>23006</v>
      </c>
      <c r="E7610" t="s">
        <v>23014</v>
      </c>
      <c r="F7610" t="s">
        <v>23015</v>
      </c>
      <c r="J7610" t="s">
        <v>23014</v>
      </c>
      <c r="K7610" t="s">
        <v>23009</v>
      </c>
      <c r="L7610" t="s">
        <v>916</v>
      </c>
    </row>
    <row r="7611" spans="1:12">
      <c r="A7611" t="s">
        <v>23003</v>
      </c>
      <c r="B7611" t="s">
        <v>23004</v>
      </c>
      <c r="C7611" t="s">
        <v>23016</v>
      </c>
      <c r="D7611" t="s">
        <v>23006</v>
      </c>
      <c r="E7611" t="s">
        <v>23017</v>
      </c>
      <c r="F7611" t="s">
        <v>23018</v>
      </c>
      <c r="J7611" t="s">
        <v>23017</v>
      </c>
      <c r="K7611" t="s">
        <v>23009</v>
      </c>
      <c r="L7611" t="s">
        <v>916</v>
      </c>
    </row>
    <row r="7612" spans="1:12">
      <c r="A7612" t="s">
        <v>23003</v>
      </c>
      <c r="B7612" t="s">
        <v>23004</v>
      </c>
      <c r="C7612" t="s">
        <v>23019</v>
      </c>
      <c r="D7612" t="s">
        <v>23006</v>
      </c>
      <c r="E7612" t="s">
        <v>23020</v>
      </c>
      <c r="F7612" t="s">
        <v>23021</v>
      </c>
      <c r="J7612" t="s">
        <v>23020</v>
      </c>
      <c r="K7612" t="s">
        <v>23009</v>
      </c>
      <c r="L7612" t="s">
        <v>916</v>
      </c>
    </row>
    <row r="7613" spans="1:12">
      <c r="A7613" t="s">
        <v>23003</v>
      </c>
      <c r="B7613" t="s">
        <v>23004</v>
      </c>
      <c r="C7613" t="s">
        <v>23022</v>
      </c>
      <c r="D7613" t="s">
        <v>23006</v>
      </c>
      <c r="E7613" t="s">
        <v>9722</v>
      </c>
      <c r="F7613" t="s">
        <v>23023</v>
      </c>
      <c r="J7613" t="s">
        <v>9722</v>
      </c>
      <c r="K7613" t="s">
        <v>23009</v>
      </c>
      <c r="L7613" t="s">
        <v>916</v>
      </c>
    </row>
    <row r="7614" spans="1:12">
      <c r="A7614" t="s">
        <v>23003</v>
      </c>
      <c r="B7614" t="s">
        <v>23004</v>
      </c>
      <c r="C7614" t="s">
        <v>23024</v>
      </c>
      <c r="D7614" t="s">
        <v>23006</v>
      </c>
      <c r="E7614" t="s">
        <v>7417</v>
      </c>
      <c r="F7614" t="s">
        <v>23025</v>
      </c>
      <c r="J7614" t="s">
        <v>7417</v>
      </c>
      <c r="K7614" t="s">
        <v>23009</v>
      </c>
      <c r="L7614" t="s">
        <v>916</v>
      </c>
    </row>
    <row r="7615" spans="1:12">
      <c r="A7615" t="s">
        <v>23003</v>
      </c>
      <c r="B7615" t="s">
        <v>23004</v>
      </c>
      <c r="C7615" t="s">
        <v>23026</v>
      </c>
      <c r="D7615" t="s">
        <v>23006</v>
      </c>
      <c r="E7615" t="s">
        <v>20451</v>
      </c>
      <c r="F7615" t="s">
        <v>23027</v>
      </c>
      <c r="J7615" t="s">
        <v>20451</v>
      </c>
      <c r="K7615" t="s">
        <v>23009</v>
      </c>
      <c r="L7615" t="s">
        <v>916</v>
      </c>
    </row>
    <row r="7616" spans="1:12">
      <c r="A7616" t="s">
        <v>23003</v>
      </c>
      <c r="B7616" t="s">
        <v>23004</v>
      </c>
      <c r="C7616" t="s">
        <v>23028</v>
      </c>
      <c r="D7616" t="s">
        <v>23006</v>
      </c>
      <c r="E7616" t="s">
        <v>23029</v>
      </c>
      <c r="F7616" t="s">
        <v>23030</v>
      </c>
      <c r="J7616" t="s">
        <v>23029</v>
      </c>
      <c r="K7616" t="s">
        <v>23009</v>
      </c>
      <c r="L7616" t="s">
        <v>916</v>
      </c>
    </row>
    <row r="7617" spans="1:12">
      <c r="A7617" t="s">
        <v>23003</v>
      </c>
      <c r="B7617" t="s">
        <v>23004</v>
      </c>
      <c r="C7617" t="s">
        <v>23031</v>
      </c>
      <c r="D7617" t="s">
        <v>23006</v>
      </c>
      <c r="E7617" t="s">
        <v>10814</v>
      </c>
      <c r="F7617" t="s">
        <v>23032</v>
      </c>
      <c r="J7617" t="s">
        <v>10814</v>
      </c>
      <c r="K7617" t="s">
        <v>23009</v>
      </c>
      <c r="L7617" t="s">
        <v>916</v>
      </c>
    </row>
    <row r="7618" spans="1:12">
      <c r="A7618" t="s">
        <v>23003</v>
      </c>
      <c r="B7618" t="s">
        <v>23004</v>
      </c>
      <c r="C7618" t="s">
        <v>23033</v>
      </c>
      <c r="D7618" t="s">
        <v>23006</v>
      </c>
      <c r="E7618" t="s">
        <v>14636</v>
      </c>
      <c r="F7618" t="s">
        <v>23034</v>
      </c>
      <c r="J7618" t="s">
        <v>14636</v>
      </c>
      <c r="K7618" t="s">
        <v>23009</v>
      </c>
      <c r="L7618" t="s">
        <v>916</v>
      </c>
    </row>
    <row r="7619" spans="1:12">
      <c r="A7619" t="s">
        <v>23003</v>
      </c>
      <c r="B7619" t="s">
        <v>23004</v>
      </c>
      <c r="C7619" t="s">
        <v>23035</v>
      </c>
      <c r="D7619" t="s">
        <v>23006</v>
      </c>
      <c r="E7619" t="s">
        <v>21093</v>
      </c>
      <c r="F7619" t="s">
        <v>23036</v>
      </c>
      <c r="J7619" t="s">
        <v>21093</v>
      </c>
      <c r="K7619" t="s">
        <v>23009</v>
      </c>
      <c r="L7619" t="s">
        <v>916</v>
      </c>
    </row>
    <row r="7620" spans="1:12">
      <c r="A7620" t="s">
        <v>23003</v>
      </c>
      <c r="B7620" t="s">
        <v>23004</v>
      </c>
      <c r="C7620" t="s">
        <v>23037</v>
      </c>
      <c r="D7620" t="s">
        <v>23006</v>
      </c>
      <c r="E7620" t="s">
        <v>23038</v>
      </c>
      <c r="F7620" t="s">
        <v>23039</v>
      </c>
      <c r="J7620" t="s">
        <v>23038</v>
      </c>
      <c r="K7620" t="s">
        <v>23009</v>
      </c>
      <c r="L7620" t="s">
        <v>916</v>
      </c>
    </row>
    <row r="7621" spans="1:12">
      <c r="A7621" t="s">
        <v>23003</v>
      </c>
      <c r="B7621" t="s">
        <v>23004</v>
      </c>
      <c r="C7621" t="s">
        <v>23040</v>
      </c>
      <c r="D7621" t="s">
        <v>23006</v>
      </c>
      <c r="E7621" t="s">
        <v>23041</v>
      </c>
      <c r="F7621" t="s">
        <v>23042</v>
      </c>
      <c r="J7621" t="s">
        <v>23041</v>
      </c>
      <c r="K7621" t="s">
        <v>23009</v>
      </c>
      <c r="L7621" t="s">
        <v>916</v>
      </c>
    </row>
    <row r="7622" spans="1:12">
      <c r="A7622" t="s">
        <v>23003</v>
      </c>
      <c r="B7622" t="s">
        <v>23004</v>
      </c>
      <c r="C7622" t="s">
        <v>23043</v>
      </c>
      <c r="D7622" t="s">
        <v>23006</v>
      </c>
      <c r="E7622" t="s">
        <v>655</v>
      </c>
      <c r="F7622" t="s">
        <v>656</v>
      </c>
    </row>
    <row r="7623" spans="1:12">
      <c r="A7623" t="s">
        <v>23044</v>
      </c>
      <c r="B7623" t="s">
        <v>23045</v>
      </c>
      <c r="C7623" t="s">
        <v>23046</v>
      </c>
      <c r="D7623" t="s">
        <v>23047</v>
      </c>
      <c r="E7623" t="s">
        <v>23048</v>
      </c>
      <c r="F7623" t="s">
        <v>23049</v>
      </c>
    </row>
    <row r="7624" spans="1:12">
      <c r="A7624" t="s">
        <v>23044</v>
      </c>
      <c r="B7624" t="s">
        <v>23045</v>
      </c>
      <c r="C7624" t="s">
        <v>23050</v>
      </c>
      <c r="D7624" t="s">
        <v>23047</v>
      </c>
      <c r="E7624" t="s">
        <v>23051</v>
      </c>
      <c r="F7624" t="s">
        <v>23052</v>
      </c>
      <c r="J7624" t="s">
        <v>23051</v>
      </c>
      <c r="K7624" t="s">
        <v>23053</v>
      </c>
      <c r="L7624" t="s">
        <v>863</v>
      </c>
    </row>
    <row r="7625" spans="1:12">
      <c r="A7625" t="s">
        <v>23044</v>
      </c>
      <c r="B7625" t="s">
        <v>23045</v>
      </c>
      <c r="C7625" t="s">
        <v>23054</v>
      </c>
      <c r="D7625" t="s">
        <v>23047</v>
      </c>
      <c r="E7625" t="s">
        <v>655</v>
      </c>
      <c r="F7625" t="s">
        <v>656</v>
      </c>
    </row>
    <row r="7626" spans="1:12">
      <c r="A7626" t="s">
        <v>23044</v>
      </c>
      <c r="B7626" t="s">
        <v>23045</v>
      </c>
      <c r="D7626" t="s">
        <v>23047</v>
      </c>
      <c r="F7626" t="s">
        <v>23055</v>
      </c>
      <c r="J7626" t="s">
        <v>23056</v>
      </c>
      <c r="K7626" t="s">
        <v>23053</v>
      </c>
      <c r="L7626" t="s">
        <v>863</v>
      </c>
    </row>
    <row r="7627" spans="1:12">
      <c r="A7627" t="s">
        <v>23057</v>
      </c>
      <c r="B7627" t="s">
        <v>23058</v>
      </c>
      <c r="C7627" t="s">
        <v>23059</v>
      </c>
      <c r="D7627" t="s">
        <v>23060</v>
      </c>
      <c r="E7627" t="s">
        <v>23061</v>
      </c>
      <c r="F7627" t="s">
        <v>23057</v>
      </c>
      <c r="J7627" t="s">
        <v>23061</v>
      </c>
      <c r="K7627" t="s">
        <v>23062</v>
      </c>
      <c r="L7627" t="s">
        <v>851</v>
      </c>
    </row>
    <row r="7628" spans="1:12">
      <c r="A7628" t="s">
        <v>23057</v>
      </c>
      <c r="B7628" t="s">
        <v>23058</v>
      </c>
      <c r="C7628" t="s">
        <v>23063</v>
      </c>
      <c r="D7628" t="s">
        <v>23060</v>
      </c>
      <c r="E7628" t="s">
        <v>655</v>
      </c>
      <c r="F7628" t="s">
        <v>656</v>
      </c>
    </row>
    <row r="7629" spans="1:12">
      <c r="A7629" t="s">
        <v>23064</v>
      </c>
      <c r="B7629" t="s">
        <v>23065</v>
      </c>
      <c r="C7629" t="s">
        <v>23066</v>
      </c>
      <c r="D7629" t="s">
        <v>23067</v>
      </c>
      <c r="E7629" t="s">
        <v>23068</v>
      </c>
      <c r="F7629" t="s">
        <v>23069</v>
      </c>
      <c r="J7629" t="s">
        <v>23068</v>
      </c>
      <c r="K7629" t="s">
        <v>23070</v>
      </c>
      <c r="L7629" t="s">
        <v>863</v>
      </c>
    </row>
    <row r="7630" spans="1:12">
      <c r="A7630" t="s">
        <v>23064</v>
      </c>
      <c r="B7630" t="s">
        <v>23065</v>
      </c>
      <c r="C7630" t="s">
        <v>23071</v>
      </c>
      <c r="D7630" t="s">
        <v>23067</v>
      </c>
      <c r="E7630" t="s">
        <v>23072</v>
      </c>
      <c r="F7630" t="s">
        <v>23073</v>
      </c>
    </row>
    <row r="7631" spans="1:12">
      <c r="A7631" t="s">
        <v>23064</v>
      </c>
      <c r="B7631" t="s">
        <v>23065</v>
      </c>
      <c r="C7631" t="s">
        <v>23074</v>
      </c>
      <c r="D7631" t="s">
        <v>23067</v>
      </c>
      <c r="E7631" t="s">
        <v>655</v>
      </c>
      <c r="F7631" t="s">
        <v>656</v>
      </c>
    </row>
    <row r="7632" spans="1:12">
      <c r="A7632" t="s">
        <v>23075</v>
      </c>
      <c r="B7632" t="s">
        <v>23076</v>
      </c>
      <c r="C7632" t="s">
        <v>23077</v>
      </c>
      <c r="D7632" t="s">
        <v>23078</v>
      </c>
      <c r="E7632" t="s">
        <v>16089</v>
      </c>
      <c r="F7632" t="s">
        <v>23079</v>
      </c>
    </row>
    <row r="7633" spans="1:12">
      <c r="A7633" t="s">
        <v>23075</v>
      </c>
      <c r="B7633" t="s">
        <v>23076</v>
      </c>
      <c r="C7633" t="s">
        <v>23080</v>
      </c>
      <c r="D7633" t="s">
        <v>23078</v>
      </c>
      <c r="E7633" t="s">
        <v>23081</v>
      </c>
      <c r="F7633" t="s">
        <v>23082</v>
      </c>
    </row>
    <row r="7634" spans="1:12">
      <c r="A7634" t="s">
        <v>23075</v>
      </c>
      <c r="B7634" t="s">
        <v>23076</v>
      </c>
      <c r="C7634" t="s">
        <v>23083</v>
      </c>
      <c r="D7634" t="s">
        <v>23078</v>
      </c>
      <c r="E7634" t="s">
        <v>7696</v>
      </c>
      <c r="F7634" t="s">
        <v>23084</v>
      </c>
    </row>
    <row r="7635" spans="1:12">
      <c r="A7635" t="s">
        <v>23075</v>
      </c>
      <c r="B7635" t="s">
        <v>23076</v>
      </c>
      <c r="C7635" t="s">
        <v>23085</v>
      </c>
      <c r="D7635" t="s">
        <v>23078</v>
      </c>
      <c r="E7635" t="s">
        <v>3227</v>
      </c>
      <c r="F7635" t="s">
        <v>23086</v>
      </c>
    </row>
    <row r="7636" spans="1:12">
      <c r="A7636" t="s">
        <v>23075</v>
      </c>
      <c r="B7636" t="s">
        <v>23076</v>
      </c>
      <c r="C7636" t="s">
        <v>23087</v>
      </c>
      <c r="D7636" t="s">
        <v>23078</v>
      </c>
      <c r="E7636" t="s">
        <v>8516</v>
      </c>
      <c r="F7636" t="s">
        <v>23088</v>
      </c>
      <c r="J7636" t="s">
        <v>8516</v>
      </c>
      <c r="K7636" t="s">
        <v>23089</v>
      </c>
      <c r="L7636" t="s">
        <v>916</v>
      </c>
    </row>
    <row r="7637" spans="1:12">
      <c r="A7637" t="s">
        <v>23075</v>
      </c>
      <c r="B7637" t="s">
        <v>23076</v>
      </c>
      <c r="C7637" t="s">
        <v>23090</v>
      </c>
      <c r="D7637" t="s">
        <v>23078</v>
      </c>
      <c r="E7637" t="s">
        <v>11551</v>
      </c>
      <c r="F7637" t="s">
        <v>23091</v>
      </c>
    </row>
    <row r="7638" spans="1:12">
      <c r="A7638" t="s">
        <v>23075</v>
      </c>
      <c r="B7638" t="s">
        <v>23076</v>
      </c>
      <c r="C7638" t="s">
        <v>23092</v>
      </c>
      <c r="D7638" t="s">
        <v>23078</v>
      </c>
      <c r="E7638" t="s">
        <v>23093</v>
      </c>
      <c r="F7638" t="s">
        <v>23094</v>
      </c>
    </row>
    <row r="7639" spans="1:12">
      <c r="A7639" t="s">
        <v>23075</v>
      </c>
      <c r="B7639" t="s">
        <v>23076</v>
      </c>
      <c r="C7639" t="s">
        <v>23095</v>
      </c>
      <c r="D7639" t="s">
        <v>23078</v>
      </c>
      <c r="E7639" t="s">
        <v>4002</v>
      </c>
      <c r="F7639" t="s">
        <v>23096</v>
      </c>
    </row>
    <row r="7640" spans="1:12">
      <c r="A7640" t="s">
        <v>23075</v>
      </c>
      <c r="B7640" t="s">
        <v>23076</v>
      </c>
      <c r="C7640" t="s">
        <v>23097</v>
      </c>
      <c r="D7640" t="s">
        <v>23078</v>
      </c>
      <c r="E7640" t="s">
        <v>23098</v>
      </c>
      <c r="F7640" t="s">
        <v>23099</v>
      </c>
      <c r="J7640" t="s">
        <v>23098</v>
      </c>
      <c r="K7640" t="s">
        <v>23089</v>
      </c>
      <c r="L7640" t="s">
        <v>916</v>
      </c>
    </row>
    <row r="7641" spans="1:12">
      <c r="A7641" t="s">
        <v>23075</v>
      </c>
      <c r="B7641" t="s">
        <v>23076</v>
      </c>
      <c r="C7641" t="s">
        <v>23100</v>
      </c>
      <c r="D7641" t="s">
        <v>23078</v>
      </c>
      <c r="E7641" t="s">
        <v>3489</v>
      </c>
      <c r="F7641" t="s">
        <v>23101</v>
      </c>
    </row>
    <row r="7642" spans="1:12">
      <c r="A7642" t="s">
        <v>23075</v>
      </c>
      <c r="B7642" t="s">
        <v>23076</v>
      </c>
      <c r="C7642" t="s">
        <v>23102</v>
      </c>
      <c r="D7642" t="s">
        <v>23078</v>
      </c>
      <c r="E7642" t="s">
        <v>23103</v>
      </c>
      <c r="F7642" t="s">
        <v>23104</v>
      </c>
      <c r="J7642" t="s">
        <v>23103</v>
      </c>
      <c r="K7642" t="s">
        <v>23089</v>
      </c>
      <c r="L7642" t="s">
        <v>916</v>
      </c>
    </row>
    <row r="7643" spans="1:12">
      <c r="A7643" t="s">
        <v>23075</v>
      </c>
      <c r="B7643" t="s">
        <v>23076</v>
      </c>
      <c r="C7643" t="s">
        <v>23105</v>
      </c>
      <c r="D7643" t="s">
        <v>23078</v>
      </c>
      <c r="E7643" t="s">
        <v>23106</v>
      </c>
      <c r="F7643" t="s">
        <v>23107</v>
      </c>
      <c r="J7643" t="s">
        <v>23106</v>
      </c>
      <c r="K7643" t="s">
        <v>23089</v>
      </c>
      <c r="L7643" t="s">
        <v>916</v>
      </c>
    </row>
    <row r="7644" spans="1:12">
      <c r="A7644" t="s">
        <v>23075</v>
      </c>
      <c r="B7644" t="s">
        <v>23076</v>
      </c>
      <c r="C7644" t="s">
        <v>23108</v>
      </c>
      <c r="D7644" t="s">
        <v>23078</v>
      </c>
      <c r="E7644" t="s">
        <v>23109</v>
      </c>
      <c r="F7644" t="s">
        <v>23110</v>
      </c>
      <c r="J7644" t="s">
        <v>23109</v>
      </c>
      <c r="K7644" t="s">
        <v>23089</v>
      </c>
      <c r="L7644" t="s">
        <v>916</v>
      </c>
    </row>
    <row r="7645" spans="1:12">
      <c r="A7645" t="s">
        <v>23075</v>
      </c>
      <c r="B7645" t="s">
        <v>23076</v>
      </c>
      <c r="C7645" t="s">
        <v>23111</v>
      </c>
      <c r="D7645" t="s">
        <v>23078</v>
      </c>
      <c r="E7645" t="s">
        <v>18800</v>
      </c>
      <c r="F7645" t="s">
        <v>23112</v>
      </c>
    </row>
    <row r="7646" spans="1:12">
      <c r="A7646" t="s">
        <v>23075</v>
      </c>
      <c r="B7646" t="s">
        <v>23076</v>
      </c>
      <c r="C7646" t="s">
        <v>23113</v>
      </c>
      <c r="D7646" t="s">
        <v>23078</v>
      </c>
      <c r="E7646" t="s">
        <v>23114</v>
      </c>
      <c r="F7646" t="s">
        <v>23115</v>
      </c>
    </row>
    <row r="7647" spans="1:12">
      <c r="A7647" t="s">
        <v>23075</v>
      </c>
      <c r="B7647" t="s">
        <v>23076</v>
      </c>
      <c r="C7647" t="s">
        <v>23116</v>
      </c>
      <c r="D7647" t="s">
        <v>23078</v>
      </c>
      <c r="E7647" t="s">
        <v>15839</v>
      </c>
      <c r="F7647" t="s">
        <v>23117</v>
      </c>
      <c r="J7647" t="s">
        <v>15839</v>
      </c>
      <c r="K7647" t="s">
        <v>23089</v>
      </c>
      <c r="L7647" t="s">
        <v>916</v>
      </c>
    </row>
    <row r="7648" spans="1:12">
      <c r="A7648" t="s">
        <v>23075</v>
      </c>
      <c r="B7648" t="s">
        <v>23076</v>
      </c>
      <c r="C7648" t="s">
        <v>23118</v>
      </c>
      <c r="D7648" t="s">
        <v>23078</v>
      </c>
      <c r="E7648" t="s">
        <v>23119</v>
      </c>
      <c r="F7648" t="s">
        <v>23120</v>
      </c>
    </row>
    <row r="7649" spans="1:12">
      <c r="A7649" t="s">
        <v>23075</v>
      </c>
      <c r="B7649" t="s">
        <v>23076</v>
      </c>
      <c r="C7649" t="s">
        <v>23121</v>
      </c>
      <c r="D7649" t="s">
        <v>23078</v>
      </c>
      <c r="E7649" t="s">
        <v>14548</v>
      </c>
      <c r="F7649" t="s">
        <v>23122</v>
      </c>
      <c r="J7649" t="s">
        <v>14548</v>
      </c>
      <c r="K7649" t="s">
        <v>23089</v>
      </c>
      <c r="L7649" t="s">
        <v>916</v>
      </c>
    </row>
    <row r="7650" spans="1:12">
      <c r="A7650" t="s">
        <v>23075</v>
      </c>
      <c r="B7650" t="s">
        <v>23076</v>
      </c>
      <c r="C7650" t="s">
        <v>23123</v>
      </c>
      <c r="D7650" t="s">
        <v>23078</v>
      </c>
      <c r="E7650" t="s">
        <v>5285</v>
      </c>
      <c r="F7650" t="s">
        <v>23124</v>
      </c>
    </row>
    <row r="7651" spans="1:12">
      <c r="A7651" t="s">
        <v>23075</v>
      </c>
      <c r="B7651" t="s">
        <v>23076</v>
      </c>
      <c r="C7651" t="s">
        <v>23125</v>
      </c>
      <c r="D7651" t="s">
        <v>23078</v>
      </c>
      <c r="E7651" t="s">
        <v>20685</v>
      </c>
      <c r="F7651" t="s">
        <v>23126</v>
      </c>
    </row>
    <row r="7652" spans="1:12">
      <c r="A7652" t="s">
        <v>23075</v>
      </c>
      <c r="B7652" t="s">
        <v>23076</v>
      </c>
      <c r="C7652" t="s">
        <v>23127</v>
      </c>
      <c r="D7652" t="s">
        <v>23078</v>
      </c>
      <c r="E7652" t="s">
        <v>20689</v>
      </c>
      <c r="F7652" t="s">
        <v>23128</v>
      </c>
      <c r="J7652" t="s">
        <v>20689</v>
      </c>
      <c r="K7652" t="s">
        <v>23089</v>
      </c>
      <c r="L7652" t="s">
        <v>916</v>
      </c>
    </row>
    <row r="7653" spans="1:12">
      <c r="A7653" t="s">
        <v>23075</v>
      </c>
      <c r="B7653" t="s">
        <v>23076</v>
      </c>
      <c r="C7653" t="s">
        <v>23129</v>
      </c>
      <c r="D7653" t="s">
        <v>23078</v>
      </c>
      <c r="E7653" t="s">
        <v>7463</v>
      </c>
      <c r="F7653" t="s">
        <v>23130</v>
      </c>
    </row>
    <row r="7654" spans="1:12">
      <c r="A7654" t="s">
        <v>23075</v>
      </c>
      <c r="B7654" t="s">
        <v>23076</v>
      </c>
      <c r="C7654" t="s">
        <v>23131</v>
      </c>
      <c r="D7654" t="s">
        <v>23078</v>
      </c>
      <c r="E7654" t="s">
        <v>23132</v>
      </c>
      <c r="F7654" t="s">
        <v>22866</v>
      </c>
      <c r="J7654" t="s">
        <v>23132</v>
      </c>
      <c r="K7654" t="s">
        <v>23089</v>
      </c>
      <c r="L7654" t="s">
        <v>916</v>
      </c>
    </row>
    <row r="7655" spans="1:12">
      <c r="A7655" t="s">
        <v>23075</v>
      </c>
      <c r="B7655" t="s">
        <v>23076</v>
      </c>
      <c r="C7655" t="s">
        <v>23133</v>
      </c>
      <c r="D7655" t="s">
        <v>23078</v>
      </c>
      <c r="E7655" t="s">
        <v>15963</v>
      </c>
      <c r="F7655" t="s">
        <v>23134</v>
      </c>
    </row>
    <row r="7656" spans="1:12">
      <c r="A7656" t="s">
        <v>23075</v>
      </c>
      <c r="B7656" t="s">
        <v>23076</v>
      </c>
      <c r="C7656" t="s">
        <v>23135</v>
      </c>
      <c r="D7656" t="s">
        <v>23078</v>
      </c>
      <c r="E7656" t="s">
        <v>3008</v>
      </c>
      <c r="F7656" t="s">
        <v>23136</v>
      </c>
      <c r="J7656" t="s">
        <v>3008</v>
      </c>
      <c r="K7656" t="s">
        <v>23089</v>
      </c>
      <c r="L7656" t="s">
        <v>916</v>
      </c>
    </row>
    <row r="7657" spans="1:12">
      <c r="A7657" t="s">
        <v>23075</v>
      </c>
      <c r="B7657" t="s">
        <v>23076</v>
      </c>
      <c r="C7657" t="s">
        <v>23137</v>
      </c>
      <c r="D7657" t="s">
        <v>23078</v>
      </c>
      <c r="E7657" t="s">
        <v>5329</v>
      </c>
      <c r="F7657" t="s">
        <v>23138</v>
      </c>
    </row>
    <row r="7658" spans="1:12">
      <c r="A7658" t="s">
        <v>23075</v>
      </c>
      <c r="B7658" t="s">
        <v>23076</v>
      </c>
      <c r="C7658" t="s">
        <v>23139</v>
      </c>
      <c r="D7658" t="s">
        <v>23078</v>
      </c>
      <c r="E7658" t="s">
        <v>23140</v>
      </c>
      <c r="F7658" t="s">
        <v>23141</v>
      </c>
    </row>
    <row r="7659" spans="1:12">
      <c r="A7659" t="s">
        <v>23075</v>
      </c>
      <c r="B7659" t="s">
        <v>23076</v>
      </c>
      <c r="C7659" t="s">
        <v>23142</v>
      </c>
      <c r="D7659" t="s">
        <v>23078</v>
      </c>
      <c r="E7659" t="s">
        <v>23143</v>
      </c>
      <c r="F7659" t="s">
        <v>23144</v>
      </c>
    </row>
    <row r="7660" spans="1:12">
      <c r="A7660" t="s">
        <v>23075</v>
      </c>
      <c r="B7660" t="s">
        <v>23076</v>
      </c>
      <c r="C7660" t="s">
        <v>23145</v>
      </c>
      <c r="D7660" t="s">
        <v>23078</v>
      </c>
      <c r="E7660" t="s">
        <v>655</v>
      </c>
      <c r="F7660" t="s">
        <v>656</v>
      </c>
    </row>
    <row r="7661" spans="1:12">
      <c r="A7661" t="s">
        <v>23075</v>
      </c>
      <c r="B7661" t="s">
        <v>23076</v>
      </c>
      <c r="D7661" t="s">
        <v>23078</v>
      </c>
      <c r="F7661" t="s">
        <v>23146</v>
      </c>
      <c r="J7661" t="s">
        <v>23147</v>
      </c>
      <c r="K7661" t="s">
        <v>23089</v>
      </c>
      <c r="L7661" t="s">
        <v>916</v>
      </c>
    </row>
    <row r="7662" spans="1:12">
      <c r="A7662" t="s">
        <v>23075</v>
      </c>
      <c r="B7662" t="s">
        <v>23076</v>
      </c>
      <c r="D7662" t="s">
        <v>23078</v>
      </c>
      <c r="F7662" t="s">
        <v>23148</v>
      </c>
      <c r="J7662" t="s">
        <v>23149</v>
      </c>
      <c r="K7662" t="s">
        <v>23089</v>
      </c>
      <c r="L7662" t="s">
        <v>916</v>
      </c>
    </row>
    <row r="7663" spans="1:12">
      <c r="A7663" t="s">
        <v>23075</v>
      </c>
      <c r="B7663" t="s">
        <v>23076</v>
      </c>
      <c r="D7663" t="s">
        <v>23078</v>
      </c>
      <c r="F7663" t="s">
        <v>23150</v>
      </c>
      <c r="J7663" t="s">
        <v>12927</v>
      </c>
      <c r="K7663" t="s">
        <v>23089</v>
      </c>
      <c r="L7663" t="s">
        <v>916</v>
      </c>
    </row>
    <row r="7664" spans="1:12">
      <c r="A7664" t="s">
        <v>23151</v>
      </c>
      <c r="B7664" t="s">
        <v>23152</v>
      </c>
      <c r="C7664" t="s">
        <v>23153</v>
      </c>
      <c r="D7664" t="s">
        <v>23154</v>
      </c>
      <c r="E7664" t="s">
        <v>23155</v>
      </c>
      <c r="F7664" t="s">
        <v>23156</v>
      </c>
      <c r="J7664" t="s">
        <v>23155</v>
      </c>
      <c r="K7664" t="s">
        <v>9528</v>
      </c>
      <c r="L7664" t="s">
        <v>851</v>
      </c>
    </row>
    <row r="7665" spans="1:12">
      <c r="A7665" t="s">
        <v>23151</v>
      </c>
      <c r="B7665" t="s">
        <v>23152</v>
      </c>
      <c r="C7665" t="s">
        <v>23157</v>
      </c>
      <c r="D7665" t="s">
        <v>23154</v>
      </c>
      <c r="E7665" t="s">
        <v>857</v>
      </c>
      <c r="F7665" t="s">
        <v>23158</v>
      </c>
      <c r="J7665" t="s">
        <v>857</v>
      </c>
      <c r="K7665" t="s">
        <v>9528</v>
      </c>
      <c r="L7665" t="s">
        <v>851</v>
      </c>
    </row>
    <row r="7666" spans="1:12">
      <c r="A7666" t="s">
        <v>23151</v>
      </c>
      <c r="B7666" t="s">
        <v>23152</v>
      </c>
      <c r="C7666" t="s">
        <v>23159</v>
      </c>
      <c r="D7666" t="s">
        <v>23154</v>
      </c>
      <c r="E7666" t="s">
        <v>16370</v>
      </c>
      <c r="F7666" t="s">
        <v>23160</v>
      </c>
    </row>
    <row r="7667" spans="1:12">
      <c r="A7667" t="s">
        <v>23151</v>
      </c>
      <c r="B7667" t="s">
        <v>23152</v>
      </c>
      <c r="C7667" t="s">
        <v>23161</v>
      </c>
      <c r="D7667" t="s">
        <v>23154</v>
      </c>
      <c r="E7667" t="s">
        <v>23162</v>
      </c>
      <c r="F7667" t="s">
        <v>23163</v>
      </c>
    </row>
    <row r="7668" spans="1:12">
      <c r="A7668" t="s">
        <v>23151</v>
      </c>
      <c r="B7668" t="s">
        <v>23152</v>
      </c>
      <c r="C7668" t="s">
        <v>10731</v>
      </c>
      <c r="D7668" t="s">
        <v>23154</v>
      </c>
      <c r="E7668" t="s">
        <v>8111</v>
      </c>
      <c r="F7668" t="s">
        <v>23164</v>
      </c>
      <c r="J7668" t="s">
        <v>8111</v>
      </c>
      <c r="K7668" t="s">
        <v>9528</v>
      </c>
      <c r="L7668" t="s">
        <v>851</v>
      </c>
    </row>
    <row r="7669" spans="1:12">
      <c r="A7669" t="s">
        <v>23151</v>
      </c>
      <c r="B7669" t="s">
        <v>23152</v>
      </c>
      <c r="C7669" t="s">
        <v>23165</v>
      </c>
      <c r="D7669" t="s">
        <v>23154</v>
      </c>
      <c r="E7669" t="s">
        <v>23166</v>
      </c>
      <c r="F7669" t="s">
        <v>23164</v>
      </c>
      <c r="J7669" t="s">
        <v>23166</v>
      </c>
      <c r="K7669" t="s">
        <v>9528</v>
      </c>
      <c r="L7669" t="s">
        <v>851</v>
      </c>
    </row>
    <row r="7670" spans="1:12">
      <c r="A7670" t="s">
        <v>23151</v>
      </c>
      <c r="B7670" t="s">
        <v>23152</v>
      </c>
      <c r="C7670" t="s">
        <v>23167</v>
      </c>
      <c r="D7670" t="s">
        <v>23154</v>
      </c>
      <c r="E7670" t="s">
        <v>7868</v>
      </c>
      <c r="F7670" t="s">
        <v>23168</v>
      </c>
    </row>
    <row r="7671" spans="1:12">
      <c r="A7671" t="s">
        <v>23151</v>
      </c>
      <c r="B7671" t="s">
        <v>23152</v>
      </c>
      <c r="C7671" t="s">
        <v>23169</v>
      </c>
      <c r="D7671" t="s">
        <v>23154</v>
      </c>
      <c r="E7671" t="s">
        <v>8866</v>
      </c>
      <c r="F7671" t="s">
        <v>23170</v>
      </c>
    </row>
    <row r="7672" spans="1:12">
      <c r="A7672" t="s">
        <v>23151</v>
      </c>
      <c r="B7672" t="s">
        <v>23152</v>
      </c>
      <c r="C7672" t="s">
        <v>23171</v>
      </c>
      <c r="D7672" t="s">
        <v>23154</v>
      </c>
      <c r="E7672" t="s">
        <v>23172</v>
      </c>
      <c r="F7672" t="s">
        <v>23173</v>
      </c>
      <c r="J7672" t="s">
        <v>23172</v>
      </c>
      <c r="K7672" t="s">
        <v>9528</v>
      </c>
      <c r="L7672" t="s">
        <v>851</v>
      </c>
    </row>
    <row r="7673" spans="1:12">
      <c r="A7673" t="s">
        <v>23151</v>
      </c>
      <c r="B7673" t="s">
        <v>23152</v>
      </c>
      <c r="C7673" t="s">
        <v>23174</v>
      </c>
      <c r="D7673" t="s">
        <v>23154</v>
      </c>
      <c r="E7673" t="s">
        <v>23175</v>
      </c>
      <c r="F7673" t="s">
        <v>23175</v>
      </c>
      <c r="J7673" t="s">
        <v>23175</v>
      </c>
      <c r="K7673" t="s">
        <v>9528</v>
      </c>
      <c r="L7673" t="s">
        <v>851</v>
      </c>
    </row>
    <row r="7674" spans="1:12">
      <c r="A7674" t="s">
        <v>23151</v>
      </c>
      <c r="B7674" t="s">
        <v>23152</v>
      </c>
      <c r="C7674" t="s">
        <v>23176</v>
      </c>
      <c r="D7674" t="s">
        <v>23154</v>
      </c>
      <c r="E7674" t="s">
        <v>9352</v>
      </c>
      <c r="F7674" t="s">
        <v>23177</v>
      </c>
    </row>
    <row r="7675" spans="1:12">
      <c r="A7675" t="s">
        <v>23151</v>
      </c>
      <c r="B7675" t="s">
        <v>23152</v>
      </c>
      <c r="C7675" t="s">
        <v>23178</v>
      </c>
      <c r="D7675" t="s">
        <v>23154</v>
      </c>
      <c r="E7675" t="s">
        <v>9473</v>
      </c>
      <c r="F7675" t="s">
        <v>23179</v>
      </c>
    </row>
    <row r="7676" spans="1:12">
      <c r="A7676" t="s">
        <v>23151</v>
      </c>
      <c r="B7676" t="s">
        <v>23152</v>
      </c>
      <c r="C7676" t="s">
        <v>23180</v>
      </c>
      <c r="D7676" t="s">
        <v>23154</v>
      </c>
      <c r="E7676" t="s">
        <v>23181</v>
      </c>
      <c r="F7676" t="s">
        <v>23182</v>
      </c>
      <c r="J7676" t="s">
        <v>23181</v>
      </c>
      <c r="K7676" t="s">
        <v>9528</v>
      </c>
      <c r="L7676" t="s">
        <v>851</v>
      </c>
    </row>
    <row r="7677" spans="1:12">
      <c r="A7677" t="s">
        <v>23151</v>
      </c>
      <c r="B7677" t="s">
        <v>23152</v>
      </c>
      <c r="C7677" t="s">
        <v>23183</v>
      </c>
      <c r="D7677" t="s">
        <v>23154</v>
      </c>
      <c r="E7677" t="s">
        <v>19019</v>
      </c>
      <c r="F7677" t="s">
        <v>23184</v>
      </c>
    </row>
    <row r="7678" spans="1:12">
      <c r="A7678" t="s">
        <v>23151</v>
      </c>
      <c r="B7678" t="s">
        <v>23152</v>
      </c>
      <c r="C7678" t="s">
        <v>23185</v>
      </c>
      <c r="D7678" t="s">
        <v>23154</v>
      </c>
      <c r="E7678" t="s">
        <v>14081</v>
      </c>
      <c r="F7678" t="s">
        <v>23186</v>
      </c>
    </row>
    <row r="7679" spans="1:12">
      <c r="A7679" t="s">
        <v>23151</v>
      </c>
      <c r="B7679" t="s">
        <v>23152</v>
      </c>
      <c r="C7679" t="s">
        <v>23187</v>
      </c>
      <c r="D7679" t="s">
        <v>23154</v>
      </c>
      <c r="E7679" t="s">
        <v>23188</v>
      </c>
      <c r="F7679" t="s">
        <v>23189</v>
      </c>
      <c r="J7679" t="s">
        <v>23188</v>
      </c>
      <c r="K7679" t="s">
        <v>9528</v>
      </c>
      <c r="L7679" t="s">
        <v>851</v>
      </c>
    </row>
    <row r="7680" spans="1:12">
      <c r="A7680" t="s">
        <v>23151</v>
      </c>
      <c r="B7680" t="s">
        <v>23152</v>
      </c>
      <c r="C7680" t="s">
        <v>23190</v>
      </c>
      <c r="D7680" t="s">
        <v>23154</v>
      </c>
      <c r="E7680" t="s">
        <v>23191</v>
      </c>
      <c r="F7680" t="s">
        <v>23192</v>
      </c>
      <c r="J7680" t="s">
        <v>23191</v>
      </c>
      <c r="K7680" t="s">
        <v>9528</v>
      </c>
      <c r="L7680" t="s">
        <v>851</v>
      </c>
    </row>
    <row r="7681" spans="1:12">
      <c r="A7681" t="s">
        <v>23151</v>
      </c>
      <c r="B7681" t="s">
        <v>23152</v>
      </c>
      <c r="C7681" t="s">
        <v>23193</v>
      </c>
      <c r="D7681" t="s">
        <v>23154</v>
      </c>
      <c r="E7681" t="s">
        <v>23194</v>
      </c>
      <c r="F7681" t="s">
        <v>23195</v>
      </c>
      <c r="J7681" t="s">
        <v>23194</v>
      </c>
      <c r="K7681" t="s">
        <v>9528</v>
      </c>
      <c r="L7681" t="s">
        <v>851</v>
      </c>
    </row>
    <row r="7682" spans="1:12">
      <c r="A7682" t="s">
        <v>23151</v>
      </c>
      <c r="B7682" t="s">
        <v>23152</v>
      </c>
      <c r="C7682" t="s">
        <v>23196</v>
      </c>
      <c r="D7682" t="s">
        <v>23154</v>
      </c>
      <c r="E7682" t="s">
        <v>23197</v>
      </c>
      <c r="F7682" t="s">
        <v>23198</v>
      </c>
      <c r="J7682" t="s">
        <v>23197</v>
      </c>
      <c r="K7682" t="s">
        <v>9528</v>
      </c>
      <c r="L7682" t="s">
        <v>851</v>
      </c>
    </row>
    <row r="7683" spans="1:12">
      <c r="A7683" t="s">
        <v>23151</v>
      </c>
      <c r="B7683" t="s">
        <v>23152</v>
      </c>
      <c r="C7683" t="s">
        <v>23199</v>
      </c>
      <c r="D7683" t="s">
        <v>23154</v>
      </c>
      <c r="E7683" t="s">
        <v>22774</v>
      </c>
      <c r="F7683" t="s">
        <v>23200</v>
      </c>
      <c r="J7683" t="s">
        <v>22774</v>
      </c>
      <c r="K7683" t="s">
        <v>9528</v>
      </c>
      <c r="L7683" t="s">
        <v>851</v>
      </c>
    </row>
    <row r="7684" spans="1:12">
      <c r="A7684" t="s">
        <v>23151</v>
      </c>
      <c r="B7684" t="s">
        <v>23152</v>
      </c>
      <c r="C7684" t="s">
        <v>23201</v>
      </c>
      <c r="D7684" t="s">
        <v>23154</v>
      </c>
      <c r="E7684" t="s">
        <v>15506</v>
      </c>
      <c r="F7684" t="s">
        <v>23202</v>
      </c>
      <c r="J7684" t="s">
        <v>15506</v>
      </c>
      <c r="K7684" t="s">
        <v>9528</v>
      </c>
      <c r="L7684" t="s">
        <v>851</v>
      </c>
    </row>
    <row r="7685" spans="1:12">
      <c r="A7685" t="s">
        <v>23151</v>
      </c>
      <c r="B7685" t="s">
        <v>23152</v>
      </c>
      <c r="C7685" t="s">
        <v>23203</v>
      </c>
      <c r="D7685" t="s">
        <v>23154</v>
      </c>
      <c r="E7685" t="s">
        <v>9851</v>
      </c>
      <c r="F7685" t="s">
        <v>23204</v>
      </c>
    </row>
    <row r="7686" spans="1:12">
      <c r="A7686" t="s">
        <v>23151</v>
      </c>
      <c r="B7686" t="s">
        <v>23152</v>
      </c>
      <c r="C7686" t="s">
        <v>23205</v>
      </c>
      <c r="D7686" t="s">
        <v>23154</v>
      </c>
      <c r="E7686" t="s">
        <v>13208</v>
      </c>
      <c r="F7686" t="s">
        <v>23206</v>
      </c>
      <c r="J7686" t="s">
        <v>13208</v>
      </c>
      <c r="K7686" t="s">
        <v>9528</v>
      </c>
      <c r="L7686" t="s">
        <v>851</v>
      </c>
    </row>
    <row r="7687" spans="1:12">
      <c r="A7687" t="s">
        <v>23151</v>
      </c>
      <c r="B7687" t="s">
        <v>23152</v>
      </c>
      <c r="C7687" t="s">
        <v>23207</v>
      </c>
      <c r="D7687" t="s">
        <v>23154</v>
      </c>
      <c r="E7687" t="s">
        <v>23208</v>
      </c>
      <c r="F7687" t="s">
        <v>23209</v>
      </c>
      <c r="J7687" t="s">
        <v>23208</v>
      </c>
      <c r="K7687" t="s">
        <v>9528</v>
      </c>
      <c r="L7687" t="s">
        <v>851</v>
      </c>
    </row>
    <row r="7688" spans="1:12">
      <c r="A7688" t="s">
        <v>23151</v>
      </c>
      <c r="B7688" t="s">
        <v>23152</v>
      </c>
      <c r="C7688" t="s">
        <v>23210</v>
      </c>
      <c r="D7688" t="s">
        <v>23154</v>
      </c>
      <c r="E7688" t="s">
        <v>11453</v>
      </c>
      <c r="F7688" t="s">
        <v>23211</v>
      </c>
      <c r="J7688" t="s">
        <v>11453</v>
      </c>
      <c r="K7688" t="s">
        <v>9528</v>
      </c>
      <c r="L7688" t="s">
        <v>851</v>
      </c>
    </row>
    <row r="7689" spans="1:12">
      <c r="A7689" t="s">
        <v>23151</v>
      </c>
      <c r="B7689" t="s">
        <v>23152</v>
      </c>
      <c r="C7689" t="s">
        <v>23212</v>
      </c>
      <c r="D7689" t="s">
        <v>23154</v>
      </c>
      <c r="E7689" t="s">
        <v>23213</v>
      </c>
      <c r="F7689" t="s">
        <v>23214</v>
      </c>
      <c r="J7689" t="s">
        <v>23213</v>
      </c>
      <c r="K7689" t="s">
        <v>9528</v>
      </c>
      <c r="L7689" t="s">
        <v>851</v>
      </c>
    </row>
    <row r="7690" spans="1:12">
      <c r="A7690" t="s">
        <v>23151</v>
      </c>
      <c r="B7690" t="s">
        <v>23152</v>
      </c>
      <c r="C7690" t="s">
        <v>23215</v>
      </c>
      <c r="D7690" t="s">
        <v>23154</v>
      </c>
      <c r="E7690" t="s">
        <v>23216</v>
      </c>
      <c r="F7690" t="s">
        <v>23217</v>
      </c>
      <c r="J7690" t="s">
        <v>23216</v>
      </c>
      <c r="K7690" t="s">
        <v>9528</v>
      </c>
      <c r="L7690" t="s">
        <v>851</v>
      </c>
    </row>
    <row r="7691" spans="1:12">
      <c r="A7691" t="s">
        <v>23151</v>
      </c>
      <c r="B7691" t="s">
        <v>23152</v>
      </c>
      <c r="C7691" t="s">
        <v>23218</v>
      </c>
      <c r="D7691" t="s">
        <v>23154</v>
      </c>
      <c r="E7691" t="s">
        <v>23219</v>
      </c>
      <c r="F7691" t="s">
        <v>23220</v>
      </c>
      <c r="J7691" t="s">
        <v>23219</v>
      </c>
      <c r="K7691" t="s">
        <v>9528</v>
      </c>
      <c r="L7691" t="s">
        <v>851</v>
      </c>
    </row>
    <row r="7692" spans="1:12">
      <c r="A7692" t="s">
        <v>23151</v>
      </c>
      <c r="B7692" t="s">
        <v>23152</v>
      </c>
      <c r="C7692" t="s">
        <v>23221</v>
      </c>
      <c r="D7692" t="s">
        <v>23154</v>
      </c>
      <c r="E7692" t="s">
        <v>23222</v>
      </c>
      <c r="F7692" t="s">
        <v>23223</v>
      </c>
      <c r="J7692" t="s">
        <v>23222</v>
      </c>
      <c r="K7692" t="s">
        <v>9528</v>
      </c>
      <c r="L7692" t="s">
        <v>851</v>
      </c>
    </row>
    <row r="7693" spans="1:12">
      <c r="A7693" t="s">
        <v>23151</v>
      </c>
      <c r="B7693" t="s">
        <v>23152</v>
      </c>
      <c r="C7693" t="s">
        <v>23224</v>
      </c>
      <c r="D7693" t="s">
        <v>23154</v>
      </c>
      <c r="E7693" t="s">
        <v>21364</v>
      </c>
      <c r="F7693" t="s">
        <v>23225</v>
      </c>
      <c r="J7693" t="s">
        <v>21364</v>
      </c>
      <c r="K7693" t="s">
        <v>9528</v>
      </c>
      <c r="L7693" t="s">
        <v>851</v>
      </c>
    </row>
    <row r="7694" spans="1:12">
      <c r="A7694" t="s">
        <v>23151</v>
      </c>
      <c r="B7694" t="s">
        <v>23152</v>
      </c>
      <c r="C7694" t="s">
        <v>23226</v>
      </c>
      <c r="D7694" t="s">
        <v>23154</v>
      </c>
      <c r="E7694" t="s">
        <v>11105</v>
      </c>
      <c r="F7694" t="s">
        <v>23227</v>
      </c>
      <c r="J7694" t="s">
        <v>11105</v>
      </c>
      <c r="K7694" t="s">
        <v>9528</v>
      </c>
      <c r="L7694" t="s">
        <v>851</v>
      </c>
    </row>
    <row r="7695" spans="1:12">
      <c r="A7695" t="s">
        <v>23151</v>
      </c>
      <c r="B7695" t="s">
        <v>23152</v>
      </c>
      <c r="C7695" t="s">
        <v>23228</v>
      </c>
      <c r="D7695" t="s">
        <v>23154</v>
      </c>
      <c r="E7695" t="s">
        <v>655</v>
      </c>
      <c r="F7695" t="s">
        <v>656</v>
      </c>
    </row>
    <row r="7696" spans="1:12">
      <c r="A7696" t="s">
        <v>23229</v>
      </c>
      <c r="B7696" t="s">
        <v>23230</v>
      </c>
      <c r="C7696" t="s">
        <v>23231</v>
      </c>
      <c r="D7696" t="s">
        <v>23232</v>
      </c>
      <c r="E7696" t="s">
        <v>23233</v>
      </c>
      <c r="F7696" t="s">
        <v>23234</v>
      </c>
      <c r="J7696" t="s">
        <v>23233</v>
      </c>
      <c r="K7696" t="s">
        <v>3305</v>
      </c>
      <c r="L7696" t="s">
        <v>851</v>
      </c>
    </row>
    <row r="7697" spans="1:12">
      <c r="A7697" t="s">
        <v>23229</v>
      </c>
      <c r="B7697" t="s">
        <v>23230</v>
      </c>
      <c r="C7697" t="s">
        <v>23235</v>
      </c>
      <c r="D7697" t="s">
        <v>23232</v>
      </c>
      <c r="E7697" t="s">
        <v>3305</v>
      </c>
      <c r="F7697" t="s">
        <v>23229</v>
      </c>
    </row>
    <row r="7698" spans="1:12">
      <c r="A7698" t="s">
        <v>23229</v>
      </c>
      <c r="B7698" t="s">
        <v>23230</v>
      </c>
      <c r="C7698" t="s">
        <v>23236</v>
      </c>
      <c r="D7698" t="s">
        <v>23232</v>
      </c>
      <c r="E7698" t="s">
        <v>655</v>
      </c>
      <c r="F7698" t="s">
        <v>656</v>
      </c>
    </row>
    <row r="7699" spans="1:12">
      <c r="A7699" t="s">
        <v>23237</v>
      </c>
      <c r="B7699" t="s">
        <v>23238</v>
      </c>
      <c r="C7699" t="s">
        <v>23239</v>
      </c>
      <c r="D7699" t="s">
        <v>23240</v>
      </c>
      <c r="E7699" t="s">
        <v>23241</v>
      </c>
      <c r="F7699" t="s">
        <v>23242</v>
      </c>
      <c r="J7699" t="s">
        <v>23241</v>
      </c>
      <c r="K7699" t="s">
        <v>23243</v>
      </c>
      <c r="L7699" t="s">
        <v>863</v>
      </c>
    </row>
    <row r="7700" spans="1:12">
      <c r="A7700" t="s">
        <v>23237</v>
      </c>
      <c r="B7700" t="s">
        <v>23238</v>
      </c>
      <c r="C7700" t="s">
        <v>23244</v>
      </c>
      <c r="D7700" t="s">
        <v>23240</v>
      </c>
      <c r="E7700" t="s">
        <v>23245</v>
      </c>
      <c r="F7700" t="s">
        <v>23246</v>
      </c>
    </row>
    <row r="7701" spans="1:12">
      <c r="A7701" t="s">
        <v>23237</v>
      </c>
      <c r="B7701" t="s">
        <v>23238</v>
      </c>
      <c r="C7701" t="s">
        <v>23247</v>
      </c>
      <c r="D7701" t="s">
        <v>23240</v>
      </c>
      <c r="E7701" t="s">
        <v>655</v>
      </c>
      <c r="F7701" t="s">
        <v>656</v>
      </c>
    </row>
    <row r="7702" spans="1:12">
      <c r="A7702" t="s">
        <v>23248</v>
      </c>
      <c r="B7702" t="s">
        <v>23249</v>
      </c>
      <c r="C7702" t="s">
        <v>23250</v>
      </c>
      <c r="D7702" t="s">
        <v>23251</v>
      </c>
      <c r="E7702" t="s">
        <v>3227</v>
      </c>
      <c r="F7702" t="s">
        <v>3227</v>
      </c>
    </row>
    <row r="7703" spans="1:12">
      <c r="A7703" t="s">
        <v>23248</v>
      </c>
      <c r="B7703" t="s">
        <v>23249</v>
      </c>
      <c r="C7703" t="s">
        <v>23252</v>
      </c>
      <c r="D7703" t="s">
        <v>23251</v>
      </c>
      <c r="E7703" t="s">
        <v>17256</v>
      </c>
      <c r="F7703" t="s">
        <v>23253</v>
      </c>
      <c r="J7703" t="s">
        <v>17256</v>
      </c>
      <c r="K7703" t="s">
        <v>23254</v>
      </c>
      <c r="L7703" t="s">
        <v>851</v>
      </c>
    </row>
    <row r="7704" spans="1:12">
      <c r="A7704" t="s">
        <v>23248</v>
      </c>
      <c r="B7704" t="s">
        <v>23249</v>
      </c>
      <c r="C7704" t="s">
        <v>23255</v>
      </c>
      <c r="D7704" t="s">
        <v>23251</v>
      </c>
      <c r="E7704" t="s">
        <v>12674</v>
      </c>
      <c r="F7704" t="s">
        <v>23256</v>
      </c>
      <c r="J7704" t="s">
        <v>12674</v>
      </c>
      <c r="K7704" t="s">
        <v>23254</v>
      </c>
      <c r="L7704" t="s">
        <v>851</v>
      </c>
    </row>
    <row r="7705" spans="1:12">
      <c r="A7705" t="s">
        <v>23248</v>
      </c>
      <c r="B7705" t="s">
        <v>23249</v>
      </c>
      <c r="C7705" t="s">
        <v>23257</v>
      </c>
      <c r="D7705" t="s">
        <v>23251</v>
      </c>
      <c r="E7705" t="s">
        <v>14066</v>
      </c>
      <c r="F7705" t="s">
        <v>23258</v>
      </c>
    </row>
    <row r="7706" spans="1:12">
      <c r="A7706" t="s">
        <v>23248</v>
      </c>
      <c r="B7706" t="s">
        <v>23249</v>
      </c>
      <c r="C7706" t="s">
        <v>23259</v>
      </c>
      <c r="D7706" t="s">
        <v>23251</v>
      </c>
      <c r="E7706" t="s">
        <v>23260</v>
      </c>
      <c r="F7706" t="s">
        <v>23261</v>
      </c>
      <c r="J7706" t="s">
        <v>23260</v>
      </c>
      <c r="K7706" t="s">
        <v>23254</v>
      </c>
      <c r="L7706" t="s">
        <v>851</v>
      </c>
    </row>
    <row r="7707" spans="1:12">
      <c r="A7707" t="s">
        <v>23248</v>
      </c>
      <c r="B7707" t="s">
        <v>23249</v>
      </c>
      <c r="C7707" t="s">
        <v>23262</v>
      </c>
      <c r="D7707" t="s">
        <v>23251</v>
      </c>
      <c r="E7707" t="s">
        <v>15336</v>
      </c>
      <c r="F7707" t="s">
        <v>23263</v>
      </c>
      <c r="J7707" t="s">
        <v>15336</v>
      </c>
      <c r="K7707" t="s">
        <v>23254</v>
      </c>
      <c r="L7707" t="s">
        <v>851</v>
      </c>
    </row>
    <row r="7708" spans="1:12">
      <c r="A7708" t="s">
        <v>23248</v>
      </c>
      <c r="B7708" t="s">
        <v>23249</v>
      </c>
      <c r="C7708" t="s">
        <v>23264</v>
      </c>
      <c r="D7708" t="s">
        <v>23251</v>
      </c>
      <c r="E7708" t="s">
        <v>23265</v>
      </c>
      <c r="F7708" t="s">
        <v>23266</v>
      </c>
      <c r="J7708" t="s">
        <v>23265</v>
      </c>
      <c r="K7708" t="s">
        <v>23254</v>
      </c>
      <c r="L7708" t="s">
        <v>851</v>
      </c>
    </row>
    <row r="7709" spans="1:12">
      <c r="A7709" t="s">
        <v>23248</v>
      </c>
      <c r="B7709" t="s">
        <v>23249</v>
      </c>
      <c r="C7709" t="s">
        <v>23267</v>
      </c>
      <c r="D7709" t="s">
        <v>23251</v>
      </c>
      <c r="E7709" t="s">
        <v>655</v>
      </c>
      <c r="F7709" t="s">
        <v>656</v>
      </c>
    </row>
    <row r="7710" spans="1:12">
      <c r="A7710" t="s">
        <v>23268</v>
      </c>
      <c r="B7710" t="s">
        <v>23269</v>
      </c>
      <c r="C7710" t="s">
        <v>23270</v>
      </c>
      <c r="D7710" t="s">
        <v>23271</v>
      </c>
      <c r="E7710" t="s">
        <v>23272</v>
      </c>
      <c r="F7710" t="s">
        <v>23273</v>
      </c>
    </row>
    <row r="7711" spans="1:12">
      <c r="A7711" t="s">
        <v>23268</v>
      </c>
      <c r="B7711" t="s">
        <v>23269</v>
      </c>
      <c r="C7711" t="s">
        <v>23274</v>
      </c>
      <c r="D7711" t="s">
        <v>23271</v>
      </c>
      <c r="E7711" t="s">
        <v>23275</v>
      </c>
      <c r="F7711" t="s">
        <v>23276</v>
      </c>
      <c r="J7711" t="s">
        <v>23275</v>
      </c>
      <c r="K7711" t="s">
        <v>23277</v>
      </c>
      <c r="L7711" t="s">
        <v>916</v>
      </c>
    </row>
    <row r="7712" spans="1:12">
      <c r="A7712" t="s">
        <v>23268</v>
      </c>
      <c r="B7712" t="s">
        <v>23269</v>
      </c>
      <c r="C7712" t="s">
        <v>23278</v>
      </c>
      <c r="D7712" t="s">
        <v>23271</v>
      </c>
      <c r="E7712" t="s">
        <v>8436</v>
      </c>
      <c r="F7712" t="s">
        <v>23279</v>
      </c>
      <c r="J7712" t="s">
        <v>8436</v>
      </c>
      <c r="K7712" t="s">
        <v>23277</v>
      </c>
      <c r="L7712" t="s">
        <v>916</v>
      </c>
    </row>
    <row r="7713" spans="1:12">
      <c r="A7713" t="s">
        <v>23268</v>
      </c>
      <c r="B7713" t="s">
        <v>23269</v>
      </c>
      <c r="C7713" t="s">
        <v>23280</v>
      </c>
      <c r="D7713" t="s">
        <v>23271</v>
      </c>
      <c r="E7713" t="s">
        <v>13823</v>
      </c>
      <c r="F7713" t="s">
        <v>23281</v>
      </c>
      <c r="J7713" t="s">
        <v>13823</v>
      </c>
      <c r="K7713" t="s">
        <v>23277</v>
      </c>
      <c r="L7713" t="s">
        <v>916</v>
      </c>
    </row>
    <row r="7714" spans="1:12">
      <c r="A7714" t="s">
        <v>23268</v>
      </c>
      <c r="B7714" t="s">
        <v>23269</v>
      </c>
      <c r="C7714" t="s">
        <v>23282</v>
      </c>
      <c r="D7714" t="s">
        <v>23271</v>
      </c>
      <c r="E7714" t="s">
        <v>16289</v>
      </c>
      <c r="F7714" t="s">
        <v>23283</v>
      </c>
      <c r="J7714" t="s">
        <v>16289</v>
      </c>
      <c r="K7714" t="s">
        <v>23277</v>
      </c>
      <c r="L7714" t="s">
        <v>916</v>
      </c>
    </row>
    <row r="7715" spans="1:12">
      <c r="A7715" t="s">
        <v>23268</v>
      </c>
      <c r="B7715" t="s">
        <v>23269</v>
      </c>
      <c r="C7715" t="s">
        <v>23284</v>
      </c>
      <c r="D7715" t="s">
        <v>23271</v>
      </c>
      <c r="E7715" t="s">
        <v>16310</v>
      </c>
      <c r="F7715" t="s">
        <v>23285</v>
      </c>
      <c r="J7715" t="s">
        <v>16310</v>
      </c>
      <c r="K7715" t="s">
        <v>23277</v>
      </c>
      <c r="L7715" t="s">
        <v>916</v>
      </c>
    </row>
    <row r="7716" spans="1:12">
      <c r="A7716" t="s">
        <v>23268</v>
      </c>
      <c r="B7716" t="s">
        <v>23269</v>
      </c>
      <c r="C7716" t="s">
        <v>23286</v>
      </c>
      <c r="D7716" t="s">
        <v>23271</v>
      </c>
      <c r="E7716" t="s">
        <v>14183</v>
      </c>
      <c r="F7716" t="s">
        <v>23287</v>
      </c>
    </row>
    <row r="7717" spans="1:12">
      <c r="A7717" t="s">
        <v>23268</v>
      </c>
      <c r="B7717" t="s">
        <v>23269</v>
      </c>
      <c r="C7717" t="s">
        <v>23288</v>
      </c>
      <c r="D7717" t="s">
        <v>23271</v>
      </c>
      <c r="E7717" t="s">
        <v>23289</v>
      </c>
      <c r="F7717" t="s">
        <v>23290</v>
      </c>
      <c r="J7717" t="s">
        <v>23289</v>
      </c>
      <c r="K7717" t="s">
        <v>23277</v>
      </c>
      <c r="L7717" t="s">
        <v>916</v>
      </c>
    </row>
    <row r="7718" spans="1:12">
      <c r="A7718" t="s">
        <v>23268</v>
      </c>
      <c r="B7718" t="s">
        <v>23269</v>
      </c>
      <c r="C7718" t="s">
        <v>23291</v>
      </c>
      <c r="D7718" t="s">
        <v>23271</v>
      </c>
      <c r="E7718" t="s">
        <v>23292</v>
      </c>
      <c r="F7718" t="s">
        <v>23293</v>
      </c>
      <c r="J7718" t="s">
        <v>23292</v>
      </c>
      <c r="K7718" t="s">
        <v>23277</v>
      </c>
      <c r="L7718" t="s">
        <v>916</v>
      </c>
    </row>
    <row r="7719" spans="1:12">
      <c r="A7719" t="s">
        <v>23268</v>
      </c>
      <c r="B7719" t="s">
        <v>23269</v>
      </c>
      <c r="C7719" t="s">
        <v>23294</v>
      </c>
      <c r="D7719" t="s">
        <v>23271</v>
      </c>
      <c r="E7719" t="s">
        <v>8622</v>
      </c>
      <c r="F7719" t="s">
        <v>23295</v>
      </c>
      <c r="J7719" t="s">
        <v>8622</v>
      </c>
      <c r="K7719" t="s">
        <v>23277</v>
      </c>
      <c r="L7719" t="s">
        <v>916</v>
      </c>
    </row>
    <row r="7720" spans="1:12">
      <c r="A7720" t="s">
        <v>23268</v>
      </c>
      <c r="B7720" t="s">
        <v>23269</v>
      </c>
      <c r="C7720" t="s">
        <v>23296</v>
      </c>
      <c r="D7720" t="s">
        <v>23271</v>
      </c>
      <c r="E7720" t="s">
        <v>12384</v>
      </c>
      <c r="F7720" t="s">
        <v>23297</v>
      </c>
    </row>
    <row r="7721" spans="1:12">
      <c r="A7721" t="s">
        <v>23268</v>
      </c>
      <c r="B7721" t="s">
        <v>23269</v>
      </c>
      <c r="C7721" t="s">
        <v>23298</v>
      </c>
      <c r="D7721" t="s">
        <v>23271</v>
      </c>
      <c r="E7721" t="s">
        <v>23299</v>
      </c>
      <c r="F7721" t="s">
        <v>23300</v>
      </c>
      <c r="J7721" t="s">
        <v>23299</v>
      </c>
      <c r="K7721" t="s">
        <v>23277</v>
      </c>
      <c r="L7721" t="s">
        <v>916</v>
      </c>
    </row>
    <row r="7722" spans="1:12">
      <c r="A7722" t="s">
        <v>23268</v>
      </c>
      <c r="B7722" t="s">
        <v>23269</v>
      </c>
      <c r="C7722" t="s">
        <v>23301</v>
      </c>
      <c r="D7722" t="s">
        <v>23271</v>
      </c>
      <c r="E7722" t="s">
        <v>23302</v>
      </c>
      <c r="F7722" t="s">
        <v>23303</v>
      </c>
      <c r="J7722" t="s">
        <v>23302</v>
      </c>
      <c r="K7722" t="s">
        <v>23277</v>
      </c>
      <c r="L7722" t="s">
        <v>916</v>
      </c>
    </row>
    <row r="7723" spans="1:12">
      <c r="A7723" t="s">
        <v>23268</v>
      </c>
      <c r="B7723" t="s">
        <v>23269</v>
      </c>
      <c r="C7723" t="s">
        <v>23304</v>
      </c>
      <c r="D7723" t="s">
        <v>23271</v>
      </c>
      <c r="E7723" t="s">
        <v>23305</v>
      </c>
      <c r="F7723" t="s">
        <v>23306</v>
      </c>
      <c r="J7723" t="s">
        <v>23305</v>
      </c>
      <c r="K7723" t="s">
        <v>23277</v>
      </c>
      <c r="L7723" t="s">
        <v>916</v>
      </c>
    </row>
    <row r="7724" spans="1:12">
      <c r="A7724" t="s">
        <v>23268</v>
      </c>
      <c r="B7724" t="s">
        <v>23269</v>
      </c>
      <c r="C7724" t="s">
        <v>23307</v>
      </c>
      <c r="D7724" t="s">
        <v>23271</v>
      </c>
      <c r="E7724" t="s">
        <v>1141</v>
      </c>
      <c r="F7724" t="s">
        <v>23308</v>
      </c>
    </row>
    <row r="7725" spans="1:12">
      <c r="A7725" t="s">
        <v>23268</v>
      </c>
      <c r="B7725" t="s">
        <v>23269</v>
      </c>
      <c r="C7725" t="s">
        <v>23309</v>
      </c>
      <c r="D7725" t="s">
        <v>23271</v>
      </c>
      <c r="E7725" t="s">
        <v>23310</v>
      </c>
      <c r="F7725" t="s">
        <v>23311</v>
      </c>
      <c r="J7725" t="s">
        <v>23310</v>
      </c>
      <c r="K7725" t="s">
        <v>23277</v>
      </c>
      <c r="L7725" t="s">
        <v>916</v>
      </c>
    </row>
    <row r="7726" spans="1:12">
      <c r="A7726" t="s">
        <v>23268</v>
      </c>
      <c r="B7726" t="s">
        <v>23269</v>
      </c>
      <c r="C7726" t="s">
        <v>23312</v>
      </c>
      <c r="D7726" t="s">
        <v>23271</v>
      </c>
      <c r="E7726" t="s">
        <v>23313</v>
      </c>
      <c r="F7726" t="s">
        <v>23314</v>
      </c>
    </row>
    <row r="7727" spans="1:12">
      <c r="A7727" t="s">
        <v>23268</v>
      </c>
      <c r="B7727" t="s">
        <v>23269</v>
      </c>
      <c r="C7727" t="s">
        <v>23315</v>
      </c>
      <c r="D7727" t="s">
        <v>23271</v>
      </c>
      <c r="E7727" t="s">
        <v>13926</v>
      </c>
      <c r="F7727" t="s">
        <v>23316</v>
      </c>
      <c r="J7727" t="s">
        <v>13926</v>
      </c>
      <c r="K7727" t="s">
        <v>23277</v>
      </c>
      <c r="L7727" t="s">
        <v>916</v>
      </c>
    </row>
    <row r="7728" spans="1:12">
      <c r="A7728" t="s">
        <v>23268</v>
      </c>
      <c r="B7728" t="s">
        <v>23269</v>
      </c>
      <c r="C7728" t="s">
        <v>23317</v>
      </c>
      <c r="D7728" t="s">
        <v>23271</v>
      </c>
      <c r="E7728" t="s">
        <v>17517</v>
      </c>
      <c r="F7728" t="s">
        <v>23318</v>
      </c>
      <c r="J7728" t="s">
        <v>17517</v>
      </c>
      <c r="K7728" t="s">
        <v>23277</v>
      </c>
      <c r="L7728" t="s">
        <v>916</v>
      </c>
    </row>
    <row r="7729" spans="1:12">
      <c r="A7729" t="s">
        <v>23268</v>
      </c>
      <c r="B7729" t="s">
        <v>23269</v>
      </c>
      <c r="C7729" t="s">
        <v>23319</v>
      </c>
      <c r="D7729" t="s">
        <v>23271</v>
      </c>
      <c r="E7729" t="s">
        <v>23320</v>
      </c>
      <c r="F7729" t="s">
        <v>23321</v>
      </c>
      <c r="J7729" t="s">
        <v>23320</v>
      </c>
      <c r="K7729" t="s">
        <v>23277</v>
      </c>
      <c r="L7729" t="s">
        <v>916</v>
      </c>
    </row>
    <row r="7730" spans="1:12">
      <c r="A7730" t="s">
        <v>23268</v>
      </c>
      <c r="B7730" t="s">
        <v>23269</v>
      </c>
      <c r="C7730" t="s">
        <v>23322</v>
      </c>
      <c r="D7730" t="s">
        <v>23271</v>
      </c>
      <c r="E7730" t="s">
        <v>23323</v>
      </c>
      <c r="F7730" t="s">
        <v>23324</v>
      </c>
      <c r="J7730" t="s">
        <v>23323</v>
      </c>
      <c r="K7730" t="s">
        <v>23277</v>
      </c>
      <c r="L7730" t="s">
        <v>916</v>
      </c>
    </row>
    <row r="7731" spans="1:12">
      <c r="A7731" t="s">
        <v>23268</v>
      </c>
      <c r="B7731" t="s">
        <v>23269</v>
      </c>
      <c r="C7731" t="s">
        <v>23325</v>
      </c>
      <c r="D7731" t="s">
        <v>23271</v>
      </c>
      <c r="E7731" t="s">
        <v>23326</v>
      </c>
      <c r="F7731" t="s">
        <v>23327</v>
      </c>
      <c r="J7731" t="s">
        <v>23326</v>
      </c>
      <c r="K7731" t="s">
        <v>23277</v>
      </c>
      <c r="L7731" t="s">
        <v>916</v>
      </c>
    </row>
    <row r="7732" spans="1:12">
      <c r="A7732" t="s">
        <v>23268</v>
      </c>
      <c r="B7732" t="s">
        <v>23269</v>
      </c>
      <c r="C7732" t="s">
        <v>23328</v>
      </c>
      <c r="D7732" t="s">
        <v>23271</v>
      </c>
      <c r="E7732" t="s">
        <v>23329</v>
      </c>
      <c r="F7732" t="s">
        <v>23330</v>
      </c>
      <c r="J7732" t="s">
        <v>23329</v>
      </c>
      <c r="K7732" t="s">
        <v>23277</v>
      </c>
      <c r="L7732" t="s">
        <v>916</v>
      </c>
    </row>
    <row r="7733" spans="1:12">
      <c r="A7733" t="s">
        <v>23268</v>
      </c>
      <c r="B7733" t="s">
        <v>23269</v>
      </c>
      <c r="C7733" t="s">
        <v>23331</v>
      </c>
      <c r="D7733" t="s">
        <v>23271</v>
      </c>
      <c r="E7733" t="s">
        <v>23332</v>
      </c>
      <c r="F7733" t="s">
        <v>23333</v>
      </c>
      <c r="J7733" t="s">
        <v>23332</v>
      </c>
      <c r="K7733" t="s">
        <v>23277</v>
      </c>
      <c r="L7733" t="s">
        <v>916</v>
      </c>
    </row>
    <row r="7734" spans="1:12">
      <c r="A7734" t="s">
        <v>23268</v>
      </c>
      <c r="B7734" t="s">
        <v>23269</v>
      </c>
      <c r="C7734" t="s">
        <v>23334</v>
      </c>
      <c r="D7734" t="s">
        <v>23271</v>
      </c>
      <c r="E7734" t="s">
        <v>18990</v>
      </c>
      <c r="F7734" t="s">
        <v>23335</v>
      </c>
      <c r="J7734" t="s">
        <v>18990</v>
      </c>
      <c r="K7734" t="s">
        <v>23277</v>
      </c>
      <c r="L7734" t="s">
        <v>916</v>
      </c>
    </row>
    <row r="7735" spans="1:12">
      <c r="A7735" t="s">
        <v>23268</v>
      </c>
      <c r="B7735" t="s">
        <v>23269</v>
      </c>
      <c r="C7735" t="s">
        <v>23336</v>
      </c>
      <c r="D7735" t="s">
        <v>23271</v>
      </c>
      <c r="E7735" t="s">
        <v>8011</v>
      </c>
      <c r="F7735" t="s">
        <v>23337</v>
      </c>
    </row>
    <row r="7736" spans="1:12">
      <c r="A7736" t="s">
        <v>23268</v>
      </c>
      <c r="B7736" t="s">
        <v>23269</v>
      </c>
      <c r="C7736" t="s">
        <v>23338</v>
      </c>
      <c r="D7736" t="s">
        <v>23271</v>
      </c>
      <c r="E7736" t="s">
        <v>23339</v>
      </c>
      <c r="F7736" t="s">
        <v>23340</v>
      </c>
      <c r="J7736" t="s">
        <v>23339</v>
      </c>
      <c r="K7736" t="s">
        <v>23277</v>
      </c>
      <c r="L7736" t="s">
        <v>916</v>
      </c>
    </row>
    <row r="7737" spans="1:12">
      <c r="A7737" t="s">
        <v>23268</v>
      </c>
      <c r="B7737" t="s">
        <v>23269</v>
      </c>
      <c r="C7737" t="s">
        <v>23341</v>
      </c>
      <c r="D7737" t="s">
        <v>23271</v>
      </c>
      <c r="E7737" t="s">
        <v>23342</v>
      </c>
      <c r="F7737" t="s">
        <v>23343</v>
      </c>
      <c r="J7737" t="s">
        <v>23342</v>
      </c>
      <c r="K7737" t="s">
        <v>23277</v>
      </c>
      <c r="L7737" t="s">
        <v>916</v>
      </c>
    </row>
    <row r="7738" spans="1:12">
      <c r="A7738" t="s">
        <v>23268</v>
      </c>
      <c r="B7738" t="s">
        <v>23269</v>
      </c>
      <c r="C7738" t="s">
        <v>23344</v>
      </c>
      <c r="D7738" t="s">
        <v>23271</v>
      </c>
      <c r="E7738" t="s">
        <v>19206</v>
      </c>
      <c r="F7738" t="s">
        <v>23345</v>
      </c>
      <c r="J7738" t="s">
        <v>19206</v>
      </c>
      <c r="K7738" t="s">
        <v>23277</v>
      </c>
      <c r="L7738" t="s">
        <v>916</v>
      </c>
    </row>
    <row r="7739" spans="1:12">
      <c r="A7739" t="s">
        <v>23268</v>
      </c>
      <c r="B7739" t="s">
        <v>23269</v>
      </c>
      <c r="C7739" t="s">
        <v>23346</v>
      </c>
      <c r="D7739" t="s">
        <v>23271</v>
      </c>
      <c r="E7739" t="s">
        <v>23347</v>
      </c>
      <c r="F7739" t="s">
        <v>23348</v>
      </c>
      <c r="J7739" t="s">
        <v>23347</v>
      </c>
      <c r="K7739" t="s">
        <v>23277</v>
      </c>
      <c r="L7739" t="s">
        <v>916</v>
      </c>
    </row>
    <row r="7740" spans="1:12">
      <c r="A7740" t="s">
        <v>23268</v>
      </c>
      <c r="B7740" t="s">
        <v>23269</v>
      </c>
      <c r="C7740" t="s">
        <v>23349</v>
      </c>
      <c r="D7740" t="s">
        <v>23271</v>
      </c>
      <c r="E7740" t="s">
        <v>996</v>
      </c>
      <c r="F7740" t="s">
        <v>23350</v>
      </c>
    </row>
    <row r="7741" spans="1:12">
      <c r="A7741" t="s">
        <v>23268</v>
      </c>
      <c r="B7741" t="s">
        <v>23269</v>
      </c>
      <c r="C7741" t="s">
        <v>23351</v>
      </c>
      <c r="D7741" t="s">
        <v>23271</v>
      </c>
      <c r="E7741" t="s">
        <v>23352</v>
      </c>
      <c r="F7741" t="s">
        <v>23353</v>
      </c>
      <c r="J7741" t="s">
        <v>23352</v>
      </c>
      <c r="K7741" t="s">
        <v>23277</v>
      </c>
      <c r="L7741" t="s">
        <v>916</v>
      </c>
    </row>
    <row r="7742" spans="1:12">
      <c r="A7742" t="s">
        <v>23268</v>
      </c>
      <c r="B7742" t="s">
        <v>23269</v>
      </c>
      <c r="C7742" t="s">
        <v>23354</v>
      </c>
      <c r="D7742" t="s">
        <v>23271</v>
      </c>
      <c r="E7742" t="s">
        <v>23355</v>
      </c>
      <c r="F7742" t="s">
        <v>23356</v>
      </c>
      <c r="J7742" t="s">
        <v>23355</v>
      </c>
      <c r="K7742" t="s">
        <v>23277</v>
      </c>
      <c r="L7742" t="s">
        <v>916</v>
      </c>
    </row>
    <row r="7743" spans="1:12">
      <c r="A7743" t="s">
        <v>23268</v>
      </c>
      <c r="B7743" t="s">
        <v>23269</v>
      </c>
      <c r="C7743" t="s">
        <v>23357</v>
      </c>
      <c r="D7743" t="s">
        <v>23271</v>
      </c>
      <c r="E7743" t="s">
        <v>23358</v>
      </c>
      <c r="F7743" t="s">
        <v>23359</v>
      </c>
      <c r="J7743" t="s">
        <v>23358</v>
      </c>
      <c r="K7743" t="s">
        <v>23277</v>
      </c>
      <c r="L7743" t="s">
        <v>916</v>
      </c>
    </row>
    <row r="7744" spans="1:12">
      <c r="A7744" t="s">
        <v>23268</v>
      </c>
      <c r="B7744" t="s">
        <v>23269</v>
      </c>
      <c r="C7744" t="s">
        <v>23360</v>
      </c>
      <c r="D7744" t="s">
        <v>23271</v>
      </c>
      <c r="E7744" t="s">
        <v>23361</v>
      </c>
      <c r="F7744" t="s">
        <v>23362</v>
      </c>
      <c r="J7744" t="s">
        <v>23361</v>
      </c>
      <c r="K7744" t="s">
        <v>23277</v>
      </c>
      <c r="L7744" t="s">
        <v>916</v>
      </c>
    </row>
    <row r="7745" spans="1:12">
      <c r="A7745" t="s">
        <v>23268</v>
      </c>
      <c r="B7745" t="s">
        <v>23269</v>
      </c>
      <c r="C7745" t="s">
        <v>23363</v>
      </c>
      <c r="D7745" t="s">
        <v>23271</v>
      </c>
      <c r="E7745" t="s">
        <v>23364</v>
      </c>
      <c r="F7745" t="s">
        <v>23365</v>
      </c>
      <c r="J7745" t="s">
        <v>23364</v>
      </c>
      <c r="K7745" t="s">
        <v>23277</v>
      </c>
      <c r="L7745" t="s">
        <v>916</v>
      </c>
    </row>
    <row r="7746" spans="1:12">
      <c r="A7746" t="s">
        <v>23268</v>
      </c>
      <c r="B7746" t="s">
        <v>23269</v>
      </c>
      <c r="C7746" t="s">
        <v>23366</v>
      </c>
      <c r="D7746" t="s">
        <v>23271</v>
      </c>
      <c r="E7746" t="s">
        <v>23367</v>
      </c>
      <c r="F7746" t="s">
        <v>23368</v>
      </c>
      <c r="J7746" t="s">
        <v>23367</v>
      </c>
      <c r="K7746" t="s">
        <v>23277</v>
      </c>
      <c r="L7746" t="s">
        <v>916</v>
      </c>
    </row>
    <row r="7747" spans="1:12">
      <c r="A7747" t="s">
        <v>23268</v>
      </c>
      <c r="B7747" t="s">
        <v>23269</v>
      </c>
      <c r="C7747" t="s">
        <v>23369</v>
      </c>
      <c r="D7747" t="s">
        <v>23271</v>
      </c>
      <c r="E7747" t="s">
        <v>21145</v>
      </c>
      <c r="F7747" t="s">
        <v>23370</v>
      </c>
      <c r="J7747" t="s">
        <v>21145</v>
      </c>
      <c r="K7747" t="s">
        <v>23277</v>
      </c>
      <c r="L7747" t="s">
        <v>916</v>
      </c>
    </row>
    <row r="7748" spans="1:12">
      <c r="A7748" t="s">
        <v>23268</v>
      </c>
      <c r="B7748" t="s">
        <v>23269</v>
      </c>
      <c r="C7748" t="s">
        <v>23371</v>
      </c>
      <c r="D7748" t="s">
        <v>23271</v>
      </c>
      <c r="E7748" t="s">
        <v>21200</v>
      </c>
      <c r="F7748" t="s">
        <v>23372</v>
      </c>
      <c r="J7748" t="s">
        <v>21200</v>
      </c>
      <c r="K7748" t="s">
        <v>23277</v>
      </c>
      <c r="L7748" t="s">
        <v>916</v>
      </c>
    </row>
    <row r="7749" spans="1:12">
      <c r="A7749" t="s">
        <v>23268</v>
      </c>
      <c r="B7749" t="s">
        <v>23269</v>
      </c>
      <c r="C7749" t="s">
        <v>23373</v>
      </c>
      <c r="D7749" t="s">
        <v>23271</v>
      </c>
      <c r="E7749" t="s">
        <v>21361</v>
      </c>
      <c r="F7749" t="s">
        <v>23374</v>
      </c>
      <c r="J7749" t="s">
        <v>21361</v>
      </c>
      <c r="K7749" t="s">
        <v>23277</v>
      </c>
      <c r="L7749" t="s">
        <v>916</v>
      </c>
    </row>
    <row r="7750" spans="1:12">
      <c r="A7750" t="s">
        <v>23268</v>
      </c>
      <c r="B7750" t="s">
        <v>23269</v>
      </c>
      <c r="C7750" t="s">
        <v>23375</v>
      </c>
      <c r="D7750" t="s">
        <v>23271</v>
      </c>
      <c r="E7750" t="s">
        <v>11502</v>
      </c>
      <c r="F7750" t="s">
        <v>23376</v>
      </c>
      <c r="J7750" t="s">
        <v>11502</v>
      </c>
      <c r="K7750" t="s">
        <v>23277</v>
      </c>
      <c r="L7750" t="s">
        <v>916</v>
      </c>
    </row>
    <row r="7751" spans="1:12">
      <c r="A7751" t="s">
        <v>23268</v>
      </c>
      <c r="B7751" t="s">
        <v>23269</v>
      </c>
      <c r="C7751" t="s">
        <v>23377</v>
      </c>
      <c r="D7751" t="s">
        <v>23271</v>
      </c>
      <c r="E7751" t="s">
        <v>11524</v>
      </c>
      <c r="F7751" t="s">
        <v>23378</v>
      </c>
      <c r="J7751" t="s">
        <v>11524</v>
      </c>
      <c r="K7751" t="s">
        <v>23277</v>
      </c>
      <c r="L7751" t="s">
        <v>916</v>
      </c>
    </row>
    <row r="7752" spans="1:12">
      <c r="A7752" t="s">
        <v>23268</v>
      </c>
      <c r="B7752" t="s">
        <v>23269</v>
      </c>
      <c r="C7752" t="s">
        <v>23379</v>
      </c>
      <c r="D7752" t="s">
        <v>23271</v>
      </c>
      <c r="E7752" t="s">
        <v>23380</v>
      </c>
      <c r="F7752" t="s">
        <v>23381</v>
      </c>
    </row>
    <row r="7753" spans="1:12">
      <c r="A7753" t="s">
        <v>23268</v>
      </c>
      <c r="B7753" t="s">
        <v>23269</v>
      </c>
      <c r="C7753" t="s">
        <v>23382</v>
      </c>
      <c r="D7753" t="s">
        <v>23271</v>
      </c>
      <c r="E7753" t="s">
        <v>23383</v>
      </c>
      <c r="F7753" t="s">
        <v>23384</v>
      </c>
      <c r="J7753" t="s">
        <v>23383</v>
      </c>
      <c r="K7753" t="s">
        <v>23277</v>
      </c>
      <c r="L7753" t="s">
        <v>916</v>
      </c>
    </row>
    <row r="7754" spans="1:12">
      <c r="A7754" t="s">
        <v>23268</v>
      </c>
      <c r="B7754" t="s">
        <v>23269</v>
      </c>
      <c r="C7754" t="s">
        <v>23385</v>
      </c>
      <c r="D7754" t="s">
        <v>23271</v>
      </c>
      <c r="E7754" t="s">
        <v>23386</v>
      </c>
      <c r="F7754" t="s">
        <v>23387</v>
      </c>
      <c r="J7754" t="s">
        <v>23386</v>
      </c>
      <c r="K7754" t="s">
        <v>23277</v>
      </c>
      <c r="L7754" t="s">
        <v>916</v>
      </c>
    </row>
    <row r="7755" spans="1:12">
      <c r="A7755" t="s">
        <v>23268</v>
      </c>
      <c r="B7755" t="s">
        <v>23269</v>
      </c>
      <c r="C7755" t="s">
        <v>23388</v>
      </c>
      <c r="D7755" t="s">
        <v>23271</v>
      </c>
      <c r="E7755" t="s">
        <v>10099</v>
      </c>
      <c r="F7755" t="s">
        <v>23389</v>
      </c>
      <c r="J7755" t="s">
        <v>10099</v>
      </c>
      <c r="K7755" t="s">
        <v>23277</v>
      </c>
      <c r="L7755" t="s">
        <v>916</v>
      </c>
    </row>
    <row r="7756" spans="1:12">
      <c r="A7756" t="s">
        <v>23268</v>
      </c>
      <c r="B7756" t="s">
        <v>23269</v>
      </c>
      <c r="C7756" t="s">
        <v>23390</v>
      </c>
      <c r="D7756" t="s">
        <v>23271</v>
      </c>
      <c r="E7756" t="s">
        <v>10108</v>
      </c>
      <c r="F7756" t="s">
        <v>23391</v>
      </c>
      <c r="J7756" t="s">
        <v>10108</v>
      </c>
      <c r="K7756" t="s">
        <v>23277</v>
      </c>
      <c r="L7756" t="s">
        <v>916</v>
      </c>
    </row>
    <row r="7757" spans="1:12">
      <c r="A7757" t="s">
        <v>23268</v>
      </c>
      <c r="B7757" t="s">
        <v>23269</v>
      </c>
      <c r="C7757" t="s">
        <v>23392</v>
      </c>
      <c r="D7757" t="s">
        <v>23271</v>
      </c>
      <c r="E7757" t="s">
        <v>21665</v>
      </c>
      <c r="F7757" t="s">
        <v>23393</v>
      </c>
      <c r="J7757" t="s">
        <v>21665</v>
      </c>
      <c r="K7757" t="s">
        <v>23277</v>
      </c>
      <c r="L7757" t="s">
        <v>916</v>
      </c>
    </row>
    <row r="7758" spans="1:12">
      <c r="A7758" t="s">
        <v>23268</v>
      </c>
      <c r="B7758" t="s">
        <v>23269</v>
      </c>
      <c r="C7758" t="s">
        <v>23394</v>
      </c>
      <c r="D7758" t="s">
        <v>23271</v>
      </c>
      <c r="E7758" t="s">
        <v>21669</v>
      </c>
      <c r="F7758" t="s">
        <v>23395</v>
      </c>
      <c r="J7758" t="s">
        <v>21669</v>
      </c>
      <c r="K7758" t="s">
        <v>23277</v>
      </c>
      <c r="L7758" t="s">
        <v>916</v>
      </c>
    </row>
    <row r="7759" spans="1:12">
      <c r="A7759" t="s">
        <v>23268</v>
      </c>
      <c r="B7759" t="s">
        <v>23269</v>
      </c>
      <c r="C7759" t="s">
        <v>23396</v>
      </c>
      <c r="D7759" t="s">
        <v>23271</v>
      </c>
      <c r="E7759" t="s">
        <v>23397</v>
      </c>
      <c r="F7759" t="s">
        <v>23398</v>
      </c>
      <c r="J7759" t="s">
        <v>23397</v>
      </c>
      <c r="K7759" t="s">
        <v>23277</v>
      </c>
      <c r="L7759" t="s">
        <v>916</v>
      </c>
    </row>
    <row r="7760" spans="1:12">
      <c r="A7760" t="s">
        <v>23268</v>
      </c>
      <c r="B7760" t="s">
        <v>23269</v>
      </c>
      <c r="C7760" t="s">
        <v>23399</v>
      </c>
      <c r="D7760" t="s">
        <v>23271</v>
      </c>
      <c r="E7760" t="s">
        <v>23400</v>
      </c>
      <c r="F7760" t="s">
        <v>23401</v>
      </c>
      <c r="J7760" t="s">
        <v>23400</v>
      </c>
      <c r="K7760" t="s">
        <v>23277</v>
      </c>
      <c r="L7760" t="s">
        <v>916</v>
      </c>
    </row>
    <row r="7761" spans="1:12">
      <c r="A7761" t="s">
        <v>23268</v>
      </c>
      <c r="B7761" t="s">
        <v>23269</v>
      </c>
      <c r="C7761" t="s">
        <v>23402</v>
      </c>
      <c r="D7761" t="s">
        <v>23271</v>
      </c>
      <c r="E7761" t="s">
        <v>23403</v>
      </c>
      <c r="F7761" t="s">
        <v>23404</v>
      </c>
      <c r="J7761" t="s">
        <v>23403</v>
      </c>
      <c r="K7761" t="s">
        <v>23277</v>
      </c>
      <c r="L7761" t="s">
        <v>916</v>
      </c>
    </row>
    <row r="7762" spans="1:12">
      <c r="A7762" t="s">
        <v>23268</v>
      </c>
      <c r="B7762" t="s">
        <v>23269</v>
      </c>
      <c r="C7762" t="s">
        <v>23405</v>
      </c>
      <c r="D7762" t="s">
        <v>23271</v>
      </c>
      <c r="E7762" t="s">
        <v>23406</v>
      </c>
      <c r="F7762" t="s">
        <v>23407</v>
      </c>
      <c r="J7762" t="s">
        <v>23406</v>
      </c>
      <c r="K7762" t="s">
        <v>23277</v>
      </c>
      <c r="L7762" t="s">
        <v>916</v>
      </c>
    </row>
    <row r="7763" spans="1:12">
      <c r="A7763" t="s">
        <v>23268</v>
      </c>
      <c r="B7763" t="s">
        <v>23269</v>
      </c>
      <c r="C7763" t="s">
        <v>23408</v>
      </c>
      <c r="D7763" t="s">
        <v>23271</v>
      </c>
      <c r="E7763" t="s">
        <v>23409</v>
      </c>
      <c r="F7763" t="s">
        <v>23410</v>
      </c>
      <c r="J7763" t="s">
        <v>23409</v>
      </c>
      <c r="K7763" t="s">
        <v>23277</v>
      </c>
      <c r="L7763" t="s">
        <v>916</v>
      </c>
    </row>
    <row r="7764" spans="1:12">
      <c r="A7764" t="s">
        <v>23268</v>
      </c>
      <c r="B7764" t="s">
        <v>23269</v>
      </c>
      <c r="C7764" t="s">
        <v>23411</v>
      </c>
      <c r="D7764" t="s">
        <v>23271</v>
      </c>
      <c r="E7764" t="s">
        <v>23412</v>
      </c>
      <c r="F7764" t="s">
        <v>23413</v>
      </c>
      <c r="J7764" t="s">
        <v>23412</v>
      </c>
      <c r="K7764" t="s">
        <v>23277</v>
      </c>
      <c r="L7764" t="s">
        <v>916</v>
      </c>
    </row>
    <row r="7765" spans="1:12">
      <c r="A7765" t="s">
        <v>23268</v>
      </c>
      <c r="B7765" t="s">
        <v>23269</v>
      </c>
      <c r="C7765" t="s">
        <v>23414</v>
      </c>
      <c r="D7765" t="s">
        <v>23271</v>
      </c>
      <c r="E7765" t="s">
        <v>23415</v>
      </c>
      <c r="F7765" t="s">
        <v>23416</v>
      </c>
      <c r="J7765" t="s">
        <v>23415</v>
      </c>
      <c r="K7765" t="s">
        <v>23277</v>
      </c>
      <c r="L7765" t="s">
        <v>916</v>
      </c>
    </row>
    <row r="7766" spans="1:12">
      <c r="A7766" t="s">
        <v>23268</v>
      </c>
      <c r="B7766" t="s">
        <v>23269</v>
      </c>
      <c r="C7766" t="s">
        <v>23417</v>
      </c>
      <c r="D7766" t="s">
        <v>23271</v>
      </c>
      <c r="E7766" t="s">
        <v>23418</v>
      </c>
      <c r="F7766" t="s">
        <v>23419</v>
      </c>
      <c r="J7766" t="s">
        <v>23418</v>
      </c>
      <c r="K7766" t="s">
        <v>23277</v>
      </c>
      <c r="L7766" t="s">
        <v>916</v>
      </c>
    </row>
    <row r="7767" spans="1:12">
      <c r="A7767" t="s">
        <v>23268</v>
      </c>
      <c r="B7767" t="s">
        <v>23269</v>
      </c>
      <c r="C7767" t="s">
        <v>23420</v>
      </c>
      <c r="D7767" t="s">
        <v>23271</v>
      </c>
      <c r="E7767" t="s">
        <v>23421</v>
      </c>
      <c r="F7767" t="s">
        <v>23422</v>
      </c>
      <c r="J7767" t="s">
        <v>23421</v>
      </c>
      <c r="K7767" t="s">
        <v>23277</v>
      </c>
      <c r="L7767" t="s">
        <v>916</v>
      </c>
    </row>
    <row r="7768" spans="1:12">
      <c r="A7768" t="s">
        <v>23268</v>
      </c>
      <c r="B7768" t="s">
        <v>23269</v>
      </c>
      <c r="C7768" t="s">
        <v>23423</v>
      </c>
      <c r="D7768" t="s">
        <v>23271</v>
      </c>
      <c r="E7768" t="s">
        <v>23424</v>
      </c>
      <c r="F7768" t="s">
        <v>23425</v>
      </c>
      <c r="J7768" t="s">
        <v>23424</v>
      </c>
      <c r="K7768" t="s">
        <v>23277</v>
      </c>
      <c r="L7768" t="s">
        <v>916</v>
      </c>
    </row>
    <row r="7769" spans="1:12">
      <c r="A7769" t="s">
        <v>23268</v>
      </c>
      <c r="B7769" t="s">
        <v>23269</v>
      </c>
      <c r="C7769" t="s">
        <v>23426</v>
      </c>
      <c r="D7769" t="s">
        <v>23271</v>
      </c>
      <c r="E7769" t="s">
        <v>23427</v>
      </c>
      <c r="F7769" t="s">
        <v>23428</v>
      </c>
      <c r="J7769" t="s">
        <v>23427</v>
      </c>
      <c r="K7769" t="s">
        <v>23277</v>
      </c>
      <c r="L7769" t="s">
        <v>916</v>
      </c>
    </row>
    <row r="7770" spans="1:12">
      <c r="A7770" t="s">
        <v>23268</v>
      </c>
      <c r="B7770" t="s">
        <v>23269</v>
      </c>
      <c r="C7770" t="s">
        <v>23429</v>
      </c>
      <c r="D7770" t="s">
        <v>23271</v>
      </c>
      <c r="E7770" t="s">
        <v>23430</v>
      </c>
      <c r="F7770" t="s">
        <v>23431</v>
      </c>
      <c r="J7770" t="s">
        <v>23430</v>
      </c>
      <c r="K7770" t="s">
        <v>23277</v>
      </c>
      <c r="L7770" t="s">
        <v>916</v>
      </c>
    </row>
    <row r="7771" spans="1:12">
      <c r="A7771" t="s">
        <v>23268</v>
      </c>
      <c r="B7771" t="s">
        <v>23269</v>
      </c>
      <c r="C7771" t="s">
        <v>23432</v>
      </c>
      <c r="D7771" t="s">
        <v>23271</v>
      </c>
      <c r="E7771" t="s">
        <v>23433</v>
      </c>
      <c r="F7771" t="s">
        <v>23434</v>
      </c>
      <c r="J7771" t="s">
        <v>23433</v>
      </c>
      <c r="K7771" t="s">
        <v>23277</v>
      </c>
      <c r="L7771" t="s">
        <v>916</v>
      </c>
    </row>
    <row r="7772" spans="1:12">
      <c r="A7772" t="s">
        <v>23268</v>
      </c>
      <c r="B7772" t="s">
        <v>23269</v>
      </c>
      <c r="C7772" t="s">
        <v>23435</v>
      </c>
      <c r="D7772" t="s">
        <v>23271</v>
      </c>
      <c r="E7772" t="s">
        <v>13116</v>
      </c>
      <c r="F7772" t="s">
        <v>23436</v>
      </c>
      <c r="J7772" t="s">
        <v>13116</v>
      </c>
      <c r="K7772" t="s">
        <v>23277</v>
      </c>
      <c r="L7772" t="s">
        <v>916</v>
      </c>
    </row>
    <row r="7773" spans="1:12">
      <c r="A7773" t="s">
        <v>23268</v>
      </c>
      <c r="B7773" t="s">
        <v>23269</v>
      </c>
      <c r="C7773" t="s">
        <v>23437</v>
      </c>
      <c r="D7773" t="s">
        <v>23271</v>
      </c>
      <c r="E7773" t="s">
        <v>23438</v>
      </c>
      <c r="F7773" t="s">
        <v>23439</v>
      </c>
      <c r="J7773" t="s">
        <v>23438</v>
      </c>
      <c r="K7773" t="s">
        <v>23277</v>
      </c>
      <c r="L7773" t="s">
        <v>916</v>
      </c>
    </row>
    <row r="7774" spans="1:12">
      <c r="A7774" t="s">
        <v>23268</v>
      </c>
      <c r="B7774" t="s">
        <v>23269</v>
      </c>
      <c r="C7774" t="s">
        <v>23440</v>
      </c>
      <c r="D7774" t="s">
        <v>23271</v>
      </c>
      <c r="E7774" t="s">
        <v>23441</v>
      </c>
      <c r="F7774" t="s">
        <v>23442</v>
      </c>
      <c r="J7774" t="s">
        <v>23441</v>
      </c>
      <c r="K7774" t="s">
        <v>23277</v>
      </c>
      <c r="L7774" t="s">
        <v>916</v>
      </c>
    </row>
    <row r="7775" spans="1:12">
      <c r="A7775" t="s">
        <v>23268</v>
      </c>
      <c r="B7775" t="s">
        <v>23269</v>
      </c>
      <c r="C7775" t="s">
        <v>23443</v>
      </c>
      <c r="D7775" t="s">
        <v>23271</v>
      </c>
      <c r="E7775" t="s">
        <v>23444</v>
      </c>
      <c r="F7775" t="s">
        <v>23445</v>
      </c>
      <c r="J7775" t="s">
        <v>23444</v>
      </c>
      <c r="K7775" t="s">
        <v>23277</v>
      </c>
      <c r="L7775" t="s">
        <v>916</v>
      </c>
    </row>
    <row r="7776" spans="1:12">
      <c r="A7776" t="s">
        <v>23268</v>
      </c>
      <c r="B7776" t="s">
        <v>23269</v>
      </c>
      <c r="C7776" t="s">
        <v>23446</v>
      </c>
      <c r="D7776" t="s">
        <v>23271</v>
      </c>
      <c r="E7776" t="s">
        <v>655</v>
      </c>
      <c r="F7776" t="s">
        <v>656</v>
      </c>
    </row>
    <row r="7777" spans="1:12">
      <c r="A7777" t="s">
        <v>23447</v>
      </c>
      <c r="B7777" t="s">
        <v>23448</v>
      </c>
      <c r="C7777" t="s">
        <v>23449</v>
      </c>
      <c r="D7777" t="s">
        <v>23450</v>
      </c>
      <c r="E7777" t="s">
        <v>18635</v>
      </c>
      <c r="F7777" t="s">
        <v>23451</v>
      </c>
      <c r="J7777" t="s">
        <v>18635</v>
      </c>
      <c r="K7777" t="s">
        <v>23452</v>
      </c>
      <c r="L7777" t="s">
        <v>1389</v>
      </c>
    </row>
    <row r="7778" spans="1:12">
      <c r="A7778" t="s">
        <v>23447</v>
      </c>
      <c r="B7778" t="s">
        <v>23448</v>
      </c>
      <c r="C7778" t="s">
        <v>23453</v>
      </c>
      <c r="D7778" t="s">
        <v>23450</v>
      </c>
      <c r="E7778" t="s">
        <v>23454</v>
      </c>
      <c r="F7778" t="s">
        <v>23455</v>
      </c>
      <c r="J7778" t="s">
        <v>23454</v>
      </c>
      <c r="K7778" t="s">
        <v>23452</v>
      </c>
      <c r="L7778" t="s">
        <v>1389</v>
      </c>
    </row>
    <row r="7779" spans="1:12">
      <c r="A7779" t="s">
        <v>23447</v>
      </c>
      <c r="B7779" t="s">
        <v>23448</v>
      </c>
      <c r="C7779" t="s">
        <v>23456</v>
      </c>
      <c r="D7779" t="s">
        <v>23450</v>
      </c>
      <c r="E7779" t="s">
        <v>23457</v>
      </c>
      <c r="F7779" t="s">
        <v>23458</v>
      </c>
      <c r="J7779" t="s">
        <v>23457</v>
      </c>
      <c r="K7779" t="s">
        <v>23452</v>
      </c>
      <c r="L7779" t="s">
        <v>1389</v>
      </c>
    </row>
    <row r="7780" spans="1:12">
      <c r="A7780" t="s">
        <v>23447</v>
      </c>
      <c r="B7780" t="s">
        <v>23448</v>
      </c>
      <c r="C7780" t="s">
        <v>23459</v>
      </c>
      <c r="D7780" t="s">
        <v>23450</v>
      </c>
      <c r="E7780" t="s">
        <v>23460</v>
      </c>
      <c r="F7780" t="s">
        <v>23461</v>
      </c>
      <c r="J7780" t="s">
        <v>23460</v>
      </c>
      <c r="K7780" t="s">
        <v>23452</v>
      </c>
      <c r="L7780" t="s">
        <v>1389</v>
      </c>
    </row>
    <row r="7781" spans="1:12">
      <c r="A7781" t="s">
        <v>23447</v>
      </c>
      <c r="B7781" t="s">
        <v>23448</v>
      </c>
      <c r="C7781" t="s">
        <v>23462</v>
      </c>
      <c r="D7781" t="s">
        <v>23450</v>
      </c>
      <c r="E7781" t="s">
        <v>23463</v>
      </c>
      <c r="F7781" t="s">
        <v>23464</v>
      </c>
      <c r="J7781" t="s">
        <v>23463</v>
      </c>
      <c r="K7781" t="s">
        <v>23452</v>
      </c>
      <c r="L7781" t="s">
        <v>1389</v>
      </c>
    </row>
    <row r="7782" spans="1:12">
      <c r="A7782" t="s">
        <v>23447</v>
      </c>
      <c r="B7782" t="s">
        <v>23448</v>
      </c>
      <c r="C7782" t="s">
        <v>23465</v>
      </c>
      <c r="D7782" t="s">
        <v>23450</v>
      </c>
      <c r="E7782" t="s">
        <v>23466</v>
      </c>
      <c r="F7782" t="s">
        <v>23467</v>
      </c>
      <c r="J7782" t="s">
        <v>23466</v>
      </c>
      <c r="K7782" t="s">
        <v>23452</v>
      </c>
      <c r="L7782" t="s">
        <v>1389</v>
      </c>
    </row>
    <row r="7783" spans="1:12">
      <c r="A7783" t="s">
        <v>23447</v>
      </c>
      <c r="B7783" t="s">
        <v>23448</v>
      </c>
      <c r="C7783" t="s">
        <v>23468</v>
      </c>
      <c r="D7783" t="s">
        <v>23450</v>
      </c>
      <c r="E7783" t="s">
        <v>23469</v>
      </c>
      <c r="F7783" t="s">
        <v>23470</v>
      </c>
      <c r="J7783" t="s">
        <v>23469</v>
      </c>
      <c r="K7783" t="s">
        <v>23452</v>
      </c>
      <c r="L7783" t="s">
        <v>1389</v>
      </c>
    </row>
    <row r="7784" spans="1:12">
      <c r="A7784" t="s">
        <v>23447</v>
      </c>
      <c r="B7784" t="s">
        <v>23448</v>
      </c>
      <c r="C7784" t="s">
        <v>23471</v>
      </c>
      <c r="D7784" t="s">
        <v>23450</v>
      </c>
      <c r="E7784" t="s">
        <v>23472</v>
      </c>
      <c r="F7784" t="s">
        <v>23473</v>
      </c>
      <c r="J7784" t="s">
        <v>23472</v>
      </c>
      <c r="K7784" t="s">
        <v>23452</v>
      </c>
      <c r="L7784" t="s">
        <v>1389</v>
      </c>
    </row>
    <row r="7785" spans="1:12">
      <c r="A7785" t="s">
        <v>23447</v>
      </c>
      <c r="B7785" t="s">
        <v>23448</v>
      </c>
      <c r="C7785" t="s">
        <v>23474</v>
      </c>
      <c r="D7785" t="s">
        <v>23450</v>
      </c>
      <c r="E7785" t="s">
        <v>655</v>
      </c>
      <c r="F7785" t="s">
        <v>656</v>
      </c>
    </row>
    <row r="7786" spans="1:12">
      <c r="A7786" t="s">
        <v>23447</v>
      </c>
      <c r="B7786" t="s">
        <v>23448</v>
      </c>
      <c r="D7786" t="s">
        <v>23450</v>
      </c>
      <c r="F7786" t="s">
        <v>23475</v>
      </c>
      <c r="J7786" t="s">
        <v>23476</v>
      </c>
      <c r="K7786" t="s">
        <v>23452</v>
      </c>
      <c r="L7786" t="s">
        <v>1389</v>
      </c>
    </row>
    <row r="7787" spans="1:12">
      <c r="A7787" t="s">
        <v>23447</v>
      </c>
      <c r="B7787" t="s">
        <v>23448</v>
      </c>
      <c r="D7787" t="s">
        <v>23450</v>
      </c>
      <c r="F7787" t="s">
        <v>23477</v>
      </c>
      <c r="J7787" t="s">
        <v>23478</v>
      </c>
      <c r="K7787" t="s">
        <v>23452</v>
      </c>
      <c r="L7787" t="s">
        <v>1389</v>
      </c>
    </row>
    <row r="7788" spans="1:12">
      <c r="A7788" t="s">
        <v>23447</v>
      </c>
      <c r="B7788" t="s">
        <v>23448</v>
      </c>
      <c r="D7788" t="s">
        <v>23450</v>
      </c>
      <c r="F7788" t="s">
        <v>23479</v>
      </c>
      <c r="J7788" t="s">
        <v>17587</v>
      </c>
      <c r="K7788" t="s">
        <v>23452</v>
      </c>
      <c r="L7788" t="s">
        <v>1389</v>
      </c>
    </row>
    <row r="7789" spans="1:12">
      <c r="A7789" t="s">
        <v>23447</v>
      </c>
      <c r="B7789" t="s">
        <v>23448</v>
      </c>
      <c r="D7789" t="s">
        <v>23450</v>
      </c>
      <c r="F7789" t="s">
        <v>23480</v>
      </c>
      <c r="J7789" t="s">
        <v>23481</v>
      </c>
      <c r="K7789" t="s">
        <v>23452</v>
      </c>
      <c r="L7789" t="s">
        <v>1389</v>
      </c>
    </row>
    <row r="7790" spans="1:12">
      <c r="A7790" t="s">
        <v>23447</v>
      </c>
      <c r="B7790" t="s">
        <v>23448</v>
      </c>
      <c r="D7790" t="s">
        <v>23450</v>
      </c>
      <c r="F7790" t="s">
        <v>23482</v>
      </c>
      <c r="J7790" t="s">
        <v>23483</v>
      </c>
      <c r="K7790" t="s">
        <v>23452</v>
      </c>
      <c r="L7790" t="s">
        <v>1389</v>
      </c>
    </row>
    <row r="7791" spans="1:12">
      <c r="A7791" t="s">
        <v>23484</v>
      </c>
      <c r="B7791" t="s">
        <v>23485</v>
      </c>
      <c r="C7791" t="s">
        <v>23486</v>
      </c>
      <c r="D7791" t="s">
        <v>23487</v>
      </c>
      <c r="E7791" t="s">
        <v>23488</v>
      </c>
      <c r="F7791" t="s">
        <v>23489</v>
      </c>
      <c r="J7791" t="s">
        <v>23488</v>
      </c>
      <c r="K7791" t="s">
        <v>23490</v>
      </c>
      <c r="L7791" t="s">
        <v>851</v>
      </c>
    </row>
    <row r="7792" spans="1:12">
      <c r="A7792" t="s">
        <v>23484</v>
      </c>
      <c r="B7792" t="s">
        <v>23485</v>
      </c>
      <c r="C7792" t="s">
        <v>23491</v>
      </c>
      <c r="D7792" t="s">
        <v>23487</v>
      </c>
      <c r="E7792" t="s">
        <v>23492</v>
      </c>
      <c r="F7792" t="s">
        <v>23493</v>
      </c>
      <c r="J7792" t="s">
        <v>23492</v>
      </c>
      <c r="K7792" t="s">
        <v>23490</v>
      </c>
      <c r="L7792" t="s">
        <v>851</v>
      </c>
    </row>
    <row r="7793" spans="1:12">
      <c r="A7793" t="s">
        <v>23484</v>
      </c>
      <c r="B7793" t="s">
        <v>23485</v>
      </c>
      <c r="C7793" t="s">
        <v>23494</v>
      </c>
      <c r="D7793" t="s">
        <v>23487</v>
      </c>
      <c r="E7793" t="s">
        <v>655</v>
      </c>
      <c r="F7793" t="s">
        <v>656</v>
      </c>
    </row>
    <row r="7794" spans="1:12">
      <c r="A7794" t="s">
        <v>23495</v>
      </c>
      <c r="B7794" t="s">
        <v>23496</v>
      </c>
      <c r="C7794" t="s">
        <v>23497</v>
      </c>
      <c r="D7794" t="s">
        <v>23498</v>
      </c>
      <c r="E7794" t="s">
        <v>23499</v>
      </c>
      <c r="F7794" t="s">
        <v>23500</v>
      </c>
      <c r="J7794" t="s">
        <v>23499</v>
      </c>
      <c r="K7794" t="s">
        <v>23495</v>
      </c>
      <c r="L7794" t="s">
        <v>916</v>
      </c>
    </row>
    <row r="7795" spans="1:12">
      <c r="A7795" t="s">
        <v>23495</v>
      </c>
      <c r="B7795" t="s">
        <v>23496</v>
      </c>
      <c r="C7795" t="s">
        <v>23501</v>
      </c>
      <c r="D7795" t="s">
        <v>23498</v>
      </c>
      <c r="E7795" t="s">
        <v>23502</v>
      </c>
      <c r="F7795" t="s">
        <v>8123</v>
      </c>
      <c r="J7795" t="s">
        <v>23502</v>
      </c>
      <c r="K7795" t="s">
        <v>23495</v>
      </c>
      <c r="L7795" t="s">
        <v>916</v>
      </c>
    </row>
    <row r="7796" spans="1:12">
      <c r="A7796" t="s">
        <v>23495</v>
      </c>
      <c r="B7796" t="s">
        <v>23496</v>
      </c>
      <c r="C7796" t="s">
        <v>23503</v>
      </c>
      <c r="D7796" t="s">
        <v>23498</v>
      </c>
      <c r="E7796" t="s">
        <v>18566</v>
      </c>
      <c r="F7796" t="s">
        <v>23504</v>
      </c>
      <c r="J7796" t="s">
        <v>18566</v>
      </c>
      <c r="K7796" t="s">
        <v>23495</v>
      </c>
      <c r="L7796" t="s">
        <v>916</v>
      </c>
    </row>
    <row r="7797" spans="1:12">
      <c r="A7797" t="s">
        <v>23495</v>
      </c>
      <c r="B7797" t="s">
        <v>23496</v>
      </c>
      <c r="C7797" t="s">
        <v>23505</v>
      </c>
      <c r="D7797" t="s">
        <v>23498</v>
      </c>
      <c r="E7797" t="s">
        <v>23506</v>
      </c>
      <c r="F7797" t="s">
        <v>23507</v>
      </c>
      <c r="J7797" t="s">
        <v>23506</v>
      </c>
      <c r="K7797" t="s">
        <v>23495</v>
      </c>
      <c r="L7797" t="s">
        <v>916</v>
      </c>
    </row>
    <row r="7798" spans="1:12">
      <c r="A7798" t="s">
        <v>23495</v>
      </c>
      <c r="B7798" t="s">
        <v>23496</v>
      </c>
      <c r="C7798" t="s">
        <v>23508</v>
      </c>
      <c r="D7798" t="s">
        <v>23498</v>
      </c>
      <c r="E7798" t="s">
        <v>23509</v>
      </c>
      <c r="F7798" t="s">
        <v>23510</v>
      </c>
      <c r="J7798" t="s">
        <v>23509</v>
      </c>
      <c r="K7798" t="s">
        <v>23495</v>
      </c>
      <c r="L7798" t="s">
        <v>916</v>
      </c>
    </row>
    <row r="7799" spans="1:12">
      <c r="A7799" t="s">
        <v>23495</v>
      </c>
      <c r="B7799" t="s">
        <v>23496</v>
      </c>
      <c r="C7799" t="s">
        <v>23511</v>
      </c>
      <c r="D7799" t="s">
        <v>23498</v>
      </c>
      <c r="E7799" t="s">
        <v>19450</v>
      </c>
      <c r="F7799" t="s">
        <v>23512</v>
      </c>
      <c r="J7799" t="s">
        <v>19450</v>
      </c>
      <c r="K7799" t="s">
        <v>23495</v>
      </c>
      <c r="L7799" t="s">
        <v>916</v>
      </c>
    </row>
    <row r="7800" spans="1:12">
      <c r="A7800" t="s">
        <v>23495</v>
      </c>
      <c r="B7800" t="s">
        <v>23496</v>
      </c>
      <c r="C7800" t="s">
        <v>23513</v>
      </c>
      <c r="D7800" t="s">
        <v>23498</v>
      </c>
      <c r="E7800" t="s">
        <v>23514</v>
      </c>
      <c r="F7800" t="s">
        <v>23515</v>
      </c>
      <c r="J7800" t="s">
        <v>23514</v>
      </c>
      <c r="K7800" t="s">
        <v>23495</v>
      </c>
      <c r="L7800" t="s">
        <v>916</v>
      </c>
    </row>
    <row r="7801" spans="1:12">
      <c r="A7801" t="s">
        <v>23495</v>
      </c>
      <c r="B7801" t="s">
        <v>23496</v>
      </c>
      <c r="C7801" t="s">
        <v>23516</v>
      </c>
      <c r="D7801" t="s">
        <v>23498</v>
      </c>
      <c r="E7801" t="s">
        <v>20845</v>
      </c>
      <c r="F7801" t="s">
        <v>23517</v>
      </c>
      <c r="J7801" t="s">
        <v>20845</v>
      </c>
      <c r="K7801" t="s">
        <v>23495</v>
      </c>
      <c r="L7801" t="s">
        <v>916</v>
      </c>
    </row>
    <row r="7802" spans="1:12">
      <c r="A7802" t="s">
        <v>23495</v>
      </c>
      <c r="B7802" t="s">
        <v>23496</v>
      </c>
      <c r="C7802" t="s">
        <v>23518</v>
      </c>
      <c r="D7802" t="s">
        <v>23498</v>
      </c>
      <c r="E7802" t="s">
        <v>655</v>
      </c>
      <c r="F7802" t="s">
        <v>656</v>
      </c>
    </row>
    <row r="7803" spans="1:12">
      <c r="A7803" t="s">
        <v>23495</v>
      </c>
      <c r="B7803" t="s">
        <v>23496</v>
      </c>
      <c r="D7803" t="s">
        <v>23498</v>
      </c>
      <c r="F7803" t="s">
        <v>23519</v>
      </c>
      <c r="J7803" t="s">
        <v>23520</v>
      </c>
      <c r="K7803" t="s">
        <v>23495</v>
      </c>
      <c r="L7803" t="s">
        <v>916</v>
      </c>
    </row>
    <row r="7804" spans="1:12">
      <c r="A7804" t="s">
        <v>23495</v>
      </c>
      <c r="B7804" t="s">
        <v>23496</v>
      </c>
      <c r="D7804" t="s">
        <v>23498</v>
      </c>
      <c r="F7804" t="s">
        <v>23521</v>
      </c>
      <c r="J7804" t="s">
        <v>15053</v>
      </c>
      <c r="K7804" t="s">
        <v>23495</v>
      </c>
      <c r="L7804" t="s">
        <v>916</v>
      </c>
    </row>
    <row r="7805" spans="1:12">
      <c r="A7805" t="s">
        <v>23495</v>
      </c>
      <c r="B7805" t="s">
        <v>23496</v>
      </c>
      <c r="D7805" t="s">
        <v>23498</v>
      </c>
      <c r="F7805" t="s">
        <v>23522</v>
      </c>
      <c r="J7805" t="s">
        <v>18336</v>
      </c>
      <c r="K7805" t="s">
        <v>23495</v>
      </c>
      <c r="L7805" t="s">
        <v>916</v>
      </c>
    </row>
    <row r="7806" spans="1:12">
      <c r="A7806" t="s">
        <v>23495</v>
      </c>
      <c r="B7806" t="s">
        <v>23496</v>
      </c>
      <c r="D7806" t="s">
        <v>23498</v>
      </c>
      <c r="F7806" t="s">
        <v>23523</v>
      </c>
      <c r="J7806" t="s">
        <v>18502</v>
      </c>
      <c r="K7806" t="s">
        <v>23495</v>
      </c>
      <c r="L7806" t="s">
        <v>916</v>
      </c>
    </row>
    <row r="7807" spans="1:12">
      <c r="A7807" t="s">
        <v>23495</v>
      </c>
      <c r="B7807" t="s">
        <v>23496</v>
      </c>
      <c r="D7807" t="s">
        <v>23498</v>
      </c>
      <c r="F7807" t="s">
        <v>23524</v>
      </c>
      <c r="J7807" t="s">
        <v>7009</v>
      </c>
      <c r="K7807" t="s">
        <v>23495</v>
      </c>
      <c r="L7807" t="s">
        <v>916</v>
      </c>
    </row>
    <row r="7808" spans="1:12">
      <c r="A7808" t="s">
        <v>23525</v>
      </c>
      <c r="B7808" t="s">
        <v>23526</v>
      </c>
      <c r="C7808" t="s">
        <v>23527</v>
      </c>
      <c r="D7808" t="s">
        <v>23528</v>
      </c>
      <c r="E7808" t="s">
        <v>23529</v>
      </c>
      <c r="F7808" t="s">
        <v>23530</v>
      </c>
      <c r="J7808" t="s">
        <v>23529</v>
      </c>
      <c r="K7808" t="s">
        <v>23531</v>
      </c>
      <c r="L7808" t="s">
        <v>3638</v>
      </c>
    </row>
    <row r="7809" spans="1:12">
      <c r="A7809" t="s">
        <v>23525</v>
      </c>
      <c r="B7809" t="s">
        <v>23526</v>
      </c>
      <c r="C7809" t="s">
        <v>23532</v>
      </c>
      <c r="D7809" t="s">
        <v>23528</v>
      </c>
      <c r="E7809" t="s">
        <v>23533</v>
      </c>
      <c r="F7809" t="s">
        <v>23534</v>
      </c>
    </row>
    <row r="7810" spans="1:12">
      <c r="A7810" t="s">
        <v>23525</v>
      </c>
      <c r="B7810" t="s">
        <v>23526</v>
      </c>
      <c r="C7810" t="s">
        <v>23535</v>
      </c>
      <c r="D7810" t="s">
        <v>23528</v>
      </c>
      <c r="E7810" t="s">
        <v>23536</v>
      </c>
      <c r="F7810" t="s">
        <v>23537</v>
      </c>
      <c r="J7810" t="s">
        <v>23536</v>
      </c>
      <c r="K7810" t="s">
        <v>23531</v>
      </c>
      <c r="L7810" t="s">
        <v>3638</v>
      </c>
    </row>
    <row r="7811" spans="1:12">
      <c r="A7811" t="s">
        <v>23525</v>
      </c>
      <c r="B7811" t="s">
        <v>23526</v>
      </c>
      <c r="C7811" t="s">
        <v>23538</v>
      </c>
      <c r="D7811" t="s">
        <v>23528</v>
      </c>
      <c r="E7811" t="s">
        <v>7711</v>
      </c>
      <c r="F7811" t="s">
        <v>23539</v>
      </c>
    </row>
    <row r="7812" spans="1:12">
      <c r="A7812" t="s">
        <v>23525</v>
      </c>
      <c r="B7812" t="s">
        <v>23526</v>
      </c>
      <c r="C7812" t="s">
        <v>23540</v>
      </c>
      <c r="D7812" t="s">
        <v>23528</v>
      </c>
      <c r="E7812" t="s">
        <v>23541</v>
      </c>
      <c r="F7812" t="s">
        <v>23542</v>
      </c>
      <c r="J7812" t="s">
        <v>23541</v>
      </c>
      <c r="K7812" t="s">
        <v>23531</v>
      </c>
      <c r="L7812" t="s">
        <v>3638</v>
      </c>
    </row>
    <row r="7813" spans="1:12">
      <c r="A7813" t="s">
        <v>23525</v>
      </c>
      <c r="B7813" t="s">
        <v>23526</v>
      </c>
      <c r="C7813" t="s">
        <v>23543</v>
      </c>
      <c r="D7813" t="s">
        <v>23528</v>
      </c>
      <c r="E7813" t="s">
        <v>23544</v>
      </c>
      <c r="F7813" t="s">
        <v>23545</v>
      </c>
      <c r="J7813" t="s">
        <v>23544</v>
      </c>
      <c r="K7813" t="s">
        <v>23531</v>
      </c>
      <c r="L7813" t="s">
        <v>3638</v>
      </c>
    </row>
    <row r="7814" spans="1:12">
      <c r="A7814" t="s">
        <v>23525</v>
      </c>
      <c r="B7814" t="s">
        <v>23526</v>
      </c>
      <c r="C7814" t="s">
        <v>23546</v>
      </c>
      <c r="D7814" t="s">
        <v>23528</v>
      </c>
      <c r="E7814" t="s">
        <v>23547</v>
      </c>
      <c r="F7814" t="s">
        <v>23547</v>
      </c>
      <c r="J7814" t="s">
        <v>23547</v>
      </c>
      <c r="K7814" t="s">
        <v>23531</v>
      </c>
      <c r="L7814" t="s">
        <v>3638</v>
      </c>
    </row>
    <row r="7815" spans="1:12">
      <c r="A7815" t="s">
        <v>23525</v>
      </c>
      <c r="B7815" t="s">
        <v>23526</v>
      </c>
      <c r="C7815" t="s">
        <v>23548</v>
      </c>
      <c r="D7815" t="s">
        <v>23528</v>
      </c>
      <c r="E7815" t="s">
        <v>9092</v>
      </c>
      <c r="F7815" t="s">
        <v>23549</v>
      </c>
      <c r="J7815" t="s">
        <v>9092</v>
      </c>
      <c r="K7815" t="s">
        <v>23531</v>
      </c>
      <c r="L7815" t="s">
        <v>3638</v>
      </c>
    </row>
    <row r="7816" spans="1:12">
      <c r="A7816" t="s">
        <v>23525</v>
      </c>
      <c r="B7816" t="s">
        <v>23526</v>
      </c>
      <c r="C7816" t="s">
        <v>23550</v>
      </c>
      <c r="D7816" t="s">
        <v>23528</v>
      </c>
      <c r="E7816" t="s">
        <v>9116</v>
      </c>
      <c r="F7816" t="s">
        <v>23551</v>
      </c>
    </row>
    <row r="7817" spans="1:12">
      <c r="A7817" t="s">
        <v>23525</v>
      </c>
      <c r="B7817" t="s">
        <v>23526</v>
      </c>
      <c r="C7817" t="s">
        <v>23552</v>
      </c>
      <c r="D7817" t="s">
        <v>23528</v>
      </c>
      <c r="E7817" t="s">
        <v>9191</v>
      </c>
      <c r="F7817" t="s">
        <v>23553</v>
      </c>
      <c r="J7817" t="s">
        <v>9191</v>
      </c>
      <c r="K7817" t="s">
        <v>23531</v>
      </c>
      <c r="L7817" t="s">
        <v>3638</v>
      </c>
    </row>
    <row r="7818" spans="1:12">
      <c r="A7818" t="s">
        <v>23525</v>
      </c>
      <c r="B7818" t="s">
        <v>23526</v>
      </c>
      <c r="C7818" t="s">
        <v>23554</v>
      </c>
      <c r="D7818" t="s">
        <v>23528</v>
      </c>
      <c r="E7818" t="s">
        <v>17625</v>
      </c>
      <c r="F7818" t="s">
        <v>23555</v>
      </c>
    </row>
    <row r="7819" spans="1:12">
      <c r="A7819" t="s">
        <v>23525</v>
      </c>
      <c r="B7819" t="s">
        <v>23526</v>
      </c>
      <c r="C7819" t="s">
        <v>23556</v>
      </c>
      <c r="D7819" t="s">
        <v>23528</v>
      </c>
      <c r="E7819" t="s">
        <v>17876</v>
      </c>
      <c r="F7819" t="s">
        <v>23557</v>
      </c>
      <c r="J7819" t="s">
        <v>17876</v>
      </c>
      <c r="K7819" t="s">
        <v>23531</v>
      </c>
      <c r="L7819" t="s">
        <v>3638</v>
      </c>
    </row>
    <row r="7820" spans="1:12">
      <c r="A7820" t="s">
        <v>23525</v>
      </c>
      <c r="B7820" t="s">
        <v>23526</v>
      </c>
      <c r="C7820" t="s">
        <v>23558</v>
      </c>
      <c r="D7820" t="s">
        <v>23528</v>
      </c>
      <c r="E7820" t="s">
        <v>23559</v>
      </c>
      <c r="F7820" t="s">
        <v>23560</v>
      </c>
      <c r="J7820" t="s">
        <v>23559</v>
      </c>
      <c r="K7820" t="s">
        <v>23531</v>
      </c>
      <c r="L7820" t="s">
        <v>3638</v>
      </c>
    </row>
    <row r="7821" spans="1:12">
      <c r="A7821" t="s">
        <v>23525</v>
      </c>
      <c r="B7821" t="s">
        <v>23526</v>
      </c>
      <c r="C7821" t="s">
        <v>23561</v>
      </c>
      <c r="D7821" t="s">
        <v>23528</v>
      </c>
      <c r="E7821" t="s">
        <v>18039</v>
      </c>
      <c r="F7821" t="s">
        <v>23562</v>
      </c>
      <c r="J7821" t="s">
        <v>18039</v>
      </c>
      <c r="K7821" t="s">
        <v>23531</v>
      </c>
      <c r="L7821" t="s">
        <v>3638</v>
      </c>
    </row>
    <row r="7822" spans="1:12">
      <c r="A7822" t="s">
        <v>23525</v>
      </c>
      <c r="B7822" t="s">
        <v>23526</v>
      </c>
      <c r="C7822" t="s">
        <v>23563</v>
      </c>
      <c r="D7822" t="s">
        <v>23528</v>
      </c>
      <c r="E7822" t="s">
        <v>23564</v>
      </c>
      <c r="F7822" t="s">
        <v>23565</v>
      </c>
      <c r="J7822" t="s">
        <v>23564</v>
      </c>
      <c r="K7822" t="s">
        <v>23531</v>
      </c>
      <c r="L7822" t="s">
        <v>3638</v>
      </c>
    </row>
    <row r="7823" spans="1:12">
      <c r="A7823" t="s">
        <v>23525</v>
      </c>
      <c r="B7823" t="s">
        <v>23526</v>
      </c>
      <c r="C7823" t="s">
        <v>23566</v>
      </c>
      <c r="D7823" t="s">
        <v>23528</v>
      </c>
      <c r="E7823" t="s">
        <v>18684</v>
      </c>
      <c r="F7823" t="s">
        <v>23567</v>
      </c>
    </row>
    <row r="7824" spans="1:12">
      <c r="A7824" t="s">
        <v>23525</v>
      </c>
      <c r="B7824" t="s">
        <v>23526</v>
      </c>
      <c r="C7824" t="s">
        <v>23568</v>
      </c>
      <c r="D7824" t="s">
        <v>23528</v>
      </c>
      <c r="E7824" t="s">
        <v>23569</v>
      </c>
      <c r="F7824" t="s">
        <v>23570</v>
      </c>
      <c r="J7824" t="s">
        <v>23569</v>
      </c>
      <c r="K7824" t="s">
        <v>23531</v>
      </c>
      <c r="L7824" t="s">
        <v>3638</v>
      </c>
    </row>
    <row r="7825" spans="1:12">
      <c r="A7825" t="s">
        <v>23525</v>
      </c>
      <c r="B7825" t="s">
        <v>23526</v>
      </c>
      <c r="C7825" t="s">
        <v>23571</v>
      </c>
      <c r="D7825" t="s">
        <v>23528</v>
      </c>
      <c r="E7825" t="s">
        <v>23572</v>
      </c>
      <c r="F7825" t="s">
        <v>23573</v>
      </c>
      <c r="J7825" t="s">
        <v>23572</v>
      </c>
      <c r="K7825" t="s">
        <v>23531</v>
      </c>
      <c r="L7825" t="s">
        <v>3638</v>
      </c>
    </row>
    <row r="7826" spans="1:12">
      <c r="A7826" t="s">
        <v>23525</v>
      </c>
      <c r="B7826" t="s">
        <v>23526</v>
      </c>
      <c r="C7826" t="s">
        <v>23574</v>
      </c>
      <c r="D7826" t="s">
        <v>23528</v>
      </c>
      <c r="E7826" t="s">
        <v>23575</v>
      </c>
      <c r="F7826" t="s">
        <v>23576</v>
      </c>
      <c r="J7826" t="s">
        <v>23575</v>
      </c>
      <c r="K7826" t="s">
        <v>23531</v>
      </c>
      <c r="L7826" t="s">
        <v>3638</v>
      </c>
    </row>
    <row r="7827" spans="1:12">
      <c r="A7827" t="s">
        <v>23525</v>
      </c>
      <c r="B7827" t="s">
        <v>23526</v>
      </c>
      <c r="C7827" t="s">
        <v>23577</v>
      </c>
      <c r="D7827" t="s">
        <v>23528</v>
      </c>
      <c r="E7827" t="s">
        <v>23578</v>
      </c>
      <c r="F7827" t="s">
        <v>23579</v>
      </c>
      <c r="J7827" t="s">
        <v>23578</v>
      </c>
      <c r="K7827" t="s">
        <v>23531</v>
      </c>
      <c r="L7827" t="s">
        <v>3638</v>
      </c>
    </row>
    <row r="7828" spans="1:12">
      <c r="A7828" t="s">
        <v>23525</v>
      </c>
      <c r="B7828" t="s">
        <v>23526</v>
      </c>
      <c r="C7828" t="s">
        <v>23580</v>
      </c>
      <c r="D7828" t="s">
        <v>23528</v>
      </c>
      <c r="E7828" t="s">
        <v>8141</v>
      </c>
      <c r="F7828" t="s">
        <v>23581</v>
      </c>
    </row>
    <row r="7829" spans="1:12">
      <c r="A7829" t="s">
        <v>23525</v>
      </c>
      <c r="B7829" t="s">
        <v>23526</v>
      </c>
      <c r="C7829" t="s">
        <v>23582</v>
      </c>
      <c r="D7829" t="s">
        <v>23528</v>
      </c>
      <c r="E7829" t="s">
        <v>23583</v>
      </c>
      <c r="F7829" t="s">
        <v>23584</v>
      </c>
      <c r="J7829" t="s">
        <v>23583</v>
      </c>
      <c r="K7829" t="s">
        <v>23531</v>
      </c>
      <c r="L7829" t="s">
        <v>3638</v>
      </c>
    </row>
    <row r="7830" spans="1:12">
      <c r="A7830" t="s">
        <v>23525</v>
      </c>
      <c r="B7830" t="s">
        <v>23526</v>
      </c>
      <c r="C7830" t="s">
        <v>23585</v>
      </c>
      <c r="D7830" t="s">
        <v>23528</v>
      </c>
      <c r="E7830" t="s">
        <v>9493</v>
      </c>
      <c r="F7830" t="s">
        <v>23586</v>
      </c>
    </row>
    <row r="7831" spans="1:12">
      <c r="A7831" t="s">
        <v>23525</v>
      </c>
      <c r="B7831" t="s">
        <v>23526</v>
      </c>
      <c r="C7831" t="s">
        <v>23587</v>
      </c>
      <c r="D7831" t="s">
        <v>23528</v>
      </c>
      <c r="E7831" t="s">
        <v>23588</v>
      </c>
      <c r="F7831" t="s">
        <v>23589</v>
      </c>
      <c r="J7831" t="s">
        <v>23588</v>
      </c>
      <c r="K7831" t="s">
        <v>23531</v>
      </c>
      <c r="L7831" t="s">
        <v>3638</v>
      </c>
    </row>
    <row r="7832" spans="1:12">
      <c r="A7832" t="s">
        <v>23525</v>
      </c>
      <c r="B7832" t="s">
        <v>23526</v>
      </c>
      <c r="C7832" t="s">
        <v>23590</v>
      </c>
      <c r="D7832" t="s">
        <v>23528</v>
      </c>
      <c r="E7832" t="s">
        <v>4172</v>
      </c>
      <c r="F7832" t="s">
        <v>23591</v>
      </c>
      <c r="J7832" t="s">
        <v>4172</v>
      </c>
      <c r="K7832" t="s">
        <v>23531</v>
      </c>
      <c r="L7832" t="s">
        <v>3638</v>
      </c>
    </row>
    <row r="7833" spans="1:12">
      <c r="A7833" t="s">
        <v>23525</v>
      </c>
      <c r="B7833" t="s">
        <v>23526</v>
      </c>
      <c r="C7833" t="s">
        <v>23592</v>
      </c>
      <c r="D7833" t="s">
        <v>23528</v>
      </c>
      <c r="E7833" t="s">
        <v>23593</v>
      </c>
      <c r="F7833" t="s">
        <v>23594</v>
      </c>
      <c r="J7833" t="s">
        <v>23593</v>
      </c>
      <c r="K7833" t="s">
        <v>23531</v>
      </c>
      <c r="L7833" t="s">
        <v>3638</v>
      </c>
    </row>
    <row r="7834" spans="1:12">
      <c r="A7834" t="s">
        <v>23525</v>
      </c>
      <c r="B7834" t="s">
        <v>23526</v>
      </c>
      <c r="C7834" t="s">
        <v>23595</v>
      </c>
      <c r="D7834" t="s">
        <v>23528</v>
      </c>
      <c r="E7834" t="s">
        <v>9523</v>
      </c>
      <c r="F7834" t="s">
        <v>23596</v>
      </c>
      <c r="J7834" t="s">
        <v>9523</v>
      </c>
      <c r="K7834" t="s">
        <v>23531</v>
      </c>
      <c r="L7834" t="s">
        <v>3638</v>
      </c>
    </row>
    <row r="7835" spans="1:12">
      <c r="A7835" t="s">
        <v>23525</v>
      </c>
      <c r="B7835" t="s">
        <v>23526</v>
      </c>
      <c r="C7835" t="s">
        <v>23597</v>
      </c>
      <c r="D7835" t="s">
        <v>23528</v>
      </c>
      <c r="E7835" t="s">
        <v>19019</v>
      </c>
      <c r="F7835" t="s">
        <v>23598</v>
      </c>
      <c r="J7835" t="s">
        <v>19019</v>
      </c>
      <c r="K7835" t="s">
        <v>23531</v>
      </c>
      <c r="L7835" t="s">
        <v>3638</v>
      </c>
    </row>
    <row r="7836" spans="1:12">
      <c r="A7836" t="s">
        <v>23525</v>
      </c>
      <c r="B7836" t="s">
        <v>23526</v>
      </c>
      <c r="C7836" t="s">
        <v>23599</v>
      </c>
      <c r="D7836" t="s">
        <v>23528</v>
      </c>
      <c r="E7836" t="s">
        <v>9559</v>
      </c>
      <c r="F7836" t="s">
        <v>23600</v>
      </c>
    </row>
    <row r="7837" spans="1:12">
      <c r="A7837" t="s">
        <v>23525</v>
      </c>
      <c r="B7837" t="s">
        <v>23526</v>
      </c>
      <c r="C7837" t="s">
        <v>23601</v>
      </c>
      <c r="D7837" t="s">
        <v>23528</v>
      </c>
      <c r="E7837" t="s">
        <v>23602</v>
      </c>
      <c r="F7837" t="s">
        <v>23603</v>
      </c>
      <c r="J7837" t="s">
        <v>23602</v>
      </c>
      <c r="K7837" t="s">
        <v>23531</v>
      </c>
      <c r="L7837" t="s">
        <v>3638</v>
      </c>
    </row>
    <row r="7838" spans="1:12">
      <c r="A7838" t="s">
        <v>23525</v>
      </c>
      <c r="B7838" t="s">
        <v>23526</v>
      </c>
      <c r="C7838" t="s">
        <v>23604</v>
      </c>
      <c r="D7838" t="s">
        <v>23528</v>
      </c>
      <c r="E7838" t="s">
        <v>23605</v>
      </c>
      <c r="F7838" t="s">
        <v>23606</v>
      </c>
      <c r="J7838" t="s">
        <v>23605</v>
      </c>
      <c r="K7838" t="s">
        <v>23531</v>
      </c>
      <c r="L7838" t="s">
        <v>3638</v>
      </c>
    </row>
    <row r="7839" spans="1:12">
      <c r="A7839" t="s">
        <v>23525</v>
      </c>
      <c r="B7839" t="s">
        <v>23526</v>
      </c>
      <c r="C7839" t="s">
        <v>23607</v>
      </c>
      <c r="D7839" t="s">
        <v>23528</v>
      </c>
      <c r="E7839" t="s">
        <v>12016</v>
      </c>
      <c r="F7839" t="s">
        <v>23608</v>
      </c>
      <c r="J7839" t="s">
        <v>12016</v>
      </c>
      <c r="K7839" t="s">
        <v>23531</v>
      </c>
      <c r="L7839" t="s">
        <v>3638</v>
      </c>
    </row>
    <row r="7840" spans="1:12">
      <c r="A7840" t="s">
        <v>23525</v>
      </c>
      <c r="B7840" t="s">
        <v>23526</v>
      </c>
      <c r="C7840" t="s">
        <v>23609</v>
      </c>
      <c r="D7840" t="s">
        <v>23528</v>
      </c>
      <c r="E7840" t="s">
        <v>19528</v>
      </c>
      <c r="F7840" t="s">
        <v>23610</v>
      </c>
      <c r="J7840" t="s">
        <v>19528</v>
      </c>
      <c r="K7840" t="s">
        <v>23531</v>
      </c>
      <c r="L7840" t="s">
        <v>3638</v>
      </c>
    </row>
    <row r="7841" spans="1:12">
      <c r="A7841" t="s">
        <v>23525</v>
      </c>
      <c r="B7841" t="s">
        <v>23526</v>
      </c>
      <c r="C7841" t="s">
        <v>23611</v>
      </c>
      <c r="D7841" t="s">
        <v>23528</v>
      </c>
      <c r="E7841" t="s">
        <v>23612</v>
      </c>
      <c r="F7841" t="s">
        <v>23613</v>
      </c>
      <c r="J7841" t="s">
        <v>23612</v>
      </c>
      <c r="K7841" t="s">
        <v>23531</v>
      </c>
      <c r="L7841" t="s">
        <v>3638</v>
      </c>
    </row>
    <row r="7842" spans="1:12">
      <c r="A7842" t="s">
        <v>23525</v>
      </c>
      <c r="B7842" t="s">
        <v>23526</v>
      </c>
      <c r="C7842" t="s">
        <v>23614</v>
      </c>
      <c r="D7842" t="s">
        <v>23528</v>
      </c>
      <c r="E7842" t="s">
        <v>23615</v>
      </c>
      <c r="F7842" t="s">
        <v>23616</v>
      </c>
      <c r="J7842" t="s">
        <v>23615</v>
      </c>
      <c r="K7842" t="s">
        <v>23531</v>
      </c>
      <c r="L7842" t="s">
        <v>3638</v>
      </c>
    </row>
    <row r="7843" spans="1:12">
      <c r="A7843" t="s">
        <v>23525</v>
      </c>
      <c r="B7843" t="s">
        <v>23526</v>
      </c>
      <c r="C7843" t="s">
        <v>23617</v>
      </c>
      <c r="D7843" t="s">
        <v>23528</v>
      </c>
      <c r="E7843" t="s">
        <v>2718</v>
      </c>
      <c r="F7843" t="s">
        <v>23618</v>
      </c>
      <c r="J7843" t="s">
        <v>2718</v>
      </c>
      <c r="K7843" t="s">
        <v>23531</v>
      </c>
      <c r="L7843" t="s">
        <v>3638</v>
      </c>
    </row>
    <row r="7844" spans="1:12">
      <c r="A7844" t="s">
        <v>23525</v>
      </c>
      <c r="B7844" t="s">
        <v>23526</v>
      </c>
      <c r="C7844" t="s">
        <v>23619</v>
      </c>
      <c r="D7844" t="s">
        <v>23528</v>
      </c>
      <c r="E7844" t="s">
        <v>3696</v>
      </c>
      <c r="F7844" t="s">
        <v>23620</v>
      </c>
      <c r="J7844" t="s">
        <v>3696</v>
      </c>
      <c r="K7844" t="s">
        <v>23531</v>
      </c>
      <c r="L7844" t="s">
        <v>3638</v>
      </c>
    </row>
    <row r="7845" spans="1:12">
      <c r="A7845" t="s">
        <v>23525</v>
      </c>
      <c r="B7845" t="s">
        <v>23526</v>
      </c>
      <c r="C7845" t="s">
        <v>23621</v>
      </c>
      <c r="D7845" t="s">
        <v>23528</v>
      </c>
      <c r="E7845" t="s">
        <v>9717</v>
      </c>
      <c r="F7845" t="s">
        <v>23622</v>
      </c>
    </row>
    <row r="7846" spans="1:12">
      <c r="A7846" t="s">
        <v>23525</v>
      </c>
      <c r="B7846" t="s">
        <v>23526</v>
      </c>
      <c r="C7846" t="s">
        <v>23623</v>
      </c>
      <c r="D7846" t="s">
        <v>23528</v>
      </c>
      <c r="E7846" t="s">
        <v>23624</v>
      </c>
      <c r="F7846" t="s">
        <v>23625</v>
      </c>
      <c r="J7846" t="s">
        <v>23624</v>
      </c>
      <c r="K7846" t="s">
        <v>23531</v>
      </c>
      <c r="L7846" t="s">
        <v>3638</v>
      </c>
    </row>
    <row r="7847" spans="1:12">
      <c r="A7847" t="s">
        <v>23525</v>
      </c>
      <c r="B7847" t="s">
        <v>23526</v>
      </c>
      <c r="C7847" t="s">
        <v>23626</v>
      </c>
      <c r="D7847" t="s">
        <v>23528</v>
      </c>
      <c r="E7847" t="s">
        <v>23627</v>
      </c>
      <c r="F7847" t="s">
        <v>23628</v>
      </c>
      <c r="J7847" t="s">
        <v>23627</v>
      </c>
      <c r="K7847" t="s">
        <v>23531</v>
      </c>
      <c r="L7847" t="s">
        <v>3638</v>
      </c>
    </row>
    <row r="7848" spans="1:12">
      <c r="A7848" t="s">
        <v>23525</v>
      </c>
      <c r="B7848" t="s">
        <v>23526</v>
      </c>
      <c r="C7848" t="s">
        <v>23629</v>
      </c>
      <c r="D7848" t="s">
        <v>23528</v>
      </c>
      <c r="E7848" t="s">
        <v>9806</v>
      </c>
      <c r="F7848" t="s">
        <v>23630</v>
      </c>
      <c r="J7848" t="s">
        <v>9806</v>
      </c>
      <c r="K7848" t="s">
        <v>23531</v>
      </c>
      <c r="L7848" t="s">
        <v>3638</v>
      </c>
    </row>
    <row r="7849" spans="1:12">
      <c r="A7849" t="s">
        <v>23525</v>
      </c>
      <c r="B7849" t="s">
        <v>23526</v>
      </c>
      <c r="C7849" t="s">
        <v>23631</v>
      </c>
      <c r="D7849" t="s">
        <v>23528</v>
      </c>
      <c r="E7849" t="s">
        <v>7435</v>
      </c>
      <c r="F7849" t="s">
        <v>23632</v>
      </c>
      <c r="J7849" t="s">
        <v>7435</v>
      </c>
      <c r="K7849" t="s">
        <v>23531</v>
      </c>
      <c r="L7849" t="s">
        <v>3638</v>
      </c>
    </row>
    <row r="7850" spans="1:12">
      <c r="A7850" t="s">
        <v>23525</v>
      </c>
      <c r="B7850" t="s">
        <v>23526</v>
      </c>
      <c r="C7850" t="s">
        <v>23633</v>
      </c>
      <c r="D7850" t="s">
        <v>23528</v>
      </c>
      <c r="E7850" t="s">
        <v>3652</v>
      </c>
      <c r="F7850" t="s">
        <v>23634</v>
      </c>
    </row>
    <row r="7851" spans="1:12">
      <c r="A7851" t="s">
        <v>23525</v>
      </c>
      <c r="B7851" t="s">
        <v>23526</v>
      </c>
      <c r="C7851" t="s">
        <v>23635</v>
      </c>
      <c r="D7851" t="s">
        <v>23528</v>
      </c>
      <c r="E7851" t="s">
        <v>1396</v>
      </c>
      <c r="F7851" t="s">
        <v>23636</v>
      </c>
    </row>
    <row r="7852" spans="1:12">
      <c r="A7852" t="s">
        <v>23525</v>
      </c>
      <c r="B7852" t="s">
        <v>23526</v>
      </c>
      <c r="C7852" t="s">
        <v>23637</v>
      </c>
      <c r="D7852" t="s">
        <v>23528</v>
      </c>
      <c r="E7852" t="s">
        <v>7474</v>
      </c>
      <c r="F7852" t="s">
        <v>23638</v>
      </c>
    </row>
    <row r="7853" spans="1:12">
      <c r="A7853" t="s">
        <v>23525</v>
      </c>
      <c r="B7853" t="s">
        <v>23526</v>
      </c>
      <c r="C7853" t="s">
        <v>23639</v>
      </c>
      <c r="D7853" t="s">
        <v>23528</v>
      </c>
      <c r="E7853" t="s">
        <v>1055</v>
      </c>
      <c r="F7853" t="s">
        <v>23640</v>
      </c>
    </row>
    <row r="7854" spans="1:12">
      <c r="A7854" t="s">
        <v>23525</v>
      </c>
      <c r="B7854" t="s">
        <v>23526</v>
      </c>
      <c r="C7854" t="s">
        <v>23641</v>
      </c>
      <c r="D7854" t="s">
        <v>23528</v>
      </c>
      <c r="E7854" t="s">
        <v>21003</v>
      </c>
      <c r="F7854" t="s">
        <v>23642</v>
      </c>
    </row>
    <row r="7855" spans="1:12">
      <c r="A7855" t="s">
        <v>23525</v>
      </c>
      <c r="B7855" t="s">
        <v>23526</v>
      </c>
      <c r="C7855" t="s">
        <v>23643</v>
      </c>
      <c r="D7855" t="s">
        <v>23528</v>
      </c>
      <c r="E7855" t="s">
        <v>23644</v>
      </c>
      <c r="F7855" t="s">
        <v>23645</v>
      </c>
      <c r="J7855" t="s">
        <v>23644</v>
      </c>
      <c r="K7855" t="s">
        <v>23531</v>
      </c>
      <c r="L7855" t="s">
        <v>3638</v>
      </c>
    </row>
    <row r="7856" spans="1:12">
      <c r="A7856" t="s">
        <v>23525</v>
      </c>
      <c r="B7856" t="s">
        <v>23526</v>
      </c>
      <c r="C7856" t="s">
        <v>23646</v>
      </c>
      <c r="D7856" t="s">
        <v>23528</v>
      </c>
      <c r="E7856" t="s">
        <v>23647</v>
      </c>
      <c r="F7856" t="s">
        <v>23648</v>
      </c>
      <c r="J7856" t="s">
        <v>23647</v>
      </c>
      <c r="K7856" t="s">
        <v>23531</v>
      </c>
      <c r="L7856" t="s">
        <v>3638</v>
      </c>
    </row>
    <row r="7857" spans="1:12">
      <c r="A7857" t="s">
        <v>23525</v>
      </c>
      <c r="B7857" t="s">
        <v>23526</v>
      </c>
      <c r="C7857" t="s">
        <v>23649</v>
      </c>
      <c r="D7857" t="s">
        <v>23528</v>
      </c>
      <c r="E7857" t="s">
        <v>5335</v>
      </c>
      <c r="F7857" t="s">
        <v>23650</v>
      </c>
    </row>
    <row r="7858" spans="1:12">
      <c r="A7858" t="s">
        <v>23525</v>
      </c>
      <c r="B7858" t="s">
        <v>23526</v>
      </c>
      <c r="C7858" t="s">
        <v>23651</v>
      </c>
      <c r="D7858" t="s">
        <v>23528</v>
      </c>
      <c r="E7858" t="s">
        <v>23652</v>
      </c>
      <c r="F7858" t="s">
        <v>23653</v>
      </c>
      <c r="J7858" t="s">
        <v>23652</v>
      </c>
      <c r="K7858" t="s">
        <v>23531</v>
      </c>
      <c r="L7858" t="s">
        <v>3638</v>
      </c>
    </row>
    <row r="7859" spans="1:12">
      <c r="A7859" t="s">
        <v>23525</v>
      </c>
      <c r="B7859" t="s">
        <v>23526</v>
      </c>
      <c r="C7859" t="s">
        <v>23654</v>
      </c>
      <c r="D7859" t="s">
        <v>23528</v>
      </c>
      <c r="E7859" t="s">
        <v>655</v>
      </c>
      <c r="F7859" t="s">
        <v>656</v>
      </c>
    </row>
    <row r="7860" spans="1:12">
      <c r="A7860" t="s">
        <v>23525</v>
      </c>
      <c r="B7860" t="s">
        <v>23526</v>
      </c>
      <c r="D7860" t="s">
        <v>23528</v>
      </c>
      <c r="F7860" t="s">
        <v>23551</v>
      </c>
      <c r="J7860" t="s">
        <v>23655</v>
      </c>
      <c r="K7860" t="s">
        <v>23531</v>
      </c>
      <c r="L7860" t="s">
        <v>3638</v>
      </c>
    </row>
    <row r="7861" spans="1:12">
      <c r="A7861" t="s">
        <v>23525</v>
      </c>
      <c r="B7861" t="s">
        <v>23526</v>
      </c>
      <c r="D7861" t="s">
        <v>23528</v>
      </c>
      <c r="F7861" t="s">
        <v>23656</v>
      </c>
      <c r="J7861" t="s">
        <v>9759</v>
      </c>
      <c r="K7861" t="s">
        <v>23531</v>
      </c>
      <c r="L7861" t="s">
        <v>3638</v>
      </c>
    </row>
    <row r="7862" spans="1:12">
      <c r="A7862" t="s">
        <v>23657</v>
      </c>
      <c r="B7862" t="s">
        <v>23658</v>
      </c>
      <c r="C7862" t="s">
        <v>23659</v>
      </c>
      <c r="D7862" t="s">
        <v>23660</v>
      </c>
      <c r="E7862" t="s">
        <v>23661</v>
      </c>
      <c r="F7862" t="s">
        <v>23662</v>
      </c>
      <c r="J7862" t="s">
        <v>23661</v>
      </c>
      <c r="K7862" t="s">
        <v>23663</v>
      </c>
      <c r="L7862" t="s">
        <v>863</v>
      </c>
    </row>
    <row r="7863" spans="1:12">
      <c r="A7863" t="s">
        <v>23657</v>
      </c>
      <c r="B7863" t="s">
        <v>23658</v>
      </c>
      <c r="C7863" t="s">
        <v>23664</v>
      </c>
      <c r="D7863" t="s">
        <v>23660</v>
      </c>
      <c r="E7863" t="s">
        <v>655</v>
      </c>
      <c r="F7863" t="s">
        <v>656</v>
      </c>
    </row>
    <row r="7864" spans="1:12">
      <c r="A7864" t="s">
        <v>23657</v>
      </c>
      <c r="B7864" t="s">
        <v>23658</v>
      </c>
      <c r="D7864" t="s">
        <v>23660</v>
      </c>
      <c r="F7864" t="s">
        <v>23665</v>
      </c>
      <c r="J7864" t="s">
        <v>23666</v>
      </c>
      <c r="K7864" t="s">
        <v>23663</v>
      </c>
      <c r="L7864" t="s">
        <v>863</v>
      </c>
    </row>
    <row r="7865" spans="1:12">
      <c r="A7865" t="s">
        <v>23667</v>
      </c>
      <c r="B7865" t="s">
        <v>23668</v>
      </c>
      <c r="C7865" t="s">
        <v>23669</v>
      </c>
      <c r="D7865" t="s">
        <v>23670</v>
      </c>
      <c r="E7865" t="s">
        <v>23671</v>
      </c>
      <c r="F7865" t="s">
        <v>23667</v>
      </c>
      <c r="J7865" t="s">
        <v>23671</v>
      </c>
      <c r="K7865" t="s">
        <v>23667</v>
      </c>
      <c r="L7865" t="s">
        <v>3638</v>
      </c>
    </row>
    <row r="7866" spans="1:12">
      <c r="A7866" t="s">
        <v>23667</v>
      </c>
      <c r="B7866" t="s">
        <v>23668</v>
      </c>
      <c r="C7866" t="s">
        <v>23672</v>
      </c>
      <c r="D7866" t="s">
        <v>23670</v>
      </c>
      <c r="E7866" t="s">
        <v>655</v>
      </c>
      <c r="F7866" t="s">
        <v>656</v>
      </c>
    </row>
    <row r="7867" spans="1:12">
      <c r="A7867" t="s">
        <v>23673</v>
      </c>
      <c r="B7867" t="s">
        <v>23674</v>
      </c>
      <c r="C7867" t="s">
        <v>23675</v>
      </c>
      <c r="D7867" t="s">
        <v>23676</v>
      </c>
      <c r="E7867" t="s">
        <v>23677</v>
      </c>
      <c r="F7867" t="s">
        <v>23678</v>
      </c>
      <c r="J7867" t="s">
        <v>23677</v>
      </c>
      <c r="K7867" t="s">
        <v>23679</v>
      </c>
      <c r="L7867" t="s">
        <v>1389</v>
      </c>
    </row>
    <row r="7868" spans="1:12">
      <c r="A7868" t="s">
        <v>23673</v>
      </c>
      <c r="B7868" t="s">
        <v>23674</v>
      </c>
      <c r="C7868" t="s">
        <v>23680</v>
      </c>
      <c r="D7868" t="s">
        <v>23676</v>
      </c>
      <c r="E7868" t="s">
        <v>23681</v>
      </c>
      <c r="F7868" t="s">
        <v>23682</v>
      </c>
      <c r="J7868" t="s">
        <v>23681</v>
      </c>
      <c r="K7868" t="s">
        <v>23679</v>
      </c>
      <c r="L7868" t="s">
        <v>1389</v>
      </c>
    </row>
    <row r="7869" spans="1:12">
      <c r="A7869" t="s">
        <v>23673</v>
      </c>
      <c r="B7869" t="s">
        <v>23674</v>
      </c>
      <c r="C7869" t="s">
        <v>23683</v>
      </c>
      <c r="D7869" t="s">
        <v>23676</v>
      </c>
      <c r="E7869" t="s">
        <v>23684</v>
      </c>
      <c r="F7869" t="s">
        <v>23685</v>
      </c>
      <c r="J7869" t="s">
        <v>23684</v>
      </c>
      <c r="K7869" t="s">
        <v>23679</v>
      </c>
      <c r="L7869" t="s">
        <v>1389</v>
      </c>
    </row>
    <row r="7870" spans="1:12">
      <c r="A7870" t="s">
        <v>23673</v>
      </c>
      <c r="B7870" t="s">
        <v>23674</v>
      </c>
      <c r="C7870" t="s">
        <v>23686</v>
      </c>
      <c r="D7870" t="s">
        <v>23676</v>
      </c>
      <c r="E7870" t="s">
        <v>655</v>
      </c>
      <c r="F7870" t="s">
        <v>656</v>
      </c>
    </row>
    <row r="7871" spans="1:12">
      <c r="A7871" t="s">
        <v>23687</v>
      </c>
      <c r="B7871" t="s">
        <v>13363</v>
      </c>
      <c r="C7871" t="s">
        <v>23688</v>
      </c>
      <c r="D7871" t="s">
        <v>23689</v>
      </c>
      <c r="E7871" t="s">
        <v>23690</v>
      </c>
      <c r="F7871" t="s">
        <v>23691</v>
      </c>
      <c r="J7871" t="s">
        <v>23690</v>
      </c>
      <c r="K7871" t="s">
        <v>23692</v>
      </c>
      <c r="L7871" t="s">
        <v>814</v>
      </c>
    </row>
    <row r="7872" spans="1:12">
      <c r="A7872" t="s">
        <v>23687</v>
      </c>
      <c r="B7872" t="s">
        <v>13363</v>
      </c>
      <c r="C7872" t="s">
        <v>23693</v>
      </c>
      <c r="D7872" t="s">
        <v>23689</v>
      </c>
      <c r="E7872" t="s">
        <v>2553</v>
      </c>
      <c r="F7872" t="s">
        <v>23687</v>
      </c>
    </row>
    <row r="7873" spans="1:12">
      <c r="A7873" t="s">
        <v>23687</v>
      </c>
      <c r="B7873" t="s">
        <v>13363</v>
      </c>
      <c r="C7873" t="s">
        <v>23694</v>
      </c>
      <c r="D7873" t="s">
        <v>23689</v>
      </c>
      <c r="E7873" t="s">
        <v>655</v>
      </c>
      <c r="F7873" t="s">
        <v>656</v>
      </c>
    </row>
    <row r="7874" spans="1:12">
      <c r="A7874" t="s">
        <v>23695</v>
      </c>
      <c r="B7874" t="s">
        <v>23696</v>
      </c>
      <c r="C7874" t="s">
        <v>23697</v>
      </c>
      <c r="D7874" t="s">
        <v>23698</v>
      </c>
      <c r="E7874" t="s">
        <v>23699</v>
      </c>
      <c r="F7874" t="s">
        <v>23700</v>
      </c>
      <c r="J7874" t="s">
        <v>23699</v>
      </c>
      <c r="K7874" t="s">
        <v>23701</v>
      </c>
      <c r="L7874" t="s">
        <v>916</v>
      </c>
    </row>
    <row r="7875" spans="1:12">
      <c r="A7875" t="s">
        <v>23695</v>
      </c>
      <c r="B7875" t="s">
        <v>23696</v>
      </c>
      <c r="C7875" t="s">
        <v>23702</v>
      </c>
      <c r="D7875" t="s">
        <v>23698</v>
      </c>
      <c r="E7875" t="s">
        <v>23703</v>
      </c>
      <c r="F7875" t="s">
        <v>23704</v>
      </c>
      <c r="J7875" t="s">
        <v>23703</v>
      </c>
      <c r="K7875" t="s">
        <v>23701</v>
      </c>
      <c r="L7875" t="s">
        <v>916</v>
      </c>
    </row>
    <row r="7876" spans="1:12">
      <c r="A7876" t="s">
        <v>23695</v>
      </c>
      <c r="B7876" t="s">
        <v>23696</v>
      </c>
      <c r="C7876" t="s">
        <v>23705</v>
      </c>
      <c r="D7876" t="s">
        <v>23698</v>
      </c>
      <c r="E7876" t="s">
        <v>13427</v>
      </c>
      <c r="F7876" t="s">
        <v>23706</v>
      </c>
      <c r="J7876" t="s">
        <v>13427</v>
      </c>
      <c r="K7876" t="s">
        <v>23701</v>
      </c>
      <c r="L7876" t="s">
        <v>916</v>
      </c>
    </row>
    <row r="7877" spans="1:12">
      <c r="A7877" t="s">
        <v>23695</v>
      </c>
      <c r="B7877" t="s">
        <v>23696</v>
      </c>
      <c r="C7877" t="s">
        <v>23707</v>
      </c>
      <c r="D7877" t="s">
        <v>23698</v>
      </c>
      <c r="E7877" t="s">
        <v>23708</v>
      </c>
      <c r="F7877" t="s">
        <v>23709</v>
      </c>
      <c r="J7877" t="s">
        <v>23708</v>
      </c>
      <c r="K7877" t="s">
        <v>23701</v>
      </c>
      <c r="L7877" t="s">
        <v>916</v>
      </c>
    </row>
    <row r="7878" spans="1:12">
      <c r="A7878" t="s">
        <v>23695</v>
      </c>
      <c r="B7878" t="s">
        <v>23696</v>
      </c>
      <c r="C7878" t="s">
        <v>23710</v>
      </c>
      <c r="D7878" t="s">
        <v>23698</v>
      </c>
      <c r="E7878" t="s">
        <v>23711</v>
      </c>
      <c r="F7878" t="s">
        <v>23712</v>
      </c>
      <c r="J7878" t="s">
        <v>23711</v>
      </c>
      <c r="K7878" t="s">
        <v>23701</v>
      </c>
      <c r="L7878" t="s">
        <v>916</v>
      </c>
    </row>
    <row r="7879" spans="1:12">
      <c r="A7879" t="s">
        <v>23695</v>
      </c>
      <c r="B7879" t="s">
        <v>23696</v>
      </c>
      <c r="C7879" t="s">
        <v>23713</v>
      </c>
      <c r="D7879" t="s">
        <v>23698</v>
      </c>
      <c r="E7879" t="s">
        <v>8845</v>
      </c>
      <c r="F7879" t="s">
        <v>23714</v>
      </c>
      <c r="J7879" t="s">
        <v>8845</v>
      </c>
      <c r="K7879" t="s">
        <v>23701</v>
      </c>
      <c r="L7879" t="s">
        <v>916</v>
      </c>
    </row>
    <row r="7880" spans="1:12">
      <c r="A7880" t="s">
        <v>23695</v>
      </c>
      <c r="B7880" t="s">
        <v>23696</v>
      </c>
      <c r="C7880" t="s">
        <v>23715</v>
      </c>
      <c r="D7880" t="s">
        <v>23698</v>
      </c>
      <c r="E7880" t="s">
        <v>23716</v>
      </c>
      <c r="F7880" t="s">
        <v>23717</v>
      </c>
      <c r="J7880" t="s">
        <v>23716</v>
      </c>
      <c r="K7880" t="s">
        <v>23701</v>
      </c>
      <c r="L7880" t="s">
        <v>916</v>
      </c>
    </row>
    <row r="7881" spans="1:12">
      <c r="A7881" t="s">
        <v>23695</v>
      </c>
      <c r="B7881" t="s">
        <v>23696</v>
      </c>
      <c r="C7881" t="s">
        <v>23718</v>
      </c>
      <c r="D7881" t="s">
        <v>23698</v>
      </c>
      <c r="E7881" t="s">
        <v>23719</v>
      </c>
      <c r="F7881" t="s">
        <v>23720</v>
      </c>
      <c r="J7881" t="s">
        <v>23719</v>
      </c>
      <c r="K7881" t="s">
        <v>23701</v>
      </c>
      <c r="L7881" t="s">
        <v>916</v>
      </c>
    </row>
    <row r="7882" spans="1:12">
      <c r="A7882" t="s">
        <v>23695</v>
      </c>
      <c r="B7882" t="s">
        <v>23696</v>
      </c>
      <c r="C7882" t="s">
        <v>23721</v>
      </c>
      <c r="D7882" t="s">
        <v>23698</v>
      </c>
      <c r="E7882" t="s">
        <v>23722</v>
      </c>
      <c r="F7882" t="s">
        <v>23723</v>
      </c>
      <c r="J7882" t="s">
        <v>23722</v>
      </c>
      <c r="K7882" t="s">
        <v>23701</v>
      </c>
      <c r="L7882" t="s">
        <v>916</v>
      </c>
    </row>
    <row r="7883" spans="1:12">
      <c r="A7883" t="s">
        <v>23695</v>
      </c>
      <c r="B7883" t="s">
        <v>23696</v>
      </c>
      <c r="C7883" t="s">
        <v>23724</v>
      </c>
      <c r="D7883" t="s">
        <v>23698</v>
      </c>
      <c r="E7883" t="s">
        <v>23725</v>
      </c>
      <c r="F7883" t="s">
        <v>23726</v>
      </c>
      <c r="J7883" t="s">
        <v>23725</v>
      </c>
      <c r="K7883" t="s">
        <v>23701</v>
      </c>
      <c r="L7883" t="s">
        <v>916</v>
      </c>
    </row>
    <row r="7884" spans="1:12">
      <c r="A7884" t="s">
        <v>23695</v>
      </c>
      <c r="B7884" t="s">
        <v>23696</v>
      </c>
      <c r="C7884" t="s">
        <v>23727</v>
      </c>
      <c r="D7884" t="s">
        <v>23698</v>
      </c>
      <c r="E7884" t="s">
        <v>18800</v>
      </c>
      <c r="F7884" t="s">
        <v>23728</v>
      </c>
      <c r="J7884" t="s">
        <v>18800</v>
      </c>
      <c r="K7884" t="s">
        <v>23701</v>
      </c>
      <c r="L7884" t="s">
        <v>916</v>
      </c>
    </row>
    <row r="7885" spans="1:12">
      <c r="A7885" t="s">
        <v>23695</v>
      </c>
      <c r="B7885" t="s">
        <v>23696</v>
      </c>
      <c r="C7885" t="s">
        <v>23729</v>
      </c>
      <c r="D7885" t="s">
        <v>23698</v>
      </c>
      <c r="E7885" t="s">
        <v>19027</v>
      </c>
      <c r="F7885" t="s">
        <v>23730</v>
      </c>
      <c r="J7885" t="s">
        <v>19027</v>
      </c>
      <c r="K7885" t="s">
        <v>23701</v>
      </c>
      <c r="L7885" t="s">
        <v>916</v>
      </c>
    </row>
    <row r="7886" spans="1:12">
      <c r="A7886" t="s">
        <v>23695</v>
      </c>
      <c r="B7886" t="s">
        <v>23696</v>
      </c>
      <c r="C7886" t="s">
        <v>23731</v>
      </c>
      <c r="D7886" t="s">
        <v>23698</v>
      </c>
      <c r="E7886" t="s">
        <v>23732</v>
      </c>
      <c r="F7886" t="s">
        <v>23733</v>
      </c>
      <c r="J7886" t="s">
        <v>23732</v>
      </c>
      <c r="K7886" t="s">
        <v>23701</v>
      </c>
      <c r="L7886" t="s">
        <v>916</v>
      </c>
    </row>
    <row r="7887" spans="1:12">
      <c r="A7887" t="s">
        <v>23695</v>
      </c>
      <c r="B7887" t="s">
        <v>23696</v>
      </c>
      <c r="C7887" t="s">
        <v>23734</v>
      </c>
      <c r="D7887" t="s">
        <v>23698</v>
      </c>
      <c r="E7887" t="s">
        <v>23735</v>
      </c>
      <c r="F7887" t="s">
        <v>23736</v>
      </c>
      <c r="J7887" t="s">
        <v>23735</v>
      </c>
      <c r="K7887" t="s">
        <v>23701</v>
      </c>
      <c r="L7887" t="s">
        <v>916</v>
      </c>
    </row>
    <row r="7888" spans="1:12">
      <c r="A7888" t="s">
        <v>23695</v>
      </c>
      <c r="B7888" t="s">
        <v>23696</v>
      </c>
      <c r="C7888" t="s">
        <v>23737</v>
      </c>
      <c r="D7888" t="s">
        <v>23698</v>
      </c>
      <c r="E7888" t="s">
        <v>23738</v>
      </c>
      <c r="F7888" t="s">
        <v>23739</v>
      </c>
      <c r="J7888" t="s">
        <v>23738</v>
      </c>
      <c r="K7888" t="s">
        <v>23701</v>
      </c>
      <c r="L7888" t="s">
        <v>916</v>
      </c>
    </row>
    <row r="7889" spans="1:12">
      <c r="A7889" t="s">
        <v>23695</v>
      </c>
      <c r="B7889" t="s">
        <v>23696</v>
      </c>
      <c r="C7889" t="s">
        <v>23740</v>
      </c>
      <c r="D7889" t="s">
        <v>23698</v>
      </c>
      <c r="E7889" t="s">
        <v>23741</v>
      </c>
      <c r="F7889" t="s">
        <v>23742</v>
      </c>
      <c r="J7889" t="s">
        <v>23741</v>
      </c>
      <c r="K7889" t="s">
        <v>23701</v>
      </c>
      <c r="L7889" t="s">
        <v>916</v>
      </c>
    </row>
    <row r="7890" spans="1:12">
      <c r="A7890" t="s">
        <v>23695</v>
      </c>
      <c r="B7890" t="s">
        <v>23696</v>
      </c>
      <c r="C7890" t="s">
        <v>23743</v>
      </c>
      <c r="D7890" t="s">
        <v>23698</v>
      </c>
      <c r="E7890" t="s">
        <v>23744</v>
      </c>
      <c r="F7890" t="s">
        <v>23745</v>
      </c>
      <c r="J7890" t="s">
        <v>23744</v>
      </c>
      <c r="K7890" t="s">
        <v>23701</v>
      </c>
      <c r="L7890" t="s">
        <v>916</v>
      </c>
    </row>
    <row r="7891" spans="1:12">
      <c r="A7891" t="s">
        <v>23695</v>
      </c>
      <c r="B7891" t="s">
        <v>23696</v>
      </c>
      <c r="C7891" t="s">
        <v>23746</v>
      </c>
      <c r="D7891" t="s">
        <v>23698</v>
      </c>
      <c r="E7891" t="s">
        <v>23747</v>
      </c>
      <c r="F7891" t="s">
        <v>23748</v>
      </c>
      <c r="J7891" t="s">
        <v>23747</v>
      </c>
      <c r="K7891" t="s">
        <v>23701</v>
      </c>
      <c r="L7891" t="s">
        <v>916</v>
      </c>
    </row>
    <row r="7892" spans="1:12">
      <c r="A7892" t="s">
        <v>23695</v>
      </c>
      <c r="B7892" t="s">
        <v>23696</v>
      </c>
      <c r="C7892" t="s">
        <v>23749</v>
      </c>
      <c r="D7892" t="s">
        <v>23698</v>
      </c>
      <c r="E7892" t="s">
        <v>23750</v>
      </c>
      <c r="F7892" t="s">
        <v>23751</v>
      </c>
      <c r="J7892" t="s">
        <v>23750</v>
      </c>
      <c r="K7892" t="s">
        <v>23701</v>
      </c>
      <c r="L7892" t="s">
        <v>916</v>
      </c>
    </row>
    <row r="7893" spans="1:12">
      <c r="A7893" t="s">
        <v>23695</v>
      </c>
      <c r="B7893" t="s">
        <v>23696</v>
      </c>
      <c r="C7893" t="s">
        <v>23752</v>
      </c>
      <c r="D7893" t="s">
        <v>23698</v>
      </c>
      <c r="E7893" t="s">
        <v>23753</v>
      </c>
      <c r="F7893" t="s">
        <v>23754</v>
      </c>
      <c r="J7893" t="s">
        <v>23753</v>
      </c>
      <c r="K7893" t="s">
        <v>23701</v>
      </c>
      <c r="L7893" t="s">
        <v>916</v>
      </c>
    </row>
    <row r="7894" spans="1:12">
      <c r="A7894" t="s">
        <v>23695</v>
      </c>
      <c r="B7894" t="s">
        <v>23696</v>
      </c>
      <c r="C7894" t="s">
        <v>23755</v>
      </c>
      <c r="D7894" t="s">
        <v>23698</v>
      </c>
      <c r="E7894" t="s">
        <v>23756</v>
      </c>
      <c r="F7894" t="s">
        <v>23757</v>
      </c>
      <c r="J7894" t="s">
        <v>23756</v>
      </c>
      <c r="K7894" t="s">
        <v>23701</v>
      </c>
      <c r="L7894" t="s">
        <v>916</v>
      </c>
    </row>
    <row r="7895" spans="1:12">
      <c r="A7895" t="s">
        <v>23695</v>
      </c>
      <c r="B7895" t="s">
        <v>23696</v>
      </c>
      <c r="C7895" t="s">
        <v>23758</v>
      </c>
      <c r="D7895" t="s">
        <v>23698</v>
      </c>
      <c r="E7895" t="s">
        <v>23759</v>
      </c>
      <c r="F7895" t="s">
        <v>23760</v>
      </c>
      <c r="J7895" t="s">
        <v>23759</v>
      </c>
      <c r="K7895" t="s">
        <v>23701</v>
      </c>
      <c r="L7895" t="s">
        <v>916</v>
      </c>
    </row>
    <row r="7896" spans="1:12">
      <c r="A7896" t="s">
        <v>23695</v>
      </c>
      <c r="B7896" t="s">
        <v>23696</v>
      </c>
      <c r="C7896" t="s">
        <v>23761</v>
      </c>
      <c r="D7896" t="s">
        <v>23698</v>
      </c>
      <c r="E7896" t="s">
        <v>655</v>
      </c>
      <c r="F7896" t="s">
        <v>656</v>
      </c>
    </row>
    <row r="7897" spans="1:12">
      <c r="A7897" t="s">
        <v>23762</v>
      </c>
      <c r="B7897" t="s">
        <v>23763</v>
      </c>
      <c r="C7897" t="s">
        <v>23764</v>
      </c>
      <c r="D7897" t="s">
        <v>23765</v>
      </c>
      <c r="E7897" t="s">
        <v>23766</v>
      </c>
      <c r="F7897" t="s">
        <v>23762</v>
      </c>
      <c r="J7897" t="s">
        <v>23766</v>
      </c>
      <c r="K7897" t="s">
        <v>23767</v>
      </c>
      <c r="L7897" t="s">
        <v>814</v>
      </c>
    </row>
    <row r="7898" spans="1:12">
      <c r="A7898" t="s">
        <v>23762</v>
      </c>
      <c r="B7898" t="s">
        <v>23763</v>
      </c>
      <c r="C7898" t="s">
        <v>23768</v>
      </c>
      <c r="D7898" t="s">
        <v>23765</v>
      </c>
      <c r="E7898" t="s">
        <v>655</v>
      </c>
      <c r="F7898" t="s">
        <v>656</v>
      </c>
    </row>
    <row r="7899" spans="1:12">
      <c r="A7899" t="s">
        <v>23769</v>
      </c>
      <c r="B7899" t="s">
        <v>23770</v>
      </c>
      <c r="C7899" t="s">
        <v>23771</v>
      </c>
      <c r="D7899" t="s">
        <v>23772</v>
      </c>
      <c r="E7899" t="s">
        <v>23773</v>
      </c>
      <c r="F7899" t="s">
        <v>23774</v>
      </c>
    </row>
    <row r="7900" spans="1:12">
      <c r="A7900" t="s">
        <v>23769</v>
      </c>
      <c r="B7900" t="s">
        <v>23770</v>
      </c>
      <c r="C7900" t="s">
        <v>23775</v>
      </c>
      <c r="D7900" t="s">
        <v>23772</v>
      </c>
      <c r="E7900" t="s">
        <v>23776</v>
      </c>
      <c r="F7900" t="s">
        <v>23777</v>
      </c>
    </row>
    <row r="7901" spans="1:12">
      <c r="A7901" t="s">
        <v>23769</v>
      </c>
      <c r="B7901" t="s">
        <v>23770</v>
      </c>
      <c r="C7901" t="s">
        <v>23778</v>
      </c>
      <c r="D7901" t="s">
        <v>23772</v>
      </c>
      <c r="E7901" t="s">
        <v>23779</v>
      </c>
      <c r="F7901" t="s">
        <v>23780</v>
      </c>
      <c r="J7901" t="s">
        <v>23779</v>
      </c>
      <c r="K7901" t="s">
        <v>23769</v>
      </c>
      <c r="L7901" t="s">
        <v>851</v>
      </c>
    </row>
    <row r="7902" spans="1:12">
      <c r="A7902" t="s">
        <v>23769</v>
      </c>
      <c r="B7902" t="s">
        <v>23770</v>
      </c>
      <c r="C7902" t="s">
        <v>23781</v>
      </c>
      <c r="D7902" t="s">
        <v>23772</v>
      </c>
      <c r="E7902" t="s">
        <v>655</v>
      </c>
      <c r="F7902" t="s">
        <v>656</v>
      </c>
    </row>
    <row r="7903" spans="1:12">
      <c r="A7903" t="s">
        <v>23782</v>
      </c>
      <c r="B7903" t="s">
        <v>23783</v>
      </c>
      <c r="C7903" t="s">
        <v>23784</v>
      </c>
      <c r="D7903" t="s">
        <v>23785</v>
      </c>
      <c r="E7903" t="s">
        <v>23786</v>
      </c>
      <c r="F7903" t="s">
        <v>23787</v>
      </c>
    </row>
    <row r="7904" spans="1:12">
      <c r="A7904" t="s">
        <v>23782</v>
      </c>
      <c r="B7904" t="s">
        <v>23783</v>
      </c>
      <c r="C7904" t="s">
        <v>23788</v>
      </c>
      <c r="D7904" t="s">
        <v>23785</v>
      </c>
      <c r="E7904" t="s">
        <v>19083</v>
      </c>
      <c r="F7904" t="s">
        <v>23782</v>
      </c>
      <c r="J7904" t="s">
        <v>19083</v>
      </c>
      <c r="K7904" t="s">
        <v>23789</v>
      </c>
      <c r="L7904" t="s">
        <v>916</v>
      </c>
    </row>
    <row r="7905" spans="1:12">
      <c r="A7905" t="s">
        <v>23782</v>
      </c>
      <c r="B7905" t="s">
        <v>23783</v>
      </c>
      <c r="C7905" t="s">
        <v>23790</v>
      </c>
      <c r="D7905" t="s">
        <v>23785</v>
      </c>
      <c r="E7905" t="s">
        <v>4259</v>
      </c>
      <c r="F7905" t="s">
        <v>23791</v>
      </c>
    </row>
    <row r="7906" spans="1:12">
      <c r="A7906" t="s">
        <v>23782</v>
      </c>
      <c r="B7906" t="s">
        <v>23783</v>
      </c>
      <c r="C7906" t="s">
        <v>23792</v>
      </c>
      <c r="D7906" t="s">
        <v>23785</v>
      </c>
      <c r="E7906" t="s">
        <v>23793</v>
      </c>
      <c r="F7906" t="s">
        <v>23794</v>
      </c>
      <c r="J7906" t="s">
        <v>23793</v>
      </c>
      <c r="K7906" t="s">
        <v>23789</v>
      </c>
      <c r="L7906" t="s">
        <v>916</v>
      </c>
    </row>
    <row r="7907" spans="1:12">
      <c r="A7907" t="s">
        <v>23782</v>
      </c>
      <c r="B7907" t="s">
        <v>23783</v>
      </c>
      <c r="C7907" t="s">
        <v>23795</v>
      </c>
      <c r="D7907" t="s">
        <v>23785</v>
      </c>
      <c r="E7907" t="s">
        <v>23796</v>
      </c>
      <c r="F7907" t="s">
        <v>23797</v>
      </c>
    </row>
    <row r="7908" spans="1:12">
      <c r="A7908" t="s">
        <v>23782</v>
      </c>
      <c r="B7908" t="s">
        <v>23783</v>
      </c>
      <c r="C7908" t="s">
        <v>23798</v>
      </c>
      <c r="D7908" t="s">
        <v>23785</v>
      </c>
      <c r="E7908" t="s">
        <v>655</v>
      </c>
      <c r="F7908" t="s">
        <v>656</v>
      </c>
    </row>
    <row r="7909" spans="1:12">
      <c r="A7909" t="s">
        <v>23799</v>
      </c>
      <c r="B7909" t="s">
        <v>23800</v>
      </c>
      <c r="C7909" t="s">
        <v>23801</v>
      </c>
      <c r="D7909" t="s">
        <v>23802</v>
      </c>
      <c r="E7909" t="s">
        <v>5006</v>
      </c>
      <c r="F7909" t="s">
        <v>23803</v>
      </c>
      <c r="J7909" t="s">
        <v>5006</v>
      </c>
      <c r="K7909" t="s">
        <v>23804</v>
      </c>
      <c r="L7909" t="s">
        <v>725</v>
      </c>
    </row>
    <row r="7910" spans="1:12">
      <c r="A7910" t="s">
        <v>23799</v>
      </c>
      <c r="B7910" t="s">
        <v>23800</v>
      </c>
      <c r="C7910" t="s">
        <v>23805</v>
      </c>
      <c r="D7910" t="s">
        <v>23802</v>
      </c>
      <c r="E7910" t="s">
        <v>23806</v>
      </c>
      <c r="F7910" t="s">
        <v>23807</v>
      </c>
      <c r="J7910" t="s">
        <v>23806</v>
      </c>
      <c r="K7910" t="s">
        <v>23804</v>
      </c>
      <c r="L7910" t="s">
        <v>725</v>
      </c>
    </row>
    <row r="7911" spans="1:12">
      <c r="A7911" t="s">
        <v>23799</v>
      </c>
      <c r="B7911" t="s">
        <v>23800</v>
      </c>
      <c r="C7911" t="s">
        <v>23808</v>
      </c>
      <c r="D7911" t="s">
        <v>23802</v>
      </c>
      <c r="E7911" t="s">
        <v>655</v>
      </c>
      <c r="F7911" t="s">
        <v>656</v>
      </c>
    </row>
    <row r="7912" spans="1:12">
      <c r="A7912" t="s">
        <v>23809</v>
      </c>
      <c r="B7912" t="s">
        <v>23810</v>
      </c>
      <c r="C7912" t="s">
        <v>23811</v>
      </c>
      <c r="D7912" t="s">
        <v>23812</v>
      </c>
      <c r="E7912" t="s">
        <v>23813</v>
      </c>
      <c r="F7912" t="s">
        <v>23814</v>
      </c>
      <c r="J7912" t="s">
        <v>23813</v>
      </c>
      <c r="K7912" t="s">
        <v>23815</v>
      </c>
      <c r="L7912" t="s">
        <v>916</v>
      </c>
    </row>
    <row r="7913" spans="1:12">
      <c r="A7913" t="s">
        <v>23809</v>
      </c>
      <c r="B7913" t="s">
        <v>23810</v>
      </c>
      <c r="C7913" t="s">
        <v>23816</v>
      </c>
      <c r="D7913" t="s">
        <v>23812</v>
      </c>
      <c r="E7913" t="s">
        <v>18005</v>
      </c>
      <c r="F7913" t="s">
        <v>23817</v>
      </c>
      <c r="J7913" t="s">
        <v>18005</v>
      </c>
      <c r="K7913" t="s">
        <v>23815</v>
      </c>
      <c r="L7913" t="s">
        <v>916</v>
      </c>
    </row>
    <row r="7914" spans="1:12">
      <c r="A7914" t="s">
        <v>23809</v>
      </c>
      <c r="B7914" t="s">
        <v>23810</v>
      </c>
      <c r="C7914" t="s">
        <v>23818</v>
      </c>
      <c r="D7914" t="s">
        <v>23812</v>
      </c>
      <c r="E7914" t="s">
        <v>23819</v>
      </c>
      <c r="F7914" t="s">
        <v>23820</v>
      </c>
      <c r="J7914" t="s">
        <v>23819</v>
      </c>
      <c r="K7914" t="s">
        <v>23815</v>
      </c>
      <c r="L7914" t="s">
        <v>916</v>
      </c>
    </row>
    <row r="7915" spans="1:12">
      <c r="A7915" t="s">
        <v>23809</v>
      </c>
      <c r="B7915" t="s">
        <v>23810</v>
      </c>
      <c r="C7915" t="s">
        <v>23821</v>
      </c>
      <c r="D7915" t="s">
        <v>23812</v>
      </c>
      <c r="E7915" t="s">
        <v>9463</v>
      </c>
      <c r="F7915" t="s">
        <v>23822</v>
      </c>
      <c r="J7915" t="s">
        <v>9463</v>
      </c>
      <c r="K7915" t="s">
        <v>23815</v>
      </c>
      <c r="L7915" t="s">
        <v>916</v>
      </c>
    </row>
    <row r="7916" spans="1:12">
      <c r="A7916" t="s">
        <v>23809</v>
      </c>
      <c r="B7916" t="s">
        <v>23810</v>
      </c>
      <c r="C7916" t="s">
        <v>23823</v>
      </c>
      <c r="D7916" t="s">
        <v>23812</v>
      </c>
      <c r="E7916" t="s">
        <v>7602</v>
      </c>
      <c r="F7916" t="s">
        <v>23824</v>
      </c>
      <c r="J7916" t="s">
        <v>7602</v>
      </c>
      <c r="K7916" t="s">
        <v>23815</v>
      </c>
      <c r="L7916" t="s">
        <v>916</v>
      </c>
    </row>
    <row r="7917" spans="1:12">
      <c r="A7917" t="s">
        <v>23809</v>
      </c>
      <c r="B7917" t="s">
        <v>23810</v>
      </c>
      <c r="C7917" t="s">
        <v>23825</v>
      </c>
      <c r="D7917" t="s">
        <v>23812</v>
      </c>
      <c r="E7917" t="s">
        <v>655</v>
      </c>
      <c r="F7917" t="s">
        <v>656</v>
      </c>
    </row>
    <row r="7918" spans="1:12">
      <c r="A7918" t="s">
        <v>23809</v>
      </c>
      <c r="B7918" t="s">
        <v>23810</v>
      </c>
      <c r="D7918" t="s">
        <v>23812</v>
      </c>
      <c r="F7918" t="s">
        <v>23826</v>
      </c>
      <c r="J7918" t="s">
        <v>23827</v>
      </c>
      <c r="K7918" t="s">
        <v>23815</v>
      </c>
      <c r="L7918" t="s">
        <v>916</v>
      </c>
    </row>
    <row r="7919" spans="1:12">
      <c r="A7919" t="s">
        <v>23828</v>
      </c>
      <c r="B7919" t="s">
        <v>23829</v>
      </c>
      <c r="C7919" t="s">
        <v>23830</v>
      </c>
      <c r="D7919" t="s">
        <v>23831</v>
      </c>
      <c r="E7919" t="s">
        <v>13965</v>
      </c>
      <c r="F7919" t="s">
        <v>23832</v>
      </c>
      <c r="J7919" t="s">
        <v>13965</v>
      </c>
      <c r="K7919" t="s">
        <v>23833</v>
      </c>
      <c r="L7919" t="s">
        <v>814</v>
      </c>
    </row>
    <row r="7920" spans="1:12">
      <c r="A7920" t="s">
        <v>23828</v>
      </c>
      <c r="B7920" t="s">
        <v>23829</v>
      </c>
      <c r="C7920" t="s">
        <v>23834</v>
      </c>
      <c r="D7920" t="s">
        <v>23831</v>
      </c>
      <c r="E7920" t="s">
        <v>23835</v>
      </c>
      <c r="F7920" t="s">
        <v>23836</v>
      </c>
      <c r="J7920" t="s">
        <v>23835</v>
      </c>
      <c r="K7920" t="s">
        <v>23833</v>
      </c>
      <c r="L7920" t="s">
        <v>814</v>
      </c>
    </row>
    <row r="7921" spans="1:12">
      <c r="A7921" t="s">
        <v>23828</v>
      </c>
      <c r="B7921" t="s">
        <v>23829</v>
      </c>
      <c r="C7921" t="s">
        <v>23837</v>
      </c>
      <c r="D7921" t="s">
        <v>23831</v>
      </c>
      <c r="E7921" t="s">
        <v>23838</v>
      </c>
      <c r="F7921" t="s">
        <v>23839</v>
      </c>
      <c r="J7921" t="s">
        <v>23838</v>
      </c>
      <c r="K7921" t="s">
        <v>23833</v>
      </c>
      <c r="L7921" t="s">
        <v>814</v>
      </c>
    </row>
    <row r="7922" spans="1:12">
      <c r="A7922" t="s">
        <v>23828</v>
      </c>
      <c r="B7922" t="s">
        <v>23829</v>
      </c>
      <c r="C7922" t="s">
        <v>23840</v>
      </c>
      <c r="D7922" t="s">
        <v>23831</v>
      </c>
      <c r="E7922" t="s">
        <v>23841</v>
      </c>
      <c r="F7922" t="s">
        <v>23842</v>
      </c>
      <c r="J7922" t="s">
        <v>23841</v>
      </c>
      <c r="K7922" t="s">
        <v>23833</v>
      </c>
      <c r="L7922" t="s">
        <v>814</v>
      </c>
    </row>
    <row r="7923" spans="1:12">
      <c r="A7923" t="s">
        <v>23828</v>
      </c>
      <c r="B7923" t="s">
        <v>23829</v>
      </c>
      <c r="C7923" t="s">
        <v>23843</v>
      </c>
      <c r="D7923" t="s">
        <v>23831</v>
      </c>
      <c r="E7923" t="s">
        <v>23844</v>
      </c>
      <c r="F7923" t="s">
        <v>23845</v>
      </c>
    </row>
    <row r="7924" spans="1:12">
      <c r="A7924" t="s">
        <v>23828</v>
      </c>
      <c r="B7924" t="s">
        <v>23829</v>
      </c>
      <c r="C7924" t="s">
        <v>23846</v>
      </c>
      <c r="D7924" t="s">
        <v>23831</v>
      </c>
      <c r="E7924" t="s">
        <v>23847</v>
      </c>
      <c r="F7924" t="s">
        <v>23848</v>
      </c>
    </row>
    <row r="7925" spans="1:12">
      <c r="A7925" t="s">
        <v>23828</v>
      </c>
      <c r="B7925" t="s">
        <v>23829</v>
      </c>
      <c r="C7925" t="s">
        <v>23849</v>
      </c>
      <c r="D7925" t="s">
        <v>23831</v>
      </c>
      <c r="E7925" t="s">
        <v>13702</v>
      </c>
      <c r="F7925" t="s">
        <v>23850</v>
      </c>
    </row>
    <row r="7926" spans="1:12">
      <c r="A7926" t="s">
        <v>23828</v>
      </c>
      <c r="B7926" t="s">
        <v>23829</v>
      </c>
      <c r="C7926" t="s">
        <v>23851</v>
      </c>
      <c r="D7926" t="s">
        <v>23831</v>
      </c>
      <c r="E7926" t="s">
        <v>3829</v>
      </c>
      <c r="F7926" t="s">
        <v>3830</v>
      </c>
    </row>
    <row r="7927" spans="1:12">
      <c r="A7927" t="s">
        <v>23828</v>
      </c>
      <c r="B7927" t="s">
        <v>23829</v>
      </c>
      <c r="C7927" t="s">
        <v>23852</v>
      </c>
      <c r="D7927" t="s">
        <v>23831</v>
      </c>
      <c r="E7927" t="s">
        <v>23853</v>
      </c>
      <c r="F7927" t="s">
        <v>23854</v>
      </c>
    </row>
    <row r="7928" spans="1:12">
      <c r="A7928" t="s">
        <v>23828</v>
      </c>
      <c r="B7928" t="s">
        <v>23829</v>
      </c>
      <c r="C7928" t="s">
        <v>23855</v>
      </c>
      <c r="D7928" t="s">
        <v>23831</v>
      </c>
      <c r="E7928" t="s">
        <v>23856</v>
      </c>
      <c r="F7928" t="s">
        <v>23857</v>
      </c>
      <c r="J7928" t="s">
        <v>23856</v>
      </c>
      <c r="K7928" t="s">
        <v>23833</v>
      </c>
      <c r="L7928" t="s">
        <v>814</v>
      </c>
    </row>
    <row r="7929" spans="1:12">
      <c r="A7929" t="s">
        <v>23828</v>
      </c>
      <c r="B7929" t="s">
        <v>23829</v>
      </c>
      <c r="C7929" t="s">
        <v>23858</v>
      </c>
      <c r="D7929" t="s">
        <v>23831</v>
      </c>
      <c r="E7929" t="s">
        <v>23859</v>
      </c>
      <c r="F7929" t="s">
        <v>23860</v>
      </c>
      <c r="J7929" t="s">
        <v>23859</v>
      </c>
      <c r="K7929" t="s">
        <v>23833</v>
      </c>
      <c r="L7929" t="s">
        <v>814</v>
      </c>
    </row>
    <row r="7930" spans="1:12">
      <c r="A7930" t="s">
        <v>23828</v>
      </c>
      <c r="B7930" t="s">
        <v>23829</v>
      </c>
      <c r="C7930" t="s">
        <v>23861</v>
      </c>
      <c r="D7930" t="s">
        <v>23831</v>
      </c>
      <c r="E7930" t="s">
        <v>12431</v>
      </c>
      <c r="F7930" t="s">
        <v>23862</v>
      </c>
    </row>
    <row r="7931" spans="1:12">
      <c r="A7931" t="s">
        <v>23828</v>
      </c>
      <c r="B7931" t="s">
        <v>23829</v>
      </c>
      <c r="C7931" t="s">
        <v>23863</v>
      </c>
      <c r="D7931" t="s">
        <v>23831</v>
      </c>
      <c r="E7931" t="s">
        <v>23864</v>
      </c>
      <c r="F7931" t="s">
        <v>23865</v>
      </c>
      <c r="J7931" t="s">
        <v>23864</v>
      </c>
      <c r="K7931" t="s">
        <v>23833</v>
      </c>
      <c r="L7931" t="s">
        <v>814</v>
      </c>
    </row>
    <row r="7932" spans="1:12">
      <c r="A7932" t="s">
        <v>23828</v>
      </c>
      <c r="B7932" t="s">
        <v>23829</v>
      </c>
      <c r="C7932" t="s">
        <v>23866</v>
      </c>
      <c r="D7932" t="s">
        <v>23831</v>
      </c>
      <c r="E7932" t="s">
        <v>23867</v>
      </c>
      <c r="F7932" t="s">
        <v>23868</v>
      </c>
      <c r="J7932" t="s">
        <v>23867</v>
      </c>
      <c r="K7932" t="s">
        <v>23833</v>
      </c>
      <c r="L7932" t="s">
        <v>814</v>
      </c>
    </row>
    <row r="7933" spans="1:12">
      <c r="A7933" t="s">
        <v>23828</v>
      </c>
      <c r="B7933" t="s">
        <v>23829</v>
      </c>
      <c r="C7933" t="s">
        <v>23869</v>
      </c>
      <c r="D7933" t="s">
        <v>23831</v>
      </c>
      <c r="E7933" t="s">
        <v>23870</v>
      </c>
      <c r="F7933" t="s">
        <v>23871</v>
      </c>
      <c r="J7933" t="s">
        <v>23870</v>
      </c>
      <c r="K7933" t="s">
        <v>23833</v>
      </c>
      <c r="L7933" t="s">
        <v>814</v>
      </c>
    </row>
    <row r="7934" spans="1:12">
      <c r="A7934" t="s">
        <v>23828</v>
      </c>
      <c r="B7934" t="s">
        <v>23829</v>
      </c>
      <c r="C7934" t="s">
        <v>23872</v>
      </c>
      <c r="D7934" t="s">
        <v>23831</v>
      </c>
      <c r="E7934" t="s">
        <v>23873</v>
      </c>
      <c r="F7934" t="s">
        <v>23874</v>
      </c>
      <c r="J7934" t="s">
        <v>23873</v>
      </c>
      <c r="K7934" t="s">
        <v>23833</v>
      </c>
      <c r="L7934" t="s">
        <v>814</v>
      </c>
    </row>
    <row r="7935" spans="1:12">
      <c r="A7935" t="s">
        <v>23828</v>
      </c>
      <c r="B7935" t="s">
        <v>23829</v>
      </c>
      <c r="C7935" t="s">
        <v>23875</v>
      </c>
      <c r="D7935" t="s">
        <v>23831</v>
      </c>
      <c r="E7935" t="s">
        <v>23876</v>
      </c>
      <c r="F7935" t="s">
        <v>23877</v>
      </c>
    </row>
    <row r="7936" spans="1:12">
      <c r="A7936" t="s">
        <v>23828</v>
      </c>
      <c r="B7936" t="s">
        <v>23829</v>
      </c>
      <c r="C7936" t="s">
        <v>23878</v>
      </c>
      <c r="D7936" t="s">
        <v>23831</v>
      </c>
      <c r="E7936" t="s">
        <v>23879</v>
      </c>
      <c r="F7936" t="s">
        <v>23880</v>
      </c>
      <c r="J7936" t="s">
        <v>23879</v>
      </c>
      <c r="K7936" t="s">
        <v>23833</v>
      </c>
      <c r="L7936" t="s">
        <v>814</v>
      </c>
    </row>
    <row r="7937" spans="1:12">
      <c r="A7937" t="s">
        <v>23828</v>
      </c>
      <c r="B7937" t="s">
        <v>23829</v>
      </c>
      <c r="C7937" t="s">
        <v>23881</v>
      </c>
      <c r="D7937" t="s">
        <v>23831</v>
      </c>
      <c r="E7937" t="s">
        <v>23882</v>
      </c>
      <c r="F7937" t="s">
        <v>23883</v>
      </c>
    </row>
    <row r="7938" spans="1:12">
      <c r="A7938" t="s">
        <v>23828</v>
      </c>
      <c r="B7938" t="s">
        <v>23829</v>
      </c>
      <c r="C7938" t="s">
        <v>23884</v>
      </c>
      <c r="D7938" t="s">
        <v>23831</v>
      </c>
      <c r="E7938" t="s">
        <v>23885</v>
      </c>
      <c r="F7938" t="s">
        <v>23886</v>
      </c>
      <c r="J7938" t="s">
        <v>23885</v>
      </c>
      <c r="K7938" t="s">
        <v>23833</v>
      </c>
      <c r="L7938" t="s">
        <v>814</v>
      </c>
    </row>
    <row r="7939" spans="1:12">
      <c r="A7939" t="s">
        <v>23828</v>
      </c>
      <c r="B7939" t="s">
        <v>23829</v>
      </c>
      <c r="C7939" t="s">
        <v>23887</v>
      </c>
      <c r="D7939" t="s">
        <v>23831</v>
      </c>
      <c r="E7939" t="s">
        <v>23888</v>
      </c>
      <c r="F7939" t="s">
        <v>23889</v>
      </c>
      <c r="J7939" t="s">
        <v>23888</v>
      </c>
      <c r="K7939" t="s">
        <v>23833</v>
      </c>
      <c r="L7939" t="s">
        <v>814</v>
      </c>
    </row>
    <row r="7940" spans="1:12">
      <c r="A7940" t="s">
        <v>23828</v>
      </c>
      <c r="B7940" t="s">
        <v>23829</v>
      </c>
      <c r="C7940" t="s">
        <v>23890</v>
      </c>
      <c r="D7940" t="s">
        <v>23831</v>
      </c>
      <c r="E7940" t="s">
        <v>23891</v>
      </c>
      <c r="F7940" t="s">
        <v>23892</v>
      </c>
      <c r="J7940" t="s">
        <v>23891</v>
      </c>
      <c r="K7940" t="s">
        <v>23833</v>
      </c>
      <c r="L7940" t="s">
        <v>814</v>
      </c>
    </row>
    <row r="7941" spans="1:12">
      <c r="A7941" t="s">
        <v>23828</v>
      </c>
      <c r="B7941" t="s">
        <v>23829</v>
      </c>
      <c r="C7941" t="s">
        <v>23893</v>
      </c>
      <c r="D7941" t="s">
        <v>23831</v>
      </c>
      <c r="E7941" t="s">
        <v>1827</v>
      </c>
      <c r="F7941" t="s">
        <v>23894</v>
      </c>
    </row>
    <row r="7942" spans="1:12">
      <c r="A7942" t="s">
        <v>23828</v>
      </c>
      <c r="B7942" t="s">
        <v>23829</v>
      </c>
      <c r="C7942" t="s">
        <v>23895</v>
      </c>
      <c r="D7942" t="s">
        <v>23831</v>
      </c>
      <c r="E7942" t="s">
        <v>23896</v>
      </c>
      <c r="F7942" t="s">
        <v>23897</v>
      </c>
      <c r="J7942" t="s">
        <v>23896</v>
      </c>
      <c r="K7942" t="s">
        <v>23833</v>
      </c>
      <c r="L7942" t="s">
        <v>814</v>
      </c>
    </row>
    <row r="7943" spans="1:12">
      <c r="A7943" t="s">
        <v>23828</v>
      </c>
      <c r="B7943" t="s">
        <v>23829</v>
      </c>
      <c r="C7943" t="s">
        <v>23898</v>
      </c>
      <c r="D7943" t="s">
        <v>23831</v>
      </c>
      <c r="E7943" t="s">
        <v>23899</v>
      </c>
      <c r="F7943" t="s">
        <v>23900</v>
      </c>
      <c r="J7943" t="s">
        <v>23899</v>
      </c>
      <c r="K7943" t="s">
        <v>23833</v>
      </c>
      <c r="L7943" t="s">
        <v>814</v>
      </c>
    </row>
    <row r="7944" spans="1:12">
      <c r="A7944" t="s">
        <v>23828</v>
      </c>
      <c r="B7944" t="s">
        <v>23829</v>
      </c>
      <c r="C7944" t="s">
        <v>23901</v>
      </c>
      <c r="D7944" t="s">
        <v>23831</v>
      </c>
      <c r="E7944" t="s">
        <v>23902</v>
      </c>
      <c r="F7944" t="s">
        <v>23903</v>
      </c>
      <c r="J7944" t="s">
        <v>23902</v>
      </c>
      <c r="K7944" t="s">
        <v>23833</v>
      </c>
      <c r="L7944" t="s">
        <v>814</v>
      </c>
    </row>
    <row r="7945" spans="1:12">
      <c r="A7945" t="s">
        <v>23828</v>
      </c>
      <c r="B7945" t="s">
        <v>23829</v>
      </c>
      <c r="C7945" t="s">
        <v>23904</v>
      </c>
      <c r="D7945" t="s">
        <v>23831</v>
      </c>
      <c r="E7945" t="s">
        <v>23905</v>
      </c>
      <c r="F7945" t="s">
        <v>23906</v>
      </c>
      <c r="J7945" t="s">
        <v>23905</v>
      </c>
      <c r="K7945" t="s">
        <v>23833</v>
      </c>
      <c r="L7945" t="s">
        <v>814</v>
      </c>
    </row>
    <row r="7946" spans="1:12">
      <c r="A7946" t="s">
        <v>23828</v>
      </c>
      <c r="B7946" t="s">
        <v>23829</v>
      </c>
      <c r="C7946" t="s">
        <v>23907</v>
      </c>
      <c r="D7946" t="s">
        <v>23831</v>
      </c>
      <c r="E7946" t="s">
        <v>23908</v>
      </c>
      <c r="F7946" t="s">
        <v>23909</v>
      </c>
      <c r="J7946" t="s">
        <v>23908</v>
      </c>
      <c r="K7946" t="s">
        <v>23833</v>
      </c>
      <c r="L7946" t="s">
        <v>814</v>
      </c>
    </row>
    <row r="7947" spans="1:12">
      <c r="A7947" t="s">
        <v>23828</v>
      </c>
      <c r="B7947" t="s">
        <v>23829</v>
      </c>
      <c r="C7947" t="s">
        <v>23910</v>
      </c>
      <c r="D7947" t="s">
        <v>23831</v>
      </c>
      <c r="E7947" t="s">
        <v>8939</v>
      </c>
      <c r="F7947" t="s">
        <v>23911</v>
      </c>
    </row>
    <row r="7948" spans="1:12">
      <c r="A7948" t="s">
        <v>23828</v>
      </c>
      <c r="B7948" t="s">
        <v>23829</v>
      </c>
      <c r="C7948" t="s">
        <v>23912</v>
      </c>
      <c r="D7948" t="s">
        <v>23831</v>
      </c>
      <c r="E7948" t="s">
        <v>23913</v>
      </c>
      <c r="F7948" t="s">
        <v>23914</v>
      </c>
    </row>
    <row r="7949" spans="1:12">
      <c r="A7949" t="s">
        <v>23828</v>
      </c>
      <c r="B7949" t="s">
        <v>23829</v>
      </c>
      <c r="C7949" t="s">
        <v>23915</v>
      </c>
      <c r="D7949" t="s">
        <v>23831</v>
      </c>
      <c r="E7949" t="s">
        <v>23916</v>
      </c>
      <c r="F7949" t="s">
        <v>23917</v>
      </c>
      <c r="J7949" t="s">
        <v>23916</v>
      </c>
      <c r="K7949" t="s">
        <v>23833</v>
      </c>
      <c r="L7949" t="s">
        <v>814</v>
      </c>
    </row>
    <row r="7950" spans="1:12">
      <c r="A7950" t="s">
        <v>23828</v>
      </c>
      <c r="B7950" t="s">
        <v>23829</v>
      </c>
      <c r="C7950" t="s">
        <v>23918</v>
      </c>
      <c r="D7950" t="s">
        <v>23831</v>
      </c>
      <c r="E7950" t="s">
        <v>9038</v>
      </c>
      <c r="F7950" t="s">
        <v>23919</v>
      </c>
      <c r="J7950" t="s">
        <v>9038</v>
      </c>
      <c r="K7950" t="s">
        <v>23833</v>
      </c>
      <c r="L7950" t="s">
        <v>814</v>
      </c>
    </row>
    <row r="7951" spans="1:12">
      <c r="A7951" t="s">
        <v>23828</v>
      </c>
      <c r="B7951" t="s">
        <v>23829</v>
      </c>
      <c r="C7951" t="s">
        <v>23920</v>
      </c>
      <c r="D7951" t="s">
        <v>23831</v>
      </c>
      <c r="E7951" t="s">
        <v>23921</v>
      </c>
      <c r="F7951" t="s">
        <v>23922</v>
      </c>
      <c r="J7951" t="s">
        <v>23921</v>
      </c>
      <c r="K7951" t="s">
        <v>23833</v>
      </c>
      <c r="L7951" t="s">
        <v>814</v>
      </c>
    </row>
    <row r="7952" spans="1:12">
      <c r="A7952" t="s">
        <v>23828</v>
      </c>
      <c r="B7952" t="s">
        <v>23829</v>
      </c>
      <c r="C7952" t="s">
        <v>23923</v>
      </c>
      <c r="D7952" t="s">
        <v>23831</v>
      </c>
      <c r="E7952" t="s">
        <v>9155</v>
      </c>
      <c r="F7952" t="s">
        <v>23924</v>
      </c>
      <c r="J7952" t="s">
        <v>9155</v>
      </c>
      <c r="K7952" t="s">
        <v>23833</v>
      </c>
      <c r="L7952" t="s">
        <v>814</v>
      </c>
    </row>
    <row r="7953" spans="1:12">
      <c r="A7953" t="s">
        <v>23828</v>
      </c>
      <c r="B7953" t="s">
        <v>23829</v>
      </c>
      <c r="C7953" t="s">
        <v>23925</v>
      </c>
      <c r="D7953" t="s">
        <v>23831</v>
      </c>
      <c r="E7953" t="s">
        <v>7747</v>
      </c>
      <c r="F7953" t="s">
        <v>23926</v>
      </c>
    </row>
    <row r="7954" spans="1:12">
      <c r="A7954" t="s">
        <v>23828</v>
      </c>
      <c r="B7954" t="s">
        <v>23829</v>
      </c>
      <c r="C7954" t="s">
        <v>23927</v>
      </c>
      <c r="D7954" t="s">
        <v>23831</v>
      </c>
      <c r="E7954" t="s">
        <v>23928</v>
      </c>
      <c r="F7954" t="s">
        <v>23929</v>
      </c>
      <c r="J7954" t="s">
        <v>23928</v>
      </c>
      <c r="K7954" t="s">
        <v>23833</v>
      </c>
      <c r="L7954" t="s">
        <v>814</v>
      </c>
    </row>
    <row r="7955" spans="1:12">
      <c r="A7955" t="s">
        <v>23828</v>
      </c>
      <c r="B7955" t="s">
        <v>23829</v>
      </c>
      <c r="C7955" t="s">
        <v>23930</v>
      </c>
      <c r="D7955" t="s">
        <v>23831</v>
      </c>
      <c r="E7955" t="s">
        <v>23931</v>
      </c>
      <c r="F7955" t="s">
        <v>23932</v>
      </c>
      <c r="J7955" t="s">
        <v>23931</v>
      </c>
      <c r="K7955" t="s">
        <v>23833</v>
      </c>
      <c r="L7955" t="s">
        <v>814</v>
      </c>
    </row>
    <row r="7956" spans="1:12">
      <c r="A7956" t="s">
        <v>23828</v>
      </c>
      <c r="B7956" t="s">
        <v>23829</v>
      </c>
      <c r="C7956" t="s">
        <v>23933</v>
      </c>
      <c r="D7956" t="s">
        <v>23831</v>
      </c>
      <c r="E7956" t="s">
        <v>23934</v>
      </c>
      <c r="F7956" t="s">
        <v>23935</v>
      </c>
      <c r="J7956" t="s">
        <v>23934</v>
      </c>
      <c r="K7956" t="s">
        <v>23833</v>
      </c>
      <c r="L7956" t="s">
        <v>814</v>
      </c>
    </row>
    <row r="7957" spans="1:12">
      <c r="A7957" t="s">
        <v>23828</v>
      </c>
      <c r="B7957" t="s">
        <v>23829</v>
      </c>
      <c r="C7957" t="s">
        <v>23936</v>
      </c>
      <c r="D7957" t="s">
        <v>23831</v>
      </c>
      <c r="E7957" t="s">
        <v>11352</v>
      </c>
      <c r="F7957" t="s">
        <v>23937</v>
      </c>
      <c r="J7957" t="s">
        <v>11352</v>
      </c>
      <c r="K7957" t="s">
        <v>23833</v>
      </c>
      <c r="L7957" t="s">
        <v>814</v>
      </c>
    </row>
    <row r="7958" spans="1:12">
      <c r="A7958" t="s">
        <v>23828</v>
      </c>
      <c r="B7958" t="s">
        <v>23829</v>
      </c>
      <c r="C7958" t="s">
        <v>23938</v>
      </c>
      <c r="D7958" t="s">
        <v>23831</v>
      </c>
      <c r="E7958" t="s">
        <v>10978</v>
      </c>
      <c r="F7958" t="s">
        <v>10979</v>
      </c>
      <c r="J7958" t="s">
        <v>10978</v>
      </c>
      <c r="K7958" t="s">
        <v>23833</v>
      </c>
      <c r="L7958" t="s">
        <v>814</v>
      </c>
    </row>
    <row r="7959" spans="1:12">
      <c r="A7959" t="s">
        <v>23828</v>
      </c>
      <c r="B7959" t="s">
        <v>23829</v>
      </c>
      <c r="C7959" t="s">
        <v>23939</v>
      </c>
      <c r="D7959" t="s">
        <v>23831</v>
      </c>
      <c r="E7959" t="s">
        <v>23940</v>
      </c>
      <c r="F7959" t="s">
        <v>23941</v>
      </c>
      <c r="J7959" t="s">
        <v>23940</v>
      </c>
      <c r="K7959" t="s">
        <v>23833</v>
      </c>
      <c r="L7959" t="s">
        <v>814</v>
      </c>
    </row>
    <row r="7960" spans="1:12">
      <c r="A7960" t="s">
        <v>23828</v>
      </c>
      <c r="B7960" t="s">
        <v>23829</v>
      </c>
      <c r="C7960" t="s">
        <v>23942</v>
      </c>
      <c r="D7960" t="s">
        <v>23831</v>
      </c>
      <c r="E7960" t="s">
        <v>11355</v>
      </c>
      <c r="F7960" t="s">
        <v>23943</v>
      </c>
      <c r="J7960" t="s">
        <v>11355</v>
      </c>
      <c r="K7960" t="s">
        <v>23833</v>
      </c>
      <c r="L7960" t="s">
        <v>814</v>
      </c>
    </row>
    <row r="7961" spans="1:12">
      <c r="A7961" t="s">
        <v>23828</v>
      </c>
      <c r="B7961" t="s">
        <v>23829</v>
      </c>
      <c r="C7961" t="s">
        <v>23944</v>
      </c>
      <c r="D7961" t="s">
        <v>23831</v>
      </c>
      <c r="E7961" t="s">
        <v>23945</v>
      </c>
      <c r="F7961" t="s">
        <v>23946</v>
      </c>
      <c r="J7961" t="s">
        <v>23945</v>
      </c>
      <c r="K7961" t="s">
        <v>23833</v>
      </c>
      <c r="L7961" t="s">
        <v>814</v>
      </c>
    </row>
    <row r="7962" spans="1:12">
      <c r="A7962" t="s">
        <v>23828</v>
      </c>
      <c r="B7962" t="s">
        <v>23829</v>
      </c>
      <c r="C7962" t="s">
        <v>23947</v>
      </c>
      <c r="D7962" t="s">
        <v>23831</v>
      </c>
      <c r="E7962" t="s">
        <v>23948</v>
      </c>
      <c r="F7962" t="s">
        <v>23949</v>
      </c>
      <c r="J7962" t="s">
        <v>23948</v>
      </c>
      <c r="K7962" t="s">
        <v>23833</v>
      </c>
      <c r="L7962" t="s">
        <v>814</v>
      </c>
    </row>
    <row r="7963" spans="1:12">
      <c r="A7963" t="s">
        <v>23828</v>
      </c>
      <c r="B7963" t="s">
        <v>23829</v>
      </c>
      <c r="C7963" t="s">
        <v>23950</v>
      </c>
      <c r="D7963" t="s">
        <v>23831</v>
      </c>
      <c r="E7963" t="s">
        <v>18765</v>
      </c>
      <c r="F7963" t="s">
        <v>23951</v>
      </c>
      <c r="J7963" t="s">
        <v>18765</v>
      </c>
      <c r="K7963" t="s">
        <v>23833</v>
      </c>
      <c r="L7963" t="s">
        <v>814</v>
      </c>
    </row>
    <row r="7964" spans="1:12">
      <c r="A7964" t="s">
        <v>23828</v>
      </c>
      <c r="B7964" t="s">
        <v>23829</v>
      </c>
      <c r="C7964" t="s">
        <v>23952</v>
      </c>
      <c r="D7964" t="s">
        <v>23831</v>
      </c>
      <c r="E7964" t="s">
        <v>23833</v>
      </c>
      <c r="F7964" t="s">
        <v>23953</v>
      </c>
      <c r="J7964" t="s">
        <v>23833</v>
      </c>
      <c r="K7964" t="s">
        <v>23833</v>
      </c>
      <c r="L7964" t="s">
        <v>814</v>
      </c>
    </row>
    <row r="7965" spans="1:12">
      <c r="A7965" t="s">
        <v>23828</v>
      </c>
      <c r="B7965" t="s">
        <v>23829</v>
      </c>
      <c r="C7965" t="s">
        <v>23954</v>
      </c>
      <c r="D7965" t="s">
        <v>23831</v>
      </c>
      <c r="E7965" t="s">
        <v>9508</v>
      </c>
      <c r="F7965" t="s">
        <v>23955</v>
      </c>
      <c r="J7965" t="s">
        <v>9508</v>
      </c>
      <c r="K7965" t="s">
        <v>23833</v>
      </c>
      <c r="L7965" t="s">
        <v>814</v>
      </c>
    </row>
    <row r="7966" spans="1:12">
      <c r="A7966" t="s">
        <v>23828</v>
      </c>
      <c r="B7966" t="s">
        <v>23829</v>
      </c>
      <c r="C7966" t="s">
        <v>23956</v>
      </c>
      <c r="D7966" t="s">
        <v>23831</v>
      </c>
      <c r="E7966" t="s">
        <v>12794</v>
      </c>
      <c r="F7966" t="s">
        <v>23957</v>
      </c>
      <c r="J7966" t="s">
        <v>12794</v>
      </c>
      <c r="K7966" t="s">
        <v>23833</v>
      </c>
      <c r="L7966" t="s">
        <v>814</v>
      </c>
    </row>
    <row r="7967" spans="1:12">
      <c r="A7967" t="s">
        <v>23828</v>
      </c>
      <c r="B7967" t="s">
        <v>23829</v>
      </c>
      <c r="C7967" t="s">
        <v>23958</v>
      </c>
      <c r="D7967" t="s">
        <v>23831</v>
      </c>
      <c r="E7967" t="s">
        <v>23959</v>
      </c>
      <c r="F7967" t="s">
        <v>23960</v>
      </c>
      <c r="J7967" t="s">
        <v>23959</v>
      </c>
      <c r="K7967" t="s">
        <v>23833</v>
      </c>
      <c r="L7967" t="s">
        <v>814</v>
      </c>
    </row>
    <row r="7968" spans="1:12">
      <c r="A7968" t="s">
        <v>23828</v>
      </c>
      <c r="B7968" t="s">
        <v>23829</v>
      </c>
      <c r="C7968" t="s">
        <v>23961</v>
      </c>
      <c r="D7968" t="s">
        <v>23831</v>
      </c>
      <c r="E7968" t="s">
        <v>23962</v>
      </c>
      <c r="F7968" t="s">
        <v>23963</v>
      </c>
      <c r="J7968" t="s">
        <v>23962</v>
      </c>
      <c r="K7968" t="s">
        <v>23833</v>
      </c>
      <c r="L7968" t="s">
        <v>814</v>
      </c>
    </row>
    <row r="7969" spans="1:12">
      <c r="A7969" t="s">
        <v>23828</v>
      </c>
      <c r="B7969" t="s">
        <v>23829</v>
      </c>
      <c r="C7969" t="s">
        <v>23964</v>
      </c>
      <c r="D7969" t="s">
        <v>23831</v>
      </c>
      <c r="E7969" t="s">
        <v>19173</v>
      </c>
      <c r="F7969" t="s">
        <v>23965</v>
      </c>
      <c r="J7969" t="s">
        <v>19173</v>
      </c>
      <c r="K7969" t="s">
        <v>23833</v>
      </c>
      <c r="L7969" t="s">
        <v>814</v>
      </c>
    </row>
    <row r="7970" spans="1:12">
      <c r="A7970" t="s">
        <v>23828</v>
      </c>
      <c r="B7970" t="s">
        <v>23829</v>
      </c>
      <c r="C7970" t="s">
        <v>23966</v>
      </c>
      <c r="D7970" t="s">
        <v>23831</v>
      </c>
      <c r="E7970" t="s">
        <v>9550</v>
      </c>
      <c r="F7970" t="s">
        <v>23967</v>
      </c>
      <c r="J7970" t="s">
        <v>9550</v>
      </c>
      <c r="K7970" t="s">
        <v>23833</v>
      </c>
      <c r="L7970" t="s">
        <v>814</v>
      </c>
    </row>
    <row r="7971" spans="1:12">
      <c r="A7971" t="s">
        <v>23828</v>
      </c>
      <c r="B7971" t="s">
        <v>23829</v>
      </c>
      <c r="C7971" t="s">
        <v>23968</v>
      </c>
      <c r="D7971" t="s">
        <v>23831</v>
      </c>
      <c r="E7971" t="s">
        <v>23969</v>
      </c>
      <c r="F7971" t="s">
        <v>23970</v>
      </c>
      <c r="J7971" t="s">
        <v>23969</v>
      </c>
      <c r="K7971" t="s">
        <v>23833</v>
      </c>
      <c r="L7971" t="s">
        <v>814</v>
      </c>
    </row>
    <row r="7972" spans="1:12">
      <c r="A7972" t="s">
        <v>23828</v>
      </c>
      <c r="B7972" t="s">
        <v>23829</v>
      </c>
      <c r="C7972" t="s">
        <v>23971</v>
      </c>
      <c r="D7972" t="s">
        <v>23831</v>
      </c>
      <c r="E7972" t="s">
        <v>23972</v>
      </c>
      <c r="F7972" t="s">
        <v>23973</v>
      </c>
      <c r="J7972" t="s">
        <v>23972</v>
      </c>
      <c r="K7972" t="s">
        <v>23833</v>
      </c>
      <c r="L7972" t="s">
        <v>814</v>
      </c>
    </row>
    <row r="7973" spans="1:12">
      <c r="A7973" t="s">
        <v>23828</v>
      </c>
      <c r="B7973" t="s">
        <v>23829</v>
      </c>
      <c r="C7973" t="s">
        <v>23974</v>
      </c>
      <c r="D7973" t="s">
        <v>23831</v>
      </c>
      <c r="E7973" t="s">
        <v>23975</v>
      </c>
      <c r="F7973" t="s">
        <v>23976</v>
      </c>
      <c r="J7973" t="s">
        <v>23975</v>
      </c>
      <c r="K7973" t="s">
        <v>23833</v>
      </c>
      <c r="L7973" t="s">
        <v>814</v>
      </c>
    </row>
    <row r="7974" spans="1:12">
      <c r="A7974" t="s">
        <v>23828</v>
      </c>
      <c r="B7974" t="s">
        <v>23829</v>
      </c>
      <c r="C7974" t="s">
        <v>23977</v>
      </c>
      <c r="D7974" t="s">
        <v>23831</v>
      </c>
      <c r="E7974" t="s">
        <v>23978</v>
      </c>
      <c r="F7974" t="s">
        <v>23979</v>
      </c>
      <c r="J7974" t="s">
        <v>23978</v>
      </c>
      <c r="K7974" t="s">
        <v>23833</v>
      </c>
      <c r="L7974" t="s">
        <v>814</v>
      </c>
    </row>
    <row r="7975" spans="1:12">
      <c r="A7975" t="s">
        <v>23828</v>
      </c>
      <c r="B7975" t="s">
        <v>23829</v>
      </c>
      <c r="C7975" t="s">
        <v>23980</v>
      </c>
      <c r="D7975" t="s">
        <v>23831</v>
      </c>
      <c r="E7975" t="s">
        <v>23981</v>
      </c>
      <c r="F7975" t="s">
        <v>23982</v>
      </c>
      <c r="J7975" t="s">
        <v>23981</v>
      </c>
      <c r="K7975" t="s">
        <v>23833</v>
      </c>
      <c r="L7975" t="s">
        <v>814</v>
      </c>
    </row>
    <row r="7976" spans="1:12">
      <c r="A7976" t="s">
        <v>23828</v>
      </c>
      <c r="B7976" t="s">
        <v>23829</v>
      </c>
      <c r="C7976" t="s">
        <v>23983</v>
      </c>
      <c r="D7976" t="s">
        <v>23831</v>
      </c>
      <c r="E7976" t="s">
        <v>4205</v>
      </c>
      <c r="F7976" t="s">
        <v>7913</v>
      </c>
      <c r="J7976" t="s">
        <v>4205</v>
      </c>
      <c r="K7976" t="s">
        <v>23833</v>
      </c>
      <c r="L7976" t="s">
        <v>814</v>
      </c>
    </row>
    <row r="7977" spans="1:12">
      <c r="A7977" t="s">
        <v>23828</v>
      </c>
      <c r="B7977" t="s">
        <v>23829</v>
      </c>
      <c r="C7977" t="s">
        <v>23984</v>
      </c>
      <c r="D7977" t="s">
        <v>23831</v>
      </c>
      <c r="E7977" t="s">
        <v>19693</v>
      </c>
      <c r="F7977" t="s">
        <v>23985</v>
      </c>
      <c r="J7977" t="s">
        <v>19693</v>
      </c>
      <c r="K7977" t="s">
        <v>23833</v>
      </c>
      <c r="L7977" t="s">
        <v>814</v>
      </c>
    </row>
    <row r="7978" spans="1:12">
      <c r="A7978" t="s">
        <v>23828</v>
      </c>
      <c r="B7978" t="s">
        <v>23829</v>
      </c>
      <c r="C7978" t="s">
        <v>23986</v>
      </c>
      <c r="D7978" t="s">
        <v>23831</v>
      </c>
      <c r="E7978" t="s">
        <v>19847</v>
      </c>
      <c r="F7978" t="s">
        <v>23987</v>
      </c>
    </row>
    <row r="7979" spans="1:12">
      <c r="A7979" t="s">
        <v>23828</v>
      </c>
      <c r="B7979" t="s">
        <v>23829</v>
      </c>
      <c r="C7979" t="s">
        <v>23988</v>
      </c>
      <c r="D7979" t="s">
        <v>23831</v>
      </c>
      <c r="E7979" t="s">
        <v>1243</v>
      </c>
      <c r="F7979" t="s">
        <v>23989</v>
      </c>
    </row>
    <row r="7980" spans="1:12">
      <c r="A7980" t="s">
        <v>23828</v>
      </c>
      <c r="B7980" t="s">
        <v>23829</v>
      </c>
      <c r="C7980" t="s">
        <v>23990</v>
      </c>
      <c r="D7980" t="s">
        <v>23831</v>
      </c>
      <c r="E7980" t="s">
        <v>14454</v>
      </c>
      <c r="F7980" t="s">
        <v>23991</v>
      </c>
      <c r="J7980" t="s">
        <v>14454</v>
      </c>
      <c r="K7980" t="s">
        <v>23833</v>
      </c>
      <c r="L7980" t="s">
        <v>814</v>
      </c>
    </row>
    <row r="7981" spans="1:12">
      <c r="A7981" t="s">
        <v>23828</v>
      </c>
      <c r="B7981" t="s">
        <v>23829</v>
      </c>
      <c r="C7981" t="s">
        <v>23992</v>
      </c>
      <c r="D7981" t="s">
        <v>23831</v>
      </c>
      <c r="E7981" t="s">
        <v>23993</v>
      </c>
      <c r="F7981" t="s">
        <v>23994</v>
      </c>
    </row>
    <row r="7982" spans="1:12">
      <c r="A7982" t="s">
        <v>23828</v>
      </c>
      <c r="B7982" t="s">
        <v>23829</v>
      </c>
      <c r="C7982" t="s">
        <v>23995</v>
      </c>
      <c r="D7982" t="s">
        <v>23831</v>
      </c>
      <c r="E7982" t="s">
        <v>5178</v>
      </c>
      <c r="F7982" t="s">
        <v>23996</v>
      </c>
      <c r="J7982" t="s">
        <v>5178</v>
      </c>
      <c r="K7982" t="s">
        <v>23833</v>
      </c>
      <c r="L7982" t="s">
        <v>814</v>
      </c>
    </row>
    <row r="7983" spans="1:12">
      <c r="A7983" t="s">
        <v>23828</v>
      </c>
      <c r="B7983" t="s">
        <v>23829</v>
      </c>
      <c r="C7983" t="s">
        <v>23997</v>
      </c>
      <c r="D7983" t="s">
        <v>23831</v>
      </c>
      <c r="E7983" t="s">
        <v>23998</v>
      </c>
      <c r="F7983" t="s">
        <v>23999</v>
      </c>
      <c r="J7983" t="s">
        <v>23998</v>
      </c>
      <c r="K7983" t="s">
        <v>23833</v>
      </c>
      <c r="L7983" t="s">
        <v>814</v>
      </c>
    </row>
    <row r="7984" spans="1:12">
      <c r="A7984" t="s">
        <v>23828</v>
      </c>
      <c r="B7984" t="s">
        <v>23829</v>
      </c>
      <c r="C7984" t="s">
        <v>24000</v>
      </c>
      <c r="D7984" t="s">
        <v>23831</v>
      </c>
      <c r="E7984" t="s">
        <v>24001</v>
      </c>
      <c r="F7984" t="s">
        <v>24002</v>
      </c>
      <c r="J7984" t="s">
        <v>24001</v>
      </c>
      <c r="K7984" t="s">
        <v>23833</v>
      </c>
      <c r="L7984" t="s">
        <v>814</v>
      </c>
    </row>
    <row r="7985" spans="1:12">
      <c r="A7985" t="s">
        <v>23828</v>
      </c>
      <c r="B7985" t="s">
        <v>23829</v>
      </c>
      <c r="C7985" t="s">
        <v>24003</v>
      </c>
      <c r="D7985" t="s">
        <v>23831</v>
      </c>
      <c r="E7985" t="s">
        <v>24004</v>
      </c>
      <c r="F7985" t="s">
        <v>24005</v>
      </c>
    </row>
    <row r="7986" spans="1:12">
      <c r="A7986" t="s">
        <v>23828</v>
      </c>
      <c r="B7986" t="s">
        <v>23829</v>
      </c>
      <c r="C7986" t="s">
        <v>24006</v>
      </c>
      <c r="D7986" t="s">
        <v>23831</v>
      </c>
      <c r="E7986" t="s">
        <v>24007</v>
      </c>
      <c r="F7986" t="s">
        <v>24008</v>
      </c>
      <c r="J7986" t="s">
        <v>24007</v>
      </c>
      <c r="K7986" t="s">
        <v>23833</v>
      </c>
      <c r="L7986" t="s">
        <v>814</v>
      </c>
    </row>
    <row r="7987" spans="1:12">
      <c r="A7987" t="s">
        <v>23828</v>
      </c>
      <c r="B7987" t="s">
        <v>23829</v>
      </c>
      <c r="C7987" t="s">
        <v>24009</v>
      </c>
      <c r="D7987" t="s">
        <v>23831</v>
      </c>
      <c r="E7987" t="s">
        <v>12887</v>
      </c>
      <c r="F7987" t="s">
        <v>24010</v>
      </c>
    </row>
    <row r="7988" spans="1:12">
      <c r="A7988" t="s">
        <v>23828</v>
      </c>
      <c r="B7988" t="s">
        <v>23829</v>
      </c>
      <c r="C7988" t="s">
        <v>24011</v>
      </c>
      <c r="D7988" t="s">
        <v>23831</v>
      </c>
      <c r="E7988" t="s">
        <v>24012</v>
      </c>
      <c r="F7988" t="s">
        <v>24013</v>
      </c>
    </row>
    <row r="7989" spans="1:12">
      <c r="A7989" t="s">
        <v>23828</v>
      </c>
      <c r="B7989" t="s">
        <v>23829</v>
      </c>
      <c r="C7989" t="s">
        <v>24014</v>
      </c>
      <c r="D7989" t="s">
        <v>23831</v>
      </c>
      <c r="E7989" t="s">
        <v>24015</v>
      </c>
      <c r="F7989" t="s">
        <v>24016</v>
      </c>
      <c r="J7989" t="s">
        <v>24015</v>
      </c>
      <c r="K7989" t="s">
        <v>23833</v>
      </c>
      <c r="L7989" t="s">
        <v>814</v>
      </c>
    </row>
    <row r="7990" spans="1:12">
      <c r="A7990" t="s">
        <v>23828</v>
      </c>
      <c r="B7990" t="s">
        <v>23829</v>
      </c>
      <c r="C7990" t="s">
        <v>24017</v>
      </c>
      <c r="D7990" t="s">
        <v>23831</v>
      </c>
      <c r="E7990" t="s">
        <v>12896</v>
      </c>
      <c r="F7990" t="s">
        <v>24018</v>
      </c>
      <c r="J7990" t="s">
        <v>12896</v>
      </c>
      <c r="K7990" t="s">
        <v>23833</v>
      </c>
      <c r="L7990" t="s">
        <v>814</v>
      </c>
    </row>
    <row r="7991" spans="1:12">
      <c r="A7991" t="s">
        <v>23828</v>
      </c>
      <c r="B7991" t="s">
        <v>23829</v>
      </c>
      <c r="C7991" t="s">
        <v>24019</v>
      </c>
      <c r="D7991" t="s">
        <v>23831</v>
      </c>
      <c r="E7991" t="s">
        <v>24020</v>
      </c>
      <c r="F7991" t="s">
        <v>10552</v>
      </c>
      <c r="J7991" t="s">
        <v>24020</v>
      </c>
      <c r="K7991" t="s">
        <v>23833</v>
      </c>
      <c r="L7991" t="s">
        <v>814</v>
      </c>
    </row>
    <row r="7992" spans="1:12">
      <c r="A7992" t="s">
        <v>23828</v>
      </c>
      <c r="B7992" t="s">
        <v>23829</v>
      </c>
      <c r="C7992" t="s">
        <v>24021</v>
      </c>
      <c r="D7992" t="s">
        <v>23831</v>
      </c>
      <c r="E7992" t="s">
        <v>24022</v>
      </c>
      <c r="F7992" t="s">
        <v>24023</v>
      </c>
      <c r="J7992" t="s">
        <v>24022</v>
      </c>
      <c r="K7992" t="s">
        <v>23833</v>
      </c>
      <c r="L7992" t="s">
        <v>814</v>
      </c>
    </row>
    <row r="7993" spans="1:12">
      <c r="A7993" t="s">
        <v>23828</v>
      </c>
      <c r="B7993" t="s">
        <v>23829</v>
      </c>
      <c r="C7993" t="s">
        <v>24024</v>
      </c>
      <c r="D7993" t="s">
        <v>23831</v>
      </c>
      <c r="E7993" t="s">
        <v>24025</v>
      </c>
      <c r="F7993" t="s">
        <v>24026</v>
      </c>
      <c r="J7993" t="s">
        <v>24025</v>
      </c>
      <c r="K7993" t="s">
        <v>23833</v>
      </c>
      <c r="L7993" t="s">
        <v>814</v>
      </c>
    </row>
    <row r="7994" spans="1:12">
      <c r="A7994" t="s">
        <v>23828</v>
      </c>
      <c r="B7994" t="s">
        <v>23829</v>
      </c>
      <c r="C7994" t="s">
        <v>24027</v>
      </c>
      <c r="D7994" t="s">
        <v>23831</v>
      </c>
      <c r="E7994" t="s">
        <v>24028</v>
      </c>
      <c r="F7994" t="s">
        <v>24029</v>
      </c>
      <c r="J7994" t="s">
        <v>24028</v>
      </c>
      <c r="K7994" t="s">
        <v>23833</v>
      </c>
      <c r="L7994" t="s">
        <v>814</v>
      </c>
    </row>
    <row r="7995" spans="1:12">
      <c r="A7995" t="s">
        <v>23828</v>
      </c>
      <c r="B7995" t="s">
        <v>23829</v>
      </c>
      <c r="C7995" t="s">
        <v>24030</v>
      </c>
      <c r="D7995" t="s">
        <v>23831</v>
      </c>
      <c r="E7995" t="s">
        <v>24031</v>
      </c>
      <c r="F7995" t="s">
        <v>24032</v>
      </c>
      <c r="J7995" t="s">
        <v>24031</v>
      </c>
      <c r="K7995" t="s">
        <v>23833</v>
      </c>
      <c r="L7995" t="s">
        <v>814</v>
      </c>
    </row>
    <row r="7996" spans="1:12">
      <c r="A7996" t="s">
        <v>23828</v>
      </c>
      <c r="B7996" t="s">
        <v>23829</v>
      </c>
      <c r="C7996" t="s">
        <v>24033</v>
      </c>
      <c r="D7996" t="s">
        <v>23831</v>
      </c>
      <c r="E7996" t="s">
        <v>14545</v>
      </c>
      <c r="F7996" t="s">
        <v>24034</v>
      </c>
    </row>
    <row r="7997" spans="1:12">
      <c r="A7997" t="s">
        <v>23828</v>
      </c>
      <c r="B7997" t="s">
        <v>23829</v>
      </c>
      <c r="C7997" t="s">
        <v>24035</v>
      </c>
      <c r="D7997" t="s">
        <v>23831</v>
      </c>
      <c r="E7997" t="s">
        <v>11049</v>
      </c>
      <c r="F7997" t="s">
        <v>24036</v>
      </c>
    </row>
    <row r="7998" spans="1:12">
      <c r="A7998" t="s">
        <v>23828</v>
      </c>
      <c r="B7998" t="s">
        <v>23829</v>
      </c>
      <c r="C7998" t="s">
        <v>24037</v>
      </c>
      <c r="D7998" t="s">
        <v>23831</v>
      </c>
      <c r="E7998" t="s">
        <v>24038</v>
      </c>
      <c r="F7998" t="s">
        <v>24039</v>
      </c>
    </row>
    <row r="7999" spans="1:12">
      <c r="A7999" t="s">
        <v>23828</v>
      </c>
      <c r="B7999" t="s">
        <v>23829</v>
      </c>
      <c r="C7999" t="s">
        <v>24040</v>
      </c>
      <c r="D7999" t="s">
        <v>23831</v>
      </c>
      <c r="E7999" t="s">
        <v>24041</v>
      </c>
      <c r="F7999" t="s">
        <v>24042</v>
      </c>
    </row>
    <row r="8000" spans="1:12">
      <c r="A8000" t="s">
        <v>23828</v>
      </c>
      <c r="B8000" t="s">
        <v>23829</v>
      </c>
      <c r="C8000" t="s">
        <v>24043</v>
      </c>
      <c r="D8000" t="s">
        <v>23831</v>
      </c>
      <c r="E8000" t="s">
        <v>4522</v>
      </c>
      <c r="F8000" t="s">
        <v>24044</v>
      </c>
    </row>
    <row r="8001" spans="1:12">
      <c r="A8001" t="s">
        <v>23828</v>
      </c>
      <c r="B8001" t="s">
        <v>23829</v>
      </c>
      <c r="C8001" t="s">
        <v>24045</v>
      </c>
      <c r="D8001" t="s">
        <v>23831</v>
      </c>
      <c r="E8001" t="s">
        <v>20392</v>
      </c>
      <c r="F8001" t="s">
        <v>3733</v>
      </c>
      <c r="J8001" t="s">
        <v>20392</v>
      </c>
      <c r="K8001" t="s">
        <v>23833</v>
      </c>
      <c r="L8001" t="s">
        <v>814</v>
      </c>
    </row>
    <row r="8002" spans="1:12">
      <c r="A8002" t="s">
        <v>23828</v>
      </c>
      <c r="B8002" t="s">
        <v>23829</v>
      </c>
      <c r="C8002" t="s">
        <v>24046</v>
      </c>
      <c r="D8002" t="s">
        <v>23831</v>
      </c>
      <c r="E8002" t="s">
        <v>12976</v>
      </c>
      <c r="F8002" t="s">
        <v>24047</v>
      </c>
    </row>
    <row r="8003" spans="1:12">
      <c r="A8003" t="s">
        <v>23828</v>
      </c>
      <c r="B8003" t="s">
        <v>23829</v>
      </c>
      <c r="C8003" t="s">
        <v>24048</v>
      </c>
      <c r="D8003" t="s">
        <v>23831</v>
      </c>
      <c r="E8003" t="s">
        <v>12983</v>
      </c>
      <c r="F8003" t="s">
        <v>24049</v>
      </c>
    </row>
    <row r="8004" spans="1:12">
      <c r="A8004" t="s">
        <v>23828</v>
      </c>
      <c r="B8004" t="s">
        <v>23829</v>
      </c>
      <c r="C8004" t="s">
        <v>24050</v>
      </c>
      <c r="D8004" t="s">
        <v>23831</v>
      </c>
      <c r="E8004" t="s">
        <v>24051</v>
      </c>
      <c r="F8004" t="s">
        <v>24052</v>
      </c>
      <c r="J8004" t="s">
        <v>24051</v>
      </c>
      <c r="K8004" t="s">
        <v>23833</v>
      </c>
      <c r="L8004" t="s">
        <v>814</v>
      </c>
    </row>
    <row r="8005" spans="1:12">
      <c r="A8005" t="s">
        <v>23828</v>
      </c>
      <c r="B8005" t="s">
        <v>23829</v>
      </c>
      <c r="C8005" t="s">
        <v>24053</v>
      </c>
      <c r="D8005" t="s">
        <v>23831</v>
      </c>
      <c r="E8005" t="s">
        <v>24054</v>
      </c>
      <c r="F8005" t="s">
        <v>24055</v>
      </c>
      <c r="J8005" t="s">
        <v>24054</v>
      </c>
      <c r="K8005" t="s">
        <v>23833</v>
      </c>
      <c r="L8005" t="s">
        <v>814</v>
      </c>
    </row>
    <row r="8006" spans="1:12">
      <c r="A8006" t="s">
        <v>23828</v>
      </c>
      <c r="B8006" t="s">
        <v>23829</v>
      </c>
      <c r="C8006" t="s">
        <v>24056</v>
      </c>
      <c r="D8006" t="s">
        <v>23831</v>
      </c>
      <c r="E8006" t="s">
        <v>24057</v>
      </c>
      <c r="F8006" t="s">
        <v>24058</v>
      </c>
      <c r="J8006" t="s">
        <v>24057</v>
      </c>
      <c r="K8006" t="s">
        <v>23833</v>
      </c>
      <c r="L8006" t="s">
        <v>814</v>
      </c>
    </row>
    <row r="8007" spans="1:12">
      <c r="A8007" t="s">
        <v>23828</v>
      </c>
      <c r="B8007" t="s">
        <v>23829</v>
      </c>
      <c r="C8007" t="s">
        <v>24059</v>
      </c>
      <c r="D8007" t="s">
        <v>23831</v>
      </c>
      <c r="E8007" t="s">
        <v>7964</v>
      </c>
      <c r="F8007" t="s">
        <v>11065</v>
      </c>
    </row>
    <row r="8008" spans="1:12">
      <c r="A8008" t="s">
        <v>23828</v>
      </c>
      <c r="B8008" t="s">
        <v>23829</v>
      </c>
      <c r="C8008" t="s">
        <v>24060</v>
      </c>
      <c r="D8008" t="s">
        <v>23831</v>
      </c>
      <c r="E8008" t="s">
        <v>1052</v>
      </c>
      <c r="F8008" t="s">
        <v>24061</v>
      </c>
    </row>
    <row r="8009" spans="1:12">
      <c r="A8009" t="s">
        <v>23828</v>
      </c>
      <c r="B8009" t="s">
        <v>23829</v>
      </c>
      <c r="C8009" t="s">
        <v>24062</v>
      </c>
      <c r="D8009" t="s">
        <v>23831</v>
      </c>
      <c r="E8009" t="s">
        <v>24063</v>
      </c>
      <c r="F8009" t="s">
        <v>24064</v>
      </c>
      <c r="J8009" t="s">
        <v>24063</v>
      </c>
      <c r="K8009" t="s">
        <v>23833</v>
      </c>
      <c r="L8009" t="s">
        <v>814</v>
      </c>
    </row>
    <row r="8010" spans="1:12">
      <c r="A8010" t="s">
        <v>23828</v>
      </c>
      <c r="B8010" t="s">
        <v>23829</v>
      </c>
      <c r="C8010" t="s">
        <v>24065</v>
      </c>
      <c r="D8010" t="s">
        <v>23831</v>
      </c>
      <c r="E8010" t="s">
        <v>24066</v>
      </c>
      <c r="F8010" t="s">
        <v>24067</v>
      </c>
    </row>
    <row r="8011" spans="1:12">
      <c r="A8011" t="s">
        <v>23828</v>
      </c>
      <c r="B8011" t="s">
        <v>23829</v>
      </c>
      <c r="C8011" t="s">
        <v>24068</v>
      </c>
      <c r="D8011" t="s">
        <v>23831</v>
      </c>
      <c r="E8011" t="s">
        <v>24069</v>
      </c>
      <c r="F8011" t="s">
        <v>24070</v>
      </c>
      <c r="J8011" t="s">
        <v>24069</v>
      </c>
      <c r="K8011" t="s">
        <v>23833</v>
      </c>
      <c r="L8011" t="s">
        <v>814</v>
      </c>
    </row>
    <row r="8012" spans="1:12">
      <c r="A8012" t="s">
        <v>23828</v>
      </c>
      <c r="B8012" t="s">
        <v>23829</v>
      </c>
      <c r="C8012" t="s">
        <v>24071</v>
      </c>
      <c r="D8012" t="s">
        <v>23831</v>
      </c>
      <c r="E8012" t="s">
        <v>20889</v>
      </c>
      <c r="F8012" t="s">
        <v>24072</v>
      </c>
      <c r="J8012" t="s">
        <v>20889</v>
      </c>
      <c r="K8012" t="s">
        <v>23833</v>
      </c>
      <c r="L8012" t="s">
        <v>814</v>
      </c>
    </row>
    <row r="8013" spans="1:12">
      <c r="A8013" t="s">
        <v>23828</v>
      </c>
      <c r="B8013" t="s">
        <v>23829</v>
      </c>
      <c r="C8013" t="s">
        <v>24073</v>
      </c>
      <c r="D8013" t="s">
        <v>23831</v>
      </c>
      <c r="E8013" t="s">
        <v>7469</v>
      </c>
      <c r="F8013" t="s">
        <v>24074</v>
      </c>
      <c r="J8013" t="s">
        <v>7469</v>
      </c>
      <c r="K8013" t="s">
        <v>23833</v>
      </c>
      <c r="L8013" t="s">
        <v>814</v>
      </c>
    </row>
    <row r="8014" spans="1:12">
      <c r="A8014" t="s">
        <v>23828</v>
      </c>
      <c r="B8014" t="s">
        <v>23829</v>
      </c>
      <c r="C8014" t="s">
        <v>24075</v>
      </c>
      <c r="D8014" t="s">
        <v>23831</v>
      </c>
      <c r="E8014" t="s">
        <v>24076</v>
      </c>
      <c r="F8014" t="s">
        <v>24077</v>
      </c>
      <c r="J8014" t="s">
        <v>24076</v>
      </c>
      <c r="K8014" t="s">
        <v>23833</v>
      </c>
      <c r="L8014" t="s">
        <v>814</v>
      </c>
    </row>
    <row r="8015" spans="1:12">
      <c r="A8015" t="s">
        <v>23828</v>
      </c>
      <c r="B8015" t="s">
        <v>23829</v>
      </c>
      <c r="C8015" t="s">
        <v>24078</v>
      </c>
      <c r="D8015" t="s">
        <v>23831</v>
      </c>
      <c r="E8015" t="s">
        <v>24079</v>
      </c>
      <c r="F8015" t="s">
        <v>24080</v>
      </c>
      <c r="J8015" t="s">
        <v>24079</v>
      </c>
      <c r="K8015" t="s">
        <v>23833</v>
      </c>
      <c r="L8015" t="s">
        <v>814</v>
      </c>
    </row>
    <row r="8016" spans="1:12">
      <c r="A8016" t="s">
        <v>23828</v>
      </c>
      <c r="B8016" t="s">
        <v>23829</v>
      </c>
      <c r="C8016" t="s">
        <v>24081</v>
      </c>
      <c r="D8016" t="s">
        <v>23831</v>
      </c>
      <c r="E8016" t="s">
        <v>24082</v>
      </c>
      <c r="F8016" t="s">
        <v>24083</v>
      </c>
      <c r="J8016" t="s">
        <v>24082</v>
      </c>
      <c r="K8016" t="s">
        <v>23833</v>
      </c>
      <c r="L8016" t="s">
        <v>814</v>
      </c>
    </row>
    <row r="8017" spans="1:12">
      <c r="A8017" t="s">
        <v>23828</v>
      </c>
      <c r="B8017" t="s">
        <v>23829</v>
      </c>
      <c r="C8017" t="s">
        <v>24084</v>
      </c>
      <c r="D8017" t="s">
        <v>23831</v>
      </c>
      <c r="E8017" t="s">
        <v>24085</v>
      </c>
      <c r="F8017" t="s">
        <v>24086</v>
      </c>
      <c r="J8017" t="s">
        <v>24085</v>
      </c>
      <c r="K8017" t="s">
        <v>23833</v>
      </c>
      <c r="L8017" t="s">
        <v>814</v>
      </c>
    </row>
    <row r="8018" spans="1:12">
      <c r="A8018" t="s">
        <v>23828</v>
      </c>
      <c r="B8018" t="s">
        <v>23829</v>
      </c>
      <c r="C8018" t="s">
        <v>24087</v>
      </c>
      <c r="D8018" t="s">
        <v>23831</v>
      </c>
      <c r="E8018" t="s">
        <v>14668</v>
      </c>
      <c r="F8018" t="s">
        <v>24088</v>
      </c>
    </row>
    <row r="8019" spans="1:12">
      <c r="A8019" t="s">
        <v>23828</v>
      </c>
      <c r="B8019" t="s">
        <v>23829</v>
      </c>
      <c r="C8019" t="s">
        <v>24089</v>
      </c>
      <c r="D8019" t="s">
        <v>23831</v>
      </c>
      <c r="E8019" t="s">
        <v>24090</v>
      </c>
      <c r="F8019" t="s">
        <v>24091</v>
      </c>
    </row>
    <row r="8020" spans="1:12">
      <c r="A8020" t="s">
        <v>23828</v>
      </c>
      <c r="B8020" t="s">
        <v>23829</v>
      </c>
      <c r="C8020" t="s">
        <v>24092</v>
      </c>
      <c r="D8020" t="s">
        <v>23831</v>
      </c>
      <c r="E8020" t="s">
        <v>24093</v>
      </c>
      <c r="F8020" t="s">
        <v>24094</v>
      </c>
      <c r="J8020" t="s">
        <v>24093</v>
      </c>
      <c r="K8020" t="s">
        <v>23833</v>
      </c>
      <c r="L8020" t="s">
        <v>814</v>
      </c>
    </row>
    <row r="8021" spans="1:12">
      <c r="A8021" t="s">
        <v>23828</v>
      </c>
      <c r="B8021" t="s">
        <v>23829</v>
      </c>
      <c r="C8021" t="s">
        <v>24095</v>
      </c>
      <c r="D8021" t="s">
        <v>23831</v>
      </c>
      <c r="E8021" t="s">
        <v>21267</v>
      </c>
      <c r="F8021" t="s">
        <v>24096</v>
      </c>
      <c r="J8021" t="s">
        <v>21267</v>
      </c>
      <c r="K8021" t="s">
        <v>23833</v>
      </c>
      <c r="L8021" t="s">
        <v>814</v>
      </c>
    </row>
    <row r="8022" spans="1:12">
      <c r="A8022" t="s">
        <v>23828</v>
      </c>
      <c r="B8022" t="s">
        <v>23829</v>
      </c>
      <c r="C8022" t="s">
        <v>24097</v>
      </c>
      <c r="D8022" t="s">
        <v>23831</v>
      </c>
      <c r="E8022" t="s">
        <v>24098</v>
      </c>
      <c r="F8022" t="s">
        <v>24099</v>
      </c>
      <c r="J8022" t="s">
        <v>24098</v>
      </c>
      <c r="K8022" t="s">
        <v>23833</v>
      </c>
      <c r="L8022" t="s">
        <v>814</v>
      </c>
    </row>
    <row r="8023" spans="1:12">
      <c r="A8023" t="s">
        <v>23828</v>
      </c>
      <c r="B8023" t="s">
        <v>23829</v>
      </c>
      <c r="C8023" t="s">
        <v>24100</v>
      </c>
      <c r="D8023" t="s">
        <v>23831</v>
      </c>
      <c r="E8023" t="s">
        <v>24101</v>
      </c>
      <c r="F8023" t="s">
        <v>24102</v>
      </c>
    </row>
    <row r="8024" spans="1:12">
      <c r="A8024" t="s">
        <v>23828</v>
      </c>
      <c r="B8024" t="s">
        <v>23829</v>
      </c>
      <c r="C8024" t="s">
        <v>24103</v>
      </c>
      <c r="D8024" t="s">
        <v>23831</v>
      </c>
      <c r="E8024" t="s">
        <v>11092</v>
      </c>
      <c r="F8024" t="s">
        <v>24104</v>
      </c>
      <c r="J8024" t="s">
        <v>11092</v>
      </c>
      <c r="K8024" t="s">
        <v>23833</v>
      </c>
      <c r="L8024" t="s">
        <v>814</v>
      </c>
    </row>
    <row r="8025" spans="1:12">
      <c r="A8025" t="s">
        <v>23828</v>
      </c>
      <c r="B8025" t="s">
        <v>23829</v>
      </c>
      <c r="C8025" t="s">
        <v>24105</v>
      </c>
      <c r="D8025" t="s">
        <v>23831</v>
      </c>
      <c r="E8025" t="s">
        <v>24106</v>
      </c>
      <c r="F8025" t="s">
        <v>24107</v>
      </c>
      <c r="J8025" t="s">
        <v>24106</v>
      </c>
      <c r="K8025" t="s">
        <v>23833</v>
      </c>
      <c r="L8025" t="s">
        <v>814</v>
      </c>
    </row>
    <row r="8026" spans="1:12">
      <c r="A8026" t="s">
        <v>23828</v>
      </c>
      <c r="B8026" t="s">
        <v>23829</v>
      </c>
      <c r="C8026" t="s">
        <v>24108</v>
      </c>
      <c r="D8026" t="s">
        <v>23831</v>
      </c>
      <c r="E8026" t="s">
        <v>24109</v>
      </c>
      <c r="F8026" t="s">
        <v>24110</v>
      </c>
      <c r="J8026" t="s">
        <v>24109</v>
      </c>
      <c r="K8026" t="s">
        <v>23833</v>
      </c>
      <c r="L8026" t="s">
        <v>814</v>
      </c>
    </row>
    <row r="8027" spans="1:12">
      <c r="A8027" t="s">
        <v>23828</v>
      </c>
      <c r="B8027" t="s">
        <v>23829</v>
      </c>
      <c r="C8027" t="s">
        <v>24111</v>
      </c>
      <c r="D8027" t="s">
        <v>23831</v>
      </c>
      <c r="E8027" t="s">
        <v>10085</v>
      </c>
      <c r="F8027" t="s">
        <v>24112</v>
      </c>
      <c r="J8027" t="s">
        <v>10085</v>
      </c>
      <c r="K8027" t="s">
        <v>23833</v>
      </c>
      <c r="L8027" t="s">
        <v>814</v>
      </c>
    </row>
    <row r="8028" spans="1:12">
      <c r="A8028" t="s">
        <v>23828</v>
      </c>
      <c r="B8028" t="s">
        <v>23829</v>
      </c>
      <c r="C8028" t="s">
        <v>24113</v>
      </c>
      <c r="D8028" t="s">
        <v>23831</v>
      </c>
      <c r="E8028" t="s">
        <v>24114</v>
      </c>
      <c r="F8028" t="s">
        <v>24115</v>
      </c>
      <c r="J8028" t="s">
        <v>24114</v>
      </c>
      <c r="K8028" t="s">
        <v>23833</v>
      </c>
      <c r="L8028" t="s">
        <v>814</v>
      </c>
    </row>
    <row r="8029" spans="1:12">
      <c r="A8029" t="s">
        <v>23828</v>
      </c>
      <c r="B8029" t="s">
        <v>23829</v>
      </c>
      <c r="C8029" t="s">
        <v>24116</v>
      </c>
      <c r="D8029" t="s">
        <v>23831</v>
      </c>
      <c r="E8029" t="s">
        <v>24117</v>
      </c>
      <c r="F8029" t="s">
        <v>24118</v>
      </c>
      <c r="J8029" t="s">
        <v>24117</v>
      </c>
      <c r="K8029" t="s">
        <v>23833</v>
      </c>
      <c r="L8029" t="s">
        <v>814</v>
      </c>
    </row>
    <row r="8030" spans="1:12">
      <c r="A8030" t="s">
        <v>23828</v>
      </c>
      <c r="B8030" t="s">
        <v>23829</v>
      </c>
      <c r="C8030" t="s">
        <v>24119</v>
      </c>
      <c r="D8030" t="s">
        <v>23831</v>
      </c>
      <c r="E8030" t="s">
        <v>24120</v>
      </c>
      <c r="F8030" t="s">
        <v>24121</v>
      </c>
    </row>
    <row r="8031" spans="1:12">
      <c r="A8031" t="s">
        <v>23828</v>
      </c>
      <c r="B8031" t="s">
        <v>23829</v>
      </c>
      <c r="C8031" t="s">
        <v>24122</v>
      </c>
      <c r="D8031" t="s">
        <v>23831</v>
      </c>
      <c r="E8031" t="s">
        <v>24123</v>
      </c>
      <c r="F8031" t="s">
        <v>24124</v>
      </c>
      <c r="J8031" t="s">
        <v>24123</v>
      </c>
      <c r="K8031" t="s">
        <v>23833</v>
      </c>
      <c r="L8031" t="s">
        <v>814</v>
      </c>
    </row>
    <row r="8032" spans="1:12">
      <c r="A8032" t="s">
        <v>23828</v>
      </c>
      <c r="B8032" t="s">
        <v>23829</v>
      </c>
      <c r="C8032" t="s">
        <v>24125</v>
      </c>
      <c r="D8032" t="s">
        <v>23831</v>
      </c>
      <c r="E8032" t="s">
        <v>24126</v>
      </c>
      <c r="F8032" t="s">
        <v>24127</v>
      </c>
      <c r="J8032" t="s">
        <v>24126</v>
      </c>
      <c r="K8032" t="s">
        <v>23833</v>
      </c>
      <c r="L8032" t="s">
        <v>814</v>
      </c>
    </row>
    <row r="8033" spans="1:12">
      <c r="A8033" t="s">
        <v>23828</v>
      </c>
      <c r="B8033" t="s">
        <v>23829</v>
      </c>
      <c r="C8033" t="s">
        <v>24128</v>
      </c>
      <c r="D8033" t="s">
        <v>23831</v>
      </c>
      <c r="E8033" t="s">
        <v>24129</v>
      </c>
      <c r="F8033" t="s">
        <v>24130</v>
      </c>
    </row>
    <row r="8034" spans="1:12">
      <c r="A8034" t="s">
        <v>23828</v>
      </c>
      <c r="B8034" t="s">
        <v>23829</v>
      </c>
      <c r="C8034" t="s">
        <v>24131</v>
      </c>
      <c r="D8034" t="s">
        <v>23831</v>
      </c>
      <c r="E8034" t="s">
        <v>24132</v>
      </c>
      <c r="F8034" t="s">
        <v>24133</v>
      </c>
      <c r="J8034" t="s">
        <v>24132</v>
      </c>
      <c r="K8034" t="s">
        <v>23833</v>
      </c>
      <c r="L8034" t="s">
        <v>814</v>
      </c>
    </row>
    <row r="8035" spans="1:12">
      <c r="A8035" t="s">
        <v>23828</v>
      </c>
      <c r="B8035" t="s">
        <v>23829</v>
      </c>
      <c r="C8035" t="s">
        <v>24134</v>
      </c>
      <c r="D8035" t="s">
        <v>23831</v>
      </c>
      <c r="E8035" t="s">
        <v>655</v>
      </c>
      <c r="F8035" t="s">
        <v>656</v>
      </c>
    </row>
    <row r="8036" spans="1:12">
      <c r="A8036" t="s">
        <v>23828</v>
      </c>
      <c r="B8036" t="s">
        <v>23829</v>
      </c>
      <c r="D8036" t="s">
        <v>23831</v>
      </c>
      <c r="F8036" t="s">
        <v>24135</v>
      </c>
      <c r="J8036" t="s">
        <v>24136</v>
      </c>
      <c r="K8036" t="s">
        <v>23833</v>
      </c>
      <c r="L8036" t="s">
        <v>814</v>
      </c>
    </row>
    <row r="8037" spans="1:12">
      <c r="A8037" t="s">
        <v>23828</v>
      </c>
      <c r="B8037" t="s">
        <v>23829</v>
      </c>
      <c r="D8037" t="s">
        <v>23831</v>
      </c>
      <c r="F8037" t="s">
        <v>24137</v>
      </c>
      <c r="J8037" t="s">
        <v>24138</v>
      </c>
      <c r="K8037" t="s">
        <v>23833</v>
      </c>
      <c r="L8037" t="s">
        <v>814</v>
      </c>
    </row>
    <row r="8038" spans="1:12">
      <c r="A8038" t="s">
        <v>23828</v>
      </c>
      <c r="B8038" t="s">
        <v>23829</v>
      </c>
      <c r="D8038" t="s">
        <v>23831</v>
      </c>
      <c r="F8038" t="s">
        <v>24139</v>
      </c>
      <c r="J8038" t="s">
        <v>7180</v>
      </c>
      <c r="K8038" t="s">
        <v>23833</v>
      </c>
      <c r="L8038" t="s">
        <v>814</v>
      </c>
    </row>
    <row r="8039" spans="1:12">
      <c r="A8039" t="s">
        <v>23828</v>
      </c>
      <c r="B8039" t="s">
        <v>23829</v>
      </c>
      <c r="D8039" t="s">
        <v>23831</v>
      </c>
      <c r="F8039" t="s">
        <v>24140</v>
      </c>
      <c r="J8039" t="s">
        <v>24141</v>
      </c>
      <c r="K8039" t="s">
        <v>23833</v>
      </c>
      <c r="L8039" t="s">
        <v>814</v>
      </c>
    </row>
    <row r="8040" spans="1:12">
      <c r="A8040" t="s">
        <v>23828</v>
      </c>
      <c r="B8040" t="s">
        <v>23829</v>
      </c>
      <c r="D8040" t="s">
        <v>23831</v>
      </c>
      <c r="F8040" t="s">
        <v>24142</v>
      </c>
      <c r="J8040" t="s">
        <v>24143</v>
      </c>
      <c r="K8040" t="s">
        <v>23833</v>
      </c>
      <c r="L8040" t="s">
        <v>814</v>
      </c>
    </row>
    <row r="8041" spans="1:12">
      <c r="A8041" t="s">
        <v>23828</v>
      </c>
      <c r="B8041" t="s">
        <v>23829</v>
      </c>
      <c r="D8041" t="s">
        <v>23831</v>
      </c>
      <c r="F8041" t="s">
        <v>24144</v>
      </c>
      <c r="J8041" t="s">
        <v>24145</v>
      </c>
      <c r="K8041" t="s">
        <v>23833</v>
      </c>
      <c r="L8041" t="s">
        <v>814</v>
      </c>
    </row>
    <row r="8042" spans="1:12">
      <c r="A8042" t="s">
        <v>24146</v>
      </c>
      <c r="B8042" t="s">
        <v>24147</v>
      </c>
      <c r="C8042" t="s">
        <v>24148</v>
      </c>
      <c r="D8042" t="s">
        <v>24149</v>
      </c>
      <c r="E8042" t="s">
        <v>24150</v>
      </c>
      <c r="F8042" t="s">
        <v>24151</v>
      </c>
      <c r="J8042" t="s">
        <v>24150</v>
      </c>
      <c r="K8042" t="s">
        <v>24152</v>
      </c>
      <c r="L8042" t="s">
        <v>3638</v>
      </c>
    </row>
    <row r="8043" spans="1:12">
      <c r="A8043" t="s">
        <v>24146</v>
      </c>
      <c r="B8043" t="s">
        <v>24147</v>
      </c>
      <c r="C8043" t="s">
        <v>24153</v>
      </c>
      <c r="D8043" t="s">
        <v>24149</v>
      </c>
      <c r="E8043" t="s">
        <v>6886</v>
      </c>
      <c r="F8043" t="s">
        <v>24154</v>
      </c>
    </row>
    <row r="8044" spans="1:12">
      <c r="A8044" t="s">
        <v>24146</v>
      </c>
      <c r="B8044" t="s">
        <v>24147</v>
      </c>
      <c r="C8044" t="s">
        <v>24155</v>
      </c>
      <c r="D8044" t="s">
        <v>24149</v>
      </c>
      <c r="E8044" t="s">
        <v>4875</v>
      </c>
      <c r="F8044" t="s">
        <v>24156</v>
      </c>
    </row>
    <row r="8045" spans="1:12">
      <c r="A8045" t="s">
        <v>24146</v>
      </c>
      <c r="B8045" t="s">
        <v>24147</v>
      </c>
      <c r="C8045" t="s">
        <v>24157</v>
      </c>
      <c r="D8045" t="s">
        <v>24149</v>
      </c>
      <c r="E8045" t="s">
        <v>3838</v>
      </c>
      <c r="F8045" t="s">
        <v>24158</v>
      </c>
    </row>
    <row r="8046" spans="1:12">
      <c r="A8046" t="s">
        <v>24146</v>
      </c>
      <c r="B8046" t="s">
        <v>24147</v>
      </c>
      <c r="C8046" t="s">
        <v>24159</v>
      </c>
      <c r="D8046" t="s">
        <v>24149</v>
      </c>
      <c r="E8046" t="s">
        <v>6891</v>
      </c>
      <c r="F8046" t="s">
        <v>24160</v>
      </c>
    </row>
    <row r="8047" spans="1:12">
      <c r="A8047" t="s">
        <v>24146</v>
      </c>
      <c r="B8047" t="s">
        <v>24147</v>
      </c>
      <c r="C8047" t="s">
        <v>24161</v>
      </c>
      <c r="D8047" t="s">
        <v>24149</v>
      </c>
      <c r="E8047" t="s">
        <v>24162</v>
      </c>
      <c r="F8047" t="s">
        <v>24163</v>
      </c>
      <c r="J8047" t="s">
        <v>24162</v>
      </c>
      <c r="K8047" t="s">
        <v>24152</v>
      </c>
      <c r="L8047" t="s">
        <v>3638</v>
      </c>
    </row>
    <row r="8048" spans="1:12">
      <c r="A8048" t="s">
        <v>24146</v>
      </c>
      <c r="B8048" t="s">
        <v>24147</v>
      </c>
      <c r="C8048" t="s">
        <v>24164</v>
      </c>
      <c r="D8048" t="s">
        <v>24149</v>
      </c>
      <c r="E8048" t="s">
        <v>6354</v>
      </c>
      <c r="F8048" t="s">
        <v>24165</v>
      </c>
    </row>
    <row r="8049" spans="1:12">
      <c r="A8049" t="s">
        <v>24146</v>
      </c>
      <c r="B8049" t="s">
        <v>24147</v>
      </c>
      <c r="C8049" t="s">
        <v>24166</v>
      </c>
      <c r="D8049" t="s">
        <v>24149</v>
      </c>
      <c r="E8049" t="s">
        <v>1564</v>
      </c>
      <c r="F8049" t="s">
        <v>24167</v>
      </c>
    </row>
    <row r="8050" spans="1:12">
      <c r="A8050" t="s">
        <v>24146</v>
      </c>
      <c r="B8050" t="s">
        <v>24147</v>
      </c>
      <c r="C8050" t="s">
        <v>24168</v>
      </c>
      <c r="D8050" t="s">
        <v>24149</v>
      </c>
      <c r="E8050" t="s">
        <v>6756</v>
      </c>
      <c r="F8050" t="s">
        <v>24169</v>
      </c>
    </row>
    <row r="8051" spans="1:12">
      <c r="A8051" t="s">
        <v>24146</v>
      </c>
      <c r="B8051" t="s">
        <v>24147</v>
      </c>
      <c r="C8051" t="s">
        <v>24170</v>
      </c>
      <c r="D8051" t="s">
        <v>24149</v>
      </c>
      <c r="E8051" t="s">
        <v>6572</v>
      </c>
      <c r="F8051" t="s">
        <v>24171</v>
      </c>
    </row>
    <row r="8052" spans="1:12">
      <c r="A8052" t="s">
        <v>24146</v>
      </c>
      <c r="B8052" t="s">
        <v>24147</v>
      </c>
      <c r="C8052" t="s">
        <v>24172</v>
      </c>
      <c r="D8052" t="s">
        <v>24149</v>
      </c>
      <c r="E8052" t="s">
        <v>11765</v>
      </c>
      <c r="F8052" t="s">
        <v>24173</v>
      </c>
    </row>
    <row r="8053" spans="1:12">
      <c r="A8053" t="s">
        <v>24146</v>
      </c>
      <c r="B8053" t="s">
        <v>24147</v>
      </c>
      <c r="C8053" t="s">
        <v>24174</v>
      </c>
      <c r="D8053" t="s">
        <v>24149</v>
      </c>
      <c r="E8053" t="s">
        <v>8575</v>
      </c>
      <c r="F8053" t="s">
        <v>24175</v>
      </c>
      <c r="J8053" t="s">
        <v>8575</v>
      </c>
      <c r="K8053" t="s">
        <v>24152</v>
      </c>
      <c r="L8053" t="s">
        <v>3638</v>
      </c>
    </row>
    <row r="8054" spans="1:12">
      <c r="A8054" t="s">
        <v>24146</v>
      </c>
      <c r="B8054" t="s">
        <v>24147</v>
      </c>
      <c r="C8054" t="s">
        <v>24176</v>
      </c>
      <c r="D8054" t="s">
        <v>24149</v>
      </c>
      <c r="E8054" t="s">
        <v>15450</v>
      </c>
      <c r="F8054" t="s">
        <v>24177</v>
      </c>
      <c r="J8054" t="s">
        <v>15450</v>
      </c>
      <c r="K8054" t="s">
        <v>24152</v>
      </c>
      <c r="L8054" t="s">
        <v>3638</v>
      </c>
    </row>
    <row r="8055" spans="1:12">
      <c r="A8055" t="s">
        <v>24146</v>
      </c>
      <c r="B8055" t="s">
        <v>24147</v>
      </c>
      <c r="C8055" t="s">
        <v>24178</v>
      </c>
      <c r="D8055" t="s">
        <v>24149</v>
      </c>
      <c r="E8055" t="s">
        <v>24179</v>
      </c>
      <c r="F8055" t="s">
        <v>24180</v>
      </c>
      <c r="J8055" t="s">
        <v>24179</v>
      </c>
      <c r="K8055" t="s">
        <v>24152</v>
      </c>
      <c r="L8055" t="s">
        <v>3638</v>
      </c>
    </row>
    <row r="8056" spans="1:12">
      <c r="A8056" t="s">
        <v>24146</v>
      </c>
      <c r="B8056" t="s">
        <v>24147</v>
      </c>
      <c r="C8056" t="s">
        <v>24181</v>
      </c>
      <c r="D8056" t="s">
        <v>24149</v>
      </c>
      <c r="E8056" t="s">
        <v>24182</v>
      </c>
      <c r="F8056" t="s">
        <v>24183</v>
      </c>
    </row>
    <row r="8057" spans="1:12">
      <c r="A8057" t="s">
        <v>24146</v>
      </c>
      <c r="B8057" t="s">
        <v>24147</v>
      </c>
      <c r="C8057" t="s">
        <v>24184</v>
      </c>
      <c r="D8057" t="s">
        <v>24149</v>
      </c>
      <c r="E8057" t="s">
        <v>24185</v>
      </c>
      <c r="F8057" t="s">
        <v>24186</v>
      </c>
    </row>
    <row r="8058" spans="1:12">
      <c r="A8058" t="s">
        <v>24146</v>
      </c>
      <c r="B8058" t="s">
        <v>24147</v>
      </c>
      <c r="C8058" t="s">
        <v>24187</v>
      </c>
      <c r="D8058" t="s">
        <v>24149</v>
      </c>
      <c r="E8058" t="s">
        <v>12360</v>
      </c>
      <c r="F8058" t="s">
        <v>24188</v>
      </c>
    </row>
    <row r="8059" spans="1:12">
      <c r="A8059" t="s">
        <v>24146</v>
      </c>
      <c r="B8059" t="s">
        <v>24147</v>
      </c>
      <c r="C8059" t="s">
        <v>24189</v>
      </c>
      <c r="D8059" t="s">
        <v>24149</v>
      </c>
      <c r="E8059" t="s">
        <v>24190</v>
      </c>
      <c r="F8059" t="s">
        <v>24191</v>
      </c>
    </row>
    <row r="8060" spans="1:12">
      <c r="A8060" t="s">
        <v>24146</v>
      </c>
      <c r="B8060" t="s">
        <v>24147</v>
      </c>
      <c r="C8060" t="s">
        <v>24192</v>
      </c>
      <c r="D8060" t="s">
        <v>24149</v>
      </c>
      <c r="E8060" t="s">
        <v>8659</v>
      </c>
      <c r="F8060" t="s">
        <v>24193</v>
      </c>
      <c r="J8060" t="s">
        <v>8659</v>
      </c>
      <c r="K8060" t="s">
        <v>24152</v>
      </c>
      <c r="L8060" t="s">
        <v>3638</v>
      </c>
    </row>
    <row r="8061" spans="1:12">
      <c r="A8061" t="s">
        <v>24146</v>
      </c>
      <c r="B8061" t="s">
        <v>24147</v>
      </c>
      <c r="C8061" t="s">
        <v>24194</v>
      </c>
      <c r="D8061" t="s">
        <v>24149</v>
      </c>
      <c r="E8061" t="s">
        <v>727</v>
      </c>
      <c r="F8061" t="s">
        <v>24195</v>
      </c>
    </row>
    <row r="8062" spans="1:12">
      <c r="A8062" t="s">
        <v>24146</v>
      </c>
      <c r="B8062" t="s">
        <v>24147</v>
      </c>
      <c r="C8062" t="s">
        <v>24196</v>
      </c>
      <c r="D8062" t="s">
        <v>24149</v>
      </c>
      <c r="E8062" t="s">
        <v>6590</v>
      </c>
      <c r="F8062" t="s">
        <v>24197</v>
      </c>
    </row>
    <row r="8063" spans="1:12">
      <c r="A8063" t="s">
        <v>24146</v>
      </c>
      <c r="B8063" t="s">
        <v>24147</v>
      </c>
      <c r="C8063" t="s">
        <v>24198</v>
      </c>
      <c r="D8063" t="s">
        <v>24149</v>
      </c>
      <c r="E8063" t="s">
        <v>24199</v>
      </c>
      <c r="F8063" t="s">
        <v>24200</v>
      </c>
      <c r="J8063" t="s">
        <v>24199</v>
      </c>
      <c r="K8063" t="s">
        <v>24152</v>
      </c>
      <c r="L8063" t="s">
        <v>3638</v>
      </c>
    </row>
    <row r="8064" spans="1:12">
      <c r="A8064" t="s">
        <v>24146</v>
      </c>
      <c r="B8064" t="s">
        <v>24147</v>
      </c>
      <c r="C8064" t="s">
        <v>24201</v>
      </c>
      <c r="D8064" t="s">
        <v>24149</v>
      </c>
      <c r="E8064" t="s">
        <v>24202</v>
      </c>
      <c r="F8064" t="s">
        <v>24203</v>
      </c>
      <c r="J8064" t="s">
        <v>24202</v>
      </c>
      <c r="K8064" t="s">
        <v>24152</v>
      </c>
      <c r="L8064" t="s">
        <v>3638</v>
      </c>
    </row>
    <row r="8065" spans="1:12">
      <c r="A8065" t="s">
        <v>24146</v>
      </c>
      <c r="B8065" t="s">
        <v>24147</v>
      </c>
      <c r="C8065" t="s">
        <v>24204</v>
      </c>
      <c r="D8065" t="s">
        <v>24149</v>
      </c>
      <c r="E8065" t="s">
        <v>24205</v>
      </c>
      <c r="F8065" t="s">
        <v>24206</v>
      </c>
    </row>
    <row r="8066" spans="1:12">
      <c r="A8066" t="s">
        <v>24146</v>
      </c>
      <c r="B8066" t="s">
        <v>24147</v>
      </c>
      <c r="C8066" t="s">
        <v>24207</v>
      </c>
      <c r="D8066" t="s">
        <v>24149</v>
      </c>
      <c r="E8066" t="s">
        <v>24208</v>
      </c>
      <c r="F8066" t="s">
        <v>24209</v>
      </c>
    </row>
    <row r="8067" spans="1:12">
      <c r="A8067" t="s">
        <v>24146</v>
      </c>
      <c r="B8067" t="s">
        <v>24147</v>
      </c>
      <c r="C8067" t="s">
        <v>24210</v>
      </c>
      <c r="D8067" t="s">
        <v>24149</v>
      </c>
      <c r="E8067" t="s">
        <v>14798</v>
      </c>
      <c r="F8067" t="s">
        <v>24211</v>
      </c>
    </row>
    <row r="8068" spans="1:12">
      <c r="A8068" t="s">
        <v>24146</v>
      </c>
      <c r="B8068" t="s">
        <v>24147</v>
      </c>
      <c r="C8068" t="s">
        <v>24212</v>
      </c>
      <c r="D8068" t="s">
        <v>24149</v>
      </c>
      <c r="E8068" t="s">
        <v>24213</v>
      </c>
      <c r="F8068" t="s">
        <v>24214</v>
      </c>
    </row>
    <row r="8069" spans="1:12">
      <c r="A8069" t="s">
        <v>24146</v>
      </c>
      <c r="B8069" t="s">
        <v>24147</v>
      </c>
      <c r="C8069" t="s">
        <v>24215</v>
      </c>
      <c r="D8069" t="s">
        <v>24149</v>
      </c>
      <c r="E8069" t="s">
        <v>24216</v>
      </c>
      <c r="F8069" t="s">
        <v>24217</v>
      </c>
    </row>
    <row r="8070" spans="1:12">
      <c r="A8070" t="s">
        <v>24146</v>
      </c>
      <c r="B8070" t="s">
        <v>24147</v>
      </c>
      <c r="C8070" t="s">
        <v>24218</v>
      </c>
      <c r="D8070" t="s">
        <v>24149</v>
      </c>
      <c r="E8070" t="s">
        <v>24219</v>
      </c>
      <c r="F8070" t="s">
        <v>24220</v>
      </c>
      <c r="J8070" t="s">
        <v>24219</v>
      </c>
      <c r="K8070" t="s">
        <v>24152</v>
      </c>
      <c r="L8070" t="s">
        <v>3638</v>
      </c>
    </row>
    <row r="8071" spans="1:12">
      <c r="A8071" t="s">
        <v>24146</v>
      </c>
      <c r="B8071" t="s">
        <v>24147</v>
      </c>
      <c r="C8071" t="s">
        <v>24221</v>
      </c>
      <c r="D8071" t="s">
        <v>24149</v>
      </c>
      <c r="E8071" t="s">
        <v>3477</v>
      </c>
      <c r="F8071" t="s">
        <v>24222</v>
      </c>
    </row>
    <row r="8072" spans="1:12">
      <c r="A8072" t="s">
        <v>24146</v>
      </c>
      <c r="B8072" t="s">
        <v>24147</v>
      </c>
      <c r="C8072" t="s">
        <v>24223</v>
      </c>
      <c r="D8072" t="s">
        <v>24149</v>
      </c>
      <c r="E8072" t="s">
        <v>24224</v>
      </c>
      <c r="F8072" t="s">
        <v>24225</v>
      </c>
      <c r="J8072" t="s">
        <v>24224</v>
      </c>
      <c r="K8072" t="s">
        <v>24152</v>
      </c>
      <c r="L8072" t="s">
        <v>3638</v>
      </c>
    </row>
    <row r="8073" spans="1:12">
      <c r="A8073" t="s">
        <v>24146</v>
      </c>
      <c r="B8073" t="s">
        <v>24147</v>
      </c>
      <c r="C8073" t="s">
        <v>24226</v>
      </c>
      <c r="D8073" t="s">
        <v>24149</v>
      </c>
      <c r="E8073" t="s">
        <v>13492</v>
      </c>
      <c r="F8073" t="s">
        <v>24227</v>
      </c>
    </row>
    <row r="8074" spans="1:12">
      <c r="A8074" t="s">
        <v>24146</v>
      </c>
      <c r="B8074" t="s">
        <v>24147</v>
      </c>
      <c r="C8074" t="s">
        <v>24228</v>
      </c>
      <c r="D8074" t="s">
        <v>24149</v>
      </c>
      <c r="E8074" t="s">
        <v>17886</v>
      </c>
      <c r="F8074" t="s">
        <v>24229</v>
      </c>
    </row>
    <row r="8075" spans="1:12">
      <c r="A8075" t="s">
        <v>24146</v>
      </c>
      <c r="B8075" t="s">
        <v>24147</v>
      </c>
      <c r="C8075" t="s">
        <v>24230</v>
      </c>
      <c r="D8075" t="s">
        <v>24149</v>
      </c>
      <c r="E8075" t="s">
        <v>2229</v>
      </c>
      <c r="F8075" t="s">
        <v>24231</v>
      </c>
    </row>
    <row r="8076" spans="1:12">
      <c r="A8076" t="s">
        <v>24146</v>
      </c>
      <c r="B8076" t="s">
        <v>24147</v>
      </c>
      <c r="C8076" t="s">
        <v>24232</v>
      </c>
      <c r="D8076" t="s">
        <v>24149</v>
      </c>
      <c r="E8076" t="s">
        <v>24233</v>
      </c>
      <c r="F8076" t="s">
        <v>24234</v>
      </c>
    </row>
    <row r="8077" spans="1:12">
      <c r="A8077" t="s">
        <v>24146</v>
      </c>
      <c r="B8077" t="s">
        <v>24147</v>
      </c>
      <c r="C8077" t="s">
        <v>24235</v>
      </c>
      <c r="D8077" t="s">
        <v>24149</v>
      </c>
      <c r="E8077" t="s">
        <v>17901</v>
      </c>
      <c r="F8077" t="s">
        <v>24236</v>
      </c>
      <c r="J8077" t="s">
        <v>17901</v>
      </c>
      <c r="K8077" t="s">
        <v>24152</v>
      </c>
      <c r="L8077" t="s">
        <v>3638</v>
      </c>
    </row>
    <row r="8078" spans="1:12">
      <c r="A8078" t="s">
        <v>24146</v>
      </c>
      <c r="B8078" t="s">
        <v>24147</v>
      </c>
      <c r="C8078" t="s">
        <v>24237</v>
      </c>
      <c r="D8078" t="s">
        <v>24149</v>
      </c>
      <c r="E8078" t="s">
        <v>14828</v>
      </c>
      <c r="F8078" t="s">
        <v>24238</v>
      </c>
    </row>
    <row r="8079" spans="1:12">
      <c r="A8079" t="s">
        <v>24146</v>
      </c>
      <c r="B8079" t="s">
        <v>24147</v>
      </c>
      <c r="C8079" t="s">
        <v>24239</v>
      </c>
      <c r="D8079" t="s">
        <v>24149</v>
      </c>
      <c r="E8079" t="s">
        <v>17918</v>
      </c>
      <c r="F8079" t="s">
        <v>24240</v>
      </c>
      <c r="J8079" t="s">
        <v>17918</v>
      </c>
      <c r="K8079" t="s">
        <v>24152</v>
      </c>
      <c r="L8079" t="s">
        <v>3638</v>
      </c>
    </row>
    <row r="8080" spans="1:12">
      <c r="A8080" t="s">
        <v>24146</v>
      </c>
      <c r="B8080" t="s">
        <v>24147</v>
      </c>
      <c r="C8080" t="s">
        <v>24241</v>
      </c>
      <c r="D8080" t="s">
        <v>24149</v>
      </c>
      <c r="E8080" t="s">
        <v>9281</v>
      </c>
      <c r="F8080" t="s">
        <v>24242</v>
      </c>
    </row>
    <row r="8081" spans="1:12">
      <c r="A8081" t="s">
        <v>24146</v>
      </c>
      <c r="B8081" t="s">
        <v>24147</v>
      </c>
      <c r="C8081" t="s">
        <v>24243</v>
      </c>
      <c r="D8081" t="s">
        <v>24149</v>
      </c>
      <c r="E8081" t="s">
        <v>5054</v>
      </c>
      <c r="F8081" t="s">
        <v>24244</v>
      </c>
    </row>
    <row r="8082" spans="1:12">
      <c r="A8082" t="s">
        <v>24146</v>
      </c>
      <c r="B8082" t="s">
        <v>24147</v>
      </c>
      <c r="C8082" t="s">
        <v>24245</v>
      </c>
      <c r="D8082" t="s">
        <v>24149</v>
      </c>
      <c r="E8082" t="s">
        <v>18027</v>
      </c>
      <c r="F8082" t="s">
        <v>24246</v>
      </c>
      <c r="J8082" t="s">
        <v>18027</v>
      </c>
      <c r="K8082" t="s">
        <v>24152</v>
      </c>
      <c r="L8082" t="s">
        <v>3638</v>
      </c>
    </row>
    <row r="8083" spans="1:12">
      <c r="A8083" t="s">
        <v>24146</v>
      </c>
      <c r="B8083" t="s">
        <v>24147</v>
      </c>
      <c r="C8083" t="s">
        <v>24247</v>
      </c>
      <c r="D8083" t="s">
        <v>24149</v>
      </c>
      <c r="E8083" t="s">
        <v>18063</v>
      </c>
      <c r="F8083" t="s">
        <v>24248</v>
      </c>
    </row>
    <row r="8084" spans="1:12">
      <c r="A8084" t="s">
        <v>24146</v>
      </c>
      <c r="B8084" t="s">
        <v>24147</v>
      </c>
      <c r="C8084" t="s">
        <v>24249</v>
      </c>
      <c r="D8084" t="s">
        <v>24149</v>
      </c>
      <c r="E8084" t="s">
        <v>11313</v>
      </c>
      <c r="F8084" t="s">
        <v>24250</v>
      </c>
    </row>
    <row r="8085" spans="1:12">
      <c r="A8085" t="s">
        <v>24146</v>
      </c>
      <c r="B8085" t="s">
        <v>24147</v>
      </c>
      <c r="C8085" t="s">
        <v>24251</v>
      </c>
      <c r="D8085" t="s">
        <v>24149</v>
      </c>
      <c r="E8085" t="s">
        <v>24252</v>
      </c>
      <c r="F8085" t="s">
        <v>24253</v>
      </c>
    </row>
    <row r="8086" spans="1:12">
      <c r="A8086" t="s">
        <v>24146</v>
      </c>
      <c r="B8086" t="s">
        <v>24147</v>
      </c>
      <c r="C8086" t="s">
        <v>24254</v>
      </c>
      <c r="D8086" t="s">
        <v>24149</v>
      </c>
      <c r="E8086" t="s">
        <v>2253</v>
      </c>
      <c r="F8086" t="s">
        <v>24255</v>
      </c>
    </row>
    <row r="8087" spans="1:12">
      <c r="A8087" t="s">
        <v>24146</v>
      </c>
      <c r="B8087" t="s">
        <v>24147</v>
      </c>
      <c r="C8087" t="s">
        <v>24256</v>
      </c>
      <c r="D8087" t="s">
        <v>24149</v>
      </c>
      <c r="E8087" t="s">
        <v>24257</v>
      </c>
      <c r="F8087" t="s">
        <v>24258</v>
      </c>
      <c r="J8087" t="s">
        <v>24257</v>
      </c>
      <c r="K8087" t="s">
        <v>24152</v>
      </c>
      <c r="L8087" t="s">
        <v>3638</v>
      </c>
    </row>
    <row r="8088" spans="1:12">
      <c r="A8088" t="s">
        <v>24146</v>
      </c>
      <c r="B8088" t="s">
        <v>24147</v>
      </c>
      <c r="C8088" t="s">
        <v>24259</v>
      </c>
      <c r="D8088" t="s">
        <v>24149</v>
      </c>
      <c r="E8088" t="s">
        <v>2280</v>
      </c>
      <c r="F8088" t="s">
        <v>24260</v>
      </c>
    </row>
    <row r="8089" spans="1:12">
      <c r="A8089" t="s">
        <v>24146</v>
      </c>
      <c r="B8089" t="s">
        <v>24147</v>
      </c>
      <c r="C8089" t="s">
        <v>24261</v>
      </c>
      <c r="D8089" t="s">
        <v>24149</v>
      </c>
      <c r="E8089" t="s">
        <v>24262</v>
      </c>
      <c r="F8089" t="s">
        <v>24263</v>
      </c>
    </row>
    <row r="8090" spans="1:12">
      <c r="A8090" t="s">
        <v>24146</v>
      </c>
      <c r="B8090" t="s">
        <v>24147</v>
      </c>
      <c r="C8090" t="s">
        <v>24264</v>
      </c>
      <c r="D8090" t="s">
        <v>24149</v>
      </c>
      <c r="E8090" t="s">
        <v>9316</v>
      </c>
      <c r="F8090" t="s">
        <v>24265</v>
      </c>
    </row>
    <row r="8091" spans="1:12">
      <c r="A8091" t="s">
        <v>24146</v>
      </c>
      <c r="B8091" t="s">
        <v>24147</v>
      </c>
      <c r="C8091" t="s">
        <v>24266</v>
      </c>
      <c r="D8091" t="s">
        <v>24149</v>
      </c>
      <c r="E8091" t="s">
        <v>18469</v>
      </c>
      <c r="F8091" t="s">
        <v>24267</v>
      </c>
    </row>
    <row r="8092" spans="1:12">
      <c r="A8092" t="s">
        <v>24146</v>
      </c>
      <c r="B8092" t="s">
        <v>24147</v>
      </c>
      <c r="C8092" t="s">
        <v>24268</v>
      </c>
      <c r="D8092" t="s">
        <v>24149</v>
      </c>
      <c r="E8092" t="s">
        <v>24269</v>
      </c>
      <c r="F8092" t="s">
        <v>24270</v>
      </c>
    </row>
    <row r="8093" spans="1:12">
      <c r="A8093" t="s">
        <v>24146</v>
      </c>
      <c r="B8093" t="s">
        <v>24147</v>
      </c>
      <c r="C8093" t="s">
        <v>24271</v>
      </c>
      <c r="D8093" t="s">
        <v>24149</v>
      </c>
      <c r="E8093" t="s">
        <v>24272</v>
      </c>
      <c r="F8093" t="s">
        <v>24273</v>
      </c>
    </row>
    <row r="8094" spans="1:12">
      <c r="A8094" t="s">
        <v>24146</v>
      </c>
      <c r="B8094" t="s">
        <v>24147</v>
      </c>
      <c r="C8094" t="s">
        <v>24274</v>
      </c>
      <c r="D8094" t="s">
        <v>24149</v>
      </c>
      <c r="E8094" t="s">
        <v>18532</v>
      </c>
      <c r="F8094" t="s">
        <v>24275</v>
      </c>
    </row>
    <row r="8095" spans="1:12">
      <c r="A8095" t="s">
        <v>24146</v>
      </c>
      <c r="B8095" t="s">
        <v>24147</v>
      </c>
      <c r="C8095" t="s">
        <v>24276</v>
      </c>
      <c r="D8095" t="s">
        <v>24149</v>
      </c>
      <c r="E8095" t="s">
        <v>18574</v>
      </c>
      <c r="F8095" t="s">
        <v>24277</v>
      </c>
      <c r="J8095" t="s">
        <v>18574</v>
      </c>
      <c r="K8095" t="s">
        <v>24152</v>
      </c>
      <c r="L8095" t="s">
        <v>3638</v>
      </c>
    </row>
    <row r="8096" spans="1:12">
      <c r="A8096" t="s">
        <v>24146</v>
      </c>
      <c r="B8096" t="s">
        <v>24147</v>
      </c>
      <c r="C8096" t="s">
        <v>24278</v>
      </c>
      <c r="D8096" t="s">
        <v>24149</v>
      </c>
      <c r="E8096" t="s">
        <v>18582</v>
      </c>
      <c r="F8096" t="s">
        <v>24279</v>
      </c>
      <c r="J8096" t="s">
        <v>18582</v>
      </c>
      <c r="K8096" t="s">
        <v>24152</v>
      </c>
      <c r="L8096" t="s">
        <v>3638</v>
      </c>
    </row>
    <row r="8097" spans="1:12">
      <c r="A8097" t="s">
        <v>24146</v>
      </c>
      <c r="B8097" t="s">
        <v>24147</v>
      </c>
      <c r="C8097" t="s">
        <v>24280</v>
      </c>
      <c r="D8097" t="s">
        <v>24149</v>
      </c>
      <c r="E8097" t="s">
        <v>18595</v>
      </c>
      <c r="F8097" t="s">
        <v>24281</v>
      </c>
    </row>
    <row r="8098" spans="1:12">
      <c r="A8098" t="s">
        <v>24146</v>
      </c>
      <c r="B8098" t="s">
        <v>24147</v>
      </c>
      <c r="C8098" t="s">
        <v>24282</v>
      </c>
      <c r="D8098" t="s">
        <v>24149</v>
      </c>
      <c r="E8098" t="s">
        <v>9329</v>
      </c>
      <c r="F8098" t="s">
        <v>24283</v>
      </c>
      <c r="J8098" t="s">
        <v>9329</v>
      </c>
      <c r="K8098" t="s">
        <v>24152</v>
      </c>
      <c r="L8098" t="s">
        <v>3638</v>
      </c>
    </row>
    <row r="8099" spans="1:12">
      <c r="A8099" t="s">
        <v>24146</v>
      </c>
      <c r="B8099" t="s">
        <v>24147</v>
      </c>
      <c r="C8099" t="s">
        <v>24284</v>
      </c>
      <c r="D8099" t="s">
        <v>24149</v>
      </c>
      <c r="E8099" t="s">
        <v>13284</v>
      </c>
      <c r="F8099" t="s">
        <v>24285</v>
      </c>
    </row>
    <row r="8100" spans="1:12">
      <c r="A8100" t="s">
        <v>24146</v>
      </c>
      <c r="B8100" t="s">
        <v>24147</v>
      </c>
      <c r="C8100" t="s">
        <v>24286</v>
      </c>
      <c r="D8100" t="s">
        <v>24149</v>
      </c>
      <c r="E8100" t="s">
        <v>24287</v>
      </c>
      <c r="F8100" t="s">
        <v>24288</v>
      </c>
    </row>
    <row r="8101" spans="1:12">
      <c r="A8101" t="s">
        <v>24146</v>
      </c>
      <c r="B8101" t="s">
        <v>24147</v>
      </c>
      <c r="C8101" t="s">
        <v>24289</v>
      </c>
      <c r="D8101" t="s">
        <v>24149</v>
      </c>
      <c r="E8101" t="s">
        <v>24290</v>
      </c>
      <c r="F8101" t="s">
        <v>24291</v>
      </c>
      <c r="J8101" t="s">
        <v>24290</v>
      </c>
      <c r="K8101" t="s">
        <v>24152</v>
      </c>
      <c r="L8101" t="s">
        <v>3638</v>
      </c>
    </row>
    <row r="8102" spans="1:12">
      <c r="A8102" t="s">
        <v>24146</v>
      </c>
      <c r="B8102" t="s">
        <v>24147</v>
      </c>
      <c r="C8102" t="s">
        <v>24292</v>
      </c>
      <c r="D8102" t="s">
        <v>24149</v>
      </c>
      <c r="E8102" t="s">
        <v>24293</v>
      </c>
      <c r="F8102" t="s">
        <v>24294</v>
      </c>
      <c r="J8102" t="s">
        <v>24293</v>
      </c>
      <c r="K8102" t="s">
        <v>24152</v>
      </c>
      <c r="L8102" t="s">
        <v>3638</v>
      </c>
    </row>
    <row r="8103" spans="1:12">
      <c r="A8103" t="s">
        <v>24146</v>
      </c>
      <c r="B8103" t="s">
        <v>24147</v>
      </c>
      <c r="C8103" t="s">
        <v>24295</v>
      </c>
      <c r="D8103" t="s">
        <v>24149</v>
      </c>
      <c r="E8103" t="s">
        <v>3357</v>
      </c>
      <c r="F8103" t="s">
        <v>24296</v>
      </c>
    </row>
    <row r="8104" spans="1:12">
      <c r="A8104" t="s">
        <v>24146</v>
      </c>
      <c r="B8104" t="s">
        <v>24147</v>
      </c>
      <c r="C8104" t="s">
        <v>24297</v>
      </c>
      <c r="D8104" t="s">
        <v>24149</v>
      </c>
      <c r="E8104" t="s">
        <v>24298</v>
      </c>
      <c r="F8104" t="s">
        <v>24299</v>
      </c>
      <c r="J8104" t="s">
        <v>24298</v>
      </c>
      <c r="K8104" t="s">
        <v>24152</v>
      </c>
      <c r="L8104" t="s">
        <v>3638</v>
      </c>
    </row>
    <row r="8105" spans="1:12">
      <c r="A8105" t="s">
        <v>24146</v>
      </c>
      <c r="B8105" t="s">
        <v>24147</v>
      </c>
      <c r="C8105" t="s">
        <v>24300</v>
      </c>
      <c r="D8105" t="s">
        <v>24149</v>
      </c>
      <c r="E8105" t="s">
        <v>24301</v>
      </c>
      <c r="F8105" t="s">
        <v>24302</v>
      </c>
      <c r="J8105" t="s">
        <v>24301</v>
      </c>
      <c r="K8105" t="s">
        <v>24152</v>
      </c>
      <c r="L8105" t="s">
        <v>3638</v>
      </c>
    </row>
    <row r="8106" spans="1:12">
      <c r="A8106" t="s">
        <v>24146</v>
      </c>
      <c r="B8106" t="s">
        <v>24147</v>
      </c>
      <c r="C8106" t="s">
        <v>24303</v>
      </c>
      <c r="D8106" t="s">
        <v>24149</v>
      </c>
      <c r="E8106" t="s">
        <v>24304</v>
      </c>
      <c r="F8106" t="s">
        <v>24305</v>
      </c>
    </row>
    <row r="8107" spans="1:12">
      <c r="A8107" t="s">
        <v>24146</v>
      </c>
      <c r="B8107" t="s">
        <v>24147</v>
      </c>
      <c r="C8107" t="s">
        <v>24306</v>
      </c>
      <c r="D8107" t="s">
        <v>24149</v>
      </c>
      <c r="E8107" t="s">
        <v>24307</v>
      </c>
      <c r="F8107" t="s">
        <v>24308</v>
      </c>
      <c r="J8107" t="s">
        <v>24307</v>
      </c>
      <c r="K8107" t="s">
        <v>24152</v>
      </c>
      <c r="L8107" t="s">
        <v>3638</v>
      </c>
    </row>
    <row r="8108" spans="1:12">
      <c r="A8108" t="s">
        <v>24146</v>
      </c>
      <c r="B8108" t="s">
        <v>24147</v>
      </c>
      <c r="C8108" t="s">
        <v>24309</v>
      </c>
      <c r="D8108" t="s">
        <v>24149</v>
      </c>
      <c r="E8108" t="s">
        <v>24310</v>
      </c>
      <c r="F8108" t="s">
        <v>24311</v>
      </c>
      <c r="J8108" t="s">
        <v>24310</v>
      </c>
      <c r="K8108" t="s">
        <v>24152</v>
      </c>
      <c r="L8108" t="s">
        <v>3638</v>
      </c>
    </row>
    <row r="8109" spans="1:12">
      <c r="A8109" t="s">
        <v>24146</v>
      </c>
      <c r="B8109" t="s">
        <v>24147</v>
      </c>
      <c r="C8109" t="s">
        <v>24312</v>
      </c>
      <c r="D8109" t="s">
        <v>24149</v>
      </c>
      <c r="E8109" t="s">
        <v>3643</v>
      </c>
      <c r="F8109" t="s">
        <v>3644</v>
      </c>
    </row>
    <row r="8110" spans="1:12">
      <c r="A8110" t="s">
        <v>24146</v>
      </c>
      <c r="B8110" t="s">
        <v>24147</v>
      </c>
      <c r="C8110" t="s">
        <v>24313</v>
      </c>
      <c r="D8110" t="s">
        <v>24149</v>
      </c>
      <c r="E8110" t="s">
        <v>5099</v>
      </c>
      <c r="F8110" t="s">
        <v>24314</v>
      </c>
    </row>
    <row r="8111" spans="1:12">
      <c r="A8111" t="s">
        <v>24146</v>
      </c>
      <c r="B8111" t="s">
        <v>24147</v>
      </c>
      <c r="C8111" t="s">
        <v>24315</v>
      </c>
      <c r="D8111" t="s">
        <v>24149</v>
      </c>
      <c r="E8111" t="s">
        <v>2394</v>
      </c>
      <c r="F8111" t="s">
        <v>24316</v>
      </c>
    </row>
    <row r="8112" spans="1:12">
      <c r="A8112" t="s">
        <v>24146</v>
      </c>
      <c r="B8112" t="s">
        <v>24147</v>
      </c>
      <c r="C8112" t="s">
        <v>24317</v>
      </c>
      <c r="D8112" t="s">
        <v>24149</v>
      </c>
      <c r="E8112" t="s">
        <v>24318</v>
      </c>
      <c r="F8112" t="s">
        <v>24319</v>
      </c>
      <c r="J8112" t="s">
        <v>24318</v>
      </c>
      <c r="K8112" t="s">
        <v>24152</v>
      </c>
      <c r="L8112" t="s">
        <v>3638</v>
      </c>
    </row>
    <row r="8113" spans="1:12">
      <c r="A8113" t="s">
        <v>24146</v>
      </c>
      <c r="B8113" t="s">
        <v>24147</v>
      </c>
      <c r="C8113" t="s">
        <v>24320</v>
      </c>
      <c r="D8113" t="s">
        <v>24149</v>
      </c>
      <c r="E8113" t="s">
        <v>4163</v>
      </c>
      <c r="F8113" t="s">
        <v>24321</v>
      </c>
    </row>
    <row r="8114" spans="1:12">
      <c r="A8114" t="s">
        <v>24146</v>
      </c>
      <c r="B8114" t="s">
        <v>24147</v>
      </c>
      <c r="C8114" t="s">
        <v>24322</v>
      </c>
      <c r="D8114" t="s">
        <v>24149</v>
      </c>
      <c r="E8114" t="s">
        <v>9484</v>
      </c>
      <c r="F8114" t="s">
        <v>24323</v>
      </c>
    </row>
    <row r="8115" spans="1:12">
      <c r="A8115" t="s">
        <v>24146</v>
      </c>
      <c r="B8115" t="s">
        <v>24147</v>
      </c>
      <c r="C8115" t="s">
        <v>24324</v>
      </c>
      <c r="D8115" t="s">
        <v>24149</v>
      </c>
      <c r="E8115" t="s">
        <v>9487</v>
      </c>
      <c r="F8115" t="s">
        <v>24325</v>
      </c>
    </row>
    <row r="8116" spans="1:12">
      <c r="A8116" t="s">
        <v>24146</v>
      </c>
      <c r="B8116" t="s">
        <v>24147</v>
      </c>
      <c r="C8116" t="s">
        <v>24326</v>
      </c>
      <c r="D8116" t="s">
        <v>24149</v>
      </c>
      <c r="E8116" t="s">
        <v>9490</v>
      </c>
      <c r="F8116" t="s">
        <v>24327</v>
      </c>
      <c r="J8116" t="s">
        <v>9490</v>
      </c>
      <c r="K8116" t="s">
        <v>24152</v>
      </c>
      <c r="L8116" t="s">
        <v>3638</v>
      </c>
    </row>
    <row r="8117" spans="1:12">
      <c r="A8117" t="s">
        <v>24146</v>
      </c>
      <c r="B8117" t="s">
        <v>24147</v>
      </c>
      <c r="C8117" t="s">
        <v>24328</v>
      </c>
      <c r="D8117" t="s">
        <v>24149</v>
      </c>
      <c r="E8117" t="s">
        <v>18925</v>
      </c>
      <c r="F8117" t="s">
        <v>24329</v>
      </c>
      <c r="J8117" t="s">
        <v>18925</v>
      </c>
      <c r="K8117" t="s">
        <v>24152</v>
      </c>
      <c r="L8117" t="s">
        <v>3638</v>
      </c>
    </row>
    <row r="8118" spans="1:12">
      <c r="A8118" t="s">
        <v>24146</v>
      </c>
      <c r="B8118" t="s">
        <v>24147</v>
      </c>
      <c r="C8118" t="s">
        <v>24330</v>
      </c>
      <c r="D8118" t="s">
        <v>24149</v>
      </c>
      <c r="E8118" t="s">
        <v>24331</v>
      </c>
      <c r="F8118" t="s">
        <v>24332</v>
      </c>
      <c r="J8118" t="s">
        <v>24331</v>
      </c>
      <c r="K8118" t="s">
        <v>24152</v>
      </c>
      <c r="L8118" t="s">
        <v>3638</v>
      </c>
    </row>
    <row r="8119" spans="1:12">
      <c r="A8119" t="s">
        <v>24146</v>
      </c>
      <c r="B8119" t="s">
        <v>24147</v>
      </c>
      <c r="C8119" t="s">
        <v>24333</v>
      </c>
      <c r="D8119" t="s">
        <v>24149</v>
      </c>
      <c r="E8119" t="s">
        <v>3646</v>
      </c>
      <c r="F8119" t="s">
        <v>24334</v>
      </c>
    </row>
    <row r="8120" spans="1:12">
      <c r="A8120" t="s">
        <v>24146</v>
      </c>
      <c r="B8120" t="s">
        <v>24147</v>
      </c>
      <c r="C8120" t="s">
        <v>24335</v>
      </c>
      <c r="D8120" t="s">
        <v>24149</v>
      </c>
      <c r="E8120" t="s">
        <v>9559</v>
      </c>
      <c r="F8120" t="s">
        <v>24336</v>
      </c>
      <c r="J8120" t="s">
        <v>9559</v>
      </c>
      <c r="K8120" t="s">
        <v>24152</v>
      </c>
      <c r="L8120" t="s">
        <v>3638</v>
      </c>
    </row>
    <row r="8121" spans="1:12">
      <c r="A8121" t="s">
        <v>24146</v>
      </c>
      <c r="B8121" t="s">
        <v>24147</v>
      </c>
      <c r="C8121" t="s">
        <v>24337</v>
      </c>
      <c r="D8121" t="s">
        <v>24149</v>
      </c>
      <c r="E8121" t="s">
        <v>24338</v>
      </c>
      <c r="F8121" t="s">
        <v>24339</v>
      </c>
      <c r="J8121" t="s">
        <v>24338</v>
      </c>
      <c r="K8121" t="s">
        <v>24152</v>
      </c>
      <c r="L8121" t="s">
        <v>3638</v>
      </c>
    </row>
    <row r="8122" spans="1:12">
      <c r="A8122" t="s">
        <v>24146</v>
      </c>
      <c r="B8122" t="s">
        <v>24147</v>
      </c>
      <c r="C8122" t="s">
        <v>24340</v>
      </c>
      <c r="D8122" t="s">
        <v>24149</v>
      </c>
      <c r="E8122" t="s">
        <v>19730</v>
      </c>
      <c r="F8122" t="s">
        <v>24341</v>
      </c>
      <c r="J8122" t="s">
        <v>19730</v>
      </c>
      <c r="K8122" t="s">
        <v>24152</v>
      </c>
      <c r="L8122" t="s">
        <v>3638</v>
      </c>
    </row>
    <row r="8123" spans="1:12">
      <c r="A8123" t="s">
        <v>24146</v>
      </c>
      <c r="B8123" t="s">
        <v>24147</v>
      </c>
      <c r="C8123" t="s">
        <v>24342</v>
      </c>
      <c r="D8123" t="s">
        <v>24149</v>
      </c>
      <c r="E8123" t="s">
        <v>10551</v>
      </c>
      <c r="F8123" t="s">
        <v>24343</v>
      </c>
    </row>
    <row r="8124" spans="1:12">
      <c r="A8124" t="s">
        <v>24146</v>
      </c>
      <c r="B8124" t="s">
        <v>24147</v>
      </c>
      <c r="C8124" t="s">
        <v>24344</v>
      </c>
      <c r="D8124" t="s">
        <v>24149</v>
      </c>
      <c r="E8124" t="s">
        <v>13559</v>
      </c>
      <c r="F8124" t="s">
        <v>24345</v>
      </c>
    </row>
    <row r="8125" spans="1:12">
      <c r="A8125" t="s">
        <v>24146</v>
      </c>
      <c r="B8125" t="s">
        <v>24147</v>
      </c>
      <c r="C8125" t="s">
        <v>24346</v>
      </c>
      <c r="D8125" t="s">
        <v>24149</v>
      </c>
      <c r="E8125" t="s">
        <v>8016</v>
      </c>
      <c r="F8125" t="s">
        <v>24347</v>
      </c>
    </row>
    <row r="8126" spans="1:12">
      <c r="A8126" t="s">
        <v>24146</v>
      </c>
      <c r="B8126" t="s">
        <v>24147</v>
      </c>
      <c r="C8126" t="s">
        <v>24348</v>
      </c>
      <c r="D8126" t="s">
        <v>24149</v>
      </c>
      <c r="E8126" t="s">
        <v>24349</v>
      </c>
      <c r="F8126" t="s">
        <v>24350</v>
      </c>
      <c r="J8126" t="s">
        <v>24349</v>
      </c>
      <c r="K8126" t="s">
        <v>24152</v>
      </c>
      <c r="L8126" t="s">
        <v>3638</v>
      </c>
    </row>
    <row r="8127" spans="1:12">
      <c r="A8127" t="s">
        <v>24146</v>
      </c>
      <c r="B8127" t="s">
        <v>24147</v>
      </c>
      <c r="C8127" t="s">
        <v>24351</v>
      </c>
      <c r="D8127" t="s">
        <v>24149</v>
      </c>
      <c r="E8127" t="s">
        <v>24352</v>
      </c>
      <c r="F8127" t="s">
        <v>24353</v>
      </c>
    </row>
    <row r="8128" spans="1:12">
      <c r="A8128" t="s">
        <v>24146</v>
      </c>
      <c r="B8128" t="s">
        <v>24147</v>
      </c>
      <c r="C8128" t="s">
        <v>24354</v>
      </c>
      <c r="D8128" t="s">
        <v>24149</v>
      </c>
      <c r="E8128" t="s">
        <v>12866</v>
      </c>
      <c r="F8128" t="s">
        <v>24355</v>
      </c>
    </row>
    <row r="8129" spans="1:12">
      <c r="A8129" t="s">
        <v>24146</v>
      </c>
      <c r="B8129" t="s">
        <v>24147</v>
      </c>
      <c r="C8129" t="s">
        <v>24356</v>
      </c>
      <c r="D8129" t="s">
        <v>24149</v>
      </c>
      <c r="E8129" t="s">
        <v>24357</v>
      </c>
      <c r="F8129" t="s">
        <v>24358</v>
      </c>
    </row>
    <row r="8130" spans="1:12">
      <c r="A8130" t="s">
        <v>24146</v>
      </c>
      <c r="B8130" t="s">
        <v>24147</v>
      </c>
      <c r="C8130" t="s">
        <v>24359</v>
      </c>
      <c r="D8130" t="s">
        <v>24149</v>
      </c>
      <c r="E8130" t="s">
        <v>9725</v>
      </c>
      <c r="F8130" t="s">
        <v>24360</v>
      </c>
      <c r="J8130" t="s">
        <v>9725</v>
      </c>
      <c r="K8130" t="s">
        <v>24152</v>
      </c>
      <c r="L8130" t="s">
        <v>3638</v>
      </c>
    </row>
    <row r="8131" spans="1:12">
      <c r="A8131" t="s">
        <v>24146</v>
      </c>
      <c r="B8131" t="s">
        <v>24147</v>
      </c>
      <c r="C8131" t="s">
        <v>24361</v>
      </c>
      <c r="D8131" t="s">
        <v>24149</v>
      </c>
      <c r="E8131" t="s">
        <v>24362</v>
      </c>
      <c r="F8131" t="s">
        <v>24363</v>
      </c>
    </row>
    <row r="8132" spans="1:12">
      <c r="A8132" t="s">
        <v>24146</v>
      </c>
      <c r="B8132" t="s">
        <v>24147</v>
      </c>
      <c r="C8132" t="s">
        <v>24364</v>
      </c>
      <c r="D8132" t="s">
        <v>24149</v>
      </c>
      <c r="E8132" t="s">
        <v>24365</v>
      </c>
      <c r="F8132" t="s">
        <v>24366</v>
      </c>
    </row>
    <row r="8133" spans="1:12">
      <c r="A8133" t="s">
        <v>24146</v>
      </c>
      <c r="B8133" t="s">
        <v>24147</v>
      </c>
      <c r="C8133" t="s">
        <v>24367</v>
      </c>
      <c r="D8133" t="s">
        <v>24149</v>
      </c>
      <c r="E8133" t="s">
        <v>4253</v>
      </c>
      <c r="F8133" t="s">
        <v>24368</v>
      </c>
    </row>
    <row r="8134" spans="1:12">
      <c r="A8134" t="s">
        <v>24146</v>
      </c>
      <c r="B8134" t="s">
        <v>24147</v>
      </c>
      <c r="C8134" t="s">
        <v>24369</v>
      </c>
      <c r="D8134" t="s">
        <v>24149</v>
      </c>
      <c r="E8134" t="s">
        <v>24370</v>
      </c>
      <c r="F8134" t="s">
        <v>24371</v>
      </c>
    </row>
    <row r="8135" spans="1:12">
      <c r="A8135" t="s">
        <v>24146</v>
      </c>
      <c r="B8135" t="s">
        <v>24147</v>
      </c>
      <c r="C8135" t="s">
        <v>24372</v>
      </c>
      <c r="D8135" t="s">
        <v>24149</v>
      </c>
      <c r="E8135" t="s">
        <v>23624</v>
      </c>
      <c r="F8135" t="s">
        <v>24373</v>
      </c>
    </row>
    <row r="8136" spans="1:12">
      <c r="A8136" t="s">
        <v>24146</v>
      </c>
      <c r="B8136" t="s">
        <v>24147</v>
      </c>
      <c r="C8136" t="s">
        <v>24374</v>
      </c>
      <c r="D8136" t="s">
        <v>24149</v>
      </c>
      <c r="E8136" t="s">
        <v>5214</v>
      </c>
      <c r="F8136" t="s">
        <v>24375</v>
      </c>
    </row>
    <row r="8137" spans="1:12">
      <c r="A8137" t="s">
        <v>24146</v>
      </c>
      <c r="B8137" t="s">
        <v>24147</v>
      </c>
      <c r="C8137" t="s">
        <v>24376</v>
      </c>
      <c r="D8137" t="s">
        <v>24149</v>
      </c>
      <c r="E8137" t="s">
        <v>2774</v>
      </c>
      <c r="F8137" t="s">
        <v>24377</v>
      </c>
    </row>
    <row r="8138" spans="1:12">
      <c r="A8138" t="s">
        <v>24146</v>
      </c>
      <c r="B8138" t="s">
        <v>24147</v>
      </c>
      <c r="C8138" t="s">
        <v>24378</v>
      </c>
      <c r="D8138" t="s">
        <v>24149</v>
      </c>
      <c r="E8138" t="s">
        <v>706</v>
      </c>
      <c r="F8138" t="s">
        <v>24379</v>
      </c>
    </row>
    <row r="8139" spans="1:12">
      <c r="A8139" t="s">
        <v>24146</v>
      </c>
      <c r="B8139" t="s">
        <v>24147</v>
      </c>
      <c r="C8139" t="s">
        <v>24380</v>
      </c>
      <c r="D8139" t="s">
        <v>24149</v>
      </c>
      <c r="E8139" t="s">
        <v>14508</v>
      </c>
      <c r="F8139" t="s">
        <v>24381</v>
      </c>
    </row>
    <row r="8140" spans="1:12">
      <c r="A8140" t="s">
        <v>24146</v>
      </c>
      <c r="B8140" t="s">
        <v>24147</v>
      </c>
      <c r="C8140" t="s">
        <v>24382</v>
      </c>
      <c r="D8140" t="s">
        <v>24149</v>
      </c>
      <c r="E8140" t="s">
        <v>12910</v>
      </c>
      <c r="F8140" t="s">
        <v>24383</v>
      </c>
    </row>
    <row r="8141" spans="1:12">
      <c r="A8141" t="s">
        <v>24146</v>
      </c>
      <c r="B8141" t="s">
        <v>24147</v>
      </c>
      <c r="C8141" t="s">
        <v>24384</v>
      </c>
      <c r="D8141" t="s">
        <v>24149</v>
      </c>
      <c r="E8141" t="s">
        <v>6526</v>
      </c>
      <c r="F8141" t="s">
        <v>24385</v>
      </c>
    </row>
    <row r="8142" spans="1:12">
      <c r="A8142" t="s">
        <v>24146</v>
      </c>
      <c r="B8142" t="s">
        <v>24147</v>
      </c>
      <c r="C8142" t="s">
        <v>24386</v>
      </c>
      <c r="D8142" t="s">
        <v>24149</v>
      </c>
      <c r="E8142" t="s">
        <v>24387</v>
      </c>
      <c r="F8142" t="s">
        <v>24388</v>
      </c>
    </row>
    <row r="8143" spans="1:12">
      <c r="A8143" t="s">
        <v>24146</v>
      </c>
      <c r="B8143" t="s">
        <v>24147</v>
      </c>
      <c r="C8143" t="s">
        <v>24389</v>
      </c>
      <c r="D8143" t="s">
        <v>24149</v>
      </c>
      <c r="E8143" t="s">
        <v>24390</v>
      </c>
      <c r="F8143" t="s">
        <v>24391</v>
      </c>
      <c r="J8143" t="s">
        <v>24390</v>
      </c>
      <c r="K8143" t="s">
        <v>24152</v>
      </c>
      <c r="L8143" t="s">
        <v>3638</v>
      </c>
    </row>
    <row r="8144" spans="1:12">
      <c r="A8144" t="s">
        <v>24146</v>
      </c>
      <c r="B8144" t="s">
        <v>24147</v>
      </c>
      <c r="C8144" t="s">
        <v>24392</v>
      </c>
      <c r="D8144" t="s">
        <v>24149</v>
      </c>
      <c r="E8144" t="s">
        <v>15421</v>
      </c>
      <c r="F8144" t="s">
        <v>24393</v>
      </c>
    </row>
    <row r="8145" spans="1:12">
      <c r="A8145" t="s">
        <v>24146</v>
      </c>
      <c r="B8145" t="s">
        <v>24147</v>
      </c>
      <c r="C8145" t="s">
        <v>24394</v>
      </c>
      <c r="D8145" t="s">
        <v>24149</v>
      </c>
      <c r="E8145" t="s">
        <v>842</v>
      </c>
      <c r="F8145" t="s">
        <v>24395</v>
      </c>
    </row>
    <row r="8146" spans="1:12">
      <c r="A8146" t="s">
        <v>24146</v>
      </c>
      <c r="B8146" t="s">
        <v>24147</v>
      </c>
      <c r="C8146" t="s">
        <v>24396</v>
      </c>
      <c r="D8146" t="s">
        <v>24149</v>
      </c>
      <c r="E8146" t="s">
        <v>24397</v>
      </c>
      <c r="F8146" t="s">
        <v>24398</v>
      </c>
      <c r="J8146" t="s">
        <v>24397</v>
      </c>
      <c r="K8146" t="s">
        <v>24152</v>
      </c>
      <c r="L8146" t="s">
        <v>3638</v>
      </c>
    </row>
    <row r="8147" spans="1:12">
      <c r="A8147" t="s">
        <v>24146</v>
      </c>
      <c r="B8147" t="s">
        <v>24147</v>
      </c>
      <c r="C8147" t="s">
        <v>24399</v>
      </c>
      <c r="D8147" t="s">
        <v>24149</v>
      </c>
      <c r="E8147" t="s">
        <v>20332</v>
      </c>
      <c r="F8147" t="s">
        <v>24400</v>
      </c>
      <c r="J8147" t="s">
        <v>20332</v>
      </c>
      <c r="K8147" t="s">
        <v>24152</v>
      </c>
      <c r="L8147" t="s">
        <v>3638</v>
      </c>
    </row>
    <row r="8148" spans="1:12">
      <c r="A8148" t="s">
        <v>24146</v>
      </c>
      <c r="B8148" t="s">
        <v>24147</v>
      </c>
      <c r="C8148" t="s">
        <v>24401</v>
      </c>
      <c r="D8148" t="s">
        <v>24149</v>
      </c>
      <c r="E8148" t="s">
        <v>24402</v>
      </c>
      <c r="F8148" t="s">
        <v>24403</v>
      </c>
    </row>
    <row r="8149" spans="1:12">
      <c r="A8149" t="s">
        <v>24146</v>
      </c>
      <c r="B8149" t="s">
        <v>24147</v>
      </c>
      <c r="C8149" t="s">
        <v>24404</v>
      </c>
      <c r="D8149" t="s">
        <v>24149</v>
      </c>
      <c r="E8149" t="s">
        <v>11053</v>
      </c>
      <c r="F8149" t="s">
        <v>24405</v>
      </c>
    </row>
    <row r="8150" spans="1:12">
      <c r="A8150" t="s">
        <v>24146</v>
      </c>
      <c r="B8150" t="s">
        <v>24147</v>
      </c>
      <c r="C8150" t="s">
        <v>24406</v>
      </c>
      <c r="D8150" t="s">
        <v>24149</v>
      </c>
      <c r="E8150" t="s">
        <v>15636</v>
      </c>
      <c r="F8150" t="s">
        <v>24407</v>
      </c>
    </row>
    <row r="8151" spans="1:12">
      <c r="A8151" t="s">
        <v>24146</v>
      </c>
      <c r="B8151" t="s">
        <v>24147</v>
      </c>
      <c r="C8151" t="s">
        <v>24408</v>
      </c>
      <c r="D8151" t="s">
        <v>24149</v>
      </c>
      <c r="E8151" t="s">
        <v>9898</v>
      </c>
      <c r="F8151" t="s">
        <v>24409</v>
      </c>
    </row>
    <row r="8152" spans="1:12">
      <c r="A8152" t="s">
        <v>24146</v>
      </c>
      <c r="B8152" t="s">
        <v>24147</v>
      </c>
      <c r="C8152" t="s">
        <v>24410</v>
      </c>
      <c r="D8152" t="s">
        <v>24149</v>
      </c>
      <c r="E8152" t="s">
        <v>12983</v>
      </c>
      <c r="F8152" t="s">
        <v>24411</v>
      </c>
    </row>
    <row r="8153" spans="1:12">
      <c r="A8153" t="s">
        <v>24146</v>
      </c>
      <c r="B8153" t="s">
        <v>24147</v>
      </c>
      <c r="C8153" t="s">
        <v>24412</v>
      </c>
      <c r="D8153" t="s">
        <v>24149</v>
      </c>
      <c r="E8153" t="s">
        <v>6725</v>
      </c>
      <c r="F8153" t="s">
        <v>24413</v>
      </c>
    </row>
    <row r="8154" spans="1:12">
      <c r="A8154" t="s">
        <v>24146</v>
      </c>
      <c r="B8154" t="s">
        <v>24147</v>
      </c>
      <c r="C8154" t="s">
        <v>24414</v>
      </c>
      <c r="D8154" t="s">
        <v>24149</v>
      </c>
      <c r="E8154" t="s">
        <v>20553</v>
      </c>
      <c r="F8154" t="s">
        <v>24415</v>
      </c>
    </row>
    <row r="8155" spans="1:12">
      <c r="A8155" t="s">
        <v>24146</v>
      </c>
      <c r="B8155" t="s">
        <v>24147</v>
      </c>
      <c r="C8155" t="s">
        <v>24416</v>
      </c>
      <c r="D8155" t="s">
        <v>24149</v>
      </c>
      <c r="E8155" t="s">
        <v>9943</v>
      </c>
      <c r="F8155" t="s">
        <v>24417</v>
      </c>
    </row>
    <row r="8156" spans="1:12">
      <c r="A8156" t="s">
        <v>24146</v>
      </c>
      <c r="B8156" t="s">
        <v>24147</v>
      </c>
      <c r="C8156" t="s">
        <v>24418</v>
      </c>
      <c r="D8156" t="s">
        <v>24149</v>
      </c>
      <c r="E8156" t="s">
        <v>11694</v>
      </c>
      <c r="F8156" t="s">
        <v>24419</v>
      </c>
    </row>
    <row r="8157" spans="1:12">
      <c r="A8157" t="s">
        <v>24146</v>
      </c>
      <c r="B8157" t="s">
        <v>24147</v>
      </c>
      <c r="C8157" t="s">
        <v>24420</v>
      </c>
      <c r="D8157" t="s">
        <v>24149</v>
      </c>
      <c r="E8157" t="s">
        <v>20567</v>
      </c>
      <c r="F8157" t="s">
        <v>24421</v>
      </c>
      <c r="J8157" t="s">
        <v>20567</v>
      </c>
      <c r="K8157" t="s">
        <v>24152</v>
      </c>
      <c r="L8157" t="s">
        <v>3638</v>
      </c>
    </row>
    <row r="8158" spans="1:12">
      <c r="A8158" t="s">
        <v>24146</v>
      </c>
      <c r="B8158" t="s">
        <v>24147</v>
      </c>
      <c r="C8158" t="s">
        <v>24422</v>
      </c>
      <c r="D8158" t="s">
        <v>24149</v>
      </c>
      <c r="E8158" t="s">
        <v>9958</v>
      </c>
      <c r="F8158" t="s">
        <v>24423</v>
      </c>
      <c r="J8158" t="s">
        <v>9958</v>
      </c>
      <c r="K8158" t="s">
        <v>24152</v>
      </c>
      <c r="L8158" t="s">
        <v>3638</v>
      </c>
    </row>
    <row r="8159" spans="1:12">
      <c r="A8159" t="s">
        <v>24146</v>
      </c>
      <c r="B8159" t="s">
        <v>24147</v>
      </c>
      <c r="C8159" t="s">
        <v>24424</v>
      </c>
      <c r="D8159" t="s">
        <v>24149</v>
      </c>
      <c r="E8159" t="s">
        <v>14112</v>
      </c>
      <c r="F8159" t="s">
        <v>24425</v>
      </c>
    </row>
    <row r="8160" spans="1:12">
      <c r="A8160" t="s">
        <v>24146</v>
      </c>
      <c r="B8160" t="s">
        <v>24147</v>
      </c>
      <c r="C8160" t="s">
        <v>24426</v>
      </c>
      <c r="D8160" t="s">
        <v>24149</v>
      </c>
      <c r="E8160" t="s">
        <v>12998</v>
      </c>
      <c r="F8160" t="s">
        <v>24427</v>
      </c>
      <c r="J8160" t="s">
        <v>12998</v>
      </c>
      <c r="K8160" t="s">
        <v>24152</v>
      </c>
      <c r="L8160" t="s">
        <v>3638</v>
      </c>
    </row>
    <row r="8161" spans="1:12">
      <c r="A8161" t="s">
        <v>24146</v>
      </c>
      <c r="B8161" t="s">
        <v>24147</v>
      </c>
      <c r="C8161" t="s">
        <v>24428</v>
      </c>
      <c r="D8161" t="s">
        <v>24149</v>
      </c>
      <c r="E8161" t="s">
        <v>3742</v>
      </c>
      <c r="F8161" t="s">
        <v>24429</v>
      </c>
    </row>
    <row r="8162" spans="1:12">
      <c r="A8162" t="s">
        <v>24146</v>
      </c>
      <c r="B8162" t="s">
        <v>24147</v>
      </c>
      <c r="C8162" t="s">
        <v>24430</v>
      </c>
      <c r="D8162" t="s">
        <v>24149</v>
      </c>
      <c r="E8162" t="s">
        <v>20675</v>
      </c>
      <c r="F8162" t="s">
        <v>24431</v>
      </c>
    </row>
    <row r="8163" spans="1:12">
      <c r="A8163" t="s">
        <v>24146</v>
      </c>
      <c r="B8163" t="s">
        <v>24147</v>
      </c>
      <c r="C8163" t="s">
        <v>24432</v>
      </c>
      <c r="D8163" t="s">
        <v>24149</v>
      </c>
      <c r="E8163" t="s">
        <v>3652</v>
      </c>
      <c r="F8163" t="s">
        <v>24433</v>
      </c>
    </row>
    <row r="8164" spans="1:12">
      <c r="A8164" t="s">
        <v>24146</v>
      </c>
      <c r="B8164" t="s">
        <v>24147</v>
      </c>
      <c r="C8164" t="s">
        <v>24434</v>
      </c>
      <c r="D8164" t="s">
        <v>24149</v>
      </c>
      <c r="E8164" t="s">
        <v>14623</v>
      </c>
      <c r="F8164" t="s">
        <v>24435</v>
      </c>
    </row>
    <row r="8165" spans="1:12">
      <c r="A8165" t="s">
        <v>24146</v>
      </c>
      <c r="B8165" t="s">
        <v>24147</v>
      </c>
      <c r="C8165" t="s">
        <v>24436</v>
      </c>
      <c r="D8165" t="s">
        <v>24149</v>
      </c>
      <c r="E8165" t="s">
        <v>7977</v>
      </c>
      <c r="F8165" t="s">
        <v>24437</v>
      </c>
    </row>
    <row r="8166" spans="1:12">
      <c r="A8166" t="s">
        <v>24146</v>
      </c>
      <c r="B8166" t="s">
        <v>24147</v>
      </c>
      <c r="C8166" t="s">
        <v>24438</v>
      </c>
      <c r="D8166" t="s">
        <v>24149</v>
      </c>
      <c r="E8166" t="s">
        <v>15327</v>
      </c>
      <c r="F8166" t="s">
        <v>24439</v>
      </c>
      <c r="J8166" t="s">
        <v>15327</v>
      </c>
      <c r="K8166" t="s">
        <v>24152</v>
      </c>
      <c r="L8166" t="s">
        <v>3638</v>
      </c>
    </row>
    <row r="8167" spans="1:12">
      <c r="A8167" t="s">
        <v>24146</v>
      </c>
      <c r="B8167" t="s">
        <v>24147</v>
      </c>
      <c r="C8167" t="s">
        <v>24440</v>
      </c>
      <c r="D8167" t="s">
        <v>24149</v>
      </c>
      <c r="E8167" t="s">
        <v>7474</v>
      </c>
      <c r="F8167" t="s">
        <v>24441</v>
      </c>
    </row>
    <row r="8168" spans="1:12">
      <c r="A8168" t="s">
        <v>24146</v>
      </c>
      <c r="B8168" t="s">
        <v>24147</v>
      </c>
      <c r="C8168" t="s">
        <v>24442</v>
      </c>
      <c r="D8168" t="s">
        <v>24149</v>
      </c>
      <c r="E8168" t="s">
        <v>24443</v>
      </c>
      <c r="F8168" t="s">
        <v>24444</v>
      </c>
      <c r="J8168" t="s">
        <v>24443</v>
      </c>
      <c r="K8168" t="s">
        <v>24152</v>
      </c>
      <c r="L8168" t="s">
        <v>3638</v>
      </c>
    </row>
    <row r="8169" spans="1:12">
      <c r="A8169" t="s">
        <v>24146</v>
      </c>
      <c r="B8169" t="s">
        <v>24147</v>
      </c>
      <c r="C8169" t="s">
        <v>24445</v>
      </c>
      <c r="D8169" t="s">
        <v>24149</v>
      </c>
      <c r="E8169" t="s">
        <v>24446</v>
      </c>
      <c r="F8169" t="s">
        <v>24447</v>
      </c>
    </row>
    <row r="8170" spans="1:12">
      <c r="A8170" t="s">
        <v>24146</v>
      </c>
      <c r="B8170" t="s">
        <v>24147</v>
      </c>
      <c r="C8170" t="s">
        <v>24448</v>
      </c>
      <c r="D8170" t="s">
        <v>24149</v>
      </c>
      <c r="E8170" t="s">
        <v>24449</v>
      </c>
      <c r="F8170" t="s">
        <v>24450</v>
      </c>
    </row>
    <row r="8171" spans="1:12">
      <c r="A8171" t="s">
        <v>24146</v>
      </c>
      <c r="B8171" t="s">
        <v>24147</v>
      </c>
      <c r="C8171" t="s">
        <v>24451</v>
      </c>
      <c r="D8171" t="s">
        <v>24149</v>
      </c>
      <c r="E8171" t="s">
        <v>24452</v>
      </c>
      <c r="F8171" t="s">
        <v>24453</v>
      </c>
      <c r="J8171" t="s">
        <v>24452</v>
      </c>
      <c r="K8171" t="s">
        <v>24152</v>
      </c>
      <c r="L8171" t="s">
        <v>3638</v>
      </c>
    </row>
    <row r="8172" spans="1:12">
      <c r="A8172" t="s">
        <v>24146</v>
      </c>
      <c r="B8172" t="s">
        <v>24147</v>
      </c>
      <c r="C8172" t="s">
        <v>24454</v>
      </c>
      <c r="D8172" t="s">
        <v>24149</v>
      </c>
      <c r="E8172" t="s">
        <v>21133</v>
      </c>
      <c r="F8172" t="s">
        <v>24455</v>
      </c>
    </row>
    <row r="8173" spans="1:12">
      <c r="A8173" t="s">
        <v>24146</v>
      </c>
      <c r="B8173" t="s">
        <v>24147</v>
      </c>
      <c r="C8173" t="s">
        <v>24456</v>
      </c>
      <c r="D8173" t="s">
        <v>24149</v>
      </c>
      <c r="E8173" t="s">
        <v>14123</v>
      </c>
      <c r="F8173" t="s">
        <v>24457</v>
      </c>
      <c r="J8173" t="s">
        <v>14123</v>
      </c>
      <c r="K8173" t="s">
        <v>24152</v>
      </c>
      <c r="L8173" t="s">
        <v>3638</v>
      </c>
    </row>
    <row r="8174" spans="1:12">
      <c r="A8174" t="s">
        <v>24146</v>
      </c>
      <c r="B8174" t="s">
        <v>24147</v>
      </c>
      <c r="C8174" t="s">
        <v>24458</v>
      </c>
      <c r="D8174" t="s">
        <v>24149</v>
      </c>
      <c r="E8174" t="s">
        <v>14677</v>
      </c>
      <c r="F8174" t="s">
        <v>24459</v>
      </c>
    </row>
    <row r="8175" spans="1:12">
      <c r="A8175" t="s">
        <v>24146</v>
      </c>
      <c r="B8175" t="s">
        <v>24147</v>
      </c>
      <c r="C8175" t="s">
        <v>24460</v>
      </c>
      <c r="D8175" t="s">
        <v>24149</v>
      </c>
      <c r="E8175" t="s">
        <v>4593</v>
      </c>
      <c r="F8175" t="s">
        <v>24461</v>
      </c>
    </row>
    <row r="8176" spans="1:12">
      <c r="A8176" t="s">
        <v>24146</v>
      </c>
      <c r="B8176" t="s">
        <v>24147</v>
      </c>
      <c r="C8176" t="s">
        <v>24462</v>
      </c>
      <c r="D8176" t="s">
        <v>24149</v>
      </c>
      <c r="E8176" t="s">
        <v>24463</v>
      </c>
      <c r="F8176" t="s">
        <v>24464</v>
      </c>
    </row>
    <row r="8177" spans="1:12">
      <c r="A8177" t="s">
        <v>24146</v>
      </c>
      <c r="B8177" t="s">
        <v>24147</v>
      </c>
      <c r="C8177" t="s">
        <v>24465</v>
      </c>
      <c r="D8177" t="s">
        <v>24149</v>
      </c>
      <c r="E8177" t="s">
        <v>14683</v>
      </c>
      <c r="F8177" t="s">
        <v>24466</v>
      </c>
    </row>
    <row r="8178" spans="1:12">
      <c r="A8178" t="s">
        <v>24146</v>
      </c>
      <c r="B8178" t="s">
        <v>24147</v>
      </c>
      <c r="C8178" t="s">
        <v>24467</v>
      </c>
      <c r="D8178" t="s">
        <v>24149</v>
      </c>
      <c r="E8178" t="s">
        <v>3023</v>
      </c>
      <c r="F8178" t="s">
        <v>24468</v>
      </c>
    </row>
    <row r="8179" spans="1:12">
      <c r="A8179" t="s">
        <v>24146</v>
      </c>
      <c r="B8179" t="s">
        <v>24147</v>
      </c>
      <c r="C8179" t="s">
        <v>24469</v>
      </c>
      <c r="D8179" t="s">
        <v>24149</v>
      </c>
      <c r="E8179" t="s">
        <v>24470</v>
      </c>
      <c r="F8179" t="s">
        <v>24471</v>
      </c>
    </row>
    <row r="8180" spans="1:12">
      <c r="A8180" t="s">
        <v>24146</v>
      </c>
      <c r="B8180" t="s">
        <v>24147</v>
      </c>
      <c r="C8180" t="s">
        <v>24472</v>
      </c>
      <c r="D8180" t="s">
        <v>24149</v>
      </c>
      <c r="E8180" t="s">
        <v>24473</v>
      </c>
      <c r="F8180" t="s">
        <v>24474</v>
      </c>
      <c r="J8180" t="s">
        <v>24473</v>
      </c>
      <c r="K8180" t="s">
        <v>24152</v>
      </c>
      <c r="L8180" t="s">
        <v>3638</v>
      </c>
    </row>
    <row r="8181" spans="1:12">
      <c r="A8181" t="s">
        <v>24146</v>
      </c>
      <c r="B8181" t="s">
        <v>24147</v>
      </c>
      <c r="C8181" t="s">
        <v>24475</v>
      </c>
      <c r="D8181" t="s">
        <v>24149</v>
      </c>
      <c r="E8181" t="s">
        <v>3076</v>
      </c>
      <c r="F8181" t="s">
        <v>24476</v>
      </c>
    </row>
    <row r="8182" spans="1:12">
      <c r="A8182" t="s">
        <v>24146</v>
      </c>
      <c r="B8182" t="s">
        <v>24147</v>
      </c>
      <c r="C8182" t="s">
        <v>24477</v>
      </c>
      <c r="D8182" t="s">
        <v>24149</v>
      </c>
      <c r="E8182" t="s">
        <v>10146</v>
      </c>
      <c r="F8182" t="s">
        <v>24478</v>
      </c>
    </row>
    <row r="8183" spans="1:12">
      <c r="A8183" t="s">
        <v>24146</v>
      </c>
      <c r="B8183" t="s">
        <v>24147</v>
      </c>
      <c r="C8183" t="s">
        <v>24479</v>
      </c>
      <c r="D8183" t="s">
        <v>24149</v>
      </c>
      <c r="E8183" t="s">
        <v>24480</v>
      </c>
      <c r="F8183" t="s">
        <v>24481</v>
      </c>
    </row>
    <row r="8184" spans="1:12">
      <c r="A8184" t="s">
        <v>24146</v>
      </c>
      <c r="B8184" t="s">
        <v>24147</v>
      </c>
      <c r="C8184" t="s">
        <v>24482</v>
      </c>
      <c r="D8184" t="s">
        <v>24149</v>
      </c>
      <c r="E8184" t="s">
        <v>655</v>
      </c>
      <c r="F8184" t="s">
        <v>656</v>
      </c>
    </row>
    <row r="8185" spans="1:12">
      <c r="A8185" t="s">
        <v>24146</v>
      </c>
      <c r="B8185" t="s">
        <v>24147</v>
      </c>
      <c r="D8185" t="s">
        <v>24149</v>
      </c>
      <c r="F8185" t="s">
        <v>24483</v>
      </c>
      <c r="J8185" t="s">
        <v>24484</v>
      </c>
      <c r="K8185" t="s">
        <v>24152</v>
      </c>
      <c r="L8185" t="s">
        <v>3638</v>
      </c>
    </row>
    <row r="8186" spans="1:12">
      <c r="A8186" t="s">
        <v>24146</v>
      </c>
      <c r="B8186" t="s">
        <v>24147</v>
      </c>
      <c r="D8186" t="s">
        <v>24149</v>
      </c>
      <c r="F8186" t="s">
        <v>24485</v>
      </c>
      <c r="J8186" t="s">
        <v>24486</v>
      </c>
      <c r="K8186" t="s">
        <v>24152</v>
      </c>
      <c r="L8186" t="s">
        <v>3638</v>
      </c>
    </row>
    <row r="8187" spans="1:12">
      <c r="A8187" t="s">
        <v>24146</v>
      </c>
      <c r="B8187" t="s">
        <v>24147</v>
      </c>
      <c r="D8187" t="s">
        <v>24149</v>
      </c>
      <c r="F8187" t="s">
        <v>12440</v>
      </c>
      <c r="J8187" t="s">
        <v>19245</v>
      </c>
      <c r="K8187" t="s">
        <v>24152</v>
      </c>
      <c r="L8187" t="s">
        <v>3638</v>
      </c>
    </row>
    <row r="8188" spans="1:12">
      <c r="A8188" t="s">
        <v>24146</v>
      </c>
      <c r="B8188" t="s">
        <v>24147</v>
      </c>
      <c r="D8188" t="s">
        <v>24149</v>
      </c>
      <c r="F8188" t="s">
        <v>24487</v>
      </c>
      <c r="J8188" t="s">
        <v>24488</v>
      </c>
      <c r="K8188" t="s">
        <v>24152</v>
      </c>
      <c r="L8188" t="s">
        <v>3638</v>
      </c>
    </row>
    <row r="8189" spans="1:12">
      <c r="A8189" t="s">
        <v>24489</v>
      </c>
      <c r="B8189" t="s">
        <v>24490</v>
      </c>
      <c r="C8189" t="s">
        <v>24491</v>
      </c>
      <c r="D8189" t="s">
        <v>24492</v>
      </c>
      <c r="E8189" t="s">
        <v>24493</v>
      </c>
      <c r="F8189" t="s">
        <v>24494</v>
      </c>
      <c r="J8189" t="s">
        <v>24493</v>
      </c>
      <c r="K8189" t="s">
        <v>24495</v>
      </c>
      <c r="L8189" t="s">
        <v>916</v>
      </c>
    </row>
    <row r="8190" spans="1:12">
      <c r="A8190" t="s">
        <v>24489</v>
      </c>
      <c r="B8190" t="s">
        <v>24490</v>
      </c>
      <c r="C8190" t="s">
        <v>24496</v>
      </c>
      <c r="D8190" t="s">
        <v>24492</v>
      </c>
      <c r="E8190" t="s">
        <v>24497</v>
      </c>
      <c r="F8190" t="s">
        <v>24498</v>
      </c>
      <c r="J8190" t="s">
        <v>24497</v>
      </c>
      <c r="K8190" t="s">
        <v>24495</v>
      </c>
      <c r="L8190" t="s">
        <v>916</v>
      </c>
    </row>
    <row r="8191" spans="1:12">
      <c r="A8191" t="s">
        <v>24489</v>
      </c>
      <c r="B8191" t="s">
        <v>24490</v>
      </c>
      <c r="C8191" t="s">
        <v>24499</v>
      </c>
      <c r="D8191" t="s">
        <v>24492</v>
      </c>
      <c r="E8191" t="s">
        <v>24500</v>
      </c>
      <c r="F8191" t="s">
        <v>24501</v>
      </c>
      <c r="J8191" t="s">
        <v>24500</v>
      </c>
      <c r="K8191" t="s">
        <v>24495</v>
      </c>
      <c r="L8191" t="s">
        <v>916</v>
      </c>
    </row>
    <row r="8192" spans="1:12">
      <c r="A8192" t="s">
        <v>24489</v>
      </c>
      <c r="B8192" t="s">
        <v>24490</v>
      </c>
      <c r="C8192" t="s">
        <v>24502</v>
      </c>
      <c r="D8192" t="s">
        <v>24492</v>
      </c>
      <c r="E8192" t="s">
        <v>1564</v>
      </c>
      <c r="F8192" t="s">
        <v>24503</v>
      </c>
    </row>
    <row r="8193" spans="1:12">
      <c r="A8193" t="s">
        <v>24489</v>
      </c>
      <c r="B8193" t="s">
        <v>24490</v>
      </c>
      <c r="C8193" t="s">
        <v>24504</v>
      </c>
      <c r="D8193" t="s">
        <v>24492</v>
      </c>
      <c r="E8193" t="s">
        <v>24505</v>
      </c>
      <c r="F8193" t="s">
        <v>24506</v>
      </c>
      <c r="J8193" t="s">
        <v>24505</v>
      </c>
      <c r="K8193" t="s">
        <v>24495</v>
      </c>
      <c r="L8193" t="s">
        <v>916</v>
      </c>
    </row>
    <row r="8194" spans="1:12">
      <c r="A8194" t="s">
        <v>24489</v>
      </c>
      <c r="B8194" t="s">
        <v>24490</v>
      </c>
      <c r="C8194" t="s">
        <v>24507</v>
      </c>
      <c r="D8194" t="s">
        <v>24492</v>
      </c>
      <c r="E8194" t="s">
        <v>24508</v>
      </c>
      <c r="F8194" t="s">
        <v>24509</v>
      </c>
      <c r="J8194" t="s">
        <v>24508</v>
      </c>
      <c r="K8194" t="s">
        <v>24495</v>
      </c>
      <c r="L8194" t="s">
        <v>916</v>
      </c>
    </row>
    <row r="8195" spans="1:12">
      <c r="A8195" t="s">
        <v>24489</v>
      </c>
      <c r="B8195" t="s">
        <v>24490</v>
      </c>
      <c r="C8195" t="s">
        <v>24510</v>
      </c>
      <c r="D8195" t="s">
        <v>24492</v>
      </c>
      <c r="E8195" t="s">
        <v>24511</v>
      </c>
      <c r="F8195" t="s">
        <v>24512</v>
      </c>
      <c r="J8195" t="s">
        <v>24511</v>
      </c>
      <c r="K8195" t="s">
        <v>24495</v>
      </c>
      <c r="L8195" t="s">
        <v>916</v>
      </c>
    </row>
    <row r="8196" spans="1:12">
      <c r="A8196" t="s">
        <v>24489</v>
      </c>
      <c r="B8196" t="s">
        <v>24490</v>
      </c>
      <c r="C8196" t="s">
        <v>24513</v>
      </c>
      <c r="D8196" t="s">
        <v>24492</v>
      </c>
      <c r="E8196" t="s">
        <v>24514</v>
      </c>
      <c r="F8196" t="s">
        <v>24514</v>
      </c>
      <c r="J8196" t="s">
        <v>24514</v>
      </c>
      <c r="K8196" t="s">
        <v>24495</v>
      </c>
      <c r="L8196" t="s">
        <v>916</v>
      </c>
    </row>
    <row r="8197" spans="1:12">
      <c r="A8197" t="s">
        <v>24489</v>
      </c>
      <c r="B8197" t="s">
        <v>24490</v>
      </c>
      <c r="C8197" t="s">
        <v>24515</v>
      </c>
      <c r="D8197" t="s">
        <v>24492</v>
      </c>
      <c r="E8197" t="s">
        <v>24516</v>
      </c>
      <c r="F8197" t="s">
        <v>24517</v>
      </c>
      <c r="J8197" t="s">
        <v>24516</v>
      </c>
      <c r="K8197" t="s">
        <v>24495</v>
      </c>
      <c r="L8197" t="s">
        <v>916</v>
      </c>
    </row>
    <row r="8198" spans="1:12">
      <c r="A8198" t="s">
        <v>24489</v>
      </c>
      <c r="B8198" t="s">
        <v>24490</v>
      </c>
      <c r="C8198" t="s">
        <v>24518</v>
      </c>
      <c r="D8198" t="s">
        <v>24492</v>
      </c>
      <c r="E8198" t="s">
        <v>17608</v>
      </c>
      <c r="F8198" t="s">
        <v>24519</v>
      </c>
      <c r="J8198" t="s">
        <v>17608</v>
      </c>
      <c r="K8198" t="s">
        <v>24495</v>
      </c>
      <c r="L8198" t="s">
        <v>916</v>
      </c>
    </row>
    <row r="8199" spans="1:12">
      <c r="A8199" t="s">
        <v>24489</v>
      </c>
      <c r="B8199" t="s">
        <v>24490</v>
      </c>
      <c r="C8199" t="s">
        <v>24520</v>
      </c>
      <c r="D8199" t="s">
        <v>24492</v>
      </c>
      <c r="E8199" t="s">
        <v>24521</v>
      </c>
      <c r="F8199" t="s">
        <v>24522</v>
      </c>
      <c r="J8199" t="s">
        <v>24521</v>
      </c>
      <c r="K8199" t="s">
        <v>24495</v>
      </c>
      <c r="L8199" t="s">
        <v>916</v>
      </c>
    </row>
    <row r="8200" spans="1:12">
      <c r="A8200" t="s">
        <v>24489</v>
      </c>
      <c r="B8200" t="s">
        <v>24490</v>
      </c>
      <c r="C8200" t="s">
        <v>24523</v>
      </c>
      <c r="D8200" t="s">
        <v>24492</v>
      </c>
      <c r="E8200" t="s">
        <v>24524</v>
      </c>
      <c r="F8200" t="s">
        <v>24525</v>
      </c>
      <c r="J8200" t="s">
        <v>24524</v>
      </c>
      <c r="K8200" t="s">
        <v>24495</v>
      </c>
      <c r="L8200" t="s">
        <v>916</v>
      </c>
    </row>
    <row r="8201" spans="1:12">
      <c r="A8201" t="s">
        <v>24489</v>
      </c>
      <c r="B8201" t="s">
        <v>24490</v>
      </c>
      <c r="C8201" t="s">
        <v>24526</v>
      </c>
      <c r="D8201" t="s">
        <v>24492</v>
      </c>
      <c r="E8201" t="s">
        <v>24527</v>
      </c>
      <c r="F8201" t="s">
        <v>8065</v>
      </c>
      <c r="J8201" t="s">
        <v>24527</v>
      </c>
      <c r="K8201" t="s">
        <v>24495</v>
      </c>
      <c r="L8201" t="s">
        <v>916</v>
      </c>
    </row>
    <row r="8202" spans="1:12">
      <c r="A8202" t="s">
        <v>24489</v>
      </c>
      <c r="B8202" t="s">
        <v>24490</v>
      </c>
      <c r="C8202" t="s">
        <v>24528</v>
      </c>
      <c r="D8202" t="s">
        <v>24492</v>
      </c>
      <c r="E8202" t="s">
        <v>6491</v>
      </c>
      <c r="F8202" t="s">
        <v>24529</v>
      </c>
    </row>
    <row r="8203" spans="1:12">
      <c r="A8203" t="s">
        <v>24489</v>
      </c>
      <c r="B8203" t="s">
        <v>24490</v>
      </c>
      <c r="C8203" t="s">
        <v>24530</v>
      </c>
      <c r="D8203" t="s">
        <v>24492</v>
      </c>
      <c r="E8203" t="s">
        <v>4157</v>
      </c>
      <c r="F8203" t="s">
        <v>24531</v>
      </c>
    </row>
    <row r="8204" spans="1:12">
      <c r="A8204" t="s">
        <v>24489</v>
      </c>
      <c r="B8204" t="s">
        <v>24490</v>
      </c>
      <c r="C8204" t="s">
        <v>24532</v>
      </c>
      <c r="D8204" t="s">
        <v>24492</v>
      </c>
      <c r="E8204" t="s">
        <v>9484</v>
      </c>
      <c r="F8204" t="s">
        <v>24533</v>
      </c>
    </row>
    <row r="8205" spans="1:12">
      <c r="A8205" t="s">
        <v>24489</v>
      </c>
      <c r="B8205" t="s">
        <v>24490</v>
      </c>
      <c r="C8205" t="s">
        <v>24534</v>
      </c>
      <c r="D8205" t="s">
        <v>24492</v>
      </c>
      <c r="E8205" t="s">
        <v>6963</v>
      </c>
      <c r="F8205" t="s">
        <v>24535</v>
      </c>
      <c r="J8205" t="s">
        <v>6963</v>
      </c>
      <c r="K8205" t="s">
        <v>24495</v>
      </c>
      <c r="L8205" t="s">
        <v>916</v>
      </c>
    </row>
    <row r="8206" spans="1:12">
      <c r="A8206" t="s">
        <v>24489</v>
      </c>
      <c r="B8206" t="s">
        <v>24490</v>
      </c>
      <c r="C8206" t="s">
        <v>24536</v>
      </c>
      <c r="D8206" t="s">
        <v>24492</v>
      </c>
      <c r="E8206" t="s">
        <v>24537</v>
      </c>
      <c r="F8206" t="s">
        <v>24538</v>
      </c>
      <c r="J8206" t="s">
        <v>24537</v>
      </c>
      <c r="K8206" t="s">
        <v>24495</v>
      </c>
      <c r="L8206" t="s">
        <v>916</v>
      </c>
    </row>
    <row r="8207" spans="1:12">
      <c r="A8207" t="s">
        <v>24489</v>
      </c>
      <c r="B8207" t="s">
        <v>24490</v>
      </c>
      <c r="C8207" t="s">
        <v>24539</v>
      </c>
      <c r="D8207" t="s">
        <v>24492</v>
      </c>
      <c r="E8207" t="s">
        <v>12800</v>
      </c>
      <c r="F8207" t="s">
        <v>24540</v>
      </c>
      <c r="J8207" t="s">
        <v>12800</v>
      </c>
      <c r="K8207" t="s">
        <v>24495</v>
      </c>
      <c r="L8207" t="s">
        <v>916</v>
      </c>
    </row>
    <row r="8208" spans="1:12">
      <c r="A8208" t="s">
        <v>24489</v>
      </c>
      <c r="B8208" t="s">
        <v>24490</v>
      </c>
      <c r="C8208" t="s">
        <v>24541</v>
      </c>
      <c r="D8208" t="s">
        <v>24492</v>
      </c>
      <c r="E8208" t="s">
        <v>9528</v>
      </c>
      <c r="F8208" t="s">
        <v>24542</v>
      </c>
    </row>
    <row r="8209" spans="1:12">
      <c r="A8209" t="s">
        <v>24489</v>
      </c>
      <c r="B8209" t="s">
        <v>24490</v>
      </c>
      <c r="C8209" t="s">
        <v>24543</v>
      </c>
      <c r="D8209" t="s">
        <v>24492</v>
      </c>
      <c r="E8209" t="s">
        <v>24544</v>
      </c>
      <c r="F8209" t="s">
        <v>24545</v>
      </c>
      <c r="J8209" t="s">
        <v>24544</v>
      </c>
      <c r="K8209" t="s">
        <v>24495</v>
      </c>
      <c r="L8209" t="s">
        <v>916</v>
      </c>
    </row>
    <row r="8210" spans="1:12">
      <c r="A8210" t="s">
        <v>24489</v>
      </c>
      <c r="B8210" t="s">
        <v>24490</v>
      </c>
      <c r="C8210" t="s">
        <v>24546</v>
      </c>
      <c r="D8210" t="s">
        <v>24492</v>
      </c>
      <c r="E8210" t="s">
        <v>24547</v>
      </c>
      <c r="F8210" t="s">
        <v>24548</v>
      </c>
    </row>
    <row r="8211" spans="1:12">
      <c r="A8211" t="s">
        <v>24489</v>
      </c>
      <c r="B8211" t="s">
        <v>24490</v>
      </c>
      <c r="C8211" t="s">
        <v>24549</v>
      </c>
      <c r="D8211" t="s">
        <v>24492</v>
      </c>
      <c r="E8211" t="s">
        <v>19170</v>
      </c>
      <c r="F8211" t="s">
        <v>24550</v>
      </c>
      <c r="J8211" t="s">
        <v>19170</v>
      </c>
      <c r="K8211" t="s">
        <v>24495</v>
      </c>
      <c r="L8211" t="s">
        <v>916</v>
      </c>
    </row>
    <row r="8212" spans="1:12">
      <c r="A8212" t="s">
        <v>24489</v>
      </c>
      <c r="B8212" t="s">
        <v>24490</v>
      </c>
      <c r="C8212" t="s">
        <v>24551</v>
      </c>
      <c r="D8212" t="s">
        <v>24492</v>
      </c>
      <c r="E8212" t="s">
        <v>24552</v>
      </c>
      <c r="F8212" t="s">
        <v>24553</v>
      </c>
      <c r="J8212" t="s">
        <v>24552</v>
      </c>
      <c r="K8212" t="s">
        <v>24495</v>
      </c>
      <c r="L8212" t="s">
        <v>916</v>
      </c>
    </row>
    <row r="8213" spans="1:12">
      <c r="A8213" t="s">
        <v>24489</v>
      </c>
      <c r="B8213" t="s">
        <v>24490</v>
      </c>
      <c r="C8213" t="s">
        <v>24554</v>
      </c>
      <c r="D8213" t="s">
        <v>24492</v>
      </c>
      <c r="E8213" t="s">
        <v>24555</v>
      </c>
      <c r="F8213" t="s">
        <v>24556</v>
      </c>
      <c r="J8213" t="s">
        <v>24555</v>
      </c>
      <c r="K8213" t="s">
        <v>24495</v>
      </c>
      <c r="L8213" t="s">
        <v>916</v>
      </c>
    </row>
    <row r="8214" spans="1:12">
      <c r="A8214" t="s">
        <v>24489</v>
      </c>
      <c r="B8214" t="s">
        <v>24490</v>
      </c>
      <c r="C8214" t="s">
        <v>24557</v>
      </c>
      <c r="D8214" t="s">
        <v>24492</v>
      </c>
      <c r="E8214" t="s">
        <v>24558</v>
      </c>
      <c r="F8214" t="s">
        <v>24559</v>
      </c>
    </row>
    <row r="8215" spans="1:12">
      <c r="A8215" t="s">
        <v>24489</v>
      </c>
      <c r="B8215" t="s">
        <v>24490</v>
      </c>
      <c r="C8215" t="s">
        <v>24560</v>
      </c>
      <c r="D8215" t="s">
        <v>24492</v>
      </c>
      <c r="E8215" t="s">
        <v>24561</v>
      </c>
      <c r="F8215" t="s">
        <v>24562</v>
      </c>
      <c r="J8215" t="s">
        <v>24561</v>
      </c>
      <c r="K8215" t="s">
        <v>24495</v>
      </c>
      <c r="L8215" t="s">
        <v>916</v>
      </c>
    </row>
    <row r="8216" spans="1:12">
      <c r="A8216" t="s">
        <v>24489</v>
      </c>
      <c r="B8216" t="s">
        <v>24490</v>
      </c>
      <c r="C8216" t="s">
        <v>24563</v>
      </c>
      <c r="D8216" t="s">
        <v>24492</v>
      </c>
      <c r="E8216" t="s">
        <v>2640</v>
      </c>
      <c r="F8216" t="s">
        <v>24564</v>
      </c>
    </row>
    <row r="8217" spans="1:12">
      <c r="A8217" t="s">
        <v>24489</v>
      </c>
      <c r="B8217" t="s">
        <v>24490</v>
      </c>
      <c r="C8217" t="s">
        <v>24565</v>
      </c>
      <c r="D8217" t="s">
        <v>24492</v>
      </c>
      <c r="E8217" t="s">
        <v>24566</v>
      </c>
      <c r="F8217" t="s">
        <v>24567</v>
      </c>
      <c r="J8217" t="s">
        <v>24566</v>
      </c>
      <c r="K8217" t="s">
        <v>24495</v>
      </c>
      <c r="L8217" t="s">
        <v>916</v>
      </c>
    </row>
    <row r="8218" spans="1:12">
      <c r="A8218" t="s">
        <v>24489</v>
      </c>
      <c r="B8218" t="s">
        <v>24490</v>
      </c>
      <c r="C8218" t="s">
        <v>24568</v>
      </c>
      <c r="D8218" t="s">
        <v>24492</v>
      </c>
      <c r="E8218" t="s">
        <v>24569</v>
      </c>
      <c r="F8218" t="s">
        <v>24570</v>
      </c>
      <c r="J8218" t="s">
        <v>24569</v>
      </c>
      <c r="K8218" t="s">
        <v>24495</v>
      </c>
      <c r="L8218" t="s">
        <v>916</v>
      </c>
    </row>
    <row r="8219" spans="1:12">
      <c r="A8219" t="s">
        <v>24489</v>
      </c>
      <c r="B8219" t="s">
        <v>24490</v>
      </c>
      <c r="C8219" t="s">
        <v>24571</v>
      </c>
      <c r="D8219" t="s">
        <v>24492</v>
      </c>
      <c r="E8219" t="s">
        <v>24572</v>
      </c>
      <c r="F8219" t="s">
        <v>24573</v>
      </c>
      <c r="J8219" t="s">
        <v>24572</v>
      </c>
      <c r="K8219" t="s">
        <v>24495</v>
      </c>
      <c r="L8219" t="s">
        <v>916</v>
      </c>
    </row>
    <row r="8220" spans="1:12">
      <c r="A8220" t="s">
        <v>24489</v>
      </c>
      <c r="B8220" t="s">
        <v>24490</v>
      </c>
      <c r="C8220" t="s">
        <v>24574</v>
      </c>
      <c r="D8220" t="s">
        <v>24492</v>
      </c>
      <c r="E8220" t="s">
        <v>24575</v>
      </c>
      <c r="F8220" t="s">
        <v>24576</v>
      </c>
      <c r="J8220" t="s">
        <v>24575</v>
      </c>
      <c r="K8220" t="s">
        <v>24495</v>
      </c>
      <c r="L8220" t="s">
        <v>916</v>
      </c>
    </row>
    <row r="8221" spans="1:12">
      <c r="A8221" t="s">
        <v>24489</v>
      </c>
      <c r="B8221" t="s">
        <v>24490</v>
      </c>
      <c r="C8221" t="s">
        <v>24577</v>
      </c>
      <c r="D8221" t="s">
        <v>24492</v>
      </c>
      <c r="E8221" t="s">
        <v>20984</v>
      </c>
      <c r="F8221" t="s">
        <v>24578</v>
      </c>
      <c r="J8221" t="s">
        <v>20984</v>
      </c>
      <c r="K8221" t="s">
        <v>24495</v>
      </c>
      <c r="L8221" t="s">
        <v>916</v>
      </c>
    </row>
    <row r="8222" spans="1:12">
      <c r="A8222" t="s">
        <v>24489</v>
      </c>
      <c r="B8222" t="s">
        <v>24490</v>
      </c>
      <c r="C8222" t="s">
        <v>24579</v>
      </c>
      <c r="D8222" t="s">
        <v>24492</v>
      </c>
      <c r="E8222" t="s">
        <v>10063</v>
      </c>
      <c r="F8222" t="s">
        <v>24580</v>
      </c>
      <c r="J8222" t="s">
        <v>10063</v>
      </c>
      <c r="K8222" t="s">
        <v>24495</v>
      </c>
      <c r="L8222" t="s">
        <v>916</v>
      </c>
    </row>
    <row r="8223" spans="1:12">
      <c r="A8223" t="s">
        <v>24489</v>
      </c>
      <c r="B8223" t="s">
        <v>24490</v>
      </c>
      <c r="C8223" t="s">
        <v>24581</v>
      </c>
      <c r="D8223" t="s">
        <v>24492</v>
      </c>
      <c r="E8223" t="s">
        <v>24582</v>
      </c>
      <c r="F8223" t="s">
        <v>24583</v>
      </c>
      <c r="J8223" t="s">
        <v>24582</v>
      </c>
      <c r="K8223" t="s">
        <v>24495</v>
      </c>
      <c r="L8223" t="s">
        <v>916</v>
      </c>
    </row>
    <row r="8224" spans="1:12">
      <c r="A8224" t="s">
        <v>24489</v>
      </c>
      <c r="B8224" t="s">
        <v>24490</v>
      </c>
      <c r="C8224" t="s">
        <v>24584</v>
      </c>
      <c r="D8224" t="s">
        <v>24492</v>
      </c>
      <c r="E8224" t="s">
        <v>24585</v>
      </c>
      <c r="F8224" t="s">
        <v>24586</v>
      </c>
      <c r="J8224" t="s">
        <v>24585</v>
      </c>
      <c r="K8224" t="s">
        <v>24495</v>
      </c>
      <c r="L8224" t="s">
        <v>916</v>
      </c>
    </row>
    <row r="8225" spans="1:12">
      <c r="A8225" t="s">
        <v>24489</v>
      </c>
      <c r="B8225" t="s">
        <v>24490</v>
      </c>
      <c r="C8225" t="s">
        <v>24587</v>
      </c>
      <c r="D8225" t="s">
        <v>24492</v>
      </c>
      <c r="E8225" t="s">
        <v>24588</v>
      </c>
      <c r="F8225" t="s">
        <v>24589</v>
      </c>
      <c r="J8225" t="s">
        <v>24588</v>
      </c>
      <c r="K8225" t="s">
        <v>24495</v>
      </c>
      <c r="L8225" t="s">
        <v>916</v>
      </c>
    </row>
    <row r="8226" spans="1:12">
      <c r="A8226" t="s">
        <v>24489</v>
      </c>
      <c r="B8226" t="s">
        <v>24490</v>
      </c>
      <c r="C8226" t="s">
        <v>24590</v>
      </c>
      <c r="D8226" t="s">
        <v>24492</v>
      </c>
      <c r="E8226" t="s">
        <v>655</v>
      </c>
      <c r="F8226" t="s">
        <v>656</v>
      </c>
    </row>
    <row r="8227" spans="1:12">
      <c r="A8227" t="s">
        <v>24489</v>
      </c>
      <c r="B8227" t="s">
        <v>24490</v>
      </c>
      <c r="D8227" t="s">
        <v>24492</v>
      </c>
      <c r="F8227" t="s">
        <v>24591</v>
      </c>
      <c r="J8227" t="s">
        <v>24592</v>
      </c>
      <c r="K8227" t="s">
        <v>24495</v>
      </c>
      <c r="L8227" t="s">
        <v>916</v>
      </c>
    </row>
    <row r="8228" spans="1:12">
      <c r="A8228" t="s">
        <v>24489</v>
      </c>
      <c r="B8228" t="s">
        <v>24490</v>
      </c>
      <c r="D8228" t="s">
        <v>24492</v>
      </c>
      <c r="F8228" t="s">
        <v>24578</v>
      </c>
      <c r="J8228" t="s">
        <v>24593</v>
      </c>
      <c r="K8228" t="s">
        <v>24495</v>
      </c>
      <c r="L8228" t="s">
        <v>916</v>
      </c>
    </row>
    <row r="8229" spans="1:12">
      <c r="A8229" t="s">
        <v>24489</v>
      </c>
      <c r="B8229" t="s">
        <v>24490</v>
      </c>
      <c r="D8229" t="s">
        <v>24492</v>
      </c>
      <c r="F8229" t="s">
        <v>24594</v>
      </c>
      <c r="J8229" t="s">
        <v>24595</v>
      </c>
      <c r="K8229" t="s">
        <v>24495</v>
      </c>
      <c r="L8229" t="s">
        <v>916</v>
      </c>
    </row>
    <row r="8230" spans="1:12">
      <c r="A8230" t="s">
        <v>24489</v>
      </c>
      <c r="B8230" t="s">
        <v>24490</v>
      </c>
      <c r="D8230" t="s">
        <v>24492</v>
      </c>
      <c r="F8230" t="s">
        <v>24596</v>
      </c>
      <c r="J8230" t="s">
        <v>24597</v>
      </c>
      <c r="K8230" t="s">
        <v>24495</v>
      </c>
      <c r="L8230" t="s">
        <v>916</v>
      </c>
    </row>
    <row r="8231" spans="1:12">
      <c r="A8231" t="s">
        <v>24598</v>
      </c>
      <c r="B8231" t="s">
        <v>24599</v>
      </c>
      <c r="C8231" t="s">
        <v>24600</v>
      </c>
      <c r="D8231" t="s">
        <v>24601</v>
      </c>
      <c r="E8231" t="s">
        <v>24602</v>
      </c>
      <c r="F8231" t="s">
        <v>24603</v>
      </c>
      <c r="J8231" t="s">
        <v>24602</v>
      </c>
      <c r="K8231" t="s">
        <v>24604</v>
      </c>
      <c r="L8231" t="s">
        <v>916</v>
      </c>
    </row>
    <row r="8232" spans="1:12">
      <c r="A8232" t="s">
        <v>24598</v>
      </c>
      <c r="B8232" t="s">
        <v>24599</v>
      </c>
      <c r="C8232" t="s">
        <v>24605</v>
      </c>
      <c r="D8232" t="s">
        <v>24601</v>
      </c>
      <c r="E8232" t="s">
        <v>24606</v>
      </c>
      <c r="F8232" t="s">
        <v>24607</v>
      </c>
      <c r="J8232" t="s">
        <v>24606</v>
      </c>
      <c r="K8232" t="s">
        <v>24604</v>
      </c>
      <c r="L8232" t="s">
        <v>916</v>
      </c>
    </row>
    <row r="8233" spans="1:12">
      <c r="A8233" t="s">
        <v>24598</v>
      </c>
      <c r="B8233" t="s">
        <v>24599</v>
      </c>
      <c r="C8233" t="s">
        <v>24608</v>
      </c>
      <c r="D8233" t="s">
        <v>24601</v>
      </c>
      <c r="E8233" t="s">
        <v>24609</v>
      </c>
      <c r="F8233" t="s">
        <v>24610</v>
      </c>
      <c r="J8233" t="s">
        <v>24609</v>
      </c>
      <c r="K8233" t="s">
        <v>24604</v>
      </c>
      <c r="L8233" t="s">
        <v>916</v>
      </c>
    </row>
    <row r="8234" spans="1:12">
      <c r="A8234" t="s">
        <v>24598</v>
      </c>
      <c r="B8234" t="s">
        <v>24599</v>
      </c>
      <c r="C8234" t="s">
        <v>24611</v>
      </c>
      <c r="D8234" t="s">
        <v>24601</v>
      </c>
      <c r="E8234" t="s">
        <v>5023</v>
      </c>
      <c r="F8234" t="s">
        <v>24612</v>
      </c>
      <c r="J8234" t="s">
        <v>5023</v>
      </c>
      <c r="K8234" t="s">
        <v>24604</v>
      </c>
      <c r="L8234" t="s">
        <v>916</v>
      </c>
    </row>
    <row r="8235" spans="1:12">
      <c r="A8235" t="s">
        <v>24598</v>
      </c>
      <c r="B8235" t="s">
        <v>24599</v>
      </c>
      <c r="C8235" t="s">
        <v>24613</v>
      </c>
      <c r="D8235" t="s">
        <v>24601</v>
      </c>
      <c r="E8235" t="s">
        <v>9266</v>
      </c>
      <c r="F8235" t="s">
        <v>24614</v>
      </c>
      <c r="J8235" t="s">
        <v>9266</v>
      </c>
      <c r="K8235" t="s">
        <v>24604</v>
      </c>
      <c r="L8235" t="s">
        <v>916</v>
      </c>
    </row>
    <row r="8236" spans="1:12">
      <c r="A8236" t="s">
        <v>24598</v>
      </c>
      <c r="B8236" t="s">
        <v>24599</v>
      </c>
      <c r="C8236" t="s">
        <v>24615</v>
      </c>
      <c r="D8236" t="s">
        <v>24601</v>
      </c>
      <c r="E8236" t="s">
        <v>18246</v>
      </c>
      <c r="F8236" t="s">
        <v>24616</v>
      </c>
      <c r="J8236" t="s">
        <v>18246</v>
      </c>
      <c r="K8236" t="s">
        <v>24604</v>
      </c>
      <c r="L8236" t="s">
        <v>916</v>
      </c>
    </row>
    <row r="8237" spans="1:12">
      <c r="A8237" t="s">
        <v>24598</v>
      </c>
      <c r="B8237" t="s">
        <v>24599</v>
      </c>
      <c r="C8237" t="s">
        <v>24617</v>
      </c>
      <c r="D8237" t="s">
        <v>24601</v>
      </c>
      <c r="E8237" t="s">
        <v>9447</v>
      </c>
      <c r="F8237" t="s">
        <v>24618</v>
      </c>
      <c r="J8237" t="s">
        <v>9447</v>
      </c>
      <c r="K8237" t="s">
        <v>24604</v>
      </c>
      <c r="L8237" t="s">
        <v>916</v>
      </c>
    </row>
    <row r="8238" spans="1:12">
      <c r="A8238" t="s">
        <v>24598</v>
      </c>
      <c r="B8238" t="s">
        <v>24599</v>
      </c>
      <c r="C8238" t="s">
        <v>24619</v>
      </c>
      <c r="D8238" t="s">
        <v>24601</v>
      </c>
      <c r="E8238" t="s">
        <v>24620</v>
      </c>
      <c r="F8238" t="s">
        <v>24621</v>
      </c>
      <c r="J8238" t="s">
        <v>24620</v>
      </c>
      <c r="K8238" t="s">
        <v>24604</v>
      </c>
      <c r="L8238" t="s">
        <v>916</v>
      </c>
    </row>
    <row r="8239" spans="1:12">
      <c r="A8239" t="s">
        <v>24598</v>
      </c>
      <c r="B8239" t="s">
        <v>24599</v>
      </c>
      <c r="C8239" t="s">
        <v>24622</v>
      </c>
      <c r="D8239" t="s">
        <v>24601</v>
      </c>
      <c r="E8239" t="s">
        <v>24623</v>
      </c>
      <c r="F8239" t="s">
        <v>24624</v>
      </c>
      <c r="J8239" t="s">
        <v>24623</v>
      </c>
      <c r="K8239" t="s">
        <v>24604</v>
      </c>
      <c r="L8239" t="s">
        <v>916</v>
      </c>
    </row>
    <row r="8240" spans="1:12">
      <c r="A8240" t="s">
        <v>24598</v>
      </c>
      <c r="B8240" t="s">
        <v>24599</v>
      </c>
      <c r="C8240" t="s">
        <v>24625</v>
      </c>
      <c r="D8240" t="s">
        <v>24601</v>
      </c>
      <c r="E8240" t="s">
        <v>19987</v>
      </c>
      <c r="F8240" t="s">
        <v>24626</v>
      </c>
      <c r="J8240" t="s">
        <v>19987</v>
      </c>
      <c r="K8240" t="s">
        <v>24604</v>
      </c>
      <c r="L8240" t="s">
        <v>916</v>
      </c>
    </row>
    <row r="8241" spans="1:12">
      <c r="A8241" t="s">
        <v>24598</v>
      </c>
      <c r="B8241" t="s">
        <v>24599</v>
      </c>
      <c r="C8241" t="s">
        <v>24627</v>
      </c>
      <c r="D8241" t="s">
        <v>24601</v>
      </c>
      <c r="E8241" t="s">
        <v>24628</v>
      </c>
      <c r="F8241" t="s">
        <v>24629</v>
      </c>
      <c r="J8241" t="s">
        <v>24628</v>
      </c>
      <c r="K8241" t="s">
        <v>24604</v>
      </c>
      <c r="L8241" t="s">
        <v>916</v>
      </c>
    </row>
    <row r="8242" spans="1:12">
      <c r="A8242" t="s">
        <v>24598</v>
      </c>
      <c r="B8242" t="s">
        <v>24599</v>
      </c>
      <c r="C8242" t="s">
        <v>24630</v>
      </c>
      <c r="D8242" t="s">
        <v>24601</v>
      </c>
      <c r="E8242" t="s">
        <v>24631</v>
      </c>
      <c r="F8242" t="s">
        <v>24632</v>
      </c>
      <c r="J8242" t="s">
        <v>24631</v>
      </c>
      <c r="K8242" t="s">
        <v>24604</v>
      </c>
      <c r="L8242" t="s">
        <v>916</v>
      </c>
    </row>
    <row r="8243" spans="1:12">
      <c r="A8243" t="s">
        <v>24598</v>
      </c>
      <c r="B8243" t="s">
        <v>24599</v>
      </c>
      <c r="C8243" t="s">
        <v>24633</v>
      </c>
      <c r="D8243" t="s">
        <v>24601</v>
      </c>
      <c r="E8243" t="s">
        <v>21300</v>
      </c>
      <c r="F8243" t="s">
        <v>24634</v>
      </c>
      <c r="J8243" t="s">
        <v>21300</v>
      </c>
      <c r="K8243" t="s">
        <v>24604</v>
      </c>
      <c r="L8243" t="s">
        <v>916</v>
      </c>
    </row>
    <row r="8244" spans="1:12">
      <c r="A8244" t="s">
        <v>24598</v>
      </c>
      <c r="B8244" t="s">
        <v>24599</v>
      </c>
      <c r="C8244" t="s">
        <v>24635</v>
      </c>
      <c r="D8244" t="s">
        <v>24601</v>
      </c>
      <c r="E8244" t="s">
        <v>24636</v>
      </c>
      <c r="F8244" t="s">
        <v>24637</v>
      </c>
      <c r="J8244" t="s">
        <v>24636</v>
      </c>
      <c r="K8244" t="s">
        <v>24604</v>
      </c>
      <c r="L8244" t="s">
        <v>916</v>
      </c>
    </row>
    <row r="8245" spans="1:12">
      <c r="A8245" t="s">
        <v>24598</v>
      </c>
      <c r="B8245" t="s">
        <v>24599</v>
      </c>
      <c r="C8245" t="s">
        <v>24638</v>
      </c>
      <c r="D8245" t="s">
        <v>24601</v>
      </c>
      <c r="E8245" t="s">
        <v>24639</v>
      </c>
      <c r="F8245" t="s">
        <v>24640</v>
      </c>
      <c r="J8245" t="s">
        <v>24639</v>
      </c>
      <c r="K8245" t="s">
        <v>24604</v>
      </c>
      <c r="L8245" t="s">
        <v>916</v>
      </c>
    </row>
    <row r="8246" spans="1:12">
      <c r="A8246" t="s">
        <v>24598</v>
      </c>
      <c r="B8246" t="s">
        <v>24599</v>
      </c>
      <c r="C8246" t="s">
        <v>24641</v>
      </c>
      <c r="D8246" t="s">
        <v>24601</v>
      </c>
      <c r="E8246" t="s">
        <v>655</v>
      </c>
      <c r="F8246" t="s">
        <v>656</v>
      </c>
    </row>
    <row r="8247" spans="1:12">
      <c r="A8247" t="s">
        <v>24642</v>
      </c>
      <c r="B8247" t="s">
        <v>24643</v>
      </c>
      <c r="C8247" t="s">
        <v>24644</v>
      </c>
      <c r="D8247" t="s">
        <v>24645</v>
      </c>
      <c r="E8247" t="s">
        <v>24646</v>
      </c>
      <c r="F8247" t="s">
        <v>24647</v>
      </c>
      <c r="J8247" t="s">
        <v>24646</v>
      </c>
      <c r="K8247" t="s">
        <v>24648</v>
      </c>
      <c r="L8247" t="s">
        <v>1389</v>
      </c>
    </row>
    <row r="8248" spans="1:12">
      <c r="A8248" t="s">
        <v>24642</v>
      </c>
      <c r="B8248" t="s">
        <v>24643</v>
      </c>
      <c r="C8248" t="s">
        <v>24649</v>
      </c>
      <c r="D8248" t="s">
        <v>24645</v>
      </c>
      <c r="E8248" t="s">
        <v>24650</v>
      </c>
      <c r="F8248" t="s">
        <v>24651</v>
      </c>
      <c r="J8248" t="s">
        <v>24650</v>
      </c>
      <c r="K8248" t="s">
        <v>24648</v>
      </c>
      <c r="L8248" t="s">
        <v>1389</v>
      </c>
    </row>
    <row r="8249" spans="1:12">
      <c r="A8249" t="s">
        <v>24642</v>
      </c>
      <c r="B8249" t="s">
        <v>24643</v>
      </c>
      <c r="C8249" t="s">
        <v>24652</v>
      </c>
      <c r="D8249" t="s">
        <v>24645</v>
      </c>
      <c r="E8249" t="s">
        <v>24653</v>
      </c>
      <c r="F8249" t="s">
        <v>24654</v>
      </c>
      <c r="J8249" t="s">
        <v>24653</v>
      </c>
      <c r="K8249" t="s">
        <v>24648</v>
      </c>
      <c r="L8249" t="s">
        <v>1389</v>
      </c>
    </row>
    <row r="8250" spans="1:12">
      <c r="A8250" t="s">
        <v>24642</v>
      </c>
      <c r="B8250" t="s">
        <v>24643</v>
      </c>
      <c r="C8250" t="s">
        <v>24655</v>
      </c>
      <c r="D8250" t="s">
        <v>24645</v>
      </c>
      <c r="E8250" t="s">
        <v>24656</v>
      </c>
      <c r="F8250" t="s">
        <v>24657</v>
      </c>
      <c r="J8250" t="s">
        <v>24656</v>
      </c>
      <c r="K8250" t="s">
        <v>24648</v>
      </c>
      <c r="L8250" t="s">
        <v>1389</v>
      </c>
    </row>
    <row r="8251" spans="1:12">
      <c r="A8251" t="s">
        <v>24642</v>
      </c>
      <c r="B8251" t="s">
        <v>24643</v>
      </c>
      <c r="C8251" t="s">
        <v>24658</v>
      </c>
      <c r="D8251" t="s">
        <v>24645</v>
      </c>
      <c r="E8251" t="s">
        <v>24659</v>
      </c>
      <c r="F8251" t="s">
        <v>24660</v>
      </c>
      <c r="J8251" t="s">
        <v>24659</v>
      </c>
      <c r="K8251" t="s">
        <v>24648</v>
      </c>
      <c r="L8251" t="s">
        <v>1389</v>
      </c>
    </row>
    <row r="8252" spans="1:12">
      <c r="A8252" t="s">
        <v>24642</v>
      </c>
      <c r="B8252" t="s">
        <v>24643</v>
      </c>
      <c r="C8252" t="s">
        <v>24661</v>
      </c>
      <c r="D8252" t="s">
        <v>24645</v>
      </c>
      <c r="E8252" t="s">
        <v>12194</v>
      </c>
      <c r="F8252" t="s">
        <v>24662</v>
      </c>
    </row>
    <row r="8253" spans="1:12">
      <c r="A8253" t="s">
        <v>24642</v>
      </c>
      <c r="B8253" t="s">
        <v>24643</v>
      </c>
      <c r="C8253" t="s">
        <v>24663</v>
      </c>
      <c r="D8253" t="s">
        <v>24645</v>
      </c>
      <c r="E8253" t="s">
        <v>9479</v>
      </c>
      <c r="F8253" t="s">
        <v>24664</v>
      </c>
      <c r="J8253" t="s">
        <v>9479</v>
      </c>
      <c r="K8253" t="s">
        <v>24648</v>
      </c>
      <c r="L8253" t="s">
        <v>1389</v>
      </c>
    </row>
    <row r="8254" spans="1:12">
      <c r="A8254" t="s">
        <v>24642</v>
      </c>
      <c r="B8254" t="s">
        <v>24643</v>
      </c>
      <c r="C8254" t="s">
        <v>24665</v>
      </c>
      <c r="D8254" t="s">
        <v>24645</v>
      </c>
      <c r="E8254" t="s">
        <v>10401</v>
      </c>
      <c r="F8254" t="s">
        <v>24666</v>
      </c>
    </row>
    <row r="8255" spans="1:12">
      <c r="A8255" t="s">
        <v>24642</v>
      </c>
      <c r="B8255" t="s">
        <v>24643</v>
      </c>
      <c r="C8255" t="s">
        <v>24667</v>
      </c>
      <c r="D8255" t="s">
        <v>24645</v>
      </c>
      <c r="E8255" t="s">
        <v>5126</v>
      </c>
      <c r="F8255" t="s">
        <v>24668</v>
      </c>
    </row>
    <row r="8256" spans="1:12">
      <c r="A8256" t="s">
        <v>24642</v>
      </c>
      <c r="B8256" t="s">
        <v>24643</v>
      </c>
      <c r="C8256" t="s">
        <v>24669</v>
      </c>
      <c r="D8256" t="s">
        <v>24645</v>
      </c>
      <c r="E8256" t="s">
        <v>12022</v>
      </c>
      <c r="F8256" t="s">
        <v>24670</v>
      </c>
      <c r="J8256" t="s">
        <v>12022</v>
      </c>
      <c r="K8256" t="s">
        <v>24648</v>
      </c>
      <c r="L8256" t="s">
        <v>1389</v>
      </c>
    </row>
    <row r="8257" spans="1:12">
      <c r="A8257" t="s">
        <v>24642</v>
      </c>
      <c r="B8257" t="s">
        <v>24643</v>
      </c>
      <c r="C8257" t="s">
        <v>24671</v>
      </c>
      <c r="D8257" t="s">
        <v>24645</v>
      </c>
      <c r="E8257" t="s">
        <v>24672</v>
      </c>
      <c r="F8257" t="s">
        <v>24673</v>
      </c>
      <c r="J8257" t="s">
        <v>24672</v>
      </c>
      <c r="K8257" t="s">
        <v>24648</v>
      </c>
      <c r="L8257" t="s">
        <v>1389</v>
      </c>
    </row>
    <row r="8258" spans="1:12">
      <c r="A8258" t="s">
        <v>24642</v>
      </c>
      <c r="B8258" t="s">
        <v>24643</v>
      </c>
      <c r="C8258" t="s">
        <v>24674</v>
      </c>
      <c r="D8258" t="s">
        <v>24645</v>
      </c>
      <c r="E8258" t="s">
        <v>23747</v>
      </c>
      <c r="F8258" t="s">
        <v>24675</v>
      </c>
    </row>
    <row r="8259" spans="1:12">
      <c r="A8259" t="s">
        <v>24642</v>
      </c>
      <c r="B8259" t="s">
        <v>24643</v>
      </c>
      <c r="C8259" t="s">
        <v>24676</v>
      </c>
      <c r="D8259" t="s">
        <v>24645</v>
      </c>
      <c r="E8259" t="s">
        <v>12126</v>
      </c>
      <c r="F8259" t="s">
        <v>24677</v>
      </c>
    </row>
    <row r="8260" spans="1:12">
      <c r="A8260" t="s">
        <v>24642</v>
      </c>
      <c r="B8260" t="s">
        <v>24643</v>
      </c>
      <c r="C8260" t="s">
        <v>24678</v>
      </c>
      <c r="D8260" t="s">
        <v>24645</v>
      </c>
      <c r="E8260" t="s">
        <v>21252</v>
      </c>
      <c r="F8260" t="s">
        <v>24679</v>
      </c>
      <c r="J8260" t="s">
        <v>21252</v>
      </c>
      <c r="K8260" t="s">
        <v>24648</v>
      </c>
      <c r="L8260" t="s">
        <v>1389</v>
      </c>
    </row>
    <row r="8261" spans="1:12">
      <c r="A8261" t="s">
        <v>24642</v>
      </c>
      <c r="B8261" t="s">
        <v>24643</v>
      </c>
      <c r="C8261" t="s">
        <v>24680</v>
      </c>
      <c r="D8261" t="s">
        <v>24645</v>
      </c>
      <c r="E8261" t="s">
        <v>24681</v>
      </c>
      <c r="F8261" t="s">
        <v>24682</v>
      </c>
      <c r="J8261" t="s">
        <v>24681</v>
      </c>
      <c r="K8261" t="s">
        <v>24648</v>
      </c>
      <c r="L8261" t="s">
        <v>1389</v>
      </c>
    </row>
    <row r="8262" spans="1:12">
      <c r="A8262" t="s">
        <v>24642</v>
      </c>
      <c r="B8262" t="s">
        <v>24643</v>
      </c>
      <c r="C8262" t="s">
        <v>24683</v>
      </c>
      <c r="D8262" t="s">
        <v>24645</v>
      </c>
      <c r="E8262" t="s">
        <v>655</v>
      </c>
      <c r="F8262" t="s">
        <v>656</v>
      </c>
    </row>
    <row r="8263" spans="1:12">
      <c r="A8263" t="s">
        <v>24642</v>
      </c>
      <c r="B8263" t="s">
        <v>24643</v>
      </c>
      <c r="D8263" t="s">
        <v>24645</v>
      </c>
      <c r="F8263" t="s">
        <v>24670</v>
      </c>
      <c r="J8263" t="s">
        <v>15785</v>
      </c>
      <c r="K8263" t="s">
        <v>24648</v>
      </c>
      <c r="L8263" t="s">
        <v>1389</v>
      </c>
    </row>
    <row r="8264" spans="1:12">
      <c r="A8264" t="s">
        <v>24642</v>
      </c>
      <c r="B8264" t="s">
        <v>24643</v>
      </c>
      <c r="D8264" t="s">
        <v>24645</v>
      </c>
      <c r="F8264" t="s">
        <v>24684</v>
      </c>
      <c r="J8264" t="s">
        <v>17242</v>
      </c>
      <c r="K8264" t="s">
        <v>24648</v>
      </c>
      <c r="L8264" t="s">
        <v>1389</v>
      </c>
    </row>
    <row r="8265" spans="1:12">
      <c r="A8265" t="s">
        <v>24642</v>
      </c>
      <c r="B8265" t="s">
        <v>24643</v>
      </c>
      <c r="D8265" t="s">
        <v>24645</v>
      </c>
      <c r="F8265" t="s">
        <v>24685</v>
      </c>
      <c r="J8265" t="s">
        <v>17640</v>
      </c>
      <c r="K8265" t="s">
        <v>24648</v>
      </c>
      <c r="L8265" t="s">
        <v>1389</v>
      </c>
    </row>
    <row r="8266" spans="1:12">
      <c r="A8266" t="s">
        <v>24642</v>
      </c>
      <c r="B8266" t="s">
        <v>24643</v>
      </c>
      <c r="D8266" t="s">
        <v>24645</v>
      </c>
      <c r="F8266" t="s">
        <v>24686</v>
      </c>
      <c r="J8266" t="s">
        <v>24687</v>
      </c>
      <c r="K8266" t="s">
        <v>24648</v>
      </c>
      <c r="L8266" t="s">
        <v>1389</v>
      </c>
    </row>
    <row r="8267" spans="1:12">
      <c r="A8267" t="s">
        <v>24688</v>
      </c>
      <c r="B8267" t="s">
        <v>24689</v>
      </c>
      <c r="C8267" t="s">
        <v>24690</v>
      </c>
      <c r="D8267" t="s">
        <v>24691</v>
      </c>
      <c r="E8267" t="s">
        <v>24692</v>
      </c>
      <c r="F8267" t="s">
        <v>24693</v>
      </c>
      <c r="J8267" t="s">
        <v>24692</v>
      </c>
      <c r="K8267" t="s">
        <v>24688</v>
      </c>
      <c r="L8267" t="s">
        <v>916</v>
      </c>
    </row>
    <row r="8268" spans="1:12">
      <c r="A8268" t="s">
        <v>24688</v>
      </c>
      <c r="B8268" t="s">
        <v>24689</v>
      </c>
      <c r="C8268" t="s">
        <v>24694</v>
      </c>
      <c r="D8268" t="s">
        <v>24691</v>
      </c>
      <c r="E8268" t="s">
        <v>24695</v>
      </c>
      <c r="F8268" t="s">
        <v>24696</v>
      </c>
      <c r="J8268" t="s">
        <v>24695</v>
      </c>
      <c r="K8268" t="s">
        <v>24688</v>
      </c>
      <c r="L8268" t="s">
        <v>916</v>
      </c>
    </row>
    <row r="8269" spans="1:12">
      <c r="A8269" t="s">
        <v>24688</v>
      </c>
      <c r="B8269" t="s">
        <v>24689</v>
      </c>
      <c r="C8269" t="s">
        <v>24697</v>
      </c>
      <c r="D8269" t="s">
        <v>24691</v>
      </c>
      <c r="E8269" t="s">
        <v>24698</v>
      </c>
      <c r="F8269" t="s">
        <v>24699</v>
      </c>
      <c r="J8269" t="s">
        <v>24698</v>
      </c>
      <c r="K8269" t="s">
        <v>24688</v>
      </c>
      <c r="L8269" t="s">
        <v>916</v>
      </c>
    </row>
    <row r="8270" spans="1:12">
      <c r="A8270" t="s">
        <v>24688</v>
      </c>
      <c r="B8270" t="s">
        <v>24689</v>
      </c>
      <c r="C8270" t="s">
        <v>24700</v>
      </c>
      <c r="D8270" t="s">
        <v>24691</v>
      </c>
      <c r="E8270" t="s">
        <v>5129</v>
      </c>
      <c r="F8270" t="s">
        <v>24701</v>
      </c>
      <c r="J8270" t="s">
        <v>5129</v>
      </c>
      <c r="K8270" t="s">
        <v>24688</v>
      </c>
      <c r="L8270" t="s">
        <v>916</v>
      </c>
    </row>
    <row r="8271" spans="1:12">
      <c r="A8271" t="s">
        <v>24688</v>
      </c>
      <c r="B8271" t="s">
        <v>24689</v>
      </c>
      <c r="C8271" t="s">
        <v>24702</v>
      </c>
      <c r="D8271" t="s">
        <v>24691</v>
      </c>
      <c r="E8271" t="s">
        <v>24703</v>
      </c>
      <c r="F8271" t="s">
        <v>24704</v>
      </c>
      <c r="J8271" t="s">
        <v>24703</v>
      </c>
      <c r="K8271" t="s">
        <v>24688</v>
      </c>
      <c r="L8271" t="s">
        <v>916</v>
      </c>
    </row>
    <row r="8272" spans="1:12">
      <c r="A8272" t="s">
        <v>24688</v>
      </c>
      <c r="B8272" t="s">
        <v>24689</v>
      </c>
      <c r="C8272" t="s">
        <v>24705</v>
      </c>
      <c r="D8272" t="s">
        <v>24691</v>
      </c>
      <c r="E8272" t="s">
        <v>24706</v>
      </c>
      <c r="F8272" t="s">
        <v>24707</v>
      </c>
      <c r="J8272" t="s">
        <v>24706</v>
      </c>
      <c r="K8272" t="s">
        <v>24688</v>
      </c>
      <c r="L8272" t="s">
        <v>916</v>
      </c>
    </row>
    <row r="8273" spans="1:12">
      <c r="A8273" t="s">
        <v>24688</v>
      </c>
      <c r="B8273" t="s">
        <v>24689</v>
      </c>
      <c r="C8273" t="s">
        <v>24708</v>
      </c>
      <c r="D8273" t="s">
        <v>24691</v>
      </c>
      <c r="E8273" t="s">
        <v>24709</v>
      </c>
      <c r="F8273" t="s">
        <v>24710</v>
      </c>
      <c r="J8273" t="s">
        <v>24709</v>
      </c>
      <c r="K8273" t="s">
        <v>24688</v>
      </c>
      <c r="L8273" t="s">
        <v>916</v>
      </c>
    </row>
    <row r="8274" spans="1:12">
      <c r="A8274" t="s">
        <v>24688</v>
      </c>
      <c r="B8274" t="s">
        <v>24689</v>
      </c>
      <c r="C8274" t="s">
        <v>24711</v>
      </c>
      <c r="D8274" t="s">
        <v>24691</v>
      </c>
      <c r="E8274" t="s">
        <v>655</v>
      </c>
      <c r="F8274" t="s">
        <v>656</v>
      </c>
    </row>
    <row r="8275" spans="1:12">
      <c r="A8275" t="s">
        <v>24712</v>
      </c>
      <c r="B8275" t="s">
        <v>6336</v>
      </c>
      <c r="C8275" t="s">
        <v>24713</v>
      </c>
      <c r="D8275" t="s">
        <v>24714</v>
      </c>
      <c r="E8275" t="s">
        <v>24715</v>
      </c>
      <c r="F8275" t="s">
        <v>24712</v>
      </c>
      <c r="J8275" t="s">
        <v>24715</v>
      </c>
      <c r="K8275" t="s">
        <v>24716</v>
      </c>
      <c r="L8275" t="s">
        <v>1389</v>
      </c>
    </row>
    <row r="8276" spans="1:12">
      <c r="A8276" t="s">
        <v>24712</v>
      </c>
      <c r="B8276" t="s">
        <v>6336</v>
      </c>
      <c r="C8276" t="s">
        <v>24717</v>
      </c>
      <c r="D8276" t="s">
        <v>24714</v>
      </c>
      <c r="E8276" t="s">
        <v>655</v>
      </c>
      <c r="F8276" t="s">
        <v>656</v>
      </c>
    </row>
    <row r="8277" spans="1:12">
      <c r="A8277" t="s">
        <v>24718</v>
      </c>
      <c r="B8277" t="s">
        <v>24719</v>
      </c>
      <c r="C8277" t="s">
        <v>24720</v>
      </c>
      <c r="D8277" t="s">
        <v>24721</v>
      </c>
      <c r="E8277" t="s">
        <v>6812</v>
      </c>
      <c r="F8277" t="s">
        <v>24722</v>
      </c>
    </row>
    <row r="8278" spans="1:12">
      <c r="A8278" t="s">
        <v>24718</v>
      </c>
      <c r="B8278" t="s">
        <v>24719</v>
      </c>
      <c r="C8278" t="s">
        <v>24723</v>
      </c>
      <c r="D8278" t="s">
        <v>24721</v>
      </c>
      <c r="E8278" t="s">
        <v>24724</v>
      </c>
      <c r="F8278" t="s">
        <v>24725</v>
      </c>
      <c r="J8278" t="s">
        <v>24724</v>
      </c>
      <c r="K8278" t="s">
        <v>22572</v>
      </c>
      <c r="L8278" t="s">
        <v>916</v>
      </c>
    </row>
    <row r="8279" spans="1:12">
      <c r="A8279" t="s">
        <v>24718</v>
      </c>
      <c r="B8279" t="s">
        <v>24719</v>
      </c>
      <c r="C8279" t="s">
        <v>24726</v>
      </c>
      <c r="D8279" t="s">
        <v>24721</v>
      </c>
      <c r="E8279" t="s">
        <v>1466</v>
      </c>
      <c r="F8279" t="s">
        <v>1466</v>
      </c>
    </row>
    <row r="8280" spans="1:12">
      <c r="A8280" t="s">
        <v>24718</v>
      </c>
      <c r="B8280" t="s">
        <v>24719</v>
      </c>
      <c r="C8280" t="s">
        <v>24727</v>
      </c>
      <c r="D8280" t="s">
        <v>24721</v>
      </c>
      <c r="E8280" t="s">
        <v>12308</v>
      </c>
      <c r="F8280" t="s">
        <v>24728</v>
      </c>
    </row>
    <row r="8281" spans="1:12">
      <c r="A8281" t="s">
        <v>24718</v>
      </c>
      <c r="B8281" t="s">
        <v>24719</v>
      </c>
      <c r="C8281" t="s">
        <v>24729</v>
      </c>
      <c r="D8281" t="s">
        <v>24721</v>
      </c>
      <c r="E8281" t="s">
        <v>12321</v>
      </c>
      <c r="F8281" t="s">
        <v>24730</v>
      </c>
    </row>
    <row r="8282" spans="1:12">
      <c r="A8282" t="s">
        <v>24718</v>
      </c>
      <c r="B8282" t="s">
        <v>24719</v>
      </c>
      <c r="C8282" t="s">
        <v>24731</v>
      </c>
      <c r="D8282" t="s">
        <v>24721</v>
      </c>
      <c r="E8282" t="s">
        <v>24732</v>
      </c>
      <c r="F8282" t="s">
        <v>24733</v>
      </c>
      <c r="J8282" t="s">
        <v>24732</v>
      </c>
      <c r="K8282" t="s">
        <v>22572</v>
      </c>
      <c r="L8282" t="s">
        <v>916</v>
      </c>
    </row>
    <row r="8283" spans="1:12">
      <c r="A8283" t="s">
        <v>24718</v>
      </c>
      <c r="B8283" t="s">
        <v>24719</v>
      </c>
      <c r="C8283" t="s">
        <v>24734</v>
      </c>
      <c r="D8283" t="s">
        <v>24721</v>
      </c>
      <c r="E8283" t="s">
        <v>869</v>
      </c>
      <c r="F8283" t="s">
        <v>24735</v>
      </c>
    </row>
    <row r="8284" spans="1:12">
      <c r="A8284" t="s">
        <v>24718</v>
      </c>
      <c r="B8284" t="s">
        <v>24719</v>
      </c>
      <c r="C8284" t="s">
        <v>24736</v>
      </c>
      <c r="D8284" t="s">
        <v>24721</v>
      </c>
      <c r="E8284" t="s">
        <v>3864</v>
      </c>
      <c r="F8284" t="s">
        <v>24737</v>
      </c>
    </row>
    <row r="8285" spans="1:12">
      <c r="A8285" t="s">
        <v>24718</v>
      </c>
      <c r="B8285" t="s">
        <v>24719</v>
      </c>
      <c r="C8285" t="s">
        <v>24738</v>
      </c>
      <c r="D8285" t="s">
        <v>24721</v>
      </c>
      <c r="E8285" t="s">
        <v>10904</v>
      </c>
      <c r="F8285" t="s">
        <v>24739</v>
      </c>
    </row>
    <row r="8286" spans="1:12">
      <c r="A8286" t="s">
        <v>24718</v>
      </c>
      <c r="B8286" t="s">
        <v>24719</v>
      </c>
      <c r="C8286" t="s">
        <v>24740</v>
      </c>
      <c r="D8286" t="s">
        <v>24721</v>
      </c>
      <c r="E8286" t="s">
        <v>24741</v>
      </c>
      <c r="F8286" t="s">
        <v>24742</v>
      </c>
      <c r="J8286" t="s">
        <v>24741</v>
      </c>
      <c r="K8286" t="s">
        <v>22572</v>
      </c>
      <c r="L8286" t="s">
        <v>916</v>
      </c>
    </row>
    <row r="8287" spans="1:12">
      <c r="A8287" t="s">
        <v>24718</v>
      </c>
      <c r="B8287" t="s">
        <v>24719</v>
      </c>
      <c r="C8287" t="s">
        <v>24743</v>
      </c>
      <c r="D8287" t="s">
        <v>24721</v>
      </c>
      <c r="E8287" t="s">
        <v>8753</v>
      </c>
      <c r="F8287" t="s">
        <v>24744</v>
      </c>
    </row>
    <row r="8288" spans="1:12">
      <c r="A8288" t="s">
        <v>24718</v>
      </c>
      <c r="B8288" t="s">
        <v>24719</v>
      </c>
      <c r="C8288" t="s">
        <v>24745</v>
      </c>
      <c r="D8288" t="s">
        <v>24721</v>
      </c>
      <c r="E8288" t="s">
        <v>13733</v>
      </c>
      <c r="F8288" t="s">
        <v>24746</v>
      </c>
    </row>
    <row r="8289" spans="1:12">
      <c r="A8289" t="s">
        <v>24718</v>
      </c>
      <c r="B8289" t="s">
        <v>24719</v>
      </c>
      <c r="C8289" t="s">
        <v>24747</v>
      </c>
      <c r="D8289" t="s">
        <v>24721</v>
      </c>
      <c r="E8289" t="s">
        <v>24748</v>
      </c>
      <c r="F8289" t="s">
        <v>24749</v>
      </c>
      <c r="J8289" t="s">
        <v>24748</v>
      </c>
      <c r="K8289" t="s">
        <v>22572</v>
      </c>
      <c r="L8289" t="s">
        <v>916</v>
      </c>
    </row>
    <row r="8290" spans="1:12">
      <c r="A8290" t="s">
        <v>24718</v>
      </c>
      <c r="B8290" t="s">
        <v>24719</v>
      </c>
      <c r="C8290" t="s">
        <v>24750</v>
      </c>
      <c r="D8290" t="s">
        <v>24721</v>
      </c>
      <c r="E8290" t="s">
        <v>24751</v>
      </c>
      <c r="F8290" t="s">
        <v>24752</v>
      </c>
    </row>
    <row r="8291" spans="1:12">
      <c r="A8291" t="s">
        <v>24718</v>
      </c>
      <c r="B8291" t="s">
        <v>24719</v>
      </c>
      <c r="C8291" t="s">
        <v>24753</v>
      </c>
      <c r="D8291" t="s">
        <v>24721</v>
      </c>
      <c r="E8291" t="s">
        <v>829</v>
      </c>
      <c r="F8291" t="s">
        <v>24754</v>
      </c>
    </row>
    <row r="8292" spans="1:12">
      <c r="A8292" t="s">
        <v>24718</v>
      </c>
      <c r="B8292" t="s">
        <v>24719</v>
      </c>
      <c r="C8292" t="s">
        <v>24755</v>
      </c>
      <c r="D8292" t="s">
        <v>24721</v>
      </c>
      <c r="E8292" t="s">
        <v>4034</v>
      </c>
      <c r="F8292" t="s">
        <v>24756</v>
      </c>
    </row>
    <row r="8293" spans="1:12">
      <c r="A8293" t="s">
        <v>24718</v>
      </c>
      <c r="B8293" t="s">
        <v>24719</v>
      </c>
      <c r="C8293" t="s">
        <v>24757</v>
      </c>
      <c r="D8293" t="s">
        <v>24721</v>
      </c>
      <c r="E8293" t="s">
        <v>24758</v>
      </c>
      <c r="F8293" t="s">
        <v>24759</v>
      </c>
      <c r="J8293" t="s">
        <v>24758</v>
      </c>
      <c r="K8293" t="s">
        <v>22572</v>
      </c>
      <c r="L8293" t="s">
        <v>916</v>
      </c>
    </row>
    <row r="8294" spans="1:12">
      <c r="A8294" t="s">
        <v>24718</v>
      </c>
      <c r="B8294" t="s">
        <v>24719</v>
      </c>
      <c r="C8294" t="s">
        <v>24760</v>
      </c>
      <c r="D8294" t="s">
        <v>24721</v>
      </c>
      <c r="E8294" t="s">
        <v>11913</v>
      </c>
      <c r="F8294" t="s">
        <v>24761</v>
      </c>
      <c r="J8294" t="s">
        <v>11913</v>
      </c>
      <c r="K8294" t="s">
        <v>22572</v>
      </c>
      <c r="L8294" t="s">
        <v>916</v>
      </c>
    </row>
    <row r="8295" spans="1:12">
      <c r="A8295" t="s">
        <v>24718</v>
      </c>
      <c r="B8295" t="s">
        <v>24719</v>
      </c>
      <c r="C8295" t="s">
        <v>24762</v>
      </c>
      <c r="D8295" t="s">
        <v>24721</v>
      </c>
      <c r="E8295" t="s">
        <v>24763</v>
      </c>
      <c r="F8295" t="s">
        <v>24763</v>
      </c>
      <c r="J8295" t="s">
        <v>24763</v>
      </c>
      <c r="K8295" t="s">
        <v>22572</v>
      </c>
      <c r="L8295" t="s">
        <v>916</v>
      </c>
    </row>
    <row r="8296" spans="1:12">
      <c r="A8296" t="s">
        <v>24718</v>
      </c>
      <c r="B8296" t="s">
        <v>24719</v>
      </c>
      <c r="C8296" t="s">
        <v>24764</v>
      </c>
      <c r="D8296" t="s">
        <v>24721</v>
      </c>
      <c r="E8296" t="s">
        <v>17830</v>
      </c>
      <c r="F8296" t="s">
        <v>24765</v>
      </c>
      <c r="J8296" t="s">
        <v>17830</v>
      </c>
      <c r="K8296" t="s">
        <v>22572</v>
      </c>
      <c r="L8296" t="s">
        <v>916</v>
      </c>
    </row>
    <row r="8297" spans="1:12">
      <c r="A8297" t="s">
        <v>24718</v>
      </c>
      <c r="B8297" t="s">
        <v>24719</v>
      </c>
      <c r="C8297" t="s">
        <v>24766</v>
      </c>
      <c r="D8297" t="s">
        <v>24721</v>
      </c>
      <c r="E8297" t="s">
        <v>3483</v>
      </c>
      <c r="F8297" t="s">
        <v>24767</v>
      </c>
      <c r="J8297" t="s">
        <v>3483</v>
      </c>
      <c r="K8297" t="s">
        <v>22572</v>
      </c>
      <c r="L8297" t="s">
        <v>916</v>
      </c>
    </row>
    <row r="8298" spans="1:12">
      <c r="A8298" t="s">
        <v>24718</v>
      </c>
      <c r="B8298" t="s">
        <v>24719</v>
      </c>
      <c r="C8298" t="s">
        <v>24768</v>
      </c>
      <c r="D8298" t="s">
        <v>24721</v>
      </c>
      <c r="E8298" t="s">
        <v>11322</v>
      </c>
      <c r="F8298" t="s">
        <v>24769</v>
      </c>
    </row>
    <row r="8299" spans="1:12">
      <c r="A8299" t="s">
        <v>24718</v>
      </c>
      <c r="B8299" t="s">
        <v>24719</v>
      </c>
      <c r="C8299" t="s">
        <v>24770</v>
      </c>
      <c r="D8299" t="s">
        <v>24721</v>
      </c>
      <c r="E8299" t="s">
        <v>9329</v>
      </c>
      <c r="F8299" t="s">
        <v>24771</v>
      </c>
    </row>
    <row r="8300" spans="1:12">
      <c r="A8300" t="s">
        <v>24718</v>
      </c>
      <c r="B8300" t="s">
        <v>24719</v>
      </c>
      <c r="C8300" t="s">
        <v>24772</v>
      </c>
      <c r="D8300" t="s">
        <v>24721</v>
      </c>
      <c r="E8300" t="s">
        <v>6949</v>
      </c>
      <c r="F8300" t="s">
        <v>24773</v>
      </c>
      <c r="J8300" t="s">
        <v>6949</v>
      </c>
      <c r="K8300" t="s">
        <v>22572</v>
      </c>
      <c r="L8300" t="s">
        <v>916</v>
      </c>
    </row>
    <row r="8301" spans="1:12">
      <c r="A8301" t="s">
        <v>24718</v>
      </c>
      <c r="B8301" t="s">
        <v>24719</v>
      </c>
      <c r="C8301" t="s">
        <v>24774</v>
      </c>
      <c r="D8301" t="s">
        <v>24721</v>
      </c>
      <c r="E8301" t="s">
        <v>24775</v>
      </c>
      <c r="F8301" t="s">
        <v>24776</v>
      </c>
      <c r="J8301" t="s">
        <v>24775</v>
      </c>
      <c r="K8301" t="s">
        <v>22572</v>
      </c>
      <c r="L8301" t="s">
        <v>916</v>
      </c>
    </row>
    <row r="8302" spans="1:12">
      <c r="A8302" t="s">
        <v>24718</v>
      </c>
      <c r="B8302" t="s">
        <v>24719</v>
      </c>
      <c r="C8302" t="s">
        <v>24777</v>
      </c>
      <c r="D8302" t="s">
        <v>24721</v>
      </c>
      <c r="E8302" t="s">
        <v>24778</v>
      </c>
      <c r="F8302" t="s">
        <v>24779</v>
      </c>
      <c r="J8302" t="s">
        <v>24778</v>
      </c>
      <c r="K8302" t="s">
        <v>22572</v>
      </c>
      <c r="L8302" t="s">
        <v>916</v>
      </c>
    </row>
    <row r="8303" spans="1:12">
      <c r="A8303" t="s">
        <v>24718</v>
      </c>
      <c r="B8303" t="s">
        <v>24719</v>
      </c>
      <c r="C8303" t="s">
        <v>24780</v>
      </c>
      <c r="D8303" t="s">
        <v>24721</v>
      </c>
      <c r="E8303" t="s">
        <v>19708</v>
      </c>
      <c r="F8303" t="s">
        <v>24781</v>
      </c>
    </row>
    <row r="8304" spans="1:12">
      <c r="A8304" t="s">
        <v>24718</v>
      </c>
      <c r="B8304" t="s">
        <v>24719</v>
      </c>
      <c r="C8304" t="s">
        <v>24782</v>
      </c>
      <c r="D8304" t="s">
        <v>24721</v>
      </c>
      <c r="E8304" t="s">
        <v>2676</v>
      </c>
      <c r="F8304" t="s">
        <v>24783</v>
      </c>
    </row>
    <row r="8305" spans="1:12">
      <c r="A8305" t="s">
        <v>24718</v>
      </c>
      <c r="B8305" t="s">
        <v>24719</v>
      </c>
      <c r="C8305" t="s">
        <v>24784</v>
      </c>
      <c r="D8305" t="s">
        <v>24721</v>
      </c>
      <c r="E8305" t="s">
        <v>24785</v>
      </c>
      <c r="F8305" t="s">
        <v>24786</v>
      </c>
    </row>
    <row r="8306" spans="1:12">
      <c r="A8306" t="s">
        <v>24718</v>
      </c>
      <c r="B8306" t="s">
        <v>24719</v>
      </c>
      <c r="C8306" t="s">
        <v>24787</v>
      </c>
      <c r="D8306" t="s">
        <v>24721</v>
      </c>
      <c r="E8306" t="s">
        <v>13877</v>
      </c>
      <c r="F8306" t="s">
        <v>24788</v>
      </c>
    </row>
    <row r="8307" spans="1:12">
      <c r="A8307" t="s">
        <v>24718</v>
      </c>
      <c r="B8307" t="s">
        <v>24719</v>
      </c>
      <c r="C8307" t="s">
        <v>24789</v>
      </c>
      <c r="D8307" t="s">
        <v>24721</v>
      </c>
      <c r="E8307" t="s">
        <v>24790</v>
      </c>
      <c r="F8307" t="s">
        <v>24791</v>
      </c>
      <c r="J8307" t="s">
        <v>24790</v>
      </c>
      <c r="K8307" t="s">
        <v>22572</v>
      </c>
      <c r="L8307" t="s">
        <v>916</v>
      </c>
    </row>
    <row r="8308" spans="1:12">
      <c r="A8308" t="s">
        <v>24718</v>
      </c>
      <c r="B8308" t="s">
        <v>24719</v>
      </c>
      <c r="C8308" t="s">
        <v>24792</v>
      </c>
      <c r="D8308" t="s">
        <v>24721</v>
      </c>
      <c r="E8308" t="s">
        <v>20522</v>
      </c>
      <c r="F8308" t="s">
        <v>24793</v>
      </c>
      <c r="J8308" t="s">
        <v>20522</v>
      </c>
      <c r="K8308" t="s">
        <v>22572</v>
      </c>
      <c r="L8308" t="s">
        <v>916</v>
      </c>
    </row>
    <row r="8309" spans="1:12">
      <c r="A8309" t="s">
        <v>24718</v>
      </c>
      <c r="B8309" t="s">
        <v>24719</v>
      </c>
      <c r="C8309" t="s">
        <v>24794</v>
      </c>
      <c r="D8309" t="s">
        <v>24721</v>
      </c>
      <c r="E8309" t="s">
        <v>24795</v>
      </c>
      <c r="F8309" t="s">
        <v>24796</v>
      </c>
    </row>
    <row r="8310" spans="1:12">
      <c r="A8310" t="s">
        <v>24718</v>
      </c>
      <c r="B8310" t="s">
        <v>24719</v>
      </c>
      <c r="C8310" t="s">
        <v>24797</v>
      </c>
      <c r="D8310" t="s">
        <v>24721</v>
      </c>
      <c r="E8310" t="s">
        <v>10022</v>
      </c>
      <c r="F8310" t="s">
        <v>24798</v>
      </c>
    </row>
    <row r="8311" spans="1:12">
      <c r="A8311" t="s">
        <v>24718</v>
      </c>
      <c r="B8311" t="s">
        <v>24719</v>
      </c>
      <c r="C8311" t="s">
        <v>24799</v>
      </c>
      <c r="D8311" t="s">
        <v>24721</v>
      </c>
      <c r="E8311" t="s">
        <v>10113</v>
      </c>
      <c r="F8311" t="s">
        <v>24800</v>
      </c>
    </row>
    <row r="8312" spans="1:12">
      <c r="A8312" t="s">
        <v>24718</v>
      </c>
      <c r="B8312" t="s">
        <v>24719</v>
      </c>
      <c r="C8312" t="s">
        <v>24801</v>
      </c>
      <c r="D8312" t="s">
        <v>24721</v>
      </c>
      <c r="E8312" t="s">
        <v>24802</v>
      </c>
      <c r="F8312" t="s">
        <v>24803</v>
      </c>
      <c r="J8312" t="s">
        <v>24802</v>
      </c>
      <c r="K8312" t="s">
        <v>22572</v>
      </c>
      <c r="L8312" t="s">
        <v>916</v>
      </c>
    </row>
    <row r="8313" spans="1:12">
      <c r="A8313" t="s">
        <v>24718</v>
      </c>
      <c r="B8313" t="s">
        <v>24719</v>
      </c>
      <c r="C8313" t="s">
        <v>24804</v>
      </c>
      <c r="D8313" t="s">
        <v>24721</v>
      </c>
      <c r="E8313" t="s">
        <v>24805</v>
      </c>
      <c r="F8313" t="s">
        <v>24806</v>
      </c>
      <c r="J8313" t="s">
        <v>24805</v>
      </c>
      <c r="K8313" t="s">
        <v>22572</v>
      </c>
      <c r="L8313" t="s">
        <v>916</v>
      </c>
    </row>
    <row r="8314" spans="1:12">
      <c r="A8314" t="s">
        <v>24718</v>
      </c>
      <c r="B8314" t="s">
        <v>24719</v>
      </c>
      <c r="C8314" t="s">
        <v>24807</v>
      </c>
      <c r="D8314" t="s">
        <v>24721</v>
      </c>
      <c r="E8314" t="s">
        <v>655</v>
      </c>
      <c r="F8314" t="s">
        <v>656</v>
      </c>
    </row>
    <row r="8315" spans="1:12">
      <c r="A8315" t="s">
        <v>24808</v>
      </c>
      <c r="B8315" t="s">
        <v>24809</v>
      </c>
      <c r="C8315" t="s">
        <v>24810</v>
      </c>
      <c r="D8315" t="s">
        <v>24811</v>
      </c>
      <c r="E8315" t="s">
        <v>24812</v>
      </c>
      <c r="F8315" t="s">
        <v>24813</v>
      </c>
      <c r="J8315" t="s">
        <v>24812</v>
      </c>
      <c r="K8315" t="s">
        <v>8279</v>
      </c>
      <c r="L8315" t="s">
        <v>814</v>
      </c>
    </row>
    <row r="8316" spans="1:12">
      <c r="A8316" t="s">
        <v>24808</v>
      </c>
      <c r="B8316" t="s">
        <v>24809</v>
      </c>
      <c r="C8316" t="s">
        <v>24814</v>
      </c>
      <c r="D8316" t="s">
        <v>24811</v>
      </c>
      <c r="E8316" t="s">
        <v>24815</v>
      </c>
      <c r="F8316" t="s">
        <v>24816</v>
      </c>
      <c r="J8316" t="s">
        <v>24815</v>
      </c>
      <c r="K8316" t="s">
        <v>8279</v>
      </c>
      <c r="L8316" t="s">
        <v>814</v>
      </c>
    </row>
    <row r="8317" spans="1:12">
      <c r="A8317" t="s">
        <v>24808</v>
      </c>
      <c r="B8317" t="s">
        <v>24809</v>
      </c>
      <c r="C8317" t="s">
        <v>24817</v>
      </c>
      <c r="D8317" t="s">
        <v>24811</v>
      </c>
      <c r="E8317" t="s">
        <v>16514</v>
      </c>
      <c r="F8317" t="s">
        <v>24818</v>
      </c>
    </row>
    <row r="8318" spans="1:12">
      <c r="A8318" t="s">
        <v>24808</v>
      </c>
      <c r="B8318" t="s">
        <v>24809</v>
      </c>
      <c r="C8318" t="s">
        <v>24819</v>
      </c>
      <c r="D8318" t="s">
        <v>24811</v>
      </c>
      <c r="E8318" t="s">
        <v>18838</v>
      </c>
      <c r="F8318" t="s">
        <v>24820</v>
      </c>
      <c r="J8318" t="s">
        <v>18838</v>
      </c>
      <c r="K8318" t="s">
        <v>8279</v>
      </c>
      <c r="L8318" t="s">
        <v>814</v>
      </c>
    </row>
    <row r="8319" spans="1:12">
      <c r="A8319" t="s">
        <v>24808</v>
      </c>
      <c r="B8319" t="s">
        <v>24809</v>
      </c>
      <c r="C8319" t="s">
        <v>24821</v>
      </c>
      <c r="D8319" t="s">
        <v>24811</v>
      </c>
      <c r="E8319" t="s">
        <v>24822</v>
      </c>
      <c r="F8319" t="s">
        <v>24823</v>
      </c>
      <c r="J8319" t="s">
        <v>24822</v>
      </c>
      <c r="K8319" t="s">
        <v>8279</v>
      </c>
      <c r="L8319" t="s">
        <v>814</v>
      </c>
    </row>
    <row r="8320" spans="1:12">
      <c r="A8320" t="s">
        <v>24808</v>
      </c>
      <c r="B8320" t="s">
        <v>24809</v>
      </c>
      <c r="C8320" t="s">
        <v>24824</v>
      </c>
      <c r="D8320" t="s">
        <v>24811</v>
      </c>
      <c r="E8320" t="s">
        <v>24825</v>
      </c>
      <c r="F8320" t="s">
        <v>24826</v>
      </c>
    </row>
    <row r="8321" spans="1:12">
      <c r="A8321" t="s">
        <v>24808</v>
      </c>
      <c r="B8321" t="s">
        <v>24809</v>
      </c>
      <c r="C8321" t="s">
        <v>24827</v>
      </c>
      <c r="D8321" t="s">
        <v>24811</v>
      </c>
      <c r="E8321" t="s">
        <v>24828</v>
      </c>
      <c r="F8321" t="s">
        <v>24829</v>
      </c>
      <c r="J8321" t="s">
        <v>24828</v>
      </c>
      <c r="K8321" t="s">
        <v>8279</v>
      </c>
      <c r="L8321" t="s">
        <v>814</v>
      </c>
    </row>
    <row r="8322" spans="1:12">
      <c r="A8322" t="s">
        <v>24808</v>
      </c>
      <c r="B8322" t="s">
        <v>24809</v>
      </c>
      <c r="C8322" t="s">
        <v>24830</v>
      </c>
      <c r="D8322" t="s">
        <v>24811</v>
      </c>
      <c r="E8322" t="s">
        <v>24831</v>
      </c>
      <c r="F8322" t="s">
        <v>24832</v>
      </c>
      <c r="J8322" t="s">
        <v>24831</v>
      </c>
      <c r="K8322" t="s">
        <v>8279</v>
      </c>
      <c r="L8322" t="s">
        <v>814</v>
      </c>
    </row>
    <row r="8323" spans="1:12">
      <c r="A8323" t="s">
        <v>24808</v>
      </c>
      <c r="B8323" t="s">
        <v>24809</v>
      </c>
      <c r="C8323" t="s">
        <v>24833</v>
      </c>
      <c r="D8323" t="s">
        <v>24811</v>
      </c>
      <c r="E8323" t="s">
        <v>24834</v>
      </c>
      <c r="F8323" t="s">
        <v>24835</v>
      </c>
      <c r="J8323" t="s">
        <v>24834</v>
      </c>
      <c r="K8323" t="s">
        <v>8279</v>
      </c>
      <c r="L8323" t="s">
        <v>814</v>
      </c>
    </row>
    <row r="8324" spans="1:12">
      <c r="A8324" t="s">
        <v>24808</v>
      </c>
      <c r="B8324" t="s">
        <v>24809</v>
      </c>
      <c r="C8324" t="s">
        <v>24836</v>
      </c>
      <c r="D8324" t="s">
        <v>24811</v>
      </c>
      <c r="E8324" t="s">
        <v>3726</v>
      </c>
      <c r="F8324" t="s">
        <v>24837</v>
      </c>
    </row>
    <row r="8325" spans="1:12">
      <c r="A8325" t="s">
        <v>24808</v>
      </c>
      <c r="B8325" t="s">
        <v>24809</v>
      </c>
      <c r="C8325" t="s">
        <v>24838</v>
      </c>
      <c r="D8325" t="s">
        <v>24811</v>
      </c>
      <c r="E8325" t="s">
        <v>24480</v>
      </c>
      <c r="F8325" t="s">
        <v>24839</v>
      </c>
      <c r="J8325" t="s">
        <v>24480</v>
      </c>
      <c r="K8325" t="s">
        <v>8279</v>
      </c>
      <c r="L8325" t="s">
        <v>814</v>
      </c>
    </row>
    <row r="8326" spans="1:12">
      <c r="A8326" t="s">
        <v>24808</v>
      </c>
      <c r="B8326" t="s">
        <v>24809</v>
      </c>
      <c r="C8326" t="s">
        <v>24840</v>
      </c>
      <c r="D8326" t="s">
        <v>24811</v>
      </c>
      <c r="E8326" t="s">
        <v>655</v>
      </c>
      <c r="F8326" t="s">
        <v>656</v>
      </c>
    </row>
    <row r="8327" spans="1:12">
      <c r="A8327" t="s">
        <v>24808</v>
      </c>
      <c r="B8327" t="s">
        <v>24809</v>
      </c>
      <c r="D8327" t="s">
        <v>24811</v>
      </c>
      <c r="F8327" t="s">
        <v>24841</v>
      </c>
      <c r="J8327" t="s">
        <v>24842</v>
      </c>
      <c r="K8327" t="s">
        <v>8279</v>
      </c>
      <c r="L8327" t="s">
        <v>814</v>
      </c>
    </row>
    <row r="8328" spans="1:12">
      <c r="A8328" t="s">
        <v>24843</v>
      </c>
      <c r="B8328" t="s">
        <v>24844</v>
      </c>
      <c r="C8328" t="s">
        <v>24845</v>
      </c>
      <c r="D8328" t="s">
        <v>24846</v>
      </c>
      <c r="E8328" t="s">
        <v>8427</v>
      </c>
      <c r="F8328" t="s">
        <v>24847</v>
      </c>
    </row>
    <row r="8329" spans="1:12">
      <c r="A8329" t="s">
        <v>24843</v>
      </c>
      <c r="B8329" t="s">
        <v>24844</v>
      </c>
      <c r="C8329" t="s">
        <v>24848</v>
      </c>
      <c r="D8329" t="s">
        <v>24846</v>
      </c>
      <c r="E8329" t="s">
        <v>24849</v>
      </c>
      <c r="F8329" t="s">
        <v>24850</v>
      </c>
    </row>
    <row r="8330" spans="1:12">
      <c r="A8330" t="s">
        <v>24843</v>
      </c>
      <c r="B8330" t="s">
        <v>24844</v>
      </c>
      <c r="C8330" t="s">
        <v>24851</v>
      </c>
      <c r="D8330" t="s">
        <v>24846</v>
      </c>
      <c r="E8330" t="s">
        <v>24493</v>
      </c>
      <c r="F8330" t="s">
        <v>24852</v>
      </c>
    </row>
    <row r="8331" spans="1:12">
      <c r="A8331" t="s">
        <v>24843</v>
      </c>
      <c r="B8331" t="s">
        <v>24844</v>
      </c>
      <c r="C8331" t="s">
        <v>24853</v>
      </c>
      <c r="D8331" t="s">
        <v>24846</v>
      </c>
      <c r="E8331" t="s">
        <v>16275</v>
      </c>
      <c r="F8331" t="s">
        <v>24854</v>
      </c>
      <c r="J8331" t="s">
        <v>16275</v>
      </c>
      <c r="K8331" t="s">
        <v>24855</v>
      </c>
      <c r="L8331" t="s">
        <v>851</v>
      </c>
    </row>
    <row r="8332" spans="1:12">
      <c r="A8332" t="s">
        <v>24843</v>
      </c>
      <c r="B8332" t="s">
        <v>24844</v>
      </c>
      <c r="C8332" t="s">
        <v>24856</v>
      </c>
      <c r="D8332" t="s">
        <v>24846</v>
      </c>
      <c r="E8332" t="s">
        <v>8448</v>
      </c>
      <c r="F8332" t="s">
        <v>24857</v>
      </c>
    </row>
    <row r="8333" spans="1:12">
      <c r="A8333" t="s">
        <v>24843</v>
      </c>
      <c r="B8333" t="s">
        <v>24844</v>
      </c>
      <c r="C8333" t="s">
        <v>24858</v>
      </c>
      <c r="D8333" t="s">
        <v>24846</v>
      </c>
      <c r="E8333" t="s">
        <v>24859</v>
      </c>
      <c r="F8333" t="s">
        <v>24860</v>
      </c>
    </row>
    <row r="8334" spans="1:12">
      <c r="A8334" t="s">
        <v>24843</v>
      </c>
      <c r="B8334" t="s">
        <v>24844</v>
      </c>
      <c r="C8334" t="s">
        <v>24861</v>
      </c>
      <c r="D8334" t="s">
        <v>24846</v>
      </c>
      <c r="E8334" t="s">
        <v>8451</v>
      </c>
      <c r="F8334" t="s">
        <v>24862</v>
      </c>
    </row>
    <row r="8335" spans="1:12">
      <c r="A8335" t="s">
        <v>24843</v>
      </c>
      <c r="B8335" t="s">
        <v>24844</v>
      </c>
      <c r="C8335" t="s">
        <v>24863</v>
      </c>
      <c r="D8335" t="s">
        <v>24846</v>
      </c>
      <c r="E8335" t="s">
        <v>8507</v>
      </c>
      <c r="F8335" t="s">
        <v>24864</v>
      </c>
    </row>
    <row r="8336" spans="1:12">
      <c r="A8336" t="s">
        <v>24843</v>
      </c>
      <c r="B8336" t="s">
        <v>24844</v>
      </c>
      <c r="C8336" t="s">
        <v>24865</v>
      </c>
      <c r="D8336" t="s">
        <v>24846</v>
      </c>
      <c r="E8336" t="s">
        <v>3615</v>
      </c>
      <c r="F8336" t="s">
        <v>24866</v>
      </c>
    </row>
    <row r="8337" spans="1:6">
      <c r="A8337" t="s">
        <v>24843</v>
      </c>
      <c r="B8337" t="s">
        <v>24844</v>
      </c>
      <c r="C8337" t="s">
        <v>24867</v>
      </c>
      <c r="D8337" t="s">
        <v>24846</v>
      </c>
      <c r="E8337" t="s">
        <v>14890</v>
      </c>
      <c r="F8337" t="s">
        <v>24868</v>
      </c>
    </row>
    <row r="8338" spans="1:6">
      <c r="A8338" t="s">
        <v>24843</v>
      </c>
      <c r="B8338" t="s">
        <v>24844</v>
      </c>
      <c r="C8338" t="s">
        <v>24869</v>
      </c>
      <c r="D8338" t="s">
        <v>24846</v>
      </c>
      <c r="E8338" t="s">
        <v>14955</v>
      </c>
      <c r="F8338" t="s">
        <v>24870</v>
      </c>
    </row>
    <row r="8339" spans="1:6">
      <c r="A8339" t="s">
        <v>24843</v>
      </c>
      <c r="B8339" t="s">
        <v>24844</v>
      </c>
      <c r="C8339" t="s">
        <v>24871</v>
      </c>
      <c r="D8339" t="s">
        <v>24846</v>
      </c>
      <c r="E8339" t="s">
        <v>869</v>
      </c>
      <c r="F8339" t="s">
        <v>24872</v>
      </c>
    </row>
    <row r="8340" spans="1:6">
      <c r="A8340" t="s">
        <v>24843</v>
      </c>
      <c r="B8340" t="s">
        <v>24844</v>
      </c>
      <c r="C8340" t="s">
        <v>24873</v>
      </c>
      <c r="D8340" t="s">
        <v>24846</v>
      </c>
      <c r="E8340" t="s">
        <v>8629</v>
      </c>
      <c r="F8340" t="s">
        <v>24874</v>
      </c>
    </row>
    <row r="8341" spans="1:6">
      <c r="A8341" t="s">
        <v>24843</v>
      </c>
      <c r="B8341" t="s">
        <v>24844</v>
      </c>
      <c r="C8341" t="s">
        <v>24875</v>
      </c>
      <c r="D8341" t="s">
        <v>24846</v>
      </c>
      <c r="E8341" t="s">
        <v>12384</v>
      </c>
      <c r="F8341" t="s">
        <v>24876</v>
      </c>
    </row>
    <row r="8342" spans="1:6">
      <c r="A8342" t="s">
        <v>24843</v>
      </c>
      <c r="B8342" t="s">
        <v>24844</v>
      </c>
      <c r="C8342" t="s">
        <v>24877</v>
      </c>
      <c r="D8342" t="s">
        <v>24846</v>
      </c>
      <c r="E8342" t="s">
        <v>12386</v>
      </c>
      <c r="F8342" t="s">
        <v>24878</v>
      </c>
    </row>
    <row r="8343" spans="1:6">
      <c r="A8343" t="s">
        <v>24843</v>
      </c>
      <c r="B8343" t="s">
        <v>24844</v>
      </c>
      <c r="C8343" t="s">
        <v>24879</v>
      </c>
      <c r="D8343" t="s">
        <v>24846</v>
      </c>
      <c r="E8343" t="s">
        <v>24880</v>
      </c>
      <c r="F8343" t="s">
        <v>24881</v>
      </c>
    </row>
    <row r="8344" spans="1:6">
      <c r="A8344" t="s">
        <v>24843</v>
      </c>
      <c r="B8344" t="s">
        <v>24844</v>
      </c>
      <c r="C8344" t="s">
        <v>24882</v>
      </c>
      <c r="D8344" t="s">
        <v>24846</v>
      </c>
      <c r="E8344" t="s">
        <v>24883</v>
      </c>
      <c r="F8344" t="s">
        <v>24884</v>
      </c>
    </row>
    <row r="8345" spans="1:6">
      <c r="A8345" t="s">
        <v>24843</v>
      </c>
      <c r="B8345" t="s">
        <v>24844</v>
      </c>
      <c r="C8345" t="s">
        <v>24885</v>
      </c>
      <c r="D8345" t="s">
        <v>24846</v>
      </c>
      <c r="E8345" t="s">
        <v>8753</v>
      </c>
      <c r="F8345" t="s">
        <v>24886</v>
      </c>
    </row>
    <row r="8346" spans="1:6">
      <c r="A8346" t="s">
        <v>24843</v>
      </c>
      <c r="B8346" t="s">
        <v>24844</v>
      </c>
      <c r="C8346" t="s">
        <v>24887</v>
      </c>
      <c r="D8346" t="s">
        <v>24846</v>
      </c>
      <c r="E8346" t="s">
        <v>24888</v>
      </c>
      <c r="F8346" t="s">
        <v>24889</v>
      </c>
    </row>
    <row r="8347" spans="1:6">
      <c r="A8347" t="s">
        <v>24843</v>
      </c>
      <c r="B8347" t="s">
        <v>24844</v>
      </c>
      <c r="C8347" t="s">
        <v>24890</v>
      </c>
      <c r="D8347" t="s">
        <v>24846</v>
      </c>
      <c r="E8347" t="s">
        <v>24891</v>
      </c>
      <c r="F8347" t="s">
        <v>24892</v>
      </c>
    </row>
    <row r="8348" spans="1:6">
      <c r="A8348" t="s">
        <v>24843</v>
      </c>
      <c r="B8348" t="s">
        <v>24844</v>
      </c>
      <c r="C8348" t="s">
        <v>24893</v>
      </c>
      <c r="D8348" t="s">
        <v>24846</v>
      </c>
      <c r="E8348" t="s">
        <v>24894</v>
      </c>
      <c r="F8348" t="s">
        <v>24895</v>
      </c>
    </row>
    <row r="8349" spans="1:6">
      <c r="A8349" t="s">
        <v>24843</v>
      </c>
      <c r="B8349" t="s">
        <v>24844</v>
      </c>
      <c r="C8349" t="s">
        <v>24896</v>
      </c>
      <c r="D8349" t="s">
        <v>24846</v>
      </c>
      <c r="E8349" t="s">
        <v>24897</v>
      </c>
      <c r="F8349" t="s">
        <v>24898</v>
      </c>
    </row>
    <row r="8350" spans="1:6">
      <c r="A8350" t="s">
        <v>24843</v>
      </c>
      <c r="B8350" t="s">
        <v>24844</v>
      </c>
      <c r="C8350" t="s">
        <v>24899</v>
      </c>
      <c r="D8350" t="s">
        <v>24846</v>
      </c>
      <c r="E8350" t="s">
        <v>24900</v>
      </c>
      <c r="F8350" t="s">
        <v>24901</v>
      </c>
    </row>
    <row r="8351" spans="1:6">
      <c r="A8351" t="s">
        <v>24843</v>
      </c>
      <c r="B8351" t="s">
        <v>24844</v>
      </c>
      <c r="C8351" t="s">
        <v>24902</v>
      </c>
      <c r="D8351" t="s">
        <v>24846</v>
      </c>
      <c r="E8351" t="s">
        <v>3392</v>
      </c>
      <c r="F8351" t="s">
        <v>24903</v>
      </c>
    </row>
    <row r="8352" spans="1:6">
      <c r="A8352" t="s">
        <v>24843</v>
      </c>
      <c r="B8352" t="s">
        <v>24844</v>
      </c>
      <c r="C8352" t="s">
        <v>24904</v>
      </c>
      <c r="D8352" t="s">
        <v>24846</v>
      </c>
      <c r="E8352" t="s">
        <v>14259</v>
      </c>
      <c r="F8352" t="s">
        <v>24905</v>
      </c>
    </row>
    <row r="8353" spans="1:12">
      <c r="A8353" t="s">
        <v>24843</v>
      </c>
      <c r="B8353" t="s">
        <v>24844</v>
      </c>
      <c r="C8353" t="s">
        <v>24906</v>
      </c>
      <c r="D8353" t="s">
        <v>24846</v>
      </c>
      <c r="E8353" t="s">
        <v>10306</v>
      </c>
      <c r="F8353" t="s">
        <v>24907</v>
      </c>
    </row>
    <row r="8354" spans="1:12">
      <c r="A8354" t="s">
        <v>24843</v>
      </c>
      <c r="B8354" t="s">
        <v>24844</v>
      </c>
      <c r="C8354" t="s">
        <v>24908</v>
      </c>
      <c r="D8354" t="s">
        <v>24846</v>
      </c>
      <c r="E8354" t="s">
        <v>8801</v>
      </c>
      <c r="F8354" t="s">
        <v>24909</v>
      </c>
    </row>
    <row r="8355" spans="1:12">
      <c r="A8355" t="s">
        <v>24843</v>
      </c>
      <c r="B8355" t="s">
        <v>24844</v>
      </c>
      <c r="C8355" t="s">
        <v>24910</v>
      </c>
      <c r="D8355" t="s">
        <v>24846</v>
      </c>
      <c r="E8355" t="s">
        <v>24911</v>
      </c>
      <c r="F8355" t="s">
        <v>24912</v>
      </c>
    </row>
    <row r="8356" spans="1:12">
      <c r="A8356" t="s">
        <v>24843</v>
      </c>
      <c r="B8356" t="s">
        <v>24844</v>
      </c>
      <c r="C8356" t="s">
        <v>24913</v>
      </c>
      <c r="D8356" t="s">
        <v>24846</v>
      </c>
      <c r="E8356" t="s">
        <v>24914</v>
      </c>
      <c r="F8356" t="s">
        <v>24914</v>
      </c>
    </row>
    <row r="8357" spans="1:12">
      <c r="A8357" t="s">
        <v>24843</v>
      </c>
      <c r="B8357" t="s">
        <v>24844</v>
      </c>
      <c r="C8357" t="s">
        <v>24915</v>
      </c>
      <c r="D8357" t="s">
        <v>24846</v>
      </c>
      <c r="E8357" t="s">
        <v>24916</v>
      </c>
      <c r="F8357" t="s">
        <v>24917</v>
      </c>
    </row>
    <row r="8358" spans="1:12">
      <c r="A8358" t="s">
        <v>24843</v>
      </c>
      <c r="B8358" t="s">
        <v>24844</v>
      </c>
      <c r="C8358" t="s">
        <v>24918</v>
      </c>
      <c r="D8358" t="s">
        <v>24846</v>
      </c>
      <c r="E8358" t="s">
        <v>24919</v>
      </c>
      <c r="F8358" t="s">
        <v>24920</v>
      </c>
    </row>
    <row r="8359" spans="1:12">
      <c r="A8359" t="s">
        <v>24843</v>
      </c>
      <c r="B8359" t="s">
        <v>24844</v>
      </c>
      <c r="C8359" t="s">
        <v>24921</v>
      </c>
      <c r="D8359" t="s">
        <v>24846</v>
      </c>
      <c r="E8359" t="s">
        <v>24922</v>
      </c>
      <c r="F8359" t="s">
        <v>24923</v>
      </c>
      <c r="J8359" t="s">
        <v>24922</v>
      </c>
      <c r="K8359" t="s">
        <v>24855</v>
      </c>
      <c r="L8359" t="s">
        <v>851</v>
      </c>
    </row>
    <row r="8360" spans="1:12">
      <c r="A8360" t="s">
        <v>24843</v>
      </c>
      <c r="B8360" t="s">
        <v>24844</v>
      </c>
      <c r="C8360" t="s">
        <v>24924</v>
      </c>
      <c r="D8360" t="s">
        <v>24846</v>
      </c>
      <c r="E8360" t="s">
        <v>882</v>
      </c>
      <c r="F8360" t="s">
        <v>24925</v>
      </c>
    </row>
    <row r="8361" spans="1:12">
      <c r="A8361" t="s">
        <v>24843</v>
      </c>
      <c r="B8361" t="s">
        <v>24844</v>
      </c>
      <c r="C8361" t="s">
        <v>24926</v>
      </c>
      <c r="D8361" t="s">
        <v>24846</v>
      </c>
      <c r="E8361" t="s">
        <v>24927</v>
      </c>
      <c r="F8361" t="s">
        <v>24928</v>
      </c>
      <c r="J8361" t="s">
        <v>24927</v>
      </c>
      <c r="K8361" t="s">
        <v>24855</v>
      </c>
      <c r="L8361" t="s">
        <v>851</v>
      </c>
    </row>
    <row r="8362" spans="1:12">
      <c r="A8362" t="s">
        <v>24843</v>
      </c>
      <c r="B8362" t="s">
        <v>24844</v>
      </c>
      <c r="C8362" t="s">
        <v>24929</v>
      </c>
      <c r="D8362" t="s">
        <v>24846</v>
      </c>
      <c r="E8362" t="s">
        <v>24930</v>
      </c>
      <c r="F8362" t="s">
        <v>24931</v>
      </c>
    </row>
    <row r="8363" spans="1:12">
      <c r="A8363" t="s">
        <v>24843</v>
      </c>
      <c r="B8363" t="s">
        <v>24844</v>
      </c>
      <c r="C8363" t="s">
        <v>24932</v>
      </c>
      <c r="D8363" t="s">
        <v>24846</v>
      </c>
      <c r="E8363" t="s">
        <v>22417</v>
      </c>
      <c r="F8363" t="s">
        <v>24933</v>
      </c>
    </row>
    <row r="8364" spans="1:12">
      <c r="A8364" t="s">
        <v>24843</v>
      </c>
      <c r="B8364" t="s">
        <v>24844</v>
      </c>
      <c r="C8364" t="s">
        <v>24934</v>
      </c>
      <c r="D8364" t="s">
        <v>24846</v>
      </c>
      <c r="E8364" t="s">
        <v>9004</v>
      </c>
      <c r="F8364" t="s">
        <v>24935</v>
      </c>
    </row>
    <row r="8365" spans="1:12">
      <c r="A8365" t="s">
        <v>24843</v>
      </c>
      <c r="B8365" t="s">
        <v>24844</v>
      </c>
      <c r="C8365" t="s">
        <v>24936</v>
      </c>
      <c r="D8365" t="s">
        <v>24846</v>
      </c>
      <c r="E8365" t="s">
        <v>15044</v>
      </c>
      <c r="F8365" t="s">
        <v>24937</v>
      </c>
    </row>
    <row r="8366" spans="1:12">
      <c r="A8366" t="s">
        <v>24843</v>
      </c>
      <c r="B8366" t="s">
        <v>24844</v>
      </c>
      <c r="C8366" t="s">
        <v>24938</v>
      </c>
      <c r="D8366" t="s">
        <v>24846</v>
      </c>
      <c r="E8366" t="s">
        <v>9020</v>
      </c>
      <c r="F8366" t="s">
        <v>24939</v>
      </c>
    </row>
    <row r="8367" spans="1:12">
      <c r="A8367" t="s">
        <v>24843</v>
      </c>
      <c r="B8367" t="s">
        <v>24844</v>
      </c>
      <c r="C8367" t="s">
        <v>24940</v>
      </c>
      <c r="D8367" t="s">
        <v>24846</v>
      </c>
      <c r="E8367" t="s">
        <v>7087</v>
      </c>
      <c r="F8367" t="s">
        <v>24941</v>
      </c>
    </row>
    <row r="8368" spans="1:12">
      <c r="A8368" t="s">
        <v>24843</v>
      </c>
      <c r="B8368" t="s">
        <v>24844</v>
      </c>
      <c r="C8368" t="s">
        <v>24942</v>
      </c>
      <c r="D8368" t="s">
        <v>24846</v>
      </c>
      <c r="E8368" t="s">
        <v>24943</v>
      </c>
      <c r="F8368" t="s">
        <v>24944</v>
      </c>
      <c r="J8368" t="s">
        <v>24943</v>
      </c>
      <c r="K8368" t="s">
        <v>24855</v>
      </c>
      <c r="L8368" t="s">
        <v>851</v>
      </c>
    </row>
    <row r="8369" spans="1:12">
      <c r="A8369" t="s">
        <v>24843</v>
      </c>
      <c r="B8369" t="s">
        <v>24844</v>
      </c>
      <c r="C8369" t="s">
        <v>24945</v>
      </c>
      <c r="D8369" t="s">
        <v>24846</v>
      </c>
      <c r="E8369" t="s">
        <v>16919</v>
      </c>
      <c r="F8369" t="s">
        <v>24946</v>
      </c>
    </row>
    <row r="8370" spans="1:12">
      <c r="A8370" t="s">
        <v>24843</v>
      </c>
      <c r="B8370" t="s">
        <v>24844</v>
      </c>
      <c r="C8370" t="s">
        <v>24947</v>
      </c>
      <c r="D8370" t="s">
        <v>24846</v>
      </c>
      <c r="E8370" t="s">
        <v>9061</v>
      </c>
      <c r="F8370" t="s">
        <v>24948</v>
      </c>
      <c r="J8370" t="s">
        <v>9061</v>
      </c>
      <c r="K8370" t="s">
        <v>24855</v>
      </c>
      <c r="L8370" t="s">
        <v>851</v>
      </c>
    </row>
    <row r="8371" spans="1:12">
      <c r="A8371" t="s">
        <v>24843</v>
      </c>
      <c r="B8371" t="s">
        <v>24844</v>
      </c>
      <c r="C8371" t="s">
        <v>24949</v>
      </c>
      <c r="D8371" t="s">
        <v>24846</v>
      </c>
      <c r="E8371" t="s">
        <v>9069</v>
      </c>
      <c r="F8371" t="s">
        <v>24950</v>
      </c>
    </row>
    <row r="8372" spans="1:12">
      <c r="A8372" t="s">
        <v>24843</v>
      </c>
      <c r="B8372" t="s">
        <v>24844</v>
      </c>
      <c r="C8372" t="s">
        <v>24951</v>
      </c>
      <c r="D8372" t="s">
        <v>24846</v>
      </c>
      <c r="E8372" t="s">
        <v>5029</v>
      </c>
      <c r="F8372" t="s">
        <v>24952</v>
      </c>
    </row>
    <row r="8373" spans="1:12">
      <c r="A8373" t="s">
        <v>24843</v>
      </c>
      <c r="B8373" t="s">
        <v>24844</v>
      </c>
      <c r="C8373" t="s">
        <v>24953</v>
      </c>
      <c r="D8373" t="s">
        <v>24846</v>
      </c>
      <c r="E8373" t="s">
        <v>24954</v>
      </c>
      <c r="F8373" t="s">
        <v>24955</v>
      </c>
    </row>
    <row r="8374" spans="1:12">
      <c r="A8374" t="s">
        <v>24843</v>
      </c>
      <c r="B8374" t="s">
        <v>24844</v>
      </c>
      <c r="C8374" t="s">
        <v>24956</v>
      </c>
      <c r="D8374" t="s">
        <v>24846</v>
      </c>
      <c r="E8374" t="s">
        <v>24957</v>
      </c>
      <c r="F8374" t="s">
        <v>24958</v>
      </c>
    </row>
    <row r="8375" spans="1:12">
      <c r="A8375" t="s">
        <v>24843</v>
      </c>
      <c r="B8375" t="s">
        <v>24844</v>
      </c>
      <c r="C8375" t="s">
        <v>24959</v>
      </c>
      <c r="D8375" t="s">
        <v>24846</v>
      </c>
      <c r="E8375" t="s">
        <v>9122</v>
      </c>
      <c r="F8375" t="s">
        <v>24960</v>
      </c>
    </row>
    <row r="8376" spans="1:12">
      <c r="A8376" t="s">
        <v>24843</v>
      </c>
      <c r="B8376" t="s">
        <v>24844</v>
      </c>
      <c r="C8376" t="s">
        <v>24961</v>
      </c>
      <c r="D8376" t="s">
        <v>24846</v>
      </c>
      <c r="E8376" t="s">
        <v>24962</v>
      </c>
      <c r="F8376" t="s">
        <v>24963</v>
      </c>
    </row>
    <row r="8377" spans="1:12">
      <c r="A8377" t="s">
        <v>24843</v>
      </c>
      <c r="B8377" t="s">
        <v>24844</v>
      </c>
      <c r="C8377" t="s">
        <v>24964</v>
      </c>
      <c r="D8377" t="s">
        <v>24846</v>
      </c>
      <c r="E8377" t="s">
        <v>7256</v>
      </c>
      <c r="F8377" t="s">
        <v>24965</v>
      </c>
    </row>
    <row r="8378" spans="1:12">
      <c r="A8378" t="s">
        <v>24843</v>
      </c>
      <c r="B8378" t="s">
        <v>24844</v>
      </c>
      <c r="C8378" t="s">
        <v>24966</v>
      </c>
      <c r="D8378" t="s">
        <v>24846</v>
      </c>
      <c r="E8378" t="s">
        <v>24967</v>
      </c>
      <c r="F8378" t="s">
        <v>24968</v>
      </c>
    </row>
    <row r="8379" spans="1:12">
      <c r="A8379" t="s">
        <v>24843</v>
      </c>
      <c r="B8379" t="s">
        <v>24844</v>
      </c>
      <c r="C8379" t="s">
        <v>24969</v>
      </c>
      <c r="D8379" t="s">
        <v>24846</v>
      </c>
      <c r="E8379" t="s">
        <v>9205</v>
      </c>
      <c r="F8379" t="s">
        <v>24970</v>
      </c>
    </row>
    <row r="8380" spans="1:12">
      <c r="A8380" t="s">
        <v>24843</v>
      </c>
      <c r="B8380" t="s">
        <v>24844</v>
      </c>
      <c r="C8380" t="s">
        <v>24971</v>
      </c>
      <c r="D8380" t="s">
        <v>24846</v>
      </c>
      <c r="E8380" t="s">
        <v>24972</v>
      </c>
      <c r="F8380" t="s">
        <v>24973</v>
      </c>
    </row>
    <row r="8381" spans="1:12">
      <c r="A8381" t="s">
        <v>24843</v>
      </c>
      <c r="B8381" t="s">
        <v>24844</v>
      </c>
      <c r="C8381" t="s">
        <v>24974</v>
      </c>
      <c r="D8381" t="s">
        <v>24846</v>
      </c>
      <c r="E8381" t="s">
        <v>12640</v>
      </c>
      <c r="F8381" t="s">
        <v>24975</v>
      </c>
    </row>
    <row r="8382" spans="1:12">
      <c r="A8382" t="s">
        <v>24843</v>
      </c>
      <c r="B8382" t="s">
        <v>24844</v>
      </c>
      <c r="C8382" t="s">
        <v>24976</v>
      </c>
      <c r="D8382" t="s">
        <v>24846</v>
      </c>
      <c r="E8382" t="s">
        <v>24977</v>
      </c>
      <c r="F8382" t="s">
        <v>24978</v>
      </c>
    </row>
    <row r="8383" spans="1:12">
      <c r="A8383" t="s">
        <v>24843</v>
      </c>
      <c r="B8383" t="s">
        <v>24844</v>
      </c>
      <c r="C8383" t="s">
        <v>24979</v>
      </c>
      <c r="D8383" t="s">
        <v>24846</v>
      </c>
      <c r="E8383" t="s">
        <v>24980</v>
      </c>
      <c r="F8383" t="s">
        <v>24981</v>
      </c>
    </row>
    <row r="8384" spans="1:12">
      <c r="A8384" t="s">
        <v>24843</v>
      </c>
      <c r="B8384" t="s">
        <v>24844</v>
      </c>
      <c r="C8384" t="s">
        <v>24982</v>
      </c>
      <c r="D8384" t="s">
        <v>24846</v>
      </c>
      <c r="E8384" t="s">
        <v>24983</v>
      </c>
      <c r="F8384" t="s">
        <v>24984</v>
      </c>
    </row>
    <row r="8385" spans="1:12">
      <c r="A8385" t="s">
        <v>24843</v>
      </c>
      <c r="B8385" t="s">
        <v>24844</v>
      </c>
      <c r="C8385" t="s">
        <v>24985</v>
      </c>
      <c r="D8385" t="s">
        <v>24846</v>
      </c>
      <c r="E8385" t="s">
        <v>24986</v>
      </c>
      <c r="F8385" t="s">
        <v>24987</v>
      </c>
    </row>
    <row r="8386" spans="1:12">
      <c r="A8386" t="s">
        <v>24843</v>
      </c>
      <c r="B8386" t="s">
        <v>24844</v>
      </c>
      <c r="C8386" t="s">
        <v>24988</v>
      </c>
      <c r="D8386" t="s">
        <v>24846</v>
      </c>
      <c r="E8386" t="s">
        <v>17857</v>
      </c>
      <c r="F8386" t="s">
        <v>24989</v>
      </c>
    </row>
    <row r="8387" spans="1:12">
      <c r="A8387" t="s">
        <v>24843</v>
      </c>
      <c r="B8387" t="s">
        <v>24844</v>
      </c>
      <c r="C8387" t="s">
        <v>24990</v>
      </c>
      <c r="D8387" t="s">
        <v>24846</v>
      </c>
      <c r="E8387" t="s">
        <v>6423</v>
      </c>
      <c r="F8387" t="s">
        <v>24991</v>
      </c>
    </row>
    <row r="8388" spans="1:12">
      <c r="A8388" t="s">
        <v>24843</v>
      </c>
      <c r="B8388" t="s">
        <v>24844</v>
      </c>
      <c r="C8388" t="s">
        <v>24992</v>
      </c>
      <c r="D8388" t="s">
        <v>24846</v>
      </c>
      <c r="E8388" t="s">
        <v>9349</v>
      </c>
      <c r="F8388" t="s">
        <v>24993</v>
      </c>
    </row>
    <row r="8389" spans="1:12">
      <c r="A8389" t="s">
        <v>24843</v>
      </c>
      <c r="B8389" t="s">
        <v>24844</v>
      </c>
      <c r="C8389" t="s">
        <v>24994</v>
      </c>
      <c r="D8389" t="s">
        <v>24846</v>
      </c>
      <c r="E8389" t="s">
        <v>24995</v>
      </c>
      <c r="F8389" t="s">
        <v>24996</v>
      </c>
    </row>
    <row r="8390" spans="1:12">
      <c r="A8390" t="s">
        <v>24843</v>
      </c>
      <c r="B8390" t="s">
        <v>24844</v>
      </c>
      <c r="C8390" t="s">
        <v>24997</v>
      </c>
      <c r="D8390" t="s">
        <v>24846</v>
      </c>
      <c r="E8390" t="s">
        <v>975</v>
      </c>
      <c r="F8390" t="s">
        <v>24998</v>
      </c>
    </row>
    <row r="8391" spans="1:12">
      <c r="A8391" t="s">
        <v>24843</v>
      </c>
      <c r="B8391" t="s">
        <v>24844</v>
      </c>
      <c r="C8391" t="s">
        <v>24999</v>
      </c>
      <c r="D8391" t="s">
        <v>24846</v>
      </c>
      <c r="E8391" t="s">
        <v>9490</v>
      </c>
      <c r="F8391" t="s">
        <v>25000</v>
      </c>
    </row>
    <row r="8392" spans="1:12">
      <c r="A8392" t="s">
        <v>24843</v>
      </c>
      <c r="B8392" t="s">
        <v>24844</v>
      </c>
      <c r="C8392" t="s">
        <v>25001</v>
      </c>
      <c r="D8392" t="s">
        <v>24846</v>
      </c>
      <c r="E8392" t="s">
        <v>9508</v>
      </c>
      <c r="F8392" t="s">
        <v>25002</v>
      </c>
    </row>
    <row r="8393" spans="1:12">
      <c r="A8393" t="s">
        <v>24843</v>
      </c>
      <c r="B8393" t="s">
        <v>24844</v>
      </c>
      <c r="C8393" t="s">
        <v>25003</v>
      </c>
      <c r="D8393" t="s">
        <v>24846</v>
      </c>
      <c r="E8393" t="s">
        <v>9523</v>
      </c>
      <c r="F8393" t="s">
        <v>25004</v>
      </c>
    </row>
    <row r="8394" spans="1:12">
      <c r="A8394" t="s">
        <v>24843</v>
      </c>
      <c r="B8394" t="s">
        <v>24844</v>
      </c>
      <c r="C8394" t="s">
        <v>25005</v>
      </c>
      <c r="D8394" t="s">
        <v>24846</v>
      </c>
      <c r="E8394" t="s">
        <v>25006</v>
      </c>
      <c r="F8394" t="s">
        <v>25007</v>
      </c>
    </row>
    <row r="8395" spans="1:12">
      <c r="A8395" t="s">
        <v>24843</v>
      </c>
      <c r="B8395" t="s">
        <v>24844</v>
      </c>
      <c r="C8395" t="s">
        <v>25008</v>
      </c>
      <c r="D8395" t="s">
        <v>24846</v>
      </c>
      <c r="E8395" t="s">
        <v>19127</v>
      </c>
      <c r="F8395" t="s">
        <v>25009</v>
      </c>
      <c r="J8395" t="s">
        <v>19127</v>
      </c>
      <c r="K8395" t="s">
        <v>24855</v>
      </c>
      <c r="L8395" t="s">
        <v>851</v>
      </c>
    </row>
    <row r="8396" spans="1:12">
      <c r="A8396" t="s">
        <v>24843</v>
      </c>
      <c r="B8396" t="s">
        <v>24844</v>
      </c>
      <c r="C8396" t="s">
        <v>25010</v>
      </c>
      <c r="D8396" t="s">
        <v>24846</v>
      </c>
      <c r="E8396" t="s">
        <v>19431</v>
      </c>
      <c r="F8396" t="s">
        <v>25011</v>
      </c>
    </row>
    <row r="8397" spans="1:12">
      <c r="A8397" t="s">
        <v>24843</v>
      </c>
      <c r="B8397" t="s">
        <v>24844</v>
      </c>
      <c r="C8397" t="s">
        <v>25012</v>
      </c>
      <c r="D8397" t="s">
        <v>24846</v>
      </c>
      <c r="E8397" t="s">
        <v>19444</v>
      </c>
      <c r="F8397" t="s">
        <v>25013</v>
      </c>
    </row>
    <row r="8398" spans="1:12">
      <c r="A8398" t="s">
        <v>24843</v>
      </c>
      <c r="B8398" t="s">
        <v>24844</v>
      </c>
      <c r="C8398" t="s">
        <v>25014</v>
      </c>
      <c r="D8398" t="s">
        <v>24846</v>
      </c>
      <c r="E8398" t="s">
        <v>9633</v>
      </c>
      <c r="F8398" t="s">
        <v>25015</v>
      </c>
    </row>
    <row r="8399" spans="1:12">
      <c r="A8399" t="s">
        <v>24843</v>
      </c>
      <c r="B8399" t="s">
        <v>24844</v>
      </c>
      <c r="C8399" t="s">
        <v>25016</v>
      </c>
      <c r="D8399" t="s">
        <v>24846</v>
      </c>
      <c r="E8399" t="s">
        <v>25017</v>
      </c>
      <c r="F8399" t="s">
        <v>25018</v>
      </c>
    </row>
    <row r="8400" spans="1:12">
      <c r="A8400" t="s">
        <v>24843</v>
      </c>
      <c r="B8400" t="s">
        <v>24844</v>
      </c>
      <c r="C8400" t="s">
        <v>25019</v>
      </c>
      <c r="D8400" t="s">
        <v>24846</v>
      </c>
      <c r="E8400" t="s">
        <v>9699</v>
      </c>
      <c r="F8400" t="s">
        <v>9699</v>
      </c>
    </row>
    <row r="8401" spans="1:12">
      <c r="A8401" t="s">
        <v>24843</v>
      </c>
      <c r="B8401" t="s">
        <v>24844</v>
      </c>
      <c r="C8401" t="s">
        <v>25020</v>
      </c>
      <c r="D8401" t="s">
        <v>24846</v>
      </c>
      <c r="E8401" t="s">
        <v>25021</v>
      </c>
      <c r="F8401" t="s">
        <v>25022</v>
      </c>
    </row>
    <row r="8402" spans="1:12">
      <c r="A8402" t="s">
        <v>24843</v>
      </c>
      <c r="B8402" t="s">
        <v>24844</v>
      </c>
      <c r="C8402" t="s">
        <v>25023</v>
      </c>
      <c r="D8402" t="s">
        <v>24846</v>
      </c>
      <c r="E8402" t="s">
        <v>9712</v>
      </c>
      <c r="F8402" t="s">
        <v>25024</v>
      </c>
    </row>
    <row r="8403" spans="1:12">
      <c r="A8403" t="s">
        <v>24843</v>
      </c>
      <c r="B8403" t="s">
        <v>24844</v>
      </c>
      <c r="C8403" t="s">
        <v>25025</v>
      </c>
      <c r="D8403" t="s">
        <v>24846</v>
      </c>
      <c r="E8403" t="s">
        <v>2739</v>
      </c>
      <c r="F8403" t="s">
        <v>25026</v>
      </c>
    </row>
    <row r="8404" spans="1:12">
      <c r="A8404" t="s">
        <v>24843</v>
      </c>
      <c r="B8404" t="s">
        <v>24844</v>
      </c>
      <c r="C8404" t="s">
        <v>25027</v>
      </c>
      <c r="D8404" t="s">
        <v>24846</v>
      </c>
      <c r="E8404" t="s">
        <v>9765</v>
      </c>
      <c r="F8404" t="s">
        <v>25028</v>
      </c>
    </row>
    <row r="8405" spans="1:12">
      <c r="A8405" t="s">
        <v>24843</v>
      </c>
      <c r="B8405" t="s">
        <v>24844</v>
      </c>
      <c r="C8405" t="s">
        <v>25029</v>
      </c>
      <c r="D8405" t="s">
        <v>24846</v>
      </c>
      <c r="E8405" t="s">
        <v>4507</v>
      </c>
      <c r="F8405" t="s">
        <v>25030</v>
      </c>
    </row>
    <row r="8406" spans="1:12">
      <c r="A8406" t="s">
        <v>24843</v>
      </c>
      <c r="B8406" t="s">
        <v>24844</v>
      </c>
      <c r="C8406" t="s">
        <v>25031</v>
      </c>
      <c r="D8406" t="s">
        <v>24846</v>
      </c>
      <c r="E8406" t="s">
        <v>25032</v>
      </c>
      <c r="F8406" t="s">
        <v>25033</v>
      </c>
      <c r="J8406" t="s">
        <v>25032</v>
      </c>
      <c r="K8406" t="s">
        <v>24855</v>
      </c>
      <c r="L8406" t="s">
        <v>851</v>
      </c>
    </row>
    <row r="8407" spans="1:12">
      <c r="A8407" t="s">
        <v>24843</v>
      </c>
      <c r="B8407" t="s">
        <v>24844</v>
      </c>
      <c r="C8407" t="s">
        <v>25034</v>
      </c>
      <c r="D8407" t="s">
        <v>24846</v>
      </c>
      <c r="E8407" t="s">
        <v>9867</v>
      </c>
      <c r="F8407" t="s">
        <v>25035</v>
      </c>
    </row>
    <row r="8408" spans="1:12">
      <c r="A8408" t="s">
        <v>24843</v>
      </c>
      <c r="B8408" t="s">
        <v>24844</v>
      </c>
      <c r="C8408" t="s">
        <v>25036</v>
      </c>
      <c r="D8408" t="s">
        <v>24846</v>
      </c>
      <c r="E8408" t="s">
        <v>25037</v>
      </c>
      <c r="F8408" t="s">
        <v>25038</v>
      </c>
    </row>
    <row r="8409" spans="1:12">
      <c r="A8409" t="s">
        <v>24843</v>
      </c>
      <c r="B8409" t="s">
        <v>24844</v>
      </c>
      <c r="C8409" t="s">
        <v>25039</v>
      </c>
      <c r="D8409" t="s">
        <v>24846</v>
      </c>
      <c r="E8409" t="s">
        <v>3518</v>
      </c>
      <c r="F8409" t="s">
        <v>25040</v>
      </c>
    </row>
    <row r="8410" spans="1:12">
      <c r="A8410" t="s">
        <v>24843</v>
      </c>
      <c r="B8410" t="s">
        <v>24844</v>
      </c>
      <c r="C8410" t="s">
        <v>25041</v>
      </c>
      <c r="D8410" t="s">
        <v>24846</v>
      </c>
      <c r="E8410" t="s">
        <v>22880</v>
      </c>
      <c r="F8410" t="s">
        <v>25042</v>
      </c>
    </row>
    <row r="8411" spans="1:12">
      <c r="A8411" t="s">
        <v>24843</v>
      </c>
      <c r="B8411" t="s">
        <v>24844</v>
      </c>
      <c r="C8411" t="s">
        <v>25043</v>
      </c>
      <c r="D8411" t="s">
        <v>24846</v>
      </c>
      <c r="E8411" t="s">
        <v>9961</v>
      </c>
      <c r="F8411" t="s">
        <v>25044</v>
      </c>
    </row>
    <row r="8412" spans="1:12">
      <c r="A8412" t="s">
        <v>24843</v>
      </c>
      <c r="B8412" t="s">
        <v>24844</v>
      </c>
      <c r="C8412" t="s">
        <v>25045</v>
      </c>
      <c r="D8412" t="s">
        <v>24846</v>
      </c>
      <c r="E8412" t="s">
        <v>24795</v>
      </c>
      <c r="F8412" t="s">
        <v>25046</v>
      </c>
      <c r="J8412" t="s">
        <v>24795</v>
      </c>
      <c r="K8412" t="s">
        <v>24855</v>
      </c>
      <c r="L8412" t="s">
        <v>851</v>
      </c>
    </row>
    <row r="8413" spans="1:12">
      <c r="A8413" t="s">
        <v>24843</v>
      </c>
      <c r="B8413" t="s">
        <v>24844</v>
      </c>
      <c r="C8413" t="s">
        <v>25047</v>
      </c>
      <c r="D8413" t="s">
        <v>24846</v>
      </c>
      <c r="E8413" t="s">
        <v>1428</v>
      </c>
      <c r="F8413" t="s">
        <v>25048</v>
      </c>
    </row>
    <row r="8414" spans="1:12">
      <c r="A8414" t="s">
        <v>24843</v>
      </c>
      <c r="B8414" t="s">
        <v>24844</v>
      </c>
      <c r="C8414" t="s">
        <v>25049</v>
      </c>
      <c r="D8414" t="s">
        <v>24846</v>
      </c>
      <c r="E8414" t="s">
        <v>3407</v>
      </c>
      <c r="F8414" t="s">
        <v>25050</v>
      </c>
    </row>
    <row r="8415" spans="1:12">
      <c r="A8415" t="s">
        <v>24843</v>
      </c>
      <c r="B8415" t="s">
        <v>24844</v>
      </c>
      <c r="C8415" t="s">
        <v>25051</v>
      </c>
      <c r="D8415" t="s">
        <v>24846</v>
      </c>
      <c r="E8415" t="s">
        <v>11203</v>
      </c>
      <c r="F8415" t="s">
        <v>25052</v>
      </c>
    </row>
    <row r="8416" spans="1:12">
      <c r="A8416" t="s">
        <v>24843</v>
      </c>
      <c r="B8416" t="s">
        <v>24844</v>
      </c>
      <c r="C8416" t="s">
        <v>25053</v>
      </c>
      <c r="D8416" t="s">
        <v>24846</v>
      </c>
      <c r="E8416" t="s">
        <v>25054</v>
      </c>
      <c r="F8416" t="s">
        <v>25055</v>
      </c>
    </row>
    <row r="8417" spans="1:6">
      <c r="A8417" t="s">
        <v>24843</v>
      </c>
      <c r="B8417" t="s">
        <v>24844</v>
      </c>
      <c r="C8417" t="s">
        <v>25056</v>
      </c>
      <c r="D8417" t="s">
        <v>24846</v>
      </c>
      <c r="E8417" t="s">
        <v>25057</v>
      </c>
      <c r="F8417" t="s">
        <v>25058</v>
      </c>
    </row>
    <row r="8418" spans="1:6">
      <c r="A8418" t="s">
        <v>24843</v>
      </c>
      <c r="B8418" t="s">
        <v>24844</v>
      </c>
      <c r="C8418" t="s">
        <v>25059</v>
      </c>
      <c r="D8418" t="s">
        <v>24846</v>
      </c>
      <c r="E8418" t="s">
        <v>25060</v>
      </c>
      <c r="F8418" t="s">
        <v>25061</v>
      </c>
    </row>
    <row r="8419" spans="1:6">
      <c r="A8419" t="s">
        <v>24843</v>
      </c>
      <c r="B8419" t="s">
        <v>24844</v>
      </c>
      <c r="C8419" t="s">
        <v>25062</v>
      </c>
      <c r="D8419" t="s">
        <v>24846</v>
      </c>
      <c r="E8419" t="s">
        <v>1365</v>
      </c>
      <c r="F8419" t="s">
        <v>25063</v>
      </c>
    </row>
    <row r="8420" spans="1:6">
      <c r="A8420" t="s">
        <v>24843</v>
      </c>
      <c r="B8420" t="s">
        <v>24844</v>
      </c>
      <c r="C8420" t="s">
        <v>25064</v>
      </c>
      <c r="D8420" t="s">
        <v>24846</v>
      </c>
      <c r="E8420" t="s">
        <v>13798</v>
      </c>
      <c r="F8420" t="s">
        <v>25065</v>
      </c>
    </row>
    <row r="8421" spans="1:6">
      <c r="A8421" t="s">
        <v>24843</v>
      </c>
      <c r="B8421" t="s">
        <v>24844</v>
      </c>
      <c r="C8421" t="s">
        <v>25066</v>
      </c>
      <c r="D8421" t="s">
        <v>24846</v>
      </c>
      <c r="E8421" t="s">
        <v>10082</v>
      </c>
      <c r="F8421" t="s">
        <v>25067</v>
      </c>
    </row>
    <row r="8422" spans="1:6">
      <c r="A8422" t="s">
        <v>24843</v>
      </c>
      <c r="B8422" t="s">
        <v>24844</v>
      </c>
      <c r="C8422" t="s">
        <v>25068</v>
      </c>
      <c r="D8422" t="s">
        <v>24846</v>
      </c>
      <c r="E8422" t="s">
        <v>11535</v>
      </c>
      <c r="F8422" t="s">
        <v>25069</v>
      </c>
    </row>
    <row r="8423" spans="1:6">
      <c r="A8423" t="s">
        <v>24843</v>
      </c>
      <c r="B8423" t="s">
        <v>24844</v>
      </c>
      <c r="C8423" t="s">
        <v>25070</v>
      </c>
      <c r="D8423" t="s">
        <v>24846</v>
      </c>
      <c r="E8423" t="s">
        <v>25071</v>
      </c>
      <c r="F8423" t="s">
        <v>25072</v>
      </c>
    </row>
    <row r="8424" spans="1:6">
      <c r="A8424" t="s">
        <v>24843</v>
      </c>
      <c r="B8424" t="s">
        <v>24844</v>
      </c>
      <c r="C8424" t="s">
        <v>25073</v>
      </c>
      <c r="D8424" t="s">
        <v>24846</v>
      </c>
      <c r="E8424" t="s">
        <v>25074</v>
      </c>
      <c r="F8424" t="s">
        <v>25075</v>
      </c>
    </row>
    <row r="8425" spans="1:6">
      <c r="A8425" t="s">
        <v>24843</v>
      </c>
      <c r="B8425" t="s">
        <v>24844</v>
      </c>
      <c r="C8425" t="s">
        <v>25076</v>
      </c>
      <c r="D8425" t="s">
        <v>24846</v>
      </c>
      <c r="E8425" t="s">
        <v>3073</v>
      </c>
      <c r="F8425" t="s">
        <v>25077</v>
      </c>
    </row>
    <row r="8426" spans="1:6">
      <c r="A8426" t="s">
        <v>24843</v>
      </c>
      <c r="B8426" t="s">
        <v>24844</v>
      </c>
      <c r="C8426" t="s">
        <v>25078</v>
      </c>
      <c r="D8426" t="s">
        <v>24846</v>
      </c>
      <c r="E8426" t="s">
        <v>25079</v>
      </c>
      <c r="F8426" t="s">
        <v>25080</v>
      </c>
    </row>
    <row r="8427" spans="1:6">
      <c r="A8427" t="s">
        <v>24843</v>
      </c>
      <c r="B8427" t="s">
        <v>24844</v>
      </c>
      <c r="C8427" t="s">
        <v>25081</v>
      </c>
      <c r="D8427" t="s">
        <v>24846</v>
      </c>
      <c r="E8427" t="s">
        <v>25082</v>
      </c>
      <c r="F8427" t="s">
        <v>25083</v>
      </c>
    </row>
    <row r="8428" spans="1:6">
      <c r="A8428" t="s">
        <v>24843</v>
      </c>
      <c r="B8428" t="s">
        <v>24844</v>
      </c>
      <c r="C8428" t="s">
        <v>25084</v>
      </c>
      <c r="D8428" t="s">
        <v>24846</v>
      </c>
      <c r="E8428" t="s">
        <v>25085</v>
      </c>
      <c r="F8428" t="s">
        <v>25086</v>
      </c>
    </row>
    <row r="8429" spans="1:6">
      <c r="A8429" t="s">
        <v>24843</v>
      </c>
      <c r="B8429" t="s">
        <v>24844</v>
      </c>
      <c r="C8429" t="s">
        <v>25087</v>
      </c>
      <c r="D8429" t="s">
        <v>24846</v>
      </c>
      <c r="E8429" t="s">
        <v>25088</v>
      </c>
      <c r="F8429" t="s">
        <v>25089</v>
      </c>
    </row>
    <row r="8430" spans="1:6">
      <c r="A8430" t="s">
        <v>24843</v>
      </c>
      <c r="B8430" t="s">
        <v>24844</v>
      </c>
      <c r="C8430" t="s">
        <v>25090</v>
      </c>
      <c r="D8430" t="s">
        <v>24846</v>
      </c>
      <c r="E8430" t="s">
        <v>25091</v>
      </c>
      <c r="F8430" t="s">
        <v>25092</v>
      </c>
    </row>
    <row r="8431" spans="1:6">
      <c r="A8431" t="s">
        <v>24843</v>
      </c>
      <c r="B8431" t="s">
        <v>24844</v>
      </c>
      <c r="C8431" t="s">
        <v>25093</v>
      </c>
      <c r="D8431" t="s">
        <v>24846</v>
      </c>
      <c r="E8431" t="s">
        <v>25094</v>
      </c>
      <c r="F8431" t="s">
        <v>25095</v>
      </c>
    </row>
    <row r="8432" spans="1:6">
      <c r="A8432" t="s">
        <v>24843</v>
      </c>
      <c r="B8432" t="s">
        <v>24844</v>
      </c>
      <c r="C8432" t="s">
        <v>25096</v>
      </c>
      <c r="D8432" t="s">
        <v>24846</v>
      </c>
      <c r="E8432" t="s">
        <v>25097</v>
      </c>
      <c r="F8432" t="s">
        <v>25098</v>
      </c>
    </row>
    <row r="8433" spans="1:12">
      <c r="A8433" t="s">
        <v>24843</v>
      </c>
      <c r="B8433" t="s">
        <v>24844</v>
      </c>
      <c r="C8433" t="s">
        <v>25099</v>
      </c>
      <c r="D8433" t="s">
        <v>24846</v>
      </c>
      <c r="E8433" t="s">
        <v>6319</v>
      </c>
      <c r="F8433" t="s">
        <v>25100</v>
      </c>
    </row>
    <row r="8434" spans="1:12">
      <c r="A8434" t="s">
        <v>24843</v>
      </c>
      <c r="B8434" t="s">
        <v>24844</v>
      </c>
      <c r="C8434" t="s">
        <v>25101</v>
      </c>
      <c r="D8434" t="s">
        <v>24846</v>
      </c>
      <c r="E8434" t="s">
        <v>10227</v>
      </c>
      <c r="F8434" t="s">
        <v>25102</v>
      </c>
    </row>
    <row r="8435" spans="1:12">
      <c r="A8435" t="s">
        <v>24843</v>
      </c>
      <c r="B8435" t="s">
        <v>24844</v>
      </c>
      <c r="C8435" t="s">
        <v>25103</v>
      </c>
      <c r="D8435" t="s">
        <v>24846</v>
      </c>
      <c r="E8435" t="s">
        <v>25104</v>
      </c>
      <c r="F8435" t="s">
        <v>25105</v>
      </c>
    </row>
    <row r="8436" spans="1:12">
      <c r="A8436" t="s">
        <v>24843</v>
      </c>
      <c r="B8436" t="s">
        <v>24844</v>
      </c>
      <c r="C8436" t="s">
        <v>25106</v>
      </c>
      <c r="D8436" t="s">
        <v>24846</v>
      </c>
      <c r="E8436" t="s">
        <v>25107</v>
      </c>
      <c r="F8436" t="s">
        <v>25108</v>
      </c>
    </row>
    <row r="8437" spans="1:12">
      <c r="A8437" t="s">
        <v>24843</v>
      </c>
      <c r="B8437" t="s">
        <v>24844</v>
      </c>
      <c r="C8437" t="s">
        <v>25109</v>
      </c>
      <c r="D8437" t="s">
        <v>24846</v>
      </c>
      <c r="E8437" t="s">
        <v>25110</v>
      </c>
      <c r="F8437" t="s">
        <v>25111</v>
      </c>
    </row>
    <row r="8438" spans="1:12">
      <c r="A8438" t="s">
        <v>24843</v>
      </c>
      <c r="B8438" t="s">
        <v>24844</v>
      </c>
      <c r="C8438" t="s">
        <v>25112</v>
      </c>
      <c r="D8438" t="s">
        <v>24846</v>
      </c>
      <c r="E8438" t="s">
        <v>25113</v>
      </c>
      <c r="F8438" t="s">
        <v>25114</v>
      </c>
    </row>
    <row r="8439" spans="1:12">
      <c r="A8439" t="s">
        <v>24843</v>
      </c>
      <c r="B8439" t="s">
        <v>24844</v>
      </c>
      <c r="C8439" t="s">
        <v>25115</v>
      </c>
      <c r="D8439" t="s">
        <v>24846</v>
      </c>
      <c r="E8439" t="s">
        <v>25116</v>
      </c>
      <c r="F8439" t="s">
        <v>25117</v>
      </c>
    </row>
    <row r="8440" spans="1:12">
      <c r="A8440" t="s">
        <v>24843</v>
      </c>
      <c r="B8440" t="s">
        <v>24844</v>
      </c>
      <c r="C8440" t="s">
        <v>25118</v>
      </c>
      <c r="D8440" t="s">
        <v>24846</v>
      </c>
      <c r="E8440" t="s">
        <v>655</v>
      </c>
      <c r="F8440" t="s">
        <v>656</v>
      </c>
    </row>
    <row r="8441" spans="1:12">
      <c r="A8441" t="s">
        <v>25119</v>
      </c>
      <c r="B8441" t="s">
        <v>25120</v>
      </c>
      <c r="C8441" t="s">
        <v>25121</v>
      </c>
      <c r="D8441" t="s">
        <v>24</v>
      </c>
      <c r="E8441" t="s">
        <v>661</v>
      </c>
      <c r="F8441" t="s">
        <v>25122</v>
      </c>
    </row>
    <row r="8442" spans="1:12">
      <c r="A8442" t="s">
        <v>25119</v>
      </c>
      <c r="B8442" t="s">
        <v>25120</v>
      </c>
      <c r="C8442" t="s">
        <v>25123</v>
      </c>
      <c r="D8442" t="s">
        <v>24</v>
      </c>
      <c r="E8442" t="s">
        <v>25124</v>
      </c>
      <c r="F8442" t="s">
        <v>25125</v>
      </c>
    </row>
    <row r="8443" spans="1:12">
      <c r="A8443" t="s">
        <v>25119</v>
      </c>
      <c r="B8443" t="s">
        <v>25120</v>
      </c>
      <c r="C8443" t="s">
        <v>25126</v>
      </c>
      <c r="D8443" t="s">
        <v>24</v>
      </c>
      <c r="E8443" t="s">
        <v>25127</v>
      </c>
      <c r="F8443" t="s">
        <v>25128</v>
      </c>
      <c r="J8443" t="s">
        <v>25127</v>
      </c>
      <c r="K8443" t="s">
        <v>5138</v>
      </c>
      <c r="L8443" t="s">
        <v>851</v>
      </c>
    </row>
    <row r="8444" spans="1:12">
      <c r="A8444" t="s">
        <v>25119</v>
      </c>
      <c r="B8444" t="s">
        <v>25120</v>
      </c>
      <c r="C8444" t="s">
        <v>25129</v>
      </c>
      <c r="D8444" t="s">
        <v>24</v>
      </c>
      <c r="E8444" t="s">
        <v>25130</v>
      </c>
      <c r="F8444" t="s">
        <v>25131</v>
      </c>
    </row>
    <row r="8445" spans="1:12">
      <c r="A8445" t="s">
        <v>25119</v>
      </c>
      <c r="B8445" t="s">
        <v>25120</v>
      </c>
      <c r="C8445" t="s">
        <v>25132</v>
      </c>
      <c r="D8445" t="s">
        <v>24</v>
      </c>
      <c r="E8445" t="s">
        <v>8424</v>
      </c>
      <c r="F8445" t="s">
        <v>25133</v>
      </c>
      <c r="J8445" t="s">
        <v>8424</v>
      </c>
      <c r="K8445" t="s">
        <v>5138</v>
      </c>
      <c r="L8445" t="s">
        <v>851</v>
      </c>
    </row>
    <row r="8446" spans="1:12">
      <c r="A8446" t="s">
        <v>25119</v>
      </c>
      <c r="B8446" t="s">
        <v>25120</v>
      </c>
      <c r="C8446" t="s">
        <v>25134</v>
      </c>
      <c r="D8446" t="s">
        <v>24</v>
      </c>
      <c r="E8446" t="s">
        <v>8442</v>
      </c>
      <c r="F8446" t="s">
        <v>25135</v>
      </c>
    </row>
    <row r="8447" spans="1:12">
      <c r="A8447" t="s">
        <v>25119</v>
      </c>
      <c r="B8447" t="s">
        <v>25120</v>
      </c>
      <c r="C8447" t="s">
        <v>25136</v>
      </c>
      <c r="D8447" t="s">
        <v>24</v>
      </c>
      <c r="E8447" t="s">
        <v>1487</v>
      </c>
      <c r="F8447" t="s">
        <v>25137</v>
      </c>
    </row>
    <row r="8448" spans="1:12">
      <c r="A8448" t="s">
        <v>25119</v>
      </c>
      <c r="B8448" t="s">
        <v>25120</v>
      </c>
      <c r="C8448" t="s">
        <v>25138</v>
      </c>
      <c r="D8448" t="s">
        <v>24</v>
      </c>
      <c r="E8448" t="s">
        <v>3820</v>
      </c>
      <c r="F8448" t="s">
        <v>25139</v>
      </c>
    </row>
    <row r="8449" spans="1:12">
      <c r="A8449" t="s">
        <v>25119</v>
      </c>
      <c r="B8449" t="s">
        <v>25120</v>
      </c>
      <c r="C8449" t="s">
        <v>25140</v>
      </c>
      <c r="D8449" t="s">
        <v>24</v>
      </c>
      <c r="E8449" t="s">
        <v>3227</v>
      </c>
      <c r="F8449" t="s">
        <v>25141</v>
      </c>
    </row>
    <row r="8450" spans="1:12">
      <c r="A8450" t="s">
        <v>25119</v>
      </c>
      <c r="B8450" t="s">
        <v>25120</v>
      </c>
      <c r="C8450" t="s">
        <v>25142</v>
      </c>
      <c r="D8450" t="s">
        <v>24</v>
      </c>
      <c r="E8450" t="s">
        <v>25143</v>
      </c>
      <c r="F8450" t="s">
        <v>25144</v>
      </c>
      <c r="J8450" t="s">
        <v>25143</v>
      </c>
      <c r="K8450" t="s">
        <v>5138</v>
      </c>
      <c r="L8450" t="s">
        <v>851</v>
      </c>
    </row>
    <row r="8451" spans="1:12">
      <c r="A8451" t="s">
        <v>25119</v>
      </c>
      <c r="B8451" t="s">
        <v>25120</v>
      </c>
      <c r="C8451" t="s">
        <v>25145</v>
      </c>
      <c r="D8451" t="s">
        <v>24</v>
      </c>
      <c r="E8451" t="s">
        <v>8536</v>
      </c>
      <c r="F8451" t="s">
        <v>25146</v>
      </c>
      <c r="J8451" t="s">
        <v>8536</v>
      </c>
      <c r="K8451" t="s">
        <v>5138</v>
      </c>
      <c r="L8451" t="s">
        <v>851</v>
      </c>
    </row>
    <row r="8452" spans="1:12">
      <c r="A8452" t="s">
        <v>25119</v>
      </c>
      <c r="B8452" t="s">
        <v>25120</v>
      </c>
      <c r="C8452" t="s">
        <v>25147</v>
      </c>
      <c r="D8452" t="s">
        <v>24</v>
      </c>
      <c r="E8452" t="s">
        <v>25148</v>
      </c>
      <c r="F8452" t="s">
        <v>25149</v>
      </c>
      <c r="J8452" t="s">
        <v>25148</v>
      </c>
      <c r="K8452" t="s">
        <v>5138</v>
      </c>
      <c r="L8452" t="s">
        <v>851</v>
      </c>
    </row>
    <row r="8453" spans="1:12">
      <c r="A8453" t="s">
        <v>25119</v>
      </c>
      <c r="B8453" t="s">
        <v>25120</v>
      </c>
      <c r="C8453" t="s">
        <v>25150</v>
      </c>
      <c r="D8453" t="s">
        <v>24</v>
      </c>
      <c r="E8453" t="s">
        <v>24138</v>
      </c>
      <c r="F8453" t="s">
        <v>25151</v>
      </c>
    </row>
    <row r="8454" spans="1:12">
      <c r="A8454" t="s">
        <v>25119</v>
      </c>
      <c r="B8454" t="s">
        <v>25120</v>
      </c>
      <c r="C8454" t="s">
        <v>25152</v>
      </c>
      <c r="D8454" t="s">
        <v>24</v>
      </c>
      <c r="E8454" t="s">
        <v>25153</v>
      </c>
      <c r="F8454" t="s">
        <v>25154</v>
      </c>
    </row>
    <row r="8455" spans="1:12">
      <c r="A8455" t="s">
        <v>25119</v>
      </c>
      <c r="B8455" t="s">
        <v>25120</v>
      </c>
      <c r="C8455" t="s">
        <v>25155</v>
      </c>
      <c r="D8455" t="s">
        <v>24</v>
      </c>
      <c r="E8455" t="s">
        <v>25156</v>
      </c>
      <c r="F8455" t="s">
        <v>25157</v>
      </c>
      <c r="J8455" t="s">
        <v>25156</v>
      </c>
      <c r="K8455" t="s">
        <v>5138</v>
      </c>
      <c r="L8455" t="s">
        <v>851</v>
      </c>
    </row>
    <row r="8456" spans="1:12">
      <c r="A8456" t="s">
        <v>25119</v>
      </c>
      <c r="B8456" t="s">
        <v>25120</v>
      </c>
      <c r="C8456" t="s">
        <v>25158</v>
      </c>
      <c r="D8456" t="s">
        <v>24</v>
      </c>
      <c r="E8456" t="s">
        <v>25159</v>
      </c>
      <c r="F8456" t="s">
        <v>25160</v>
      </c>
      <c r="J8456" t="s">
        <v>25159</v>
      </c>
      <c r="K8456" t="s">
        <v>5138</v>
      </c>
      <c r="L8456" t="s">
        <v>851</v>
      </c>
    </row>
    <row r="8457" spans="1:12">
      <c r="A8457" t="s">
        <v>25119</v>
      </c>
      <c r="B8457" t="s">
        <v>25120</v>
      </c>
      <c r="C8457" t="s">
        <v>25161</v>
      </c>
      <c r="D8457" t="s">
        <v>24</v>
      </c>
      <c r="E8457" t="s">
        <v>8653</v>
      </c>
      <c r="F8457" t="s">
        <v>25162</v>
      </c>
    </row>
    <row r="8458" spans="1:12">
      <c r="A8458" t="s">
        <v>25119</v>
      </c>
      <c r="B8458" t="s">
        <v>25120</v>
      </c>
      <c r="C8458" t="s">
        <v>25163</v>
      </c>
      <c r="D8458" t="s">
        <v>24</v>
      </c>
      <c r="E8458" t="s">
        <v>25164</v>
      </c>
      <c r="F8458" t="s">
        <v>25165</v>
      </c>
    </row>
    <row r="8459" spans="1:12">
      <c r="A8459" t="s">
        <v>25119</v>
      </c>
      <c r="B8459" t="s">
        <v>25120</v>
      </c>
      <c r="C8459" t="s">
        <v>25166</v>
      </c>
      <c r="D8459" t="s">
        <v>24</v>
      </c>
      <c r="E8459" t="s">
        <v>25167</v>
      </c>
      <c r="F8459" t="s">
        <v>25168</v>
      </c>
    </row>
    <row r="8460" spans="1:12">
      <c r="A8460" t="s">
        <v>25119</v>
      </c>
      <c r="B8460" t="s">
        <v>25120</v>
      </c>
      <c r="C8460" t="s">
        <v>25169</v>
      </c>
      <c r="D8460" t="s">
        <v>24</v>
      </c>
      <c r="E8460" t="s">
        <v>13451</v>
      </c>
      <c r="F8460" t="s">
        <v>25170</v>
      </c>
    </row>
    <row r="8461" spans="1:12">
      <c r="A8461" t="s">
        <v>25119</v>
      </c>
      <c r="B8461" t="s">
        <v>25120</v>
      </c>
      <c r="C8461" t="s">
        <v>25171</v>
      </c>
      <c r="D8461" t="s">
        <v>24</v>
      </c>
      <c r="E8461" t="s">
        <v>25172</v>
      </c>
      <c r="F8461" t="s">
        <v>25173</v>
      </c>
    </row>
    <row r="8462" spans="1:12">
      <c r="A8462" t="s">
        <v>25119</v>
      </c>
      <c r="B8462" t="s">
        <v>25120</v>
      </c>
      <c r="C8462" t="s">
        <v>25174</v>
      </c>
      <c r="D8462" t="s">
        <v>24</v>
      </c>
      <c r="E8462" t="s">
        <v>25175</v>
      </c>
      <c r="F8462" t="s">
        <v>25176</v>
      </c>
    </row>
    <row r="8463" spans="1:12">
      <c r="A8463" t="s">
        <v>25119</v>
      </c>
      <c r="B8463" t="s">
        <v>25120</v>
      </c>
      <c r="C8463" t="s">
        <v>25177</v>
      </c>
      <c r="D8463" t="s">
        <v>24</v>
      </c>
      <c r="E8463" t="s">
        <v>25178</v>
      </c>
      <c r="F8463" t="s">
        <v>25179</v>
      </c>
    </row>
    <row r="8464" spans="1:12">
      <c r="A8464" t="s">
        <v>25119</v>
      </c>
      <c r="B8464" t="s">
        <v>25120</v>
      </c>
      <c r="C8464" t="s">
        <v>25180</v>
      </c>
      <c r="D8464" t="s">
        <v>24</v>
      </c>
      <c r="E8464" t="s">
        <v>25181</v>
      </c>
      <c r="F8464" t="s">
        <v>25182</v>
      </c>
      <c r="J8464" t="s">
        <v>25181</v>
      </c>
      <c r="K8464" t="s">
        <v>5138</v>
      </c>
      <c r="L8464" t="s">
        <v>851</v>
      </c>
    </row>
    <row r="8465" spans="1:12">
      <c r="A8465" t="s">
        <v>25119</v>
      </c>
      <c r="B8465" t="s">
        <v>25120</v>
      </c>
      <c r="C8465" t="s">
        <v>25183</v>
      </c>
      <c r="D8465" t="s">
        <v>24</v>
      </c>
      <c r="E8465" t="s">
        <v>25184</v>
      </c>
      <c r="F8465" t="s">
        <v>25185</v>
      </c>
    </row>
    <row r="8466" spans="1:12">
      <c r="A8466" t="s">
        <v>25119</v>
      </c>
      <c r="B8466" t="s">
        <v>25120</v>
      </c>
      <c r="C8466" t="s">
        <v>25186</v>
      </c>
      <c r="D8466" t="s">
        <v>24</v>
      </c>
      <c r="E8466" t="s">
        <v>7216</v>
      </c>
      <c r="F8466" t="s">
        <v>25187</v>
      </c>
      <c r="J8466" t="s">
        <v>7216</v>
      </c>
      <c r="K8466" t="s">
        <v>5138</v>
      </c>
      <c r="L8466" t="s">
        <v>851</v>
      </c>
    </row>
    <row r="8467" spans="1:12">
      <c r="A8467" t="s">
        <v>25119</v>
      </c>
      <c r="B8467" t="s">
        <v>25120</v>
      </c>
      <c r="C8467" t="s">
        <v>25188</v>
      </c>
      <c r="D8467" t="s">
        <v>24</v>
      </c>
      <c r="E8467" t="s">
        <v>25189</v>
      </c>
      <c r="F8467" t="s">
        <v>25190</v>
      </c>
    </row>
    <row r="8468" spans="1:12">
      <c r="A8468" t="s">
        <v>25119</v>
      </c>
      <c r="B8468" t="s">
        <v>25120</v>
      </c>
      <c r="C8468" t="s">
        <v>25191</v>
      </c>
      <c r="D8468" t="s">
        <v>24</v>
      </c>
      <c r="E8468" t="s">
        <v>25192</v>
      </c>
      <c r="F8468" t="s">
        <v>25193</v>
      </c>
      <c r="J8468" t="s">
        <v>25192</v>
      </c>
      <c r="K8468" t="s">
        <v>5138</v>
      </c>
      <c r="L8468" t="s">
        <v>851</v>
      </c>
    </row>
    <row r="8469" spans="1:12">
      <c r="A8469" t="s">
        <v>25119</v>
      </c>
      <c r="B8469" t="s">
        <v>25120</v>
      </c>
      <c r="C8469" t="s">
        <v>25194</v>
      </c>
      <c r="D8469" t="s">
        <v>24</v>
      </c>
      <c r="E8469" t="s">
        <v>25195</v>
      </c>
      <c r="F8469" t="s">
        <v>25196</v>
      </c>
      <c r="J8469" t="s">
        <v>25195</v>
      </c>
      <c r="K8469" t="s">
        <v>5138</v>
      </c>
      <c r="L8469" t="s">
        <v>851</v>
      </c>
    </row>
    <row r="8470" spans="1:12">
      <c r="A8470" t="s">
        <v>25119</v>
      </c>
      <c r="B8470" t="s">
        <v>25120</v>
      </c>
      <c r="C8470" t="s">
        <v>25197</v>
      </c>
      <c r="D8470" t="s">
        <v>24</v>
      </c>
      <c r="E8470" t="s">
        <v>25198</v>
      </c>
      <c r="F8470" t="s">
        <v>25199</v>
      </c>
    </row>
    <row r="8471" spans="1:12">
      <c r="A8471" t="s">
        <v>25119</v>
      </c>
      <c r="B8471" t="s">
        <v>25120</v>
      </c>
      <c r="C8471" t="s">
        <v>25200</v>
      </c>
      <c r="D8471" t="s">
        <v>24</v>
      </c>
      <c r="E8471" t="s">
        <v>25201</v>
      </c>
      <c r="F8471" t="s">
        <v>25202</v>
      </c>
    </row>
    <row r="8472" spans="1:12">
      <c r="A8472" t="s">
        <v>25119</v>
      </c>
      <c r="B8472" t="s">
        <v>25120</v>
      </c>
      <c r="C8472" t="s">
        <v>25203</v>
      </c>
      <c r="D8472" t="s">
        <v>24</v>
      </c>
      <c r="E8472" t="s">
        <v>12545</v>
      </c>
      <c r="F8472" t="s">
        <v>25204</v>
      </c>
    </row>
    <row r="8473" spans="1:12">
      <c r="A8473" t="s">
        <v>25119</v>
      </c>
      <c r="B8473" t="s">
        <v>25120</v>
      </c>
      <c r="C8473" t="s">
        <v>25205</v>
      </c>
      <c r="D8473" t="s">
        <v>24</v>
      </c>
      <c r="E8473" t="s">
        <v>1992</v>
      </c>
      <c r="F8473" t="s">
        <v>25206</v>
      </c>
    </row>
    <row r="8474" spans="1:12">
      <c r="A8474" t="s">
        <v>25119</v>
      </c>
      <c r="B8474" t="s">
        <v>25120</v>
      </c>
      <c r="C8474" t="s">
        <v>25207</v>
      </c>
      <c r="D8474" t="s">
        <v>24</v>
      </c>
      <c r="E8474" t="s">
        <v>16771</v>
      </c>
      <c r="F8474" t="s">
        <v>25208</v>
      </c>
    </row>
    <row r="8475" spans="1:12">
      <c r="A8475" t="s">
        <v>25119</v>
      </c>
      <c r="B8475" t="s">
        <v>25120</v>
      </c>
      <c r="C8475" t="s">
        <v>25209</v>
      </c>
      <c r="D8475" t="s">
        <v>24</v>
      </c>
      <c r="E8475" t="s">
        <v>25210</v>
      </c>
      <c r="F8475" t="s">
        <v>25211</v>
      </c>
      <c r="J8475" t="s">
        <v>25210</v>
      </c>
      <c r="K8475" t="s">
        <v>5138</v>
      </c>
      <c r="L8475" t="s">
        <v>851</v>
      </c>
    </row>
    <row r="8476" spans="1:12">
      <c r="A8476" t="s">
        <v>25119</v>
      </c>
      <c r="B8476" t="s">
        <v>25120</v>
      </c>
      <c r="C8476" t="s">
        <v>25212</v>
      </c>
      <c r="D8476" t="s">
        <v>24</v>
      </c>
      <c r="E8476" t="s">
        <v>8942</v>
      </c>
      <c r="F8476" t="s">
        <v>25213</v>
      </c>
    </row>
    <row r="8477" spans="1:12">
      <c r="A8477" t="s">
        <v>25119</v>
      </c>
      <c r="B8477" t="s">
        <v>25120</v>
      </c>
      <c r="C8477" t="s">
        <v>25214</v>
      </c>
      <c r="D8477" t="s">
        <v>24</v>
      </c>
      <c r="E8477" t="s">
        <v>22634</v>
      </c>
      <c r="F8477" t="s">
        <v>25215</v>
      </c>
      <c r="J8477" t="s">
        <v>22634</v>
      </c>
      <c r="K8477" t="s">
        <v>5138</v>
      </c>
      <c r="L8477" t="s">
        <v>851</v>
      </c>
    </row>
    <row r="8478" spans="1:12">
      <c r="A8478" t="s">
        <v>25119</v>
      </c>
      <c r="B8478" t="s">
        <v>25120</v>
      </c>
      <c r="C8478" t="s">
        <v>25216</v>
      </c>
      <c r="D8478" t="s">
        <v>24</v>
      </c>
      <c r="E8478" t="s">
        <v>12579</v>
      </c>
      <c r="F8478" t="s">
        <v>25217</v>
      </c>
    </row>
    <row r="8479" spans="1:12">
      <c r="A8479" t="s">
        <v>25119</v>
      </c>
      <c r="B8479" t="s">
        <v>25120</v>
      </c>
      <c r="C8479" t="s">
        <v>25218</v>
      </c>
      <c r="D8479" t="s">
        <v>24</v>
      </c>
      <c r="E8479" t="s">
        <v>9027</v>
      </c>
      <c r="F8479" t="s">
        <v>25219</v>
      </c>
    </row>
    <row r="8480" spans="1:12">
      <c r="A8480" t="s">
        <v>25119</v>
      </c>
      <c r="B8480" t="s">
        <v>25120</v>
      </c>
      <c r="C8480" t="s">
        <v>25220</v>
      </c>
      <c r="D8480" t="s">
        <v>24</v>
      </c>
      <c r="E8480" t="s">
        <v>25221</v>
      </c>
      <c r="F8480" t="s">
        <v>25222</v>
      </c>
    </row>
    <row r="8481" spans="1:12">
      <c r="A8481" t="s">
        <v>25119</v>
      </c>
      <c r="B8481" t="s">
        <v>25120</v>
      </c>
      <c r="C8481" t="s">
        <v>25223</v>
      </c>
      <c r="D8481" t="s">
        <v>24</v>
      </c>
      <c r="E8481" t="s">
        <v>25224</v>
      </c>
      <c r="F8481" t="s">
        <v>25225</v>
      </c>
    </row>
    <row r="8482" spans="1:12">
      <c r="A8482" t="s">
        <v>25119</v>
      </c>
      <c r="B8482" t="s">
        <v>25120</v>
      </c>
      <c r="C8482" t="s">
        <v>25226</v>
      </c>
      <c r="D8482" t="s">
        <v>24</v>
      </c>
      <c r="E8482" t="s">
        <v>5023</v>
      </c>
      <c r="F8482" t="s">
        <v>25227</v>
      </c>
    </row>
    <row r="8483" spans="1:12">
      <c r="A8483" t="s">
        <v>25119</v>
      </c>
      <c r="B8483" t="s">
        <v>25120</v>
      </c>
      <c r="C8483" t="s">
        <v>25228</v>
      </c>
      <c r="D8483" t="s">
        <v>24</v>
      </c>
      <c r="E8483" t="s">
        <v>9074</v>
      </c>
      <c r="F8483" t="s">
        <v>25229</v>
      </c>
      <c r="J8483" t="s">
        <v>9074</v>
      </c>
      <c r="K8483" t="s">
        <v>5138</v>
      </c>
      <c r="L8483" t="s">
        <v>851</v>
      </c>
    </row>
    <row r="8484" spans="1:12">
      <c r="A8484" t="s">
        <v>25119</v>
      </c>
      <c r="B8484" t="s">
        <v>25120</v>
      </c>
      <c r="C8484" t="s">
        <v>25230</v>
      </c>
      <c r="D8484" t="s">
        <v>24</v>
      </c>
      <c r="E8484" t="s">
        <v>25231</v>
      </c>
      <c r="F8484" t="s">
        <v>25232</v>
      </c>
      <c r="J8484" t="s">
        <v>25231</v>
      </c>
      <c r="K8484" t="s">
        <v>5138</v>
      </c>
      <c r="L8484" t="s">
        <v>851</v>
      </c>
    </row>
    <row r="8485" spans="1:12">
      <c r="A8485" t="s">
        <v>25119</v>
      </c>
      <c r="B8485" t="s">
        <v>25120</v>
      </c>
      <c r="C8485" t="s">
        <v>25233</v>
      </c>
      <c r="D8485" t="s">
        <v>24</v>
      </c>
      <c r="E8485" t="s">
        <v>9158</v>
      </c>
      <c r="F8485" t="s">
        <v>25234</v>
      </c>
    </row>
    <row r="8486" spans="1:12">
      <c r="A8486" t="s">
        <v>25119</v>
      </c>
      <c r="B8486" t="s">
        <v>25120</v>
      </c>
      <c r="C8486" t="s">
        <v>25235</v>
      </c>
      <c r="D8486" t="s">
        <v>24</v>
      </c>
      <c r="E8486" t="s">
        <v>2139</v>
      </c>
      <c r="F8486" t="s">
        <v>25236</v>
      </c>
    </row>
    <row r="8487" spans="1:12">
      <c r="A8487" t="s">
        <v>25119</v>
      </c>
      <c r="B8487" t="s">
        <v>25120</v>
      </c>
      <c r="C8487" t="s">
        <v>25237</v>
      </c>
      <c r="D8487" t="s">
        <v>24</v>
      </c>
      <c r="E8487" t="s">
        <v>9173</v>
      </c>
      <c r="F8487" t="s">
        <v>25238</v>
      </c>
    </row>
    <row r="8488" spans="1:12">
      <c r="A8488" t="s">
        <v>25119</v>
      </c>
      <c r="B8488" t="s">
        <v>25120</v>
      </c>
      <c r="C8488" t="s">
        <v>25239</v>
      </c>
      <c r="D8488" t="s">
        <v>24</v>
      </c>
      <c r="E8488" t="s">
        <v>9185</v>
      </c>
      <c r="F8488" t="s">
        <v>25240</v>
      </c>
    </row>
    <row r="8489" spans="1:12">
      <c r="A8489" t="s">
        <v>25119</v>
      </c>
      <c r="B8489" t="s">
        <v>25120</v>
      </c>
      <c r="C8489" t="s">
        <v>25241</v>
      </c>
      <c r="D8489" t="s">
        <v>24</v>
      </c>
      <c r="E8489" t="s">
        <v>25242</v>
      </c>
      <c r="F8489" t="s">
        <v>25243</v>
      </c>
      <c r="J8489" t="s">
        <v>25242</v>
      </c>
      <c r="K8489" t="s">
        <v>5138</v>
      </c>
      <c r="L8489" t="s">
        <v>851</v>
      </c>
    </row>
    <row r="8490" spans="1:12">
      <c r="A8490" t="s">
        <v>25119</v>
      </c>
      <c r="B8490" t="s">
        <v>25120</v>
      </c>
      <c r="C8490" t="s">
        <v>25244</v>
      </c>
      <c r="D8490" t="s">
        <v>24</v>
      </c>
      <c r="E8490" t="s">
        <v>17305</v>
      </c>
      <c r="F8490" t="s">
        <v>25245</v>
      </c>
    </row>
    <row r="8491" spans="1:12">
      <c r="A8491" t="s">
        <v>25119</v>
      </c>
      <c r="B8491" t="s">
        <v>25120</v>
      </c>
      <c r="C8491" t="s">
        <v>25246</v>
      </c>
      <c r="D8491" t="s">
        <v>24</v>
      </c>
      <c r="E8491" t="s">
        <v>2148</v>
      </c>
      <c r="F8491" t="s">
        <v>25247</v>
      </c>
    </row>
    <row r="8492" spans="1:12">
      <c r="A8492" t="s">
        <v>25119</v>
      </c>
      <c r="B8492" t="s">
        <v>25120</v>
      </c>
      <c r="C8492" t="s">
        <v>25248</v>
      </c>
      <c r="D8492" t="s">
        <v>24</v>
      </c>
      <c r="E8492" t="s">
        <v>9216</v>
      </c>
      <c r="F8492" t="s">
        <v>25249</v>
      </c>
    </row>
    <row r="8493" spans="1:12">
      <c r="A8493" t="s">
        <v>25119</v>
      </c>
      <c r="B8493" t="s">
        <v>25120</v>
      </c>
      <c r="C8493" t="s">
        <v>25250</v>
      </c>
      <c r="D8493" t="s">
        <v>24</v>
      </c>
      <c r="E8493" t="s">
        <v>25251</v>
      </c>
      <c r="F8493" t="s">
        <v>25252</v>
      </c>
      <c r="J8493" t="s">
        <v>25251</v>
      </c>
      <c r="K8493" t="s">
        <v>5138</v>
      </c>
      <c r="L8493" t="s">
        <v>851</v>
      </c>
    </row>
    <row r="8494" spans="1:12">
      <c r="A8494" t="s">
        <v>25119</v>
      </c>
      <c r="B8494" t="s">
        <v>25120</v>
      </c>
      <c r="C8494" t="s">
        <v>25253</v>
      </c>
      <c r="D8494" t="s">
        <v>24</v>
      </c>
      <c r="E8494" t="s">
        <v>25254</v>
      </c>
      <c r="F8494" t="s">
        <v>25255</v>
      </c>
    </row>
    <row r="8495" spans="1:12">
      <c r="A8495" t="s">
        <v>25119</v>
      </c>
      <c r="B8495" t="s">
        <v>25120</v>
      </c>
      <c r="C8495" t="s">
        <v>25256</v>
      </c>
      <c r="D8495" t="s">
        <v>24</v>
      </c>
      <c r="E8495" t="s">
        <v>17436</v>
      </c>
      <c r="F8495" t="s">
        <v>25257</v>
      </c>
    </row>
    <row r="8496" spans="1:12">
      <c r="A8496" t="s">
        <v>25119</v>
      </c>
      <c r="B8496" t="s">
        <v>25120</v>
      </c>
      <c r="C8496" t="s">
        <v>25258</v>
      </c>
      <c r="D8496" t="s">
        <v>24</v>
      </c>
      <c r="E8496" t="s">
        <v>17561</v>
      </c>
      <c r="F8496" t="s">
        <v>25259</v>
      </c>
    </row>
    <row r="8497" spans="1:12">
      <c r="A8497" t="s">
        <v>25119</v>
      </c>
      <c r="B8497" t="s">
        <v>25120</v>
      </c>
      <c r="C8497" t="s">
        <v>25260</v>
      </c>
      <c r="D8497" t="s">
        <v>24</v>
      </c>
      <c r="E8497" t="s">
        <v>25261</v>
      </c>
      <c r="F8497" t="s">
        <v>25262</v>
      </c>
    </row>
    <row r="8498" spans="1:12">
      <c r="A8498" t="s">
        <v>25119</v>
      </c>
      <c r="B8498" t="s">
        <v>25120</v>
      </c>
      <c r="C8498" t="s">
        <v>25263</v>
      </c>
      <c r="D8498" t="s">
        <v>24</v>
      </c>
      <c r="E8498" t="s">
        <v>13635</v>
      </c>
      <c r="F8498" t="s">
        <v>25264</v>
      </c>
    </row>
    <row r="8499" spans="1:12">
      <c r="A8499" t="s">
        <v>25119</v>
      </c>
      <c r="B8499" t="s">
        <v>25120</v>
      </c>
      <c r="C8499" t="s">
        <v>25265</v>
      </c>
      <c r="D8499" t="s">
        <v>24</v>
      </c>
      <c r="E8499" t="s">
        <v>25266</v>
      </c>
      <c r="F8499" t="s">
        <v>25267</v>
      </c>
      <c r="J8499" t="s">
        <v>25266</v>
      </c>
      <c r="K8499" t="s">
        <v>5138</v>
      </c>
      <c r="L8499" t="s">
        <v>851</v>
      </c>
    </row>
    <row r="8500" spans="1:12">
      <c r="A8500" t="s">
        <v>25119</v>
      </c>
      <c r="B8500" t="s">
        <v>25120</v>
      </c>
      <c r="C8500" t="s">
        <v>25268</v>
      </c>
      <c r="D8500" t="s">
        <v>24</v>
      </c>
      <c r="E8500" t="s">
        <v>18242</v>
      </c>
      <c r="F8500" t="s">
        <v>25269</v>
      </c>
    </row>
    <row r="8501" spans="1:12">
      <c r="A8501" t="s">
        <v>25119</v>
      </c>
      <c r="B8501" t="s">
        <v>25120</v>
      </c>
      <c r="C8501" t="s">
        <v>25270</v>
      </c>
      <c r="D8501" t="s">
        <v>24</v>
      </c>
      <c r="E8501" t="s">
        <v>18275</v>
      </c>
      <c r="F8501" t="s">
        <v>25271</v>
      </c>
    </row>
    <row r="8502" spans="1:12">
      <c r="A8502" t="s">
        <v>25119</v>
      </c>
      <c r="B8502" t="s">
        <v>25120</v>
      </c>
      <c r="C8502" t="s">
        <v>25272</v>
      </c>
      <c r="D8502" t="s">
        <v>24</v>
      </c>
      <c r="E8502" t="s">
        <v>18377</v>
      </c>
      <c r="F8502" t="s">
        <v>25273</v>
      </c>
    </row>
    <row r="8503" spans="1:12">
      <c r="A8503" t="s">
        <v>25119</v>
      </c>
      <c r="B8503" t="s">
        <v>25120</v>
      </c>
      <c r="C8503" t="s">
        <v>25274</v>
      </c>
      <c r="D8503" t="s">
        <v>24</v>
      </c>
      <c r="E8503" t="s">
        <v>891</v>
      </c>
      <c r="F8503" t="s">
        <v>25275</v>
      </c>
    </row>
    <row r="8504" spans="1:12">
      <c r="A8504" t="s">
        <v>25119</v>
      </c>
      <c r="B8504" t="s">
        <v>25120</v>
      </c>
      <c r="C8504" t="s">
        <v>25276</v>
      </c>
      <c r="D8504" t="s">
        <v>24</v>
      </c>
      <c r="E8504" t="s">
        <v>10379</v>
      </c>
      <c r="F8504" t="s">
        <v>25277</v>
      </c>
      <c r="J8504" t="s">
        <v>10379</v>
      </c>
      <c r="K8504" t="s">
        <v>5138</v>
      </c>
      <c r="L8504" t="s">
        <v>851</v>
      </c>
    </row>
    <row r="8505" spans="1:12">
      <c r="A8505" t="s">
        <v>25119</v>
      </c>
      <c r="B8505" t="s">
        <v>25120</v>
      </c>
      <c r="C8505" t="s">
        <v>25278</v>
      </c>
      <c r="D8505" t="s">
        <v>24</v>
      </c>
      <c r="E8505" t="s">
        <v>18461</v>
      </c>
      <c r="F8505" t="s">
        <v>25279</v>
      </c>
    </row>
    <row r="8506" spans="1:12">
      <c r="A8506" t="s">
        <v>25119</v>
      </c>
      <c r="B8506" t="s">
        <v>25120</v>
      </c>
      <c r="C8506" t="s">
        <v>25280</v>
      </c>
      <c r="D8506" t="s">
        <v>24</v>
      </c>
      <c r="E8506" t="s">
        <v>18510</v>
      </c>
      <c r="F8506" t="s">
        <v>25281</v>
      </c>
      <c r="J8506" t="s">
        <v>18510</v>
      </c>
      <c r="K8506" t="s">
        <v>5138</v>
      </c>
      <c r="L8506" t="s">
        <v>851</v>
      </c>
    </row>
    <row r="8507" spans="1:12">
      <c r="A8507" t="s">
        <v>25119</v>
      </c>
      <c r="B8507" t="s">
        <v>25120</v>
      </c>
      <c r="C8507" t="s">
        <v>25282</v>
      </c>
      <c r="D8507" t="s">
        <v>24</v>
      </c>
      <c r="E8507" t="s">
        <v>2294</v>
      </c>
      <c r="F8507" t="s">
        <v>25283</v>
      </c>
    </row>
    <row r="8508" spans="1:12">
      <c r="A8508" t="s">
        <v>25119</v>
      </c>
      <c r="B8508" t="s">
        <v>25120</v>
      </c>
      <c r="C8508" t="s">
        <v>25284</v>
      </c>
      <c r="D8508" t="s">
        <v>24</v>
      </c>
      <c r="E8508" t="s">
        <v>25285</v>
      </c>
      <c r="F8508" t="s">
        <v>25286</v>
      </c>
    </row>
    <row r="8509" spans="1:12">
      <c r="A8509" t="s">
        <v>25119</v>
      </c>
      <c r="B8509" t="s">
        <v>25120</v>
      </c>
      <c r="C8509" t="s">
        <v>25287</v>
      </c>
      <c r="D8509" t="s">
        <v>24</v>
      </c>
      <c r="E8509" t="s">
        <v>8265</v>
      </c>
      <c r="F8509" t="s">
        <v>25288</v>
      </c>
    </row>
    <row r="8510" spans="1:12">
      <c r="A8510" t="s">
        <v>25119</v>
      </c>
      <c r="B8510" t="s">
        <v>25120</v>
      </c>
      <c r="C8510" t="s">
        <v>25289</v>
      </c>
      <c r="D8510" t="s">
        <v>24</v>
      </c>
      <c r="E8510" t="s">
        <v>969</v>
      </c>
      <c r="F8510" t="s">
        <v>25290</v>
      </c>
    </row>
    <row r="8511" spans="1:12">
      <c r="A8511" t="s">
        <v>25119</v>
      </c>
      <c r="B8511" t="s">
        <v>25120</v>
      </c>
      <c r="C8511" t="s">
        <v>25291</v>
      </c>
      <c r="D8511" t="s">
        <v>24</v>
      </c>
      <c r="E8511" t="s">
        <v>9352</v>
      </c>
      <c r="F8511" t="s">
        <v>25292</v>
      </c>
    </row>
    <row r="8512" spans="1:12">
      <c r="A8512" t="s">
        <v>25119</v>
      </c>
      <c r="B8512" t="s">
        <v>25120</v>
      </c>
      <c r="C8512" t="s">
        <v>25293</v>
      </c>
      <c r="D8512" t="s">
        <v>24</v>
      </c>
      <c r="E8512" t="s">
        <v>2338</v>
      </c>
      <c r="F8512" t="s">
        <v>25294</v>
      </c>
    </row>
    <row r="8513" spans="1:12">
      <c r="A8513" t="s">
        <v>25119</v>
      </c>
      <c r="B8513" t="s">
        <v>25120</v>
      </c>
      <c r="C8513" t="s">
        <v>25295</v>
      </c>
      <c r="D8513" t="s">
        <v>24</v>
      </c>
      <c r="E8513" t="s">
        <v>5084</v>
      </c>
      <c r="F8513" t="s">
        <v>25296</v>
      </c>
    </row>
    <row r="8514" spans="1:12">
      <c r="A8514" t="s">
        <v>25119</v>
      </c>
      <c r="B8514" t="s">
        <v>25120</v>
      </c>
      <c r="C8514" t="s">
        <v>25297</v>
      </c>
      <c r="D8514" t="s">
        <v>24</v>
      </c>
      <c r="E8514" t="s">
        <v>11940</v>
      </c>
      <c r="F8514" t="s">
        <v>25298</v>
      </c>
    </row>
    <row r="8515" spans="1:12">
      <c r="A8515" t="s">
        <v>25119</v>
      </c>
      <c r="B8515" t="s">
        <v>25120</v>
      </c>
      <c r="C8515" t="s">
        <v>25299</v>
      </c>
      <c r="D8515" t="s">
        <v>24</v>
      </c>
      <c r="E8515" t="s">
        <v>25300</v>
      </c>
      <c r="F8515" t="s">
        <v>25301</v>
      </c>
      <c r="J8515" t="s">
        <v>25300</v>
      </c>
      <c r="K8515" t="s">
        <v>5138</v>
      </c>
      <c r="L8515" t="s">
        <v>851</v>
      </c>
    </row>
    <row r="8516" spans="1:12">
      <c r="A8516" t="s">
        <v>25119</v>
      </c>
      <c r="B8516" t="s">
        <v>25120</v>
      </c>
      <c r="C8516" t="s">
        <v>25302</v>
      </c>
      <c r="D8516" t="s">
        <v>24</v>
      </c>
      <c r="E8516" t="s">
        <v>25303</v>
      </c>
      <c r="F8516" t="s">
        <v>25304</v>
      </c>
    </row>
    <row r="8517" spans="1:12">
      <c r="A8517" t="s">
        <v>25119</v>
      </c>
      <c r="B8517" t="s">
        <v>25120</v>
      </c>
      <c r="C8517" t="s">
        <v>25305</v>
      </c>
      <c r="D8517" t="s">
        <v>24</v>
      </c>
      <c r="E8517" t="s">
        <v>25306</v>
      </c>
      <c r="F8517" t="s">
        <v>25307</v>
      </c>
    </row>
    <row r="8518" spans="1:12">
      <c r="A8518" t="s">
        <v>25119</v>
      </c>
      <c r="B8518" t="s">
        <v>25120</v>
      </c>
      <c r="C8518" t="s">
        <v>25308</v>
      </c>
      <c r="D8518" t="s">
        <v>24</v>
      </c>
      <c r="E8518" t="s">
        <v>7902</v>
      </c>
      <c r="F8518" t="s">
        <v>25309</v>
      </c>
    </row>
    <row r="8519" spans="1:12">
      <c r="A8519" t="s">
        <v>25119</v>
      </c>
      <c r="B8519" t="s">
        <v>25120</v>
      </c>
      <c r="C8519" t="s">
        <v>25310</v>
      </c>
      <c r="D8519" t="s">
        <v>24</v>
      </c>
      <c r="E8519" t="s">
        <v>2380</v>
      </c>
      <c r="F8519" t="s">
        <v>25311</v>
      </c>
    </row>
    <row r="8520" spans="1:12">
      <c r="A8520" t="s">
        <v>25119</v>
      </c>
      <c r="B8520" t="s">
        <v>25120</v>
      </c>
      <c r="C8520" t="s">
        <v>25312</v>
      </c>
      <c r="D8520" t="s">
        <v>24</v>
      </c>
      <c r="E8520" t="s">
        <v>3566</v>
      </c>
      <c r="F8520" t="s">
        <v>25313</v>
      </c>
    </row>
    <row r="8521" spans="1:12">
      <c r="A8521" t="s">
        <v>25119</v>
      </c>
      <c r="B8521" t="s">
        <v>25120</v>
      </c>
      <c r="C8521" t="s">
        <v>25314</v>
      </c>
      <c r="D8521" t="s">
        <v>24</v>
      </c>
      <c r="E8521" t="s">
        <v>4759</v>
      </c>
      <c r="F8521" t="s">
        <v>25315</v>
      </c>
    </row>
    <row r="8522" spans="1:12">
      <c r="A8522" t="s">
        <v>25119</v>
      </c>
      <c r="B8522" t="s">
        <v>25120</v>
      </c>
      <c r="C8522" t="s">
        <v>25316</v>
      </c>
      <c r="D8522" t="s">
        <v>24</v>
      </c>
      <c r="E8522" t="s">
        <v>23114</v>
      </c>
      <c r="F8522" t="s">
        <v>25317</v>
      </c>
      <c r="J8522" t="s">
        <v>23114</v>
      </c>
      <c r="K8522" t="s">
        <v>5138</v>
      </c>
      <c r="L8522" t="s">
        <v>851</v>
      </c>
    </row>
    <row r="8523" spans="1:12">
      <c r="A8523" t="s">
        <v>25119</v>
      </c>
      <c r="B8523" t="s">
        <v>25120</v>
      </c>
      <c r="C8523" t="s">
        <v>25318</v>
      </c>
      <c r="D8523" t="s">
        <v>24</v>
      </c>
      <c r="E8523" t="s">
        <v>2436</v>
      </c>
      <c r="F8523" t="s">
        <v>25319</v>
      </c>
    </row>
    <row r="8524" spans="1:12">
      <c r="A8524" t="s">
        <v>25119</v>
      </c>
      <c r="B8524" t="s">
        <v>25120</v>
      </c>
      <c r="C8524" t="s">
        <v>25320</v>
      </c>
      <c r="D8524" t="s">
        <v>24</v>
      </c>
      <c r="E8524" t="s">
        <v>25321</v>
      </c>
      <c r="F8524" t="s">
        <v>25322</v>
      </c>
    </row>
    <row r="8525" spans="1:12">
      <c r="A8525" t="s">
        <v>25119</v>
      </c>
      <c r="B8525" t="s">
        <v>25120</v>
      </c>
      <c r="C8525" t="s">
        <v>25323</v>
      </c>
      <c r="D8525" t="s">
        <v>24</v>
      </c>
      <c r="E8525" t="s">
        <v>12794</v>
      </c>
      <c r="F8525" t="s">
        <v>25324</v>
      </c>
    </row>
    <row r="8526" spans="1:12">
      <c r="A8526" t="s">
        <v>25119</v>
      </c>
      <c r="B8526" t="s">
        <v>25120</v>
      </c>
      <c r="C8526" t="s">
        <v>25325</v>
      </c>
      <c r="D8526" t="s">
        <v>24</v>
      </c>
      <c r="E8526" t="s">
        <v>15834</v>
      </c>
      <c r="F8526" t="s">
        <v>25326</v>
      </c>
      <c r="J8526" t="s">
        <v>15834</v>
      </c>
      <c r="K8526" t="s">
        <v>5138</v>
      </c>
      <c r="L8526" t="s">
        <v>851</v>
      </c>
    </row>
    <row r="8527" spans="1:12">
      <c r="A8527" t="s">
        <v>25119</v>
      </c>
      <c r="B8527" t="s">
        <v>25120</v>
      </c>
      <c r="C8527" t="s">
        <v>25327</v>
      </c>
      <c r="D8527" t="s">
        <v>24</v>
      </c>
      <c r="E8527" t="s">
        <v>3305</v>
      </c>
      <c r="F8527" t="s">
        <v>25328</v>
      </c>
    </row>
    <row r="8528" spans="1:12">
      <c r="A8528" t="s">
        <v>25119</v>
      </c>
      <c r="B8528" t="s">
        <v>25120</v>
      </c>
      <c r="C8528" t="s">
        <v>25329</v>
      </c>
      <c r="D8528" t="s">
        <v>24</v>
      </c>
      <c r="E8528" t="s">
        <v>25330</v>
      </c>
      <c r="F8528" t="s">
        <v>25331</v>
      </c>
      <c r="J8528" t="s">
        <v>25330</v>
      </c>
      <c r="K8528" t="s">
        <v>5138</v>
      </c>
      <c r="L8528" t="s">
        <v>851</v>
      </c>
    </row>
    <row r="8529" spans="1:12">
      <c r="A8529" t="s">
        <v>25119</v>
      </c>
      <c r="B8529" t="s">
        <v>25120</v>
      </c>
      <c r="C8529" t="s">
        <v>25332</v>
      </c>
      <c r="D8529" t="s">
        <v>24</v>
      </c>
      <c r="E8529" t="s">
        <v>25333</v>
      </c>
      <c r="F8529" t="s">
        <v>25334</v>
      </c>
    </row>
    <row r="8530" spans="1:12">
      <c r="A8530" t="s">
        <v>25119</v>
      </c>
      <c r="B8530" t="s">
        <v>25120</v>
      </c>
      <c r="C8530" t="s">
        <v>25335</v>
      </c>
      <c r="D8530" t="s">
        <v>24</v>
      </c>
      <c r="E8530" t="s">
        <v>19124</v>
      </c>
      <c r="F8530" t="s">
        <v>25336</v>
      </c>
    </row>
    <row r="8531" spans="1:12">
      <c r="A8531" t="s">
        <v>25119</v>
      </c>
      <c r="B8531" t="s">
        <v>25120</v>
      </c>
      <c r="C8531" t="s">
        <v>25337</v>
      </c>
      <c r="D8531" t="s">
        <v>24</v>
      </c>
      <c r="E8531" t="s">
        <v>25338</v>
      </c>
      <c r="F8531" t="s">
        <v>25339</v>
      </c>
      <c r="J8531" t="s">
        <v>25338</v>
      </c>
      <c r="K8531" t="s">
        <v>5138</v>
      </c>
      <c r="L8531" t="s">
        <v>851</v>
      </c>
    </row>
    <row r="8532" spans="1:12">
      <c r="A8532" t="s">
        <v>25119</v>
      </c>
      <c r="B8532" t="s">
        <v>25120</v>
      </c>
      <c r="C8532" t="s">
        <v>25340</v>
      </c>
      <c r="D8532" t="s">
        <v>24</v>
      </c>
      <c r="E8532" t="s">
        <v>2664</v>
      </c>
      <c r="F8532" t="s">
        <v>25341</v>
      </c>
    </row>
    <row r="8533" spans="1:12">
      <c r="A8533" t="s">
        <v>25119</v>
      </c>
      <c r="B8533" t="s">
        <v>25120</v>
      </c>
      <c r="C8533" t="s">
        <v>25342</v>
      </c>
      <c r="D8533" t="s">
        <v>24</v>
      </c>
      <c r="E8533" t="s">
        <v>25343</v>
      </c>
      <c r="F8533" t="s">
        <v>25344</v>
      </c>
      <c r="J8533" t="s">
        <v>25343</v>
      </c>
      <c r="K8533" t="s">
        <v>5138</v>
      </c>
      <c r="L8533" t="s">
        <v>851</v>
      </c>
    </row>
    <row r="8534" spans="1:12">
      <c r="A8534" t="s">
        <v>25119</v>
      </c>
      <c r="B8534" t="s">
        <v>25120</v>
      </c>
      <c r="C8534" t="s">
        <v>25345</v>
      </c>
      <c r="D8534" t="s">
        <v>24</v>
      </c>
      <c r="E8534" t="s">
        <v>20106</v>
      </c>
      <c r="F8534" t="s">
        <v>25346</v>
      </c>
      <c r="J8534" t="s">
        <v>20106</v>
      </c>
      <c r="K8534" t="s">
        <v>5138</v>
      </c>
      <c r="L8534" t="s">
        <v>851</v>
      </c>
    </row>
    <row r="8535" spans="1:12">
      <c r="A8535" t="s">
        <v>25119</v>
      </c>
      <c r="B8535" t="s">
        <v>25120</v>
      </c>
      <c r="C8535" t="s">
        <v>25347</v>
      </c>
      <c r="D8535" t="s">
        <v>24</v>
      </c>
      <c r="E8535" t="s">
        <v>25348</v>
      </c>
      <c r="F8535" t="s">
        <v>25349</v>
      </c>
      <c r="J8535" t="s">
        <v>25348</v>
      </c>
      <c r="K8535" t="s">
        <v>5138</v>
      </c>
      <c r="L8535" t="s">
        <v>851</v>
      </c>
    </row>
    <row r="8536" spans="1:12">
      <c r="A8536" t="s">
        <v>25119</v>
      </c>
      <c r="B8536" t="s">
        <v>25120</v>
      </c>
      <c r="C8536" t="s">
        <v>25350</v>
      </c>
      <c r="D8536" t="s">
        <v>24</v>
      </c>
      <c r="E8536" t="s">
        <v>12249</v>
      </c>
      <c r="F8536" t="s">
        <v>12249</v>
      </c>
    </row>
    <row r="8537" spans="1:12">
      <c r="A8537" t="s">
        <v>25119</v>
      </c>
      <c r="B8537" t="s">
        <v>25120</v>
      </c>
      <c r="C8537" t="s">
        <v>25351</v>
      </c>
      <c r="D8537" t="s">
        <v>24</v>
      </c>
      <c r="E8537" t="s">
        <v>9753</v>
      </c>
      <c r="F8537" t="s">
        <v>25352</v>
      </c>
    </row>
    <row r="8538" spans="1:12">
      <c r="A8538" t="s">
        <v>25119</v>
      </c>
      <c r="B8538" t="s">
        <v>25120</v>
      </c>
      <c r="C8538" t="s">
        <v>25353</v>
      </c>
      <c r="D8538" t="s">
        <v>24</v>
      </c>
      <c r="E8538" t="s">
        <v>13584</v>
      </c>
      <c r="F8538" t="s">
        <v>25354</v>
      </c>
      <c r="J8538" t="s">
        <v>13584</v>
      </c>
      <c r="K8538" t="s">
        <v>5138</v>
      </c>
      <c r="L8538" t="s">
        <v>851</v>
      </c>
    </row>
    <row r="8539" spans="1:12">
      <c r="A8539" t="s">
        <v>25119</v>
      </c>
      <c r="B8539" t="s">
        <v>25120</v>
      </c>
      <c r="C8539" t="s">
        <v>25355</v>
      </c>
      <c r="D8539" t="s">
        <v>24</v>
      </c>
      <c r="E8539" t="s">
        <v>20220</v>
      </c>
      <c r="F8539" t="s">
        <v>25356</v>
      </c>
    </row>
    <row r="8540" spans="1:12">
      <c r="A8540" t="s">
        <v>25119</v>
      </c>
      <c r="B8540" t="s">
        <v>25120</v>
      </c>
      <c r="C8540" t="s">
        <v>25357</v>
      </c>
      <c r="D8540" t="s">
        <v>24</v>
      </c>
      <c r="E8540" t="s">
        <v>23796</v>
      </c>
      <c r="F8540" t="s">
        <v>25358</v>
      </c>
      <c r="J8540" t="s">
        <v>23796</v>
      </c>
      <c r="K8540" t="s">
        <v>5138</v>
      </c>
      <c r="L8540" t="s">
        <v>851</v>
      </c>
    </row>
    <row r="8541" spans="1:12">
      <c r="A8541" t="s">
        <v>25119</v>
      </c>
      <c r="B8541" t="s">
        <v>25120</v>
      </c>
      <c r="C8541" t="s">
        <v>25359</v>
      </c>
      <c r="D8541" t="s">
        <v>24</v>
      </c>
      <c r="E8541" t="s">
        <v>25360</v>
      </c>
      <c r="F8541" t="s">
        <v>25361</v>
      </c>
      <c r="J8541" t="s">
        <v>25360</v>
      </c>
      <c r="K8541" t="s">
        <v>5138</v>
      </c>
      <c r="L8541" t="s">
        <v>851</v>
      </c>
    </row>
    <row r="8542" spans="1:12">
      <c r="A8542" t="s">
        <v>25119</v>
      </c>
      <c r="B8542" t="s">
        <v>25120</v>
      </c>
      <c r="C8542" t="s">
        <v>25362</v>
      </c>
      <c r="D8542" t="s">
        <v>24</v>
      </c>
      <c r="E8542" t="s">
        <v>5252</v>
      </c>
      <c r="F8542" t="s">
        <v>25363</v>
      </c>
    </row>
    <row r="8543" spans="1:12">
      <c r="A8543" t="s">
        <v>25119</v>
      </c>
      <c r="B8543" t="s">
        <v>25120</v>
      </c>
      <c r="C8543" t="s">
        <v>25364</v>
      </c>
      <c r="D8543" t="s">
        <v>24</v>
      </c>
      <c r="E8543" t="s">
        <v>9856</v>
      </c>
      <c r="F8543" t="s">
        <v>25365</v>
      </c>
    </row>
    <row r="8544" spans="1:12">
      <c r="A8544" t="s">
        <v>25119</v>
      </c>
      <c r="B8544" t="s">
        <v>25120</v>
      </c>
      <c r="C8544" t="s">
        <v>25366</v>
      </c>
      <c r="D8544" t="s">
        <v>24</v>
      </c>
      <c r="E8544" t="s">
        <v>5258</v>
      </c>
      <c r="F8544" t="s">
        <v>25367</v>
      </c>
    </row>
    <row r="8545" spans="1:12">
      <c r="A8545" t="s">
        <v>25119</v>
      </c>
      <c r="B8545" t="s">
        <v>25120</v>
      </c>
      <c r="C8545" t="s">
        <v>25368</v>
      </c>
      <c r="D8545" t="s">
        <v>24</v>
      </c>
      <c r="E8545" t="s">
        <v>22871</v>
      </c>
      <c r="F8545" t="s">
        <v>25369</v>
      </c>
      <c r="J8545" t="s">
        <v>22871</v>
      </c>
      <c r="K8545" t="s">
        <v>5138</v>
      </c>
      <c r="L8545" t="s">
        <v>851</v>
      </c>
    </row>
    <row r="8546" spans="1:12">
      <c r="A8546" t="s">
        <v>25119</v>
      </c>
      <c r="B8546" t="s">
        <v>25120</v>
      </c>
      <c r="C8546" t="s">
        <v>25370</v>
      </c>
      <c r="D8546" t="s">
        <v>24</v>
      </c>
      <c r="E8546" t="s">
        <v>20346</v>
      </c>
      <c r="F8546" t="s">
        <v>25371</v>
      </c>
    </row>
    <row r="8547" spans="1:12">
      <c r="A8547" t="s">
        <v>25119</v>
      </c>
      <c r="B8547" t="s">
        <v>25120</v>
      </c>
      <c r="C8547" t="s">
        <v>25372</v>
      </c>
      <c r="D8547" t="s">
        <v>24</v>
      </c>
      <c r="E8547" t="s">
        <v>20388</v>
      </c>
      <c r="F8547" t="s">
        <v>25373</v>
      </c>
    </row>
    <row r="8548" spans="1:12">
      <c r="A8548" t="s">
        <v>25119</v>
      </c>
      <c r="B8548" t="s">
        <v>25120</v>
      </c>
      <c r="C8548" t="s">
        <v>25374</v>
      </c>
      <c r="D8548" t="s">
        <v>24</v>
      </c>
      <c r="E8548" t="s">
        <v>20486</v>
      </c>
      <c r="F8548" t="s">
        <v>25375</v>
      </c>
    </row>
    <row r="8549" spans="1:12">
      <c r="A8549" t="s">
        <v>25119</v>
      </c>
      <c r="B8549" t="s">
        <v>25120</v>
      </c>
      <c r="C8549" t="s">
        <v>25376</v>
      </c>
      <c r="D8549" t="s">
        <v>24</v>
      </c>
      <c r="E8549" t="s">
        <v>25377</v>
      </c>
      <c r="F8549" t="s">
        <v>25378</v>
      </c>
      <c r="J8549" t="s">
        <v>25377</v>
      </c>
      <c r="K8549" t="s">
        <v>5138</v>
      </c>
      <c r="L8549" t="s">
        <v>851</v>
      </c>
    </row>
    <row r="8550" spans="1:12">
      <c r="A8550" t="s">
        <v>25119</v>
      </c>
      <c r="B8550" t="s">
        <v>25120</v>
      </c>
      <c r="C8550" t="s">
        <v>25379</v>
      </c>
      <c r="D8550" t="s">
        <v>24</v>
      </c>
      <c r="E8550" t="s">
        <v>20518</v>
      </c>
      <c r="F8550" t="s">
        <v>25380</v>
      </c>
      <c r="J8550" t="s">
        <v>20518</v>
      </c>
      <c r="K8550" t="s">
        <v>5138</v>
      </c>
      <c r="L8550" t="s">
        <v>851</v>
      </c>
    </row>
    <row r="8551" spans="1:12">
      <c r="A8551" t="s">
        <v>25119</v>
      </c>
      <c r="B8551" t="s">
        <v>25120</v>
      </c>
      <c r="C8551" t="s">
        <v>25381</v>
      </c>
      <c r="D8551" t="s">
        <v>24</v>
      </c>
      <c r="E8551" t="s">
        <v>13605</v>
      </c>
      <c r="F8551" t="s">
        <v>25382</v>
      </c>
    </row>
    <row r="8552" spans="1:12">
      <c r="A8552" t="s">
        <v>25119</v>
      </c>
      <c r="B8552" t="s">
        <v>25120</v>
      </c>
      <c r="C8552" t="s">
        <v>25383</v>
      </c>
      <c r="D8552" t="s">
        <v>24</v>
      </c>
      <c r="E8552" t="s">
        <v>25384</v>
      </c>
      <c r="F8552" t="s">
        <v>25385</v>
      </c>
    </row>
    <row r="8553" spans="1:12">
      <c r="A8553" t="s">
        <v>25119</v>
      </c>
      <c r="B8553" t="s">
        <v>25120</v>
      </c>
      <c r="C8553" t="s">
        <v>25386</v>
      </c>
      <c r="D8553" t="s">
        <v>24</v>
      </c>
      <c r="E8553" t="s">
        <v>14569</v>
      </c>
      <c r="F8553" t="s">
        <v>25387</v>
      </c>
    </row>
    <row r="8554" spans="1:12">
      <c r="A8554" t="s">
        <v>25119</v>
      </c>
      <c r="B8554" t="s">
        <v>25120</v>
      </c>
      <c r="C8554" t="s">
        <v>25388</v>
      </c>
      <c r="D8554" t="s">
        <v>24</v>
      </c>
      <c r="E8554" t="s">
        <v>9936</v>
      </c>
      <c r="F8554" t="s">
        <v>25389</v>
      </c>
    </row>
    <row r="8555" spans="1:12">
      <c r="A8555" t="s">
        <v>25119</v>
      </c>
      <c r="B8555" t="s">
        <v>25120</v>
      </c>
      <c r="C8555" t="s">
        <v>25390</v>
      </c>
      <c r="D8555" t="s">
        <v>24</v>
      </c>
      <c r="E8555" t="s">
        <v>25391</v>
      </c>
      <c r="F8555" t="s">
        <v>25392</v>
      </c>
    </row>
    <row r="8556" spans="1:12">
      <c r="A8556" t="s">
        <v>25119</v>
      </c>
      <c r="B8556" t="s">
        <v>25120</v>
      </c>
      <c r="C8556" t="s">
        <v>25393</v>
      </c>
      <c r="D8556" t="s">
        <v>24</v>
      </c>
      <c r="E8556" t="s">
        <v>20638</v>
      </c>
      <c r="F8556" t="s">
        <v>25394</v>
      </c>
      <c r="J8556" t="s">
        <v>20638</v>
      </c>
      <c r="K8556" t="s">
        <v>5138</v>
      </c>
      <c r="L8556" t="s">
        <v>851</v>
      </c>
    </row>
    <row r="8557" spans="1:12">
      <c r="A8557" t="s">
        <v>25119</v>
      </c>
      <c r="B8557" t="s">
        <v>25120</v>
      </c>
      <c r="C8557" t="s">
        <v>25395</v>
      </c>
      <c r="D8557" t="s">
        <v>24</v>
      </c>
      <c r="E8557" t="s">
        <v>14112</v>
      </c>
      <c r="F8557" t="s">
        <v>25396</v>
      </c>
    </row>
    <row r="8558" spans="1:12">
      <c r="A8558" t="s">
        <v>25119</v>
      </c>
      <c r="B8558" t="s">
        <v>25120</v>
      </c>
      <c r="C8558" t="s">
        <v>25397</v>
      </c>
      <c r="D8558" t="s">
        <v>24</v>
      </c>
      <c r="E8558" t="s">
        <v>25398</v>
      </c>
      <c r="F8558" t="s">
        <v>25399</v>
      </c>
    </row>
    <row r="8559" spans="1:12">
      <c r="A8559" t="s">
        <v>25119</v>
      </c>
      <c r="B8559" t="s">
        <v>25120</v>
      </c>
      <c r="C8559" t="s">
        <v>25400</v>
      </c>
      <c r="D8559" t="s">
        <v>24</v>
      </c>
      <c r="E8559" t="s">
        <v>2927</v>
      </c>
      <c r="F8559" t="s">
        <v>25401</v>
      </c>
    </row>
    <row r="8560" spans="1:12">
      <c r="A8560" t="s">
        <v>25119</v>
      </c>
      <c r="B8560" t="s">
        <v>25120</v>
      </c>
      <c r="C8560" t="s">
        <v>25402</v>
      </c>
      <c r="D8560" t="s">
        <v>24</v>
      </c>
      <c r="E8560" t="s">
        <v>25403</v>
      </c>
      <c r="F8560" t="s">
        <v>25404</v>
      </c>
    </row>
    <row r="8561" spans="1:12">
      <c r="A8561" t="s">
        <v>25119</v>
      </c>
      <c r="B8561" t="s">
        <v>25120</v>
      </c>
      <c r="C8561" t="s">
        <v>25405</v>
      </c>
      <c r="D8561" t="s">
        <v>24</v>
      </c>
      <c r="E8561" t="s">
        <v>20689</v>
      </c>
      <c r="F8561" t="s">
        <v>25406</v>
      </c>
    </row>
    <row r="8562" spans="1:12">
      <c r="A8562" t="s">
        <v>25119</v>
      </c>
      <c r="B8562" t="s">
        <v>25120</v>
      </c>
      <c r="C8562" t="s">
        <v>25407</v>
      </c>
      <c r="D8562" t="s">
        <v>24</v>
      </c>
      <c r="E8562" t="s">
        <v>20713</v>
      </c>
      <c r="F8562" t="s">
        <v>25408</v>
      </c>
      <c r="J8562" t="s">
        <v>20713</v>
      </c>
      <c r="K8562" t="s">
        <v>5138</v>
      </c>
      <c r="L8562" t="s">
        <v>851</v>
      </c>
    </row>
    <row r="8563" spans="1:12">
      <c r="A8563" t="s">
        <v>25119</v>
      </c>
      <c r="B8563" t="s">
        <v>25120</v>
      </c>
      <c r="C8563" t="s">
        <v>25409</v>
      </c>
      <c r="D8563" t="s">
        <v>24</v>
      </c>
      <c r="E8563" t="s">
        <v>2939</v>
      </c>
      <c r="F8563" t="s">
        <v>25410</v>
      </c>
    </row>
    <row r="8564" spans="1:12">
      <c r="A8564" t="s">
        <v>25119</v>
      </c>
      <c r="B8564" t="s">
        <v>25120</v>
      </c>
      <c r="C8564" t="s">
        <v>25411</v>
      </c>
      <c r="D8564" t="s">
        <v>24</v>
      </c>
      <c r="E8564" t="s">
        <v>10478</v>
      </c>
      <c r="F8564" t="s">
        <v>25412</v>
      </c>
    </row>
    <row r="8565" spans="1:12">
      <c r="A8565" t="s">
        <v>25119</v>
      </c>
      <c r="B8565" t="s">
        <v>25120</v>
      </c>
      <c r="C8565" t="s">
        <v>25413</v>
      </c>
      <c r="D8565" t="s">
        <v>24</v>
      </c>
      <c r="E8565" t="s">
        <v>13017</v>
      </c>
      <c r="F8565" t="s">
        <v>25414</v>
      </c>
    </row>
    <row r="8566" spans="1:12">
      <c r="A8566" t="s">
        <v>25119</v>
      </c>
      <c r="B8566" t="s">
        <v>25120</v>
      </c>
      <c r="C8566" t="s">
        <v>25415</v>
      </c>
      <c r="D8566" t="s">
        <v>24</v>
      </c>
      <c r="E8566" t="s">
        <v>10820</v>
      </c>
      <c r="F8566" t="s">
        <v>25416</v>
      </c>
    </row>
    <row r="8567" spans="1:12">
      <c r="A8567" t="s">
        <v>25119</v>
      </c>
      <c r="B8567" t="s">
        <v>25120</v>
      </c>
      <c r="C8567" t="s">
        <v>25417</v>
      </c>
      <c r="D8567" t="s">
        <v>24</v>
      </c>
      <c r="E8567" t="s">
        <v>7000</v>
      </c>
      <c r="F8567" t="s">
        <v>25418</v>
      </c>
    </row>
    <row r="8568" spans="1:12">
      <c r="A8568" t="s">
        <v>25119</v>
      </c>
      <c r="B8568" t="s">
        <v>25120</v>
      </c>
      <c r="C8568" t="s">
        <v>25419</v>
      </c>
      <c r="D8568" t="s">
        <v>24</v>
      </c>
      <c r="E8568" t="s">
        <v>1428</v>
      </c>
      <c r="F8568" t="s">
        <v>25420</v>
      </c>
      <c r="J8568" t="s">
        <v>1428</v>
      </c>
      <c r="K8568" t="s">
        <v>5138</v>
      </c>
      <c r="L8568" t="s">
        <v>851</v>
      </c>
    </row>
    <row r="8569" spans="1:12">
      <c r="A8569" t="s">
        <v>25119</v>
      </c>
      <c r="B8569" t="s">
        <v>25120</v>
      </c>
      <c r="C8569" t="s">
        <v>25421</v>
      </c>
      <c r="D8569" t="s">
        <v>24</v>
      </c>
      <c r="E8569" t="s">
        <v>25422</v>
      </c>
      <c r="F8569" t="s">
        <v>25423</v>
      </c>
      <c r="J8569" t="s">
        <v>25422</v>
      </c>
      <c r="K8569" t="s">
        <v>5138</v>
      </c>
      <c r="L8569" t="s">
        <v>851</v>
      </c>
    </row>
    <row r="8570" spans="1:12">
      <c r="A8570" t="s">
        <v>25119</v>
      </c>
      <c r="B8570" t="s">
        <v>25120</v>
      </c>
      <c r="C8570" t="s">
        <v>25424</v>
      </c>
      <c r="D8570" t="s">
        <v>24</v>
      </c>
      <c r="E8570" t="s">
        <v>25425</v>
      </c>
      <c r="F8570" t="s">
        <v>25426</v>
      </c>
    </row>
    <row r="8571" spans="1:12">
      <c r="A8571" t="s">
        <v>25119</v>
      </c>
      <c r="B8571" t="s">
        <v>25120</v>
      </c>
      <c r="C8571" t="s">
        <v>25427</v>
      </c>
      <c r="D8571" t="s">
        <v>24</v>
      </c>
      <c r="E8571" t="s">
        <v>15646</v>
      </c>
      <c r="F8571" t="s">
        <v>25428</v>
      </c>
    </row>
    <row r="8572" spans="1:12">
      <c r="A8572" t="s">
        <v>25119</v>
      </c>
      <c r="B8572" t="s">
        <v>25120</v>
      </c>
      <c r="C8572" t="s">
        <v>25429</v>
      </c>
      <c r="D8572" t="s">
        <v>24</v>
      </c>
      <c r="E8572" t="s">
        <v>20864</v>
      </c>
      <c r="F8572" t="s">
        <v>25430</v>
      </c>
    </row>
    <row r="8573" spans="1:12">
      <c r="A8573" t="s">
        <v>25119</v>
      </c>
      <c r="B8573" t="s">
        <v>25120</v>
      </c>
      <c r="C8573" t="s">
        <v>25431</v>
      </c>
      <c r="D8573" t="s">
        <v>24</v>
      </c>
      <c r="E8573" t="s">
        <v>1397</v>
      </c>
      <c r="F8573" t="s">
        <v>1397</v>
      </c>
    </row>
    <row r="8574" spans="1:12">
      <c r="A8574" t="s">
        <v>25119</v>
      </c>
      <c r="B8574" t="s">
        <v>25120</v>
      </c>
      <c r="C8574" t="s">
        <v>25432</v>
      </c>
      <c r="D8574" t="s">
        <v>24</v>
      </c>
      <c r="E8574" t="s">
        <v>21003</v>
      </c>
      <c r="F8574" t="s">
        <v>25433</v>
      </c>
    </row>
    <row r="8575" spans="1:12">
      <c r="A8575" t="s">
        <v>25119</v>
      </c>
      <c r="B8575" t="s">
        <v>25120</v>
      </c>
      <c r="C8575" t="s">
        <v>25434</v>
      </c>
      <c r="D8575" t="s">
        <v>24</v>
      </c>
      <c r="E8575" t="s">
        <v>21044</v>
      </c>
      <c r="F8575" t="s">
        <v>25435</v>
      </c>
    </row>
    <row r="8576" spans="1:12">
      <c r="A8576" t="s">
        <v>25119</v>
      </c>
      <c r="B8576" t="s">
        <v>25120</v>
      </c>
      <c r="C8576" t="s">
        <v>25436</v>
      </c>
      <c r="D8576" t="s">
        <v>24</v>
      </c>
      <c r="E8576" t="s">
        <v>25437</v>
      </c>
      <c r="F8576" t="s">
        <v>25438</v>
      </c>
    </row>
    <row r="8577" spans="1:12">
      <c r="A8577" t="s">
        <v>25119</v>
      </c>
      <c r="B8577" t="s">
        <v>25120</v>
      </c>
      <c r="C8577" t="s">
        <v>25439</v>
      </c>
      <c r="D8577" t="s">
        <v>24</v>
      </c>
      <c r="E8577" t="s">
        <v>7009</v>
      </c>
      <c r="F8577" t="s">
        <v>25440</v>
      </c>
    </row>
    <row r="8578" spans="1:12">
      <c r="A8578" t="s">
        <v>25119</v>
      </c>
      <c r="B8578" t="s">
        <v>25120</v>
      </c>
      <c r="C8578" t="s">
        <v>25441</v>
      </c>
      <c r="D8578" t="s">
        <v>24</v>
      </c>
      <c r="E8578" t="s">
        <v>12126</v>
      </c>
      <c r="F8578" t="s">
        <v>25442</v>
      </c>
    </row>
    <row r="8579" spans="1:12">
      <c r="A8579" t="s">
        <v>25119</v>
      </c>
      <c r="B8579" t="s">
        <v>25120</v>
      </c>
      <c r="C8579" t="s">
        <v>25443</v>
      </c>
      <c r="D8579" t="s">
        <v>24</v>
      </c>
      <c r="E8579" t="s">
        <v>10031</v>
      </c>
      <c r="F8579" t="s">
        <v>25444</v>
      </c>
      <c r="J8579" t="s">
        <v>10031</v>
      </c>
      <c r="K8579" t="s">
        <v>5138</v>
      </c>
      <c r="L8579" t="s">
        <v>851</v>
      </c>
    </row>
    <row r="8580" spans="1:12">
      <c r="A8580" t="s">
        <v>25119</v>
      </c>
      <c r="B8580" t="s">
        <v>25120</v>
      </c>
      <c r="C8580" t="s">
        <v>25445</v>
      </c>
      <c r="D8580" t="s">
        <v>24</v>
      </c>
      <c r="E8580" t="s">
        <v>21271</v>
      </c>
      <c r="F8580" t="s">
        <v>25446</v>
      </c>
      <c r="J8580" t="s">
        <v>21271</v>
      </c>
      <c r="K8580" t="s">
        <v>5138</v>
      </c>
      <c r="L8580" t="s">
        <v>851</v>
      </c>
    </row>
    <row r="8581" spans="1:12">
      <c r="A8581" t="s">
        <v>25119</v>
      </c>
      <c r="B8581" t="s">
        <v>25120</v>
      </c>
      <c r="C8581" t="s">
        <v>25447</v>
      </c>
      <c r="D8581" t="s">
        <v>24</v>
      </c>
      <c r="E8581" t="s">
        <v>25448</v>
      </c>
      <c r="F8581" t="s">
        <v>25449</v>
      </c>
      <c r="J8581" t="s">
        <v>25448</v>
      </c>
      <c r="K8581" t="s">
        <v>5138</v>
      </c>
      <c r="L8581" t="s">
        <v>851</v>
      </c>
    </row>
    <row r="8582" spans="1:12">
      <c r="A8582" t="s">
        <v>25119</v>
      </c>
      <c r="B8582" t="s">
        <v>25120</v>
      </c>
      <c r="C8582" t="s">
        <v>25450</v>
      </c>
      <c r="D8582" t="s">
        <v>24</v>
      </c>
      <c r="E8582" t="s">
        <v>21343</v>
      </c>
      <c r="F8582" t="s">
        <v>25451</v>
      </c>
    </row>
    <row r="8583" spans="1:12">
      <c r="A8583" t="s">
        <v>25119</v>
      </c>
      <c r="B8583" t="s">
        <v>25120</v>
      </c>
      <c r="C8583" t="s">
        <v>25452</v>
      </c>
      <c r="D8583" t="s">
        <v>24</v>
      </c>
      <c r="E8583" t="s">
        <v>25453</v>
      </c>
      <c r="F8583" t="s">
        <v>25454</v>
      </c>
    </row>
    <row r="8584" spans="1:12">
      <c r="A8584" t="s">
        <v>25119</v>
      </c>
      <c r="B8584" t="s">
        <v>25120</v>
      </c>
      <c r="C8584" t="s">
        <v>25455</v>
      </c>
      <c r="D8584" t="s">
        <v>24</v>
      </c>
      <c r="E8584" t="s">
        <v>7812</v>
      </c>
      <c r="F8584" t="s">
        <v>25456</v>
      </c>
    </row>
    <row r="8585" spans="1:12">
      <c r="A8585" t="s">
        <v>25119</v>
      </c>
      <c r="B8585" t="s">
        <v>25120</v>
      </c>
      <c r="C8585" t="s">
        <v>25457</v>
      </c>
      <c r="D8585" t="s">
        <v>24</v>
      </c>
      <c r="E8585" t="s">
        <v>25458</v>
      </c>
      <c r="F8585" t="s">
        <v>25459</v>
      </c>
    </row>
    <row r="8586" spans="1:12">
      <c r="A8586" t="s">
        <v>25119</v>
      </c>
      <c r="B8586" t="s">
        <v>25120</v>
      </c>
      <c r="C8586" t="s">
        <v>25460</v>
      </c>
      <c r="D8586" t="s">
        <v>24</v>
      </c>
      <c r="E8586" t="s">
        <v>25461</v>
      </c>
      <c r="F8586" t="s">
        <v>25462</v>
      </c>
    </row>
    <row r="8587" spans="1:12">
      <c r="A8587" t="s">
        <v>25119</v>
      </c>
      <c r="B8587" t="s">
        <v>25120</v>
      </c>
      <c r="C8587" t="s">
        <v>25463</v>
      </c>
      <c r="D8587" t="s">
        <v>24</v>
      </c>
      <c r="E8587" t="s">
        <v>11097</v>
      </c>
      <c r="F8587" t="s">
        <v>25464</v>
      </c>
    </row>
    <row r="8588" spans="1:12">
      <c r="A8588" t="s">
        <v>25119</v>
      </c>
      <c r="B8588" t="s">
        <v>25120</v>
      </c>
      <c r="C8588" t="s">
        <v>25465</v>
      </c>
      <c r="D8588" t="s">
        <v>24</v>
      </c>
      <c r="E8588" t="s">
        <v>25466</v>
      </c>
      <c r="F8588" t="s">
        <v>25467</v>
      </c>
      <c r="J8588" t="s">
        <v>25466</v>
      </c>
      <c r="K8588" t="s">
        <v>5138</v>
      </c>
      <c r="L8588" t="s">
        <v>851</v>
      </c>
    </row>
    <row r="8589" spans="1:12">
      <c r="A8589" t="s">
        <v>25119</v>
      </c>
      <c r="B8589" t="s">
        <v>25120</v>
      </c>
      <c r="C8589" t="s">
        <v>25468</v>
      </c>
      <c r="D8589" t="s">
        <v>24</v>
      </c>
      <c r="E8589" t="s">
        <v>10085</v>
      </c>
      <c r="F8589" t="s">
        <v>25469</v>
      </c>
    </row>
    <row r="8590" spans="1:12">
      <c r="A8590" t="s">
        <v>25119</v>
      </c>
      <c r="B8590" t="s">
        <v>25120</v>
      </c>
      <c r="C8590" t="s">
        <v>25470</v>
      </c>
      <c r="D8590" t="s">
        <v>24</v>
      </c>
      <c r="E8590" t="s">
        <v>25471</v>
      </c>
      <c r="F8590" t="s">
        <v>25472</v>
      </c>
    </row>
    <row r="8591" spans="1:12">
      <c r="A8591" t="s">
        <v>25119</v>
      </c>
      <c r="B8591" t="s">
        <v>25120</v>
      </c>
      <c r="C8591" t="s">
        <v>25473</v>
      </c>
      <c r="D8591" t="s">
        <v>24</v>
      </c>
      <c r="E8591" t="s">
        <v>655</v>
      </c>
      <c r="F8591" t="s">
        <v>656</v>
      </c>
    </row>
    <row r="8592" spans="1:12">
      <c r="A8592" t="s">
        <v>25119</v>
      </c>
      <c r="B8592" t="s">
        <v>25120</v>
      </c>
      <c r="D8592" t="s">
        <v>24</v>
      </c>
      <c r="F8592" t="s">
        <v>25474</v>
      </c>
      <c r="J8592" t="s">
        <v>25475</v>
      </c>
      <c r="K8592" t="s">
        <v>5138</v>
      </c>
      <c r="L8592" t="s">
        <v>851</v>
      </c>
    </row>
    <row r="8593" spans="1:12">
      <c r="A8593" t="s">
        <v>25119</v>
      </c>
      <c r="B8593" t="s">
        <v>25120</v>
      </c>
      <c r="D8593" t="s">
        <v>24</v>
      </c>
      <c r="F8593" t="s">
        <v>25476</v>
      </c>
      <c r="J8593" t="s">
        <v>9428</v>
      </c>
      <c r="K8593" t="s">
        <v>5138</v>
      </c>
      <c r="L8593" t="s">
        <v>851</v>
      </c>
    </row>
    <row r="8594" spans="1:12">
      <c r="A8594" t="s">
        <v>25119</v>
      </c>
      <c r="B8594" t="s">
        <v>25120</v>
      </c>
      <c r="D8594" t="s">
        <v>24</v>
      </c>
      <c r="F8594" t="s">
        <v>25477</v>
      </c>
      <c r="J8594" t="s">
        <v>25478</v>
      </c>
      <c r="K8594" t="s">
        <v>5138</v>
      </c>
      <c r="L8594" t="s">
        <v>851</v>
      </c>
    </row>
    <row r="8595" spans="1:12">
      <c r="A8595" t="s">
        <v>25119</v>
      </c>
      <c r="B8595" t="s">
        <v>25120</v>
      </c>
      <c r="D8595" t="s">
        <v>24</v>
      </c>
      <c r="F8595" t="s">
        <v>25479</v>
      </c>
      <c r="J8595" t="s">
        <v>25480</v>
      </c>
      <c r="K8595" t="s">
        <v>5138</v>
      </c>
      <c r="L8595" t="s">
        <v>851</v>
      </c>
    </row>
    <row r="8596" spans="1:12">
      <c r="A8596" t="s">
        <v>25481</v>
      </c>
      <c r="B8596" t="s">
        <v>25482</v>
      </c>
      <c r="C8596" t="s">
        <v>25483</v>
      </c>
      <c r="D8596" t="s">
        <v>25484</v>
      </c>
      <c r="E8596" t="s">
        <v>25485</v>
      </c>
      <c r="F8596" t="s">
        <v>25486</v>
      </c>
      <c r="J8596" t="s">
        <v>25485</v>
      </c>
      <c r="K8596" t="s">
        <v>25481</v>
      </c>
      <c r="L8596" t="s">
        <v>725</v>
      </c>
    </row>
    <row r="8597" spans="1:12">
      <c r="A8597" t="s">
        <v>25481</v>
      </c>
      <c r="B8597" t="s">
        <v>25482</v>
      </c>
      <c r="C8597" t="s">
        <v>25487</v>
      </c>
      <c r="D8597" t="s">
        <v>25484</v>
      </c>
      <c r="E8597" t="s">
        <v>8533</v>
      </c>
      <c r="F8597" t="s">
        <v>25488</v>
      </c>
      <c r="J8597" t="s">
        <v>8533</v>
      </c>
      <c r="K8597" t="s">
        <v>25481</v>
      </c>
      <c r="L8597" t="s">
        <v>725</v>
      </c>
    </row>
    <row r="8598" spans="1:12">
      <c r="A8598" t="s">
        <v>25481</v>
      </c>
      <c r="B8598" t="s">
        <v>25482</v>
      </c>
      <c r="C8598" t="s">
        <v>25489</v>
      </c>
      <c r="D8598" t="s">
        <v>25484</v>
      </c>
      <c r="E8598" t="s">
        <v>25490</v>
      </c>
      <c r="F8598" t="s">
        <v>25491</v>
      </c>
      <c r="J8598" t="s">
        <v>25490</v>
      </c>
      <c r="K8598" t="s">
        <v>25481</v>
      </c>
      <c r="L8598" t="s">
        <v>725</v>
      </c>
    </row>
    <row r="8599" spans="1:12">
      <c r="A8599" t="s">
        <v>25481</v>
      </c>
      <c r="B8599" t="s">
        <v>25482</v>
      </c>
      <c r="C8599" t="s">
        <v>25492</v>
      </c>
      <c r="D8599" t="s">
        <v>25484</v>
      </c>
      <c r="E8599" t="s">
        <v>25493</v>
      </c>
      <c r="F8599" t="s">
        <v>25494</v>
      </c>
      <c r="J8599" t="s">
        <v>25493</v>
      </c>
      <c r="K8599" t="s">
        <v>25481</v>
      </c>
      <c r="L8599" t="s">
        <v>725</v>
      </c>
    </row>
    <row r="8600" spans="1:12">
      <c r="A8600" t="s">
        <v>25481</v>
      </c>
      <c r="B8600" t="s">
        <v>25482</v>
      </c>
      <c r="C8600" t="s">
        <v>25495</v>
      </c>
      <c r="D8600" t="s">
        <v>25484</v>
      </c>
      <c r="E8600" t="s">
        <v>25496</v>
      </c>
      <c r="F8600" t="s">
        <v>25497</v>
      </c>
      <c r="J8600" t="s">
        <v>25496</v>
      </c>
      <c r="K8600" t="s">
        <v>25481</v>
      </c>
      <c r="L8600" t="s">
        <v>725</v>
      </c>
    </row>
    <row r="8601" spans="1:12">
      <c r="A8601" t="s">
        <v>25481</v>
      </c>
      <c r="B8601" t="s">
        <v>25482</v>
      </c>
      <c r="C8601" t="s">
        <v>25498</v>
      </c>
      <c r="D8601" t="s">
        <v>25484</v>
      </c>
      <c r="E8601" t="s">
        <v>8566</v>
      </c>
      <c r="F8601" t="s">
        <v>25499</v>
      </c>
      <c r="J8601" t="s">
        <v>8566</v>
      </c>
      <c r="K8601" t="s">
        <v>25481</v>
      </c>
      <c r="L8601" t="s">
        <v>725</v>
      </c>
    </row>
    <row r="8602" spans="1:12">
      <c r="A8602" t="s">
        <v>25481</v>
      </c>
      <c r="B8602" t="s">
        <v>25482</v>
      </c>
      <c r="C8602" t="s">
        <v>25500</v>
      </c>
      <c r="D8602" t="s">
        <v>25484</v>
      </c>
      <c r="E8602" t="s">
        <v>25501</v>
      </c>
      <c r="F8602" t="s">
        <v>25502</v>
      </c>
      <c r="J8602" t="s">
        <v>25501</v>
      </c>
      <c r="K8602" t="s">
        <v>25481</v>
      </c>
      <c r="L8602" t="s">
        <v>725</v>
      </c>
    </row>
    <row r="8603" spans="1:12">
      <c r="A8603" t="s">
        <v>25481</v>
      </c>
      <c r="B8603" t="s">
        <v>25482</v>
      </c>
      <c r="C8603" t="s">
        <v>25503</v>
      </c>
      <c r="D8603" t="s">
        <v>25484</v>
      </c>
      <c r="E8603" t="s">
        <v>8634</v>
      </c>
      <c r="F8603" t="s">
        <v>25504</v>
      </c>
    </row>
    <row r="8604" spans="1:12">
      <c r="A8604" t="s">
        <v>25481</v>
      </c>
      <c r="B8604" t="s">
        <v>25482</v>
      </c>
      <c r="C8604" t="s">
        <v>25505</v>
      </c>
      <c r="D8604" t="s">
        <v>25484</v>
      </c>
      <c r="E8604" t="s">
        <v>25506</v>
      </c>
      <c r="F8604" t="s">
        <v>25507</v>
      </c>
      <c r="J8604" t="s">
        <v>25506</v>
      </c>
      <c r="K8604" t="s">
        <v>25481</v>
      </c>
      <c r="L8604" t="s">
        <v>725</v>
      </c>
    </row>
    <row r="8605" spans="1:12">
      <c r="A8605" t="s">
        <v>25481</v>
      </c>
      <c r="B8605" t="s">
        <v>25482</v>
      </c>
      <c r="C8605" t="s">
        <v>25508</v>
      </c>
      <c r="D8605" t="s">
        <v>25484</v>
      </c>
      <c r="E8605" t="s">
        <v>25509</v>
      </c>
      <c r="F8605" t="s">
        <v>25510</v>
      </c>
      <c r="J8605" t="s">
        <v>25509</v>
      </c>
      <c r="K8605" t="s">
        <v>25481</v>
      </c>
      <c r="L8605" t="s">
        <v>725</v>
      </c>
    </row>
    <row r="8606" spans="1:12">
      <c r="A8606" t="s">
        <v>25481</v>
      </c>
      <c r="B8606" t="s">
        <v>25482</v>
      </c>
      <c r="C8606" t="s">
        <v>25511</v>
      </c>
      <c r="D8606" t="s">
        <v>25484</v>
      </c>
      <c r="E8606" t="s">
        <v>25512</v>
      </c>
      <c r="F8606" t="s">
        <v>25513</v>
      </c>
      <c r="J8606" t="s">
        <v>25512</v>
      </c>
      <c r="K8606" t="s">
        <v>25481</v>
      </c>
      <c r="L8606" t="s">
        <v>725</v>
      </c>
    </row>
    <row r="8607" spans="1:12">
      <c r="A8607" t="s">
        <v>25481</v>
      </c>
      <c r="B8607" t="s">
        <v>25482</v>
      </c>
      <c r="C8607" t="s">
        <v>25514</v>
      </c>
      <c r="D8607" t="s">
        <v>25484</v>
      </c>
      <c r="E8607" t="s">
        <v>25515</v>
      </c>
      <c r="F8607" t="s">
        <v>25516</v>
      </c>
      <c r="J8607" t="s">
        <v>25515</v>
      </c>
      <c r="K8607" t="s">
        <v>25481</v>
      </c>
      <c r="L8607" t="s">
        <v>725</v>
      </c>
    </row>
    <row r="8608" spans="1:12">
      <c r="A8608" t="s">
        <v>25481</v>
      </c>
      <c r="B8608" t="s">
        <v>25482</v>
      </c>
      <c r="C8608" t="s">
        <v>25517</v>
      </c>
      <c r="D8608" t="s">
        <v>25484</v>
      </c>
      <c r="E8608" t="s">
        <v>25518</v>
      </c>
      <c r="F8608" t="s">
        <v>25519</v>
      </c>
      <c r="J8608" t="s">
        <v>25518</v>
      </c>
      <c r="K8608" t="s">
        <v>25481</v>
      </c>
      <c r="L8608" t="s">
        <v>725</v>
      </c>
    </row>
    <row r="8609" spans="1:12">
      <c r="A8609" t="s">
        <v>25481</v>
      </c>
      <c r="B8609" t="s">
        <v>25482</v>
      </c>
      <c r="C8609" t="s">
        <v>25520</v>
      </c>
      <c r="D8609" t="s">
        <v>25484</v>
      </c>
      <c r="E8609" t="s">
        <v>25521</v>
      </c>
      <c r="F8609" t="s">
        <v>25522</v>
      </c>
      <c r="J8609" t="s">
        <v>25521</v>
      </c>
      <c r="K8609" t="s">
        <v>25481</v>
      </c>
      <c r="L8609" t="s">
        <v>725</v>
      </c>
    </row>
    <row r="8610" spans="1:12">
      <c r="A8610" t="s">
        <v>25481</v>
      </c>
      <c r="B8610" t="s">
        <v>25482</v>
      </c>
      <c r="C8610" t="s">
        <v>25523</v>
      </c>
      <c r="D8610" t="s">
        <v>25484</v>
      </c>
      <c r="E8610" t="s">
        <v>17309</v>
      </c>
      <c r="F8610" t="s">
        <v>25524</v>
      </c>
      <c r="J8610" t="s">
        <v>17309</v>
      </c>
      <c r="K8610" t="s">
        <v>25481</v>
      </c>
      <c r="L8610" t="s">
        <v>725</v>
      </c>
    </row>
    <row r="8611" spans="1:12">
      <c r="A8611" t="s">
        <v>25481</v>
      </c>
      <c r="B8611" t="s">
        <v>25482</v>
      </c>
      <c r="C8611" t="s">
        <v>25525</v>
      </c>
      <c r="D8611" t="s">
        <v>25484</v>
      </c>
      <c r="E8611" t="s">
        <v>25526</v>
      </c>
      <c r="F8611" t="s">
        <v>25527</v>
      </c>
      <c r="J8611" t="s">
        <v>25526</v>
      </c>
      <c r="K8611" t="s">
        <v>25481</v>
      </c>
      <c r="L8611" t="s">
        <v>725</v>
      </c>
    </row>
    <row r="8612" spans="1:12">
      <c r="A8612" t="s">
        <v>25481</v>
      </c>
      <c r="B8612" t="s">
        <v>25482</v>
      </c>
      <c r="C8612" t="s">
        <v>25528</v>
      </c>
      <c r="D8612" t="s">
        <v>25484</v>
      </c>
      <c r="E8612" t="s">
        <v>25529</v>
      </c>
      <c r="F8612" t="s">
        <v>25530</v>
      </c>
      <c r="J8612" t="s">
        <v>25529</v>
      </c>
      <c r="K8612" t="s">
        <v>25481</v>
      </c>
      <c r="L8612" t="s">
        <v>725</v>
      </c>
    </row>
    <row r="8613" spans="1:12">
      <c r="A8613" t="s">
        <v>25481</v>
      </c>
      <c r="B8613" t="s">
        <v>25482</v>
      </c>
      <c r="C8613" t="s">
        <v>25531</v>
      </c>
      <c r="D8613" t="s">
        <v>25484</v>
      </c>
      <c r="E8613" t="s">
        <v>25532</v>
      </c>
      <c r="F8613" t="s">
        <v>25533</v>
      </c>
      <c r="J8613" t="s">
        <v>25532</v>
      </c>
      <c r="K8613" t="s">
        <v>25481</v>
      </c>
      <c r="L8613" t="s">
        <v>725</v>
      </c>
    </row>
    <row r="8614" spans="1:12">
      <c r="A8614" t="s">
        <v>25481</v>
      </c>
      <c r="B8614" t="s">
        <v>25482</v>
      </c>
      <c r="C8614" t="s">
        <v>25534</v>
      </c>
      <c r="D8614" t="s">
        <v>25484</v>
      </c>
      <c r="E8614" t="s">
        <v>25535</v>
      </c>
      <c r="F8614" t="s">
        <v>25536</v>
      </c>
      <c r="J8614" t="s">
        <v>25535</v>
      </c>
      <c r="K8614" t="s">
        <v>25481</v>
      </c>
      <c r="L8614" t="s">
        <v>725</v>
      </c>
    </row>
    <row r="8615" spans="1:12">
      <c r="A8615" t="s">
        <v>25481</v>
      </c>
      <c r="B8615" t="s">
        <v>25482</v>
      </c>
      <c r="C8615" t="s">
        <v>25537</v>
      </c>
      <c r="D8615" t="s">
        <v>25484</v>
      </c>
      <c r="E8615" t="s">
        <v>25538</v>
      </c>
      <c r="F8615" t="s">
        <v>25539</v>
      </c>
      <c r="J8615" t="s">
        <v>25538</v>
      </c>
      <c r="K8615" t="s">
        <v>25481</v>
      </c>
      <c r="L8615" t="s">
        <v>725</v>
      </c>
    </row>
    <row r="8616" spans="1:12">
      <c r="A8616" t="s">
        <v>25481</v>
      </c>
      <c r="B8616" t="s">
        <v>25482</v>
      </c>
      <c r="C8616" t="s">
        <v>25540</v>
      </c>
      <c r="D8616" t="s">
        <v>25484</v>
      </c>
      <c r="E8616" t="s">
        <v>9255</v>
      </c>
      <c r="F8616" t="s">
        <v>25541</v>
      </c>
    </row>
    <row r="8617" spans="1:12">
      <c r="A8617" t="s">
        <v>25481</v>
      </c>
      <c r="B8617" t="s">
        <v>25482</v>
      </c>
      <c r="C8617" t="s">
        <v>25542</v>
      </c>
      <c r="D8617" t="s">
        <v>25484</v>
      </c>
      <c r="E8617" t="s">
        <v>15161</v>
      </c>
      <c r="F8617" t="s">
        <v>25543</v>
      </c>
    </row>
    <row r="8618" spans="1:12">
      <c r="A8618" t="s">
        <v>25481</v>
      </c>
      <c r="B8618" t="s">
        <v>25482</v>
      </c>
      <c r="C8618" t="s">
        <v>25544</v>
      </c>
      <c r="D8618" t="s">
        <v>25484</v>
      </c>
      <c r="E8618" t="s">
        <v>25545</v>
      </c>
      <c r="F8618" t="s">
        <v>25546</v>
      </c>
      <c r="J8618" t="s">
        <v>25545</v>
      </c>
      <c r="K8618" t="s">
        <v>25481</v>
      </c>
      <c r="L8618" t="s">
        <v>725</v>
      </c>
    </row>
    <row r="8619" spans="1:12">
      <c r="A8619" t="s">
        <v>25481</v>
      </c>
      <c r="B8619" t="s">
        <v>25482</v>
      </c>
      <c r="C8619" t="s">
        <v>25547</v>
      </c>
      <c r="D8619" t="s">
        <v>25484</v>
      </c>
      <c r="E8619" t="s">
        <v>5072</v>
      </c>
      <c r="F8619" t="s">
        <v>25548</v>
      </c>
      <c r="J8619" t="s">
        <v>5072</v>
      </c>
      <c r="K8619" t="s">
        <v>25481</v>
      </c>
      <c r="L8619" t="s">
        <v>725</v>
      </c>
    </row>
    <row r="8620" spans="1:12">
      <c r="A8620" t="s">
        <v>25481</v>
      </c>
      <c r="B8620" t="s">
        <v>25482</v>
      </c>
      <c r="C8620" t="s">
        <v>25549</v>
      </c>
      <c r="D8620" t="s">
        <v>25484</v>
      </c>
      <c r="E8620" t="s">
        <v>25550</v>
      </c>
      <c r="F8620" t="s">
        <v>25551</v>
      </c>
      <c r="J8620" t="s">
        <v>25550</v>
      </c>
      <c r="K8620" t="s">
        <v>25481</v>
      </c>
      <c r="L8620" t="s">
        <v>725</v>
      </c>
    </row>
    <row r="8621" spans="1:12">
      <c r="A8621" t="s">
        <v>25481</v>
      </c>
      <c r="B8621" t="s">
        <v>25482</v>
      </c>
      <c r="C8621" t="s">
        <v>25552</v>
      </c>
      <c r="D8621" t="s">
        <v>25484</v>
      </c>
      <c r="E8621" t="s">
        <v>25553</v>
      </c>
      <c r="F8621" t="s">
        <v>25554</v>
      </c>
      <c r="J8621" t="s">
        <v>25553</v>
      </c>
      <c r="K8621" t="s">
        <v>25481</v>
      </c>
      <c r="L8621" t="s">
        <v>725</v>
      </c>
    </row>
    <row r="8622" spans="1:12">
      <c r="A8622" t="s">
        <v>25481</v>
      </c>
      <c r="B8622" t="s">
        <v>25482</v>
      </c>
      <c r="C8622" t="s">
        <v>25555</v>
      </c>
      <c r="D8622" t="s">
        <v>25484</v>
      </c>
      <c r="E8622" t="s">
        <v>25556</v>
      </c>
      <c r="F8622" t="s">
        <v>25557</v>
      </c>
      <c r="J8622" t="s">
        <v>25556</v>
      </c>
      <c r="K8622" t="s">
        <v>25481</v>
      </c>
      <c r="L8622" t="s">
        <v>725</v>
      </c>
    </row>
    <row r="8623" spans="1:12">
      <c r="A8623" t="s">
        <v>25481</v>
      </c>
      <c r="B8623" t="s">
        <v>25482</v>
      </c>
      <c r="C8623" t="s">
        <v>25558</v>
      </c>
      <c r="D8623" t="s">
        <v>25484</v>
      </c>
      <c r="E8623" t="s">
        <v>25559</v>
      </c>
      <c r="F8623" t="s">
        <v>25560</v>
      </c>
      <c r="J8623" t="s">
        <v>25559</v>
      </c>
      <c r="K8623" t="s">
        <v>25481</v>
      </c>
      <c r="L8623" t="s">
        <v>725</v>
      </c>
    </row>
    <row r="8624" spans="1:12">
      <c r="A8624" t="s">
        <v>25481</v>
      </c>
      <c r="B8624" t="s">
        <v>25482</v>
      </c>
      <c r="C8624" t="s">
        <v>25561</v>
      </c>
      <c r="D8624" t="s">
        <v>25484</v>
      </c>
      <c r="E8624" t="s">
        <v>25562</v>
      </c>
      <c r="F8624" t="s">
        <v>25563</v>
      </c>
      <c r="J8624" t="s">
        <v>25562</v>
      </c>
      <c r="K8624" t="s">
        <v>25481</v>
      </c>
      <c r="L8624" t="s">
        <v>725</v>
      </c>
    </row>
    <row r="8625" spans="1:12">
      <c r="A8625" t="s">
        <v>25481</v>
      </c>
      <c r="B8625" t="s">
        <v>25482</v>
      </c>
      <c r="C8625" t="s">
        <v>25564</v>
      </c>
      <c r="D8625" t="s">
        <v>25484</v>
      </c>
      <c r="E8625" t="s">
        <v>14479</v>
      </c>
      <c r="F8625" t="s">
        <v>25565</v>
      </c>
      <c r="J8625" t="s">
        <v>14479</v>
      </c>
      <c r="K8625" t="s">
        <v>25481</v>
      </c>
      <c r="L8625" t="s">
        <v>725</v>
      </c>
    </row>
    <row r="8626" spans="1:12">
      <c r="A8626" t="s">
        <v>25481</v>
      </c>
      <c r="B8626" t="s">
        <v>25482</v>
      </c>
      <c r="C8626" t="s">
        <v>25566</v>
      </c>
      <c r="D8626" t="s">
        <v>25484</v>
      </c>
      <c r="E8626" t="s">
        <v>25567</v>
      </c>
      <c r="F8626" t="s">
        <v>25568</v>
      </c>
      <c r="J8626" t="s">
        <v>25567</v>
      </c>
      <c r="K8626" t="s">
        <v>25481</v>
      </c>
      <c r="L8626" t="s">
        <v>725</v>
      </c>
    </row>
    <row r="8627" spans="1:12">
      <c r="A8627" t="s">
        <v>25481</v>
      </c>
      <c r="B8627" t="s">
        <v>25482</v>
      </c>
      <c r="C8627" t="s">
        <v>25569</v>
      </c>
      <c r="D8627" t="s">
        <v>25484</v>
      </c>
      <c r="E8627" t="s">
        <v>25570</v>
      </c>
      <c r="F8627" t="s">
        <v>25571</v>
      </c>
      <c r="J8627" t="s">
        <v>25570</v>
      </c>
      <c r="K8627" t="s">
        <v>25481</v>
      </c>
      <c r="L8627" t="s">
        <v>725</v>
      </c>
    </row>
    <row r="8628" spans="1:12">
      <c r="A8628" t="s">
        <v>25481</v>
      </c>
      <c r="B8628" t="s">
        <v>25482</v>
      </c>
      <c r="C8628" t="s">
        <v>25572</v>
      </c>
      <c r="D8628" t="s">
        <v>25484</v>
      </c>
      <c r="E8628" t="s">
        <v>14096</v>
      </c>
      <c r="F8628" t="s">
        <v>25573</v>
      </c>
      <c r="J8628" t="s">
        <v>14096</v>
      </c>
      <c r="K8628" t="s">
        <v>25481</v>
      </c>
      <c r="L8628" t="s">
        <v>725</v>
      </c>
    </row>
    <row r="8629" spans="1:12">
      <c r="A8629" t="s">
        <v>25481</v>
      </c>
      <c r="B8629" t="s">
        <v>25482</v>
      </c>
      <c r="C8629" t="s">
        <v>25574</v>
      </c>
      <c r="D8629" t="s">
        <v>25484</v>
      </c>
      <c r="E8629" t="s">
        <v>25575</v>
      </c>
      <c r="F8629" t="s">
        <v>25576</v>
      </c>
      <c r="J8629" t="s">
        <v>25575</v>
      </c>
      <c r="K8629" t="s">
        <v>25481</v>
      </c>
      <c r="L8629" t="s">
        <v>725</v>
      </c>
    </row>
    <row r="8630" spans="1:12">
      <c r="A8630" t="s">
        <v>25481</v>
      </c>
      <c r="B8630" t="s">
        <v>25482</v>
      </c>
      <c r="C8630" t="s">
        <v>25577</v>
      </c>
      <c r="D8630" t="s">
        <v>25484</v>
      </c>
      <c r="E8630" t="s">
        <v>25578</v>
      </c>
      <c r="F8630" t="s">
        <v>25579</v>
      </c>
      <c r="J8630" t="s">
        <v>25578</v>
      </c>
      <c r="K8630" t="s">
        <v>25481</v>
      </c>
      <c r="L8630" t="s">
        <v>725</v>
      </c>
    </row>
    <row r="8631" spans="1:12">
      <c r="A8631" t="s">
        <v>25481</v>
      </c>
      <c r="B8631" t="s">
        <v>25482</v>
      </c>
      <c r="C8631" t="s">
        <v>25580</v>
      </c>
      <c r="D8631" t="s">
        <v>25484</v>
      </c>
      <c r="E8631" t="s">
        <v>9842</v>
      </c>
      <c r="F8631" t="s">
        <v>25581</v>
      </c>
      <c r="J8631" t="s">
        <v>9842</v>
      </c>
      <c r="K8631" t="s">
        <v>25481</v>
      </c>
      <c r="L8631" t="s">
        <v>725</v>
      </c>
    </row>
    <row r="8632" spans="1:12">
      <c r="A8632" t="s">
        <v>25481</v>
      </c>
      <c r="B8632" t="s">
        <v>25482</v>
      </c>
      <c r="C8632" t="s">
        <v>25582</v>
      </c>
      <c r="D8632" t="s">
        <v>25484</v>
      </c>
      <c r="E8632" t="s">
        <v>25583</v>
      </c>
      <c r="F8632" t="s">
        <v>25584</v>
      </c>
      <c r="J8632" t="s">
        <v>25583</v>
      </c>
      <c r="K8632" t="s">
        <v>25481</v>
      </c>
      <c r="L8632" t="s">
        <v>725</v>
      </c>
    </row>
    <row r="8633" spans="1:12">
      <c r="A8633" t="s">
        <v>25481</v>
      </c>
      <c r="B8633" t="s">
        <v>25482</v>
      </c>
      <c r="C8633" t="s">
        <v>25585</v>
      </c>
      <c r="D8633" t="s">
        <v>25484</v>
      </c>
      <c r="E8633" t="s">
        <v>9927</v>
      </c>
      <c r="F8633" t="s">
        <v>25586</v>
      </c>
      <c r="J8633" t="s">
        <v>9927</v>
      </c>
      <c r="K8633" t="s">
        <v>25481</v>
      </c>
      <c r="L8633" t="s">
        <v>725</v>
      </c>
    </row>
    <row r="8634" spans="1:12">
      <c r="A8634" t="s">
        <v>25481</v>
      </c>
      <c r="B8634" t="s">
        <v>25482</v>
      </c>
      <c r="C8634" t="s">
        <v>25587</v>
      </c>
      <c r="D8634" t="s">
        <v>25484</v>
      </c>
      <c r="E8634" t="s">
        <v>20507</v>
      </c>
      <c r="F8634" t="s">
        <v>25588</v>
      </c>
      <c r="J8634" t="s">
        <v>20507</v>
      </c>
      <c r="K8634" t="s">
        <v>25481</v>
      </c>
      <c r="L8634" t="s">
        <v>725</v>
      </c>
    </row>
    <row r="8635" spans="1:12">
      <c r="A8635" t="s">
        <v>25481</v>
      </c>
      <c r="B8635" t="s">
        <v>25482</v>
      </c>
      <c r="C8635" t="s">
        <v>25589</v>
      </c>
      <c r="D8635" t="s">
        <v>25484</v>
      </c>
      <c r="E8635" t="s">
        <v>13017</v>
      </c>
      <c r="F8635" t="s">
        <v>25590</v>
      </c>
    </row>
    <row r="8636" spans="1:12">
      <c r="A8636" t="s">
        <v>25481</v>
      </c>
      <c r="B8636" t="s">
        <v>25482</v>
      </c>
      <c r="C8636" t="s">
        <v>25591</v>
      </c>
      <c r="D8636" t="s">
        <v>25484</v>
      </c>
      <c r="E8636" t="s">
        <v>25592</v>
      </c>
      <c r="F8636" t="s">
        <v>25593</v>
      </c>
      <c r="J8636" t="s">
        <v>25592</v>
      </c>
      <c r="K8636" t="s">
        <v>25481</v>
      </c>
      <c r="L8636" t="s">
        <v>725</v>
      </c>
    </row>
    <row r="8637" spans="1:12">
      <c r="A8637" t="s">
        <v>25481</v>
      </c>
      <c r="B8637" t="s">
        <v>25482</v>
      </c>
      <c r="C8637" t="s">
        <v>25594</v>
      </c>
      <c r="D8637" t="s">
        <v>25484</v>
      </c>
      <c r="E8637" t="s">
        <v>21133</v>
      </c>
      <c r="F8637" t="s">
        <v>25595</v>
      </c>
      <c r="J8637" t="s">
        <v>21133</v>
      </c>
      <c r="K8637" t="s">
        <v>25481</v>
      </c>
      <c r="L8637" t="s">
        <v>725</v>
      </c>
    </row>
    <row r="8638" spans="1:12">
      <c r="A8638" t="s">
        <v>25481</v>
      </c>
      <c r="B8638" t="s">
        <v>25482</v>
      </c>
      <c r="C8638" t="s">
        <v>25596</v>
      </c>
      <c r="D8638" t="s">
        <v>25484</v>
      </c>
      <c r="E8638" t="s">
        <v>25597</v>
      </c>
      <c r="F8638" t="s">
        <v>25598</v>
      </c>
      <c r="J8638" t="s">
        <v>25597</v>
      </c>
      <c r="K8638" t="s">
        <v>25481</v>
      </c>
      <c r="L8638" t="s">
        <v>725</v>
      </c>
    </row>
    <row r="8639" spans="1:12">
      <c r="A8639" t="s">
        <v>25481</v>
      </c>
      <c r="B8639" t="s">
        <v>25482</v>
      </c>
      <c r="C8639" t="s">
        <v>25599</v>
      </c>
      <c r="D8639" t="s">
        <v>25484</v>
      </c>
      <c r="E8639" t="s">
        <v>655</v>
      </c>
      <c r="F8639" t="s">
        <v>656</v>
      </c>
    </row>
    <row r="8640" spans="1:12">
      <c r="A8640" t="s">
        <v>25481</v>
      </c>
      <c r="B8640" t="s">
        <v>25482</v>
      </c>
      <c r="D8640" t="s">
        <v>25484</v>
      </c>
      <c r="F8640" t="s">
        <v>25600</v>
      </c>
      <c r="J8640" t="s">
        <v>25601</v>
      </c>
      <c r="K8640" t="s">
        <v>25481</v>
      </c>
      <c r="L8640" t="s">
        <v>725</v>
      </c>
    </row>
    <row r="8641" spans="1:12">
      <c r="A8641" t="s">
        <v>25602</v>
      </c>
      <c r="B8641" t="s">
        <v>25603</v>
      </c>
      <c r="C8641" t="s">
        <v>25604</v>
      </c>
      <c r="D8641" t="s">
        <v>25605</v>
      </c>
      <c r="E8641" t="s">
        <v>25606</v>
      </c>
      <c r="F8641" t="s">
        <v>25607</v>
      </c>
      <c r="J8641" t="s">
        <v>25606</v>
      </c>
      <c r="K8641" t="s">
        <v>25608</v>
      </c>
      <c r="L8641" t="s">
        <v>1389</v>
      </c>
    </row>
    <row r="8642" spans="1:12">
      <c r="A8642" t="s">
        <v>25602</v>
      </c>
      <c r="B8642" t="s">
        <v>25603</v>
      </c>
      <c r="C8642" t="s">
        <v>25609</v>
      </c>
      <c r="D8642" t="s">
        <v>25605</v>
      </c>
      <c r="E8642" t="s">
        <v>655</v>
      </c>
      <c r="F8642" t="s">
        <v>656</v>
      </c>
    </row>
    <row r="8643" spans="1:12">
      <c r="A8643" t="s">
        <v>25610</v>
      </c>
      <c r="B8643" t="s">
        <v>25611</v>
      </c>
      <c r="C8643" t="s">
        <v>25612</v>
      </c>
      <c r="D8643" t="s">
        <v>25613</v>
      </c>
      <c r="E8643" t="s">
        <v>25614</v>
      </c>
      <c r="F8643" t="s">
        <v>25615</v>
      </c>
      <c r="J8643" t="s">
        <v>25614</v>
      </c>
      <c r="K8643" t="s">
        <v>25610</v>
      </c>
      <c r="L8643" t="s">
        <v>1389</v>
      </c>
    </row>
    <row r="8644" spans="1:12">
      <c r="A8644" t="s">
        <v>25610</v>
      </c>
      <c r="B8644" t="s">
        <v>25611</v>
      </c>
      <c r="C8644" t="s">
        <v>25616</v>
      </c>
      <c r="D8644" t="s">
        <v>25613</v>
      </c>
      <c r="E8644" t="s">
        <v>655</v>
      </c>
      <c r="F8644" t="s">
        <v>656</v>
      </c>
    </row>
    <row r="8645" spans="1:12">
      <c r="A8645" t="s">
        <v>25617</v>
      </c>
      <c r="B8645" t="s">
        <v>25618</v>
      </c>
      <c r="C8645" t="s">
        <v>25619</v>
      </c>
      <c r="D8645" t="s">
        <v>25620</v>
      </c>
      <c r="E8645" t="s">
        <v>7608</v>
      </c>
      <c r="F8645" t="s">
        <v>25621</v>
      </c>
    </row>
    <row r="8646" spans="1:12">
      <c r="A8646" t="s">
        <v>25617</v>
      </c>
      <c r="B8646" t="s">
        <v>25618</v>
      </c>
      <c r="C8646" t="s">
        <v>25622</v>
      </c>
      <c r="D8646" t="s">
        <v>25620</v>
      </c>
      <c r="E8646" t="s">
        <v>25623</v>
      </c>
      <c r="F8646" t="s">
        <v>25624</v>
      </c>
      <c r="J8646" t="s">
        <v>25623</v>
      </c>
      <c r="K8646" t="s">
        <v>25625</v>
      </c>
      <c r="L8646" t="s">
        <v>1389</v>
      </c>
    </row>
    <row r="8647" spans="1:12">
      <c r="A8647" t="s">
        <v>25617</v>
      </c>
      <c r="B8647" t="s">
        <v>25618</v>
      </c>
      <c r="C8647" t="s">
        <v>25626</v>
      </c>
      <c r="D8647" t="s">
        <v>25620</v>
      </c>
      <c r="E8647" t="s">
        <v>25627</v>
      </c>
      <c r="F8647" t="s">
        <v>25628</v>
      </c>
      <c r="J8647" t="s">
        <v>25627</v>
      </c>
      <c r="K8647" t="s">
        <v>25625</v>
      </c>
      <c r="L8647" t="s">
        <v>1389</v>
      </c>
    </row>
    <row r="8648" spans="1:12">
      <c r="A8648" t="s">
        <v>25617</v>
      </c>
      <c r="B8648" t="s">
        <v>25618</v>
      </c>
      <c r="C8648" t="s">
        <v>25629</v>
      </c>
      <c r="D8648" t="s">
        <v>25620</v>
      </c>
      <c r="E8648" t="s">
        <v>25630</v>
      </c>
      <c r="F8648" t="s">
        <v>14749</v>
      </c>
      <c r="J8648" t="s">
        <v>25630</v>
      </c>
      <c r="K8648" t="s">
        <v>25625</v>
      </c>
      <c r="L8648" t="s">
        <v>1389</v>
      </c>
    </row>
    <row r="8649" spans="1:12">
      <c r="A8649" t="s">
        <v>25617</v>
      </c>
      <c r="B8649" t="s">
        <v>25618</v>
      </c>
      <c r="C8649" t="s">
        <v>25631</v>
      </c>
      <c r="D8649" t="s">
        <v>25620</v>
      </c>
      <c r="E8649" t="s">
        <v>25632</v>
      </c>
      <c r="F8649" t="s">
        <v>25633</v>
      </c>
    </row>
    <row r="8650" spans="1:12">
      <c r="A8650" t="s">
        <v>25617</v>
      </c>
      <c r="B8650" t="s">
        <v>25618</v>
      </c>
      <c r="C8650" t="s">
        <v>25634</v>
      </c>
      <c r="D8650" t="s">
        <v>25620</v>
      </c>
      <c r="E8650" t="s">
        <v>8539</v>
      </c>
      <c r="F8650" t="s">
        <v>25635</v>
      </c>
      <c r="J8650" t="s">
        <v>8539</v>
      </c>
      <c r="K8650" t="s">
        <v>25625</v>
      </c>
      <c r="L8650" t="s">
        <v>1389</v>
      </c>
    </row>
    <row r="8651" spans="1:12">
      <c r="A8651" t="s">
        <v>25617</v>
      </c>
      <c r="B8651" t="s">
        <v>25618</v>
      </c>
      <c r="C8651" t="s">
        <v>25636</v>
      </c>
      <c r="D8651" t="s">
        <v>25620</v>
      </c>
      <c r="E8651" t="s">
        <v>25637</v>
      </c>
      <c r="F8651" t="s">
        <v>25638</v>
      </c>
    </row>
    <row r="8652" spans="1:12">
      <c r="A8652" t="s">
        <v>25617</v>
      </c>
      <c r="B8652" t="s">
        <v>25618</v>
      </c>
      <c r="C8652" t="s">
        <v>25639</v>
      </c>
      <c r="D8652" t="s">
        <v>25620</v>
      </c>
      <c r="E8652" t="s">
        <v>25640</v>
      </c>
      <c r="F8652" t="s">
        <v>25641</v>
      </c>
      <c r="J8652" t="s">
        <v>25640</v>
      </c>
      <c r="K8652" t="s">
        <v>25625</v>
      </c>
      <c r="L8652" t="s">
        <v>1389</v>
      </c>
    </row>
    <row r="8653" spans="1:12">
      <c r="A8653" t="s">
        <v>25617</v>
      </c>
      <c r="B8653" t="s">
        <v>25618</v>
      </c>
      <c r="C8653" t="s">
        <v>25642</v>
      </c>
      <c r="D8653" t="s">
        <v>25620</v>
      </c>
      <c r="E8653" t="s">
        <v>10603</v>
      </c>
      <c r="F8653" t="s">
        <v>25643</v>
      </c>
    </row>
    <row r="8654" spans="1:12">
      <c r="A8654" t="s">
        <v>25617</v>
      </c>
      <c r="B8654" t="s">
        <v>25618</v>
      </c>
      <c r="C8654" t="s">
        <v>25644</v>
      </c>
      <c r="D8654" t="s">
        <v>25620</v>
      </c>
      <c r="E8654" t="s">
        <v>4930</v>
      </c>
      <c r="F8654" t="s">
        <v>25645</v>
      </c>
      <c r="J8654" t="s">
        <v>4930</v>
      </c>
      <c r="K8654" t="s">
        <v>25625</v>
      </c>
      <c r="L8654" t="s">
        <v>1389</v>
      </c>
    </row>
    <row r="8655" spans="1:12">
      <c r="A8655" t="s">
        <v>25617</v>
      </c>
      <c r="B8655" t="s">
        <v>25618</v>
      </c>
      <c r="C8655" t="s">
        <v>25646</v>
      </c>
      <c r="D8655" t="s">
        <v>25620</v>
      </c>
      <c r="E8655" t="s">
        <v>25647</v>
      </c>
      <c r="F8655" t="s">
        <v>25648</v>
      </c>
      <c r="J8655" t="s">
        <v>25647</v>
      </c>
      <c r="K8655" t="s">
        <v>25625</v>
      </c>
      <c r="L8655" t="s">
        <v>1389</v>
      </c>
    </row>
    <row r="8656" spans="1:12">
      <c r="A8656" t="s">
        <v>25617</v>
      </c>
      <c r="B8656" t="s">
        <v>25618</v>
      </c>
      <c r="C8656" t="s">
        <v>25649</v>
      </c>
      <c r="D8656" t="s">
        <v>25620</v>
      </c>
      <c r="E8656" t="s">
        <v>25650</v>
      </c>
      <c r="F8656" t="s">
        <v>25651</v>
      </c>
    </row>
    <row r="8657" spans="1:12">
      <c r="A8657" t="s">
        <v>25617</v>
      </c>
      <c r="B8657" t="s">
        <v>25618</v>
      </c>
      <c r="C8657" t="s">
        <v>25652</v>
      </c>
      <c r="D8657" t="s">
        <v>25620</v>
      </c>
      <c r="E8657" t="s">
        <v>24888</v>
      </c>
      <c r="F8657" t="s">
        <v>25653</v>
      </c>
    </row>
    <row r="8658" spans="1:12">
      <c r="A8658" t="s">
        <v>25617</v>
      </c>
      <c r="B8658" t="s">
        <v>25618</v>
      </c>
      <c r="C8658" t="s">
        <v>25654</v>
      </c>
      <c r="D8658" t="s">
        <v>25620</v>
      </c>
      <c r="E8658" t="s">
        <v>948</v>
      </c>
      <c r="F8658" t="s">
        <v>25655</v>
      </c>
      <c r="J8658" t="s">
        <v>948</v>
      </c>
      <c r="K8658" t="s">
        <v>25625</v>
      </c>
      <c r="L8658" t="s">
        <v>1389</v>
      </c>
    </row>
    <row r="8659" spans="1:12">
      <c r="A8659" t="s">
        <v>25617</v>
      </c>
      <c r="B8659" t="s">
        <v>25618</v>
      </c>
      <c r="C8659" t="s">
        <v>25656</v>
      </c>
      <c r="D8659" t="s">
        <v>25620</v>
      </c>
      <c r="E8659" t="s">
        <v>25657</v>
      </c>
      <c r="F8659" t="s">
        <v>25658</v>
      </c>
    </row>
    <row r="8660" spans="1:12">
      <c r="A8660" t="s">
        <v>25617</v>
      </c>
      <c r="B8660" t="s">
        <v>25618</v>
      </c>
      <c r="C8660" t="s">
        <v>25659</v>
      </c>
      <c r="D8660" t="s">
        <v>25620</v>
      </c>
      <c r="E8660" t="s">
        <v>25660</v>
      </c>
      <c r="F8660" t="s">
        <v>25661</v>
      </c>
      <c r="J8660" t="s">
        <v>25660</v>
      </c>
      <c r="K8660" t="s">
        <v>25625</v>
      </c>
      <c r="L8660" t="s">
        <v>1389</v>
      </c>
    </row>
    <row r="8661" spans="1:12">
      <c r="A8661" t="s">
        <v>25617</v>
      </c>
      <c r="B8661" t="s">
        <v>25618</v>
      </c>
      <c r="C8661" t="s">
        <v>25662</v>
      </c>
      <c r="D8661" t="s">
        <v>25620</v>
      </c>
      <c r="E8661" t="s">
        <v>25663</v>
      </c>
      <c r="F8661" t="s">
        <v>25664</v>
      </c>
      <c r="J8661" t="s">
        <v>25663</v>
      </c>
      <c r="K8661" t="s">
        <v>25625</v>
      </c>
      <c r="L8661" t="s">
        <v>1389</v>
      </c>
    </row>
    <row r="8662" spans="1:12">
      <c r="A8662" t="s">
        <v>25617</v>
      </c>
      <c r="B8662" t="s">
        <v>25618</v>
      </c>
      <c r="C8662" t="s">
        <v>25665</v>
      </c>
      <c r="D8662" t="s">
        <v>25620</v>
      </c>
      <c r="E8662" t="s">
        <v>829</v>
      </c>
      <c r="F8662" t="s">
        <v>25666</v>
      </c>
    </row>
    <row r="8663" spans="1:12">
      <c r="A8663" t="s">
        <v>25617</v>
      </c>
      <c r="B8663" t="s">
        <v>25618</v>
      </c>
      <c r="C8663" t="s">
        <v>25667</v>
      </c>
      <c r="D8663" t="s">
        <v>25620</v>
      </c>
      <c r="E8663" t="s">
        <v>25668</v>
      </c>
      <c r="F8663" t="s">
        <v>25669</v>
      </c>
    </row>
    <row r="8664" spans="1:12">
      <c r="A8664" t="s">
        <v>25617</v>
      </c>
      <c r="B8664" t="s">
        <v>25618</v>
      </c>
      <c r="C8664" t="s">
        <v>25670</v>
      </c>
      <c r="D8664" t="s">
        <v>25620</v>
      </c>
      <c r="E8664" t="s">
        <v>22952</v>
      </c>
      <c r="F8664" t="s">
        <v>25671</v>
      </c>
      <c r="J8664" t="s">
        <v>22952</v>
      </c>
      <c r="K8664" t="s">
        <v>25625</v>
      </c>
      <c r="L8664" t="s">
        <v>1389</v>
      </c>
    </row>
    <row r="8665" spans="1:12">
      <c r="A8665" t="s">
        <v>25617</v>
      </c>
      <c r="B8665" t="s">
        <v>25618</v>
      </c>
      <c r="C8665" t="s">
        <v>25672</v>
      </c>
      <c r="D8665" t="s">
        <v>25620</v>
      </c>
      <c r="E8665" t="s">
        <v>25673</v>
      </c>
      <c r="F8665" t="s">
        <v>25674</v>
      </c>
      <c r="J8665" t="s">
        <v>25673</v>
      </c>
      <c r="K8665" t="s">
        <v>25625</v>
      </c>
      <c r="L8665" t="s">
        <v>1389</v>
      </c>
    </row>
    <row r="8666" spans="1:12">
      <c r="A8666" t="s">
        <v>25617</v>
      </c>
      <c r="B8666" t="s">
        <v>25618</v>
      </c>
      <c r="C8666" t="s">
        <v>25675</v>
      </c>
      <c r="D8666" t="s">
        <v>25620</v>
      </c>
      <c r="E8666" t="s">
        <v>12572</v>
      </c>
      <c r="F8666" t="s">
        <v>25676</v>
      </c>
      <c r="J8666" t="s">
        <v>12572</v>
      </c>
      <c r="K8666" t="s">
        <v>25625</v>
      </c>
      <c r="L8666" t="s">
        <v>1389</v>
      </c>
    </row>
    <row r="8667" spans="1:12">
      <c r="A8667" t="s">
        <v>25617</v>
      </c>
      <c r="B8667" t="s">
        <v>25618</v>
      </c>
      <c r="C8667" t="s">
        <v>25677</v>
      </c>
      <c r="D8667" t="s">
        <v>25620</v>
      </c>
      <c r="E8667" t="s">
        <v>25678</v>
      </c>
      <c r="F8667" t="s">
        <v>25679</v>
      </c>
    </row>
    <row r="8668" spans="1:12">
      <c r="A8668" t="s">
        <v>25617</v>
      </c>
      <c r="B8668" t="s">
        <v>25618</v>
      </c>
      <c r="C8668" t="s">
        <v>25680</v>
      </c>
      <c r="D8668" t="s">
        <v>25620</v>
      </c>
      <c r="E8668" t="s">
        <v>11172</v>
      </c>
      <c r="F8668" t="s">
        <v>25681</v>
      </c>
    </row>
    <row r="8669" spans="1:12">
      <c r="A8669" t="s">
        <v>25617</v>
      </c>
      <c r="B8669" t="s">
        <v>25618</v>
      </c>
      <c r="C8669" t="s">
        <v>25682</v>
      </c>
      <c r="D8669" t="s">
        <v>25620</v>
      </c>
      <c r="E8669" t="s">
        <v>16961</v>
      </c>
      <c r="F8669" t="s">
        <v>25683</v>
      </c>
    </row>
    <row r="8670" spans="1:12">
      <c r="A8670" t="s">
        <v>25617</v>
      </c>
      <c r="B8670" t="s">
        <v>25618</v>
      </c>
      <c r="C8670" t="s">
        <v>25684</v>
      </c>
      <c r="D8670" t="s">
        <v>25620</v>
      </c>
      <c r="E8670" t="s">
        <v>17137</v>
      </c>
      <c r="F8670" t="s">
        <v>25685</v>
      </c>
      <c r="J8670" t="s">
        <v>17137</v>
      </c>
      <c r="K8670" t="s">
        <v>25625</v>
      </c>
      <c r="L8670" t="s">
        <v>1389</v>
      </c>
    </row>
    <row r="8671" spans="1:12">
      <c r="A8671" t="s">
        <v>25617</v>
      </c>
      <c r="B8671" t="s">
        <v>25618</v>
      </c>
      <c r="C8671" t="s">
        <v>25686</v>
      </c>
      <c r="D8671" t="s">
        <v>25620</v>
      </c>
      <c r="E8671" t="s">
        <v>25687</v>
      </c>
      <c r="F8671" t="s">
        <v>3614</v>
      </c>
      <c r="J8671" t="s">
        <v>25687</v>
      </c>
      <c r="K8671" t="s">
        <v>25625</v>
      </c>
      <c r="L8671" t="s">
        <v>1389</v>
      </c>
    </row>
    <row r="8672" spans="1:12">
      <c r="A8672" t="s">
        <v>25617</v>
      </c>
      <c r="B8672" t="s">
        <v>25618</v>
      </c>
      <c r="C8672" t="s">
        <v>25688</v>
      </c>
      <c r="D8672" t="s">
        <v>25620</v>
      </c>
      <c r="E8672" t="s">
        <v>25689</v>
      </c>
      <c r="F8672" t="s">
        <v>25690</v>
      </c>
      <c r="J8672" t="s">
        <v>25689</v>
      </c>
      <c r="K8672" t="s">
        <v>25625</v>
      </c>
      <c r="L8672" t="s">
        <v>1389</v>
      </c>
    </row>
    <row r="8673" spans="1:12">
      <c r="A8673" t="s">
        <v>25617</v>
      </c>
      <c r="B8673" t="s">
        <v>25618</v>
      </c>
      <c r="C8673" t="s">
        <v>25691</v>
      </c>
      <c r="D8673" t="s">
        <v>25620</v>
      </c>
      <c r="E8673" t="s">
        <v>6423</v>
      </c>
      <c r="F8673" t="s">
        <v>25692</v>
      </c>
    </row>
    <row r="8674" spans="1:12">
      <c r="A8674" t="s">
        <v>25617</v>
      </c>
      <c r="B8674" t="s">
        <v>25618</v>
      </c>
      <c r="C8674" t="s">
        <v>25693</v>
      </c>
      <c r="D8674" t="s">
        <v>25620</v>
      </c>
      <c r="E8674" t="s">
        <v>13497</v>
      </c>
      <c r="F8674" t="s">
        <v>25694</v>
      </c>
      <c r="J8674" t="s">
        <v>13497</v>
      </c>
      <c r="K8674" t="s">
        <v>25625</v>
      </c>
      <c r="L8674" t="s">
        <v>1389</v>
      </c>
    </row>
    <row r="8675" spans="1:12">
      <c r="A8675" t="s">
        <v>25617</v>
      </c>
      <c r="B8675" t="s">
        <v>25618</v>
      </c>
      <c r="C8675" t="s">
        <v>25695</v>
      </c>
      <c r="D8675" t="s">
        <v>25620</v>
      </c>
      <c r="E8675" t="s">
        <v>25696</v>
      </c>
      <c r="F8675" t="s">
        <v>25697</v>
      </c>
    </row>
    <row r="8676" spans="1:12">
      <c r="A8676" t="s">
        <v>25617</v>
      </c>
      <c r="B8676" t="s">
        <v>25618</v>
      </c>
      <c r="C8676" t="s">
        <v>25698</v>
      </c>
      <c r="D8676" t="s">
        <v>25620</v>
      </c>
      <c r="E8676" t="s">
        <v>18157</v>
      </c>
      <c r="F8676" t="s">
        <v>25699</v>
      </c>
      <c r="J8676" t="s">
        <v>18157</v>
      </c>
      <c r="K8676" t="s">
        <v>25625</v>
      </c>
      <c r="L8676" t="s">
        <v>1389</v>
      </c>
    </row>
    <row r="8677" spans="1:12">
      <c r="A8677" t="s">
        <v>25617</v>
      </c>
      <c r="B8677" t="s">
        <v>25618</v>
      </c>
      <c r="C8677" t="s">
        <v>25700</v>
      </c>
      <c r="D8677" t="s">
        <v>25620</v>
      </c>
      <c r="E8677" t="s">
        <v>18181</v>
      </c>
      <c r="F8677" t="s">
        <v>25701</v>
      </c>
      <c r="J8677" t="s">
        <v>18181</v>
      </c>
      <c r="K8677" t="s">
        <v>25625</v>
      </c>
      <c r="L8677" t="s">
        <v>1389</v>
      </c>
    </row>
    <row r="8678" spans="1:12">
      <c r="A8678" t="s">
        <v>25617</v>
      </c>
      <c r="B8678" t="s">
        <v>25618</v>
      </c>
      <c r="C8678" t="s">
        <v>25702</v>
      </c>
      <c r="D8678" t="s">
        <v>25620</v>
      </c>
      <c r="E8678" t="s">
        <v>14339</v>
      </c>
      <c r="F8678" t="s">
        <v>25703</v>
      </c>
    </row>
    <row r="8679" spans="1:12">
      <c r="A8679" t="s">
        <v>25617</v>
      </c>
      <c r="B8679" t="s">
        <v>25618</v>
      </c>
      <c r="C8679" t="s">
        <v>25704</v>
      </c>
      <c r="D8679" t="s">
        <v>25620</v>
      </c>
      <c r="E8679" t="s">
        <v>25705</v>
      </c>
      <c r="F8679" t="s">
        <v>25706</v>
      </c>
      <c r="J8679" t="s">
        <v>25705</v>
      </c>
      <c r="K8679" t="s">
        <v>25625</v>
      </c>
      <c r="L8679" t="s">
        <v>1389</v>
      </c>
    </row>
    <row r="8680" spans="1:12">
      <c r="A8680" t="s">
        <v>25617</v>
      </c>
      <c r="B8680" t="s">
        <v>25618</v>
      </c>
      <c r="C8680" t="s">
        <v>25707</v>
      </c>
      <c r="D8680" t="s">
        <v>25620</v>
      </c>
      <c r="E8680" t="s">
        <v>25708</v>
      </c>
      <c r="F8680" t="s">
        <v>25709</v>
      </c>
      <c r="J8680" t="s">
        <v>25708</v>
      </c>
      <c r="K8680" t="s">
        <v>25625</v>
      </c>
      <c r="L8680" t="s">
        <v>1389</v>
      </c>
    </row>
    <row r="8681" spans="1:12">
      <c r="A8681" t="s">
        <v>25617</v>
      </c>
      <c r="B8681" t="s">
        <v>25618</v>
      </c>
      <c r="C8681" t="s">
        <v>25710</v>
      </c>
      <c r="D8681" t="s">
        <v>25620</v>
      </c>
      <c r="E8681" t="s">
        <v>2406</v>
      </c>
      <c r="F8681" t="s">
        <v>25711</v>
      </c>
    </row>
    <row r="8682" spans="1:12">
      <c r="A8682" t="s">
        <v>25617</v>
      </c>
      <c r="B8682" t="s">
        <v>25618</v>
      </c>
      <c r="C8682" t="s">
        <v>25712</v>
      </c>
      <c r="D8682" t="s">
        <v>25620</v>
      </c>
      <c r="E8682" t="s">
        <v>15202</v>
      </c>
      <c r="F8682" t="s">
        <v>25713</v>
      </c>
    </row>
    <row r="8683" spans="1:12">
      <c r="A8683" t="s">
        <v>25617</v>
      </c>
      <c r="B8683" t="s">
        <v>25618</v>
      </c>
      <c r="C8683" t="s">
        <v>25714</v>
      </c>
      <c r="D8683" t="s">
        <v>25620</v>
      </c>
      <c r="E8683" t="s">
        <v>25715</v>
      </c>
      <c r="F8683" t="s">
        <v>25624</v>
      </c>
      <c r="J8683" t="s">
        <v>25715</v>
      </c>
      <c r="K8683" t="s">
        <v>25625</v>
      </c>
      <c r="L8683" t="s">
        <v>1389</v>
      </c>
    </row>
    <row r="8684" spans="1:12">
      <c r="A8684" t="s">
        <v>25617</v>
      </c>
      <c r="B8684" t="s">
        <v>25618</v>
      </c>
      <c r="C8684" t="s">
        <v>25716</v>
      </c>
      <c r="D8684" t="s">
        <v>25620</v>
      </c>
      <c r="E8684" t="s">
        <v>25717</v>
      </c>
      <c r="F8684" t="s">
        <v>25718</v>
      </c>
    </row>
    <row r="8685" spans="1:12">
      <c r="A8685" t="s">
        <v>25617</v>
      </c>
      <c r="B8685" t="s">
        <v>25618</v>
      </c>
      <c r="C8685" t="s">
        <v>25719</v>
      </c>
      <c r="D8685" t="s">
        <v>25620</v>
      </c>
      <c r="E8685" t="s">
        <v>3305</v>
      </c>
      <c r="F8685" t="s">
        <v>25720</v>
      </c>
      <c r="J8685" t="s">
        <v>3305</v>
      </c>
      <c r="K8685" t="s">
        <v>25625</v>
      </c>
      <c r="L8685" t="s">
        <v>1389</v>
      </c>
    </row>
    <row r="8686" spans="1:12">
      <c r="A8686" t="s">
        <v>25617</v>
      </c>
      <c r="B8686" t="s">
        <v>25618</v>
      </c>
      <c r="C8686" t="s">
        <v>25721</v>
      </c>
      <c r="D8686" t="s">
        <v>25620</v>
      </c>
      <c r="E8686" t="s">
        <v>19074</v>
      </c>
      <c r="F8686" t="s">
        <v>25722</v>
      </c>
      <c r="J8686" t="s">
        <v>19074</v>
      </c>
      <c r="K8686" t="s">
        <v>25625</v>
      </c>
      <c r="L8686" t="s">
        <v>1389</v>
      </c>
    </row>
    <row r="8687" spans="1:12">
      <c r="A8687" t="s">
        <v>25617</v>
      </c>
      <c r="B8687" t="s">
        <v>25618</v>
      </c>
      <c r="C8687" t="s">
        <v>25723</v>
      </c>
      <c r="D8687" t="s">
        <v>25620</v>
      </c>
      <c r="E8687" t="s">
        <v>19133</v>
      </c>
      <c r="F8687" t="s">
        <v>25724</v>
      </c>
      <c r="J8687" t="s">
        <v>19133</v>
      </c>
      <c r="K8687" t="s">
        <v>25625</v>
      </c>
      <c r="L8687" t="s">
        <v>1389</v>
      </c>
    </row>
    <row r="8688" spans="1:12">
      <c r="A8688" t="s">
        <v>25617</v>
      </c>
      <c r="B8688" t="s">
        <v>25618</v>
      </c>
      <c r="C8688" t="s">
        <v>25725</v>
      </c>
      <c r="D8688" t="s">
        <v>25620</v>
      </c>
      <c r="E8688" t="s">
        <v>25726</v>
      </c>
      <c r="F8688" t="s">
        <v>25727</v>
      </c>
    </row>
    <row r="8689" spans="1:12">
      <c r="A8689" t="s">
        <v>25617</v>
      </c>
      <c r="B8689" t="s">
        <v>25618</v>
      </c>
      <c r="C8689" t="s">
        <v>25728</v>
      </c>
      <c r="D8689" t="s">
        <v>25620</v>
      </c>
      <c r="E8689" t="s">
        <v>25729</v>
      </c>
      <c r="F8689" t="s">
        <v>25730</v>
      </c>
      <c r="J8689" t="s">
        <v>25729</v>
      </c>
      <c r="K8689" t="s">
        <v>25625</v>
      </c>
      <c r="L8689" t="s">
        <v>1389</v>
      </c>
    </row>
    <row r="8690" spans="1:12">
      <c r="A8690" t="s">
        <v>25617</v>
      </c>
      <c r="B8690" t="s">
        <v>25618</v>
      </c>
      <c r="C8690" t="s">
        <v>25731</v>
      </c>
      <c r="D8690" t="s">
        <v>25620</v>
      </c>
      <c r="E8690" t="s">
        <v>25732</v>
      </c>
      <c r="F8690" t="s">
        <v>25733</v>
      </c>
      <c r="J8690" t="s">
        <v>25732</v>
      </c>
      <c r="K8690" t="s">
        <v>25625</v>
      </c>
      <c r="L8690" t="s">
        <v>1389</v>
      </c>
    </row>
    <row r="8691" spans="1:12">
      <c r="A8691" t="s">
        <v>25617</v>
      </c>
      <c r="B8691" t="s">
        <v>25618</v>
      </c>
      <c r="C8691" t="s">
        <v>25734</v>
      </c>
      <c r="D8691" t="s">
        <v>25620</v>
      </c>
      <c r="E8691" t="s">
        <v>25735</v>
      </c>
      <c r="F8691" t="s">
        <v>25736</v>
      </c>
      <c r="J8691" t="s">
        <v>25735</v>
      </c>
      <c r="K8691" t="s">
        <v>25625</v>
      </c>
      <c r="L8691" t="s">
        <v>1389</v>
      </c>
    </row>
    <row r="8692" spans="1:12">
      <c r="A8692" t="s">
        <v>25617</v>
      </c>
      <c r="B8692" t="s">
        <v>25618</v>
      </c>
      <c r="C8692" t="s">
        <v>25737</v>
      </c>
      <c r="D8692" t="s">
        <v>25620</v>
      </c>
      <c r="E8692" t="s">
        <v>19680</v>
      </c>
      <c r="F8692" t="s">
        <v>25738</v>
      </c>
      <c r="J8692" t="s">
        <v>19680</v>
      </c>
      <c r="K8692" t="s">
        <v>25625</v>
      </c>
      <c r="L8692" t="s">
        <v>1389</v>
      </c>
    </row>
    <row r="8693" spans="1:12">
      <c r="A8693" t="s">
        <v>25617</v>
      </c>
      <c r="B8693" t="s">
        <v>25618</v>
      </c>
      <c r="C8693" t="s">
        <v>25739</v>
      </c>
      <c r="D8693" t="s">
        <v>25620</v>
      </c>
      <c r="E8693" t="s">
        <v>19991</v>
      </c>
      <c r="F8693" t="s">
        <v>25740</v>
      </c>
    </row>
    <row r="8694" spans="1:12">
      <c r="A8694" t="s">
        <v>25617</v>
      </c>
      <c r="B8694" t="s">
        <v>25618</v>
      </c>
      <c r="C8694" t="s">
        <v>25741</v>
      </c>
      <c r="D8694" t="s">
        <v>25620</v>
      </c>
      <c r="E8694" t="s">
        <v>25742</v>
      </c>
      <c r="F8694" t="s">
        <v>25743</v>
      </c>
    </row>
    <row r="8695" spans="1:12">
      <c r="A8695" t="s">
        <v>25617</v>
      </c>
      <c r="B8695" t="s">
        <v>25618</v>
      </c>
      <c r="C8695" t="s">
        <v>25744</v>
      </c>
      <c r="D8695" t="s">
        <v>25620</v>
      </c>
      <c r="E8695" t="s">
        <v>2703</v>
      </c>
      <c r="F8695" t="s">
        <v>25745</v>
      </c>
    </row>
    <row r="8696" spans="1:12">
      <c r="A8696" t="s">
        <v>25617</v>
      </c>
      <c r="B8696" t="s">
        <v>25618</v>
      </c>
      <c r="C8696" t="s">
        <v>25746</v>
      </c>
      <c r="D8696" t="s">
        <v>25620</v>
      </c>
      <c r="E8696" t="s">
        <v>25747</v>
      </c>
      <c r="F8696" t="s">
        <v>25748</v>
      </c>
    </row>
    <row r="8697" spans="1:12">
      <c r="A8697" t="s">
        <v>25617</v>
      </c>
      <c r="B8697" t="s">
        <v>25618</v>
      </c>
      <c r="C8697" t="s">
        <v>25749</v>
      </c>
      <c r="D8697" t="s">
        <v>25620</v>
      </c>
      <c r="E8697" t="s">
        <v>6972</v>
      </c>
      <c r="F8697" t="s">
        <v>25750</v>
      </c>
    </row>
    <row r="8698" spans="1:12">
      <c r="A8698" t="s">
        <v>25617</v>
      </c>
      <c r="B8698" t="s">
        <v>25618</v>
      </c>
      <c r="C8698" t="s">
        <v>25751</v>
      </c>
      <c r="D8698" t="s">
        <v>25620</v>
      </c>
      <c r="E8698" t="s">
        <v>2759</v>
      </c>
      <c r="F8698" t="s">
        <v>25752</v>
      </c>
      <c r="J8698" t="s">
        <v>2759</v>
      </c>
      <c r="K8698" t="s">
        <v>25625</v>
      </c>
      <c r="L8698" t="s">
        <v>1389</v>
      </c>
    </row>
    <row r="8699" spans="1:12">
      <c r="A8699" t="s">
        <v>25617</v>
      </c>
      <c r="B8699" t="s">
        <v>25618</v>
      </c>
      <c r="C8699" t="s">
        <v>25753</v>
      </c>
      <c r="D8699" t="s">
        <v>25620</v>
      </c>
      <c r="E8699" t="s">
        <v>25754</v>
      </c>
      <c r="F8699" t="s">
        <v>25755</v>
      </c>
      <c r="J8699" t="s">
        <v>25754</v>
      </c>
      <c r="K8699" t="s">
        <v>25625</v>
      </c>
      <c r="L8699" t="s">
        <v>1389</v>
      </c>
    </row>
    <row r="8700" spans="1:12">
      <c r="A8700" t="s">
        <v>25617</v>
      </c>
      <c r="B8700" t="s">
        <v>25618</v>
      </c>
      <c r="C8700" t="s">
        <v>25756</v>
      </c>
      <c r="D8700" t="s">
        <v>25620</v>
      </c>
      <c r="E8700" t="s">
        <v>25757</v>
      </c>
      <c r="F8700" t="s">
        <v>25758</v>
      </c>
    </row>
    <row r="8701" spans="1:12">
      <c r="A8701" t="s">
        <v>25617</v>
      </c>
      <c r="B8701" t="s">
        <v>25618</v>
      </c>
      <c r="C8701" t="s">
        <v>25759</v>
      </c>
      <c r="D8701" t="s">
        <v>25620</v>
      </c>
      <c r="E8701" t="s">
        <v>10800</v>
      </c>
      <c r="F8701" t="s">
        <v>25760</v>
      </c>
      <c r="J8701" t="s">
        <v>10800</v>
      </c>
      <c r="K8701" t="s">
        <v>25625</v>
      </c>
      <c r="L8701" t="s">
        <v>1389</v>
      </c>
    </row>
    <row r="8702" spans="1:12">
      <c r="A8702" t="s">
        <v>25617</v>
      </c>
      <c r="B8702" t="s">
        <v>25618</v>
      </c>
      <c r="C8702" t="s">
        <v>25761</v>
      </c>
      <c r="D8702" t="s">
        <v>25620</v>
      </c>
      <c r="E8702" t="s">
        <v>25762</v>
      </c>
      <c r="F8702" t="s">
        <v>25763</v>
      </c>
      <c r="J8702" t="s">
        <v>25762</v>
      </c>
      <c r="K8702" t="s">
        <v>25625</v>
      </c>
      <c r="L8702" t="s">
        <v>1389</v>
      </c>
    </row>
    <row r="8703" spans="1:12">
      <c r="A8703" t="s">
        <v>25617</v>
      </c>
      <c r="B8703" t="s">
        <v>25618</v>
      </c>
      <c r="C8703" t="s">
        <v>25764</v>
      </c>
      <c r="D8703" t="s">
        <v>25620</v>
      </c>
      <c r="E8703" t="s">
        <v>25765</v>
      </c>
      <c r="F8703" t="s">
        <v>25766</v>
      </c>
      <c r="J8703" t="s">
        <v>25765</v>
      </c>
      <c r="K8703" t="s">
        <v>25625</v>
      </c>
      <c r="L8703" t="s">
        <v>1389</v>
      </c>
    </row>
    <row r="8704" spans="1:12">
      <c r="A8704" t="s">
        <v>25617</v>
      </c>
      <c r="B8704" t="s">
        <v>25618</v>
      </c>
      <c r="C8704" t="s">
        <v>25767</v>
      </c>
      <c r="D8704" t="s">
        <v>25620</v>
      </c>
      <c r="E8704" t="s">
        <v>20988</v>
      </c>
      <c r="F8704" t="s">
        <v>25768</v>
      </c>
      <c r="J8704" t="s">
        <v>20988</v>
      </c>
      <c r="K8704" t="s">
        <v>25625</v>
      </c>
      <c r="L8704" t="s">
        <v>1389</v>
      </c>
    </row>
    <row r="8705" spans="1:12">
      <c r="A8705" t="s">
        <v>25617</v>
      </c>
      <c r="B8705" t="s">
        <v>25618</v>
      </c>
      <c r="C8705" t="s">
        <v>25769</v>
      </c>
      <c r="D8705" t="s">
        <v>25620</v>
      </c>
      <c r="E8705" t="s">
        <v>15652</v>
      </c>
      <c r="F8705" t="s">
        <v>25770</v>
      </c>
      <c r="J8705" t="s">
        <v>15652</v>
      </c>
      <c r="K8705" t="s">
        <v>25625</v>
      </c>
      <c r="L8705" t="s">
        <v>1389</v>
      </c>
    </row>
    <row r="8706" spans="1:12">
      <c r="A8706" t="s">
        <v>25617</v>
      </c>
      <c r="B8706" t="s">
        <v>25618</v>
      </c>
      <c r="C8706" t="s">
        <v>25771</v>
      </c>
      <c r="D8706" t="s">
        <v>25620</v>
      </c>
      <c r="E8706" t="s">
        <v>25772</v>
      </c>
      <c r="F8706" t="s">
        <v>25773</v>
      </c>
      <c r="J8706" t="s">
        <v>25772</v>
      </c>
      <c r="K8706" t="s">
        <v>25625</v>
      </c>
      <c r="L8706" t="s">
        <v>1389</v>
      </c>
    </row>
    <row r="8707" spans="1:12">
      <c r="A8707" t="s">
        <v>25617</v>
      </c>
      <c r="B8707" t="s">
        <v>25618</v>
      </c>
      <c r="C8707" t="s">
        <v>25774</v>
      </c>
      <c r="D8707" t="s">
        <v>25620</v>
      </c>
      <c r="E8707" t="s">
        <v>21122</v>
      </c>
      <c r="F8707" t="s">
        <v>25775</v>
      </c>
      <c r="J8707" t="s">
        <v>21122</v>
      </c>
      <c r="K8707" t="s">
        <v>25625</v>
      </c>
      <c r="L8707" t="s">
        <v>1389</v>
      </c>
    </row>
    <row r="8708" spans="1:12">
      <c r="A8708" t="s">
        <v>25617</v>
      </c>
      <c r="B8708" t="s">
        <v>25618</v>
      </c>
      <c r="C8708" t="s">
        <v>25776</v>
      </c>
      <c r="D8708" t="s">
        <v>25620</v>
      </c>
      <c r="E8708" t="s">
        <v>21168</v>
      </c>
      <c r="F8708" t="s">
        <v>25777</v>
      </c>
      <c r="J8708" t="s">
        <v>21168</v>
      </c>
      <c r="K8708" t="s">
        <v>25625</v>
      </c>
      <c r="L8708" t="s">
        <v>1389</v>
      </c>
    </row>
    <row r="8709" spans="1:12">
      <c r="A8709" t="s">
        <v>25617</v>
      </c>
      <c r="B8709" t="s">
        <v>25618</v>
      </c>
      <c r="C8709" t="s">
        <v>25778</v>
      </c>
      <c r="D8709" t="s">
        <v>25620</v>
      </c>
      <c r="E8709" t="s">
        <v>10040</v>
      </c>
      <c r="F8709" t="s">
        <v>25779</v>
      </c>
      <c r="J8709" t="s">
        <v>10040</v>
      </c>
      <c r="K8709" t="s">
        <v>25625</v>
      </c>
      <c r="L8709" t="s">
        <v>1389</v>
      </c>
    </row>
    <row r="8710" spans="1:12">
      <c r="A8710" t="s">
        <v>25617</v>
      </c>
      <c r="B8710" t="s">
        <v>25618</v>
      </c>
      <c r="C8710" t="s">
        <v>25780</v>
      </c>
      <c r="D8710" t="s">
        <v>25620</v>
      </c>
      <c r="E8710" t="s">
        <v>25781</v>
      </c>
      <c r="F8710" t="s">
        <v>25782</v>
      </c>
      <c r="J8710" t="s">
        <v>25781</v>
      </c>
      <c r="K8710" t="s">
        <v>25625</v>
      </c>
      <c r="L8710" t="s">
        <v>1389</v>
      </c>
    </row>
    <row r="8711" spans="1:12">
      <c r="A8711" t="s">
        <v>25617</v>
      </c>
      <c r="B8711" t="s">
        <v>25618</v>
      </c>
      <c r="C8711" t="s">
        <v>25783</v>
      </c>
      <c r="D8711" t="s">
        <v>25620</v>
      </c>
      <c r="E8711" t="s">
        <v>10105</v>
      </c>
      <c r="F8711" t="s">
        <v>25784</v>
      </c>
      <c r="J8711" t="s">
        <v>10105</v>
      </c>
      <c r="K8711" t="s">
        <v>25625</v>
      </c>
      <c r="L8711" t="s">
        <v>1389</v>
      </c>
    </row>
    <row r="8712" spans="1:12">
      <c r="A8712" t="s">
        <v>25617</v>
      </c>
      <c r="B8712" t="s">
        <v>25618</v>
      </c>
      <c r="C8712" t="s">
        <v>25785</v>
      </c>
      <c r="D8712" t="s">
        <v>25620</v>
      </c>
      <c r="E8712" t="s">
        <v>5341</v>
      </c>
      <c r="F8712" t="s">
        <v>25786</v>
      </c>
    </row>
    <row r="8713" spans="1:12">
      <c r="A8713" t="s">
        <v>25617</v>
      </c>
      <c r="B8713" t="s">
        <v>25618</v>
      </c>
      <c r="C8713" t="s">
        <v>25787</v>
      </c>
      <c r="D8713" t="s">
        <v>25620</v>
      </c>
      <c r="E8713" t="s">
        <v>3082</v>
      </c>
      <c r="F8713" t="s">
        <v>25788</v>
      </c>
    </row>
    <row r="8714" spans="1:12">
      <c r="A8714" t="s">
        <v>25617</v>
      </c>
      <c r="B8714" t="s">
        <v>25618</v>
      </c>
      <c r="C8714" t="s">
        <v>25789</v>
      </c>
      <c r="D8714" t="s">
        <v>25620</v>
      </c>
      <c r="E8714" t="s">
        <v>3100</v>
      </c>
      <c r="F8714" t="s">
        <v>25790</v>
      </c>
    </row>
    <row r="8715" spans="1:12">
      <c r="A8715" t="s">
        <v>25617</v>
      </c>
      <c r="B8715" t="s">
        <v>25618</v>
      </c>
      <c r="C8715" t="s">
        <v>25791</v>
      </c>
      <c r="D8715" t="s">
        <v>25620</v>
      </c>
      <c r="E8715" t="s">
        <v>25792</v>
      </c>
      <c r="F8715" t="s">
        <v>25793</v>
      </c>
    </row>
    <row r="8716" spans="1:12">
      <c r="A8716" t="s">
        <v>25617</v>
      </c>
      <c r="B8716" t="s">
        <v>25618</v>
      </c>
      <c r="C8716" t="s">
        <v>25794</v>
      </c>
      <c r="D8716" t="s">
        <v>25620</v>
      </c>
      <c r="E8716" t="s">
        <v>25795</v>
      </c>
      <c r="F8716" t="s">
        <v>25796</v>
      </c>
      <c r="J8716" t="s">
        <v>25795</v>
      </c>
      <c r="K8716" t="s">
        <v>25625</v>
      </c>
      <c r="L8716" t="s">
        <v>1389</v>
      </c>
    </row>
    <row r="8717" spans="1:12">
      <c r="A8717" t="s">
        <v>25617</v>
      </c>
      <c r="B8717" t="s">
        <v>25618</v>
      </c>
      <c r="C8717" t="s">
        <v>25797</v>
      </c>
      <c r="D8717" t="s">
        <v>25620</v>
      </c>
      <c r="E8717" t="s">
        <v>25798</v>
      </c>
      <c r="F8717" t="s">
        <v>25799</v>
      </c>
    </row>
    <row r="8718" spans="1:12">
      <c r="A8718" t="s">
        <v>25617</v>
      </c>
      <c r="B8718" t="s">
        <v>25618</v>
      </c>
      <c r="C8718" t="s">
        <v>25800</v>
      </c>
      <c r="D8718" t="s">
        <v>25620</v>
      </c>
      <c r="E8718" t="s">
        <v>25801</v>
      </c>
      <c r="F8718" t="s">
        <v>25802</v>
      </c>
      <c r="J8718" t="s">
        <v>25801</v>
      </c>
      <c r="K8718" t="s">
        <v>25625</v>
      </c>
      <c r="L8718" t="s">
        <v>1389</v>
      </c>
    </row>
    <row r="8719" spans="1:12">
      <c r="A8719" t="s">
        <v>25617</v>
      </c>
      <c r="B8719" t="s">
        <v>25618</v>
      </c>
      <c r="C8719" t="s">
        <v>25803</v>
      </c>
      <c r="D8719" t="s">
        <v>25620</v>
      </c>
      <c r="E8719" t="s">
        <v>25804</v>
      </c>
      <c r="F8719" t="s">
        <v>25805</v>
      </c>
    </row>
    <row r="8720" spans="1:12">
      <c r="A8720" t="s">
        <v>25617</v>
      </c>
      <c r="B8720" t="s">
        <v>25618</v>
      </c>
      <c r="C8720" t="s">
        <v>25806</v>
      </c>
      <c r="D8720" t="s">
        <v>25620</v>
      </c>
      <c r="E8720" t="s">
        <v>21686</v>
      </c>
      <c r="F8720" t="s">
        <v>25807</v>
      </c>
    </row>
    <row r="8721" spans="1:12">
      <c r="A8721" t="s">
        <v>25617</v>
      </c>
      <c r="B8721" t="s">
        <v>25618</v>
      </c>
      <c r="C8721" t="s">
        <v>25808</v>
      </c>
      <c r="D8721" t="s">
        <v>25620</v>
      </c>
      <c r="E8721" t="s">
        <v>25809</v>
      </c>
      <c r="F8721" t="s">
        <v>25810</v>
      </c>
      <c r="J8721" t="s">
        <v>25809</v>
      </c>
      <c r="K8721" t="s">
        <v>25625</v>
      </c>
      <c r="L8721" t="s">
        <v>1389</v>
      </c>
    </row>
    <row r="8722" spans="1:12">
      <c r="A8722" t="s">
        <v>25617</v>
      </c>
      <c r="B8722" t="s">
        <v>25618</v>
      </c>
      <c r="C8722" t="s">
        <v>25811</v>
      </c>
      <c r="D8722" t="s">
        <v>25620</v>
      </c>
      <c r="E8722" t="s">
        <v>25812</v>
      </c>
      <c r="F8722" t="s">
        <v>25813</v>
      </c>
      <c r="J8722" t="s">
        <v>25812</v>
      </c>
      <c r="K8722" t="s">
        <v>25625</v>
      </c>
      <c r="L8722" t="s">
        <v>1389</v>
      </c>
    </row>
    <row r="8723" spans="1:12">
      <c r="A8723" t="s">
        <v>25617</v>
      </c>
      <c r="B8723" t="s">
        <v>25618</v>
      </c>
      <c r="C8723" t="s">
        <v>25814</v>
      </c>
      <c r="D8723" t="s">
        <v>25620</v>
      </c>
      <c r="E8723" t="s">
        <v>25815</v>
      </c>
      <c r="F8723" t="s">
        <v>14868</v>
      </c>
      <c r="J8723" t="s">
        <v>25815</v>
      </c>
      <c r="K8723" t="s">
        <v>25625</v>
      </c>
      <c r="L8723" t="s">
        <v>1389</v>
      </c>
    </row>
    <row r="8724" spans="1:12">
      <c r="A8724" t="s">
        <v>25617</v>
      </c>
      <c r="B8724" t="s">
        <v>25618</v>
      </c>
      <c r="C8724" t="s">
        <v>25816</v>
      </c>
      <c r="D8724" t="s">
        <v>25620</v>
      </c>
      <c r="E8724" t="s">
        <v>25817</v>
      </c>
      <c r="F8724" t="s">
        <v>25818</v>
      </c>
    </row>
    <row r="8725" spans="1:12">
      <c r="A8725" t="s">
        <v>25617</v>
      </c>
      <c r="B8725" t="s">
        <v>25618</v>
      </c>
      <c r="C8725" t="s">
        <v>25819</v>
      </c>
      <c r="D8725" t="s">
        <v>25620</v>
      </c>
      <c r="E8725" t="s">
        <v>25097</v>
      </c>
      <c r="F8725" t="s">
        <v>25820</v>
      </c>
      <c r="J8725" t="s">
        <v>25097</v>
      </c>
      <c r="K8725" t="s">
        <v>25625</v>
      </c>
      <c r="L8725" t="s">
        <v>1389</v>
      </c>
    </row>
    <row r="8726" spans="1:12">
      <c r="A8726" t="s">
        <v>25617</v>
      </c>
      <c r="B8726" t="s">
        <v>25618</v>
      </c>
      <c r="C8726" t="s">
        <v>25821</v>
      </c>
      <c r="D8726" t="s">
        <v>25620</v>
      </c>
      <c r="E8726" t="s">
        <v>25822</v>
      </c>
      <c r="F8726" t="s">
        <v>25823</v>
      </c>
    </row>
    <row r="8727" spans="1:12">
      <c r="A8727" t="s">
        <v>25617</v>
      </c>
      <c r="B8727" t="s">
        <v>25618</v>
      </c>
      <c r="C8727" t="s">
        <v>25824</v>
      </c>
      <c r="D8727" t="s">
        <v>25620</v>
      </c>
      <c r="E8727" t="s">
        <v>25825</v>
      </c>
      <c r="F8727" t="s">
        <v>25826</v>
      </c>
      <c r="J8727" t="s">
        <v>25825</v>
      </c>
      <c r="K8727" t="s">
        <v>25625</v>
      </c>
      <c r="L8727" t="s">
        <v>1389</v>
      </c>
    </row>
    <row r="8728" spans="1:12">
      <c r="A8728" t="s">
        <v>25617</v>
      </c>
      <c r="B8728" t="s">
        <v>25618</v>
      </c>
      <c r="C8728" t="s">
        <v>25827</v>
      </c>
      <c r="D8728" t="s">
        <v>25620</v>
      </c>
      <c r="E8728" t="s">
        <v>655</v>
      </c>
      <c r="F8728" t="s">
        <v>656</v>
      </c>
    </row>
    <row r="8729" spans="1:12">
      <c r="A8729" t="s">
        <v>25617</v>
      </c>
      <c r="B8729" t="s">
        <v>25618</v>
      </c>
      <c r="D8729" t="s">
        <v>25620</v>
      </c>
      <c r="F8729" t="s">
        <v>25828</v>
      </c>
      <c r="J8729" t="s">
        <v>25829</v>
      </c>
      <c r="K8729" t="s">
        <v>25625</v>
      </c>
      <c r="L8729" t="s">
        <v>1389</v>
      </c>
    </row>
    <row r="8730" spans="1:12">
      <c r="A8730" t="s">
        <v>25617</v>
      </c>
      <c r="B8730" t="s">
        <v>25618</v>
      </c>
      <c r="D8730" t="s">
        <v>25620</v>
      </c>
      <c r="F8730" t="s">
        <v>25830</v>
      </c>
      <c r="J8730" t="s">
        <v>25831</v>
      </c>
      <c r="K8730" t="s">
        <v>25625</v>
      </c>
      <c r="L8730" t="s">
        <v>1389</v>
      </c>
    </row>
    <row r="8731" spans="1:12">
      <c r="A8731" t="s">
        <v>25832</v>
      </c>
      <c r="B8731" t="s">
        <v>25833</v>
      </c>
      <c r="C8731" t="s">
        <v>25834</v>
      </c>
      <c r="D8731" t="s">
        <v>25835</v>
      </c>
      <c r="E8731" t="s">
        <v>736</v>
      </c>
      <c r="F8731" t="s">
        <v>25836</v>
      </c>
    </row>
    <row r="8732" spans="1:12">
      <c r="A8732" t="s">
        <v>25832</v>
      </c>
      <c r="B8732" t="s">
        <v>25833</v>
      </c>
      <c r="C8732" t="s">
        <v>25837</v>
      </c>
      <c r="D8732" t="s">
        <v>25835</v>
      </c>
      <c r="E8732" t="s">
        <v>18047</v>
      </c>
      <c r="F8732" t="s">
        <v>25838</v>
      </c>
      <c r="J8732" t="s">
        <v>18047</v>
      </c>
      <c r="K8732" t="s">
        <v>25832</v>
      </c>
      <c r="L8732" t="s">
        <v>664</v>
      </c>
    </row>
    <row r="8733" spans="1:12">
      <c r="A8733" t="s">
        <v>25832</v>
      </c>
      <c r="B8733" t="s">
        <v>25833</v>
      </c>
      <c r="C8733" t="s">
        <v>25839</v>
      </c>
      <c r="D8733" t="s">
        <v>25835</v>
      </c>
      <c r="E8733" t="s">
        <v>25840</v>
      </c>
      <c r="F8733" t="s">
        <v>25841</v>
      </c>
      <c r="J8733" t="s">
        <v>25840</v>
      </c>
      <c r="K8733" t="s">
        <v>25832</v>
      </c>
      <c r="L8733" t="s">
        <v>664</v>
      </c>
    </row>
    <row r="8734" spans="1:12">
      <c r="A8734" t="s">
        <v>25832</v>
      </c>
      <c r="B8734" t="s">
        <v>25833</v>
      </c>
      <c r="C8734" t="s">
        <v>25842</v>
      </c>
      <c r="D8734" t="s">
        <v>25835</v>
      </c>
      <c r="E8734" t="s">
        <v>25843</v>
      </c>
      <c r="F8734" t="s">
        <v>25844</v>
      </c>
    </row>
    <row r="8735" spans="1:12">
      <c r="A8735" t="s">
        <v>25832</v>
      </c>
      <c r="B8735" t="s">
        <v>25833</v>
      </c>
      <c r="C8735" t="s">
        <v>25845</v>
      </c>
      <c r="D8735" t="s">
        <v>25835</v>
      </c>
      <c r="E8735" t="s">
        <v>9538</v>
      </c>
      <c r="F8735" t="s">
        <v>25846</v>
      </c>
      <c r="J8735" t="s">
        <v>9538</v>
      </c>
      <c r="K8735" t="s">
        <v>25832</v>
      </c>
      <c r="L8735" t="s">
        <v>664</v>
      </c>
    </row>
    <row r="8736" spans="1:12">
      <c r="A8736" t="s">
        <v>25832</v>
      </c>
      <c r="B8736" t="s">
        <v>25833</v>
      </c>
      <c r="C8736" t="s">
        <v>25847</v>
      </c>
      <c r="D8736" t="s">
        <v>25835</v>
      </c>
      <c r="E8736" t="s">
        <v>19189</v>
      </c>
      <c r="F8736" t="s">
        <v>25848</v>
      </c>
    </row>
    <row r="8737" spans="1:12">
      <c r="A8737" t="s">
        <v>25832</v>
      </c>
      <c r="B8737" t="s">
        <v>25833</v>
      </c>
      <c r="C8737" t="s">
        <v>25849</v>
      </c>
      <c r="D8737" t="s">
        <v>25835</v>
      </c>
      <c r="E8737" t="s">
        <v>25850</v>
      </c>
      <c r="F8737" t="s">
        <v>25851</v>
      </c>
      <c r="J8737" t="s">
        <v>25850</v>
      </c>
      <c r="K8737" t="s">
        <v>25832</v>
      </c>
      <c r="L8737" t="s">
        <v>664</v>
      </c>
    </row>
    <row r="8738" spans="1:12">
      <c r="A8738" t="s">
        <v>25832</v>
      </c>
      <c r="B8738" t="s">
        <v>25833</v>
      </c>
      <c r="C8738" t="s">
        <v>25852</v>
      </c>
      <c r="D8738" t="s">
        <v>25835</v>
      </c>
      <c r="E8738" t="s">
        <v>25853</v>
      </c>
      <c r="F8738" t="s">
        <v>25854</v>
      </c>
    </row>
    <row r="8739" spans="1:12">
      <c r="A8739" t="s">
        <v>25832</v>
      </c>
      <c r="B8739" t="s">
        <v>25833</v>
      </c>
      <c r="C8739" t="s">
        <v>25855</v>
      </c>
      <c r="D8739" t="s">
        <v>25835</v>
      </c>
      <c r="E8739" t="s">
        <v>12930</v>
      </c>
      <c r="F8739" t="s">
        <v>25856</v>
      </c>
    </row>
    <row r="8740" spans="1:12">
      <c r="A8740" t="s">
        <v>25832</v>
      </c>
      <c r="B8740" t="s">
        <v>25833</v>
      </c>
      <c r="C8740" t="s">
        <v>25857</v>
      </c>
      <c r="D8740" t="s">
        <v>25835</v>
      </c>
      <c r="E8740" t="s">
        <v>25858</v>
      </c>
      <c r="F8740" t="s">
        <v>25859</v>
      </c>
      <c r="J8740" t="s">
        <v>25858</v>
      </c>
      <c r="K8740" t="s">
        <v>25832</v>
      </c>
      <c r="L8740" t="s">
        <v>664</v>
      </c>
    </row>
    <row r="8741" spans="1:12">
      <c r="A8741" t="s">
        <v>25832</v>
      </c>
      <c r="B8741" t="s">
        <v>25833</v>
      </c>
      <c r="C8741" t="s">
        <v>25860</v>
      </c>
      <c r="D8741" t="s">
        <v>25835</v>
      </c>
      <c r="E8741" t="s">
        <v>7968</v>
      </c>
      <c r="F8741" t="s">
        <v>25861</v>
      </c>
    </row>
    <row r="8742" spans="1:12">
      <c r="A8742" t="s">
        <v>25832</v>
      </c>
      <c r="B8742" t="s">
        <v>25833</v>
      </c>
      <c r="C8742" t="s">
        <v>25862</v>
      </c>
      <c r="D8742" t="s">
        <v>25835</v>
      </c>
      <c r="E8742" t="s">
        <v>25863</v>
      </c>
      <c r="F8742" t="s">
        <v>25864</v>
      </c>
    </row>
    <row r="8743" spans="1:12">
      <c r="A8743" t="s">
        <v>25832</v>
      </c>
      <c r="B8743" t="s">
        <v>25833</v>
      </c>
      <c r="C8743" t="s">
        <v>25865</v>
      </c>
      <c r="D8743" t="s">
        <v>25835</v>
      </c>
      <c r="E8743" t="s">
        <v>21350</v>
      </c>
      <c r="F8743" t="s">
        <v>25866</v>
      </c>
      <c r="J8743" t="s">
        <v>21350</v>
      </c>
      <c r="K8743" t="s">
        <v>25832</v>
      </c>
      <c r="L8743" t="s">
        <v>664</v>
      </c>
    </row>
    <row r="8744" spans="1:12">
      <c r="A8744" t="s">
        <v>25832</v>
      </c>
      <c r="B8744" t="s">
        <v>25833</v>
      </c>
      <c r="C8744" t="s">
        <v>25867</v>
      </c>
      <c r="D8744" t="s">
        <v>25835</v>
      </c>
      <c r="E8744" t="s">
        <v>655</v>
      </c>
      <c r="F8744" t="s">
        <v>656</v>
      </c>
    </row>
    <row r="8745" spans="1:12">
      <c r="A8745" t="s">
        <v>25868</v>
      </c>
      <c r="B8745" t="s">
        <v>25869</v>
      </c>
      <c r="C8745" t="s">
        <v>25870</v>
      </c>
      <c r="D8745" t="s">
        <v>25871</v>
      </c>
      <c r="E8745" t="s">
        <v>25872</v>
      </c>
      <c r="F8745" t="s">
        <v>25873</v>
      </c>
      <c r="J8745" t="s">
        <v>25872</v>
      </c>
      <c r="K8745" t="s">
        <v>13559</v>
      </c>
      <c r="L8745" t="s">
        <v>814</v>
      </c>
    </row>
    <row r="8746" spans="1:12">
      <c r="A8746" t="s">
        <v>25868</v>
      </c>
      <c r="B8746" t="s">
        <v>25869</v>
      </c>
      <c r="C8746" t="s">
        <v>25874</v>
      </c>
      <c r="D8746" t="s">
        <v>25871</v>
      </c>
      <c r="E8746" t="s">
        <v>25875</v>
      </c>
      <c r="F8746" t="s">
        <v>25876</v>
      </c>
    </row>
    <row r="8747" spans="1:12">
      <c r="A8747" t="s">
        <v>25868</v>
      </c>
      <c r="B8747" t="s">
        <v>25869</v>
      </c>
      <c r="C8747" t="s">
        <v>25877</v>
      </c>
      <c r="D8747" t="s">
        <v>25871</v>
      </c>
      <c r="E8747" t="s">
        <v>25878</v>
      </c>
      <c r="F8747" t="s">
        <v>25879</v>
      </c>
      <c r="J8747" t="s">
        <v>25878</v>
      </c>
      <c r="K8747" t="s">
        <v>13559</v>
      </c>
      <c r="L8747" t="s">
        <v>814</v>
      </c>
    </row>
    <row r="8748" spans="1:12">
      <c r="A8748" t="s">
        <v>25868</v>
      </c>
      <c r="B8748" t="s">
        <v>25869</v>
      </c>
      <c r="C8748" t="s">
        <v>25880</v>
      </c>
      <c r="D8748" t="s">
        <v>25871</v>
      </c>
      <c r="E8748" t="s">
        <v>25881</v>
      </c>
      <c r="F8748" t="s">
        <v>25882</v>
      </c>
      <c r="J8748" t="s">
        <v>25881</v>
      </c>
      <c r="K8748" t="s">
        <v>13559</v>
      </c>
      <c r="L8748" t="s">
        <v>814</v>
      </c>
    </row>
    <row r="8749" spans="1:12">
      <c r="A8749" t="s">
        <v>25868</v>
      </c>
      <c r="B8749" t="s">
        <v>25869</v>
      </c>
      <c r="C8749" t="s">
        <v>25883</v>
      </c>
      <c r="D8749" t="s">
        <v>25871</v>
      </c>
      <c r="E8749" t="s">
        <v>25884</v>
      </c>
      <c r="F8749" t="s">
        <v>25885</v>
      </c>
      <c r="J8749" t="s">
        <v>25884</v>
      </c>
      <c r="K8749" t="s">
        <v>13559</v>
      </c>
      <c r="L8749" t="s">
        <v>814</v>
      </c>
    </row>
    <row r="8750" spans="1:12">
      <c r="A8750" t="s">
        <v>25868</v>
      </c>
      <c r="B8750" t="s">
        <v>25869</v>
      </c>
      <c r="C8750" t="s">
        <v>25886</v>
      </c>
      <c r="D8750" t="s">
        <v>25871</v>
      </c>
      <c r="E8750" t="s">
        <v>25887</v>
      </c>
      <c r="F8750" t="s">
        <v>25888</v>
      </c>
      <c r="J8750" t="s">
        <v>25887</v>
      </c>
      <c r="K8750" t="s">
        <v>13559</v>
      </c>
      <c r="L8750" t="s">
        <v>814</v>
      </c>
    </row>
    <row r="8751" spans="1:12">
      <c r="A8751" t="s">
        <v>25868</v>
      </c>
      <c r="B8751" t="s">
        <v>25869</v>
      </c>
      <c r="C8751" t="s">
        <v>25889</v>
      </c>
      <c r="D8751" t="s">
        <v>25871</v>
      </c>
      <c r="E8751" t="s">
        <v>25890</v>
      </c>
      <c r="F8751" t="s">
        <v>25891</v>
      </c>
      <c r="J8751" t="s">
        <v>25890</v>
      </c>
      <c r="K8751" t="s">
        <v>13559</v>
      </c>
      <c r="L8751" t="s">
        <v>814</v>
      </c>
    </row>
    <row r="8752" spans="1:12">
      <c r="A8752" t="s">
        <v>25868</v>
      </c>
      <c r="B8752" t="s">
        <v>25869</v>
      </c>
      <c r="C8752" t="s">
        <v>25892</v>
      </c>
      <c r="D8752" t="s">
        <v>25871</v>
      </c>
      <c r="E8752" t="s">
        <v>14782</v>
      </c>
      <c r="F8752" t="s">
        <v>25893</v>
      </c>
    </row>
    <row r="8753" spans="1:12">
      <c r="A8753" t="s">
        <v>25868</v>
      </c>
      <c r="B8753" t="s">
        <v>25869</v>
      </c>
      <c r="C8753" t="s">
        <v>25894</v>
      </c>
      <c r="D8753" t="s">
        <v>25871</v>
      </c>
      <c r="E8753" t="s">
        <v>25895</v>
      </c>
      <c r="F8753" t="s">
        <v>25896</v>
      </c>
    </row>
    <row r="8754" spans="1:12">
      <c r="A8754" t="s">
        <v>25868</v>
      </c>
      <c r="B8754" t="s">
        <v>25869</v>
      </c>
      <c r="C8754" t="s">
        <v>25897</v>
      </c>
      <c r="D8754" t="s">
        <v>25871</v>
      </c>
      <c r="E8754" t="s">
        <v>25898</v>
      </c>
      <c r="F8754" t="s">
        <v>25899</v>
      </c>
      <c r="J8754" t="s">
        <v>25898</v>
      </c>
      <c r="K8754" t="s">
        <v>13559</v>
      </c>
      <c r="L8754" t="s">
        <v>814</v>
      </c>
    </row>
    <row r="8755" spans="1:12">
      <c r="A8755" t="s">
        <v>25868</v>
      </c>
      <c r="B8755" t="s">
        <v>25869</v>
      </c>
      <c r="C8755" t="s">
        <v>25900</v>
      </c>
      <c r="D8755" t="s">
        <v>25871</v>
      </c>
      <c r="E8755" t="s">
        <v>25901</v>
      </c>
      <c r="F8755" t="s">
        <v>25902</v>
      </c>
      <c r="J8755" t="s">
        <v>25901</v>
      </c>
      <c r="K8755" t="s">
        <v>13559</v>
      </c>
      <c r="L8755" t="s">
        <v>814</v>
      </c>
    </row>
    <row r="8756" spans="1:12">
      <c r="A8756" t="s">
        <v>25868</v>
      </c>
      <c r="B8756" t="s">
        <v>25869</v>
      </c>
      <c r="C8756" t="s">
        <v>25903</v>
      </c>
      <c r="D8756" t="s">
        <v>25871</v>
      </c>
      <c r="E8756" t="s">
        <v>25904</v>
      </c>
      <c r="F8756" t="s">
        <v>25905</v>
      </c>
      <c r="J8756" t="s">
        <v>25904</v>
      </c>
      <c r="K8756" t="s">
        <v>13559</v>
      </c>
      <c r="L8756" t="s">
        <v>814</v>
      </c>
    </row>
    <row r="8757" spans="1:12">
      <c r="A8757" t="s">
        <v>25868</v>
      </c>
      <c r="B8757" t="s">
        <v>25869</v>
      </c>
      <c r="C8757" t="s">
        <v>25906</v>
      </c>
      <c r="D8757" t="s">
        <v>25871</v>
      </c>
      <c r="E8757" t="s">
        <v>1956</v>
      </c>
      <c r="F8757" t="s">
        <v>25907</v>
      </c>
      <c r="J8757" t="s">
        <v>1956</v>
      </c>
      <c r="K8757" t="s">
        <v>13559</v>
      </c>
      <c r="L8757" t="s">
        <v>814</v>
      </c>
    </row>
    <row r="8758" spans="1:12">
      <c r="A8758" t="s">
        <v>25868</v>
      </c>
      <c r="B8758" t="s">
        <v>25869</v>
      </c>
      <c r="C8758" t="s">
        <v>25908</v>
      </c>
      <c r="D8758" t="s">
        <v>25871</v>
      </c>
      <c r="E8758" t="s">
        <v>25909</v>
      </c>
      <c r="F8758" t="s">
        <v>25910</v>
      </c>
      <c r="J8758" t="s">
        <v>25909</v>
      </c>
      <c r="K8758" t="s">
        <v>13559</v>
      </c>
      <c r="L8758" t="s">
        <v>814</v>
      </c>
    </row>
    <row r="8759" spans="1:12">
      <c r="A8759" t="s">
        <v>25868</v>
      </c>
      <c r="B8759" t="s">
        <v>25869</v>
      </c>
      <c r="C8759" t="s">
        <v>25911</v>
      </c>
      <c r="D8759" t="s">
        <v>25871</v>
      </c>
      <c r="E8759" t="s">
        <v>12600</v>
      </c>
      <c r="F8759" t="s">
        <v>25912</v>
      </c>
    </row>
    <row r="8760" spans="1:12">
      <c r="A8760" t="s">
        <v>25868</v>
      </c>
      <c r="B8760" t="s">
        <v>25869</v>
      </c>
      <c r="C8760" t="s">
        <v>25913</v>
      </c>
      <c r="D8760" t="s">
        <v>25871</v>
      </c>
      <c r="E8760" t="s">
        <v>14816</v>
      </c>
      <c r="F8760" t="s">
        <v>25914</v>
      </c>
      <c r="J8760" t="s">
        <v>14816</v>
      </c>
      <c r="K8760" t="s">
        <v>13559</v>
      </c>
      <c r="L8760" t="s">
        <v>814</v>
      </c>
    </row>
    <row r="8761" spans="1:12">
      <c r="A8761" t="s">
        <v>25868</v>
      </c>
      <c r="B8761" t="s">
        <v>25869</v>
      </c>
      <c r="C8761" t="s">
        <v>25915</v>
      </c>
      <c r="D8761" t="s">
        <v>25871</v>
      </c>
      <c r="E8761" t="s">
        <v>25916</v>
      </c>
      <c r="F8761" t="s">
        <v>25917</v>
      </c>
      <c r="J8761" t="s">
        <v>25916</v>
      </c>
      <c r="K8761" t="s">
        <v>13559</v>
      </c>
      <c r="L8761" t="s">
        <v>814</v>
      </c>
    </row>
    <row r="8762" spans="1:12">
      <c r="A8762" t="s">
        <v>25868</v>
      </c>
      <c r="B8762" t="s">
        <v>25869</v>
      </c>
      <c r="C8762" t="s">
        <v>25918</v>
      </c>
      <c r="D8762" t="s">
        <v>25871</v>
      </c>
      <c r="E8762" t="s">
        <v>7906</v>
      </c>
      <c r="F8762" t="s">
        <v>7905</v>
      </c>
    </row>
    <row r="8763" spans="1:12">
      <c r="A8763" t="s">
        <v>25868</v>
      </c>
      <c r="B8763" t="s">
        <v>25869</v>
      </c>
      <c r="C8763" t="s">
        <v>25919</v>
      </c>
      <c r="D8763" t="s">
        <v>25871</v>
      </c>
      <c r="E8763" t="s">
        <v>18899</v>
      </c>
      <c r="F8763" t="s">
        <v>8151</v>
      </c>
    </row>
    <row r="8764" spans="1:12">
      <c r="A8764" t="s">
        <v>25868</v>
      </c>
      <c r="B8764" t="s">
        <v>25869</v>
      </c>
      <c r="C8764" t="s">
        <v>25920</v>
      </c>
      <c r="D8764" t="s">
        <v>25871</v>
      </c>
      <c r="E8764" t="s">
        <v>15831</v>
      </c>
      <c r="F8764" t="s">
        <v>25921</v>
      </c>
    </row>
    <row r="8765" spans="1:12">
      <c r="A8765" t="s">
        <v>25868</v>
      </c>
      <c r="B8765" t="s">
        <v>25869</v>
      </c>
      <c r="C8765" t="s">
        <v>25922</v>
      </c>
      <c r="D8765" t="s">
        <v>25871</v>
      </c>
      <c r="E8765" t="s">
        <v>25923</v>
      </c>
      <c r="F8765" t="s">
        <v>25924</v>
      </c>
      <c r="J8765" t="s">
        <v>25923</v>
      </c>
      <c r="K8765" t="s">
        <v>13559</v>
      </c>
      <c r="L8765" t="s">
        <v>814</v>
      </c>
    </row>
    <row r="8766" spans="1:12">
      <c r="A8766" t="s">
        <v>25868</v>
      </c>
      <c r="B8766" t="s">
        <v>25869</v>
      </c>
      <c r="C8766" t="s">
        <v>25925</v>
      </c>
      <c r="D8766" t="s">
        <v>25871</v>
      </c>
      <c r="E8766" t="s">
        <v>25926</v>
      </c>
      <c r="F8766" t="s">
        <v>25927</v>
      </c>
      <c r="J8766" t="s">
        <v>25926</v>
      </c>
      <c r="K8766" t="s">
        <v>13559</v>
      </c>
      <c r="L8766" t="s">
        <v>814</v>
      </c>
    </row>
    <row r="8767" spans="1:12">
      <c r="A8767" t="s">
        <v>25868</v>
      </c>
      <c r="B8767" t="s">
        <v>25869</v>
      </c>
      <c r="C8767" t="s">
        <v>25928</v>
      </c>
      <c r="D8767" t="s">
        <v>25871</v>
      </c>
      <c r="E8767" t="s">
        <v>19366</v>
      </c>
      <c r="F8767" t="s">
        <v>25929</v>
      </c>
      <c r="J8767" t="s">
        <v>19366</v>
      </c>
      <c r="K8767" t="s">
        <v>13559</v>
      </c>
      <c r="L8767" t="s">
        <v>814</v>
      </c>
    </row>
    <row r="8768" spans="1:12">
      <c r="A8768" t="s">
        <v>25868</v>
      </c>
      <c r="B8768" t="s">
        <v>25869</v>
      </c>
      <c r="C8768" t="s">
        <v>25930</v>
      </c>
      <c r="D8768" t="s">
        <v>25871</v>
      </c>
      <c r="E8768" t="s">
        <v>25931</v>
      </c>
      <c r="F8768" t="s">
        <v>25932</v>
      </c>
      <c r="J8768" t="s">
        <v>25931</v>
      </c>
      <c r="K8768" t="s">
        <v>13559</v>
      </c>
      <c r="L8768" t="s">
        <v>814</v>
      </c>
    </row>
    <row r="8769" spans="1:12">
      <c r="A8769" t="s">
        <v>25868</v>
      </c>
      <c r="B8769" t="s">
        <v>25869</v>
      </c>
      <c r="C8769" t="s">
        <v>25933</v>
      </c>
      <c r="D8769" t="s">
        <v>25871</v>
      </c>
      <c r="E8769" t="s">
        <v>20022</v>
      </c>
      <c r="F8769" t="s">
        <v>1109</v>
      </c>
      <c r="J8769" t="s">
        <v>20022</v>
      </c>
      <c r="K8769" t="s">
        <v>13559</v>
      </c>
      <c r="L8769" t="s">
        <v>814</v>
      </c>
    </row>
    <row r="8770" spans="1:12">
      <c r="A8770" t="s">
        <v>25868</v>
      </c>
      <c r="B8770" t="s">
        <v>25869</v>
      </c>
      <c r="C8770" t="s">
        <v>25934</v>
      </c>
      <c r="D8770" t="s">
        <v>25871</v>
      </c>
      <c r="E8770" t="s">
        <v>25935</v>
      </c>
      <c r="F8770" t="s">
        <v>25936</v>
      </c>
      <c r="J8770" t="s">
        <v>25935</v>
      </c>
      <c r="K8770" t="s">
        <v>13559</v>
      </c>
      <c r="L8770" t="s">
        <v>814</v>
      </c>
    </row>
    <row r="8771" spans="1:12">
      <c r="A8771" t="s">
        <v>25868</v>
      </c>
      <c r="B8771" t="s">
        <v>25869</v>
      </c>
      <c r="C8771" t="s">
        <v>25937</v>
      </c>
      <c r="D8771" t="s">
        <v>25871</v>
      </c>
      <c r="E8771" t="s">
        <v>5162</v>
      </c>
      <c r="F8771" t="s">
        <v>25938</v>
      </c>
      <c r="J8771" t="s">
        <v>5162</v>
      </c>
      <c r="K8771" t="s">
        <v>13559</v>
      </c>
      <c r="L8771" t="s">
        <v>814</v>
      </c>
    </row>
    <row r="8772" spans="1:12">
      <c r="A8772" t="s">
        <v>25868</v>
      </c>
      <c r="B8772" t="s">
        <v>25869</v>
      </c>
      <c r="C8772" t="s">
        <v>25939</v>
      </c>
      <c r="D8772" t="s">
        <v>25871</v>
      </c>
      <c r="E8772" t="s">
        <v>12037</v>
      </c>
      <c r="F8772" t="s">
        <v>25940</v>
      </c>
    </row>
    <row r="8773" spans="1:12">
      <c r="A8773" t="s">
        <v>25868</v>
      </c>
      <c r="B8773" t="s">
        <v>25869</v>
      </c>
      <c r="C8773" t="s">
        <v>25941</v>
      </c>
      <c r="D8773" t="s">
        <v>25871</v>
      </c>
      <c r="E8773" t="s">
        <v>25942</v>
      </c>
      <c r="F8773" t="s">
        <v>25943</v>
      </c>
    </row>
    <row r="8774" spans="1:12">
      <c r="A8774" t="s">
        <v>25868</v>
      </c>
      <c r="B8774" t="s">
        <v>25869</v>
      </c>
      <c r="C8774" t="s">
        <v>25944</v>
      </c>
      <c r="D8774" t="s">
        <v>25871</v>
      </c>
      <c r="E8774" t="s">
        <v>24349</v>
      </c>
      <c r="F8774" t="s">
        <v>25945</v>
      </c>
    </row>
    <row r="8775" spans="1:12">
      <c r="A8775" t="s">
        <v>25868</v>
      </c>
      <c r="B8775" t="s">
        <v>25869</v>
      </c>
      <c r="C8775" t="s">
        <v>25946</v>
      </c>
      <c r="D8775" t="s">
        <v>25871</v>
      </c>
      <c r="E8775" t="s">
        <v>7770</v>
      </c>
      <c r="F8775" t="s">
        <v>25947</v>
      </c>
    </row>
    <row r="8776" spans="1:12">
      <c r="A8776" t="s">
        <v>25868</v>
      </c>
      <c r="B8776" t="s">
        <v>25869</v>
      </c>
      <c r="C8776" t="s">
        <v>25948</v>
      </c>
      <c r="D8776" t="s">
        <v>25871</v>
      </c>
      <c r="E8776" t="s">
        <v>25949</v>
      </c>
      <c r="F8776" t="s">
        <v>25950</v>
      </c>
    </row>
    <row r="8777" spans="1:12">
      <c r="A8777" t="s">
        <v>25868</v>
      </c>
      <c r="B8777" t="s">
        <v>25869</v>
      </c>
      <c r="C8777" t="s">
        <v>25951</v>
      </c>
      <c r="D8777" t="s">
        <v>25871</v>
      </c>
      <c r="E8777" t="s">
        <v>25952</v>
      </c>
      <c r="F8777" t="s">
        <v>25953</v>
      </c>
      <c r="J8777" t="s">
        <v>25952</v>
      </c>
      <c r="K8777" t="s">
        <v>13559</v>
      </c>
      <c r="L8777" t="s">
        <v>814</v>
      </c>
    </row>
    <row r="8778" spans="1:12">
      <c r="A8778" t="s">
        <v>25868</v>
      </c>
      <c r="B8778" t="s">
        <v>25869</v>
      </c>
      <c r="C8778" t="s">
        <v>25954</v>
      </c>
      <c r="D8778" t="s">
        <v>25871</v>
      </c>
      <c r="E8778" t="s">
        <v>25955</v>
      </c>
      <c r="F8778" t="s">
        <v>25938</v>
      </c>
      <c r="J8778" t="s">
        <v>25955</v>
      </c>
      <c r="K8778" t="s">
        <v>13559</v>
      </c>
      <c r="L8778" t="s">
        <v>814</v>
      </c>
    </row>
    <row r="8779" spans="1:12">
      <c r="A8779" t="s">
        <v>25868</v>
      </c>
      <c r="B8779" t="s">
        <v>25869</v>
      </c>
      <c r="C8779" t="s">
        <v>25956</v>
      </c>
      <c r="D8779" t="s">
        <v>25871</v>
      </c>
      <c r="E8779" t="s">
        <v>25957</v>
      </c>
      <c r="F8779" t="s">
        <v>25958</v>
      </c>
      <c r="J8779" t="s">
        <v>25957</v>
      </c>
      <c r="K8779" t="s">
        <v>13559</v>
      </c>
      <c r="L8779" t="s">
        <v>814</v>
      </c>
    </row>
    <row r="8780" spans="1:12">
      <c r="A8780" t="s">
        <v>25868</v>
      </c>
      <c r="B8780" t="s">
        <v>25869</v>
      </c>
      <c r="C8780" t="s">
        <v>25959</v>
      </c>
      <c r="D8780" t="s">
        <v>25871</v>
      </c>
      <c r="E8780" t="s">
        <v>15910</v>
      </c>
      <c r="F8780" t="s">
        <v>25960</v>
      </c>
      <c r="J8780" t="s">
        <v>15910</v>
      </c>
      <c r="K8780" t="s">
        <v>13559</v>
      </c>
      <c r="L8780" t="s">
        <v>814</v>
      </c>
    </row>
    <row r="8781" spans="1:12">
      <c r="A8781" t="s">
        <v>25868</v>
      </c>
      <c r="B8781" t="s">
        <v>25869</v>
      </c>
      <c r="C8781" t="s">
        <v>25961</v>
      </c>
      <c r="D8781" t="s">
        <v>25871</v>
      </c>
      <c r="E8781" t="s">
        <v>25962</v>
      </c>
      <c r="F8781" t="s">
        <v>25963</v>
      </c>
      <c r="J8781" t="s">
        <v>25962</v>
      </c>
      <c r="K8781" t="s">
        <v>13559</v>
      </c>
      <c r="L8781" t="s">
        <v>814</v>
      </c>
    </row>
    <row r="8782" spans="1:12">
      <c r="A8782" t="s">
        <v>25868</v>
      </c>
      <c r="B8782" t="s">
        <v>25869</v>
      </c>
      <c r="C8782" t="s">
        <v>25964</v>
      </c>
      <c r="D8782" t="s">
        <v>25871</v>
      </c>
      <c r="E8782" t="s">
        <v>25965</v>
      </c>
      <c r="F8782" t="s">
        <v>25966</v>
      </c>
      <c r="J8782" t="s">
        <v>25965</v>
      </c>
      <c r="K8782" t="s">
        <v>13559</v>
      </c>
      <c r="L8782" t="s">
        <v>814</v>
      </c>
    </row>
    <row r="8783" spans="1:12">
      <c r="A8783" t="s">
        <v>25868</v>
      </c>
      <c r="B8783" t="s">
        <v>25869</v>
      </c>
      <c r="C8783" t="s">
        <v>25967</v>
      </c>
      <c r="D8783" t="s">
        <v>25871</v>
      </c>
      <c r="E8783" t="s">
        <v>9820</v>
      </c>
      <c r="F8783" t="s">
        <v>25968</v>
      </c>
      <c r="J8783" t="s">
        <v>9820</v>
      </c>
      <c r="K8783" t="s">
        <v>13559</v>
      </c>
      <c r="L8783" t="s">
        <v>814</v>
      </c>
    </row>
    <row r="8784" spans="1:12">
      <c r="A8784" t="s">
        <v>25868</v>
      </c>
      <c r="B8784" t="s">
        <v>25869</v>
      </c>
      <c r="C8784" t="s">
        <v>25969</v>
      </c>
      <c r="D8784" t="s">
        <v>25871</v>
      </c>
      <c r="E8784" t="s">
        <v>25970</v>
      </c>
      <c r="F8784" t="s">
        <v>25971</v>
      </c>
      <c r="J8784" t="s">
        <v>25970</v>
      </c>
      <c r="K8784" t="s">
        <v>13559</v>
      </c>
      <c r="L8784" t="s">
        <v>814</v>
      </c>
    </row>
    <row r="8785" spans="1:12">
      <c r="A8785" t="s">
        <v>25868</v>
      </c>
      <c r="B8785" t="s">
        <v>25869</v>
      </c>
      <c r="C8785" t="s">
        <v>25972</v>
      </c>
      <c r="D8785" t="s">
        <v>25871</v>
      </c>
      <c r="E8785" t="s">
        <v>10456</v>
      </c>
      <c r="F8785" t="s">
        <v>25973</v>
      </c>
    </row>
    <row r="8786" spans="1:12">
      <c r="A8786" t="s">
        <v>25868</v>
      </c>
      <c r="B8786" t="s">
        <v>25869</v>
      </c>
      <c r="C8786" t="s">
        <v>25974</v>
      </c>
      <c r="D8786" t="s">
        <v>25871</v>
      </c>
      <c r="E8786" t="s">
        <v>25975</v>
      </c>
      <c r="F8786" t="s">
        <v>25976</v>
      </c>
      <c r="J8786" t="s">
        <v>25975</v>
      </c>
      <c r="K8786" t="s">
        <v>13559</v>
      </c>
      <c r="L8786" t="s">
        <v>814</v>
      </c>
    </row>
    <row r="8787" spans="1:12">
      <c r="A8787" t="s">
        <v>25868</v>
      </c>
      <c r="B8787" t="s">
        <v>25869</v>
      </c>
      <c r="C8787" t="s">
        <v>25977</v>
      </c>
      <c r="D8787" t="s">
        <v>25871</v>
      </c>
      <c r="E8787" t="s">
        <v>10462</v>
      </c>
      <c r="F8787" t="s">
        <v>25978</v>
      </c>
      <c r="J8787" t="s">
        <v>10462</v>
      </c>
      <c r="K8787" t="s">
        <v>13559</v>
      </c>
      <c r="L8787" t="s">
        <v>814</v>
      </c>
    </row>
    <row r="8788" spans="1:12">
      <c r="A8788" t="s">
        <v>25868</v>
      </c>
      <c r="B8788" t="s">
        <v>25869</v>
      </c>
      <c r="C8788" t="s">
        <v>25979</v>
      </c>
      <c r="D8788" t="s">
        <v>25871</v>
      </c>
      <c r="E8788" t="s">
        <v>12973</v>
      </c>
      <c r="F8788" t="s">
        <v>1315</v>
      </c>
      <c r="J8788" t="s">
        <v>12973</v>
      </c>
      <c r="K8788" t="s">
        <v>13559</v>
      </c>
      <c r="L8788" t="s">
        <v>814</v>
      </c>
    </row>
    <row r="8789" spans="1:12">
      <c r="A8789" t="s">
        <v>25868</v>
      </c>
      <c r="B8789" t="s">
        <v>25869</v>
      </c>
      <c r="C8789" t="s">
        <v>25980</v>
      </c>
      <c r="D8789" t="s">
        <v>25871</v>
      </c>
      <c r="E8789" t="s">
        <v>10051</v>
      </c>
      <c r="F8789" t="s">
        <v>25981</v>
      </c>
      <c r="J8789" t="s">
        <v>10051</v>
      </c>
      <c r="K8789" t="s">
        <v>13559</v>
      </c>
      <c r="L8789" t="s">
        <v>814</v>
      </c>
    </row>
    <row r="8790" spans="1:12">
      <c r="A8790" t="s">
        <v>25868</v>
      </c>
      <c r="B8790" t="s">
        <v>25869</v>
      </c>
      <c r="C8790" t="s">
        <v>25982</v>
      </c>
      <c r="D8790" t="s">
        <v>25871</v>
      </c>
      <c r="E8790" t="s">
        <v>25983</v>
      </c>
      <c r="F8790" t="s">
        <v>25984</v>
      </c>
      <c r="J8790" t="s">
        <v>25983</v>
      </c>
      <c r="K8790" t="s">
        <v>13559</v>
      </c>
      <c r="L8790" t="s">
        <v>814</v>
      </c>
    </row>
    <row r="8791" spans="1:12">
      <c r="A8791" t="s">
        <v>25868</v>
      </c>
      <c r="B8791" t="s">
        <v>25869</v>
      </c>
      <c r="C8791" t="s">
        <v>25985</v>
      </c>
      <c r="D8791" t="s">
        <v>25871</v>
      </c>
      <c r="E8791" t="s">
        <v>25986</v>
      </c>
      <c r="F8791" t="s">
        <v>25987</v>
      </c>
      <c r="J8791" t="s">
        <v>25986</v>
      </c>
      <c r="K8791" t="s">
        <v>13559</v>
      </c>
      <c r="L8791" t="s">
        <v>814</v>
      </c>
    </row>
    <row r="8792" spans="1:12">
      <c r="A8792" t="s">
        <v>25868</v>
      </c>
      <c r="B8792" t="s">
        <v>25869</v>
      </c>
      <c r="C8792" t="s">
        <v>25988</v>
      </c>
      <c r="D8792" t="s">
        <v>25871</v>
      </c>
      <c r="E8792" t="s">
        <v>655</v>
      </c>
      <c r="F8792" t="s">
        <v>656</v>
      </c>
    </row>
    <row r="8793" spans="1:12">
      <c r="A8793" t="s">
        <v>25868</v>
      </c>
      <c r="B8793" t="s">
        <v>25869</v>
      </c>
      <c r="D8793" t="s">
        <v>25871</v>
      </c>
      <c r="F8793" t="s">
        <v>25989</v>
      </c>
      <c r="J8793" t="s">
        <v>25990</v>
      </c>
      <c r="K8793" t="s">
        <v>13559</v>
      </c>
      <c r="L8793" t="s">
        <v>814</v>
      </c>
    </row>
    <row r="8794" spans="1:12">
      <c r="A8794" t="s">
        <v>25991</v>
      </c>
      <c r="B8794" t="s">
        <v>25992</v>
      </c>
      <c r="C8794" t="s">
        <v>25993</v>
      </c>
      <c r="D8794" t="s">
        <v>25994</v>
      </c>
      <c r="E8794" t="s">
        <v>8421</v>
      </c>
      <c r="F8794" t="s">
        <v>25995</v>
      </c>
      <c r="J8794" t="s">
        <v>8421</v>
      </c>
      <c r="K8794" t="s">
        <v>25991</v>
      </c>
      <c r="L8794" t="s">
        <v>814</v>
      </c>
    </row>
    <row r="8795" spans="1:12">
      <c r="A8795" t="s">
        <v>25991</v>
      </c>
      <c r="B8795" t="s">
        <v>25992</v>
      </c>
      <c r="C8795" t="s">
        <v>25996</v>
      </c>
      <c r="D8795" t="s">
        <v>25994</v>
      </c>
      <c r="E8795" t="s">
        <v>11728</v>
      </c>
      <c r="F8795" t="s">
        <v>25997</v>
      </c>
    </row>
    <row r="8796" spans="1:12">
      <c r="A8796" t="s">
        <v>25991</v>
      </c>
      <c r="B8796" t="s">
        <v>25992</v>
      </c>
      <c r="C8796" t="s">
        <v>25998</v>
      </c>
      <c r="D8796" t="s">
        <v>25994</v>
      </c>
      <c r="E8796" t="s">
        <v>8445</v>
      </c>
      <c r="F8796" t="s">
        <v>25999</v>
      </c>
      <c r="J8796" t="s">
        <v>8445</v>
      </c>
      <c r="K8796" t="s">
        <v>25991</v>
      </c>
      <c r="L8796" t="s">
        <v>814</v>
      </c>
    </row>
    <row r="8797" spans="1:12">
      <c r="A8797" t="s">
        <v>25991</v>
      </c>
      <c r="B8797" t="s">
        <v>25992</v>
      </c>
      <c r="C8797" t="s">
        <v>26000</v>
      </c>
      <c r="D8797" t="s">
        <v>25994</v>
      </c>
      <c r="E8797" t="s">
        <v>8448</v>
      </c>
      <c r="F8797" t="s">
        <v>26001</v>
      </c>
      <c r="J8797" t="s">
        <v>8448</v>
      </c>
      <c r="K8797" t="s">
        <v>25991</v>
      </c>
      <c r="L8797" t="s">
        <v>814</v>
      </c>
    </row>
    <row r="8798" spans="1:12">
      <c r="A8798" t="s">
        <v>25991</v>
      </c>
      <c r="B8798" t="s">
        <v>25992</v>
      </c>
      <c r="C8798" t="s">
        <v>26002</v>
      </c>
      <c r="D8798" t="s">
        <v>25994</v>
      </c>
      <c r="E8798" t="s">
        <v>26003</v>
      </c>
      <c r="F8798" t="s">
        <v>26004</v>
      </c>
      <c r="J8798" t="s">
        <v>26003</v>
      </c>
      <c r="K8798" t="s">
        <v>25991</v>
      </c>
      <c r="L8798" t="s">
        <v>814</v>
      </c>
    </row>
    <row r="8799" spans="1:12">
      <c r="A8799" t="s">
        <v>25991</v>
      </c>
      <c r="B8799" t="s">
        <v>25992</v>
      </c>
      <c r="C8799" t="s">
        <v>26005</v>
      </c>
      <c r="D8799" t="s">
        <v>25994</v>
      </c>
      <c r="E8799" t="s">
        <v>16400</v>
      </c>
      <c r="F8799" t="s">
        <v>26006</v>
      </c>
      <c r="J8799" t="s">
        <v>16400</v>
      </c>
      <c r="K8799" t="s">
        <v>25991</v>
      </c>
      <c r="L8799" t="s">
        <v>814</v>
      </c>
    </row>
    <row r="8800" spans="1:12">
      <c r="A8800" t="s">
        <v>25991</v>
      </c>
      <c r="B8800" t="s">
        <v>25992</v>
      </c>
      <c r="C8800" t="s">
        <v>26007</v>
      </c>
      <c r="D8800" t="s">
        <v>25994</v>
      </c>
      <c r="E8800" t="s">
        <v>26008</v>
      </c>
      <c r="F8800" t="s">
        <v>26009</v>
      </c>
    </row>
    <row r="8801" spans="1:12">
      <c r="A8801" t="s">
        <v>25991</v>
      </c>
      <c r="B8801" t="s">
        <v>25992</v>
      </c>
      <c r="C8801" t="s">
        <v>26010</v>
      </c>
      <c r="D8801" t="s">
        <v>25994</v>
      </c>
      <c r="E8801" t="s">
        <v>26011</v>
      </c>
      <c r="F8801" t="s">
        <v>7833</v>
      </c>
      <c r="J8801" t="s">
        <v>26011</v>
      </c>
      <c r="K8801" t="s">
        <v>25991</v>
      </c>
      <c r="L8801" t="s">
        <v>814</v>
      </c>
    </row>
    <row r="8802" spans="1:12">
      <c r="A8802" t="s">
        <v>25991</v>
      </c>
      <c r="B8802" t="s">
        <v>25992</v>
      </c>
      <c r="C8802" t="s">
        <v>26012</v>
      </c>
      <c r="D8802" t="s">
        <v>25994</v>
      </c>
      <c r="E8802" t="s">
        <v>826</v>
      </c>
      <c r="F8802" t="s">
        <v>26013</v>
      </c>
      <c r="J8802" t="s">
        <v>826</v>
      </c>
      <c r="K8802" t="s">
        <v>25991</v>
      </c>
      <c r="L8802" t="s">
        <v>814</v>
      </c>
    </row>
    <row r="8803" spans="1:12">
      <c r="A8803" t="s">
        <v>25991</v>
      </c>
      <c r="B8803" t="s">
        <v>25992</v>
      </c>
      <c r="C8803" t="s">
        <v>26014</v>
      </c>
      <c r="D8803" t="s">
        <v>25994</v>
      </c>
      <c r="E8803" t="s">
        <v>933</v>
      </c>
      <c r="F8803" t="s">
        <v>26015</v>
      </c>
    </row>
    <row r="8804" spans="1:12">
      <c r="A8804" t="s">
        <v>25991</v>
      </c>
      <c r="B8804" t="s">
        <v>25992</v>
      </c>
      <c r="C8804" t="s">
        <v>26016</v>
      </c>
      <c r="D8804" t="s">
        <v>25994</v>
      </c>
      <c r="E8804" t="s">
        <v>16487</v>
      </c>
      <c r="F8804" t="s">
        <v>26017</v>
      </c>
      <c r="J8804" t="s">
        <v>16487</v>
      </c>
      <c r="K8804" t="s">
        <v>25991</v>
      </c>
      <c r="L8804" t="s">
        <v>814</v>
      </c>
    </row>
    <row r="8805" spans="1:12">
      <c r="A8805" t="s">
        <v>25991</v>
      </c>
      <c r="B8805" t="s">
        <v>25992</v>
      </c>
      <c r="C8805" t="s">
        <v>26018</v>
      </c>
      <c r="D8805" t="s">
        <v>25994</v>
      </c>
      <c r="E8805" t="s">
        <v>4927</v>
      </c>
      <c r="F8805" t="s">
        <v>26019</v>
      </c>
      <c r="J8805" t="s">
        <v>4927</v>
      </c>
      <c r="K8805" t="s">
        <v>25991</v>
      </c>
      <c r="L8805" t="s">
        <v>814</v>
      </c>
    </row>
    <row r="8806" spans="1:12">
      <c r="A8806" t="s">
        <v>25991</v>
      </c>
      <c r="B8806" t="s">
        <v>25992</v>
      </c>
      <c r="C8806" t="s">
        <v>26020</v>
      </c>
      <c r="D8806" t="s">
        <v>25994</v>
      </c>
      <c r="E8806" t="s">
        <v>22666</v>
      </c>
      <c r="F8806" t="s">
        <v>26021</v>
      </c>
    </row>
    <row r="8807" spans="1:12">
      <c r="A8807" t="s">
        <v>25991</v>
      </c>
      <c r="B8807" t="s">
        <v>25992</v>
      </c>
      <c r="C8807" t="s">
        <v>26022</v>
      </c>
      <c r="D8807" t="s">
        <v>25994</v>
      </c>
      <c r="E8807" t="s">
        <v>16510</v>
      </c>
      <c r="F8807" t="s">
        <v>26021</v>
      </c>
    </row>
    <row r="8808" spans="1:12">
      <c r="A8808" t="s">
        <v>25991</v>
      </c>
      <c r="B8808" t="s">
        <v>25992</v>
      </c>
      <c r="C8808" t="s">
        <v>26023</v>
      </c>
      <c r="D8808" t="s">
        <v>25994</v>
      </c>
      <c r="E8808" t="s">
        <v>26024</v>
      </c>
      <c r="F8808" t="s">
        <v>26025</v>
      </c>
      <c r="J8808" t="s">
        <v>26024</v>
      </c>
      <c r="K8808" t="s">
        <v>25991</v>
      </c>
      <c r="L8808" t="s">
        <v>814</v>
      </c>
    </row>
    <row r="8809" spans="1:12">
      <c r="A8809" t="s">
        <v>25991</v>
      </c>
      <c r="B8809" t="s">
        <v>25992</v>
      </c>
      <c r="C8809" t="s">
        <v>26026</v>
      </c>
      <c r="D8809" t="s">
        <v>25994</v>
      </c>
      <c r="E8809" t="s">
        <v>26027</v>
      </c>
      <c r="F8809" t="s">
        <v>26028</v>
      </c>
      <c r="J8809" t="s">
        <v>26027</v>
      </c>
      <c r="K8809" t="s">
        <v>25991</v>
      </c>
      <c r="L8809" t="s">
        <v>814</v>
      </c>
    </row>
    <row r="8810" spans="1:12">
      <c r="A8810" t="s">
        <v>25991</v>
      </c>
      <c r="B8810" t="s">
        <v>25992</v>
      </c>
      <c r="C8810" t="s">
        <v>26029</v>
      </c>
      <c r="D8810" t="s">
        <v>25994</v>
      </c>
      <c r="E8810" t="s">
        <v>1744</v>
      </c>
      <c r="F8810" t="s">
        <v>26030</v>
      </c>
    </row>
    <row r="8811" spans="1:12">
      <c r="A8811" t="s">
        <v>25991</v>
      </c>
      <c r="B8811" t="s">
        <v>25992</v>
      </c>
      <c r="C8811" t="s">
        <v>26031</v>
      </c>
      <c r="D8811" t="s">
        <v>25994</v>
      </c>
      <c r="E8811" t="s">
        <v>26032</v>
      </c>
      <c r="F8811" t="s">
        <v>26033</v>
      </c>
      <c r="J8811" t="s">
        <v>26032</v>
      </c>
      <c r="K8811" t="s">
        <v>25991</v>
      </c>
      <c r="L8811" t="s">
        <v>814</v>
      </c>
    </row>
    <row r="8812" spans="1:12">
      <c r="A8812" t="s">
        <v>25991</v>
      </c>
      <c r="B8812" t="s">
        <v>25992</v>
      </c>
      <c r="C8812" t="s">
        <v>26034</v>
      </c>
      <c r="D8812" t="s">
        <v>25994</v>
      </c>
      <c r="E8812" t="s">
        <v>26035</v>
      </c>
      <c r="F8812" t="s">
        <v>26036</v>
      </c>
    </row>
    <row r="8813" spans="1:12">
      <c r="A8813" t="s">
        <v>25991</v>
      </c>
      <c r="B8813" t="s">
        <v>25992</v>
      </c>
      <c r="C8813" t="s">
        <v>26037</v>
      </c>
      <c r="D8813" t="s">
        <v>25994</v>
      </c>
      <c r="E8813" t="s">
        <v>26038</v>
      </c>
      <c r="F8813" t="s">
        <v>26039</v>
      </c>
    </row>
    <row r="8814" spans="1:12">
      <c r="A8814" t="s">
        <v>25991</v>
      </c>
      <c r="B8814" t="s">
        <v>25992</v>
      </c>
      <c r="C8814" t="s">
        <v>26040</v>
      </c>
      <c r="D8814" t="s">
        <v>25994</v>
      </c>
      <c r="E8814" t="s">
        <v>26041</v>
      </c>
      <c r="F8814" t="s">
        <v>26042</v>
      </c>
    </row>
    <row r="8815" spans="1:12">
      <c r="A8815" t="s">
        <v>25991</v>
      </c>
      <c r="B8815" t="s">
        <v>25992</v>
      </c>
      <c r="C8815" t="s">
        <v>26043</v>
      </c>
      <c r="D8815" t="s">
        <v>25994</v>
      </c>
      <c r="E8815" t="s">
        <v>26044</v>
      </c>
      <c r="F8815" t="s">
        <v>26045</v>
      </c>
      <c r="J8815" t="s">
        <v>26044</v>
      </c>
      <c r="K8815" t="s">
        <v>25991</v>
      </c>
      <c r="L8815" t="s">
        <v>814</v>
      </c>
    </row>
    <row r="8816" spans="1:12">
      <c r="A8816" t="s">
        <v>25991</v>
      </c>
      <c r="B8816" t="s">
        <v>25992</v>
      </c>
      <c r="C8816" t="s">
        <v>26046</v>
      </c>
      <c r="D8816" t="s">
        <v>25994</v>
      </c>
      <c r="E8816" t="s">
        <v>12643</v>
      </c>
      <c r="F8816" t="s">
        <v>26047</v>
      </c>
    </row>
    <row r="8817" spans="1:12">
      <c r="A8817" t="s">
        <v>25991</v>
      </c>
      <c r="B8817" t="s">
        <v>25992</v>
      </c>
      <c r="C8817" t="s">
        <v>26048</v>
      </c>
      <c r="D8817" t="s">
        <v>25994</v>
      </c>
      <c r="E8817" t="s">
        <v>26049</v>
      </c>
      <c r="F8817" t="s">
        <v>26050</v>
      </c>
      <c r="J8817" t="s">
        <v>26049</v>
      </c>
      <c r="K8817" t="s">
        <v>25991</v>
      </c>
      <c r="L8817" t="s">
        <v>814</v>
      </c>
    </row>
    <row r="8818" spans="1:12">
      <c r="A8818" t="s">
        <v>25991</v>
      </c>
      <c r="B8818" t="s">
        <v>25992</v>
      </c>
      <c r="C8818" t="s">
        <v>26051</v>
      </c>
      <c r="D8818" t="s">
        <v>25994</v>
      </c>
      <c r="E8818" t="s">
        <v>26052</v>
      </c>
      <c r="F8818" t="s">
        <v>26053</v>
      </c>
    </row>
    <row r="8819" spans="1:12">
      <c r="A8819" t="s">
        <v>25991</v>
      </c>
      <c r="B8819" t="s">
        <v>25992</v>
      </c>
      <c r="C8819" t="s">
        <v>26054</v>
      </c>
      <c r="D8819" t="s">
        <v>25994</v>
      </c>
      <c r="E8819" t="s">
        <v>26055</v>
      </c>
      <c r="F8819" t="s">
        <v>26056</v>
      </c>
      <c r="J8819" t="s">
        <v>26055</v>
      </c>
      <c r="K8819" t="s">
        <v>25991</v>
      </c>
      <c r="L8819" t="s">
        <v>814</v>
      </c>
    </row>
    <row r="8820" spans="1:12">
      <c r="A8820" t="s">
        <v>25991</v>
      </c>
      <c r="B8820" t="s">
        <v>25992</v>
      </c>
      <c r="C8820" t="s">
        <v>26057</v>
      </c>
      <c r="D8820" t="s">
        <v>25994</v>
      </c>
      <c r="E8820" t="s">
        <v>26058</v>
      </c>
      <c r="F8820" t="s">
        <v>26059</v>
      </c>
      <c r="J8820" t="s">
        <v>26058</v>
      </c>
      <c r="K8820" t="s">
        <v>25991</v>
      </c>
      <c r="L8820" t="s">
        <v>814</v>
      </c>
    </row>
    <row r="8821" spans="1:12">
      <c r="A8821" t="s">
        <v>25991</v>
      </c>
      <c r="B8821" t="s">
        <v>25992</v>
      </c>
      <c r="C8821" t="s">
        <v>26060</v>
      </c>
      <c r="D8821" t="s">
        <v>25994</v>
      </c>
      <c r="E8821" t="s">
        <v>26061</v>
      </c>
      <c r="F8821" t="s">
        <v>26062</v>
      </c>
      <c r="J8821" t="s">
        <v>26061</v>
      </c>
      <c r="K8821" t="s">
        <v>25991</v>
      </c>
      <c r="L8821" t="s">
        <v>814</v>
      </c>
    </row>
    <row r="8822" spans="1:12">
      <c r="A8822" t="s">
        <v>25991</v>
      </c>
      <c r="B8822" t="s">
        <v>25992</v>
      </c>
      <c r="C8822" t="s">
        <v>26063</v>
      </c>
      <c r="D8822" t="s">
        <v>25994</v>
      </c>
      <c r="E8822" t="s">
        <v>26064</v>
      </c>
      <c r="F8822" t="s">
        <v>26065</v>
      </c>
      <c r="J8822" t="s">
        <v>26064</v>
      </c>
      <c r="K8822" t="s">
        <v>25991</v>
      </c>
      <c r="L8822" t="s">
        <v>814</v>
      </c>
    </row>
    <row r="8823" spans="1:12">
      <c r="A8823" t="s">
        <v>25991</v>
      </c>
      <c r="B8823" t="s">
        <v>25992</v>
      </c>
      <c r="C8823" t="s">
        <v>26066</v>
      </c>
      <c r="D8823" t="s">
        <v>25994</v>
      </c>
      <c r="E8823" t="s">
        <v>9407</v>
      </c>
      <c r="F8823" t="s">
        <v>26067</v>
      </c>
      <c r="J8823" t="s">
        <v>9407</v>
      </c>
      <c r="K8823" t="s">
        <v>25991</v>
      </c>
      <c r="L8823" t="s">
        <v>814</v>
      </c>
    </row>
    <row r="8824" spans="1:12">
      <c r="A8824" t="s">
        <v>25991</v>
      </c>
      <c r="B8824" t="s">
        <v>25992</v>
      </c>
      <c r="C8824" t="s">
        <v>26068</v>
      </c>
      <c r="D8824" t="s">
        <v>25994</v>
      </c>
      <c r="E8824" t="s">
        <v>26069</v>
      </c>
      <c r="F8824" t="s">
        <v>26070</v>
      </c>
      <c r="J8824" t="s">
        <v>26069</v>
      </c>
      <c r="K8824" t="s">
        <v>25991</v>
      </c>
      <c r="L8824" t="s">
        <v>814</v>
      </c>
    </row>
    <row r="8825" spans="1:12">
      <c r="A8825" t="s">
        <v>25991</v>
      </c>
      <c r="B8825" t="s">
        <v>25992</v>
      </c>
      <c r="C8825" t="s">
        <v>26071</v>
      </c>
      <c r="D8825" t="s">
        <v>25994</v>
      </c>
      <c r="E8825" t="s">
        <v>26072</v>
      </c>
      <c r="F8825" t="s">
        <v>26073</v>
      </c>
    </row>
    <row r="8826" spans="1:12">
      <c r="A8826" t="s">
        <v>25991</v>
      </c>
      <c r="B8826" t="s">
        <v>25992</v>
      </c>
      <c r="C8826" t="s">
        <v>26074</v>
      </c>
      <c r="D8826" t="s">
        <v>25994</v>
      </c>
      <c r="E8826" t="s">
        <v>26075</v>
      </c>
      <c r="F8826" t="s">
        <v>26076</v>
      </c>
    </row>
    <row r="8827" spans="1:12">
      <c r="A8827" t="s">
        <v>25991</v>
      </c>
      <c r="B8827" t="s">
        <v>25992</v>
      </c>
      <c r="C8827" t="s">
        <v>26077</v>
      </c>
      <c r="D8827" t="s">
        <v>25994</v>
      </c>
      <c r="E8827" t="s">
        <v>5162</v>
      </c>
      <c r="F8827" t="s">
        <v>26078</v>
      </c>
    </row>
    <row r="8828" spans="1:12">
      <c r="A8828" t="s">
        <v>25991</v>
      </c>
      <c r="B8828" t="s">
        <v>25992</v>
      </c>
      <c r="C8828" t="s">
        <v>26079</v>
      </c>
      <c r="D8828" t="s">
        <v>25994</v>
      </c>
      <c r="E8828" t="s">
        <v>12037</v>
      </c>
      <c r="F8828" t="s">
        <v>26080</v>
      </c>
    </row>
    <row r="8829" spans="1:12">
      <c r="A8829" t="s">
        <v>25991</v>
      </c>
      <c r="B8829" t="s">
        <v>25992</v>
      </c>
      <c r="C8829" t="s">
        <v>26081</v>
      </c>
      <c r="D8829" t="s">
        <v>25994</v>
      </c>
      <c r="E8829" t="s">
        <v>26082</v>
      </c>
      <c r="F8829" t="s">
        <v>26083</v>
      </c>
    </row>
    <row r="8830" spans="1:12">
      <c r="A8830" t="s">
        <v>25991</v>
      </c>
      <c r="B8830" t="s">
        <v>25992</v>
      </c>
      <c r="C8830" t="s">
        <v>26084</v>
      </c>
      <c r="D8830" t="s">
        <v>25994</v>
      </c>
      <c r="E8830" t="s">
        <v>4232</v>
      </c>
      <c r="F8830" t="s">
        <v>26085</v>
      </c>
      <c r="J8830" t="s">
        <v>4232</v>
      </c>
      <c r="K8830" t="s">
        <v>25991</v>
      </c>
      <c r="L8830" t="s">
        <v>814</v>
      </c>
    </row>
    <row r="8831" spans="1:12">
      <c r="A8831" t="s">
        <v>25991</v>
      </c>
      <c r="B8831" t="s">
        <v>25992</v>
      </c>
      <c r="C8831" t="s">
        <v>26086</v>
      </c>
      <c r="D8831" t="s">
        <v>25994</v>
      </c>
      <c r="E8831" t="s">
        <v>15862</v>
      </c>
      <c r="F8831" t="s">
        <v>26087</v>
      </c>
      <c r="J8831" t="s">
        <v>15862</v>
      </c>
      <c r="K8831" t="s">
        <v>25991</v>
      </c>
      <c r="L8831" t="s">
        <v>814</v>
      </c>
    </row>
    <row r="8832" spans="1:12">
      <c r="A8832" t="s">
        <v>25991</v>
      </c>
      <c r="B8832" t="s">
        <v>25992</v>
      </c>
      <c r="C8832" t="s">
        <v>26088</v>
      </c>
      <c r="D8832" t="s">
        <v>25994</v>
      </c>
      <c r="E8832" t="s">
        <v>15877</v>
      </c>
      <c r="F8832" t="s">
        <v>26089</v>
      </c>
      <c r="J8832" t="s">
        <v>15877</v>
      </c>
      <c r="K8832" t="s">
        <v>25991</v>
      </c>
      <c r="L8832" t="s">
        <v>814</v>
      </c>
    </row>
    <row r="8833" spans="1:12">
      <c r="A8833" t="s">
        <v>25991</v>
      </c>
      <c r="B8833" t="s">
        <v>25992</v>
      </c>
      <c r="C8833" t="s">
        <v>26090</v>
      </c>
      <c r="D8833" t="s">
        <v>25994</v>
      </c>
      <c r="E8833" t="s">
        <v>26091</v>
      </c>
      <c r="F8833" t="s">
        <v>26092</v>
      </c>
      <c r="J8833" t="s">
        <v>26091</v>
      </c>
      <c r="K8833" t="s">
        <v>25991</v>
      </c>
      <c r="L8833" t="s">
        <v>814</v>
      </c>
    </row>
    <row r="8834" spans="1:12">
      <c r="A8834" t="s">
        <v>25991</v>
      </c>
      <c r="B8834" t="s">
        <v>25992</v>
      </c>
      <c r="C8834" t="s">
        <v>26093</v>
      </c>
      <c r="D8834" t="s">
        <v>25994</v>
      </c>
      <c r="E8834" t="s">
        <v>13786</v>
      </c>
      <c r="F8834" t="s">
        <v>26094</v>
      </c>
    </row>
    <row r="8835" spans="1:12">
      <c r="A8835" t="s">
        <v>25991</v>
      </c>
      <c r="B8835" t="s">
        <v>25992</v>
      </c>
      <c r="C8835" t="s">
        <v>26095</v>
      </c>
      <c r="D8835" t="s">
        <v>25994</v>
      </c>
      <c r="E8835" t="s">
        <v>6526</v>
      </c>
      <c r="F8835" t="s">
        <v>26096</v>
      </c>
    </row>
    <row r="8836" spans="1:12">
      <c r="A8836" t="s">
        <v>25991</v>
      </c>
      <c r="B8836" t="s">
        <v>25992</v>
      </c>
      <c r="C8836" t="s">
        <v>26097</v>
      </c>
      <c r="D8836" t="s">
        <v>25994</v>
      </c>
      <c r="E8836" t="s">
        <v>26098</v>
      </c>
      <c r="F8836" t="s">
        <v>26099</v>
      </c>
      <c r="J8836" t="s">
        <v>26098</v>
      </c>
      <c r="K8836" t="s">
        <v>25991</v>
      </c>
      <c r="L8836" t="s">
        <v>814</v>
      </c>
    </row>
    <row r="8837" spans="1:12">
      <c r="A8837" t="s">
        <v>25991</v>
      </c>
      <c r="B8837" t="s">
        <v>25992</v>
      </c>
      <c r="C8837" t="s">
        <v>26100</v>
      </c>
      <c r="D8837" t="s">
        <v>25994</v>
      </c>
      <c r="E8837" t="s">
        <v>5249</v>
      </c>
      <c r="F8837" t="s">
        <v>26101</v>
      </c>
      <c r="J8837" t="s">
        <v>5249</v>
      </c>
      <c r="K8837" t="s">
        <v>25991</v>
      </c>
      <c r="L8837" t="s">
        <v>814</v>
      </c>
    </row>
    <row r="8838" spans="1:12">
      <c r="A8838" t="s">
        <v>25991</v>
      </c>
      <c r="B8838" t="s">
        <v>25992</v>
      </c>
      <c r="C8838" t="s">
        <v>26102</v>
      </c>
      <c r="D8838" t="s">
        <v>25994</v>
      </c>
      <c r="E8838" t="s">
        <v>15421</v>
      </c>
      <c r="F8838" t="s">
        <v>26103</v>
      </c>
    </row>
    <row r="8839" spans="1:12">
      <c r="A8839" t="s">
        <v>25991</v>
      </c>
      <c r="B8839" t="s">
        <v>25992</v>
      </c>
      <c r="C8839" t="s">
        <v>26104</v>
      </c>
      <c r="D8839" t="s">
        <v>25994</v>
      </c>
      <c r="E8839" t="s">
        <v>20486</v>
      </c>
      <c r="F8839" t="s">
        <v>1351</v>
      </c>
      <c r="J8839" t="s">
        <v>20486</v>
      </c>
      <c r="K8839" t="s">
        <v>25991</v>
      </c>
      <c r="L8839" t="s">
        <v>814</v>
      </c>
    </row>
    <row r="8840" spans="1:12">
      <c r="A8840" t="s">
        <v>25991</v>
      </c>
      <c r="B8840" t="s">
        <v>25992</v>
      </c>
      <c r="C8840" t="s">
        <v>26105</v>
      </c>
      <c r="D8840" t="s">
        <v>25994</v>
      </c>
      <c r="E8840" t="s">
        <v>9943</v>
      </c>
      <c r="F8840" t="s">
        <v>1050</v>
      </c>
      <c r="J8840" t="s">
        <v>9943</v>
      </c>
      <c r="K8840" t="s">
        <v>25991</v>
      </c>
      <c r="L8840" t="s">
        <v>814</v>
      </c>
    </row>
    <row r="8841" spans="1:12">
      <c r="A8841" t="s">
        <v>25991</v>
      </c>
      <c r="B8841" t="s">
        <v>25992</v>
      </c>
      <c r="C8841" t="s">
        <v>26106</v>
      </c>
      <c r="D8841" t="s">
        <v>25994</v>
      </c>
      <c r="E8841" t="s">
        <v>10572</v>
      </c>
      <c r="F8841" t="s">
        <v>1327</v>
      </c>
    </row>
    <row r="8842" spans="1:12">
      <c r="A8842" t="s">
        <v>25991</v>
      </c>
      <c r="B8842" t="s">
        <v>25992</v>
      </c>
      <c r="C8842" t="s">
        <v>26107</v>
      </c>
      <c r="D8842" t="s">
        <v>25994</v>
      </c>
      <c r="E8842" t="s">
        <v>14605</v>
      </c>
      <c r="F8842" t="s">
        <v>26108</v>
      </c>
    </row>
    <row r="8843" spans="1:12">
      <c r="A8843" t="s">
        <v>25991</v>
      </c>
      <c r="B8843" t="s">
        <v>25992</v>
      </c>
      <c r="C8843" t="s">
        <v>26109</v>
      </c>
      <c r="D8843" t="s">
        <v>25994</v>
      </c>
      <c r="E8843" t="s">
        <v>26110</v>
      </c>
      <c r="F8843" t="s">
        <v>26111</v>
      </c>
    </row>
    <row r="8844" spans="1:12">
      <c r="A8844" t="s">
        <v>25991</v>
      </c>
      <c r="B8844" t="s">
        <v>25992</v>
      </c>
      <c r="C8844" t="s">
        <v>26112</v>
      </c>
      <c r="D8844" t="s">
        <v>25994</v>
      </c>
      <c r="E8844" t="s">
        <v>26113</v>
      </c>
      <c r="F8844" t="s">
        <v>26114</v>
      </c>
      <c r="J8844" t="s">
        <v>26113</v>
      </c>
      <c r="K8844" t="s">
        <v>25991</v>
      </c>
      <c r="L8844" t="s">
        <v>814</v>
      </c>
    </row>
    <row r="8845" spans="1:12">
      <c r="A8845" t="s">
        <v>25991</v>
      </c>
      <c r="B8845" t="s">
        <v>25992</v>
      </c>
      <c r="C8845" t="s">
        <v>26115</v>
      </c>
      <c r="D8845" t="s">
        <v>25994</v>
      </c>
      <c r="E8845" t="s">
        <v>26116</v>
      </c>
      <c r="F8845" t="s">
        <v>26117</v>
      </c>
      <c r="J8845" t="s">
        <v>26116</v>
      </c>
      <c r="K8845" t="s">
        <v>25991</v>
      </c>
      <c r="L8845" t="s">
        <v>814</v>
      </c>
    </row>
    <row r="8846" spans="1:12">
      <c r="A8846" t="s">
        <v>25991</v>
      </c>
      <c r="B8846" t="s">
        <v>25992</v>
      </c>
      <c r="C8846" t="s">
        <v>26118</v>
      </c>
      <c r="D8846" t="s">
        <v>25994</v>
      </c>
      <c r="E8846" t="s">
        <v>26119</v>
      </c>
      <c r="F8846" t="s">
        <v>26120</v>
      </c>
      <c r="J8846" t="s">
        <v>26119</v>
      </c>
      <c r="K8846" t="s">
        <v>25991</v>
      </c>
      <c r="L8846" t="s">
        <v>814</v>
      </c>
    </row>
    <row r="8847" spans="1:12">
      <c r="A8847" t="s">
        <v>25991</v>
      </c>
      <c r="B8847" t="s">
        <v>25992</v>
      </c>
      <c r="C8847" t="s">
        <v>26121</v>
      </c>
      <c r="D8847" t="s">
        <v>25994</v>
      </c>
      <c r="E8847" t="s">
        <v>26122</v>
      </c>
      <c r="F8847" t="s">
        <v>26123</v>
      </c>
    </row>
    <row r="8848" spans="1:12">
      <c r="A8848" t="s">
        <v>25991</v>
      </c>
      <c r="B8848" t="s">
        <v>25992</v>
      </c>
      <c r="C8848" t="s">
        <v>26124</v>
      </c>
      <c r="D8848" t="s">
        <v>25994</v>
      </c>
      <c r="E8848" t="s">
        <v>26125</v>
      </c>
      <c r="F8848" t="s">
        <v>26126</v>
      </c>
      <c r="J8848" t="s">
        <v>26125</v>
      </c>
      <c r="K8848" t="s">
        <v>25991</v>
      </c>
      <c r="L8848" t="s">
        <v>814</v>
      </c>
    </row>
    <row r="8849" spans="1:12">
      <c r="A8849" t="s">
        <v>25991</v>
      </c>
      <c r="B8849" t="s">
        <v>25992</v>
      </c>
      <c r="C8849" t="s">
        <v>26127</v>
      </c>
      <c r="D8849" t="s">
        <v>25994</v>
      </c>
      <c r="E8849" t="s">
        <v>14677</v>
      </c>
      <c r="F8849" t="s">
        <v>26128</v>
      </c>
      <c r="J8849" t="s">
        <v>14677</v>
      </c>
      <c r="K8849" t="s">
        <v>25991</v>
      </c>
      <c r="L8849" t="s">
        <v>814</v>
      </c>
    </row>
    <row r="8850" spans="1:12">
      <c r="A8850" t="s">
        <v>25991</v>
      </c>
      <c r="B8850" t="s">
        <v>25992</v>
      </c>
      <c r="C8850" t="s">
        <v>26129</v>
      </c>
      <c r="D8850" t="s">
        <v>25994</v>
      </c>
      <c r="E8850" t="s">
        <v>13054</v>
      </c>
      <c r="F8850" t="s">
        <v>13911</v>
      </c>
      <c r="J8850" t="s">
        <v>13054</v>
      </c>
      <c r="K8850" t="s">
        <v>25991</v>
      </c>
      <c r="L8850" t="s">
        <v>814</v>
      </c>
    </row>
    <row r="8851" spans="1:12">
      <c r="A8851" t="s">
        <v>25991</v>
      </c>
      <c r="B8851" t="s">
        <v>25992</v>
      </c>
      <c r="C8851" t="s">
        <v>26130</v>
      </c>
      <c r="D8851" t="s">
        <v>25994</v>
      </c>
      <c r="E8851" t="s">
        <v>26131</v>
      </c>
      <c r="F8851" t="s">
        <v>26132</v>
      </c>
      <c r="J8851" t="s">
        <v>26131</v>
      </c>
      <c r="K8851" t="s">
        <v>25991</v>
      </c>
      <c r="L8851" t="s">
        <v>814</v>
      </c>
    </row>
    <row r="8852" spans="1:12">
      <c r="A8852" t="s">
        <v>25991</v>
      </c>
      <c r="B8852" t="s">
        <v>25992</v>
      </c>
      <c r="C8852" t="s">
        <v>26133</v>
      </c>
      <c r="D8852" t="s">
        <v>25994</v>
      </c>
      <c r="E8852" t="s">
        <v>26134</v>
      </c>
      <c r="F8852" t="s">
        <v>26135</v>
      </c>
      <c r="J8852" t="s">
        <v>26134</v>
      </c>
      <c r="K8852" t="s">
        <v>25991</v>
      </c>
      <c r="L8852" t="s">
        <v>814</v>
      </c>
    </row>
    <row r="8853" spans="1:12">
      <c r="A8853" t="s">
        <v>25991</v>
      </c>
      <c r="B8853" t="s">
        <v>25992</v>
      </c>
      <c r="C8853" t="s">
        <v>26136</v>
      </c>
      <c r="D8853" t="s">
        <v>25994</v>
      </c>
      <c r="E8853" t="s">
        <v>26137</v>
      </c>
      <c r="F8853" t="s">
        <v>26138</v>
      </c>
      <c r="J8853" t="s">
        <v>26137</v>
      </c>
      <c r="K8853" t="s">
        <v>25991</v>
      </c>
      <c r="L8853" t="s">
        <v>814</v>
      </c>
    </row>
    <row r="8854" spans="1:12">
      <c r="A8854" t="s">
        <v>25991</v>
      </c>
      <c r="B8854" t="s">
        <v>25992</v>
      </c>
      <c r="C8854" t="s">
        <v>26139</v>
      </c>
      <c r="D8854" t="s">
        <v>25994</v>
      </c>
      <c r="E8854" t="s">
        <v>26140</v>
      </c>
      <c r="F8854" t="s">
        <v>26141</v>
      </c>
    </row>
    <row r="8855" spans="1:12">
      <c r="A8855" t="s">
        <v>25991</v>
      </c>
      <c r="B8855" t="s">
        <v>25992</v>
      </c>
      <c r="C8855" t="s">
        <v>26142</v>
      </c>
      <c r="D8855" t="s">
        <v>25994</v>
      </c>
      <c r="E8855" t="s">
        <v>655</v>
      </c>
      <c r="F8855" t="s">
        <v>656</v>
      </c>
    </row>
    <row r="8856" spans="1:12">
      <c r="A8856" t="s">
        <v>26143</v>
      </c>
      <c r="B8856" t="s">
        <v>26144</v>
      </c>
      <c r="C8856" t="s">
        <v>26145</v>
      </c>
      <c r="D8856" t="s">
        <v>26146</v>
      </c>
      <c r="E8856" t="s">
        <v>26147</v>
      </c>
      <c r="F8856" t="s">
        <v>26148</v>
      </c>
      <c r="J8856" t="s">
        <v>26147</v>
      </c>
      <c r="K8856" t="s">
        <v>26149</v>
      </c>
      <c r="L8856" t="s">
        <v>1389</v>
      </c>
    </row>
    <row r="8857" spans="1:12">
      <c r="A8857" t="s">
        <v>26143</v>
      </c>
      <c r="B8857" t="s">
        <v>26144</v>
      </c>
      <c r="C8857" t="s">
        <v>26150</v>
      </c>
      <c r="D8857" t="s">
        <v>26146</v>
      </c>
      <c r="E8857" t="s">
        <v>26151</v>
      </c>
      <c r="F8857" t="s">
        <v>26152</v>
      </c>
      <c r="J8857" t="s">
        <v>26151</v>
      </c>
      <c r="K8857" t="s">
        <v>26149</v>
      </c>
      <c r="L8857" t="s">
        <v>1389</v>
      </c>
    </row>
    <row r="8858" spans="1:12">
      <c r="A8858" t="s">
        <v>26143</v>
      </c>
      <c r="B8858" t="s">
        <v>26144</v>
      </c>
      <c r="C8858" t="s">
        <v>26153</v>
      </c>
      <c r="D8858" t="s">
        <v>26146</v>
      </c>
      <c r="E8858" t="s">
        <v>26154</v>
      </c>
      <c r="F8858" t="s">
        <v>26155</v>
      </c>
      <c r="J8858" t="s">
        <v>26154</v>
      </c>
      <c r="K8858" t="s">
        <v>26149</v>
      </c>
      <c r="L8858" t="s">
        <v>1389</v>
      </c>
    </row>
    <row r="8859" spans="1:12">
      <c r="A8859" t="s">
        <v>26143</v>
      </c>
      <c r="B8859" t="s">
        <v>26144</v>
      </c>
      <c r="C8859" t="s">
        <v>26156</v>
      </c>
      <c r="D8859" t="s">
        <v>26146</v>
      </c>
      <c r="E8859" t="s">
        <v>26157</v>
      </c>
      <c r="F8859" t="s">
        <v>26158</v>
      </c>
      <c r="J8859" t="s">
        <v>26157</v>
      </c>
      <c r="K8859" t="s">
        <v>26149</v>
      </c>
      <c r="L8859" t="s">
        <v>1389</v>
      </c>
    </row>
    <row r="8860" spans="1:12">
      <c r="A8860" t="s">
        <v>26143</v>
      </c>
      <c r="B8860" t="s">
        <v>26144</v>
      </c>
      <c r="C8860" t="s">
        <v>26159</v>
      </c>
      <c r="D8860" t="s">
        <v>26146</v>
      </c>
      <c r="E8860" t="s">
        <v>26160</v>
      </c>
      <c r="F8860" t="s">
        <v>26161</v>
      </c>
      <c r="J8860" t="s">
        <v>26160</v>
      </c>
      <c r="K8860" t="s">
        <v>26149</v>
      </c>
      <c r="L8860" t="s">
        <v>1389</v>
      </c>
    </row>
    <row r="8861" spans="1:12">
      <c r="A8861" t="s">
        <v>26143</v>
      </c>
      <c r="B8861" t="s">
        <v>26144</v>
      </c>
      <c r="C8861" t="s">
        <v>26162</v>
      </c>
      <c r="D8861" t="s">
        <v>26146</v>
      </c>
      <c r="E8861" t="s">
        <v>12519</v>
      </c>
      <c r="F8861" t="s">
        <v>26163</v>
      </c>
      <c r="J8861" t="s">
        <v>12519</v>
      </c>
      <c r="K8861" t="s">
        <v>26149</v>
      </c>
      <c r="L8861" t="s">
        <v>1389</v>
      </c>
    </row>
    <row r="8862" spans="1:12">
      <c r="A8862" t="s">
        <v>26143</v>
      </c>
      <c r="B8862" t="s">
        <v>26144</v>
      </c>
      <c r="C8862" t="s">
        <v>26164</v>
      </c>
      <c r="D8862" t="s">
        <v>26146</v>
      </c>
      <c r="E8862" t="s">
        <v>26165</v>
      </c>
      <c r="F8862" t="s">
        <v>26166</v>
      </c>
      <c r="J8862" t="s">
        <v>26165</v>
      </c>
      <c r="K8862" t="s">
        <v>26149</v>
      </c>
      <c r="L8862" t="s">
        <v>1389</v>
      </c>
    </row>
    <row r="8863" spans="1:12">
      <c r="A8863" t="s">
        <v>26143</v>
      </c>
      <c r="B8863" t="s">
        <v>26144</v>
      </c>
      <c r="C8863" t="s">
        <v>26167</v>
      </c>
      <c r="D8863" t="s">
        <v>26146</v>
      </c>
      <c r="E8863" t="s">
        <v>26168</v>
      </c>
      <c r="F8863" t="s">
        <v>26169</v>
      </c>
      <c r="J8863" t="s">
        <v>26168</v>
      </c>
      <c r="K8863" t="s">
        <v>26149</v>
      </c>
      <c r="L8863" t="s">
        <v>1389</v>
      </c>
    </row>
    <row r="8864" spans="1:12">
      <c r="A8864" t="s">
        <v>26143</v>
      </c>
      <c r="B8864" t="s">
        <v>26144</v>
      </c>
      <c r="C8864" t="s">
        <v>26170</v>
      </c>
      <c r="D8864" t="s">
        <v>26146</v>
      </c>
      <c r="E8864" t="s">
        <v>26171</v>
      </c>
      <c r="F8864" t="s">
        <v>26172</v>
      </c>
      <c r="J8864" t="s">
        <v>26171</v>
      </c>
      <c r="K8864" t="s">
        <v>26149</v>
      </c>
      <c r="L8864" t="s">
        <v>1389</v>
      </c>
    </row>
    <row r="8865" spans="1:12">
      <c r="A8865" t="s">
        <v>26143</v>
      </c>
      <c r="B8865" t="s">
        <v>26144</v>
      </c>
      <c r="C8865" t="s">
        <v>26173</v>
      </c>
      <c r="D8865" t="s">
        <v>26146</v>
      </c>
      <c r="E8865" t="s">
        <v>26174</v>
      </c>
      <c r="F8865" t="s">
        <v>26175</v>
      </c>
      <c r="J8865" t="s">
        <v>26174</v>
      </c>
      <c r="K8865" t="s">
        <v>26149</v>
      </c>
      <c r="L8865" t="s">
        <v>1389</v>
      </c>
    </row>
    <row r="8866" spans="1:12">
      <c r="A8866" t="s">
        <v>26143</v>
      </c>
      <c r="B8866" t="s">
        <v>26144</v>
      </c>
      <c r="C8866" t="s">
        <v>26176</v>
      </c>
      <c r="D8866" t="s">
        <v>26146</v>
      </c>
      <c r="E8866" t="s">
        <v>26177</v>
      </c>
      <c r="F8866" t="s">
        <v>26178</v>
      </c>
      <c r="J8866" t="s">
        <v>26177</v>
      </c>
      <c r="K8866" t="s">
        <v>26149</v>
      </c>
      <c r="L8866" t="s">
        <v>1389</v>
      </c>
    </row>
    <row r="8867" spans="1:12">
      <c r="A8867" t="s">
        <v>26143</v>
      </c>
      <c r="B8867" t="s">
        <v>26144</v>
      </c>
      <c r="C8867" t="s">
        <v>26179</v>
      </c>
      <c r="D8867" t="s">
        <v>26146</v>
      </c>
      <c r="E8867" t="s">
        <v>11316</v>
      </c>
      <c r="F8867" t="s">
        <v>26180</v>
      </c>
      <c r="J8867" t="s">
        <v>11316</v>
      </c>
      <c r="K8867" t="s">
        <v>26149</v>
      </c>
      <c r="L8867" t="s">
        <v>1389</v>
      </c>
    </row>
    <row r="8868" spans="1:12">
      <c r="A8868" t="s">
        <v>26143</v>
      </c>
      <c r="B8868" t="s">
        <v>26144</v>
      </c>
      <c r="C8868" t="s">
        <v>26181</v>
      </c>
      <c r="D8868" t="s">
        <v>26146</v>
      </c>
      <c r="E8868" t="s">
        <v>18782</v>
      </c>
      <c r="F8868" t="s">
        <v>26182</v>
      </c>
      <c r="J8868" t="s">
        <v>18782</v>
      </c>
      <c r="K8868" t="s">
        <v>26149</v>
      </c>
      <c r="L8868" t="s">
        <v>1389</v>
      </c>
    </row>
    <row r="8869" spans="1:12">
      <c r="A8869" t="s">
        <v>26143</v>
      </c>
      <c r="B8869" t="s">
        <v>26144</v>
      </c>
      <c r="C8869" t="s">
        <v>26183</v>
      </c>
      <c r="D8869" t="s">
        <v>26146</v>
      </c>
      <c r="E8869" t="s">
        <v>26184</v>
      </c>
      <c r="F8869" t="s">
        <v>26185</v>
      </c>
      <c r="J8869" t="s">
        <v>26184</v>
      </c>
      <c r="K8869" t="s">
        <v>26149</v>
      </c>
      <c r="L8869" t="s">
        <v>1389</v>
      </c>
    </row>
    <row r="8870" spans="1:12">
      <c r="A8870" t="s">
        <v>26143</v>
      </c>
      <c r="B8870" t="s">
        <v>26144</v>
      </c>
      <c r="C8870" t="s">
        <v>26186</v>
      </c>
      <c r="D8870" t="s">
        <v>26146</v>
      </c>
      <c r="E8870" t="s">
        <v>24495</v>
      </c>
      <c r="F8870" t="s">
        <v>26187</v>
      </c>
      <c r="J8870" t="s">
        <v>24495</v>
      </c>
      <c r="K8870" t="s">
        <v>26149</v>
      </c>
      <c r="L8870" t="s">
        <v>1389</v>
      </c>
    </row>
    <row r="8871" spans="1:12">
      <c r="A8871" t="s">
        <v>26143</v>
      </c>
      <c r="B8871" t="s">
        <v>26144</v>
      </c>
      <c r="C8871" t="s">
        <v>26188</v>
      </c>
      <c r="D8871" t="s">
        <v>26146</v>
      </c>
      <c r="E8871" t="s">
        <v>26189</v>
      </c>
      <c r="F8871" t="s">
        <v>26190</v>
      </c>
      <c r="J8871" t="s">
        <v>26189</v>
      </c>
      <c r="K8871" t="s">
        <v>26149</v>
      </c>
      <c r="L8871" t="s">
        <v>1389</v>
      </c>
    </row>
    <row r="8872" spans="1:12">
      <c r="A8872" t="s">
        <v>26143</v>
      </c>
      <c r="B8872" t="s">
        <v>26144</v>
      </c>
      <c r="C8872" t="s">
        <v>26191</v>
      </c>
      <c r="D8872" t="s">
        <v>26146</v>
      </c>
      <c r="E8872" t="s">
        <v>11382</v>
      </c>
      <c r="F8872" t="s">
        <v>26192</v>
      </c>
      <c r="J8872" t="s">
        <v>11382</v>
      </c>
      <c r="K8872" t="s">
        <v>26149</v>
      </c>
      <c r="L8872" t="s">
        <v>1389</v>
      </c>
    </row>
    <row r="8873" spans="1:12">
      <c r="A8873" t="s">
        <v>26143</v>
      </c>
      <c r="B8873" t="s">
        <v>26144</v>
      </c>
      <c r="C8873" t="s">
        <v>26193</v>
      </c>
      <c r="D8873" t="s">
        <v>26146</v>
      </c>
      <c r="E8873" t="s">
        <v>12827</v>
      </c>
      <c r="F8873" t="s">
        <v>26194</v>
      </c>
      <c r="J8873" t="s">
        <v>12827</v>
      </c>
      <c r="K8873" t="s">
        <v>26149</v>
      </c>
      <c r="L8873" t="s">
        <v>1389</v>
      </c>
    </row>
    <row r="8874" spans="1:12">
      <c r="A8874" t="s">
        <v>26143</v>
      </c>
      <c r="B8874" t="s">
        <v>26144</v>
      </c>
      <c r="C8874" t="s">
        <v>26195</v>
      </c>
      <c r="D8874" t="s">
        <v>26146</v>
      </c>
      <c r="E8874" t="s">
        <v>26196</v>
      </c>
      <c r="F8874" t="s">
        <v>26197</v>
      </c>
      <c r="J8874" t="s">
        <v>26196</v>
      </c>
      <c r="K8874" t="s">
        <v>26149</v>
      </c>
      <c r="L8874" t="s">
        <v>1389</v>
      </c>
    </row>
    <row r="8875" spans="1:12">
      <c r="A8875" t="s">
        <v>26143</v>
      </c>
      <c r="B8875" t="s">
        <v>26144</v>
      </c>
      <c r="C8875" t="s">
        <v>26198</v>
      </c>
      <c r="D8875" t="s">
        <v>26146</v>
      </c>
      <c r="E8875" t="s">
        <v>26199</v>
      </c>
      <c r="F8875" t="s">
        <v>26200</v>
      </c>
      <c r="J8875" t="s">
        <v>26199</v>
      </c>
      <c r="K8875" t="s">
        <v>26149</v>
      </c>
      <c r="L8875" t="s">
        <v>1389</v>
      </c>
    </row>
    <row r="8876" spans="1:12">
      <c r="A8876" t="s">
        <v>26143</v>
      </c>
      <c r="B8876" t="s">
        <v>26144</v>
      </c>
      <c r="C8876" t="s">
        <v>26201</v>
      </c>
      <c r="D8876" t="s">
        <v>26146</v>
      </c>
      <c r="E8876" t="s">
        <v>26202</v>
      </c>
      <c r="F8876" t="s">
        <v>26203</v>
      </c>
      <c r="J8876" t="s">
        <v>26202</v>
      </c>
      <c r="K8876" t="s">
        <v>26149</v>
      </c>
      <c r="L8876" t="s">
        <v>1389</v>
      </c>
    </row>
    <row r="8877" spans="1:12">
      <c r="A8877" t="s">
        <v>26143</v>
      </c>
      <c r="B8877" t="s">
        <v>26144</v>
      </c>
      <c r="C8877" t="s">
        <v>26204</v>
      </c>
      <c r="D8877" t="s">
        <v>26146</v>
      </c>
      <c r="E8877" t="s">
        <v>26205</v>
      </c>
      <c r="F8877" t="s">
        <v>26206</v>
      </c>
      <c r="J8877" t="s">
        <v>26205</v>
      </c>
      <c r="K8877" t="s">
        <v>26149</v>
      </c>
      <c r="L8877" t="s">
        <v>1389</v>
      </c>
    </row>
    <row r="8878" spans="1:12">
      <c r="A8878" t="s">
        <v>26143</v>
      </c>
      <c r="B8878" t="s">
        <v>26144</v>
      </c>
      <c r="C8878" t="s">
        <v>26207</v>
      </c>
      <c r="D8878" t="s">
        <v>26146</v>
      </c>
      <c r="E8878" t="s">
        <v>26208</v>
      </c>
      <c r="F8878" t="s">
        <v>26209</v>
      </c>
      <c r="J8878" t="s">
        <v>26208</v>
      </c>
      <c r="K8878" t="s">
        <v>26149</v>
      </c>
      <c r="L8878" t="s">
        <v>1389</v>
      </c>
    </row>
    <row r="8879" spans="1:12">
      <c r="A8879" t="s">
        <v>26143</v>
      </c>
      <c r="B8879" t="s">
        <v>26144</v>
      </c>
      <c r="C8879" t="s">
        <v>26210</v>
      </c>
      <c r="D8879" t="s">
        <v>26146</v>
      </c>
      <c r="E8879" t="s">
        <v>26211</v>
      </c>
      <c r="F8879" t="s">
        <v>26212</v>
      </c>
      <c r="J8879" t="s">
        <v>26211</v>
      </c>
      <c r="K8879" t="s">
        <v>26149</v>
      </c>
      <c r="L8879" t="s">
        <v>1389</v>
      </c>
    </row>
    <row r="8880" spans="1:12">
      <c r="A8880" t="s">
        <v>26143</v>
      </c>
      <c r="B8880" t="s">
        <v>26144</v>
      </c>
      <c r="C8880" t="s">
        <v>26213</v>
      </c>
      <c r="D8880" t="s">
        <v>26146</v>
      </c>
      <c r="E8880" t="s">
        <v>26214</v>
      </c>
      <c r="F8880" t="s">
        <v>26215</v>
      </c>
      <c r="J8880" t="s">
        <v>26214</v>
      </c>
      <c r="K8880" t="s">
        <v>26149</v>
      </c>
      <c r="L8880" t="s">
        <v>1389</v>
      </c>
    </row>
    <row r="8881" spans="1:12">
      <c r="A8881" t="s">
        <v>26143</v>
      </c>
      <c r="B8881" t="s">
        <v>26144</v>
      </c>
      <c r="C8881" t="s">
        <v>26216</v>
      </c>
      <c r="D8881" t="s">
        <v>26146</v>
      </c>
      <c r="E8881" t="s">
        <v>26217</v>
      </c>
      <c r="F8881" t="s">
        <v>26218</v>
      </c>
      <c r="J8881" t="s">
        <v>26217</v>
      </c>
      <c r="K8881" t="s">
        <v>26149</v>
      </c>
      <c r="L8881" t="s">
        <v>1389</v>
      </c>
    </row>
    <row r="8882" spans="1:12">
      <c r="A8882" t="s">
        <v>26143</v>
      </c>
      <c r="B8882" t="s">
        <v>26144</v>
      </c>
      <c r="C8882" t="s">
        <v>26219</v>
      </c>
      <c r="D8882" t="s">
        <v>26146</v>
      </c>
      <c r="E8882" t="s">
        <v>26220</v>
      </c>
      <c r="F8882" t="s">
        <v>26221</v>
      </c>
      <c r="J8882" t="s">
        <v>26220</v>
      </c>
      <c r="K8882" t="s">
        <v>26149</v>
      </c>
      <c r="L8882" t="s">
        <v>1389</v>
      </c>
    </row>
    <row r="8883" spans="1:12">
      <c r="A8883" t="s">
        <v>26143</v>
      </c>
      <c r="B8883" t="s">
        <v>26144</v>
      </c>
      <c r="C8883" t="s">
        <v>26222</v>
      </c>
      <c r="D8883" t="s">
        <v>26146</v>
      </c>
      <c r="E8883" t="s">
        <v>24446</v>
      </c>
      <c r="F8883" t="s">
        <v>26223</v>
      </c>
      <c r="J8883" t="s">
        <v>24446</v>
      </c>
      <c r="K8883" t="s">
        <v>26149</v>
      </c>
      <c r="L8883" t="s">
        <v>1389</v>
      </c>
    </row>
    <row r="8884" spans="1:12">
      <c r="A8884" t="s">
        <v>26143</v>
      </c>
      <c r="B8884" t="s">
        <v>26144</v>
      </c>
      <c r="C8884" t="s">
        <v>26224</v>
      </c>
      <c r="D8884" t="s">
        <v>26146</v>
      </c>
      <c r="E8884" t="s">
        <v>26225</v>
      </c>
      <c r="F8884" t="s">
        <v>26226</v>
      </c>
      <c r="J8884" t="s">
        <v>26225</v>
      </c>
      <c r="K8884" t="s">
        <v>26149</v>
      </c>
      <c r="L8884" t="s">
        <v>1389</v>
      </c>
    </row>
    <row r="8885" spans="1:12">
      <c r="A8885" t="s">
        <v>26143</v>
      </c>
      <c r="B8885" t="s">
        <v>26144</v>
      </c>
      <c r="C8885" t="s">
        <v>26227</v>
      </c>
      <c r="D8885" t="s">
        <v>26146</v>
      </c>
      <c r="E8885" t="s">
        <v>26228</v>
      </c>
      <c r="F8885" t="s">
        <v>26229</v>
      </c>
      <c r="J8885" t="s">
        <v>26228</v>
      </c>
      <c r="K8885" t="s">
        <v>26149</v>
      </c>
      <c r="L8885" t="s">
        <v>1389</v>
      </c>
    </row>
    <row r="8886" spans="1:12">
      <c r="A8886" t="s">
        <v>26143</v>
      </c>
      <c r="B8886" t="s">
        <v>26144</v>
      </c>
      <c r="C8886" t="s">
        <v>26230</v>
      </c>
      <c r="D8886" t="s">
        <v>26146</v>
      </c>
      <c r="E8886" t="s">
        <v>4596</v>
      </c>
      <c r="F8886" t="s">
        <v>26231</v>
      </c>
      <c r="J8886" t="s">
        <v>4596</v>
      </c>
      <c r="K8886" t="s">
        <v>26149</v>
      </c>
      <c r="L8886" t="s">
        <v>1389</v>
      </c>
    </row>
    <row r="8887" spans="1:12">
      <c r="A8887" t="s">
        <v>26143</v>
      </c>
      <c r="B8887" t="s">
        <v>26144</v>
      </c>
      <c r="C8887" t="s">
        <v>26232</v>
      </c>
      <c r="D8887" t="s">
        <v>26146</v>
      </c>
      <c r="E8887" t="s">
        <v>26233</v>
      </c>
      <c r="F8887" t="s">
        <v>26234</v>
      </c>
      <c r="J8887" t="s">
        <v>26233</v>
      </c>
      <c r="K8887" t="s">
        <v>26149</v>
      </c>
      <c r="L8887" t="s">
        <v>1389</v>
      </c>
    </row>
    <row r="8888" spans="1:12">
      <c r="A8888" t="s">
        <v>26143</v>
      </c>
      <c r="B8888" t="s">
        <v>26144</v>
      </c>
      <c r="C8888" t="s">
        <v>26235</v>
      </c>
      <c r="D8888" t="s">
        <v>26146</v>
      </c>
      <c r="E8888" t="s">
        <v>26236</v>
      </c>
      <c r="F8888" t="s">
        <v>26237</v>
      </c>
      <c r="J8888" t="s">
        <v>26236</v>
      </c>
      <c r="K8888" t="s">
        <v>26149</v>
      </c>
      <c r="L8888" t="s">
        <v>1389</v>
      </c>
    </row>
    <row r="8889" spans="1:12">
      <c r="A8889" t="s">
        <v>26143</v>
      </c>
      <c r="B8889" t="s">
        <v>26144</v>
      </c>
      <c r="C8889" t="s">
        <v>26238</v>
      </c>
      <c r="D8889" t="s">
        <v>26146</v>
      </c>
      <c r="E8889" t="s">
        <v>26239</v>
      </c>
      <c r="F8889" t="s">
        <v>26240</v>
      </c>
      <c r="J8889" t="s">
        <v>26239</v>
      </c>
      <c r="K8889" t="s">
        <v>26149</v>
      </c>
      <c r="L8889" t="s">
        <v>1389</v>
      </c>
    </row>
    <row r="8890" spans="1:12">
      <c r="A8890" t="s">
        <v>26143</v>
      </c>
      <c r="B8890" t="s">
        <v>26144</v>
      </c>
      <c r="C8890" t="s">
        <v>26241</v>
      </c>
      <c r="D8890" t="s">
        <v>26146</v>
      </c>
      <c r="E8890" t="s">
        <v>655</v>
      </c>
      <c r="F8890" t="s">
        <v>656</v>
      </c>
    </row>
    <row r="8891" spans="1:12">
      <c r="A8891" t="s">
        <v>26143</v>
      </c>
      <c r="B8891" t="s">
        <v>26144</v>
      </c>
      <c r="D8891" t="s">
        <v>26146</v>
      </c>
      <c r="F8891" t="s">
        <v>26242</v>
      </c>
      <c r="J8891" t="s">
        <v>26243</v>
      </c>
      <c r="K8891" t="s">
        <v>26149</v>
      </c>
      <c r="L8891" t="s">
        <v>1389</v>
      </c>
    </row>
    <row r="8892" spans="1:12">
      <c r="A8892" t="s">
        <v>26244</v>
      </c>
      <c r="B8892" t="s">
        <v>26245</v>
      </c>
      <c r="C8892" t="s">
        <v>26246</v>
      </c>
      <c r="D8892" t="s">
        <v>26247</v>
      </c>
      <c r="E8892" t="s">
        <v>26248</v>
      </c>
      <c r="F8892" t="s">
        <v>26249</v>
      </c>
      <c r="J8892" t="s">
        <v>26248</v>
      </c>
      <c r="K8892" t="s">
        <v>26250</v>
      </c>
      <c r="L8892" t="s">
        <v>1389</v>
      </c>
    </row>
    <row r="8893" spans="1:12">
      <c r="A8893" t="s">
        <v>26244</v>
      </c>
      <c r="B8893" t="s">
        <v>26245</v>
      </c>
      <c r="C8893" t="s">
        <v>26251</v>
      </c>
      <c r="D8893" t="s">
        <v>26247</v>
      </c>
      <c r="E8893" t="s">
        <v>26252</v>
      </c>
      <c r="F8893" t="s">
        <v>26253</v>
      </c>
      <c r="J8893" t="s">
        <v>26252</v>
      </c>
      <c r="K8893" t="s">
        <v>26250</v>
      </c>
      <c r="L8893" t="s">
        <v>1389</v>
      </c>
    </row>
    <row r="8894" spans="1:12">
      <c r="A8894" t="s">
        <v>26244</v>
      </c>
      <c r="B8894" t="s">
        <v>26245</v>
      </c>
      <c r="C8894" t="s">
        <v>26254</v>
      </c>
      <c r="D8894" t="s">
        <v>26247</v>
      </c>
      <c r="E8894" t="s">
        <v>26255</v>
      </c>
      <c r="F8894" t="s">
        <v>26256</v>
      </c>
      <c r="J8894" t="s">
        <v>26255</v>
      </c>
      <c r="K8894" t="s">
        <v>26250</v>
      </c>
      <c r="L8894" t="s">
        <v>1389</v>
      </c>
    </row>
    <row r="8895" spans="1:12">
      <c r="A8895" t="s">
        <v>26244</v>
      </c>
      <c r="B8895" t="s">
        <v>26245</v>
      </c>
      <c r="C8895" t="s">
        <v>26257</v>
      </c>
      <c r="D8895" t="s">
        <v>26247</v>
      </c>
      <c r="E8895" t="s">
        <v>14004</v>
      </c>
      <c r="F8895" t="s">
        <v>26258</v>
      </c>
      <c r="J8895" t="s">
        <v>14004</v>
      </c>
      <c r="K8895" t="s">
        <v>26250</v>
      </c>
      <c r="L8895" t="s">
        <v>1389</v>
      </c>
    </row>
    <row r="8896" spans="1:12">
      <c r="A8896" t="s">
        <v>26244</v>
      </c>
      <c r="B8896" t="s">
        <v>26245</v>
      </c>
      <c r="C8896" t="s">
        <v>26259</v>
      </c>
      <c r="D8896" t="s">
        <v>26247</v>
      </c>
      <c r="E8896" t="s">
        <v>26260</v>
      </c>
      <c r="F8896" t="s">
        <v>26261</v>
      </c>
      <c r="J8896" t="s">
        <v>26260</v>
      </c>
      <c r="K8896" t="s">
        <v>26250</v>
      </c>
      <c r="L8896" t="s">
        <v>1389</v>
      </c>
    </row>
    <row r="8897" spans="1:12">
      <c r="A8897" t="s">
        <v>26244</v>
      </c>
      <c r="B8897" t="s">
        <v>26245</v>
      </c>
      <c r="C8897" t="s">
        <v>26262</v>
      </c>
      <c r="D8897" t="s">
        <v>26247</v>
      </c>
      <c r="E8897" t="s">
        <v>26263</v>
      </c>
      <c r="F8897" t="s">
        <v>26264</v>
      </c>
      <c r="J8897" t="s">
        <v>26263</v>
      </c>
      <c r="K8897" t="s">
        <v>26250</v>
      </c>
      <c r="L8897" t="s">
        <v>1389</v>
      </c>
    </row>
    <row r="8898" spans="1:12">
      <c r="A8898" t="s">
        <v>26244</v>
      </c>
      <c r="B8898" t="s">
        <v>26245</v>
      </c>
      <c r="C8898" t="s">
        <v>26265</v>
      </c>
      <c r="D8898" t="s">
        <v>26247</v>
      </c>
      <c r="E8898" t="s">
        <v>26266</v>
      </c>
      <c r="F8898" t="s">
        <v>26267</v>
      </c>
      <c r="J8898" t="s">
        <v>26266</v>
      </c>
      <c r="K8898" t="s">
        <v>26250</v>
      </c>
      <c r="L8898" t="s">
        <v>1389</v>
      </c>
    </row>
    <row r="8899" spans="1:12">
      <c r="A8899" t="s">
        <v>26244</v>
      </c>
      <c r="B8899" t="s">
        <v>26245</v>
      </c>
      <c r="C8899" t="s">
        <v>26268</v>
      </c>
      <c r="D8899" t="s">
        <v>26247</v>
      </c>
      <c r="E8899" t="s">
        <v>16204</v>
      </c>
      <c r="F8899" t="s">
        <v>26269</v>
      </c>
      <c r="J8899" t="s">
        <v>16204</v>
      </c>
      <c r="K8899" t="s">
        <v>26250</v>
      </c>
      <c r="L8899" t="s">
        <v>1389</v>
      </c>
    </row>
    <row r="8900" spans="1:12">
      <c r="A8900" t="s">
        <v>26244</v>
      </c>
      <c r="B8900" t="s">
        <v>26245</v>
      </c>
      <c r="C8900" t="s">
        <v>26270</v>
      </c>
      <c r="D8900" t="s">
        <v>26247</v>
      </c>
      <c r="E8900" t="s">
        <v>16212</v>
      </c>
      <c r="F8900" t="s">
        <v>26271</v>
      </c>
    </row>
    <row r="8901" spans="1:12">
      <c r="A8901" t="s">
        <v>26244</v>
      </c>
      <c r="B8901" t="s">
        <v>26245</v>
      </c>
      <c r="C8901" t="s">
        <v>26272</v>
      </c>
      <c r="D8901" t="s">
        <v>26247</v>
      </c>
      <c r="E8901" t="s">
        <v>26273</v>
      </c>
      <c r="F8901" t="s">
        <v>14152</v>
      </c>
      <c r="J8901" t="s">
        <v>26273</v>
      </c>
      <c r="K8901" t="s">
        <v>26250</v>
      </c>
      <c r="L8901" t="s">
        <v>1389</v>
      </c>
    </row>
    <row r="8902" spans="1:12">
      <c r="A8902" t="s">
        <v>26244</v>
      </c>
      <c r="B8902" t="s">
        <v>26245</v>
      </c>
      <c r="C8902" t="s">
        <v>26274</v>
      </c>
      <c r="D8902" t="s">
        <v>26247</v>
      </c>
      <c r="E8902" t="s">
        <v>16257</v>
      </c>
      <c r="F8902" t="s">
        <v>26275</v>
      </c>
      <c r="J8902" t="s">
        <v>16257</v>
      </c>
      <c r="K8902" t="s">
        <v>26250</v>
      </c>
      <c r="L8902" t="s">
        <v>1389</v>
      </c>
    </row>
    <row r="8903" spans="1:12">
      <c r="A8903" t="s">
        <v>26244</v>
      </c>
      <c r="B8903" t="s">
        <v>26245</v>
      </c>
      <c r="C8903" t="s">
        <v>26276</v>
      </c>
      <c r="D8903" t="s">
        <v>26247</v>
      </c>
      <c r="E8903" t="s">
        <v>16282</v>
      </c>
      <c r="F8903" t="s">
        <v>26277</v>
      </c>
      <c r="J8903" t="s">
        <v>16282</v>
      </c>
      <c r="K8903" t="s">
        <v>26250</v>
      </c>
      <c r="L8903" t="s">
        <v>1389</v>
      </c>
    </row>
    <row r="8904" spans="1:12">
      <c r="A8904" t="s">
        <v>26244</v>
      </c>
      <c r="B8904" t="s">
        <v>26245</v>
      </c>
      <c r="C8904" t="s">
        <v>26278</v>
      </c>
      <c r="D8904" t="s">
        <v>26247</v>
      </c>
      <c r="E8904" t="s">
        <v>16298</v>
      </c>
      <c r="F8904" t="s">
        <v>26279</v>
      </c>
    </row>
    <row r="8905" spans="1:12">
      <c r="A8905" t="s">
        <v>26244</v>
      </c>
      <c r="B8905" t="s">
        <v>26245</v>
      </c>
      <c r="C8905" t="s">
        <v>26280</v>
      </c>
      <c r="D8905" t="s">
        <v>26247</v>
      </c>
      <c r="E8905" t="s">
        <v>26281</v>
      </c>
      <c r="F8905" t="s">
        <v>26282</v>
      </c>
      <c r="J8905" t="s">
        <v>26281</v>
      </c>
      <c r="K8905" t="s">
        <v>26250</v>
      </c>
      <c r="L8905" t="s">
        <v>1389</v>
      </c>
    </row>
    <row r="8906" spans="1:12">
      <c r="A8906" t="s">
        <v>26244</v>
      </c>
      <c r="B8906" t="s">
        <v>26245</v>
      </c>
      <c r="C8906" t="s">
        <v>26283</v>
      </c>
      <c r="D8906" t="s">
        <v>26247</v>
      </c>
      <c r="E8906" t="s">
        <v>23844</v>
      </c>
      <c r="F8906" t="s">
        <v>26284</v>
      </c>
      <c r="J8906" t="s">
        <v>23844</v>
      </c>
      <c r="K8906" t="s">
        <v>26250</v>
      </c>
      <c r="L8906" t="s">
        <v>1389</v>
      </c>
    </row>
    <row r="8907" spans="1:12">
      <c r="A8907" t="s">
        <v>26244</v>
      </c>
      <c r="B8907" t="s">
        <v>26245</v>
      </c>
      <c r="C8907" t="s">
        <v>26285</v>
      </c>
      <c r="D8907" t="s">
        <v>26247</v>
      </c>
      <c r="E8907" t="s">
        <v>16337</v>
      </c>
      <c r="F8907" t="s">
        <v>26286</v>
      </c>
      <c r="J8907" t="s">
        <v>16337</v>
      </c>
      <c r="K8907" t="s">
        <v>26250</v>
      </c>
      <c r="L8907" t="s">
        <v>1389</v>
      </c>
    </row>
    <row r="8908" spans="1:12">
      <c r="A8908" t="s">
        <v>26244</v>
      </c>
      <c r="B8908" t="s">
        <v>26245</v>
      </c>
      <c r="C8908" t="s">
        <v>26287</v>
      </c>
      <c r="D8908" t="s">
        <v>26247</v>
      </c>
      <c r="E8908" t="s">
        <v>26288</v>
      </c>
      <c r="F8908" t="s">
        <v>26289</v>
      </c>
      <c r="J8908" t="s">
        <v>26288</v>
      </c>
      <c r="K8908" t="s">
        <v>26250</v>
      </c>
      <c r="L8908" t="s">
        <v>1389</v>
      </c>
    </row>
    <row r="8909" spans="1:12">
      <c r="A8909" t="s">
        <v>26244</v>
      </c>
      <c r="B8909" t="s">
        <v>26245</v>
      </c>
      <c r="C8909" t="s">
        <v>26290</v>
      </c>
      <c r="D8909" t="s">
        <v>26247</v>
      </c>
      <c r="E8909" t="s">
        <v>26291</v>
      </c>
      <c r="F8909" t="s">
        <v>26292</v>
      </c>
      <c r="J8909" t="s">
        <v>26291</v>
      </c>
      <c r="K8909" t="s">
        <v>26250</v>
      </c>
      <c r="L8909" t="s">
        <v>1389</v>
      </c>
    </row>
    <row r="8910" spans="1:12">
      <c r="A8910" t="s">
        <v>26244</v>
      </c>
      <c r="B8910" t="s">
        <v>26245</v>
      </c>
      <c r="C8910" t="s">
        <v>26293</v>
      </c>
      <c r="D8910" t="s">
        <v>26247</v>
      </c>
      <c r="E8910" t="s">
        <v>26294</v>
      </c>
      <c r="F8910" t="s">
        <v>26295</v>
      </c>
      <c r="J8910" t="s">
        <v>26294</v>
      </c>
      <c r="K8910" t="s">
        <v>26250</v>
      </c>
      <c r="L8910" t="s">
        <v>1389</v>
      </c>
    </row>
    <row r="8911" spans="1:12">
      <c r="A8911" t="s">
        <v>26244</v>
      </c>
      <c r="B8911" t="s">
        <v>26245</v>
      </c>
      <c r="C8911" t="s">
        <v>26296</v>
      </c>
      <c r="D8911" t="s">
        <v>26247</v>
      </c>
      <c r="E8911" t="s">
        <v>26297</v>
      </c>
      <c r="F8911" t="s">
        <v>26298</v>
      </c>
      <c r="J8911" t="s">
        <v>26297</v>
      </c>
      <c r="K8911" t="s">
        <v>26250</v>
      </c>
      <c r="L8911" t="s">
        <v>1389</v>
      </c>
    </row>
    <row r="8912" spans="1:12">
      <c r="A8912" t="s">
        <v>26244</v>
      </c>
      <c r="B8912" t="s">
        <v>26245</v>
      </c>
      <c r="C8912" t="s">
        <v>26299</v>
      </c>
      <c r="D8912" t="s">
        <v>26247</v>
      </c>
      <c r="E8912" t="s">
        <v>26300</v>
      </c>
      <c r="F8912" t="s">
        <v>26301</v>
      </c>
      <c r="J8912" t="s">
        <v>26300</v>
      </c>
      <c r="K8912" t="s">
        <v>26250</v>
      </c>
      <c r="L8912" t="s">
        <v>1389</v>
      </c>
    </row>
    <row r="8913" spans="1:12">
      <c r="A8913" t="s">
        <v>26244</v>
      </c>
      <c r="B8913" t="s">
        <v>26245</v>
      </c>
      <c r="C8913" t="s">
        <v>26302</v>
      </c>
      <c r="D8913" t="s">
        <v>26247</v>
      </c>
      <c r="E8913" t="s">
        <v>26303</v>
      </c>
      <c r="F8913" t="s">
        <v>26304</v>
      </c>
      <c r="J8913" t="s">
        <v>26303</v>
      </c>
      <c r="K8913" t="s">
        <v>26250</v>
      </c>
      <c r="L8913" t="s">
        <v>1389</v>
      </c>
    </row>
    <row r="8914" spans="1:12">
      <c r="A8914" t="s">
        <v>26244</v>
      </c>
      <c r="B8914" t="s">
        <v>26245</v>
      </c>
      <c r="C8914" t="s">
        <v>26305</v>
      </c>
      <c r="D8914" t="s">
        <v>26247</v>
      </c>
      <c r="E8914" t="s">
        <v>8467</v>
      </c>
      <c r="F8914" t="s">
        <v>26306</v>
      </c>
      <c r="J8914" t="s">
        <v>8467</v>
      </c>
      <c r="K8914" t="s">
        <v>26250</v>
      </c>
      <c r="L8914" t="s">
        <v>1389</v>
      </c>
    </row>
    <row r="8915" spans="1:12">
      <c r="A8915" t="s">
        <v>26244</v>
      </c>
      <c r="B8915" t="s">
        <v>26245</v>
      </c>
      <c r="C8915" t="s">
        <v>26307</v>
      </c>
      <c r="D8915" t="s">
        <v>26247</v>
      </c>
      <c r="E8915" t="s">
        <v>16436</v>
      </c>
      <c r="F8915" t="s">
        <v>26308</v>
      </c>
      <c r="J8915" t="s">
        <v>16436</v>
      </c>
      <c r="K8915" t="s">
        <v>26250</v>
      </c>
      <c r="L8915" t="s">
        <v>1389</v>
      </c>
    </row>
    <row r="8916" spans="1:12">
      <c r="A8916" t="s">
        <v>26244</v>
      </c>
      <c r="B8916" t="s">
        <v>26245</v>
      </c>
      <c r="C8916" t="s">
        <v>26309</v>
      </c>
      <c r="D8916" t="s">
        <v>26247</v>
      </c>
      <c r="E8916" t="s">
        <v>26310</v>
      </c>
      <c r="F8916" t="s">
        <v>26311</v>
      </c>
      <c r="J8916" t="s">
        <v>26310</v>
      </c>
      <c r="K8916" t="s">
        <v>26250</v>
      </c>
      <c r="L8916" t="s">
        <v>1389</v>
      </c>
    </row>
    <row r="8917" spans="1:12">
      <c r="A8917" t="s">
        <v>26244</v>
      </c>
      <c r="B8917" t="s">
        <v>26245</v>
      </c>
      <c r="C8917" t="s">
        <v>26312</v>
      </c>
      <c r="D8917" t="s">
        <v>26247</v>
      </c>
      <c r="E8917" t="s">
        <v>26313</v>
      </c>
      <c r="F8917" t="s">
        <v>26314</v>
      </c>
      <c r="J8917" t="s">
        <v>26313</v>
      </c>
      <c r="K8917" t="s">
        <v>26250</v>
      </c>
      <c r="L8917" t="s">
        <v>1389</v>
      </c>
    </row>
    <row r="8918" spans="1:12">
      <c r="A8918" t="s">
        <v>26244</v>
      </c>
      <c r="B8918" t="s">
        <v>26245</v>
      </c>
      <c r="C8918" t="s">
        <v>26315</v>
      </c>
      <c r="D8918" t="s">
        <v>26247</v>
      </c>
      <c r="E8918" t="s">
        <v>14010</v>
      </c>
      <c r="F8918" t="s">
        <v>7076</v>
      </c>
      <c r="J8918" t="s">
        <v>14010</v>
      </c>
      <c r="K8918" t="s">
        <v>26250</v>
      </c>
      <c r="L8918" t="s">
        <v>1389</v>
      </c>
    </row>
    <row r="8919" spans="1:12">
      <c r="A8919" t="s">
        <v>26244</v>
      </c>
      <c r="B8919" t="s">
        <v>26245</v>
      </c>
      <c r="C8919" t="s">
        <v>26316</v>
      </c>
      <c r="D8919" t="s">
        <v>26247</v>
      </c>
      <c r="E8919" t="s">
        <v>26317</v>
      </c>
      <c r="F8919" t="s">
        <v>26318</v>
      </c>
      <c r="J8919" t="s">
        <v>26317</v>
      </c>
      <c r="K8919" t="s">
        <v>26250</v>
      </c>
      <c r="L8919" t="s">
        <v>1389</v>
      </c>
    </row>
    <row r="8920" spans="1:12">
      <c r="A8920" t="s">
        <v>26244</v>
      </c>
      <c r="B8920" t="s">
        <v>26245</v>
      </c>
      <c r="C8920" t="s">
        <v>26319</v>
      </c>
      <c r="D8920" t="s">
        <v>26247</v>
      </c>
      <c r="E8920" t="s">
        <v>26320</v>
      </c>
      <c r="F8920" t="s">
        <v>26321</v>
      </c>
      <c r="J8920" t="s">
        <v>26320</v>
      </c>
      <c r="K8920" t="s">
        <v>26250</v>
      </c>
      <c r="L8920" t="s">
        <v>1389</v>
      </c>
    </row>
    <row r="8921" spans="1:12">
      <c r="A8921" t="s">
        <v>26244</v>
      </c>
      <c r="B8921" t="s">
        <v>26245</v>
      </c>
      <c r="C8921" t="s">
        <v>26322</v>
      </c>
      <c r="D8921" t="s">
        <v>26247</v>
      </c>
      <c r="E8921" t="s">
        <v>4883</v>
      </c>
      <c r="F8921" t="s">
        <v>26323</v>
      </c>
      <c r="J8921" t="s">
        <v>4883</v>
      </c>
      <c r="K8921" t="s">
        <v>26250</v>
      </c>
      <c r="L8921" t="s">
        <v>1389</v>
      </c>
    </row>
    <row r="8922" spans="1:12">
      <c r="A8922" t="s">
        <v>26244</v>
      </c>
      <c r="B8922" t="s">
        <v>26245</v>
      </c>
      <c r="C8922" t="s">
        <v>26324</v>
      </c>
      <c r="D8922" t="s">
        <v>26247</v>
      </c>
      <c r="E8922" t="s">
        <v>8533</v>
      </c>
      <c r="F8922" t="s">
        <v>26325</v>
      </c>
    </row>
    <row r="8923" spans="1:12">
      <c r="A8923" t="s">
        <v>26244</v>
      </c>
      <c r="B8923" t="s">
        <v>26245</v>
      </c>
      <c r="C8923" t="s">
        <v>26326</v>
      </c>
      <c r="D8923" t="s">
        <v>26247</v>
      </c>
      <c r="E8923" t="s">
        <v>26327</v>
      </c>
      <c r="F8923" t="s">
        <v>26328</v>
      </c>
      <c r="J8923" t="s">
        <v>26327</v>
      </c>
      <c r="K8923" t="s">
        <v>26250</v>
      </c>
      <c r="L8923" t="s">
        <v>1389</v>
      </c>
    </row>
    <row r="8924" spans="1:12">
      <c r="A8924" t="s">
        <v>26244</v>
      </c>
      <c r="B8924" t="s">
        <v>26245</v>
      </c>
      <c r="C8924" t="s">
        <v>26329</v>
      </c>
      <c r="D8924" t="s">
        <v>26247</v>
      </c>
      <c r="E8924" t="s">
        <v>26330</v>
      </c>
      <c r="F8924" t="s">
        <v>26331</v>
      </c>
      <c r="J8924" t="s">
        <v>26330</v>
      </c>
      <c r="K8924" t="s">
        <v>26250</v>
      </c>
      <c r="L8924" t="s">
        <v>1389</v>
      </c>
    </row>
    <row r="8925" spans="1:12">
      <c r="A8925" t="s">
        <v>26244</v>
      </c>
      <c r="B8925" t="s">
        <v>26245</v>
      </c>
      <c r="C8925" t="s">
        <v>26332</v>
      </c>
      <c r="D8925" t="s">
        <v>26247</v>
      </c>
      <c r="E8925" t="s">
        <v>26333</v>
      </c>
      <c r="F8925" t="s">
        <v>26334</v>
      </c>
      <c r="J8925" t="s">
        <v>26333</v>
      </c>
      <c r="K8925" t="s">
        <v>26250</v>
      </c>
      <c r="L8925" t="s">
        <v>1389</v>
      </c>
    </row>
    <row r="8926" spans="1:12">
      <c r="A8926" t="s">
        <v>26244</v>
      </c>
      <c r="B8926" t="s">
        <v>26245</v>
      </c>
      <c r="C8926" t="s">
        <v>26335</v>
      </c>
      <c r="D8926" t="s">
        <v>26247</v>
      </c>
      <c r="E8926" t="s">
        <v>8594</v>
      </c>
      <c r="F8926" t="s">
        <v>26336</v>
      </c>
    </row>
    <row r="8927" spans="1:12">
      <c r="A8927" t="s">
        <v>26244</v>
      </c>
      <c r="B8927" t="s">
        <v>26245</v>
      </c>
      <c r="C8927" t="s">
        <v>26337</v>
      </c>
      <c r="D8927" t="s">
        <v>26247</v>
      </c>
      <c r="E8927" t="s">
        <v>26338</v>
      </c>
      <c r="F8927" t="s">
        <v>26339</v>
      </c>
      <c r="J8927" t="s">
        <v>26338</v>
      </c>
      <c r="K8927" t="s">
        <v>26250</v>
      </c>
      <c r="L8927" t="s">
        <v>1389</v>
      </c>
    </row>
    <row r="8928" spans="1:12">
      <c r="A8928" t="s">
        <v>26244</v>
      </c>
      <c r="B8928" t="s">
        <v>26245</v>
      </c>
      <c r="C8928" t="s">
        <v>26340</v>
      </c>
      <c r="D8928" t="s">
        <v>26247</v>
      </c>
      <c r="E8928" t="s">
        <v>24190</v>
      </c>
      <c r="F8928" t="s">
        <v>26341</v>
      </c>
      <c r="J8928" t="s">
        <v>24190</v>
      </c>
      <c r="K8928" t="s">
        <v>26250</v>
      </c>
      <c r="L8928" t="s">
        <v>1389</v>
      </c>
    </row>
    <row r="8929" spans="1:12">
      <c r="A8929" t="s">
        <v>26244</v>
      </c>
      <c r="B8929" t="s">
        <v>26245</v>
      </c>
      <c r="C8929" t="s">
        <v>26342</v>
      </c>
      <c r="D8929" t="s">
        <v>26247</v>
      </c>
      <c r="E8929" t="s">
        <v>26343</v>
      </c>
      <c r="F8929" t="s">
        <v>26344</v>
      </c>
      <c r="J8929" t="s">
        <v>26343</v>
      </c>
      <c r="K8929" t="s">
        <v>26250</v>
      </c>
      <c r="L8929" t="s">
        <v>1389</v>
      </c>
    </row>
    <row r="8930" spans="1:12">
      <c r="A8930" t="s">
        <v>26244</v>
      </c>
      <c r="B8930" t="s">
        <v>26245</v>
      </c>
      <c r="C8930" t="s">
        <v>26345</v>
      </c>
      <c r="D8930" t="s">
        <v>26247</v>
      </c>
      <c r="E8930" t="s">
        <v>26346</v>
      </c>
      <c r="F8930" t="s">
        <v>26347</v>
      </c>
      <c r="J8930" t="s">
        <v>26346</v>
      </c>
      <c r="K8930" t="s">
        <v>26250</v>
      </c>
      <c r="L8930" t="s">
        <v>1389</v>
      </c>
    </row>
    <row r="8931" spans="1:12">
      <c r="A8931" t="s">
        <v>26244</v>
      </c>
      <c r="B8931" t="s">
        <v>26245</v>
      </c>
      <c r="C8931" t="s">
        <v>26348</v>
      </c>
      <c r="D8931" t="s">
        <v>26247</v>
      </c>
      <c r="E8931" t="s">
        <v>8094</v>
      </c>
      <c r="F8931" t="s">
        <v>26349</v>
      </c>
      <c r="J8931" t="s">
        <v>8094</v>
      </c>
      <c r="K8931" t="s">
        <v>26250</v>
      </c>
      <c r="L8931" t="s">
        <v>1389</v>
      </c>
    </row>
    <row r="8932" spans="1:12">
      <c r="A8932" t="s">
        <v>26244</v>
      </c>
      <c r="B8932" t="s">
        <v>26245</v>
      </c>
      <c r="C8932" t="s">
        <v>26350</v>
      </c>
      <c r="D8932" t="s">
        <v>26247</v>
      </c>
      <c r="E8932" t="s">
        <v>8617</v>
      </c>
      <c r="F8932" t="s">
        <v>26351</v>
      </c>
      <c r="J8932" t="s">
        <v>8617</v>
      </c>
      <c r="K8932" t="s">
        <v>26250</v>
      </c>
      <c r="L8932" t="s">
        <v>1389</v>
      </c>
    </row>
    <row r="8933" spans="1:12">
      <c r="A8933" t="s">
        <v>26244</v>
      </c>
      <c r="B8933" t="s">
        <v>26245</v>
      </c>
      <c r="C8933" t="s">
        <v>26352</v>
      </c>
      <c r="D8933" t="s">
        <v>26247</v>
      </c>
      <c r="E8933" t="s">
        <v>15560</v>
      </c>
      <c r="F8933" t="s">
        <v>26353</v>
      </c>
      <c r="J8933" t="s">
        <v>15560</v>
      </c>
      <c r="K8933" t="s">
        <v>26250</v>
      </c>
      <c r="L8933" t="s">
        <v>1389</v>
      </c>
    </row>
    <row r="8934" spans="1:12">
      <c r="A8934" t="s">
        <v>26244</v>
      </c>
      <c r="B8934" t="s">
        <v>26245</v>
      </c>
      <c r="C8934" t="s">
        <v>26354</v>
      </c>
      <c r="D8934" t="s">
        <v>26247</v>
      </c>
      <c r="E8934" t="s">
        <v>8637</v>
      </c>
      <c r="F8934" t="s">
        <v>26355</v>
      </c>
      <c r="J8934" t="s">
        <v>8637</v>
      </c>
      <c r="K8934" t="s">
        <v>26250</v>
      </c>
      <c r="L8934" t="s">
        <v>1389</v>
      </c>
    </row>
    <row r="8935" spans="1:12">
      <c r="A8935" t="s">
        <v>26244</v>
      </c>
      <c r="B8935" t="s">
        <v>26245</v>
      </c>
      <c r="C8935" t="s">
        <v>26356</v>
      </c>
      <c r="D8935" t="s">
        <v>26247</v>
      </c>
      <c r="E8935" t="s">
        <v>12381</v>
      </c>
      <c r="F8935" t="s">
        <v>26357</v>
      </c>
      <c r="J8935" t="s">
        <v>12381</v>
      </c>
      <c r="K8935" t="s">
        <v>26250</v>
      </c>
      <c r="L8935" t="s">
        <v>1389</v>
      </c>
    </row>
    <row r="8936" spans="1:12">
      <c r="A8936" t="s">
        <v>26244</v>
      </c>
      <c r="B8936" t="s">
        <v>26245</v>
      </c>
      <c r="C8936" t="s">
        <v>26358</v>
      </c>
      <c r="D8936" t="s">
        <v>26247</v>
      </c>
      <c r="E8936" t="s">
        <v>26359</v>
      </c>
      <c r="F8936" t="s">
        <v>26360</v>
      </c>
      <c r="J8936" t="s">
        <v>26359</v>
      </c>
      <c r="K8936" t="s">
        <v>26250</v>
      </c>
      <c r="L8936" t="s">
        <v>1389</v>
      </c>
    </row>
    <row r="8937" spans="1:12">
      <c r="A8937" t="s">
        <v>26244</v>
      </c>
      <c r="B8937" t="s">
        <v>26245</v>
      </c>
      <c r="C8937" t="s">
        <v>26361</v>
      </c>
      <c r="D8937" t="s">
        <v>26247</v>
      </c>
      <c r="E8937" t="s">
        <v>11551</v>
      </c>
      <c r="F8937" t="s">
        <v>26362</v>
      </c>
      <c r="J8937" t="s">
        <v>11551</v>
      </c>
      <c r="K8937" t="s">
        <v>26250</v>
      </c>
      <c r="L8937" t="s">
        <v>1389</v>
      </c>
    </row>
    <row r="8938" spans="1:12">
      <c r="A8938" t="s">
        <v>26244</v>
      </c>
      <c r="B8938" t="s">
        <v>26245</v>
      </c>
      <c r="C8938" t="s">
        <v>26363</v>
      </c>
      <c r="D8938" t="s">
        <v>26247</v>
      </c>
      <c r="E8938" t="s">
        <v>8678</v>
      </c>
      <c r="F8938" t="s">
        <v>26364</v>
      </c>
      <c r="J8938" t="s">
        <v>8678</v>
      </c>
      <c r="K8938" t="s">
        <v>26250</v>
      </c>
      <c r="L8938" t="s">
        <v>1389</v>
      </c>
    </row>
    <row r="8939" spans="1:12">
      <c r="A8939" t="s">
        <v>26244</v>
      </c>
      <c r="B8939" t="s">
        <v>26245</v>
      </c>
      <c r="C8939" t="s">
        <v>26365</v>
      </c>
      <c r="D8939" t="s">
        <v>26247</v>
      </c>
      <c r="E8939" t="s">
        <v>26366</v>
      </c>
      <c r="F8939" t="s">
        <v>26367</v>
      </c>
      <c r="J8939" t="s">
        <v>26366</v>
      </c>
      <c r="K8939" t="s">
        <v>26250</v>
      </c>
      <c r="L8939" t="s">
        <v>1389</v>
      </c>
    </row>
    <row r="8940" spans="1:12">
      <c r="A8940" t="s">
        <v>26244</v>
      </c>
      <c r="B8940" t="s">
        <v>26245</v>
      </c>
      <c r="C8940" t="s">
        <v>26368</v>
      </c>
      <c r="D8940" t="s">
        <v>26247</v>
      </c>
      <c r="E8940" t="s">
        <v>26369</v>
      </c>
      <c r="F8940" t="s">
        <v>26370</v>
      </c>
      <c r="J8940" t="s">
        <v>26369</v>
      </c>
      <c r="K8940" t="s">
        <v>26250</v>
      </c>
      <c r="L8940" t="s">
        <v>1389</v>
      </c>
    </row>
    <row r="8941" spans="1:12">
      <c r="A8941" t="s">
        <v>26244</v>
      </c>
      <c r="B8941" t="s">
        <v>26245</v>
      </c>
      <c r="C8941" t="s">
        <v>26371</v>
      </c>
      <c r="D8941" t="s">
        <v>26247</v>
      </c>
      <c r="E8941" t="s">
        <v>26372</v>
      </c>
      <c r="F8941" t="s">
        <v>26373</v>
      </c>
      <c r="J8941" t="s">
        <v>26372</v>
      </c>
      <c r="K8941" t="s">
        <v>26250</v>
      </c>
      <c r="L8941" t="s">
        <v>1389</v>
      </c>
    </row>
    <row r="8942" spans="1:12">
      <c r="A8942" t="s">
        <v>26244</v>
      </c>
      <c r="B8942" t="s">
        <v>26245</v>
      </c>
      <c r="C8942" t="s">
        <v>26374</v>
      </c>
      <c r="D8942" t="s">
        <v>26247</v>
      </c>
      <c r="E8942" t="s">
        <v>26375</v>
      </c>
      <c r="F8942" t="s">
        <v>26376</v>
      </c>
      <c r="J8942" t="s">
        <v>26375</v>
      </c>
      <c r="K8942" t="s">
        <v>26250</v>
      </c>
      <c r="L8942" t="s">
        <v>1389</v>
      </c>
    </row>
    <row r="8943" spans="1:12">
      <c r="A8943" t="s">
        <v>26244</v>
      </c>
      <c r="B8943" t="s">
        <v>26245</v>
      </c>
      <c r="C8943" t="s">
        <v>26377</v>
      </c>
      <c r="D8943" t="s">
        <v>26247</v>
      </c>
      <c r="E8943" t="s">
        <v>26378</v>
      </c>
      <c r="F8943" t="s">
        <v>26379</v>
      </c>
      <c r="J8943" t="s">
        <v>26378</v>
      </c>
      <c r="K8943" t="s">
        <v>26250</v>
      </c>
      <c r="L8943" t="s">
        <v>1389</v>
      </c>
    </row>
    <row r="8944" spans="1:12">
      <c r="A8944" t="s">
        <v>26244</v>
      </c>
      <c r="B8944" t="s">
        <v>26245</v>
      </c>
      <c r="C8944" t="s">
        <v>26380</v>
      </c>
      <c r="D8944" t="s">
        <v>26247</v>
      </c>
      <c r="E8944" t="s">
        <v>26381</v>
      </c>
      <c r="F8944" t="s">
        <v>26382</v>
      </c>
      <c r="J8944" t="s">
        <v>26381</v>
      </c>
      <c r="K8944" t="s">
        <v>26250</v>
      </c>
      <c r="L8944" t="s">
        <v>1389</v>
      </c>
    </row>
    <row r="8945" spans="1:12">
      <c r="A8945" t="s">
        <v>26244</v>
      </c>
      <c r="B8945" t="s">
        <v>26245</v>
      </c>
      <c r="C8945" t="s">
        <v>26383</v>
      </c>
      <c r="D8945" t="s">
        <v>26247</v>
      </c>
      <c r="E8945" t="s">
        <v>26384</v>
      </c>
      <c r="F8945" t="s">
        <v>26385</v>
      </c>
      <c r="J8945" t="s">
        <v>26384</v>
      </c>
      <c r="K8945" t="s">
        <v>26250</v>
      </c>
      <c r="L8945" t="s">
        <v>1389</v>
      </c>
    </row>
    <row r="8946" spans="1:12">
      <c r="A8946" t="s">
        <v>26244</v>
      </c>
      <c r="B8946" t="s">
        <v>26245</v>
      </c>
      <c r="C8946" t="s">
        <v>26386</v>
      </c>
      <c r="D8946" t="s">
        <v>26247</v>
      </c>
      <c r="E8946" t="s">
        <v>7207</v>
      </c>
      <c r="F8946" t="s">
        <v>26387</v>
      </c>
      <c r="J8946" t="s">
        <v>7207</v>
      </c>
      <c r="K8946" t="s">
        <v>26250</v>
      </c>
      <c r="L8946" t="s">
        <v>1389</v>
      </c>
    </row>
    <row r="8947" spans="1:12">
      <c r="A8947" t="s">
        <v>26244</v>
      </c>
      <c r="B8947" t="s">
        <v>26245</v>
      </c>
      <c r="C8947" t="s">
        <v>26388</v>
      </c>
      <c r="D8947" t="s">
        <v>26247</v>
      </c>
      <c r="E8947" t="s">
        <v>26389</v>
      </c>
      <c r="F8947" t="s">
        <v>26390</v>
      </c>
      <c r="J8947" t="s">
        <v>26389</v>
      </c>
      <c r="K8947" t="s">
        <v>26250</v>
      </c>
      <c r="L8947" t="s">
        <v>1389</v>
      </c>
    </row>
    <row r="8948" spans="1:12">
      <c r="A8948" t="s">
        <v>26244</v>
      </c>
      <c r="B8948" t="s">
        <v>26245</v>
      </c>
      <c r="C8948" t="s">
        <v>26391</v>
      </c>
      <c r="D8948" t="s">
        <v>26247</v>
      </c>
      <c r="E8948" t="s">
        <v>26392</v>
      </c>
      <c r="F8948" t="s">
        <v>26393</v>
      </c>
      <c r="J8948" t="s">
        <v>26392</v>
      </c>
      <c r="K8948" t="s">
        <v>26250</v>
      </c>
      <c r="L8948" t="s">
        <v>1389</v>
      </c>
    </row>
    <row r="8949" spans="1:12">
      <c r="A8949" t="s">
        <v>26244</v>
      </c>
      <c r="B8949" t="s">
        <v>26245</v>
      </c>
      <c r="C8949" t="s">
        <v>26394</v>
      </c>
      <c r="D8949" t="s">
        <v>26247</v>
      </c>
      <c r="E8949" t="s">
        <v>26395</v>
      </c>
      <c r="F8949" t="s">
        <v>26396</v>
      </c>
      <c r="J8949" t="s">
        <v>26395</v>
      </c>
      <c r="K8949" t="s">
        <v>26250</v>
      </c>
      <c r="L8949" t="s">
        <v>1389</v>
      </c>
    </row>
    <row r="8950" spans="1:12">
      <c r="A8950" t="s">
        <v>26244</v>
      </c>
      <c r="B8950" t="s">
        <v>26245</v>
      </c>
      <c r="C8950" t="s">
        <v>26397</v>
      </c>
      <c r="D8950" t="s">
        <v>26247</v>
      </c>
      <c r="E8950" t="s">
        <v>13445</v>
      </c>
      <c r="F8950" t="s">
        <v>26398</v>
      </c>
      <c r="J8950" t="s">
        <v>13445</v>
      </c>
      <c r="K8950" t="s">
        <v>26250</v>
      </c>
      <c r="L8950" t="s">
        <v>1389</v>
      </c>
    </row>
    <row r="8951" spans="1:12">
      <c r="A8951" t="s">
        <v>26244</v>
      </c>
      <c r="B8951" t="s">
        <v>26245</v>
      </c>
      <c r="C8951" t="s">
        <v>26399</v>
      </c>
      <c r="D8951" t="s">
        <v>26247</v>
      </c>
      <c r="E8951" t="s">
        <v>26400</v>
      </c>
      <c r="F8951" t="s">
        <v>26401</v>
      </c>
      <c r="J8951" t="s">
        <v>26400</v>
      </c>
      <c r="K8951" t="s">
        <v>26250</v>
      </c>
      <c r="L8951" t="s">
        <v>1389</v>
      </c>
    </row>
    <row r="8952" spans="1:12">
      <c r="A8952" t="s">
        <v>26244</v>
      </c>
      <c r="B8952" t="s">
        <v>26245</v>
      </c>
      <c r="C8952" t="s">
        <v>26402</v>
      </c>
      <c r="D8952" t="s">
        <v>26247</v>
      </c>
      <c r="E8952" t="s">
        <v>26403</v>
      </c>
      <c r="F8952" t="s">
        <v>26404</v>
      </c>
      <c r="J8952" t="s">
        <v>26403</v>
      </c>
      <c r="K8952" t="s">
        <v>26250</v>
      </c>
      <c r="L8952" t="s">
        <v>1389</v>
      </c>
    </row>
    <row r="8953" spans="1:12">
      <c r="A8953" t="s">
        <v>26244</v>
      </c>
      <c r="B8953" t="s">
        <v>26245</v>
      </c>
      <c r="C8953" t="s">
        <v>26405</v>
      </c>
      <c r="D8953" t="s">
        <v>26247</v>
      </c>
      <c r="E8953" t="s">
        <v>26406</v>
      </c>
      <c r="F8953" t="s">
        <v>26407</v>
      </c>
      <c r="J8953" t="s">
        <v>26406</v>
      </c>
      <c r="K8953" t="s">
        <v>26250</v>
      </c>
      <c r="L8953" t="s">
        <v>1389</v>
      </c>
    </row>
    <row r="8954" spans="1:12">
      <c r="A8954" t="s">
        <v>26244</v>
      </c>
      <c r="B8954" t="s">
        <v>26245</v>
      </c>
      <c r="C8954" t="s">
        <v>26408</v>
      </c>
      <c r="D8954" t="s">
        <v>26247</v>
      </c>
      <c r="E8954" t="s">
        <v>26409</v>
      </c>
      <c r="F8954" t="s">
        <v>26409</v>
      </c>
      <c r="J8954" t="s">
        <v>26409</v>
      </c>
      <c r="K8954" t="s">
        <v>26250</v>
      </c>
      <c r="L8954" t="s">
        <v>1389</v>
      </c>
    </row>
    <row r="8955" spans="1:12">
      <c r="A8955" t="s">
        <v>26244</v>
      </c>
      <c r="B8955" t="s">
        <v>26245</v>
      </c>
      <c r="C8955" t="s">
        <v>26410</v>
      </c>
      <c r="D8955" t="s">
        <v>26247</v>
      </c>
      <c r="E8955" t="s">
        <v>26411</v>
      </c>
      <c r="F8955" t="s">
        <v>26412</v>
      </c>
      <c r="J8955" t="s">
        <v>26411</v>
      </c>
      <c r="K8955" t="s">
        <v>26250</v>
      </c>
      <c r="L8955" t="s">
        <v>1389</v>
      </c>
    </row>
    <row r="8956" spans="1:12">
      <c r="A8956" t="s">
        <v>26244</v>
      </c>
      <c r="B8956" t="s">
        <v>26245</v>
      </c>
      <c r="C8956" t="s">
        <v>26413</v>
      </c>
      <c r="D8956" t="s">
        <v>26247</v>
      </c>
      <c r="E8956" t="s">
        <v>26414</v>
      </c>
      <c r="F8956" t="s">
        <v>26415</v>
      </c>
      <c r="J8956" t="s">
        <v>26414</v>
      </c>
      <c r="K8956" t="s">
        <v>26250</v>
      </c>
      <c r="L8956" t="s">
        <v>1389</v>
      </c>
    </row>
    <row r="8957" spans="1:12">
      <c r="A8957" t="s">
        <v>26244</v>
      </c>
      <c r="B8957" t="s">
        <v>26245</v>
      </c>
      <c r="C8957" t="s">
        <v>26416</v>
      </c>
      <c r="D8957" t="s">
        <v>26247</v>
      </c>
      <c r="E8957" t="s">
        <v>26417</v>
      </c>
      <c r="F8957" t="s">
        <v>26418</v>
      </c>
      <c r="J8957" t="s">
        <v>26417</v>
      </c>
      <c r="K8957" t="s">
        <v>26250</v>
      </c>
      <c r="L8957" t="s">
        <v>1389</v>
      </c>
    </row>
    <row r="8958" spans="1:12">
      <c r="A8958" t="s">
        <v>26244</v>
      </c>
      <c r="B8958" t="s">
        <v>26245</v>
      </c>
      <c r="C8958" t="s">
        <v>26419</v>
      </c>
      <c r="D8958" t="s">
        <v>26247</v>
      </c>
      <c r="E8958" t="s">
        <v>26420</v>
      </c>
      <c r="F8958" t="s">
        <v>26421</v>
      </c>
      <c r="J8958" t="s">
        <v>26420</v>
      </c>
      <c r="K8958" t="s">
        <v>26250</v>
      </c>
      <c r="L8958" t="s">
        <v>1389</v>
      </c>
    </row>
    <row r="8959" spans="1:12">
      <c r="A8959" t="s">
        <v>26244</v>
      </c>
      <c r="B8959" t="s">
        <v>26245</v>
      </c>
      <c r="C8959" t="s">
        <v>26422</v>
      </c>
      <c r="D8959" t="s">
        <v>26247</v>
      </c>
      <c r="E8959" t="s">
        <v>11267</v>
      </c>
      <c r="F8959" t="s">
        <v>26423</v>
      </c>
      <c r="J8959" t="s">
        <v>11267</v>
      </c>
      <c r="K8959" t="s">
        <v>26250</v>
      </c>
      <c r="L8959" t="s">
        <v>1389</v>
      </c>
    </row>
    <row r="8960" spans="1:12">
      <c r="A8960" t="s">
        <v>26244</v>
      </c>
      <c r="B8960" t="s">
        <v>26245</v>
      </c>
      <c r="C8960" t="s">
        <v>26424</v>
      </c>
      <c r="D8960" t="s">
        <v>26247</v>
      </c>
      <c r="E8960" t="s">
        <v>25201</v>
      </c>
      <c r="F8960" t="s">
        <v>26425</v>
      </c>
      <c r="J8960" t="s">
        <v>25201</v>
      </c>
      <c r="K8960" t="s">
        <v>26250</v>
      </c>
      <c r="L8960" t="s">
        <v>1389</v>
      </c>
    </row>
    <row r="8961" spans="1:12">
      <c r="A8961" t="s">
        <v>26244</v>
      </c>
      <c r="B8961" t="s">
        <v>26245</v>
      </c>
      <c r="C8961" t="s">
        <v>26426</v>
      </c>
      <c r="D8961" t="s">
        <v>26247</v>
      </c>
      <c r="E8961" t="s">
        <v>26427</v>
      </c>
      <c r="F8961" t="s">
        <v>26428</v>
      </c>
      <c r="J8961" t="s">
        <v>26427</v>
      </c>
      <c r="K8961" t="s">
        <v>26250</v>
      </c>
      <c r="L8961" t="s">
        <v>1389</v>
      </c>
    </row>
    <row r="8962" spans="1:12">
      <c r="A8962" t="s">
        <v>26244</v>
      </c>
      <c r="B8962" t="s">
        <v>26245</v>
      </c>
      <c r="C8962" t="s">
        <v>26429</v>
      </c>
      <c r="D8962" t="s">
        <v>26247</v>
      </c>
      <c r="E8962" t="s">
        <v>8966</v>
      </c>
      <c r="F8962" t="s">
        <v>26430</v>
      </c>
      <c r="J8962" t="s">
        <v>8966</v>
      </c>
      <c r="K8962" t="s">
        <v>26250</v>
      </c>
      <c r="L8962" t="s">
        <v>1389</v>
      </c>
    </row>
    <row r="8963" spans="1:12">
      <c r="A8963" t="s">
        <v>26244</v>
      </c>
      <c r="B8963" t="s">
        <v>26245</v>
      </c>
      <c r="C8963" t="s">
        <v>26431</v>
      </c>
      <c r="D8963" t="s">
        <v>26247</v>
      </c>
      <c r="E8963" t="s">
        <v>26432</v>
      </c>
      <c r="F8963" t="s">
        <v>26433</v>
      </c>
      <c r="J8963" t="s">
        <v>26432</v>
      </c>
      <c r="K8963" t="s">
        <v>26250</v>
      </c>
      <c r="L8963" t="s">
        <v>1389</v>
      </c>
    </row>
    <row r="8964" spans="1:12">
      <c r="A8964" t="s">
        <v>26244</v>
      </c>
      <c r="B8964" t="s">
        <v>26245</v>
      </c>
      <c r="C8964" t="s">
        <v>26434</v>
      </c>
      <c r="D8964" t="s">
        <v>26247</v>
      </c>
      <c r="E8964" t="s">
        <v>26435</v>
      </c>
      <c r="F8964" t="s">
        <v>26436</v>
      </c>
      <c r="J8964" t="s">
        <v>26435</v>
      </c>
      <c r="K8964" t="s">
        <v>26250</v>
      </c>
      <c r="L8964" t="s">
        <v>1389</v>
      </c>
    </row>
    <row r="8965" spans="1:12">
      <c r="A8965" t="s">
        <v>26244</v>
      </c>
      <c r="B8965" t="s">
        <v>26245</v>
      </c>
      <c r="C8965" t="s">
        <v>26437</v>
      </c>
      <c r="D8965" t="s">
        <v>26247</v>
      </c>
      <c r="E8965" t="s">
        <v>26438</v>
      </c>
      <c r="F8965" t="s">
        <v>26439</v>
      </c>
      <c r="J8965" t="s">
        <v>26438</v>
      </c>
      <c r="K8965" t="s">
        <v>26250</v>
      </c>
      <c r="L8965" t="s">
        <v>1389</v>
      </c>
    </row>
    <row r="8966" spans="1:12">
      <c r="A8966" t="s">
        <v>26244</v>
      </c>
      <c r="B8966" t="s">
        <v>26245</v>
      </c>
      <c r="C8966" t="s">
        <v>26440</v>
      </c>
      <c r="D8966" t="s">
        <v>26247</v>
      </c>
      <c r="E8966" t="s">
        <v>14278</v>
      </c>
      <c r="F8966" t="s">
        <v>26441</v>
      </c>
    </row>
    <row r="8967" spans="1:12">
      <c r="A8967" t="s">
        <v>26244</v>
      </c>
      <c r="B8967" t="s">
        <v>26245</v>
      </c>
      <c r="C8967" t="s">
        <v>26442</v>
      </c>
      <c r="D8967" t="s">
        <v>26247</v>
      </c>
      <c r="E8967" t="s">
        <v>16878</v>
      </c>
      <c r="F8967" t="s">
        <v>26443</v>
      </c>
      <c r="J8967" t="s">
        <v>16878</v>
      </c>
      <c r="K8967" t="s">
        <v>26250</v>
      </c>
      <c r="L8967" t="s">
        <v>1389</v>
      </c>
    </row>
    <row r="8968" spans="1:12">
      <c r="A8968" t="s">
        <v>26244</v>
      </c>
      <c r="B8968" t="s">
        <v>26245</v>
      </c>
      <c r="C8968" t="s">
        <v>26444</v>
      </c>
      <c r="D8968" t="s">
        <v>26247</v>
      </c>
      <c r="E8968" t="s">
        <v>26445</v>
      </c>
      <c r="F8968" t="s">
        <v>26446</v>
      </c>
      <c r="J8968" t="s">
        <v>26445</v>
      </c>
      <c r="K8968" t="s">
        <v>26250</v>
      </c>
      <c r="L8968" t="s">
        <v>1389</v>
      </c>
    </row>
    <row r="8969" spans="1:12">
      <c r="A8969" t="s">
        <v>26244</v>
      </c>
      <c r="B8969" t="s">
        <v>26245</v>
      </c>
      <c r="C8969" t="s">
        <v>26447</v>
      </c>
      <c r="D8969" t="s">
        <v>26247</v>
      </c>
      <c r="E8969" t="s">
        <v>9011</v>
      </c>
      <c r="F8969" t="s">
        <v>26448</v>
      </c>
      <c r="J8969" t="s">
        <v>9011</v>
      </c>
      <c r="K8969" t="s">
        <v>26250</v>
      </c>
      <c r="L8969" t="s">
        <v>1389</v>
      </c>
    </row>
    <row r="8970" spans="1:12">
      <c r="A8970" t="s">
        <v>26244</v>
      </c>
      <c r="B8970" t="s">
        <v>26245</v>
      </c>
      <c r="C8970" t="s">
        <v>26449</v>
      </c>
      <c r="D8970" t="s">
        <v>26247</v>
      </c>
      <c r="E8970" t="s">
        <v>9014</v>
      </c>
      <c r="F8970" t="s">
        <v>26450</v>
      </c>
      <c r="J8970" t="s">
        <v>9014</v>
      </c>
      <c r="K8970" t="s">
        <v>26250</v>
      </c>
      <c r="L8970" t="s">
        <v>1389</v>
      </c>
    </row>
    <row r="8971" spans="1:12">
      <c r="A8971" t="s">
        <v>26244</v>
      </c>
      <c r="B8971" t="s">
        <v>26245</v>
      </c>
      <c r="C8971" t="s">
        <v>26451</v>
      </c>
      <c r="D8971" t="s">
        <v>26247</v>
      </c>
      <c r="E8971" t="s">
        <v>2070</v>
      </c>
      <c r="F8971" t="s">
        <v>26452</v>
      </c>
      <c r="J8971" t="s">
        <v>2070</v>
      </c>
      <c r="K8971" t="s">
        <v>26250</v>
      </c>
      <c r="L8971" t="s">
        <v>1389</v>
      </c>
    </row>
    <row r="8972" spans="1:12">
      <c r="A8972" t="s">
        <v>26244</v>
      </c>
      <c r="B8972" t="s">
        <v>26245</v>
      </c>
      <c r="C8972" t="s">
        <v>26453</v>
      </c>
      <c r="D8972" t="s">
        <v>26247</v>
      </c>
      <c r="E8972" t="s">
        <v>9041</v>
      </c>
      <c r="F8972" t="s">
        <v>26454</v>
      </c>
      <c r="J8972" t="s">
        <v>9041</v>
      </c>
      <c r="K8972" t="s">
        <v>26250</v>
      </c>
      <c r="L8972" t="s">
        <v>1389</v>
      </c>
    </row>
    <row r="8973" spans="1:12">
      <c r="A8973" t="s">
        <v>26244</v>
      </c>
      <c r="B8973" t="s">
        <v>26245</v>
      </c>
      <c r="C8973" t="s">
        <v>26455</v>
      </c>
      <c r="D8973" t="s">
        <v>26247</v>
      </c>
      <c r="E8973" t="s">
        <v>9044</v>
      </c>
      <c r="F8973" t="s">
        <v>26456</v>
      </c>
      <c r="J8973" t="s">
        <v>9044</v>
      </c>
      <c r="K8973" t="s">
        <v>26250</v>
      </c>
      <c r="L8973" t="s">
        <v>1389</v>
      </c>
    </row>
    <row r="8974" spans="1:12">
      <c r="A8974" t="s">
        <v>26244</v>
      </c>
      <c r="B8974" t="s">
        <v>26245</v>
      </c>
      <c r="C8974" t="s">
        <v>26457</v>
      </c>
      <c r="D8974" t="s">
        <v>26247</v>
      </c>
      <c r="E8974" t="s">
        <v>26458</v>
      </c>
      <c r="F8974" t="s">
        <v>26459</v>
      </c>
      <c r="J8974" t="s">
        <v>26458</v>
      </c>
      <c r="K8974" t="s">
        <v>26250</v>
      </c>
      <c r="L8974" t="s">
        <v>1389</v>
      </c>
    </row>
    <row r="8975" spans="1:12">
      <c r="A8975" t="s">
        <v>26244</v>
      </c>
      <c r="B8975" t="s">
        <v>26245</v>
      </c>
      <c r="C8975" t="s">
        <v>26460</v>
      </c>
      <c r="D8975" t="s">
        <v>26247</v>
      </c>
      <c r="E8975" t="s">
        <v>26461</v>
      </c>
      <c r="F8975" t="s">
        <v>26462</v>
      </c>
      <c r="J8975" t="s">
        <v>26461</v>
      </c>
      <c r="K8975" t="s">
        <v>26250</v>
      </c>
      <c r="L8975" t="s">
        <v>1389</v>
      </c>
    </row>
    <row r="8976" spans="1:12">
      <c r="A8976" t="s">
        <v>26244</v>
      </c>
      <c r="B8976" t="s">
        <v>26245</v>
      </c>
      <c r="C8976" t="s">
        <v>26463</v>
      </c>
      <c r="D8976" t="s">
        <v>26247</v>
      </c>
      <c r="E8976" t="s">
        <v>26464</v>
      </c>
      <c r="F8976" t="s">
        <v>26465</v>
      </c>
      <c r="J8976" t="s">
        <v>26464</v>
      </c>
      <c r="K8976" t="s">
        <v>26250</v>
      </c>
      <c r="L8976" t="s">
        <v>1389</v>
      </c>
    </row>
    <row r="8977" spans="1:12">
      <c r="A8977" t="s">
        <v>26244</v>
      </c>
      <c r="B8977" t="s">
        <v>26245</v>
      </c>
      <c r="C8977" t="s">
        <v>26466</v>
      </c>
      <c r="D8977" t="s">
        <v>26247</v>
      </c>
      <c r="E8977" t="s">
        <v>26467</v>
      </c>
      <c r="F8977" t="s">
        <v>26468</v>
      </c>
      <c r="J8977" t="s">
        <v>26467</v>
      </c>
      <c r="K8977" t="s">
        <v>26250</v>
      </c>
      <c r="L8977" t="s">
        <v>1389</v>
      </c>
    </row>
    <row r="8978" spans="1:12">
      <c r="A8978" t="s">
        <v>26244</v>
      </c>
      <c r="B8978" t="s">
        <v>26245</v>
      </c>
      <c r="C8978" t="s">
        <v>26469</v>
      </c>
      <c r="D8978" t="s">
        <v>26247</v>
      </c>
      <c r="E8978" t="s">
        <v>17019</v>
      </c>
      <c r="F8978" t="s">
        <v>26470</v>
      </c>
      <c r="J8978" t="s">
        <v>17019</v>
      </c>
      <c r="K8978" t="s">
        <v>26250</v>
      </c>
      <c r="L8978" t="s">
        <v>1389</v>
      </c>
    </row>
    <row r="8979" spans="1:12">
      <c r="A8979" t="s">
        <v>26244</v>
      </c>
      <c r="B8979" t="s">
        <v>26245</v>
      </c>
      <c r="C8979" t="s">
        <v>26471</v>
      </c>
      <c r="D8979" t="s">
        <v>26247</v>
      </c>
      <c r="E8979" t="s">
        <v>9146</v>
      </c>
      <c r="F8979" t="s">
        <v>26472</v>
      </c>
      <c r="J8979" t="s">
        <v>9146</v>
      </c>
      <c r="K8979" t="s">
        <v>26250</v>
      </c>
      <c r="L8979" t="s">
        <v>1389</v>
      </c>
    </row>
    <row r="8980" spans="1:12">
      <c r="A8980" t="s">
        <v>26244</v>
      </c>
      <c r="B8980" t="s">
        <v>26245</v>
      </c>
      <c r="C8980" t="s">
        <v>26473</v>
      </c>
      <c r="D8980" t="s">
        <v>26247</v>
      </c>
      <c r="E8980" t="s">
        <v>26474</v>
      </c>
      <c r="F8980" t="s">
        <v>26475</v>
      </c>
      <c r="J8980" t="s">
        <v>26474</v>
      </c>
      <c r="K8980" t="s">
        <v>26250</v>
      </c>
      <c r="L8980" t="s">
        <v>1389</v>
      </c>
    </row>
    <row r="8981" spans="1:12">
      <c r="A8981" t="s">
        <v>26244</v>
      </c>
      <c r="B8981" t="s">
        <v>26245</v>
      </c>
      <c r="C8981" t="s">
        <v>26476</v>
      </c>
      <c r="D8981" t="s">
        <v>26247</v>
      </c>
      <c r="E8981" t="s">
        <v>26477</v>
      </c>
      <c r="F8981" t="s">
        <v>26478</v>
      </c>
      <c r="J8981" t="s">
        <v>26477</v>
      </c>
      <c r="K8981" t="s">
        <v>26250</v>
      </c>
      <c r="L8981" t="s">
        <v>1389</v>
      </c>
    </row>
    <row r="8982" spans="1:12">
      <c r="A8982" t="s">
        <v>26244</v>
      </c>
      <c r="B8982" t="s">
        <v>26245</v>
      </c>
      <c r="C8982" t="s">
        <v>26479</v>
      </c>
      <c r="D8982" t="s">
        <v>26247</v>
      </c>
      <c r="E8982" t="s">
        <v>26480</v>
      </c>
      <c r="F8982" t="s">
        <v>26480</v>
      </c>
      <c r="J8982" t="s">
        <v>26480</v>
      </c>
      <c r="K8982" t="s">
        <v>26250</v>
      </c>
      <c r="L8982" t="s">
        <v>1389</v>
      </c>
    </row>
    <row r="8983" spans="1:12">
      <c r="A8983" t="s">
        <v>26244</v>
      </c>
      <c r="B8983" t="s">
        <v>26245</v>
      </c>
      <c r="C8983" t="s">
        <v>26481</v>
      </c>
      <c r="D8983" t="s">
        <v>26247</v>
      </c>
      <c r="E8983" t="s">
        <v>26482</v>
      </c>
      <c r="F8983" t="s">
        <v>26483</v>
      </c>
      <c r="J8983" t="s">
        <v>26482</v>
      </c>
      <c r="K8983" t="s">
        <v>26250</v>
      </c>
      <c r="L8983" t="s">
        <v>1389</v>
      </c>
    </row>
    <row r="8984" spans="1:12">
      <c r="A8984" t="s">
        <v>26244</v>
      </c>
      <c r="B8984" t="s">
        <v>26245</v>
      </c>
      <c r="C8984" t="s">
        <v>26484</v>
      </c>
      <c r="D8984" t="s">
        <v>26247</v>
      </c>
      <c r="E8984" t="s">
        <v>26485</v>
      </c>
      <c r="F8984" t="s">
        <v>26486</v>
      </c>
      <c r="J8984" t="s">
        <v>26485</v>
      </c>
      <c r="K8984" t="s">
        <v>26250</v>
      </c>
      <c r="L8984" t="s">
        <v>1389</v>
      </c>
    </row>
    <row r="8985" spans="1:12">
      <c r="A8985" t="s">
        <v>26244</v>
      </c>
      <c r="B8985" t="s">
        <v>26245</v>
      </c>
      <c r="C8985" t="s">
        <v>26487</v>
      </c>
      <c r="D8985" t="s">
        <v>26247</v>
      </c>
      <c r="E8985" t="s">
        <v>11280</v>
      </c>
      <c r="F8985" t="s">
        <v>26488</v>
      </c>
      <c r="J8985" t="s">
        <v>11280</v>
      </c>
      <c r="K8985" t="s">
        <v>26250</v>
      </c>
      <c r="L8985" t="s">
        <v>1389</v>
      </c>
    </row>
    <row r="8986" spans="1:12">
      <c r="A8986" t="s">
        <v>26244</v>
      </c>
      <c r="B8986" t="s">
        <v>26245</v>
      </c>
      <c r="C8986" t="s">
        <v>26489</v>
      </c>
      <c r="D8986" t="s">
        <v>26247</v>
      </c>
      <c r="E8986" t="s">
        <v>26490</v>
      </c>
      <c r="F8986" t="s">
        <v>26491</v>
      </c>
      <c r="J8986" t="s">
        <v>26490</v>
      </c>
      <c r="K8986" t="s">
        <v>26250</v>
      </c>
      <c r="L8986" t="s">
        <v>1389</v>
      </c>
    </row>
    <row r="8987" spans="1:12">
      <c r="A8987" t="s">
        <v>26244</v>
      </c>
      <c r="B8987" t="s">
        <v>26245</v>
      </c>
      <c r="C8987" t="s">
        <v>26492</v>
      </c>
      <c r="D8987" t="s">
        <v>26247</v>
      </c>
      <c r="E8987" t="s">
        <v>26493</v>
      </c>
      <c r="F8987" t="s">
        <v>26494</v>
      </c>
      <c r="J8987" t="s">
        <v>26493</v>
      </c>
      <c r="K8987" t="s">
        <v>26250</v>
      </c>
      <c r="L8987" t="s">
        <v>1389</v>
      </c>
    </row>
    <row r="8988" spans="1:12">
      <c r="A8988" t="s">
        <v>26244</v>
      </c>
      <c r="B8988" t="s">
        <v>26245</v>
      </c>
      <c r="C8988" t="s">
        <v>26495</v>
      </c>
      <c r="D8988" t="s">
        <v>26247</v>
      </c>
      <c r="E8988" t="s">
        <v>26496</v>
      </c>
      <c r="F8988" t="s">
        <v>26497</v>
      </c>
      <c r="J8988" t="s">
        <v>26496</v>
      </c>
      <c r="K8988" t="s">
        <v>26250</v>
      </c>
      <c r="L8988" t="s">
        <v>1389</v>
      </c>
    </row>
    <row r="8989" spans="1:12">
      <c r="A8989" t="s">
        <v>26244</v>
      </c>
      <c r="B8989" t="s">
        <v>26245</v>
      </c>
      <c r="C8989" t="s">
        <v>26498</v>
      </c>
      <c r="D8989" t="s">
        <v>26247</v>
      </c>
      <c r="E8989" t="s">
        <v>26499</v>
      </c>
      <c r="F8989" t="s">
        <v>26500</v>
      </c>
      <c r="J8989" t="s">
        <v>26499</v>
      </c>
      <c r="K8989" t="s">
        <v>26250</v>
      </c>
      <c r="L8989" t="s">
        <v>1389</v>
      </c>
    </row>
    <row r="8990" spans="1:12">
      <c r="A8990" t="s">
        <v>26244</v>
      </c>
      <c r="B8990" t="s">
        <v>26245</v>
      </c>
      <c r="C8990" t="s">
        <v>26501</v>
      </c>
      <c r="D8990" t="s">
        <v>26247</v>
      </c>
      <c r="E8990" t="s">
        <v>17712</v>
      </c>
      <c r="F8990" t="s">
        <v>26502</v>
      </c>
    </row>
    <row r="8991" spans="1:12">
      <c r="A8991" t="s">
        <v>26244</v>
      </c>
      <c r="B8991" t="s">
        <v>26245</v>
      </c>
      <c r="C8991" t="s">
        <v>26503</v>
      </c>
      <c r="D8991" t="s">
        <v>26247</v>
      </c>
      <c r="E8991" t="s">
        <v>26504</v>
      </c>
      <c r="F8991" t="s">
        <v>26505</v>
      </c>
      <c r="J8991" t="s">
        <v>26504</v>
      </c>
      <c r="K8991" t="s">
        <v>26250</v>
      </c>
      <c r="L8991" t="s">
        <v>1389</v>
      </c>
    </row>
    <row r="8992" spans="1:12">
      <c r="A8992" t="s">
        <v>26244</v>
      </c>
      <c r="B8992" t="s">
        <v>26245</v>
      </c>
      <c r="C8992" t="s">
        <v>26506</v>
      </c>
      <c r="D8992" t="s">
        <v>26247</v>
      </c>
      <c r="E8992" t="s">
        <v>26507</v>
      </c>
      <c r="F8992" t="s">
        <v>26508</v>
      </c>
      <c r="J8992" t="s">
        <v>26507</v>
      </c>
      <c r="K8992" t="s">
        <v>26250</v>
      </c>
      <c r="L8992" t="s">
        <v>1389</v>
      </c>
    </row>
    <row r="8993" spans="1:12">
      <c r="A8993" t="s">
        <v>26244</v>
      </c>
      <c r="B8993" t="s">
        <v>26245</v>
      </c>
      <c r="C8993" t="s">
        <v>26509</v>
      </c>
      <c r="D8993" t="s">
        <v>26247</v>
      </c>
      <c r="E8993" t="s">
        <v>26510</v>
      </c>
      <c r="F8993" t="s">
        <v>26511</v>
      </c>
      <c r="J8993" t="s">
        <v>26510</v>
      </c>
      <c r="K8993" t="s">
        <v>26250</v>
      </c>
      <c r="L8993" t="s">
        <v>1389</v>
      </c>
    </row>
    <row r="8994" spans="1:12">
      <c r="A8994" t="s">
        <v>26244</v>
      </c>
      <c r="B8994" t="s">
        <v>26245</v>
      </c>
      <c r="C8994" t="s">
        <v>26512</v>
      </c>
      <c r="D8994" t="s">
        <v>26247</v>
      </c>
      <c r="E8994" t="s">
        <v>17837</v>
      </c>
      <c r="F8994" t="s">
        <v>26513</v>
      </c>
      <c r="J8994" t="s">
        <v>17837</v>
      </c>
      <c r="K8994" t="s">
        <v>26250</v>
      </c>
      <c r="L8994" t="s">
        <v>1389</v>
      </c>
    </row>
    <row r="8995" spans="1:12">
      <c r="A8995" t="s">
        <v>26244</v>
      </c>
      <c r="B8995" t="s">
        <v>26245</v>
      </c>
      <c r="C8995" t="s">
        <v>26514</v>
      </c>
      <c r="D8995" t="s">
        <v>26247</v>
      </c>
      <c r="E8995" t="s">
        <v>15161</v>
      </c>
      <c r="F8995" t="s">
        <v>3486</v>
      </c>
      <c r="J8995" t="s">
        <v>15161</v>
      </c>
      <c r="K8995" t="s">
        <v>26250</v>
      </c>
      <c r="L8995" t="s">
        <v>1389</v>
      </c>
    </row>
    <row r="8996" spans="1:12">
      <c r="A8996" t="s">
        <v>26244</v>
      </c>
      <c r="B8996" t="s">
        <v>26245</v>
      </c>
      <c r="C8996" t="s">
        <v>26515</v>
      </c>
      <c r="D8996" t="s">
        <v>26247</v>
      </c>
      <c r="E8996" t="s">
        <v>17897</v>
      </c>
      <c r="F8996" t="s">
        <v>26516</v>
      </c>
      <c r="J8996" t="s">
        <v>17897</v>
      </c>
      <c r="K8996" t="s">
        <v>26250</v>
      </c>
      <c r="L8996" t="s">
        <v>1389</v>
      </c>
    </row>
    <row r="8997" spans="1:12">
      <c r="A8997" t="s">
        <v>26244</v>
      </c>
      <c r="B8997" t="s">
        <v>26245</v>
      </c>
      <c r="C8997" t="s">
        <v>26517</v>
      </c>
      <c r="D8997" t="s">
        <v>26247</v>
      </c>
      <c r="E8997" t="s">
        <v>26518</v>
      </c>
      <c r="F8997" t="s">
        <v>26519</v>
      </c>
      <c r="J8997" t="s">
        <v>26518</v>
      </c>
      <c r="K8997" t="s">
        <v>26250</v>
      </c>
      <c r="L8997" t="s">
        <v>1389</v>
      </c>
    </row>
    <row r="8998" spans="1:12">
      <c r="A8998" t="s">
        <v>26244</v>
      </c>
      <c r="B8998" t="s">
        <v>26245</v>
      </c>
      <c r="C8998" t="s">
        <v>26520</v>
      </c>
      <c r="D8998" t="s">
        <v>26247</v>
      </c>
      <c r="E8998" t="s">
        <v>26521</v>
      </c>
      <c r="F8998" t="s">
        <v>26522</v>
      </c>
      <c r="J8998" t="s">
        <v>26521</v>
      </c>
      <c r="K8998" t="s">
        <v>26250</v>
      </c>
      <c r="L8998" t="s">
        <v>1389</v>
      </c>
    </row>
    <row r="8999" spans="1:12">
      <c r="A8999" t="s">
        <v>26244</v>
      </c>
      <c r="B8999" t="s">
        <v>26245</v>
      </c>
      <c r="C8999" t="s">
        <v>26523</v>
      </c>
      <c r="D8999" t="s">
        <v>26247</v>
      </c>
      <c r="E8999" t="s">
        <v>17948</v>
      </c>
      <c r="F8999" t="s">
        <v>26524</v>
      </c>
      <c r="J8999" t="s">
        <v>17948</v>
      </c>
      <c r="K8999" t="s">
        <v>26250</v>
      </c>
      <c r="L8999" t="s">
        <v>1389</v>
      </c>
    </row>
    <row r="9000" spans="1:12">
      <c r="A9000" t="s">
        <v>26244</v>
      </c>
      <c r="B9000" t="s">
        <v>26245</v>
      </c>
      <c r="C9000" t="s">
        <v>26525</v>
      </c>
      <c r="D9000" t="s">
        <v>26247</v>
      </c>
      <c r="E9000" t="s">
        <v>17970</v>
      </c>
      <c r="F9000" t="s">
        <v>26526</v>
      </c>
      <c r="J9000" t="s">
        <v>17970</v>
      </c>
      <c r="K9000" t="s">
        <v>26250</v>
      </c>
      <c r="L9000" t="s">
        <v>1389</v>
      </c>
    </row>
    <row r="9001" spans="1:12">
      <c r="A9001" t="s">
        <v>26244</v>
      </c>
      <c r="B9001" t="s">
        <v>26245</v>
      </c>
      <c r="C9001" t="s">
        <v>26527</v>
      </c>
      <c r="D9001" t="s">
        <v>26247</v>
      </c>
      <c r="E9001" t="s">
        <v>26528</v>
      </c>
      <c r="F9001" t="s">
        <v>26529</v>
      </c>
      <c r="J9001" t="s">
        <v>26528</v>
      </c>
      <c r="K9001" t="s">
        <v>26250</v>
      </c>
      <c r="L9001" t="s">
        <v>1389</v>
      </c>
    </row>
    <row r="9002" spans="1:12">
      <c r="A9002" t="s">
        <v>26244</v>
      </c>
      <c r="B9002" t="s">
        <v>26245</v>
      </c>
      <c r="C9002" t="s">
        <v>26530</v>
      </c>
      <c r="D9002" t="s">
        <v>26247</v>
      </c>
      <c r="E9002" t="s">
        <v>17991</v>
      </c>
      <c r="F9002" t="s">
        <v>26531</v>
      </c>
      <c r="J9002" t="s">
        <v>17991</v>
      </c>
      <c r="K9002" t="s">
        <v>26250</v>
      </c>
      <c r="L9002" t="s">
        <v>1389</v>
      </c>
    </row>
    <row r="9003" spans="1:12">
      <c r="A9003" t="s">
        <v>26244</v>
      </c>
      <c r="B9003" t="s">
        <v>26245</v>
      </c>
      <c r="C9003" t="s">
        <v>26532</v>
      </c>
      <c r="D9003" t="s">
        <v>26247</v>
      </c>
      <c r="E9003" t="s">
        <v>12685</v>
      </c>
      <c r="F9003" t="s">
        <v>26533</v>
      </c>
      <c r="J9003" t="s">
        <v>12685</v>
      </c>
      <c r="K9003" t="s">
        <v>26250</v>
      </c>
      <c r="L9003" t="s">
        <v>1389</v>
      </c>
    </row>
    <row r="9004" spans="1:12">
      <c r="A9004" t="s">
        <v>26244</v>
      </c>
      <c r="B9004" t="s">
        <v>26245</v>
      </c>
      <c r="C9004" t="s">
        <v>26534</v>
      </c>
      <c r="D9004" t="s">
        <v>26247</v>
      </c>
      <c r="E9004" t="s">
        <v>18009</v>
      </c>
      <c r="F9004" t="s">
        <v>26535</v>
      </c>
      <c r="J9004" t="s">
        <v>18009</v>
      </c>
      <c r="K9004" t="s">
        <v>26250</v>
      </c>
      <c r="L9004" t="s">
        <v>1389</v>
      </c>
    </row>
    <row r="9005" spans="1:12">
      <c r="A9005" t="s">
        <v>26244</v>
      </c>
      <c r="B9005" t="s">
        <v>26245</v>
      </c>
      <c r="C9005" t="s">
        <v>26536</v>
      </c>
      <c r="D9005" t="s">
        <v>26247</v>
      </c>
      <c r="E9005" t="s">
        <v>18031</v>
      </c>
      <c r="F9005" t="s">
        <v>26537</v>
      </c>
      <c r="J9005" t="s">
        <v>18031</v>
      </c>
      <c r="K9005" t="s">
        <v>26250</v>
      </c>
      <c r="L9005" t="s">
        <v>1389</v>
      </c>
    </row>
    <row r="9006" spans="1:12">
      <c r="A9006" t="s">
        <v>26244</v>
      </c>
      <c r="B9006" t="s">
        <v>26245</v>
      </c>
      <c r="C9006" t="s">
        <v>26538</v>
      </c>
      <c r="D9006" t="s">
        <v>26247</v>
      </c>
      <c r="E9006" t="s">
        <v>18051</v>
      </c>
      <c r="F9006" t="s">
        <v>26539</v>
      </c>
      <c r="J9006" t="s">
        <v>18051</v>
      </c>
      <c r="K9006" t="s">
        <v>26250</v>
      </c>
      <c r="L9006" t="s">
        <v>1389</v>
      </c>
    </row>
    <row r="9007" spans="1:12">
      <c r="A9007" t="s">
        <v>26244</v>
      </c>
      <c r="B9007" t="s">
        <v>26245</v>
      </c>
      <c r="C9007" t="s">
        <v>26540</v>
      </c>
      <c r="D9007" t="s">
        <v>26247</v>
      </c>
      <c r="E9007" t="s">
        <v>9289</v>
      </c>
      <c r="F9007" t="s">
        <v>26541</v>
      </c>
      <c r="J9007" t="s">
        <v>9289</v>
      </c>
      <c r="K9007" t="s">
        <v>26250</v>
      </c>
      <c r="L9007" t="s">
        <v>1389</v>
      </c>
    </row>
    <row r="9008" spans="1:12">
      <c r="A9008" t="s">
        <v>26244</v>
      </c>
      <c r="B9008" t="s">
        <v>26245</v>
      </c>
      <c r="C9008" t="s">
        <v>26542</v>
      </c>
      <c r="D9008" t="s">
        <v>26247</v>
      </c>
      <c r="E9008" t="s">
        <v>11313</v>
      </c>
      <c r="F9008" t="s">
        <v>26543</v>
      </c>
    </row>
    <row r="9009" spans="1:12">
      <c r="A9009" t="s">
        <v>26244</v>
      </c>
      <c r="B9009" t="s">
        <v>26245</v>
      </c>
      <c r="C9009" t="s">
        <v>26544</v>
      </c>
      <c r="D9009" t="s">
        <v>26247</v>
      </c>
      <c r="E9009" t="s">
        <v>26545</v>
      </c>
      <c r="F9009" t="s">
        <v>26546</v>
      </c>
      <c r="J9009" t="s">
        <v>26545</v>
      </c>
      <c r="K9009" t="s">
        <v>26250</v>
      </c>
      <c r="L9009" t="s">
        <v>1389</v>
      </c>
    </row>
    <row r="9010" spans="1:12">
      <c r="A9010" t="s">
        <v>26244</v>
      </c>
      <c r="B9010" t="s">
        <v>26245</v>
      </c>
      <c r="C9010" t="s">
        <v>26547</v>
      </c>
      <c r="D9010" t="s">
        <v>26247</v>
      </c>
      <c r="E9010" t="s">
        <v>26548</v>
      </c>
      <c r="F9010" t="s">
        <v>26549</v>
      </c>
      <c r="J9010" t="s">
        <v>26548</v>
      </c>
      <c r="K9010" t="s">
        <v>26250</v>
      </c>
      <c r="L9010" t="s">
        <v>1389</v>
      </c>
    </row>
    <row r="9011" spans="1:12">
      <c r="A9011" t="s">
        <v>26244</v>
      </c>
      <c r="B9011" t="s">
        <v>26245</v>
      </c>
      <c r="C9011" t="s">
        <v>26550</v>
      </c>
      <c r="D9011" t="s">
        <v>26247</v>
      </c>
      <c r="E9011" t="s">
        <v>18145</v>
      </c>
      <c r="F9011" t="s">
        <v>26551</v>
      </c>
      <c r="J9011" t="s">
        <v>18145</v>
      </c>
      <c r="K9011" t="s">
        <v>26250</v>
      </c>
      <c r="L9011" t="s">
        <v>1389</v>
      </c>
    </row>
    <row r="9012" spans="1:12">
      <c r="A9012" t="s">
        <v>26244</v>
      </c>
      <c r="B9012" t="s">
        <v>26245</v>
      </c>
      <c r="C9012" t="s">
        <v>26552</v>
      </c>
      <c r="D9012" t="s">
        <v>26247</v>
      </c>
      <c r="E9012" t="s">
        <v>12688</v>
      </c>
      <c r="F9012" t="s">
        <v>26553</v>
      </c>
      <c r="J9012" t="s">
        <v>12688</v>
      </c>
      <c r="K9012" t="s">
        <v>26250</v>
      </c>
      <c r="L9012" t="s">
        <v>1389</v>
      </c>
    </row>
    <row r="9013" spans="1:12">
      <c r="A9013" t="s">
        <v>26244</v>
      </c>
      <c r="B9013" t="s">
        <v>26245</v>
      </c>
      <c r="C9013" t="s">
        <v>26554</v>
      </c>
      <c r="D9013" t="s">
        <v>26247</v>
      </c>
      <c r="E9013" t="s">
        <v>26555</v>
      </c>
      <c r="F9013" t="s">
        <v>26556</v>
      </c>
    </row>
    <row r="9014" spans="1:12">
      <c r="A9014" t="s">
        <v>26244</v>
      </c>
      <c r="B9014" t="s">
        <v>26245</v>
      </c>
      <c r="C9014" t="s">
        <v>26557</v>
      </c>
      <c r="D9014" t="s">
        <v>26247</v>
      </c>
      <c r="E9014" t="s">
        <v>14319</v>
      </c>
      <c r="F9014" t="s">
        <v>26558</v>
      </c>
      <c r="J9014" t="s">
        <v>14319</v>
      </c>
      <c r="K9014" t="s">
        <v>26250</v>
      </c>
      <c r="L9014" t="s">
        <v>1389</v>
      </c>
    </row>
    <row r="9015" spans="1:12">
      <c r="A9015" t="s">
        <v>26244</v>
      </c>
      <c r="B9015" t="s">
        <v>26245</v>
      </c>
      <c r="C9015" t="s">
        <v>26559</v>
      </c>
      <c r="D9015" t="s">
        <v>26247</v>
      </c>
      <c r="E9015" t="s">
        <v>26560</v>
      </c>
      <c r="F9015" t="s">
        <v>26561</v>
      </c>
      <c r="J9015" t="s">
        <v>26560</v>
      </c>
      <c r="K9015" t="s">
        <v>26250</v>
      </c>
      <c r="L9015" t="s">
        <v>1389</v>
      </c>
    </row>
    <row r="9016" spans="1:12">
      <c r="A9016" t="s">
        <v>26244</v>
      </c>
      <c r="B9016" t="s">
        <v>26245</v>
      </c>
      <c r="C9016" t="s">
        <v>26562</v>
      </c>
      <c r="D9016" t="s">
        <v>26247</v>
      </c>
      <c r="E9016" t="s">
        <v>13341</v>
      </c>
      <c r="F9016" t="s">
        <v>26563</v>
      </c>
      <c r="J9016" t="s">
        <v>13341</v>
      </c>
      <c r="K9016" t="s">
        <v>26250</v>
      </c>
      <c r="L9016" t="s">
        <v>1389</v>
      </c>
    </row>
    <row r="9017" spans="1:12">
      <c r="A9017" t="s">
        <v>26244</v>
      </c>
      <c r="B9017" t="s">
        <v>26245</v>
      </c>
      <c r="C9017" t="s">
        <v>26564</v>
      </c>
      <c r="D9017" t="s">
        <v>26247</v>
      </c>
      <c r="E9017" t="s">
        <v>26565</v>
      </c>
      <c r="F9017" t="s">
        <v>26566</v>
      </c>
      <c r="J9017" t="s">
        <v>26565</v>
      </c>
      <c r="K9017" t="s">
        <v>26250</v>
      </c>
      <c r="L9017" t="s">
        <v>1389</v>
      </c>
    </row>
    <row r="9018" spans="1:12">
      <c r="A9018" t="s">
        <v>26244</v>
      </c>
      <c r="B9018" t="s">
        <v>26245</v>
      </c>
      <c r="C9018" t="s">
        <v>26567</v>
      </c>
      <c r="D9018" t="s">
        <v>26247</v>
      </c>
      <c r="E9018" t="s">
        <v>14061</v>
      </c>
      <c r="F9018" t="s">
        <v>26568</v>
      </c>
      <c r="J9018" t="s">
        <v>14061</v>
      </c>
      <c r="K9018" t="s">
        <v>26250</v>
      </c>
      <c r="L9018" t="s">
        <v>1389</v>
      </c>
    </row>
    <row r="9019" spans="1:12">
      <c r="A9019" t="s">
        <v>26244</v>
      </c>
      <c r="B9019" t="s">
        <v>26245</v>
      </c>
      <c r="C9019" t="s">
        <v>26569</v>
      </c>
      <c r="D9019" t="s">
        <v>26247</v>
      </c>
      <c r="E9019" t="s">
        <v>11325</v>
      </c>
      <c r="F9019" t="s">
        <v>26570</v>
      </c>
      <c r="J9019" t="s">
        <v>11325</v>
      </c>
      <c r="K9019" t="s">
        <v>26250</v>
      </c>
      <c r="L9019" t="s">
        <v>1389</v>
      </c>
    </row>
    <row r="9020" spans="1:12">
      <c r="A9020" t="s">
        <v>26244</v>
      </c>
      <c r="B9020" t="s">
        <v>26245</v>
      </c>
      <c r="C9020" t="s">
        <v>26571</v>
      </c>
      <c r="D9020" t="s">
        <v>26247</v>
      </c>
      <c r="E9020" t="s">
        <v>26572</v>
      </c>
      <c r="F9020" t="s">
        <v>26573</v>
      </c>
      <c r="J9020" t="s">
        <v>26572</v>
      </c>
      <c r="K9020" t="s">
        <v>26250</v>
      </c>
      <c r="L9020" t="s">
        <v>1389</v>
      </c>
    </row>
    <row r="9021" spans="1:12">
      <c r="A9021" t="s">
        <v>26244</v>
      </c>
      <c r="B9021" t="s">
        <v>26245</v>
      </c>
      <c r="C9021" t="s">
        <v>26574</v>
      </c>
      <c r="D9021" t="s">
        <v>26247</v>
      </c>
      <c r="E9021" t="s">
        <v>26575</v>
      </c>
      <c r="F9021" t="s">
        <v>26576</v>
      </c>
      <c r="J9021" t="s">
        <v>26575</v>
      </c>
      <c r="K9021" t="s">
        <v>26250</v>
      </c>
      <c r="L9021" t="s">
        <v>1389</v>
      </c>
    </row>
    <row r="9022" spans="1:12">
      <c r="A9022" t="s">
        <v>26244</v>
      </c>
      <c r="B9022" t="s">
        <v>26245</v>
      </c>
      <c r="C9022" t="s">
        <v>26577</v>
      </c>
      <c r="D9022" t="s">
        <v>26247</v>
      </c>
      <c r="E9022" t="s">
        <v>26578</v>
      </c>
      <c r="F9022" t="s">
        <v>26579</v>
      </c>
      <c r="J9022" t="s">
        <v>26578</v>
      </c>
      <c r="K9022" t="s">
        <v>26250</v>
      </c>
      <c r="L9022" t="s">
        <v>1389</v>
      </c>
    </row>
    <row r="9023" spans="1:12">
      <c r="A9023" t="s">
        <v>26244</v>
      </c>
      <c r="B9023" t="s">
        <v>26245</v>
      </c>
      <c r="C9023" t="s">
        <v>26580</v>
      </c>
      <c r="D9023" t="s">
        <v>26247</v>
      </c>
      <c r="E9023" t="s">
        <v>2277</v>
      </c>
      <c r="F9023" t="s">
        <v>26581</v>
      </c>
    </row>
    <row r="9024" spans="1:12">
      <c r="A9024" t="s">
        <v>26244</v>
      </c>
      <c r="B9024" t="s">
        <v>26245</v>
      </c>
      <c r="C9024" t="s">
        <v>26582</v>
      </c>
      <c r="D9024" t="s">
        <v>26247</v>
      </c>
      <c r="E9024" t="s">
        <v>26583</v>
      </c>
      <c r="F9024" t="s">
        <v>3492</v>
      </c>
      <c r="J9024" t="s">
        <v>26583</v>
      </c>
      <c r="K9024" t="s">
        <v>26250</v>
      </c>
      <c r="L9024" t="s">
        <v>1389</v>
      </c>
    </row>
    <row r="9025" spans="1:12">
      <c r="A9025" t="s">
        <v>26244</v>
      </c>
      <c r="B9025" t="s">
        <v>26245</v>
      </c>
      <c r="C9025" t="s">
        <v>26584</v>
      </c>
      <c r="D9025" t="s">
        <v>26247</v>
      </c>
      <c r="E9025" t="s">
        <v>15179</v>
      </c>
      <c r="F9025" t="s">
        <v>26585</v>
      </c>
      <c r="J9025" t="s">
        <v>15179</v>
      </c>
      <c r="K9025" t="s">
        <v>26250</v>
      </c>
      <c r="L9025" t="s">
        <v>1389</v>
      </c>
    </row>
    <row r="9026" spans="1:12">
      <c r="A9026" t="s">
        <v>26244</v>
      </c>
      <c r="B9026" t="s">
        <v>26245</v>
      </c>
      <c r="C9026" t="s">
        <v>26586</v>
      </c>
      <c r="D9026" t="s">
        <v>26247</v>
      </c>
      <c r="E9026" t="s">
        <v>15182</v>
      </c>
      <c r="F9026" t="s">
        <v>26587</v>
      </c>
    </row>
    <row r="9027" spans="1:12">
      <c r="A9027" t="s">
        <v>26244</v>
      </c>
      <c r="B9027" t="s">
        <v>26245</v>
      </c>
      <c r="C9027" t="s">
        <v>26588</v>
      </c>
      <c r="D9027" t="s">
        <v>26247</v>
      </c>
      <c r="E9027" t="s">
        <v>18447</v>
      </c>
      <c r="F9027" t="s">
        <v>26589</v>
      </c>
      <c r="J9027" t="s">
        <v>18447</v>
      </c>
      <c r="K9027" t="s">
        <v>26250</v>
      </c>
      <c r="L9027" t="s">
        <v>1389</v>
      </c>
    </row>
    <row r="9028" spans="1:12">
      <c r="A9028" t="s">
        <v>26244</v>
      </c>
      <c r="B9028" t="s">
        <v>26245</v>
      </c>
      <c r="C9028" t="s">
        <v>26590</v>
      </c>
      <c r="D9028" t="s">
        <v>26247</v>
      </c>
      <c r="E9028" t="s">
        <v>18451</v>
      </c>
      <c r="F9028" t="s">
        <v>26591</v>
      </c>
      <c r="J9028" t="s">
        <v>18451</v>
      </c>
      <c r="K9028" t="s">
        <v>26250</v>
      </c>
      <c r="L9028" t="s">
        <v>1389</v>
      </c>
    </row>
    <row r="9029" spans="1:12">
      <c r="A9029" t="s">
        <v>26244</v>
      </c>
      <c r="B9029" t="s">
        <v>26245</v>
      </c>
      <c r="C9029" t="s">
        <v>26592</v>
      </c>
      <c r="D9029" t="s">
        <v>26247</v>
      </c>
      <c r="E9029" t="s">
        <v>18461</v>
      </c>
      <c r="F9029" t="s">
        <v>26593</v>
      </c>
      <c r="J9029" t="s">
        <v>18461</v>
      </c>
      <c r="K9029" t="s">
        <v>26250</v>
      </c>
      <c r="L9029" t="s">
        <v>1389</v>
      </c>
    </row>
    <row r="9030" spans="1:12">
      <c r="A9030" t="s">
        <v>26244</v>
      </c>
      <c r="B9030" t="s">
        <v>26245</v>
      </c>
      <c r="C9030" t="s">
        <v>26594</v>
      </c>
      <c r="D9030" t="s">
        <v>26247</v>
      </c>
      <c r="E9030" t="s">
        <v>24269</v>
      </c>
      <c r="F9030" t="s">
        <v>26595</v>
      </c>
      <c r="J9030" t="s">
        <v>24269</v>
      </c>
      <c r="K9030" t="s">
        <v>26250</v>
      </c>
      <c r="L9030" t="s">
        <v>1389</v>
      </c>
    </row>
    <row r="9031" spans="1:12">
      <c r="A9031" t="s">
        <v>26244</v>
      </c>
      <c r="B9031" t="s">
        <v>26245</v>
      </c>
      <c r="C9031" t="s">
        <v>26596</v>
      </c>
      <c r="D9031" t="s">
        <v>26247</v>
      </c>
      <c r="E9031" t="s">
        <v>26597</v>
      </c>
      <c r="F9031" t="s">
        <v>26598</v>
      </c>
      <c r="J9031" t="s">
        <v>26597</v>
      </c>
      <c r="K9031" t="s">
        <v>26250</v>
      </c>
      <c r="L9031" t="s">
        <v>1389</v>
      </c>
    </row>
    <row r="9032" spans="1:12">
      <c r="A9032" t="s">
        <v>26244</v>
      </c>
      <c r="B9032" t="s">
        <v>26245</v>
      </c>
      <c r="C9032" t="s">
        <v>26599</v>
      </c>
      <c r="D9032" t="s">
        <v>26247</v>
      </c>
      <c r="E9032" t="s">
        <v>18518</v>
      </c>
      <c r="F9032" t="s">
        <v>26600</v>
      </c>
      <c r="J9032" t="s">
        <v>18518</v>
      </c>
      <c r="K9032" t="s">
        <v>26250</v>
      </c>
      <c r="L9032" t="s">
        <v>1389</v>
      </c>
    </row>
    <row r="9033" spans="1:12">
      <c r="A9033" t="s">
        <v>26244</v>
      </c>
      <c r="B9033" t="s">
        <v>26245</v>
      </c>
      <c r="C9033" t="s">
        <v>26601</v>
      </c>
      <c r="D9033" t="s">
        <v>26247</v>
      </c>
      <c r="E9033" t="s">
        <v>11332</v>
      </c>
      <c r="F9033" t="s">
        <v>26602</v>
      </c>
      <c r="J9033" t="s">
        <v>11332</v>
      </c>
      <c r="K9033" t="s">
        <v>26250</v>
      </c>
      <c r="L9033" t="s">
        <v>1389</v>
      </c>
    </row>
    <row r="9034" spans="1:12">
      <c r="A9034" t="s">
        <v>26244</v>
      </c>
      <c r="B9034" t="s">
        <v>26245</v>
      </c>
      <c r="C9034" t="s">
        <v>26603</v>
      </c>
      <c r="D9034" t="s">
        <v>26247</v>
      </c>
      <c r="E9034" t="s">
        <v>26604</v>
      </c>
      <c r="F9034" t="s">
        <v>26605</v>
      </c>
      <c r="J9034" t="s">
        <v>26604</v>
      </c>
      <c r="K9034" t="s">
        <v>26250</v>
      </c>
      <c r="L9034" t="s">
        <v>1389</v>
      </c>
    </row>
    <row r="9035" spans="1:12">
      <c r="A9035" t="s">
        <v>26244</v>
      </c>
      <c r="B9035" t="s">
        <v>26245</v>
      </c>
      <c r="C9035" t="s">
        <v>26606</v>
      </c>
      <c r="D9035" t="s">
        <v>26247</v>
      </c>
      <c r="E9035" t="s">
        <v>26607</v>
      </c>
      <c r="F9035" t="s">
        <v>26608</v>
      </c>
      <c r="J9035" t="s">
        <v>26607</v>
      </c>
      <c r="K9035" t="s">
        <v>26250</v>
      </c>
      <c r="L9035" t="s">
        <v>1389</v>
      </c>
    </row>
    <row r="9036" spans="1:12">
      <c r="A9036" t="s">
        <v>26244</v>
      </c>
      <c r="B9036" t="s">
        <v>26245</v>
      </c>
      <c r="C9036" t="s">
        <v>26609</v>
      </c>
      <c r="D9036" t="s">
        <v>26247</v>
      </c>
      <c r="E9036" t="s">
        <v>26610</v>
      </c>
      <c r="F9036" t="s">
        <v>26611</v>
      </c>
      <c r="J9036" t="s">
        <v>26610</v>
      </c>
      <c r="K9036" t="s">
        <v>26250</v>
      </c>
      <c r="L9036" t="s">
        <v>1389</v>
      </c>
    </row>
    <row r="9037" spans="1:12">
      <c r="A9037" t="s">
        <v>26244</v>
      </c>
      <c r="B9037" t="s">
        <v>26245</v>
      </c>
      <c r="C9037" t="s">
        <v>26612</v>
      </c>
      <c r="D9037" t="s">
        <v>26247</v>
      </c>
      <c r="E9037" t="s">
        <v>26613</v>
      </c>
      <c r="F9037" t="s">
        <v>26614</v>
      </c>
      <c r="J9037" t="s">
        <v>26613</v>
      </c>
      <c r="K9037" t="s">
        <v>26250</v>
      </c>
      <c r="L9037" t="s">
        <v>1389</v>
      </c>
    </row>
    <row r="9038" spans="1:12">
      <c r="A9038" t="s">
        <v>26244</v>
      </c>
      <c r="B9038" t="s">
        <v>26245</v>
      </c>
      <c r="C9038" t="s">
        <v>26615</v>
      </c>
      <c r="D9038" t="s">
        <v>26247</v>
      </c>
      <c r="E9038" t="s">
        <v>18669</v>
      </c>
      <c r="F9038" t="s">
        <v>26616</v>
      </c>
      <c r="J9038" t="s">
        <v>18669</v>
      </c>
      <c r="K9038" t="s">
        <v>26250</v>
      </c>
      <c r="L9038" t="s">
        <v>1389</v>
      </c>
    </row>
    <row r="9039" spans="1:12">
      <c r="A9039" t="s">
        <v>26244</v>
      </c>
      <c r="B9039" t="s">
        <v>26245</v>
      </c>
      <c r="C9039" t="s">
        <v>26617</v>
      </c>
      <c r="D9039" t="s">
        <v>26247</v>
      </c>
      <c r="E9039" t="s">
        <v>26618</v>
      </c>
      <c r="F9039" t="s">
        <v>26619</v>
      </c>
      <c r="J9039" t="s">
        <v>26618</v>
      </c>
      <c r="K9039" t="s">
        <v>26250</v>
      </c>
      <c r="L9039" t="s">
        <v>1389</v>
      </c>
    </row>
    <row r="9040" spans="1:12">
      <c r="A9040" t="s">
        <v>26244</v>
      </c>
      <c r="B9040" t="s">
        <v>26245</v>
      </c>
      <c r="C9040" t="s">
        <v>26620</v>
      </c>
      <c r="D9040" t="s">
        <v>26247</v>
      </c>
      <c r="E9040" t="s">
        <v>26621</v>
      </c>
      <c r="F9040" t="s">
        <v>26622</v>
      </c>
      <c r="J9040" t="s">
        <v>26621</v>
      </c>
      <c r="K9040" t="s">
        <v>26250</v>
      </c>
      <c r="L9040" t="s">
        <v>1389</v>
      </c>
    </row>
    <row r="9041" spans="1:12">
      <c r="A9041" t="s">
        <v>26244</v>
      </c>
      <c r="B9041" t="s">
        <v>26245</v>
      </c>
      <c r="C9041" t="s">
        <v>26623</v>
      </c>
      <c r="D9041" t="s">
        <v>26247</v>
      </c>
      <c r="E9041" t="s">
        <v>26624</v>
      </c>
      <c r="F9041" t="s">
        <v>26625</v>
      </c>
      <c r="J9041" t="s">
        <v>26624</v>
      </c>
      <c r="K9041" t="s">
        <v>26250</v>
      </c>
      <c r="L9041" t="s">
        <v>1389</v>
      </c>
    </row>
    <row r="9042" spans="1:12">
      <c r="A9042" t="s">
        <v>26244</v>
      </c>
      <c r="B9042" t="s">
        <v>26245</v>
      </c>
      <c r="C9042" t="s">
        <v>26626</v>
      </c>
      <c r="D9042" t="s">
        <v>26247</v>
      </c>
      <c r="E9042" t="s">
        <v>2320</v>
      </c>
      <c r="F9042" t="s">
        <v>26627</v>
      </c>
      <c r="J9042" t="s">
        <v>2320</v>
      </c>
      <c r="K9042" t="s">
        <v>26250</v>
      </c>
      <c r="L9042" t="s">
        <v>1389</v>
      </c>
    </row>
    <row r="9043" spans="1:12">
      <c r="A9043" t="s">
        <v>26244</v>
      </c>
      <c r="B9043" t="s">
        <v>26245</v>
      </c>
      <c r="C9043" t="s">
        <v>26628</v>
      </c>
      <c r="D9043" t="s">
        <v>26247</v>
      </c>
      <c r="E9043" t="s">
        <v>9334</v>
      </c>
      <c r="F9043" t="s">
        <v>26629</v>
      </c>
      <c r="J9043" t="s">
        <v>9334</v>
      </c>
      <c r="K9043" t="s">
        <v>26250</v>
      </c>
      <c r="L9043" t="s">
        <v>1389</v>
      </c>
    </row>
    <row r="9044" spans="1:12">
      <c r="A9044" t="s">
        <v>26244</v>
      </c>
      <c r="B9044" t="s">
        <v>26245</v>
      </c>
      <c r="C9044" t="s">
        <v>26630</v>
      </c>
      <c r="D9044" t="s">
        <v>26247</v>
      </c>
      <c r="E9044" t="s">
        <v>26631</v>
      </c>
      <c r="F9044" t="s">
        <v>26632</v>
      </c>
      <c r="J9044" t="s">
        <v>26631</v>
      </c>
      <c r="K9044" t="s">
        <v>26250</v>
      </c>
      <c r="L9044" t="s">
        <v>1389</v>
      </c>
    </row>
    <row r="9045" spans="1:12">
      <c r="A9045" t="s">
        <v>26244</v>
      </c>
      <c r="B9045" t="s">
        <v>26245</v>
      </c>
      <c r="C9045" t="s">
        <v>26633</v>
      </c>
      <c r="D9045" t="s">
        <v>26247</v>
      </c>
      <c r="E9045" t="s">
        <v>26634</v>
      </c>
      <c r="F9045" t="s">
        <v>26635</v>
      </c>
      <c r="J9045" t="s">
        <v>26634</v>
      </c>
      <c r="K9045" t="s">
        <v>26250</v>
      </c>
      <c r="L9045" t="s">
        <v>1389</v>
      </c>
    </row>
    <row r="9046" spans="1:12">
      <c r="A9046" t="s">
        <v>26244</v>
      </c>
      <c r="B9046" t="s">
        <v>26245</v>
      </c>
      <c r="C9046" t="s">
        <v>26636</v>
      </c>
      <c r="D9046" t="s">
        <v>26247</v>
      </c>
      <c r="E9046" t="s">
        <v>12722</v>
      </c>
      <c r="F9046" t="s">
        <v>26637</v>
      </c>
      <c r="J9046" t="s">
        <v>12722</v>
      </c>
      <c r="K9046" t="s">
        <v>26250</v>
      </c>
      <c r="L9046" t="s">
        <v>1389</v>
      </c>
    </row>
    <row r="9047" spans="1:12">
      <c r="A9047" t="s">
        <v>26244</v>
      </c>
      <c r="B9047" t="s">
        <v>26245</v>
      </c>
      <c r="C9047" t="s">
        <v>26638</v>
      </c>
      <c r="D9047" t="s">
        <v>26247</v>
      </c>
      <c r="E9047" t="s">
        <v>26639</v>
      </c>
      <c r="F9047" t="s">
        <v>26640</v>
      </c>
      <c r="J9047" t="s">
        <v>26639</v>
      </c>
      <c r="K9047" t="s">
        <v>26250</v>
      </c>
      <c r="L9047" t="s">
        <v>1389</v>
      </c>
    </row>
    <row r="9048" spans="1:12">
      <c r="A9048" t="s">
        <v>26244</v>
      </c>
      <c r="B9048" t="s">
        <v>26245</v>
      </c>
      <c r="C9048" t="s">
        <v>26641</v>
      </c>
      <c r="D9048" t="s">
        <v>26247</v>
      </c>
      <c r="E9048" t="s">
        <v>26642</v>
      </c>
      <c r="F9048" t="s">
        <v>26643</v>
      </c>
      <c r="J9048" t="s">
        <v>26642</v>
      </c>
      <c r="K9048" t="s">
        <v>26250</v>
      </c>
      <c r="L9048" t="s">
        <v>1389</v>
      </c>
    </row>
    <row r="9049" spans="1:12">
      <c r="A9049" t="s">
        <v>26244</v>
      </c>
      <c r="B9049" t="s">
        <v>26245</v>
      </c>
      <c r="C9049" t="s">
        <v>26644</v>
      </c>
      <c r="D9049" t="s">
        <v>26247</v>
      </c>
      <c r="E9049" t="s">
        <v>26645</v>
      </c>
      <c r="F9049" t="s">
        <v>26646</v>
      </c>
      <c r="J9049" t="s">
        <v>26645</v>
      </c>
      <c r="K9049" t="s">
        <v>26250</v>
      </c>
      <c r="L9049" t="s">
        <v>1389</v>
      </c>
    </row>
    <row r="9050" spans="1:12">
      <c r="A9050" t="s">
        <v>26244</v>
      </c>
      <c r="B9050" t="s">
        <v>26245</v>
      </c>
      <c r="C9050" t="s">
        <v>26647</v>
      </c>
      <c r="D9050" t="s">
        <v>26247</v>
      </c>
      <c r="E9050" t="s">
        <v>26648</v>
      </c>
      <c r="F9050" t="s">
        <v>26649</v>
      </c>
      <c r="J9050" t="s">
        <v>26648</v>
      </c>
      <c r="K9050" t="s">
        <v>26250</v>
      </c>
      <c r="L9050" t="s">
        <v>1389</v>
      </c>
    </row>
    <row r="9051" spans="1:12">
      <c r="A9051" t="s">
        <v>26244</v>
      </c>
      <c r="B9051" t="s">
        <v>26245</v>
      </c>
      <c r="C9051" t="s">
        <v>26650</v>
      </c>
      <c r="D9051" t="s">
        <v>26247</v>
      </c>
      <c r="E9051" t="s">
        <v>26651</v>
      </c>
      <c r="F9051" t="s">
        <v>26652</v>
      </c>
      <c r="J9051" t="s">
        <v>26651</v>
      </c>
      <c r="K9051" t="s">
        <v>26250</v>
      </c>
      <c r="L9051" t="s">
        <v>1389</v>
      </c>
    </row>
    <row r="9052" spans="1:12">
      <c r="A9052" t="s">
        <v>26244</v>
      </c>
      <c r="B9052" t="s">
        <v>26245</v>
      </c>
      <c r="C9052" t="s">
        <v>26653</v>
      </c>
      <c r="D9052" t="s">
        <v>26247</v>
      </c>
      <c r="E9052" t="s">
        <v>12743</v>
      </c>
      <c r="F9052" t="s">
        <v>26654</v>
      </c>
    </row>
    <row r="9053" spans="1:12">
      <c r="A9053" t="s">
        <v>26244</v>
      </c>
      <c r="B9053" t="s">
        <v>26245</v>
      </c>
      <c r="C9053" t="s">
        <v>26655</v>
      </c>
      <c r="D9053" t="s">
        <v>26247</v>
      </c>
      <c r="E9053" t="s">
        <v>9437</v>
      </c>
      <c r="F9053" t="s">
        <v>26656</v>
      </c>
    </row>
    <row r="9054" spans="1:12">
      <c r="A9054" t="s">
        <v>26244</v>
      </c>
      <c r="B9054" t="s">
        <v>26245</v>
      </c>
      <c r="C9054" t="s">
        <v>26657</v>
      </c>
      <c r="D9054" t="s">
        <v>26247</v>
      </c>
      <c r="E9054" t="s">
        <v>26658</v>
      </c>
      <c r="F9054" t="s">
        <v>26659</v>
      </c>
      <c r="J9054" t="s">
        <v>26658</v>
      </c>
      <c r="K9054" t="s">
        <v>26250</v>
      </c>
      <c r="L9054" t="s">
        <v>1389</v>
      </c>
    </row>
    <row r="9055" spans="1:12">
      <c r="A9055" t="s">
        <v>26244</v>
      </c>
      <c r="B9055" t="s">
        <v>26245</v>
      </c>
      <c r="C9055" t="s">
        <v>26660</v>
      </c>
      <c r="D9055" t="s">
        <v>26247</v>
      </c>
      <c r="E9055" t="s">
        <v>26661</v>
      </c>
      <c r="F9055" t="s">
        <v>26662</v>
      </c>
      <c r="J9055" t="s">
        <v>26661</v>
      </c>
      <c r="K9055" t="s">
        <v>26250</v>
      </c>
      <c r="L9055" t="s">
        <v>1389</v>
      </c>
    </row>
    <row r="9056" spans="1:12">
      <c r="A9056" t="s">
        <v>26244</v>
      </c>
      <c r="B9056" t="s">
        <v>26245</v>
      </c>
      <c r="C9056" t="s">
        <v>26663</v>
      </c>
      <c r="D9056" t="s">
        <v>26247</v>
      </c>
      <c r="E9056" t="s">
        <v>26664</v>
      </c>
      <c r="F9056" t="s">
        <v>26665</v>
      </c>
      <c r="J9056" t="s">
        <v>26664</v>
      </c>
      <c r="K9056" t="s">
        <v>26250</v>
      </c>
      <c r="L9056" t="s">
        <v>1389</v>
      </c>
    </row>
    <row r="9057" spans="1:12">
      <c r="A9057" t="s">
        <v>26244</v>
      </c>
      <c r="B9057" t="s">
        <v>26245</v>
      </c>
      <c r="C9057" t="s">
        <v>26666</v>
      </c>
      <c r="D9057" t="s">
        <v>26247</v>
      </c>
      <c r="E9057" t="s">
        <v>18755</v>
      </c>
      <c r="F9057" t="s">
        <v>26667</v>
      </c>
      <c r="J9057" t="s">
        <v>18755</v>
      </c>
      <c r="K9057" t="s">
        <v>26250</v>
      </c>
      <c r="L9057" t="s">
        <v>1389</v>
      </c>
    </row>
    <row r="9058" spans="1:12">
      <c r="A9058" t="s">
        <v>26244</v>
      </c>
      <c r="B9058" t="s">
        <v>26245</v>
      </c>
      <c r="C9058" t="s">
        <v>26668</v>
      </c>
      <c r="D9058" t="s">
        <v>26247</v>
      </c>
      <c r="E9058" t="s">
        <v>18765</v>
      </c>
      <c r="F9058" t="s">
        <v>26669</v>
      </c>
    </row>
    <row r="9059" spans="1:12">
      <c r="A9059" t="s">
        <v>26244</v>
      </c>
      <c r="B9059" t="s">
        <v>26245</v>
      </c>
      <c r="C9059" t="s">
        <v>26670</v>
      </c>
      <c r="D9059" t="s">
        <v>26247</v>
      </c>
      <c r="E9059" t="s">
        <v>15202</v>
      </c>
      <c r="F9059" t="s">
        <v>26671</v>
      </c>
      <c r="J9059" t="s">
        <v>15202</v>
      </c>
      <c r="K9059" t="s">
        <v>26250</v>
      </c>
      <c r="L9059" t="s">
        <v>1389</v>
      </c>
    </row>
    <row r="9060" spans="1:12">
      <c r="A9060" t="s">
        <v>26244</v>
      </c>
      <c r="B9060" t="s">
        <v>26245</v>
      </c>
      <c r="C9060" t="s">
        <v>26672</v>
      </c>
      <c r="D9060" t="s">
        <v>26247</v>
      </c>
      <c r="E9060" t="s">
        <v>18775</v>
      </c>
      <c r="F9060" t="s">
        <v>26673</v>
      </c>
      <c r="J9060" t="s">
        <v>18775</v>
      </c>
      <c r="K9060" t="s">
        <v>26250</v>
      </c>
      <c r="L9060" t="s">
        <v>1389</v>
      </c>
    </row>
    <row r="9061" spans="1:12">
      <c r="A9061" t="s">
        <v>26244</v>
      </c>
      <c r="B9061" t="s">
        <v>26245</v>
      </c>
      <c r="C9061" t="s">
        <v>26674</v>
      </c>
      <c r="D9061" t="s">
        <v>26247</v>
      </c>
      <c r="E9061" t="s">
        <v>26675</v>
      </c>
      <c r="F9061" t="s">
        <v>26676</v>
      </c>
      <c r="J9061" t="s">
        <v>26675</v>
      </c>
      <c r="K9061" t="s">
        <v>26250</v>
      </c>
      <c r="L9061" t="s">
        <v>1389</v>
      </c>
    </row>
    <row r="9062" spans="1:12">
      <c r="A9062" t="s">
        <v>26244</v>
      </c>
      <c r="B9062" t="s">
        <v>26245</v>
      </c>
      <c r="C9062" t="s">
        <v>26677</v>
      </c>
      <c r="D9062" t="s">
        <v>26247</v>
      </c>
      <c r="E9062" t="s">
        <v>26678</v>
      </c>
      <c r="F9062" t="s">
        <v>26679</v>
      </c>
      <c r="J9062" t="s">
        <v>26678</v>
      </c>
      <c r="K9062" t="s">
        <v>26250</v>
      </c>
      <c r="L9062" t="s">
        <v>1389</v>
      </c>
    </row>
    <row r="9063" spans="1:12">
      <c r="A9063" t="s">
        <v>26244</v>
      </c>
      <c r="B9063" t="s">
        <v>26245</v>
      </c>
      <c r="C9063" t="s">
        <v>26680</v>
      </c>
      <c r="D9063" t="s">
        <v>26247</v>
      </c>
      <c r="E9063" t="s">
        <v>26681</v>
      </c>
      <c r="F9063" t="s">
        <v>26682</v>
      </c>
      <c r="J9063" t="s">
        <v>26681</v>
      </c>
      <c r="K9063" t="s">
        <v>26250</v>
      </c>
      <c r="L9063" t="s">
        <v>1389</v>
      </c>
    </row>
    <row r="9064" spans="1:12">
      <c r="A9064" t="s">
        <v>26244</v>
      </c>
      <c r="B9064" t="s">
        <v>26245</v>
      </c>
      <c r="C9064" t="s">
        <v>26683</v>
      </c>
      <c r="D9064" t="s">
        <v>26247</v>
      </c>
      <c r="E9064" t="s">
        <v>26684</v>
      </c>
      <c r="F9064" t="s">
        <v>26685</v>
      </c>
      <c r="J9064" t="s">
        <v>26684</v>
      </c>
      <c r="K9064" t="s">
        <v>26250</v>
      </c>
      <c r="L9064" t="s">
        <v>1389</v>
      </c>
    </row>
    <row r="9065" spans="1:12">
      <c r="A9065" t="s">
        <v>26244</v>
      </c>
      <c r="B9065" t="s">
        <v>26245</v>
      </c>
      <c r="C9065" t="s">
        <v>26686</v>
      </c>
      <c r="D9065" t="s">
        <v>26247</v>
      </c>
      <c r="E9065" t="s">
        <v>26687</v>
      </c>
      <c r="F9065" t="s">
        <v>26688</v>
      </c>
      <c r="J9065" t="s">
        <v>26687</v>
      </c>
      <c r="K9065" t="s">
        <v>26250</v>
      </c>
      <c r="L9065" t="s">
        <v>1389</v>
      </c>
    </row>
    <row r="9066" spans="1:12">
      <c r="A9066" t="s">
        <v>26244</v>
      </c>
      <c r="B9066" t="s">
        <v>26245</v>
      </c>
      <c r="C9066" t="s">
        <v>26689</v>
      </c>
      <c r="D9066" t="s">
        <v>26247</v>
      </c>
      <c r="E9066" t="s">
        <v>9511</v>
      </c>
      <c r="F9066" t="s">
        <v>26690</v>
      </c>
    </row>
    <row r="9067" spans="1:12">
      <c r="A9067" t="s">
        <v>26244</v>
      </c>
      <c r="B9067" t="s">
        <v>26245</v>
      </c>
      <c r="C9067" t="s">
        <v>26691</v>
      </c>
      <c r="D9067" t="s">
        <v>26247</v>
      </c>
      <c r="E9067" t="s">
        <v>5105</v>
      </c>
      <c r="F9067" t="s">
        <v>26692</v>
      </c>
      <c r="J9067" t="s">
        <v>5105</v>
      </c>
      <c r="K9067" t="s">
        <v>26250</v>
      </c>
      <c r="L9067" t="s">
        <v>1389</v>
      </c>
    </row>
    <row r="9068" spans="1:12">
      <c r="A9068" t="s">
        <v>26244</v>
      </c>
      <c r="B9068" t="s">
        <v>26245</v>
      </c>
      <c r="C9068" t="s">
        <v>26693</v>
      </c>
      <c r="D9068" t="s">
        <v>26247</v>
      </c>
      <c r="E9068" t="s">
        <v>26694</v>
      </c>
      <c r="F9068" t="s">
        <v>26695</v>
      </c>
      <c r="J9068" t="s">
        <v>26694</v>
      </c>
      <c r="K9068" t="s">
        <v>26250</v>
      </c>
      <c r="L9068" t="s">
        <v>1389</v>
      </c>
    </row>
    <row r="9069" spans="1:12">
      <c r="A9069" t="s">
        <v>26244</v>
      </c>
      <c r="B9069" t="s">
        <v>26245</v>
      </c>
      <c r="C9069" t="s">
        <v>26696</v>
      </c>
      <c r="D9069" t="s">
        <v>26247</v>
      </c>
      <c r="E9069" t="s">
        <v>26072</v>
      </c>
      <c r="F9069" t="s">
        <v>26697</v>
      </c>
      <c r="J9069" t="s">
        <v>26072</v>
      </c>
      <c r="K9069" t="s">
        <v>26250</v>
      </c>
      <c r="L9069" t="s">
        <v>1389</v>
      </c>
    </row>
    <row r="9070" spans="1:12">
      <c r="A9070" t="s">
        <v>26244</v>
      </c>
      <c r="B9070" t="s">
        <v>26245</v>
      </c>
      <c r="C9070" t="s">
        <v>26698</v>
      </c>
      <c r="D9070" t="s">
        <v>26247</v>
      </c>
      <c r="E9070" t="s">
        <v>26699</v>
      </c>
      <c r="F9070" t="s">
        <v>9466</v>
      </c>
      <c r="J9070" t="s">
        <v>26699</v>
      </c>
      <c r="K9070" t="s">
        <v>26250</v>
      </c>
      <c r="L9070" t="s">
        <v>1389</v>
      </c>
    </row>
    <row r="9071" spans="1:12">
      <c r="A9071" t="s">
        <v>26244</v>
      </c>
      <c r="B9071" t="s">
        <v>26245</v>
      </c>
      <c r="C9071" t="s">
        <v>26700</v>
      </c>
      <c r="D9071" t="s">
        <v>26247</v>
      </c>
      <c r="E9071" t="s">
        <v>15831</v>
      </c>
      <c r="F9071" t="s">
        <v>26701</v>
      </c>
      <c r="J9071" t="s">
        <v>15831</v>
      </c>
      <c r="K9071" t="s">
        <v>26250</v>
      </c>
      <c r="L9071" t="s">
        <v>1389</v>
      </c>
    </row>
    <row r="9072" spans="1:12">
      <c r="A9072" t="s">
        <v>26244</v>
      </c>
      <c r="B9072" t="s">
        <v>26245</v>
      </c>
      <c r="C9072" t="s">
        <v>26702</v>
      </c>
      <c r="D9072" t="s">
        <v>26247</v>
      </c>
      <c r="E9072" t="s">
        <v>26703</v>
      </c>
      <c r="F9072" t="s">
        <v>26704</v>
      </c>
      <c r="J9072" t="s">
        <v>26703</v>
      </c>
      <c r="K9072" t="s">
        <v>26250</v>
      </c>
      <c r="L9072" t="s">
        <v>1389</v>
      </c>
    </row>
    <row r="9073" spans="1:12">
      <c r="A9073" t="s">
        <v>26244</v>
      </c>
      <c r="B9073" t="s">
        <v>26245</v>
      </c>
      <c r="C9073" t="s">
        <v>26705</v>
      </c>
      <c r="D9073" t="s">
        <v>26247</v>
      </c>
      <c r="E9073" t="s">
        <v>9533</v>
      </c>
      <c r="F9073" t="s">
        <v>26706</v>
      </c>
      <c r="J9073" t="s">
        <v>9533</v>
      </c>
      <c r="K9073" t="s">
        <v>26250</v>
      </c>
      <c r="L9073" t="s">
        <v>1389</v>
      </c>
    </row>
    <row r="9074" spans="1:12">
      <c r="A9074" t="s">
        <v>26244</v>
      </c>
      <c r="B9074" t="s">
        <v>26245</v>
      </c>
      <c r="C9074" t="s">
        <v>26707</v>
      </c>
      <c r="D9074" t="s">
        <v>26247</v>
      </c>
      <c r="E9074" t="s">
        <v>26708</v>
      </c>
      <c r="F9074" t="s">
        <v>26709</v>
      </c>
      <c r="J9074" t="s">
        <v>26708</v>
      </c>
      <c r="K9074" t="s">
        <v>26250</v>
      </c>
      <c r="L9074" t="s">
        <v>1389</v>
      </c>
    </row>
    <row r="9075" spans="1:12">
      <c r="A9075" t="s">
        <v>26244</v>
      </c>
      <c r="B9075" t="s">
        <v>26245</v>
      </c>
      <c r="C9075" t="s">
        <v>26710</v>
      </c>
      <c r="D9075" t="s">
        <v>26247</v>
      </c>
      <c r="E9075" t="s">
        <v>26711</v>
      </c>
      <c r="F9075" t="s">
        <v>26712</v>
      </c>
      <c r="J9075" t="s">
        <v>26711</v>
      </c>
      <c r="K9075" t="s">
        <v>26250</v>
      </c>
      <c r="L9075" t="s">
        <v>1389</v>
      </c>
    </row>
    <row r="9076" spans="1:12">
      <c r="A9076" t="s">
        <v>26244</v>
      </c>
      <c r="B9076" t="s">
        <v>26245</v>
      </c>
      <c r="C9076" t="s">
        <v>26713</v>
      </c>
      <c r="D9076" t="s">
        <v>26247</v>
      </c>
      <c r="E9076" t="s">
        <v>26714</v>
      </c>
      <c r="F9076" t="s">
        <v>26715</v>
      </c>
      <c r="J9076" t="s">
        <v>26714</v>
      </c>
      <c r="K9076" t="s">
        <v>26250</v>
      </c>
      <c r="L9076" t="s">
        <v>1389</v>
      </c>
    </row>
    <row r="9077" spans="1:12">
      <c r="A9077" t="s">
        <v>26244</v>
      </c>
      <c r="B9077" t="s">
        <v>26245</v>
      </c>
      <c r="C9077" t="s">
        <v>26716</v>
      </c>
      <c r="D9077" t="s">
        <v>26247</v>
      </c>
      <c r="E9077" t="s">
        <v>26717</v>
      </c>
      <c r="F9077" t="s">
        <v>26718</v>
      </c>
      <c r="J9077" t="s">
        <v>26717</v>
      </c>
      <c r="K9077" t="s">
        <v>26250</v>
      </c>
      <c r="L9077" t="s">
        <v>1389</v>
      </c>
    </row>
    <row r="9078" spans="1:12">
      <c r="A9078" t="s">
        <v>26244</v>
      </c>
      <c r="B9078" t="s">
        <v>26245</v>
      </c>
      <c r="C9078" t="s">
        <v>26719</v>
      </c>
      <c r="D9078" t="s">
        <v>26247</v>
      </c>
      <c r="E9078" t="s">
        <v>26720</v>
      </c>
      <c r="F9078" t="s">
        <v>26721</v>
      </c>
      <c r="J9078" t="s">
        <v>26720</v>
      </c>
      <c r="K9078" t="s">
        <v>26250</v>
      </c>
      <c r="L9078" t="s">
        <v>1389</v>
      </c>
    </row>
    <row r="9079" spans="1:12">
      <c r="A9079" t="s">
        <v>26244</v>
      </c>
      <c r="B9079" t="s">
        <v>26245</v>
      </c>
      <c r="C9079" t="s">
        <v>26722</v>
      </c>
      <c r="D9079" t="s">
        <v>26247</v>
      </c>
      <c r="E9079" t="s">
        <v>26723</v>
      </c>
      <c r="F9079" t="s">
        <v>26724</v>
      </c>
      <c r="J9079" t="s">
        <v>26723</v>
      </c>
      <c r="K9079" t="s">
        <v>26250</v>
      </c>
      <c r="L9079" t="s">
        <v>1389</v>
      </c>
    </row>
    <row r="9080" spans="1:12">
      <c r="A9080" t="s">
        <v>26244</v>
      </c>
      <c r="B9080" t="s">
        <v>26245</v>
      </c>
      <c r="C9080" t="s">
        <v>26725</v>
      </c>
      <c r="D9080" t="s">
        <v>26247</v>
      </c>
      <c r="E9080" t="s">
        <v>26726</v>
      </c>
      <c r="F9080" t="s">
        <v>26727</v>
      </c>
      <c r="J9080" t="s">
        <v>26726</v>
      </c>
      <c r="K9080" t="s">
        <v>26250</v>
      </c>
      <c r="L9080" t="s">
        <v>1389</v>
      </c>
    </row>
    <row r="9081" spans="1:12">
      <c r="A9081" t="s">
        <v>26244</v>
      </c>
      <c r="B9081" t="s">
        <v>26245</v>
      </c>
      <c r="C9081" t="s">
        <v>26728</v>
      </c>
      <c r="D9081" t="s">
        <v>26247</v>
      </c>
      <c r="E9081" t="s">
        <v>26729</v>
      </c>
      <c r="F9081" t="s">
        <v>26730</v>
      </c>
      <c r="J9081" t="s">
        <v>26729</v>
      </c>
      <c r="K9081" t="s">
        <v>26250</v>
      </c>
      <c r="L9081" t="s">
        <v>1389</v>
      </c>
    </row>
    <row r="9082" spans="1:12">
      <c r="A9082" t="s">
        <v>26244</v>
      </c>
      <c r="B9082" t="s">
        <v>26245</v>
      </c>
      <c r="C9082" t="s">
        <v>26731</v>
      </c>
      <c r="D9082" t="s">
        <v>26247</v>
      </c>
      <c r="E9082" t="s">
        <v>19312</v>
      </c>
      <c r="F9082" t="s">
        <v>26732</v>
      </c>
      <c r="J9082" t="s">
        <v>19312</v>
      </c>
      <c r="K9082" t="s">
        <v>26250</v>
      </c>
      <c r="L9082" t="s">
        <v>1389</v>
      </c>
    </row>
    <row r="9083" spans="1:12">
      <c r="A9083" t="s">
        <v>26244</v>
      </c>
      <c r="B9083" t="s">
        <v>26245</v>
      </c>
      <c r="C9083" t="s">
        <v>26733</v>
      </c>
      <c r="D9083" t="s">
        <v>26247</v>
      </c>
      <c r="E9083" t="s">
        <v>19373</v>
      </c>
      <c r="F9083" t="s">
        <v>26734</v>
      </c>
      <c r="J9083" t="s">
        <v>19373</v>
      </c>
      <c r="K9083" t="s">
        <v>26250</v>
      </c>
      <c r="L9083" t="s">
        <v>1389</v>
      </c>
    </row>
    <row r="9084" spans="1:12">
      <c r="A9084" t="s">
        <v>26244</v>
      </c>
      <c r="B9084" t="s">
        <v>26245</v>
      </c>
      <c r="C9084" t="s">
        <v>26735</v>
      </c>
      <c r="D9084" t="s">
        <v>26247</v>
      </c>
      <c r="E9084" t="s">
        <v>26736</v>
      </c>
      <c r="F9084" t="s">
        <v>26737</v>
      </c>
      <c r="J9084" t="s">
        <v>26736</v>
      </c>
      <c r="K9084" t="s">
        <v>26250</v>
      </c>
      <c r="L9084" t="s">
        <v>1389</v>
      </c>
    </row>
    <row r="9085" spans="1:12">
      <c r="A9085" t="s">
        <v>26244</v>
      </c>
      <c r="B9085" t="s">
        <v>26245</v>
      </c>
      <c r="C9085" t="s">
        <v>26738</v>
      </c>
      <c r="D9085" t="s">
        <v>26247</v>
      </c>
      <c r="E9085" t="s">
        <v>9620</v>
      </c>
      <c r="F9085" t="s">
        <v>26739</v>
      </c>
      <c r="J9085" t="s">
        <v>9620</v>
      </c>
      <c r="K9085" t="s">
        <v>26250</v>
      </c>
      <c r="L9085" t="s">
        <v>1389</v>
      </c>
    </row>
    <row r="9086" spans="1:12">
      <c r="A9086" t="s">
        <v>26244</v>
      </c>
      <c r="B9086" t="s">
        <v>26245</v>
      </c>
      <c r="C9086" t="s">
        <v>26740</v>
      </c>
      <c r="D9086" t="s">
        <v>26247</v>
      </c>
      <c r="E9086" t="s">
        <v>26741</v>
      </c>
      <c r="F9086" t="s">
        <v>26742</v>
      </c>
      <c r="J9086" t="s">
        <v>26741</v>
      </c>
      <c r="K9086" t="s">
        <v>26250</v>
      </c>
      <c r="L9086" t="s">
        <v>1389</v>
      </c>
    </row>
    <row r="9087" spans="1:12">
      <c r="A9087" t="s">
        <v>26244</v>
      </c>
      <c r="B9087" t="s">
        <v>26245</v>
      </c>
      <c r="C9087" t="s">
        <v>26743</v>
      </c>
      <c r="D9087" t="s">
        <v>26247</v>
      </c>
      <c r="E9087" t="s">
        <v>26744</v>
      </c>
      <c r="F9087" t="s">
        <v>26745</v>
      </c>
      <c r="J9087" t="s">
        <v>26744</v>
      </c>
      <c r="K9087" t="s">
        <v>26250</v>
      </c>
      <c r="L9087" t="s">
        <v>1389</v>
      </c>
    </row>
    <row r="9088" spans="1:12">
      <c r="A9088" t="s">
        <v>26244</v>
      </c>
      <c r="B9088" t="s">
        <v>26245</v>
      </c>
      <c r="C9088" t="s">
        <v>26746</v>
      </c>
      <c r="D9088" t="s">
        <v>26247</v>
      </c>
      <c r="E9088" t="s">
        <v>26747</v>
      </c>
      <c r="F9088" t="s">
        <v>26748</v>
      </c>
      <c r="J9088" t="s">
        <v>26747</v>
      </c>
      <c r="K9088" t="s">
        <v>26250</v>
      </c>
      <c r="L9088" t="s">
        <v>1389</v>
      </c>
    </row>
    <row r="9089" spans="1:12">
      <c r="A9089" t="s">
        <v>26244</v>
      </c>
      <c r="B9089" t="s">
        <v>26245</v>
      </c>
      <c r="C9089" t="s">
        <v>26749</v>
      </c>
      <c r="D9089" t="s">
        <v>26247</v>
      </c>
      <c r="E9089" t="s">
        <v>26750</v>
      </c>
      <c r="F9089" t="s">
        <v>26751</v>
      </c>
      <c r="J9089" t="s">
        <v>26750</v>
      </c>
      <c r="K9089" t="s">
        <v>26250</v>
      </c>
      <c r="L9089" t="s">
        <v>1389</v>
      </c>
    </row>
    <row r="9090" spans="1:12">
      <c r="A9090" t="s">
        <v>26244</v>
      </c>
      <c r="B9090" t="s">
        <v>26245</v>
      </c>
      <c r="C9090" t="s">
        <v>26752</v>
      </c>
      <c r="D9090" t="s">
        <v>26247</v>
      </c>
      <c r="E9090" t="s">
        <v>26753</v>
      </c>
      <c r="F9090" t="s">
        <v>26754</v>
      </c>
      <c r="J9090" t="s">
        <v>26753</v>
      </c>
      <c r="K9090" t="s">
        <v>26250</v>
      </c>
      <c r="L9090" t="s">
        <v>1389</v>
      </c>
    </row>
    <row r="9091" spans="1:12">
      <c r="A9091" t="s">
        <v>26244</v>
      </c>
      <c r="B9091" t="s">
        <v>26245</v>
      </c>
      <c r="C9091" t="s">
        <v>26755</v>
      </c>
      <c r="D9091" t="s">
        <v>26247</v>
      </c>
      <c r="E9091" t="s">
        <v>19705</v>
      </c>
      <c r="F9091" t="s">
        <v>26756</v>
      </c>
      <c r="J9091" t="s">
        <v>19705</v>
      </c>
      <c r="K9091" t="s">
        <v>26250</v>
      </c>
      <c r="L9091" t="s">
        <v>1389</v>
      </c>
    </row>
    <row r="9092" spans="1:12">
      <c r="A9092" t="s">
        <v>26244</v>
      </c>
      <c r="B9092" t="s">
        <v>26245</v>
      </c>
      <c r="C9092" t="s">
        <v>26757</v>
      </c>
      <c r="D9092" t="s">
        <v>26247</v>
      </c>
      <c r="E9092" t="s">
        <v>19715</v>
      </c>
      <c r="F9092" t="s">
        <v>19708</v>
      </c>
      <c r="J9092" t="s">
        <v>19715</v>
      </c>
      <c r="K9092" t="s">
        <v>26250</v>
      </c>
      <c r="L9092" t="s">
        <v>1389</v>
      </c>
    </row>
    <row r="9093" spans="1:12">
      <c r="A9093" t="s">
        <v>26244</v>
      </c>
      <c r="B9093" t="s">
        <v>26245</v>
      </c>
      <c r="C9093" t="s">
        <v>26758</v>
      </c>
      <c r="D9093" t="s">
        <v>26247</v>
      </c>
      <c r="E9093" t="s">
        <v>19762</v>
      </c>
      <c r="F9093" t="s">
        <v>26759</v>
      </c>
      <c r="J9093" t="s">
        <v>19762</v>
      </c>
      <c r="K9093" t="s">
        <v>26250</v>
      </c>
      <c r="L9093" t="s">
        <v>1389</v>
      </c>
    </row>
    <row r="9094" spans="1:12">
      <c r="A9094" t="s">
        <v>26244</v>
      </c>
      <c r="B9094" t="s">
        <v>26245</v>
      </c>
      <c r="C9094" t="s">
        <v>26760</v>
      </c>
      <c r="D9094" t="s">
        <v>26247</v>
      </c>
      <c r="E9094" t="s">
        <v>19897</v>
      </c>
      <c r="F9094" t="s">
        <v>26761</v>
      </c>
      <c r="J9094" t="s">
        <v>19897</v>
      </c>
      <c r="K9094" t="s">
        <v>26250</v>
      </c>
      <c r="L9094" t="s">
        <v>1389</v>
      </c>
    </row>
    <row r="9095" spans="1:12">
      <c r="A9095" t="s">
        <v>26244</v>
      </c>
      <c r="B9095" t="s">
        <v>26245</v>
      </c>
      <c r="C9095" t="s">
        <v>26762</v>
      </c>
      <c r="D9095" t="s">
        <v>26247</v>
      </c>
      <c r="E9095" t="s">
        <v>26763</v>
      </c>
      <c r="F9095" t="s">
        <v>26764</v>
      </c>
      <c r="J9095" t="s">
        <v>26763</v>
      </c>
      <c r="K9095" t="s">
        <v>26250</v>
      </c>
      <c r="L9095" t="s">
        <v>1389</v>
      </c>
    </row>
    <row r="9096" spans="1:12">
      <c r="A9096" t="s">
        <v>26244</v>
      </c>
      <c r="B9096" t="s">
        <v>26245</v>
      </c>
      <c r="C9096" t="s">
        <v>26765</v>
      </c>
      <c r="D9096" t="s">
        <v>26247</v>
      </c>
      <c r="E9096" t="s">
        <v>26766</v>
      </c>
      <c r="F9096" t="s">
        <v>26767</v>
      </c>
      <c r="J9096" t="s">
        <v>26766</v>
      </c>
      <c r="K9096" t="s">
        <v>26250</v>
      </c>
      <c r="L9096" t="s">
        <v>1389</v>
      </c>
    </row>
    <row r="9097" spans="1:12">
      <c r="A9097" t="s">
        <v>26244</v>
      </c>
      <c r="B9097" t="s">
        <v>26245</v>
      </c>
      <c r="C9097" t="s">
        <v>26768</v>
      </c>
      <c r="D9097" t="s">
        <v>26247</v>
      </c>
      <c r="E9097" t="s">
        <v>19984</v>
      </c>
      <c r="F9097" t="s">
        <v>26769</v>
      </c>
      <c r="J9097" t="s">
        <v>19984</v>
      </c>
      <c r="K9097" t="s">
        <v>26250</v>
      </c>
      <c r="L9097" t="s">
        <v>1389</v>
      </c>
    </row>
    <row r="9098" spans="1:12">
      <c r="A9098" t="s">
        <v>26244</v>
      </c>
      <c r="B9098" t="s">
        <v>26245</v>
      </c>
      <c r="C9098" t="s">
        <v>26770</v>
      </c>
      <c r="D9098" t="s">
        <v>26247</v>
      </c>
      <c r="E9098" t="s">
        <v>26771</v>
      </c>
      <c r="F9098" t="s">
        <v>26772</v>
      </c>
      <c r="J9098" t="s">
        <v>26771</v>
      </c>
      <c r="K9098" t="s">
        <v>26250</v>
      </c>
      <c r="L9098" t="s">
        <v>1389</v>
      </c>
    </row>
    <row r="9099" spans="1:12">
      <c r="A9099" t="s">
        <v>26244</v>
      </c>
      <c r="B9099" t="s">
        <v>26245</v>
      </c>
      <c r="C9099" t="s">
        <v>26773</v>
      </c>
      <c r="D9099" t="s">
        <v>26247</v>
      </c>
      <c r="E9099" t="s">
        <v>26774</v>
      </c>
      <c r="F9099" t="s">
        <v>26775</v>
      </c>
      <c r="J9099" t="s">
        <v>26774</v>
      </c>
      <c r="K9099" t="s">
        <v>26250</v>
      </c>
      <c r="L9099" t="s">
        <v>1389</v>
      </c>
    </row>
    <row r="9100" spans="1:12">
      <c r="A9100" t="s">
        <v>26244</v>
      </c>
      <c r="B9100" t="s">
        <v>26245</v>
      </c>
      <c r="C9100" t="s">
        <v>26776</v>
      </c>
      <c r="D9100" t="s">
        <v>26247</v>
      </c>
      <c r="E9100" t="s">
        <v>26777</v>
      </c>
      <c r="F9100" t="s">
        <v>26778</v>
      </c>
      <c r="J9100" t="s">
        <v>26777</v>
      </c>
      <c r="K9100" t="s">
        <v>26250</v>
      </c>
      <c r="L9100" t="s">
        <v>1389</v>
      </c>
    </row>
    <row r="9101" spans="1:12">
      <c r="A9101" t="s">
        <v>26244</v>
      </c>
      <c r="B9101" t="s">
        <v>26245</v>
      </c>
      <c r="C9101" t="s">
        <v>26779</v>
      </c>
      <c r="D9101" t="s">
        <v>26247</v>
      </c>
      <c r="E9101" t="s">
        <v>26780</v>
      </c>
      <c r="F9101" t="s">
        <v>26781</v>
      </c>
      <c r="J9101" t="s">
        <v>26780</v>
      </c>
      <c r="K9101" t="s">
        <v>26250</v>
      </c>
      <c r="L9101" t="s">
        <v>1389</v>
      </c>
    </row>
    <row r="9102" spans="1:12">
      <c r="A9102" t="s">
        <v>26244</v>
      </c>
      <c r="B9102" t="s">
        <v>26245</v>
      </c>
      <c r="C9102" t="s">
        <v>26782</v>
      </c>
      <c r="D9102" t="s">
        <v>26247</v>
      </c>
      <c r="E9102" t="s">
        <v>26783</v>
      </c>
      <c r="F9102" t="s">
        <v>26784</v>
      </c>
      <c r="J9102" t="s">
        <v>26783</v>
      </c>
      <c r="K9102" t="s">
        <v>26250</v>
      </c>
      <c r="L9102" t="s">
        <v>1389</v>
      </c>
    </row>
    <row r="9103" spans="1:12">
      <c r="A9103" t="s">
        <v>26244</v>
      </c>
      <c r="B9103" t="s">
        <v>26245</v>
      </c>
      <c r="C9103" t="s">
        <v>26785</v>
      </c>
      <c r="D9103" t="s">
        <v>26247</v>
      </c>
      <c r="E9103" t="s">
        <v>12866</v>
      </c>
      <c r="F9103" t="s">
        <v>26786</v>
      </c>
      <c r="J9103" t="s">
        <v>12866</v>
      </c>
      <c r="K9103" t="s">
        <v>26250</v>
      </c>
      <c r="L9103" t="s">
        <v>1389</v>
      </c>
    </row>
    <row r="9104" spans="1:12">
      <c r="A9104" t="s">
        <v>26244</v>
      </c>
      <c r="B9104" t="s">
        <v>26245</v>
      </c>
      <c r="C9104" t="s">
        <v>26787</v>
      </c>
      <c r="D9104" t="s">
        <v>26247</v>
      </c>
      <c r="E9104" t="s">
        <v>26788</v>
      </c>
      <c r="F9104" t="s">
        <v>26789</v>
      </c>
      <c r="J9104" t="s">
        <v>26788</v>
      </c>
      <c r="K9104" t="s">
        <v>26250</v>
      </c>
      <c r="L9104" t="s">
        <v>1389</v>
      </c>
    </row>
    <row r="9105" spans="1:12">
      <c r="A9105" t="s">
        <v>26244</v>
      </c>
      <c r="B9105" t="s">
        <v>26245</v>
      </c>
      <c r="C9105" t="s">
        <v>26790</v>
      </c>
      <c r="D9105" t="s">
        <v>26247</v>
      </c>
      <c r="E9105" t="s">
        <v>26791</v>
      </c>
      <c r="F9105" t="s">
        <v>26792</v>
      </c>
      <c r="J9105" t="s">
        <v>26791</v>
      </c>
      <c r="K9105" t="s">
        <v>26250</v>
      </c>
      <c r="L9105" t="s">
        <v>1389</v>
      </c>
    </row>
    <row r="9106" spans="1:12">
      <c r="A9106" t="s">
        <v>26244</v>
      </c>
      <c r="B9106" t="s">
        <v>26245</v>
      </c>
      <c r="C9106" t="s">
        <v>26793</v>
      </c>
      <c r="D9106" t="s">
        <v>26247</v>
      </c>
      <c r="E9106" t="s">
        <v>26794</v>
      </c>
      <c r="F9106" t="s">
        <v>26795</v>
      </c>
      <c r="J9106" t="s">
        <v>26794</v>
      </c>
      <c r="K9106" t="s">
        <v>26250</v>
      </c>
      <c r="L9106" t="s">
        <v>1389</v>
      </c>
    </row>
    <row r="9107" spans="1:12">
      <c r="A9107" t="s">
        <v>26244</v>
      </c>
      <c r="B9107" t="s">
        <v>26245</v>
      </c>
      <c r="C9107" t="s">
        <v>26796</v>
      </c>
      <c r="D9107" t="s">
        <v>26247</v>
      </c>
      <c r="E9107" t="s">
        <v>26797</v>
      </c>
      <c r="F9107" t="s">
        <v>26798</v>
      </c>
      <c r="J9107" t="s">
        <v>26797</v>
      </c>
      <c r="K9107" t="s">
        <v>26250</v>
      </c>
      <c r="L9107" t="s">
        <v>1389</v>
      </c>
    </row>
    <row r="9108" spans="1:12">
      <c r="A9108" t="s">
        <v>26244</v>
      </c>
      <c r="B9108" t="s">
        <v>26245</v>
      </c>
      <c r="C9108" t="s">
        <v>26799</v>
      </c>
      <c r="D9108" t="s">
        <v>26247</v>
      </c>
      <c r="E9108" t="s">
        <v>9750</v>
      </c>
      <c r="F9108" t="s">
        <v>26800</v>
      </c>
      <c r="J9108" t="s">
        <v>9750</v>
      </c>
      <c r="K9108" t="s">
        <v>26250</v>
      </c>
      <c r="L9108" t="s">
        <v>1389</v>
      </c>
    </row>
    <row r="9109" spans="1:12">
      <c r="A9109" t="s">
        <v>26244</v>
      </c>
      <c r="B9109" t="s">
        <v>26245</v>
      </c>
      <c r="C9109" t="s">
        <v>26801</v>
      </c>
      <c r="D9109" t="s">
        <v>26247</v>
      </c>
      <c r="E9109" t="s">
        <v>26802</v>
      </c>
      <c r="F9109" t="s">
        <v>26803</v>
      </c>
      <c r="J9109" t="s">
        <v>26802</v>
      </c>
      <c r="K9109" t="s">
        <v>26250</v>
      </c>
      <c r="L9109" t="s">
        <v>1389</v>
      </c>
    </row>
    <row r="9110" spans="1:12">
      <c r="A9110" t="s">
        <v>26244</v>
      </c>
      <c r="B9110" t="s">
        <v>26245</v>
      </c>
      <c r="C9110" t="s">
        <v>26804</v>
      </c>
      <c r="D9110" t="s">
        <v>26247</v>
      </c>
      <c r="E9110" t="s">
        <v>11034</v>
      </c>
      <c r="F9110" t="s">
        <v>26805</v>
      </c>
      <c r="J9110" t="s">
        <v>11034</v>
      </c>
      <c r="K9110" t="s">
        <v>26250</v>
      </c>
      <c r="L9110" t="s">
        <v>1389</v>
      </c>
    </row>
    <row r="9111" spans="1:12">
      <c r="A9111" t="s">
        <v>26244</v>
      </c>
      <c r="B9111" t="s">
        <v>26245</v>
      </c>
      <c r="C9111" t="s">
        <v>26806</v>
      </c>
      <c r="D9111" t="s">
        <v>26247</v>
      </c>
      <c r="E9111" t="s">
        <v>11424</v>
      </c>
      <c r="F9111" t="s">
        <v>26807</v>
      </c>
      <c r="J9111" t="s">
        <v>11424</v>
      </c>
      <c r="K9111" t="s">
        <v>26250</v>
      </c>
      <c r="L9111" t="s">
        <v>1389</v>
      </c>
    </row>
    <row r="9112" spans="1:12">
      <c r="A9112" t="s">
        <v>26244</v>
      </c>
      <c r="B9112" t="s">
        <v>26245</v>
      </c>
      <c r="C9112" t="s">
        <v>26808</v>
      </c>
      <c r="D9112" t="s">
        <v>26247</v>
      </c>
      <c r="E9112" t="s">
        <v>2822</v>
      </c>
      <c r="F9112" t="s">
        <v>26809</v>
      </c>
      <c r="J9112" t="s">
        <v>2822</v>
      </c>
      <c r="K9112" t="s">
        <v>26250</v>
      </c>
      <c r="L9112" t="s">
        <v>1389</v>
      </c>
    </row>
    <row r="9113" spans="1:12">
      <c r="A9113" t="s">
        <v>26244</v>
      </c>
      <c r="B9113" t="s">
        <v>26245</v>
      </c>
      <c r="C9113" t="s">
        <v>26810</v>
      </c>
      <c r="D9113" t="s">
        <v>26247</v>
      </c>
      <c r="E9113" t="s">
        <v>2825</v>
      </c>
      <c r="F9113" t="s">
        <v>26811</v>
      </c>
    </row>
    <row r="9114" spans="1:12">
      <c r="A9114" t="s">
        <v>26244</v>
      </c>
      <c r="B9114" t="s">
        <v>26245</v>
      </c>
      <c r="C9114" t="s">
        <v>26812</v>
      </c>
      <c r="D9114" t="s">
        <v>26247</v>
      </c>
      <c r="E9114" t="s">
        <v>26813</v>
      </c>
      <c r="F9114" t="s">
        <v>26814</v>
      </c>
      <c r="J9114" t="s">
        <v>26813</v>
      </c>
      <c r="K9114" t="s">
        <v>26250</v>
      </c>
      <c r="L9114" t="s">
        <v>1389</v>
      </c>
    </row>
    <row r="9115" spans="1:12">
      <c r="A9115" t="s">
        <v>26244</v>
      </c>
      <c r="B9115" t="s">
        <v>26245</v>
      </c>
      <c r="C9115" t="s">
        <v>26815</v>
      </c>
      <c r="D9115" t="s">
        <v>26247</v>
      </c>
      <c r="E9115" t="s">
        <v>26816</v>
      </c>
      <c r="F9115" t="s">
        <v>26817</v>
      </c>
      <c r="J9115" t="s">
        <v>26816</v>
      </c>
      <c r="K9115" t="s">
        <v>26250</v>
      </c>
      <c r="L9115" t="s">
        <v>1389</v>
      </c>
    </row>
    <row r="9116" spans="1:12">
      <c r="A9116" t="s">
        <v>26244</v>
      </c>
      <c r="B9116" t="s">
        <v>26245</v>
      </c>
      <c r="C9116" t="s">
        <v>26818</v>
      </c>
      <c r="D9116" t="s">
        <v>26247</v>
      </c>
      <c r="E9116" t="s">
        <v>26819</v>
      </c>
      <c r="F9116" t="s">
        <v>26820</v>
      </c>
      <c r="J9116" t="s">
        <v>26819</v>
      </c>
      <c r="K9116" t="s">
        <v>26250</v>
      </c>
      <c r="L9116" t="s">
        <v>1389</v>
      </c>
    </row>
    <row r="9117" spans="1:12">
      <c r="A9117" t="s">
        <v>26244</v>
      </c>
      <c r="B9117" t="s">
        <v>26245</v>
      </c>
      <c r="C9117" t="s">
        <v>26821</v>
      </c>
      <c r="D9117" t="s">
        <v>26247</v>
      </c>
      <c r="E9117" t="s">
        <v>26822</v>
      </c>
      <c r="F9117" t="s">
        <v>26823</v>
      </c>
      <c r="J9117" t="s">
        <v>26822</v>
      </c>
      <c r="K9117" t="s">
        <v>26250</v>
      </c>
      <c r="L9117" t="s">
        <v>1389</v>
      </c>
    </row>
    <row r="9118" spans="1:12">
      <c r="A9118" t="s">
        <v>26244</v>
      </c>
      <c r="B9118" t="s">
        <v>26245</v>
      </c>
      <c r="C9118" t="s">
        <v>26824</v>
      </c>
      <c r="D9118" t="s">
        <v>26247</v>
      </c>
      <c r="E9118" t="s">
        <v>13398</v>
      </c>
      <c r="F9118" t="s">
        <v>26825</v>
      </c>
      <c r="J9118" t="s">
        <v>13398</v>
      </c>
      <c r="K9118" t="s">
        <v>26250</v>
      </c>
      <c r="L9118" t="s">
        <v>1389</v>
      </c>
    </row>
    <row r="9119" spans="1:12">
      <c r="A9119" t="s">
        <v>26244</v>
      </c>
      <c r="B9119" t="s">
        <v>26245</v>
      </c>
      <c r="C9119" t="s">
        <v>26826</v>
      </c>
      <c r="D9119" t="s">
        <v>26247</v>
      </c>
      <c r="E9119" t="s">
        <v>26827</v>
      </c>
      <c r="F9119" t="s">
        <v>26828</v>
      </c>
      <c r="J9119" t="s">
        <v>26827</v>
      </c>
      <c r="K9119" t="s">
        <v>26250</v>
      </c>
      <c r="L9119" t="s">
        <v>1389</v>
      </c>
    </row>
    <row r="9120" spans="1:12">
      <c r="A9120" t="s">
        <v>26244</v>
      </c>
      <c r="B9120" t="s">
        <v>26245</v>
      </c>
      <c r="C9120" t="s">
        <v>26829</v>
      </c>
      <c r="D9120" t="s">
        <v>26247</v>
      </c>
      <c r="E9120" t="s">
        <v>26830</v>
      </c>
      <c r="F9120" t="s">
        <v>26831</v>
      </c>
    </row>
    <row r="9121" spans="1:12">
      <c r="A9121" t="s">
        <v>26244</v>
      </c>
      <c r="B9121" t="s">
        <v>26245</v>
      </c>
      <c r="C9121" t="s">
        <v>26832</v>
      </c>
      <c r="D9121" t="s">
        <v>26247</v>
      </c>
      <c r="E9121" t="s">
        <v>26833</v>
      </c>
      <c r="F9121" t="s">
        <v>26834</v>
      </c>
      <c r="J9121" t="s">
        <v>26833</v>
      </c>
      <c r="K9121" t="s">
        <v>26250</v>
      </c>
      <c r="L9121" t="s">
        <v>1389</v>
      </c>
    </row>
    <row r="9122" spans="1:12">
      <c r="A9122" t="s">
        <v>26244</v>
      </c>
      <c r="B9122" t="s">
        <v>26245</v>
      </c>
      <c r="C9122" t="s">
        <v>26835</v>
      </c>
      <c r="D9122" t="s">
        <v>26247</v>
      </c>
      <c r="E9122" t="s">
        <v>26836</v>
      </c>
      <c r="F9122" t="s">
        <v>26837</v>
      </c>
    </row>
    <row r="9123" spans="1:12">
      <c r="A9123" t="s">
        <v>26244</v>
      </c>
      <c r="B9123" t="s">
        <v>26245</v>
      </c>
      <c r="C9123" t="s">
        <v>26838</v>
      </c>
      <c r="D9123" t="s">
        <v>26247</v>
      </c>
      <c r="E9123" t="s">
        <v>15421</v>
      </c>
      <c r="F9123" t="s">
        <v>26839</v>
      </c>
      <c r="J9123" t="s">
        <v>15421</v>
      </c>
      <c r="K9123" t="s">
        <v>26250</v>
      </c>
      <c r="L9123" t="s">
        <v>1389</v>
      </c>
    </row>
    <row r="9124" spans="1:12">
      <c r="A9124" t="s">
        <v>26244</v>
      </c>
      <c r="B9124" t="s">
        <v>26245</v>
      </c>
      <c r="C9124" t="s">
        <v>26840</v>
      </c>
      <c r="D9124" t="s">
        <v>26247</v>
      </c>
      <c r="E9124" t="s">
        <v>26841</v>
      </c>
      <c r="F9124" t="s">
        <v>26842</v>
      </c>
      <c r="J9124" t="s">
        <v>26841</v>
      </c>
      <c r="K9124" t="s">
        <v>26250</v>
      </c>
      <c r="L9124" t="s">
        <v>1389</v>
      </c>
    </row>
    <row r="9125" spans="1:12">
      <c r="A9125" t="s">
        <v>26244</v>
      </c>
      <c r="B9125" t="s">
        <v>26245</v>
      </c>
      <c r="C9125" t="s">
        <v>26843</v>
      </c>
      <c r="D9125" t="s">
        <v>26247</v>
      </c>
      <c r="E9125" t="s">
        <v>9876</v>
      </c>
      <c r="F9125" t="s">
        <v>26844</v>
      </c>
    </row>
    <row r="9126" spans="1:12">
      <c r="A9126" t="s">
        <v>26244</v>
      </c>
      <c r="B9126" t="s">
        <v>26245</v>
      </c>
      <c r="C9126" t="s">
        <v>26845</v>
      </c>
      <c r="D9126" t="s">
        <v>26247</v>
      </c>
      <c r="E9126" t="s">
        <v>26846</v>
      </c>
      <c r="F9126" t="s">
        <v>26847</v>
      </c>
      <c r="J9126" t="s">
        <v>26846</v>
      </c>
      <c r="K9126" t="s">
        <v>26250</v>
      </c>
      <c r="L9126" t="s">
        <v>1389</v>
      </c>
    </row>
    <row r="9127" spans="1:12">
      <c r="A9127" t="s">
        <v>26244</v>
      </c>
      <c r="B9127" t="s">
        <v>26245</v>
      </c>
      <c r="C9127" t="s">
        <v>26848</v>
      </c>
      <c r="D9127" t="s">
        <v>26247</v>
      </c>
      <c r="E9127" t="s">
        <v>11062</v>
      </c>
      <c r="F9127" t="s">
        <v>26849</v>
      </c>
      <c r="J9127" t="s">
        <v>11062</v>
      </c>
      <c r="K9127" t="s">
        <v>26250</v>
      </c>
      <c r="L9127" t="s">
        <v>1389</v>
      </c>
    </row>
    <row r="9128" spans="1:12">
      <c r="A9128" t="s">
        <v>26244</v>
      </c>
      <c r="B9128" t="s">
        <v>26245</v>
      </c>
      <c r="C9128" t="s">
        <v>26850</v>
      </c>
      <c r="D9128" t="s">
        <v>26247</v>
      </c>
      <c r="E9128" t="s">
        <v>13594</v>
      </c>
      <c r="F9128" t="s">
        <v>26851</v>
      </c>
      <c r="J9128" t="s">
        <v>13594</v>
      </c>
      <c r="K9128" t="s">
        <v>26250</v>
      </c>
      <c r="L9128" t="s">
        <v>1389</v>
      </c>
    </row>
    <row r="9129" spans="1:12">
      <c r="A9129" t="s">
        <v>26244</v>
      </c>
      <c r="B9129" t="s">
        <v>26245</v>
      </c>
      <c r="C9129" t="s">
        <v>26852</v>
      </c>
      <c r="D9129" t="s">
        <v>26247</v>
      </c>
      <c r="E9129" t="s">
        <v>20388</v>
      </c>
      <c r="F9129" t="s">
        <v>26853</v>
      </c>
      <c r="J9129" t="s">
        <v>20388</v>
      </c>
      <c r="K9129" t="s">
        <v>26250</v>
      </c>
      <c r="L9129" t="s">
        <v>1389</v>
      </c>
    </row>
    <row r="9130" spans="1:12">
      <c r="A9130" t="s">
        <v>26244</v>
      </c>
      <c r="B9130" t="s">
        <v>26245</v>
      </c>
      <c r="C9130" t="s">
        <v>26854</v>
      </c>
      <c r="D9130" t="s">
        <v>26247</v>
      </c>
      <c r="E9130" t="s">
        <v>12983</v>
      </c>
      <c r="F9130" t="s">
        <v>26855</v>
      </c>
      <c r="J9130" t="s">
        <v>12983</v>
      </c>
      <c r="K9130" t="s">
        <v>26250</v>
      </c>
      <c r="L9130" t="s">
        <v>1389</v>
      </c>
    </row>
    <row r="9131" spans="1:12">
      <c r="A9131" t="s">
        <v>26244</v>
      </c>
      <c r="B9131" t="s">
        <v>26245</v>
      </c>
      <c r="C9131" t="s">
        <v>26856</v>
      </c>
      <c r="D9131" t="s">
        <v>26247</v>
      </c>
      <c r="E9131" t="s">
        <v>9930</v>
      </c>
      <c r="F9131" t="s">
        <v>26857</v>
      </c>
      <c r="J9131" t="s">
        <v>9930</v>
      </c>
      <c r="K9131" t="s">
        <v>26250</v>
      </c>
      <c r="L9131" t="s">
        <v>1389</v>
      </c>
    </row>
    <row r="9132" spans="1:12">
      <c r="A9132" t="s">
        <v>26244</v>
      </c>
      <c r="B9132" t="s">
        <v>26245</v>
      </c>
      <c r="C9132" t="s">
        <v>26858</v>
      </c>
      <c r="D9132" t="s">
        <v>26247</v>
      </c>
      <c r="E9132" t="s">
        <v>26859</v>
      </c>
      <c r="F9132" t="s">
        <v>26860</v>
      </c>
      <c r="J9132" t="s">
        <v>26859</v>
      </c>
      <c r="K9132" t="s">
        <v>26250</v>
      </c>
      <c r="L9132" t="s">
        <v>1389</v>
      </c>
    </row>
    <row r="9133" spans="1:12">
      <c r="A9133" t="s">
        <v>26244</v>
      </c>
      <c r="B9133" t="s">
        <v>26245</v>
      </c>
      <c r="C9133" t="s">
        <v>26861</v>
      </c>
      <c r="D9133" t="s">
        <v>26247</v>
      </c>
      <c r="E9133" t="s">
        <v>20557</v>
      </c>
      <c r="F9133" t="s">
        <v>26862</v>
      </c>
      <c r="J9133" t="s">
        <v>20557</v>
      </c>
      <c r="K9133" t="s">
        <v>26250</v>
      </c>
      <c r="L9133" t="s">
        <v>1389</v>
      </c>
    </row>
    <row r="9134" spans="1:12">
      <c r="A9134" t="s">
        <v>26244</v>
      </c>
      <c r="B9134" t="s">
        <v>26245</v>
      </c>
      <c r="C9134" t="s">
        <v>26863</v>
      </c>
      <c r="D9134" t="s">
        <v>26247</v>
      </c>
      <c r="E9134" t="s">
        <v>11694</v>
      </c>
      <c r="F9134" t="s">
        <v>9930</v>
      </c>
      <c r="J9134" t="s">
        <v>11694</v>
      </c>
      <c r="K9134" t="s">
        <v>26250</v>
      </c>
      <c r="L9134" t="s">
        <v>1389</v>
      </c>
    </row>
    <row r="9135" spans="1:12">
      <c r="A9135" t="s">
        <v>26244</v>
      </c>
      <c r="B9135" t="s">
        <v>26245</v>
      </c>
      <c r="C9135" t="s">
        <v>26864</v>
      </c>
      <c r="D9135" t="s">
        <v>26247</v>
      </c>
      <c r="E9135" t="s">
        <v>26865</v>
      </c>
      <c r="F9135" t="s">
        <v>26866</v>
      </c>
      <c r="J9135" t="s">
        <v>26865</v>
      </c>
      <c r="K9135" t="s">
        <v>26250</v>
      </c>
      <c r="L9135" t="s">
        <v>1389</v>
      </c>
    </row>
    <row r="9136" spans="1:12">
      <c r="A9136" t="s">
        <v>26244</v>
      </c>
      <c r="B9136" t="s">
        <v>26245</v>
      </c>
      <c r="C9136" t="s">
        <v>26867</v>
      </c>
      <c r="D9136" t="s">
        <v>26247</v>
      </c>
      <c r="E9136" t="s">
        <v>20585</v>
      </c>
      <c r="F9136" t="s">
        <v>26868</v>
      </c>
    </row>
    <row r="9137" spans="1:12">
      <c r="A9137" t="s">
        <v>26244</v>
      </c>
      <c r="B9137" t="s">
        <v>26245</v>
      </c>
      <c r="C9137" t="s">
        <v>26869</v>
      </c>
      <c r="D9137" t="s">
        <v>26247</v>
      </c>
      <c r="E9137" t="s">
        <v>2915</v>
      </c>
      <c r="F9137" t="s">
        <v>26870</v>
      </c>
    </row>
    <row r="9138" spans="1:12">
      <c r="A9138" t="s">
        <v>26244</v>
      </c>
      <c r="B9138" t="s">
        <v>26245</v>
      </c>
      <c r="C9138" t="s">
        <v>26871</v>
      </c>
      <c r="D9138" t="s">
        <v>26247</v>
      </c>
      <c r="E9138" t="s">
        <v>24795</v>
      </c>
      <c r="F9138" t="s">
        <v>26872</v>
      </c>
    </row>
    <row r="9139" spans="1:12">
      <c r="A9139" t="s">
        <v>26244</v>
      </c>
      <c r="B9139" t="s">
        <v>26245</v>
      </c>
      <c r="C9139" t="s">
        <v>26873</v>
      </c>
      <c r="D9139" t="s">
        <v>26247</v>
      </c>
      <c r="E9139" t="s">
        <v>25398</v>
      </c>
      <c r="F9139" t="s">
        <v>26874</v>
      </c>
      <c r="J9139" t="s">
        <v>25398</v>
      </c>
      <c r="K9139" t="s">
        <v>26250</v>
      </c>
      <c r="L9139" t="s">
        <v>1389</v>
      </c>
    </row>
    <row r="9140" spans="1:12">
      <c r="A9140" t="s">
        <v>26244</v>
      </c>
      <c r="B9140" t="s">
        <v>26245</v>
      </c>
      <c r="C9140" t="s">
        <v>26875</v>
      </c>
      <c r="D9140" t="s">
        <v>26247</v>
      </c>
      <c r="E9140" t="s">
        <v>26876</v>
      </c>
      <c r="F9140" t="s">
        <v>26877</v>
      </c>
    </row>
    <row r="9141" spans="1:12">
      <c r="A9141" t="s">
        <v>26244</v>
      </c>
      <c r="B9141" t="s">
        <v>26245</v>
      </c>
      <c r="C9141" t="s">
        <v>26878</v>
      </c>
      <c r="D9141" t="s">
        <v>26247</v>
      </c>
      <c r="E9141" t="s">
        <v>13006</v>
      </c>
      <c r="F9141" t="s">
        <v>26879</v>
      </c>
      <c r="J9141" t="s">
        <v>13006</v>
      </c>
      <c r="K9141" t="s">
        <v>26250</v>
      </c>
      <c r="L9141" t="s">
        <v>1389</v>
      </c>
    </row>
    <row r="9142" spans="1:12">
      <c r="A9142" t="s">
        <v>26244</v>
      </c>
      <c r="B9142" t="s">
        <v>26245</v>
      </c>
      <c r="C9142" t="s">
        <v>26880</v>
      </c>
      <c r="D9142" t="s">
        <v>26247</v>
      </c>
      <c r="E9142" t="s">
        <v>10820</v>
      </c>
      <c r="F9142" t="s">
        <v>26881</v>
      </c>
      <c r="J9142" t="s">
        <v>10820</v>
      </c>
      <c r="K9142" t="s">
        <v>26250</v>
      </c>
      <c r="L9142" t="s">
        <v>1389</v>
      </c>
    </row>
    <row r="9143" spans="1:12">
      <c r="A9143" t="s">
        <v>26244</v>
      </c>
      <c r="B9143" t="s">
        <v>26245</v>
      </c>
      <c r="C9143" t="s">
        <v>26882</v>
      </c>
      <c r="D9143" t="s">
        <v>26247</v>
      </c>
      <c r="E9143" t="s">
        <v>7447</v>
      </c>
      <c r="F9143" t="s">
        <v>26883</v>
      </c>
      <c r="J9143" t="s">
        <v>7447</v>
      </c>
      <c r="K9143" t="s">
        <v>26250</v>
      </c>
      <c r="L9143" t="s">
        <v>1389</v>
      </c>
    </row>
    <row r="9144" spans="1:12">
      <c r="A9144" t="s">
        <v>26244</v>
      </c>
      <c r="B9144" t="s">
        <v>26245</v>
      </c>
      <c r="C9144" t="s">
        <v>26884</v>
      </c>
      <c r="D9144" t="s">
        <v>26247</v>
      </c>
      <c r="E9144" t="s">
        <v>3533</v>
      </c>
      <c r="F9144" t="s">
        <v>26885</v>
      </c>
      <c r="J9144" t="s">
        <v>3533</v>
      </c>
      <c r="K9144" t="s">
        <v>26250</v>
      </c>
      <c r="L9144" t="s">
        <v>1389</v>
      </c>
    </row>
    <row r="9145" spans="1:12">
      <c r="A9145" t="s">
        <v>26244</v>
      </c>
      <c r="B9145" t="s">
        <v>26245</v>
      </c>
      <c r="C9145" t="s">
        <v>26886</v>
      </c>
      <c r="D9145" t="s">
        <v>26247</v>
      </c>
      <c r="E9145" t="s">
        <v>26887</v>
      </c>
      <c r="F9145" t="s">
        <v>26888</v>
      </c>
      <c r="J9145" t="s">
        <v>26887</v>
      </c>
      <c r="K9145" t="s">
        <v>26250</v>
      </c>
      <c r="L9145" t="s">
        <v>1389</v>
      </c>
    </row>
    <row r="9146" spans="1:12">
      <c r="A9146" t="s">
        <v>26244</v>
      </c>
      <c r="B9146" t="s">
        <v>26245</v>
      </c>
      <c r="C9146" t="s">
        <v>26889</v>
      </c>
      <c r="D9146" t="s">
        <v>26247</v>
      </c>
      <c r="E9146" t="s">
        <v>26890</v>
      </c>
      <c r="F9146" t="s">
        <v>26891</v>
      </c>
      <c r="J9146" t="s">
        <v>26890</v>
      </c>
      <c r="K9146" t="s">
        <v>26250</v>
      </c>
      <c r="L9146" t="s">
        <v>1389</v>
      </c>
    </row>
    <row r="9147" spans="1:12">
      <c r="A9147" t="s">
        <v>26244</v>
      </c>
      <c r="B9147" t="s">
        <v>26245</v>
      </c>
      <c r="C9147" t="s">
        <v>26892</v>
      </c>
      <c r="D9147" t="s">
        <v>26247</v>
      </c>
      <c r="E9147" t="s">
        <v>11477</v>
      </c>
      <c r="F9147" t="s">
        <v>26893</v>
      </c>
    </row>
    <row r="9148" spans="1:12">
      <c r="A9148" t="s">
        <v>26244</v>
      </c>
      <c r="B9148" t="s">
        <v>26245</v>
      </c>
      <c r="C9148" t="s">
        <v>26894</v>
      </c>
      <c r="D9148" t="s">
        <v>26247</v>
      </c>
      <c r="E9148" t="s">
        <v>1397</v>
      </c>
      <c r="F9148" t="s">
        <v>26895</v>
      </c>
    </row>
    <row r="9149" spans="1:12">
      <c r="A9149" t="s">
        <v>26244</v>
      </c>
      <c r="B9149" t="s">
        <v>26245</v>
      </c>
      <c r="C9149" t="s">
        <v>26896</v>
      </c>
      <c r="D9149" t="s">
        <v>26247</v>
      </c>
      <c r="E9149" t="s">
        <v>14623</v>
      </c>
      <c r="F9149" t="s">
        <v>26897</v>
      </c>
      <c r="J9149" t="s">
        <v>14623</v>
      </c>
      <c r="K9149" t="s">
        <v>26250</v>
      </c>
      <c r="L9149" t="s">
        <v>1389</v>
      </c>
    </row>
    <row r="9150" spans="1:12">
      <c r="A9150" t="s">
        <v>26244</v>
      </c>
      <c r="B9150" t="s">
        <v>26245</v>
      </c>
      <c r="C9150" t="s">
        <v>26898</v>
      </c>
      <c r="D9150" t="s">
        <v>26247</v>
      </c>
      <c r="E9150" t="s">
        <v>14626</v>
      </c>
      <c r="F9150" t="s">
        <v>26899</v>
      </c>
      <c r="J9150" t="s">
        <v>14626</v>
      </c>
      <c r="K9150" t="s">
        <v>26250</v>
      </c>
      <c r="L9150" t="s">
        <v>1389</v>
      </c>
    </row>
    <row r="9151" spans="1:12">
      <c r="A9151" t="s">
        <v>26244</v>
      </c>
      <c r="B9151" t="s">
        <v>26245</v>
      </c>
      <c r="C9151" t="s">
        <v>26900</v>
      </c>
      <c r="D9151" t="s">
        <v>26247</v>
      </c>
      <c r="E9151" t="s">
        <v>26901</v>
      </c>
      <c r="F9151" t="s">
        <v>26902</v>
      </c>
      <c r="J9151" t="s">
        <v>26901</v>
      </c>
      <c r="K9151" t="s">
        <v>26250</v>
      </c>
      <c r="L9151" t="s">
        <v>1389</v>
      </c>
    </row>
    <row r="9152" spans="1:12">
      <c r="A9152" t="s">
        <v>26244</v>
      </c>
      <c r="B9152" t="s">
        <v>26245</v>
      </c>
      <c r="C9152" t="s">
        <v>26903</v>
      </c>
      <c r="D9152" t="s">
        <v>26247</v>
      </c>
      <c r="E9152" t="s">
        <v>26904</v>
      </c>
      <c r="F9152" t="s">
        <v>26905</v>
      </c>
      <c r="J9152" t="s">
        <v>26904</v>
      </c>
      <c r="K9152" t="s">
        <v>26250</v>
      </c>
      <c r="L9152" t="s">
        <v>1389</v>
      </c>
    </row>
    <row r="9153" spans="1:12">
      <c r="A9153" t="s">
        <v>26244</v>
      </c>
      <c r="B9153" t="s">
        <v>26245</v>
      </c>
      <c r="C9153" t="s">
        <v>26906</v>
      </c>
      <c r="D9153" t="s">
        <v>26247</v>
      </c>
      <c r="E9153" t="s">
        <v>26907</v>
      </c>
      <c r="F9153" t="s">
        <v>26908</v>
      </c>
      <c r="J9153" t="s">
        <v>26907</v>
      </c>
      <c r="K9153" t="s">
        <v>26250</v>
      </c>
      <c r="L9153" t="s">
        <v>1389</v>
      </c>
    </row>
    <row r="9154" spans="1:12">
      <c r="A9154" t="s">
        <v>26244</v>
      </c>
      <c r="B9154" t="s">
        <v>26245</v>
      </c>
      <c r="C9154" t="s">
        <v>26909</v>
      </c>
      <c r="D9154" t="s">
        <v>26247</v>
      </c>
      <c r="E9154" t="s">
        <v>26910</v>
      </c>
      <c r="F9154" t="s">
        <v>26911</v>
      </c>
      <c r="J9154" t="s">
        <v>26910</v>
      </c>
      <c r="K9154" t="s">
        <v>26250</v>
      </c>
      <c r="L9154" t="s">
        <v>1389</v>
      </c>
    </row>
    <row r="9155" spans="1:12">
      <c r="A9155" t="s">
        <v>26244</v>
      </c>
      <c r="B9155" t="s">
        <v>26245</v>
      </c>
      <c r="C9155" t="s">
        <v>26912</v>
      </c>
      <c r="D9155" t="s">
        <v>26247</v>
      </c>
      <c r="E9155" t="s">
        <v>26913</v>
      </c>
      <c r="F9155" t="s">
        <v>26914</v>
      </c>
      <c r="J9155" t="s">
        <v>26913</v>
      </c>
      <c r="K9155" t="s">
        <v>26250</v>
      </c>
      <c r="L9155" t="s">
        <v>1389</v>
      </c>
    </row>
    <row r="9156" spans="1:12">
      <c r="A9156" t="s">
        <v>26244</v>
      </c>
      <c r="B9156" t="s">
        <v>26245</v>
      </c>
      <c r="C9156" t="s">
        <v>26915</v>
      </c>
      <c r="D9156" t="s">
        <v>26247</v>
      </c>
      <c r="E9156" t="s">
        <v>26916</v>
      </c>
      <c r="F9156" t="s">
        <v>26917</v>
      </c>
      <c r="J9156" t="s">
        <v>26916</v>
      </c>
      <c r="K9156" t="s">
        <v>26250</v>
      </c>
      <c r="L9156" t="s">
        <v>1389</v>
      </c>
    </row>
    <row r="9157" spans="1:12">
      <c r="A9157" t="s">
        <v>26244</v>
      </c>
      <c r="B9157" t="s">
        <v>26245</v>
      </c>
      <c r="C9157" t="s">
        <v>26918</v>
      </c>
      <c r="D9157" t="s">
        <v>26247</v>
      </c>
      <c r="E9157" t="s">
        <v>26919</v>
      </c>
      <c r="F9157" t="s">
        <v>26920</v>
      </c>
      <c r="J9157" t="s">
        <v>26919</v>
      </c>
      <c r="K9157" t="s">
        <v>26250</v>
      </c>
      <c r="L9157" t="s">
        <v>1389</v>
      </c>
    </row>
    <row r="9158" spans="1:12">
      <c r="A9158" t="s">
        <v>26244</v>
      </c>
      <c r="B9158" t="s">
        <v>26245</v>
      </c>
      <c r="C9158" t="s">
        <v>26921</v>
      </c>
      <c r="D9158" t="s">
        <v>26247</v>
      </c>
      <c r="E9158" t="s">
        <v>26922</v>
      </c>
      <c r="F9158" t="s">
        <v>26923</v>
      </c>
      <c r="J9158" t="s">
        <v>26922</v>
      </c>
      <c r="K9158" t="s">
        <v>26250</v>
      </c>
      <c r="L9158" t="s">
        <v>1389</v>
      </c>
    </row>
    <row r="9159" spans="1:12">
      <c r="A9159" t="s">
        <v>26244</v>
      </c>
      <c r="B9159" t="s">
        <v>26245</v>
      </c>
      <c r="C9159" t="s">
        <v>26924</v>
      </c>
      <c r="D9159" t="s">
        <v>26247</v>
      </c>
      <c r="E9159" t="s">
        <v>26925</v>
      </c>
      <c r="F9159" t="s">
        <v>26926</v>
      </c>
      <c r="J9159" t="s">
        <v>26925</v>
      </c>
      <c r="K9159" t="s">
        <v>26250</v>
      </c>
      <c r="L9159" t="s">
        <v>1389</v>
      </c>
    </row>
    <row r="9160" spans="1:12">
      <c r="A9160" t="s">
        <v>26244</v>
      </c>
      <c r="B9160" t="s">
        <v>26245</v>
      </c>
      <c r="C9160" t="s">
        <v>26927</v>
      </c>
      <c r="D9160" t="s">
        <v>26247</v>
      </c>
      <c r="E9160" t="s">
        <v>26928</v>
      </c>
      <c r="F9160" t="s">
        <v>3542</v>
      </c>
      <c r="J9160" t="s">
        <v>26928</v>
      </c>
      <c r="K9160" t="s">
        <v>26250</v>
      </c>
      <c r="L9160" t="s">
        <v>1389</v>
      </c>
    </row>
    <row r="9161" spans="1:12">
      <c r="A9161" t="s">
        <v>26244</v>
      </c>
      <c r="B9161" t="s">
        <v>26245</v>
      </c>
      <c r="C9161" t="s">
        <v>26929</v>
      </c>
      <c r="D9161" t="s">
        <v>26247</v>
      </c>
      <c r="E9161" t="s">
        <v>26930</v>
      </c>
      <c r="F9161" t="s">
        <v>26931</v>
      </c>
      <c r="J9161" t="s">
        <v>26930</v>
      </c>
      <c r="K9161" t="s">
        <v>26250</v>
      </c>
      <c r="L9161" t="s">
        <v>1389</v>
      </c>
    </row>
    <row r="9162" spans="1:12">
      <c r="A9162" t="s">
        <v>26244</v>
      </c>
      <c r="B9162" t="s">
        <v>26245</v>
      </c>
      <c r="C9162" t="s">
        <v>26932</v>
      </c>
      <c r="D9162" t="s">
        <v>26247</v>
      </c>
      <c r="E9162" t="s">
        <v>21224</v>
      </c>
      <c r="F9162" t="s">
        <v>26933</v>
      </c>
    </row>
    <row r="9163" spans="1:12">
      <c r="A9163" t="s">
        <v>26244</v>
      </c>
      <c r="B9163" t="s">
        <v>26245</v>
      </c>
      <c r="C9163" t="s">
        <v>26934</v>
      </c>
      <c r="D9163" t="s">
        <v>26247</v>
      </c>
      <c r="E9163" t="s">
        <v>11495</v>
      </c>
      <c r="F9163" t="s">
        <v>26935</v>
      </c>
      <c r="J9163" t="s">
        <v>11495</v>
      </c>
      <c r="K9163" t="s">
        <v>26250</v>
      </c>
      <c r="L9163" t="s">
        <v>1389</v>
      </c>
    </row>
    <row r="9164" spans="1:12">
      <c r="A9164" t="s">
        <v>26244</v>
      </c>
      <c r="B9164" t="s">
        <v>26245</v>
      </c>
      <c r="C9164" t="s">
        <v>26936</v>
      </c>
      <c r="D9164" t="s">
        <v>26247</v>
      </c>
      <c r="E9164" t="s">
        <v>12126</v>
      </c>
      <c r="F9164" t="s">
        <v>26937</v>
      </c>
      <c r="J9164" t="s">
        <v>12126</v>
      </c>
      <c r="K9164" t="s">
        <v>26250</v>
      </c>
      <c r="L9164" t="s">
        <v>1389</v>
      </c>
    </row>
    <row r="9165" spans="1:12">
      <c r="A9165" t="s">
        <v>26244</v>
      </c>
      <c r="B9165" t="s">
        <v>26245</v>
      </c>
      <c r="C9165" t="s">
        <v>26938</v>
      </c>
      <c r="D9165" t="s">
        <v>26247</v>
      </c>
      <c r="E9165" t="s">
        <v>26939</v>
      </c>
      <c r="F9165" t="s">
        <v>26940</v>
      </c>
      <c r="J9165" t="s">
        <v>26939</v>
      </c>
      <c r="K9165" t="s">
        <v>26250</v>
      </c>
      <c r="L9165" t="s">
        <v>1389</v>
      </c>
    </row>
    <row r="9166" spans="1:12">
      <c r="A9166" t="s">
        <v>26244</v>
      </c>
      <c r="B9166" t="s">
        <v>26245</v>
      </c>
      <c r="C9166" t="s">
        <v>26941</v>
      </c>
      <c r="D9166" t="s">
        <v>26247</v>
      </c>
      <c r="E9166" t="s">
        <v>21311</v>
      </c>
      <c r="F9166" t="s">
        <v>26942</v>
      </c>
      <c r="J9166" t="s">
        <v>21311</v>
      </c>
      <c r="K9166" t="s">
        <v>26250</v>
      </c>
      <c r="L9166" t="s">
        <v>1389</v>
      </c>
    </row>
    <row r="9167" spans="1:12">
      <c r="A9167" t="s">
        <v>26244</v>
      </c>
      <c r="B9167" t="s">
        <v>26245</v>
      </c>
      <c r="C9167" t="s">
        <v>26943</v>
      </c>
      <c r="D9167" t="s">
        <v>26247</v>
      </c>
      <c r="E9167" t="s">
        <v>21319</v>
      </c>
      <c r="F9167" t="s">
        <v>26944</v>
      </c>
      <c r="J9167" t="s">
        <v>21319</v>
      </c>
      <c r="K9167" t="s">
        <v>26250</v>
      </c>
      <c r="L9167" t="s">
        <v>1389</v>
      </c>
    </row>
    <row r="9168" spans="1:12">
      <c r="A9168" t="s">
        <v>26244</v>
      </c>
      <c r="B9168" t="s">
        <v>26245</v>
      </c>
      <c r="C9168" t="s">
        <v>26945</v>
      </c>
      <c r="D9168" t="s">
        <v>26247</v>
      </c>
      <c r="E9168" t="s">
        <v>10054</v>
      </c>
      <c r="F9168" t="s">
        <v>26946</v>
      </c>
      <c r="J9168" t="s">
        <v>10054</v>
      </c>
      <c r="K9168" t="s">
        <v>26250</v>
      </c>
      <c r="L9168" t="s">
        <v>1389</v>
      </c>
    </row>
    <row r="9169" spans="1:12">
      <c r="A9169" t="s">
        <v>26244</v>
      </c>
      <c r="B9169" t="s">
        <v>26245</v>
      </c>
      <c r="C9169" t="s">
        <v>26947</v>
      </c>
      <c r="D9169" t="s">
        <v>26247</v>
      </c>
      <c r="E9169" t="s">
        <v>26948</v>
      </c>
      <c r="F9169" t="s">
        <v>26949</v>
      </c>
      <c r="J9169" t="s">
        <v>26948</v>
      </c>
      <c r="K9169" t="s">
        <v>26250</v>
      </c>
      <c r="L9169" t="s">
        <v>1389</v>
      </c>
    </row>
    <row r="9170" spans="1:12">
      <c r="A9170" t="s">
        <v>26244</v>
      </c>
      <c r="B9170" t="s">
        <v>26245</v>
      </c>
      <c r="C9170" t="s">
        <v>26950</v>
      </c>
      <c r="D9170" t="s">
        <v>26247</v>
      </c>
      <c r="E9170" t="s">
        <v>26951</v>
      </c>
      <c r="F9170" t="s">
        <v>26952</v>
      </c>
      <c r="J9170" t="s">
        <v>26951</v>
      </c>
      <c r="K9170" t="s">
        <v>26250</v>
      </c>
      <c r="L9170" t="s">
        <v>1389</v>
      </c>
    </row>
    <row r="9171" spans="1:12">
      <c r="A9171" t="s">
        <v>26244</v>
      </c>
      <c r="B9171" t="s">
        <v>26245</v>
      </c>
      <c r="C9171" t="s">
        <v>26953</v>
      </c>
      <c r="D9171" t="s">
        <v>26247</v>
      </c>
      <c r="E9171" t="s">
        <v>26954</v>
      </c>
      <c r="F9171" t="s">
        <v>26955</v>
      </c>
      <c r="J9171" t="s">
        <v>26954</v>
      </c>
      <c r="K9171" t="s">
        <v>26250</v>
      </c>
      <c r="L9171" t="s">
        <v>1389</v>
      </c>
    </row>
    <row r="9172" spans="1:12">
      <c r="A9172" t="s">
        <v>26244</v>
      </c>
      <c r="B9172" t="s">
        <v>26245</v>
      </c>
      <c r="C9172" t="s">
        <v>26956</v>
      </c>
      <c r="D9172" t="s">
        <v>26247</v>
      </c>
      <c r="E9172" t="s">
        <v>26957</v>
      </c>
      <c r="F9172" t="s">
        <v>26958</v>
      </c>
      <c r="J9172" t="s">
        <v>26957</v>
      </c>
      <c r="K9172" t="s">
        <v>26250</v>
      </c>
      <c r="L9172" t="s">
        <v>1389</v>
      </c>
    </row>
    <row r="9173" spans="1:12">
      <c r="A9173" t="s">
        <v>26244</v>
      </c>
      <c r="B9173" t="s">
        <v>26245</v>
      </c>
      <c r="C9173" t="s">
        <v>26959</v>
      </c>
      <c r="D9173" t="s">
        <v>26247</v>
      </c>
      <c r="E9173" t="s">
        <v>23245</v>
      </c>
      <c r="F9173" t="s">
        <v>22434</v>
      </c>
      <c r="J9173" t="s">
        <v>23245</v>
      </c>
      <c r="K9173" t="s">
        <v>26250</v>
      </c>
      <c r="L9173" t="s">
        <v>1389</v>
      </c>
    </row>
    <row r="9174" spans="1:12">
      <c r="A9174" t="s">
        <v>26244</v>
      </c>
      <c r="B9174" t="s">
        <v>26245</v>
      </c>
      <c r="C9174" t="s">
        <v>26960</v>
      </c>
      <c r="D9174" t="s">
        <v>26247</v>
      </c>
      <c r="E9174" t="s">
        <v>26961</v>
      </c>
      <c r="F9174" t="s">
        <v>26962</v>
      </c>
      <c r="J9174" t="s">
        <v>26961</v>
      </c>
      <c r="K9174" t="s">
        <v>26250</v>
      </c>
      <c r="L9174" t="s">
        <v>1389</v>
      </c>
    </row>
    <row r="9175" spans="1:12">
      <c r="A9175" t="s">
        <v>26244</v>
      </c>
      <c r="B9175" t="s">
        <v>26245</v>
      </c>
      <c r="C9175" t="s">
        <v>26963</v>
      </c>
      <c r="D9175" t="s">
        <v>26247</v>
      </c>
      <c r="E9175" t="s">
        <v>26964</v>
      </c>
      <c r="F9175" t="s">
        <v>26965</v>
      </c>
      <c r="J9175" t="s">
        <v>26964</v>
      </c>
      <c r="K9175" t="s">
        <v>26250</v>
      </c>
      <c r="L9175" t="s">
        <v>1389</v>
      </c>
    </row>
    <row r="9176" spans="1:12">
      <c r="A9176" t="s">
        <v>26244</v>
      </c>
      <c r="B9176" t="s">
        <v>26245</v>
      </c>
      <c r="C9176" t="s">
        <v>26966</v>
      </c>
      <c r="D9176" t="s">
        <v>26247</v>
      </c>
      <c r="E9176" t="s">
        <v>26967</v>
      </c>
      <c r="F9176" t="s">
        <v>26968</v>
      </c>
      <c r="J9176" t="s">
        <v>26967</v>
      </c>
      <c r="K9176" t="s">
        <v>26250</v>
      </c>
      <c r="L9176" t="s">
        <v>1389</v>
      </c>
    </row>
    <row r="9177" spans="1:12">
      <c r="A9177" t="s">
        <v>26244</v>
      </c>
      <c r="B9177" t="s">
        <v>26245</v>
      </c>
      <c r="C9177" t="s">
        <v>26969</v>
      </c>
      <c r="D9177" t="s">
        <v>26247</v>
      </c>
      <c r="E9177" t="s">
        <v>11517</v>
      </c>
      <c r="F9177" t="s">
        <v>26970</v>
      </c>
      <c r="J9177" t="s">
        <v>11517</v>
      </c>
      <c r="K9177" t="s">
        <v>26250</v>
      </c>
      <c r="L9177" t="s">
        <v>1389</v>
      </c>
    </row>
    <row r="9178" spans="1:12">
      <c r="A9178" t="s">
        <v>26244</v>
      </c>
      <c r="B9178" t="s">
        <v>26245</v>
      </c>
      <c r="C9178" t="s">
        <v>26971</v>
      </c>
      <c r="D9178" t="s">
        <v>26247</v>
      </c>
      <c r="E9178" t="s">
        <v>26972</v>
      </c>
      <c r="F9178" t="s">
        <v>26973</v>
      </c>
      <c r="J9178" t="s">
        <v>26972</v>
      </c>
      <c r="K9178" t="s">
        <v>26250</v>
      </c>
      <c r="L9178" t="s">
        <v>1389</v>
      </c>
    </row>
    <row r="9179" spans="1:12">
      <c r="A9179" t="s">
        <v>26244</v>
      </c>
      <c r="B9179" t="s">
        <v>26245</v>
      </c>
      <c r="C9179" t="s">
        <v>26974</v>
      </c>
      <c r="D9179" t="s">
        <v>26247</v>
      </c>
      <c r="E9179" t="s">
        <v>26975</v>
      </c>
      <c r="F9179" t="s">
        <v>26976</v>
      </c>
      <c r="J9179" t="s">
        <v>26975</v>
      </c>
      <c r="K9179" t="s">
        <v>26250</v>
      </c>
      <c r="L9179" t="s">
        <v>1389</v>
      </c>
    </row>
    <row r="9180" spans="1:12">
      <c r="A9180" t="s">
        <v>26244</v>
      </c>
      <c r="B9180" t="s">
        <v>26245</v>
      </c>
      <c r="C9180" t="s">
        <v>26977</v>
      </c>
      <c r="D9180" t="s">
        <v>26247</v>
      </c>
      <c r="E9180" t="s">
        <v>26978</v>
      </c>
      <c r="F9180" t="s">
        <v>26979</v>
      </c>
      <c r="J9180" t="s">
        <v>26978</v>
      </c>
      <c r="K9180" t="s">
        <v>26250</v>
      </c>
      <c r="L9180" t="s">
        <v>1389</v>
      </c>
    </row>
    <row r="9181" spans="1:12">
      <c r="A9181" t="s">
        <v>26244</v>
      </c>
      <c r="B9181" t="s">
        <v>26245</v>
      </c>
      <c r="C9181" t="s">
        <v>26980</v>
      </c>
      <c r="D9181" t="s">
        <v>26247</v>
      </c>
      <c r="E9181" t="s">
        <v>26981</v>
      </c>
      <c r="F9181" t="s">
        <v>26982</v>
      </c>
      <c r="J9181" t="s">
        <v>26981</v>
      </c>
      <c r="K9181" t="s">
        <v>26250</v>
      </c>
      <c r="L9181" t="s">
        <v>1389</v>
      </c>
    </row>
    <row r="9182" spans="1:12">
      <c r="A9182" t="s">
        <v>26244</v>
      </c>
      <c r="B9182" t="s">
        <v>26245</v>
      </c>
      <c r="C9182" t="s">
        <v>26983</v>
      </c>
      <c r="D9182" t="s">
        <v>26247</v>
      </c>
      <c r="E9182" t="s">
        <v>26984</v>
      </c>
      <c r="F9182" t="s">
        <v>26985</v>
      </c>
      <c r="J9182" t="s">
        <v>26984</v>
      </c>
      <c r="K9182" t="s">
        <v>26250</v>
      </c>
      <c r="L9182" t="s">
        <v>1389</v>
      </c>
    </row>
    <row r="9183" spans="1:12">
      <c r="A9183" t="s">
        <v>26244</v>
      </c>
      <c r="B9183" t="s">
        <v>26245</v>
      </c>
      <c r="C9183" t="s">
        <v>26986</v>
      </c>
      <c r="D9183" t="s">
        <v>26247</v>
      </c>
      <c r="E9183" t="s">
        <v>10124</v>
      </c>
      <c r="F9183" t="s">
        <v>26987</v>
      </c>
      <c r="J9183" t="s">
        <v>10124</v>
      </c>
      <c r="K9183" t="s">
        <v>26250</v>
      </c>
      <c r="L9183" t="s">
        <v>1389</v>
      </c>
    </row>
    <row r="9184" spans="1:12">
      <c r="A9184" t="s">
        <v>26244</v>
      </c>
      <c r="B9184" t="s">
        <v>26245</v>
      </c>
      <c r="C9184" t="s">
        <v>26988</v>
      </c>
      <c r="D9184" t="s">
        <v>26247</v>
      </c>
      <c r="E9184" t="s">
        <v>3094</v>
      </c>
      <c r="F9184" t="s">
        <v>26989</v>
      </c>
      <c r="J9184" t="s">
        <v>3094</v>
      </c>
      <c r="K9184" t="s">
        <v>26250</v>
      </c>
      <c r="L9184" t="s">
        <v>1389</v>
      </c>
    </row>
    <row r="9185" spans="1:12">
      <c r="A9185" t="s">
        <v>26244</v>
      </c>
      <c r="B9185" t="s">
        <v>26245</v>
      </c>
      <c r="C9185" t="s">
        <v>26990</v>
      </c>
      <c r="D9185" t="s">
        <v>26247</v>
      </c>
      <c r="E9185" t="s">
        <v>26991</v>
      </c>
      <c r="F9185" t="s">
        <v>26992</v>
      </c>
      <c r="J9185" t="s">
        <v>26991</v>
      </c>
      <c r="K9185" t="s">
        <v>26250</v>
      </c>
      <c r="L9185" t="s">
        <v>1389</v>
      </c>
    </row>
    <row r="9186" spans="1:12">
      <c r="A9186" t="s">
        <v>26244</v>
      </c>
      <c r="B9186" t="s">
        <v>26245</v>
      </c>
      <c r="C9186" t="s">
        <v>26993</v>
      </c>
      <c r="D9186" t="s">
        <v>26247</v>
      </c>
      <c r="E9186" t="s">
        <v>26994</v>
      </c>
      <c r="F9186" t="s">
        <v>26995</v>
      </c>
      <c r="J9186" t="s">
        <v>26994</v>
      </c>
      <c r="K9186" t="s">
        <v>26250</v>
      </c>
      <c r="L9186" t="s">
        <v>1389</v>
      </c>
    </row>
    <row r="9187" spans="1:12">
      <c r="A9187" t="s">
        <v>26244</v>
      </c>
      <c r="B9187" t="s">
        <v>26245</v>
      </c>
      <c r="C9187" t="s">
        <v>26996</v>
      </c>
      <c r="D9187" t="s">
        <v>26247</v>
      </c>
      <c r="E9187" t="s">
        <v>26997</v>
      </c>
      <c r="F9187" t="s">
        <v>26998</v>
      </c>
      <c r="J9187" t="s">
        <v>26997</v>
      </c>
      <c r="K9187" t="s">
        <v>26250</v>
      </c>
      <c r="L9187" t="s">
        <v>1389</v>
      </c>
    </row>
    <row r="9188" spans="1:12">
      <c r="A9188" t="s">
        <v>26244</v>
      </c>
      <c r="B9188" t="s">
        <v>26245</v>
      </c>
      <c r="C9188" t="s">
        <v>26999</v>
      </c>
      <c r="D9188" t="s">
        <v>26247</v>
      </c>
      <c r="E9188" t="s">
        <v>27000</v>
      </c>
      <c r="F9188" t="s">
        <v>27001</v>
      </c>
      <c r="J9188" t="s">
        <v>27000</v>
      </c>
      <c r="K9188" t="s">
        <v>26250</v>
      </c>
      <c r="L9188" t="s">
        <v>1389</v>
      </c>
    </row>
    <row r="9189" spans="1:12">
      <c r="A9189" t="s">
        <v>26244</v>
      </c>
      <c r="B9189" t="s">
        <v>26245</v>
      </c>
      <c r="C9189" t="s">
        <v>27002</v>
      </c>
      <c r="D9189" t="s">
        <v>26247</v>
      </c>
      <c r="E9189" t="s">
        <v>27003</v>
      </c>
      <c r="F9189" t="s">
        <v>27004</v>
      </c>
      <c r="J9189" t="s">
        <v>27003</v>
      </c>
      <c r="K9189" t="s">
        <v>26250</v>
      </c>
      <c r="L9189" t="s">
        <v>1389</v>
      </c>
    </row>
    <row r="9190" spans="1:12">
      <c r="A9190" t="s">
        <v>26244</v>
      </c>
      <c r="B9190" t="s">
        <v>26245</v>
      </c>
      <c r="C9190" t="s">
        <v>27005</v>
      </c>
      <c r="D9190" t="s">
        <v>26247</v>
      </c>
      <c r="E9190" t="s">
        <v>27006</v>
      </c>
      <c r="F9190" t="s">
        <v>27007</v>
      </c>
    </row>
    <row r="9191" spans="1:12">
      <c r="A9191" t="s">
        <v>26244</v>
      </c>
      <c r="B9191" t="s">
        <v>26245</v>
      </c>
      <c r="C9191" t="s">
        <v>27008</v>
      </c>
      <c r="D9191" t="s">
        <v>26247</v>
      </c>
      <c r="E9191" t="s">
        <v>27009</v>
      </c>
      <c r="F9191" t="s">
        <v>27010</v>
      </c>
      <c r="J9191" t="s">
        <v>27009</v>
      </c>
      <c r="K9191" t="s">
        <v>26250</v>
      </c>
      <c r="L9191" t="s">
        <v>1389</v>
      </c>
    </row>
    <row r="9192" spans="1:12">
      <c r="A9192" t="s">
        <v>26244</v>
      </c>
      <c r="B9192" t="s">
        <v>26245</v>
      </c>
      <c r="C9192" t="s">
        <v>27011</v>
      </c>
      <c r="D9192" t="s">
        <v>26247</v>
      </c>
      <c r="E9192" t="s">
        <v>27012</v>
      </c>
      <c r="F9192" t="s">
        <v>27013</v>
      </c>
      <c r="J9192" t="s">
        <v>27012</v>
      </c>
      <c r="K9192" t="s">
        <v>26250</v>
      </c>
      <c r="L9192" t="s">
        <v>1389</v>
      </c>
    </row>
    <row r="9193" spans="1:12">
      <c r="A9193" t="s">
        <v>26244</v>
      </c>
      <c r="B9193" t="s">
        <v>26245</v>
      </c>
      <c r="C9193" t="s">
        <v>27014</v>
      </c>
      <c r="D9193" t="s">
        <v>26247</v>
      </c>
      <c r="E9193" t="s">
        <v>27015</v>
      </c>
      <c r="F9193" t="s">
        <v>27016</v>
      </c>
      <c r="J9193" t="s">
        <v>27015</v>
      </c>
      <c r="K9193" t="s">
        <v>26250</v>
      </c>
      <c r="L9193" t="s">
        <v>1389</v>
      </c>
    </row>
    <row r="9194" spans="1:12">
      <c r="A9194" t="s">
        <v>26244</v>
      </c>
      <c r="B9194" t="s">
        <v>26245</v>
      </c>
      <c r="C9194" t="s">
        <v>27017</v>
      </c>
      <c r="D9194" t="s">
        <v>26247</v>
      </c>
      <c r="E9194" t="s">
        <v>10207</v>
      </c>
      <c r="F9194" t="s">
        <v>27018</v>
      </c>
      <c r="J9194" t="s">
        <v>10207</v>
      </c>
      <c r="K9194" t="s">
        <v>26250</v>
      </c>
      <c r="L9194" t="s">
        <v>1389</v>
      </c>
    </row>
    <row r="9195" spans="1:12">
      <c r="A9195" t="s">
        <v>26244</v>
      </c>
      <c r="B9195" t="s">
        <v>26245</v>
      </c>
      <c r="C9195" t="s">
        <v>27019</v>
      </c>
      <c r="D9195" t="s">
        <v>26247</v>
      </c>
      <c r="E9195" t="s">
        <v>27020</v>
      </c>
      <c r="F9195" t="s">
        <v>27021</v>
      </c>
      <c r="J9195" t="s">
        <v>27020</v>
      </c>
      <c r="K9195" t="s">
        <v>26250</v>
      </c>
      <c r="L9195" t="s">
        <v>1389</v>
      </c>
    </row>
    <row r="9196" spans="1:12">
      <c r="A9196" t="s">
        <v>26244</v>
      </c>
      <c r="B9196" t="s">
        <v>26245</v>
      </c>
      <c r="C9196" t="s">
        <v>27022</v>
      </c>
      <c r="D9196" t="s">
        <v>26247</v>
      </c>
      <c r="E9196" t="s">
        <v>27023</v>
      </c>
      <c r="F9196" t="s">
        <v>27024</v>
      </c>
      <c r="J9196" t="s">
        <v>27023</v>
      </c>
      <c r="K9196" t="s">
        <v>26250</v>
      </c>
      <c r="L9196" t="s">
        <v>1389</v>
      </c>
    </row>
    <row r="9197" spans="1:12">
      <c r="A9197" t="s">
        <v>26244</v>
      </c>
      <c r="B9197" t="s">
        <v>26245</v>
      </c>
      <c r="C9197" t="s">
        <v>27025</v>
      </c>
      <c r="D9197" t="s">
        <v>26247</v>
      </c>
      <c r="E9197" t="s">
        <v>27026</v>
      </c>
      <c r="F9197" t="s">
        <v>27027</v>
      </c>
      <c r="J9197" t="s">
        <v>27026</v>
      </c>
      <c r="K9197" t="s">
        <v>26250</v>
      </c>
      <c r="L9197" t="s">
        <v>1389</v>
      </c>
    </row>
    <row r="9198" spans="1:12">
      <c r="A9198" t="s">
        <v>26244</v>
      </c>
      <c r="B9198" t="s">
        <v>26245</v>
      </c>
      <c r="C9198" t="s">
        <v>27028</v>
      </c>
      <c r="D9198" t="s">
        <v>26247</v>
      </c>
      <c r="E9198" t="s">
        <v>27029</v>
      </c>
      <c r="F9198" t="s">
        <v>27030</v>
      </c>
      <c r="J9198" t="s">
        <v>27029</v>
      </c>
      <c r="K9198" t="s">
        <v>26250</v>
      </c>
      <c r="L9198" t="s">
        <v>1389</v>
      </c>
    </row>
    <row r="9199" spans="1:12">
      <c r="A9199" t="s">
        <v>26244</v>
      </c>
      <c r="B9199" t="s">
        <v>26245</v>
      </c>
      <c r="C9199" t="s">
        <v>27031</v>
      </c>
      <c r="D9199" t="s">
        <v>26247</v>
      </c>
      <c r="E9199" t="s">
        <v>27032</v>
      </c>
      <c r="F9199" t="s">
        <v>27033</v>
      </c>
      <c r="J9199" t="s">
        <v>27032</v>
      </c>
      <c r="K9199" t="s">
        <v>26250</v>
      </c>
      <c r="L9199" t="s">
        <v>1389</v>
      </c>
    </row>
    <row r="9200" spans="1:12">
      <c r="A9200" t="s">
        <v>26244</v>
      </c>
      <c r="B9200" t="s">
        <v>26245</v>
      </c>
      <c r="C9200" t="s">
        <v>27034</v>
      </c>
      <c r="D9200" t="s">
        <v>26247</v>
      </c>
      <c r="E9200" t="s">
        <v>27035</v>
      </c>
      <c r="F9200" t="s">
        <v>27036</v>
      </c>
      <c r="J9200" t="s">
        <v>27035</v>
      </c>
      <c r="K9200" t="s">
        <v>26250</v>
      </c>
      <c r="L9200" t="s">
        <v>1389</v>
      </c>
    </row>
    <row r="9201" spans="1:12">
      <c r="A9201" t="s">
        <v>26244</v>
      </c>
      <c r="B9201" t="s">
        <v>26245</v>
      </c>
      <c r="C9201" t="s">
        <v>27037</v>
      </c>
      <c r="D9201" t="s">
        <v>26247</v>
      </c>
      <c r="E9201" t="s">
        <v>655</v>
      </c>
      <c r="F9201" t="s">
        <v>656</v>
      </c>
    </row>
    <row r="9202" spans="1:12">
      <c r="A9202" t="s">
        <v>26244</v>
      </c>
      <c r="B9202" t="s">
        <v>26245</v>
      </c>
      <c r="D9202" t="s">
        <v>26247</v>
      </c>
      <c r="F9202" t="s">
        <v>27038</v>
      </c>
      <c r="J9202" t="s">
        <v>20878</v>
      </c>
      <c r="K9202" t="s">
        <v>26250</v>
      </c>
      <c r="L9202" t="s">
        <v>1389</v>
      </c>
    </row>
    <row r="9203" spans="1:12">
      <c r="A9203" t="s">
        <v>27039</v>
      </c>
      <c r="B9203" t="s">
        <v>27040</v>
      </c>
      <c r="C9203" t="s">
        <v>27041</v>
      </c>
      <c r="D9203" t="s">
        <v>27042</v>
      </c>
      <c r="E9203" t="s">
        <v>25124</v>
      </c>
      <c r="F9203" t="s">
        <v>27043</v>
      </c>
      <c r="J9203" t="s">
        <v>25124</v>
      </c>
      <c r="K9203" t="s">
        <v>27044</v>
      </c>
      <c r="L9203" t="s">
        <v>3638</v>
      </c>
    </row>
    <row r="9204" spans="1:12">
      <c r="A9204" t="s">
        <v>27039</v>
      </c>
      <c r="B9204" t="s">
        <v>27040</v>
      </c>
      <c r="C9204" t="s">
        <v>27045</v>
      </c>
      <c r="D9204" t="s">
        <v>27042</v>
      </c>
      <c r="E9204" t="s">
        <v>666</v>
      </c>
      <c r="F9204" t="s">
        <v>27046</v>
      </c>
    </row>
    <row r="9205" spans="1:12">
      <c r="A9205" t="s">
        <v>27039</v>
      </c>
      <c r="B9205" t="s">
        <v>27040</v>
      </c>
      <c r="C9205" t="s">
        <v>27047</v>
      </c>
      <c r="D9205" t="s">
        <v>27042</v>
      </c>
      <c r="E9205" t="s">
        <v>1463</v>
      </c>
      <c r="F9205" t="s">
        <v>27048</v>
      </c>
    </row>
    <row r="9206" spans="1:12">
      <c r="A9206" t="s">
        <v>27039</v>
      </c>
      <c r="B9206" t="s">
        <v>27040</v>
      </c>
      <c r="C9206" t="s">
        <v>27049</v>
      </c>
      <c r="D9206" t="s">
        <v>27042</v>
      </c>
      <c r="E9206" t="s">
        <v>27050</v>
      </c>
      <c r="F9206" t="s">
        <v>27051</v>
      </c>
    </row>
    <row r="9207" spans="1:12">
      <c r="A9207" t="s">
        <v>27039</v>
      </c>
      <c r="B9207" t="s">
        <v>27040</v>
      </c>
      <c r="C9207" t="s">
        <v>27052</v>
      </c>
      <c r="D9207" t="s">
        <v>27042</v>
      </c>
      <c r="E9207" t="s">
        <v>10867</v>
      </c>
      <c r="F9207" t="s">
        <v>27053</v>
      </c>
    </row>
    <row r="9208" spans="1:12">
      <c r="A9208" t="s">
        <v>27039</v>
      </c>
      <c r="B9208" t="s">
        <v>27040</v>
      </c>
      <c r="C9208" t="s">
        <v>27054</v>
      </c>
      <c r="D9208" t="s">
        <v>27042</v>
      </c>
      <c r="E9208" t="s">
        <v>27055</v>
      </c>
      <c r="F9208" t="s">
        <v>27056</v>
      </c>
    </row>
    <row r="9209" spans="1:12">
      <c r="A9209" t="s">
        <v>27039</v>
      </c>
      <c r="B9209" t="s">
        <v>27040</v>
      </c>
      <c r="C9209" t="s">
        <v>27057</v>
      </c>
      <c r="D9209" t="s">
        <v>27042</v>
      </c>
      <c r="E9209" t="s">
        <v>16282</v>
      </c>
      <c r="F9209" t="s">
        <v>27058</v>
      </c>
    </row>
    <row r="9210" spans="1:12">
      <c r="A9210" t="s">
        <v>27039</v>
      </c>
      <c r="B9210" t="s">
        <v>27040</v>
      </c>
      <c r="C9210" t="s">
        <v>27059</v>
      </c>
      <c r="D9210" t="s">
        <v>27042</v>
      </c>
      <c r="E9210" t="s">
        <v>16293</v>
      </c>
      <c r="F9210" t="s">
        <v>27060</v>
      </c>
    </row>
    <row r="9211" spans="1:12">
      <c r="A9211" t="s">
        <v>27039</v>
      </c>
      <c r="B9211" t="s">
        <v>27040</v>
      </c>
      <c r="C9211" t="s">
        <v>27061</v>
      </c>
      <c r="D9211" t="s">
        <v>27042</v>
      </c>
      <c r="E9211" t="s">
        <v>13702</v>
      </c>
      <c r="F9211" t="s">
        <v>27062</v>
      </c>
    </row>
    <row r="9212" spans="1:12">
      <c r="A9212" t="s">
        <v>27039</v>
      </c>
      <c r="B9212" t="s">
        <v>27040</v>
      </c>
      <c r="C9212" t="s">
        <v>27063</v>
      </c>
      <c r="D9212" t="s">
        <v>27042</v>
      </c>
      <c r="E9212" t="s">
        <v>16345</v>
      </c>
      <c r="F9212" t="s">
        <v>27064</v>
      </c>
    </row>
    <row r="9213" spans="1:12">
      <c r="A9213" t="s">
        <v>27039</v>
      </c>
      <c r="B9213" t="s">
        <v>27040</v>
      </c>
      <c r="C9213" t="s">
        <v>27065</v>
      </c>
      <c r="D9213" t="s">
        <v>27042</v>
      </c>
      <c r="E9213" t="s">
        <v>26008</v>
      </c>
      <c r="F9213" t="s">
        <v>27066</v>
      </c>
    </row>
    <row r="9214" spans="1:12">
      <c r="A9214" t="s">
        <v>27039</v>
      </c>
      <c r="B9214" t="s">
        <v>27040</v>
      </c>
      <c r="C9214" t="s">
        <v>27067</v>
      </c>
      <c r="D9214" t="s">
        <v>27042</v>
      </c>
      <c r="E9214" t="s">
        <v>8470</v>
      </c>
      <c r="F9214" t="s">
        <v>27068</v>
      </c>
    </row>
    <row r="9215" spans="1:12">
      <c r="A9215" t="s">
        <v>27039</v>
      </c>
      <c r="B9215" t="s">
        <v>27040</v>
      </c>
      <c r="C9215" t="s">
        <v>27069</v>
      </c>
      <c r="D9215" t="s">
        <v>27042</v>
      </c>
      <c r="E9215" t="s">
        <v>6886</v>
      </c>
      <c r="F9215" t="s">
        <v>27070</v>
      </c>
      <c r="J9215" t="s">
        <v>6886</v>
      </c>
      <c r="K9215" t="s">
        <v>27044</v>
      </c>
      <c r="L9215" t="s">
        <v>3638</v>
      </c>
    </row>
    <row r="9216" spans="1:12">
      <c r="A9216" t="s">
        <v>27039</v>
      </c>
      <c r="B9216" t="s">
        <v>27040</v>
      </c>
      <c r="C9216" t="s">
        <v>27071</v>
      </c>
      <c r="D9216" t="s">
        <v>27042</v>
      </c>
      <c r="E9216" t="s">
        <v>8031</v>
      </c>
      <c r="F9216" t="s">
        <v>27072</v>
      </c>
    </row>
    <row r="9217" spans="1:12">
      <c r="A9217" t="s">
        <v>27039</v>
      </c>
      <c r="B9217" t="s">
        <v>27040</v>
      </c>
      <c r="C9217" t="s">
        <v>27073</v>
      </c>
      <c r="D9217" t="s">
        <v>27042</v>
      </c>
      <c r="E9217" t="s">
        <v>3452</v>
      </c>
      <c r="F9217" t="s">
        <v>27074</v>
      </c>
    </row>
    <row r="9218" spans="1:12">
      <c r="A9218" t="s">
        <v>27039</v>
      </c>
      <c r="B9218" t="s">
        <v>27040</v>
      </c>
      <c r="C9218" t="s">
        <v>27075</v>
      </c>
      <c r="D9218" t="s">
        <v>27042</v>
      </c>
      <c r="E9218" t="s">
        <v>3838</v>
      </c>
      <c r="F9218" t="s">
        <v>27076</v>
      </c>
    </row>
    <row r="9219" spans="1:12">
      <c r="A9219" t="s">
        <v>27039</v>
      </c>
      <c r="B9219" t="s">
        <v>27040</v>
      </c>
      <c r="C9219" t="s">
        <v>27077</v>
      </c>
      <c r="D9219" t="s">
        <v>27042</v>
      </c>
      <c r="E9219" t="s">
        <v>27078</v>
      </c>
      <c r="F9219" t="s">
        <v>27079</v>
      </c>
      <c r="J9219" t="s">
        <v>27078</v>
      </c>
      <c r="K9219" t="s">
        <v>27044</v>
      </c>
      <c r="L9219" t="s">
        <v>3638</v>
      </c>
    </row>
    <row r="9220" spans="1:12">
      <c r="A9220" t="s">
        <v>27039</v>
      </c>
      <c r="B9220" t="s">
        <v>27040</v>
      </c>
      <c r="C9220" t="s">
        <v>27080</v>
      </c>
      <c r="D9220" t="s">
        <v>27042</v>
      </c>
      <c r="E9220" t="s">
        <v>4880</v>
      </c>
      <c r="F9220" t="s">
        <v>27081</v>
      </c>
    </row>
    <row r="9221" spans="1:12">
      <c r="A9221" t="s">
        <v>27039</v>
      </c>
      <c r="B9221" t="s">
        <v>27040</v>
      </c>
      <c r="C9221" t="s">
        <v>27082</v>
      </c>
      <c r="D9221" t="s">
        <v>27042</v>
      </c>
      <c r="E9221" t="s">
        <v>27083</v>
      </c>
      <c r="F9221" t="s">
        <v>27084</v>
      </c>
    </row>
    <row r="9222" spans="1:12">
      <c r="A9222" t="s">
        <v>27039</v>
      </c>
      <c r="B9222" t="s">
        <v>27040</v>
      </c>
      <c r="C9222" t="s">
        <v>27085</v>
      </c>
      <c r="D9222" t="s">
        <v>27042</v>
      </c>
      <c r="E9222" t="s">
        <v>27086</v>
      </c>
      <c r="F9222" t="s">
        <v>27087</v>
      </c>
    </row>
    <row r="9223" spans="1:12">
      <c r="A9223" t="s">
        <v>27039</v>
      </c>
      <c r="B9223" t="s">
        <v>27040</v>
      </c>
      <c r="C9223" t="s">
        <v>27088</v>
      </c>
      <c r="D9223" t="s">
        <v>27042</v>
      </c>
      <c r="E9223" t="s">
        <v>3266</v>
      </c>
      <c r="F9223" t="s">
        <v>27089</v>
      </c>
    </row>
    <row r="9224" spans="1:12">
      <c r="A9224" t="s">
        <v>27039</v>
      </c>
      <c r="B9224" t="s">
        <v>27040</v>
      </c>
      <c r="C9224" t="s">
        <v>27090</v>
      </c>
      <c r="D9224" t="s">
        <v>27042</v>
      </c>
      <c r="E9224" t="s">
        <v>27091</v>
      </c>
      <c r="F9224" t="s">
        <v>27092</v>
      </c>
    </row>
    <row r="9225" spans="1:12">
      <c r="A9225" t="s">
        <v>27039</v>
      </c>
      <c r="B9225" t="s">
        <v>27040</v>
      </c>
      <c r="C9225" t="s">
        <v>27093</v>
      </c>
      <c r="D9225" t="s">
        <v>27042</v>
      </c>
      <c r="E9225" t="s">
        <v>3342</v>
      </c>
      <c r="F9225" t="s">
        <v>27094</v>
      </c>
    </row>
    <row r="9226" spans="1:12">
      <c r="A9226" t="s">
        <v>27039</v>
      </c>
      <c r="B9226" t="s">
        <v>27040</v>
      </c>
      <c r="C9226" t="s">
        <v>27095</v>
      </c>
      <c r="D9226" t="s">
        <v>27042</v>
      </c>
      <c r="E9226" t="s">
        <v>27096</v>
      </c>
      <c r="F9226" t="s">
        <v>27097</v>
      </c>
    </row>
    <row r="9227" spans="1:12">
      <c r="A9227" t="s">
        <v>27039</v>
      </c>
      <c r="B9227" t="s">
        <v>27040</v>
      </c>
      <c r="C9227" t="s">
        <v>27098</v>
      </c>
      <c r="D9227" t="s">
        <v>27042</v>
      </c>
      <c r="E9227" t="s">
        <v>27099</v>
      </c>
      <c r="F9227" t="s">
        <v>27100</v>
      </c>
    </row>
    <row r="9228" spans="1:12">
      <c r="A9228" t="s">
        <v>27039</v>
      </c>
      <c r="B9228" t="s">
        <v>27040</v>
      </c>
      <c r="C9228" t="s">
        <v>27101</v>
      </c>
      <c r="D9228" t="s">
        <v>27042</v>
      </c>
      <c r="E9228" t="s">
        <v>4894</v>
      </c>
      <c r="F9228" t="s">
        <v>27102</v>
      </c>
    </row>
    <row r="9229" spans="1:12">
      <c r="A9229" t="s">
        <v>27039</v>
      </c>
      <c r="B9229" t="s">
        <v>27040</v>
      </c>
      <c r="C9229" t="s">
        <v>27103</v>
      </c>
      <c r="D9229" t="s">
        <v>27042</v>
      </c>
      <c r="E9229" t="s">
        <v>24179</v>
      </c>
      <c r="F9229" t="s">
        <v>27104</v>
      </c>
    </row>
    <row r="9230" spans="1:12">
      <c r="A9230" t="s">
        <v>27039</v>
      </c>
      <c r="B9230" t="s">
        <v>27040</v>
      </c>
      <c r="C9230" t="s">
        <v>27105</v>
      </c>
      <c r="D9230" t="s">
        <v>27042</v>
      </c>
      <c r="E9230" t="s">
        <v>1591</v>
      </c>
      <c r="F9230" t="s">
        <v>27106</v>
      </c>
    </row>
    <row r="9231" spans="1:12">
      <c r="A9231" t="s">
        <v>27039</v>
      </c>
      <c r="B9231" t="s">
        <v>27040</v>
      </c>
      <c r="C9231" t="s">
        <v>27107</v>
      </c>
      <c r="D9231" t="s">
        <v>27042</v>
      </c>
      <c r="E9231" t="s">
        <v>826</v>
      </c>
      <c r="F9231" t="s">
        <v>27108</v>
      </c>
    </row>
    <row r="9232" spans="1:12">
      <c r="A9232" t="s">
        <v>27039</v>
      </c>
      <c r="B9232" t="s">
        <v>27040</v>
      </c>
      <c r="C9232" t="s">
        <v>27109</v>
      </c>
      <c r="D9232" t="s">
        <v>27042</v>
      </c>
      <c r="E9232" t="s">
        <v>1597</v>
      </c>
      <c r="F9232" t="s">
        <v>27110</v>
      </c>
    </row>
    <row r="9233" spans="1:12">
      <c r="A9233" t="s">
        <v>27039</v>
      </c>
      <c r="B9233" t="s">
        <v>27040</v>
      </c>
      <c r="C9233" t="s">
        <v>27111</v>
      </c>
      <c r="D9233" t="s">
        <v>27042</v>
      </c>
      <c r="E9233" t="s">
        <v>25637</v>
      </c>
      <c r="F9233" t="s">
        <v>27112</v>
      </c>
    </row>
    <row r="9234" spans="1:12">
      <c r="A9234" t="s">
        <v>27039</v>
      </c>
      <c r="B9234" t="s">
        <v>27040</v>
      </c>
      <c r="C9234" t="s">
        <v>27113</v>
      </c>
      <c r="D9234" t="s">
        <v>27042</v>
      </c>
      <c r="E9234" t="s">
        <v>27114</v>
      </c>
      <c r="F9234" t="s">
        <v>27115</v>
      </c>
      <c r="J9234" t="s">
        <v>27114</v>
      </c>
      <c r="K9234" t="s">
        <v>27044</v>
      </c>
      <c r="L9234" t="s">
        <v>3638</v>
      </c>
    </row>
    <row r="9235" spans="1:12">
      <c r="A9235" t="s">
        <v>27039</v>
      </c>
      <c r="B9235" t="s">
        <v>27040</v>
      </c>
      <c r="C9235" t="s">
        <v>27116</v>
      </c>
      <c r="D9235" t="s">
        <v>27042</v>
      </c>
      <c r="E9235" t="s">
        <v>6369</v>
      </c>
      <c r="F9235" t="s">
        <v>27117</v>
      </c>
    </row>
    <row r="9236" spans="1:12">
      <c r="A9236" t="s">
        <v>27039</v>
      </c>
      <c r="B9236" t="s">
        <v>27040</v>
      </c>
      <c r="C9236" t="s">
        <v>27118</v>
      </c>
      <c r="D9236" t="s">
        <v>27042</v>
      </c>
      <c r="E9236" t="s">
        <v>6372</v>
      </c>
      <c r="F9236" t="s">
        <v>27119</v>
      </c>
    </row>
    <row r="9237" spans="1:12">
      <c r="A9237" t="s">
        <v>27039</v>
      </c>
      <c r="B9237" t="s">
        <v>27040</v>
      </c>
      <c r="C9237" t="s">
        <v>27120</v>
      </c>
      <c r="D9237" t="s">
        <v>27042</v>
      </c>
      <c r="E9237" t="s">
        <v>7711</v>
      </c>
      <c r="F9237" t="s">
        <v>27121</v>
      </c>
    </row>
    <row r="9238" spans="1:12">
      <c r="A9238" t="s">
        <v>27039</v>
      </c>
      <c r="B9238" t="s">
        <v>27040</v>
      </c>
      <c r="C9238" t="s">
        <v>27122</v>
      </c>
      <c r="D9238" t="s">
        <v>27042</v>
      </c>
      <c r="E9238" t="s">
        <v>10300</v>
      </c>
      <c r="F9238" t="s">
        <v>27123</v>
      </c>
    </row>
    <row r="9239" spans="1:12">
      <c r="A9239" t="s">
        <v>27039</v>
      </c>
      <c r="B9239" t="s">
        <v>27040</v>
      </c>
      <c r="C9239" t="s">
        <v>27124</v>
      </c>
      <c r="D9239" t="s">
        <v>27042</v>
      </c>
      <c r="E9239" t="s">
        <v>27125</v>
      </c>
      <c r="F9239" t="s">
        <v>27126</v>
      </c>
      <c r="J9239" t="s">
        <v>27125</v>
      </c>
      <c r="K9239" t="s">
        <v>27044</v>
      </c>
      <c r="L9239" t="s">
        <v>3638</v>
      </c>
    </row>
    <row r="9240" spans="1:12">
      <c r="A9240" t="s">
        <v>27039</v>
      </c>
      <c r="B9240" t="s">
        <v>27040</v>
      </c>
      <c r="C9240" t="s">
        <v>27127</v>
      </c>
      <c r="D9240" t="s">
        <v>27042</v>
      </c>
      <c r="E9240" t="s">
        <v>27128</v>
      </c>
      <c r="F9240" t="s">
        <v>27129</v>
      </c>
      <c r="J9240" t="s">
        <v>27128</v>
      </c>
      <c r="K9240" t="s">
        <v>27044</v>
      </c>
      <c r="L9240" t="s">
        <v>3638</v>
      </c>
    </row>
    <row r="9241" spans="1:12">
      <c r="A9241" t="s">
        <v>27039</v>
      </c>
      <c r="B9241" t="s">
        <v>27040</v>
      </c>
      <c r="C9241" t="s">
        <v>27130</v>
      </c>
      <c r="D9241" t="s">
        <v>27042</v>
      </c>
      <c r="E9241" t="s">
        <v>3867</v>
      </c>
      <c r="F9241" t="s">
        <v>27131</v>
      </c>
    </row>
    <row r="9242" spans="1:12">
      <c r="A9242" t="s">
        <v>27039</v>
      </c>
      <c r="B9242" t="s">
        <v>27040</v>
      </c>
      <c r="C9242" t="s">
        <v>27132</v>
      </c>
      <c r="D9242" t="s">
        <v>27042</v>
      </c>
      <c r="E9242" t="s">
        <v>12381</v>
      </c>
      <c r="F9242" t="s">
        <v>27133</v>
      </c>
    </row>
    <row r="9243" spans="1:12">
      <c r="A9243" t="s">
        <v>27039</v>
      </c>
      <c r="B9243" t="s">
        <v>27040</v>
      </c>
      <c r="C9243" t="s">
        <v>27134</v>
      </c>
      <c r="D9243" t="s">
        <v>27042</v>
      </c>
      <c r="E9243" t="s">
        <v>1627</v>
      </c>
      <c r="F9243" t="s">
        <v>27135</v>
      </c>
    </row>
    <row r="9244" spans="1:12">
      <c r="A9244" t="s">
        <v>27039</v>
      </c>
      <c r="B9244" t="s">
        <v>27040</v>
      </c>
      <c r="C9244" t="s">
        <v>27136</v>
      </c>
      <c r="D9244" t="s">
        <v>27042</v>
      </c>
      <c r="E9244" t="s">
        <v>27137</v>
      </c>
      <c r="F9244" t="s">
        <v>27138</v>
      </c>
      <c r="J9244" t="s">
        <v>27137</v>
      </c>
      <c r="K9244" t="s">
        <v>27044</v>
      </c>
      <c r="L9244" t="s">
        <v>3638</v>
      </c>
    </row>
    <row r="9245" spans="1:12">
      <c r="A9245" t="s">
        <v>27039</v>
      </c>
      <c r="B9245" t="s">
        <v>27040</v>
      </c>
      <c r="C9245" t="s">
        <v>27139</v>
      </c>
      <c r="D9245" t="s">
        <v>27042</v>
      </c>
      <c r="E9245" t="s">
        <v>27140</v>
      </c>
      <c r="F9245" t="s">
        <v>27141</v>
      </c>
    </row>
    <row r="9246" spans="1:12">
      <c r="A9246" t="s">
        <v>27039</v>
      </c>
      <c r="B9246" t="s">
        <v>27040</v>
      </c>
      <c r="C9246" t="s">
        <v>27142</v>
      </c>
      <c r="D9246" t="s">
        <v>27042</v>
      </c>
      <c r="E9246" t="s">
        <v>6590</v>
      </c>
      <c r="F9246" t="s">
        <v>27143</v>
      </c>
    </row>
    <row r="9247" spans="1:12">
      <c r="A9247" t="s">
        <v>27039</v>
      </c>
      <c r="B9247" t="s">
        <v>27040</v>
      </c>
      <c r="C9247" t="s">
        <v>27144</v>
      </c>
      <c r="D9247" t="s">
        <v>27042</v>
      </c>
      <c r="E9247" t="s">
        <v>3632</v>
      </c>
      <c r="F9247" t="s">
        <v>27145</v>
      </c>
    </row>
    <row r="9248" spans="1:12">
      <c r="A9248" t="s">
        <v>27039</v>
      </c>
      <c r="B9248" t="s">
        <v>27040</v>
      </c>
      <c r="C9248" t="s">
        <v>27146</v>
      </c>
      <c r="D9248" t="s">
        <v>27042</v>
      </c>
      <c r="E9248" t="s">
        <v>27147</v>
      </c>
      <c r="F9248" t="s">
        <v>27148</v>
      </c>
    </row>
    <row r="9249" spans="1:12">
      <c r="A9249" t="s">
        <v>27039</v>
      </c>
      <c r="B9249" t="s">
        <v>27040</v>
      </c>
      <c r="C9249" t="s">
        <v>27149</v>
      </c>
      <c r="D9249" t="s">
        <v>27042</v>
      </c>
      <c r="E9249" t="s">
        <v>13327</v>
      </c>
      <c r="F9249" t="s">
        <v>27150</v>
      </c>
    </row>
    <row r="9250" spans="1:12">
      <c r="A9250" t="s">
        <v>27039</v>
      </c>
      <c r="B9250" t="s">
        <v>27040</v>
      </c>
      <c r="C9250" t="s">
        <v>27151</v>
      </c>
      <c r="D9250" t="s">
        <v>27042</v>
      </c>
      <c r="E9250" t="s">
        <v>14022</v>
      </c>
      <c r="F9250" t="s">
        <v>27152</v>
      </c>
    </row>
    <row r="9251" spans="1:12">
      <c r="A9251" t="s">
        <v>27039</v>
      </c>
      <c r="B9251" t="s">
        <v>27040</v>
      </c>
      <c r="C9251" t="s">
        <v>27153</v>
      </c>
      <c r="D9251" t="s">
        <v>27042</v>
      </c>
      <c r="E9251" t="s">
        <v>930</v>
      </c>
      <c r="F9251" t="s">
        <v>27154</v>
      </c>
    </row>
    <row r="9252" spans="1:12">
      <c r="A9252" t="s">
        <v>27039</v>
      </c>
      <c r="B9252" t="s">
        <v>27040</v>
      </c>
      <c r="C9252" t="s">
        <v>27155</v>
      </c>
      <c r="D9252" t="s">
        <v>27042</v>
      </c>
      <c r="E9252" t="s">
        <v>8678</v>
      </c>
      <c r="F9252" t="s">
        <v>27156</v>
      </c>
    </row>
    <row r="9253" spans="1:12">
      <c r="A9253" t="s">
        <v>27039</v>
      </c>
      <c r="B9253" t="s">
        <v>27040</v>
      </c>
      <c r="C9253" t="s">
        <v>27157</v>
      </c>
      <c r="D9253" t="s">
        <v>27042</v>
      </c>
      <c r="E9253" t="s">
        <v>10904</v>
      </c>
      <c r="F9253" t="s">
        <v>27158</v>
      </c>
    </row>
    <row r="9254" spans="1:12">
      <c r="A9254" t="s">
        <v>27039</v>
      </c>
      <c r="B9254" t="s">
        <v>27040</v>
      </c>
      <c r="C9254" t="s">
        <v>27159</v>
      </c>
      <c r="D9254" t="s">
        <v>27042</v>
      </c>
      <c r="E9254" t="s">
        <v>27160</v>
      </c>
      <c r="F9254" t="s">
        <v>27161</v>
      </c>
      <c r="J9254" t="s">
        <v>27160</v>
      </c>
      <c r="K9254" t="s">
        <v>27044</v>
      </c>
      <c r="L9254" t="s">
        <v>3638</v>
      </c>
    </row>
    <row r="9255" spans="1:12">
      <c r="A9255" t="s">
        <v>27039</v>
      </c>
      <c r="B9255" t="s">
        <v>27040</v>
      </c>
      <c r="C9255" t="s">
        <v>27162</v>
      </c>
      <c r="D9255" t="s">
        <v>27042</v>
      </c>
      <c r="E9255" t="s">
        <v>27163</v>
      </c>
      <c r="F9255" t="s">
        <v>27164</v>
      </c>
    </row>
    <row r="9256" spans="1:12">
      <c r="A9256" t="s">
        <v>27039</v>
      </c>
      <c r="B9256" t="s">
        <v>27040</v>
      </c>
      <c r="C9256" t="s">
        <v>27165</v>
      </c>
      <c r="D9256" t="s">
        <v>27042</v>
      </c>
      <c r="E9256" t="s">
        <v>1672</v>
      </c>
      <c r="F9256" t="s">
        <v>27166</v>
      </c>
    </row>
    <row r="9257" spans="1:12">
      <c r="A9257" t="s">
        <v>27039</v>
      </c>
      <c r="B9257" t="s">
        <v>27040</v>
      </c>
      <c r="C9257" t="s">
        <v>27167</v>
      </c>
      <c r="D9257" t="s">
        <v>27042</v>
      </c>
      <c r="E9257" t="s">
        <v>27168</v>
      </c>
      <c r="F9257" t="s">
        <v>27169</v>
      </c>
    </row>
    <row r="9258" spans="1:12">
      <c r="A9258" t="s">
        <v>27039</v>
      </c>
      <c r="B9258" t="s">
        <v>27040</v>
      </c>
      <c r="C9258" t="s">
        <v>27170</v>
      </c>
      <c r="D9258" t="s">
        <v>27042</v>
      </c>
      <c r="E9258" t="s">
        <v>27171</v>
      </c>
      <c r="F9258" t="s">
        <v>27172</v>
      </c>
    </row>
    <row r="9259" spans="1:12">
      <c r="A9259" t="s">
        <v>27039</v>
      </c>
      <c r="B9259" t="s">
        <v>27040</v>
      </c>
      <c r="C9259" t="s">
        <v>27173</v>
      </c>
      <c r="D9259" t="s">
        <v>27042</v>
      </c>
      <c r="E9259" t="s">
        <v>933</v>
      </c>
      <c r="F9259" t="s">
        <v>27174</v>
      </c>
    </row>
    <row r="9260" spans="1:12">
      <c r="A9260" t="s">
        <v>27039</v>
      </c>
      <c r="B9260" t="s">
        <v>27040</v>
      </c>
      <c r="C9260" t="s">
        <v>27175</v>
      </c>
      <c r="D9260" t="s">
        <v>27042</v>
      </c>
      <c r="E9260" t="s">
        <v>27176</v>
      </c>
      <c r="F9260" t="s">
        <v>27177</v>
      </c>
    </row>
    <row r="9261" spans="1:12">
      <c r="A9261" t="s">
        <v>27039</v>
      </c>
      <c r="B9261" t="s">
        <v>27040</v>
      </c>
      <c r="C9261" t="s">
        <v>27178</v>
      </c>
      <c r="D9261" t="s">
        <v>27042</v>
      </c>
      <c r="E9261" t="s">
        <v>27179</v>
      </c>
      <c r="F9261" t="s">
        <v>27180</v>
      </c>
      <c r="J9261" t="s">
        <v>27179</v>
      </c>
      <c r="K9261" t="s">
        <v>27044</v>
      </c>
      <c r="L9261" t="s">
        <v>3638</v>
      </c>
    </row>
    <row r="9262" spans="1:12">
      <c r="A9262" t="s">
        <v>27039</v>
      </c>
      <c r="B9262" t="s">
        <v>27040</v>
      </c>
      <c r="C9262" t="s">
        <v>27181</v>
      </c>
      <c r="D9262" t="s">
        <v>27042</v>
      </c>
      <c r="E9262" t="s">
        <v>1693</v>
      </c>
      <c r="F9262" t="s">
        <v>27182</v>
      </c>
    </row>
    <row r="9263" spans="1:12">
      <c r="A9263" t="s">
        <v>27039</v>
      </c>
      <c r="B9263" t="s">
        <v>27040</v>
      </c>
      <c r="C9263" t="s">
        <v>27183</v>
      </c>
      <c r="D9263" t="s">
        <v>27042</v>
      </c>
      <c r="E9263" t="s">
        <v>27184</v>
      </c>
      <c r="F9263" t="s">
        <v>27185</v>
      </c>
    </row>
    <row r="9264" spans="1:12">
      <c r="A9264" t="s">
        <v>27039</v>
      </c>
      <c r="B9264" t="s">
        <v>27040</v>
      </c>
      <c r="C9264" t="s">
        <v>27186</v>
      </c>
      <c r="D9264" t="s">
        <v>27042</v>
      </c>
      <c r="E9264" t="s">
        <v>27187</v>
      </c>
      <c r="F9264" t="s">
        <v>27188</v>
      </c>
    </row>
    <row r="9265" spans="1:12">
      <c r="A9265" t="s">
        <v>27039</v>
      </c>
      <c r="B9265" t="s">
        <v>27040</v>
      </c>
      <c r="C9265" t="s">
        <v>27189</v>
      </c>
      <c r="D9265" t="s">
        <v>27042</v>
      </c>
      <c r="E9265" t="s">
        <v>27190</v>
      </c>
      <c r="F9265" t="s">
        <v>27191</v>
      </c>
      <c r="J9265" t="s">
        <v>27190</v>
      </c>
      <c r="K9265" t="s">
        <v>27044</v>
      </c>
      <c r="L9265" t="s">
        <v>3638</v>
      </c>
    </row>
    <row r="9266" spans="1:12">
      <c r="A9266" t="s">
        <v>27039</v>
      </c>
      <c r="B9266" t="s">
        <v>27040</v>
      </c>
      <c r="C9266" t="s">
        <v>27192</v>
      </c>
      <c r="D9266" t="s">
        <v>27042</v>
      </c>
      <c r="E9266" t="s">
        <v>27193</v>
      </c>
      <c r="F9266" t="s">
        <v>27194</v>
      </c>
      <c r="J9266" t="s">
        <v>27193</v>
      </c>
      <c r="K9266" t="s">
        <v>27044</v>
      </c>
      <c r="L9266" t="s">
        <v>3638</v>
      </c>
    </row>
    <row r="9267" spans="1:12">
      <c r="A9267" t="s">
        <v>27039</v>
      </c>
      <c r="B9267" t="s">
        <v>27040</v>
      </c>
      <c r="C9267" t="s">
        <v>27195</v>
      </c>
      <c r="D9267" t="s">
        <v>27042</v>
      </c>
      <c r="E9267" t="s">
        <v>27196</v>
      </c>
      <c r="F9267" t="s">
        <v>27197</v>
      </c>
      <c r="J9267" t="s">
        <v>27196</v>
      </c>
      <c r="K9267" t="s">
        <v>27044</v>
      </c>
      <c r="L9267" t="s">
        <v>3638</v>
      </c>
    </row>
    <row r="9268" spans="1:12">
      <c r="A9268" t="s">
        <v>27039</v>
      </c>
      <c r="B9268" t="s">
        <v>27040</v>
      </c>
      <c r="C9268" t="s">
        <v>27198</v>
      </c>
      <c r="D9268" t="s">
        <v>27042</v>
      </c>
      <c r="E9268" t="s">
        <v>27199</v>
      </c>
      <c r="F9268" t="s">
        <v>27200</v>
      </c>
      <c r="J9268" t="s">
        <v>27199</v>
      </c>
      <c r="K9268" t="s">
        <v>27044</v>
      </c>
      <c r="L9268" t="s">
        <v>3638</v>
      </c>
    </row>
    <row r="9269" spans="1:12">
      <c r="A9269" t="s">
        <v>27039</v>
      </c>
      <c r="B9269" t="s">
        <v>27040</v>
      </c>
      <c r="C9269" t="s">
        <v>27201</v>
      </c>
      <c r="D9269" t="s">
        <v>27042</v>
      </c>
      <c r="E9269" t="s">
        <v>3278</v>
      </c>
      <c r="F9269" t="s">
        <v>27202</v>
      </c>
    </row>
    <row r="9270" spans="1:12">
      <c r="A9270" t="s">
        <v>27039</v>
      </c>
      <c r="B9270" t="s">
        <v>27040</v>
      </c>
      <c r="C9270" t="s">
        <v>27203</v>
      </c>
      <c r="D9270" t="s">
        <v>27042</v>
      </c>
      <c r="E9270" t="s">
        <v>23711</v>
      </c>
      <c r="F9270" t="s">
        <v>27204</v>
      </c>
    </row>
    <row r="9271" spans="1:12">
      <c r="A9271" t="s">
        <v>27039</v>
      </c>
      <c r="B9271" t="s">
        <v>27040</v>
      </c>
      <c r="C9271" t="s">
        <v>27205</v>
      </c>
      <c r="D9271" t="s">
        <v>27042</v>
      </c>
      <c r="E9271" t="s">
        <v>27206</v>
      </c>
      <c r="F9271" t="s">
        <v>27207</v>
      </c>
      <c r="J9271" t="s">
        <v>27206</v>
      </c>
      <c r="K9271" t="s">
        <v>27044</v>
      </c>
      <c r="L9271" t="s">
        <v>3638</v>
      </c>
    </row>
    <row r="9272" spans="1:12">
      <c r="A9272" t="s">
        <v>27039</v>
      </c>
      <c r="B9272" t="s">
        <v>27040</v>
      </c>
      <c r="C9272" t="s">
        <v>27208</v>
      </c>
      <c r="D9272" t="s">
        <v>27042</v>
      </c>
      <c r="E9272" t="s">
        <v>27209</v>
      </c>
      <c r="F9272" t="s">
        <v>27210</v>
      </c>
    </row>
    <row r="9273" spans="1:12">
      <c r="A9273" t="s">
        <v>27039</v>
      </c>
      <c r="B9273" t="s">
        <v>27040</v>
      </c>
      <c r="C9273" t="s">
        <v>27211</v>
      </c>
      <c r="D9273" t="s">
        <v>27042</v>
      </c>
      <c r="E9273" t="s">
        <v>27212</v>
      </c>
      <c r="F9273" t="s">
        <v>27213</v>
      </c>
    </row>
    <row r="9274" spans="1:12">
      <c r="A9274" t="s">
        <v>27039</v>
      </c>
      <c r="B9274" t="s">
        <v>27040</v>
      </c>
      <c r="C9274" t="s">
        <v>27214</v>
      </c>
      <c r="D9274" t="s">
        <v>27042</v>
      </c>
      <c r="E9274" t="s">
        <v>1759</v>
      </c>
      <c r="F9274" t="s">
        <v>27215</v>
      </c>
    </row>
    <row r="9275" spans="1:12">
      <c r="A9275" t="s">
        <v>27039</v>
      </c>
      <c r="B9275" t="s">
        <v>27040</v>
      </c>
      <c r="C9275" t="s">
        <v>27216</v>
      </c>
      <c r="D9275" t="s">
        <v>27042</v>
      </c>
      <c r="E9275" t="s">
        <v>1102</v>
      </c>
      <c r="F9275" t="s">
        <v>27217</v>
      </c>
    </row>
    <row r="9276" spans="1:12">
      <c r="A9276" t="s">
        <v>27039</v>
      </c>
      <c r="B9276" t="s">
        <v>27040</v>
      </c>
      <c r="C9276" t="s">
        <v>27218</v>
      </c>
      <c r="D9276" t="s">
        <v>27042</v>
      </c>
      <c r="E9276" t="s">
        <v>27219</v>
      </c>
      <c r="F9276" t="s">
        <v>27220</v>
      </c>
    </row>
    <row r="9277" spans="1:12">
      <c r="A9277" t="s">
        <v>27039</v>
      </c>
      <c r="B9277" t="s">
        <v>27040</v>
      </c>
      <c r="C9277" t="s">
        <v>27221</v>
      </c>
      <c r="D9277" t="s">
        <v>27042</v>
      </c>
      <c r="E9277" t="s">
        <v>7853</v>
      </c>
      <c r="F9277" t="s">
        <v>27222</v>
      </c>
    </row>
    <row r="9278" spans="1:12">
      <c r="A9278" t="s">
        <v>27039</v>
      </c>
      <c r="B9278" t="s">
        <v>27040</v>
      </c>
      <c r="C9278" t="s">
        <v>27223</v>
      </c>
      <c r="D9278" t="s">
        <v>27042</v>
      </c>
      <c r="E9278" t="s">
        <v>13442</v>
      </c>
      <c r="F9278" t="s">
        <v>27224</v>
      </c>
    </row>
    <row r="9279" spans="1:12">
      <c r="A9279" t="s">
        <v>27039</v>
      </c>
      <c r="B9279" t="s">
        <v>27040</v>
      </c>
      <c r="C9279" t="s">
        <v>27225</v>
      </c>
      <c r="D9279" t="s">
        <v>27042</v>
      </c>
      <c r="E9279" t="s">
        <v>27226</v>
      </c>
      <c r="F9279" t="s">
        <v>27227</v>
      </c>
      <c r="J9279" t="s">
        <v>27226</v>
      </c>
      <c r="K9279" t="s">
        <v>27044</v>
      </c>
      <c r="L9279" t="s">
        <v>3638</v>
      </c>
    </row>
    <row r="9280" spans="1:12">
      <c r="A9280" t="s">
        <v>27039</v>
      </c>
      <c r="B9280" t="s">
        <v>27040</v>
      </c>
      <c r="C9280" t="s">
        <v>27228</v>
      </c>
      <c r="D9280" t="s">
        <v>27042</v>
      </c>
      <c r="E9280" t="s">
        <v>27229</v>
      </c>
      <c r="F9280" t="s">
        <v>27230</v>
      </c>
      <c r="J9280" t="s">
        <v>27229</v>
      </c>
      <c r="K9280" t="s">
        <v>27044</v>
      </c>
      <c r="L9280" t="s">
        <v>3638</v>
      </c>
    </row>
    <row r="9281" spans="1:12">
      <c r="A9281" t="s">
        <v>27039</v>
      </c>
      <c r="B9281" t="s">
        <v>27040</v>
      </c>
      <c r="C9281" t="s">
        <v>27231</v>
      </c>
      <c r="D9281" t="s">
        <v>27042</v>
      </c>
      <c r="E9281" t="s">
        <v>4949</v>
      </c>
      <c r="F9281" t="s">
        <v>27232</v>
      </c>
    </row>
    <row r="9282" spans="1:12">
      <c r="A9282" t="s">
        <v>27039</v>
      </c>
      <c r="B9282" t="s">
        <v>27040</v>
      </c>
      <c r="C9282" t="s">
        <v>27233</v>
      </c>
      <c r="D9282" t="s">
        <v>27042</v>
      </c>
      <c r="E9282" t="s">
        <v>27234</v>
      </c>
      <c r="F9282" t="s">
        <v>27235</v>
      </c>
    </row>
    <row r="9283" spans="1:12">
      <c r="A9283" t="s">
        <v>27039</v>
      </c>
      <c r="B9283" t="s">
        <v>27040</v>
      </c>
      <c r="C9283" t="s">
        <v>27236</v>
      </c>
      <c r="D9283" t="s">
        <v>27042</v>
      </c>
      <c r="E9283" t="s">
        <v>14782</v>
      </c>
      <c r="F9283" t="s">
        <v>27237</v>
      </c>
    </row>
    <row r="9284" spans="1:12">
      <c r="A9284" t="s">
        <v>27039</v>
      </c>
      <c r="B9284" t="s">
        <v>27040</v>
      </c>
      <c r="C9284" t="s">
        <v>27238</v>
      </c>
      <c r="D9284" t="s">
        <v>27042</v>
      </c>
      <c r="E9284" t="s">
        <v>25650</v>
      </c>
      <c r="F9284" t="s">
        <v>27239</v>
      </c>
    </row>
    <row r="9285" spans="1:12">
      <c r="A9285" t="s">
        <v>27039</v>
      </c>
      <c r="B9285" t="s">
        <v>27040</v>
      </c>
      <c r="C9285" t="s">
        <v>27240</v>
      </c>
      <c r="D9285" t="s">
        <v>27042</v>
      </c>
      <c r="E9285" t="s">
        <v>27241</v>
      </c>
      <c r="F9285" t="s">
        <v>27242</v>
      </c>
    </row>
    <row r="9286" spans="1:12">
      <c r="A9286" t="s">
        <v>27039</v>
      </c>
      <c r="B9286" t="s">
        <v>27040</v>
      </c>
      <c r="C9286" t="s">
        <v>27243</v>
      </c>
      <c r="D9286" t="s">
        <v>27042</v>
      </c>
      <c r="E9286" t="s">
        <v>27244</v>
      </c>
      <c r="F9286" t="s">
        <v>27245</v>
      </c>
      <c r="J9286" t="s">
        <v>27244</v>
      </c>
      <c r="K9286" t="s">
        <v>27044</v>
      </c>
      <c r="L9286" t="s">
        <v>3638</v>
      </c>
    </row>
    <row r="9287" spans="1:12">
      <c r="A9287" t="s">
        <v>27039</v>
      </c>
      <c r="B9287" t="s">
        <v>27040</v>
      </c>
      <c r="C9287" t="s">
        <v>27246</v>
      </c>
      <c r="D9287" t="s">
        <v>27042</v>
      </c>
      <c r="E9287" t="s">
        <v>23888</v>
      </c>
      <c r="F9287" t="s">
        <v>27247</v>
      </c>
    </row>
    <row r="9288" spans="1:12">
      <c r="A9288" t="s">
        <v>27039</v>
      </c>
      <c r="B9288" t="s">
        <v>27040</v>
      </c>
      <c r="C9288" t="s">
        <v>27248</v>
      </c>
      <c r="D9288" t="s">
        <v>27042</v>
      </c>
      <c r="E9288" t="s">
        <v>879</v>
      </c>
      <c r="F9288" t="s">
        <v>27249</v>
      </c>
    </row>
    <row r="9289" spans="1:12">
      <c r="A9289" t="s">
        <v>27039</v>
      </c>
      <c r="B9289" t="s">
        <v>27040</v>
      </c>
      <c r="C9289" t="s">
        <v>27250</v>
      </c>
      <c r="D9289" t="s">
        <v>27042</v>
      </c>
      <c r="E9289" t="s">
        <v>7729</v>
      </c>
      <c r="F9289" t="s">
        <v>27251</v>
      </c>
    </row>
    <row r="9290" spans="1:12">
      <c r="A9290" t="s">
        <v>27039</v>
      </c>
      <c r="B9290" t="s">
        <v>27040</v>
      </c>
      <c r="C9290" t="s">
        <v>27252</v>
      </c>
      <c r="D9290" t="s">
        <v>27042</v>
      </c>
      <c r="E9290" t="s">
        <v>27253</v>
      </c>
      <c r="F9290" t="s">
        <v>27254</v>
      </c>
    </row>
    <row r="9291" spans="1:12">
      <c r="A9291" t="s">
        <v>27039</v>
      </c>
      <c r="B9291" t="s">
        <v>27040</v>
      </c>
      <c r="C9291" t="s">
        <v>27255</v>
      </c>
      <c r="D9291" t="s">
        <v>27042</v>
      </c>
      <c r="E9291" t="s">
        <v>8252</v>
      </c>
      <c r="F9291" t="s">
        <v>27256</v>
      </c>
      <c r="J9291" t="s">
        <v>8252</v>
      </c>
      <c r="K9291" t="s">
        <v>27044</v>
      </c>
      <c r="L9291" t="s">
        <v>3638</v>
      </c>
    </row>
    <row r="9292" spans="1:12">
      <c r="A9292" t="s">
        <v>27039</v>
      </c>
      <c r="B9292" t="s">
        <v>27040</v>
      </c>
      <c r="C9292" t="s">
        <v>27257</v>
      </c>
      <c r="D9292" t="s">
        <v>27042</v>
      </c>
      <c r="E9292" t="s">
        <v>27258</v>
      </c>
      <c r="F9292" t="s">
        <v>27259</v>
      </c>
      <c r="J9292" t="s">
        <v>27258</v>
      </c>
      <c r="K9292" t="s">
        <v>27044</v>
      </c>
      <c r="L9292" t="s">
        <v>3638</v>
      </c>
    </row>
    <row r="9293" spans="1:12">
      <c r="A9293" t="s">
        <v>27039</v>
      </c>
      <c r="B9293" t="s">
        <v>27040</v>
      </c>
      <c r="C9293" t="s">
        <v>27260</v>
      </c>
      <c r="D9293" t="s">
        <v>27042</v>
      </c>
      <c r="E9293" t="s">
        <v>16532</v>
      </c>
      <c r="F9293" t="s">
        <v>27261</v>
      </c>
      <c r="J9293" t="s">
        <v>16532</v>
      </c>
      <c r="K9293" t="s">
        <v>27044</v>
      </c>
      <c r="L9293" t="s">
        <v>3638</v>
      </c>
    </row>
    <row r="9294" spans="1:12">
      <c r="A9294" t="s">
        <v>27039</v>
      </c>
      <c r="B9294" t="s">
        <v>27040</v>
      </c>
      <c r="C9294" t="s">
        <v>27262</v>
      </c>
      <c r="D9294" t="s">
        <v>27042</v>
      </c>
      <c r="E9294" t="s">
        <v>27263</v>
      </c>
      <c r="F9294" t="s">
        <v>27264</v>
      </c>
    </row>
    <row r="9295" spans="1:12">
      <c r="A9295" t="s">
        <v>27039</v>
      </c>
      <c r="B9295" t="s">
        <v>27040</v>
      </c>
      <c r="C9295" t="s">
        <v>27265</v>
      </c>
      <c r="D9295" t="s">
        <v>27042</v>
      </c>
      <c r="E9295" t="s">
        <v>24205</v>
      </c>
      <c r="F9295" t="s">
        <v>27266</v>
      </c>
    </row>
    <row r="9296" spans="1:12">
      <c r="A9296" t="s">
        <v>27039</v>
      </c>
      <c r="B9296" t="s">
        <v>27040</v>
      </c>
      <c r="C9296" t="s">
        <v>27267</v>
      </c>
      <c r="D9296" t="s">
        <v>27042</v>
      </c>
      <c r="E9296" t="s">
        <v>27268</v>
      </c>
      <c r="F9296" t="s">
        <v>27269</v>
      </c>
    </row>
    <row r="9297" spans="1:12">
      <c r="A9297" t="s">
        <v>27039</v>
      </c>
      <c r="B9297" t="s">
        <v>27040</v>
      </c>
      <c r="C9297" t="s">
        <v>27270</v>
      </c>
      <c r="D9297" t="s">
        <v>27042</v>
      </c>
      <c r="E9297" t="s">
        <v>27271</v>
      </c>
      <c r="F9297" t="s">
        <v>27272</v>
      </c>
      <c r="J9297" t="s">
        <v>27271</v>
      </c>
      <c r="K9297" t="s">
        <v>27044</v>
      </c>
      <c r="L9297" t="s">
        <v>3638</v>
      </c>
    </row>
    <row r="9298" spans="1:12">
      <c r="A9298" t="s">
        <v>27039</v>
      </c>
      <c r="B9298" t="s">
        <v>27040</v>
      </c>
      <c r="C9298" t="s">
        <v>27273</v>
      </c>
      <c r="D9298" t="s">
        <v>27042</v>
      </c>
      <c r="E9298" t="s">
        <v>6384</v>
      </c>
      <c r="F9298" t="s">
        <v>27274</v>
      </c>
    </row>
    <row r="9299" spans="1:12">
      <c r="A9299" t="s">
        <v>27039</v>
      </c>
      <c r="B9299" t="s">
        <v>27040</v>
      </c>
      <c r="C9299" t="s">
        <v>27275</v>
      </c>
      <c r="D9299" t="s">
        <v>27042</v>
      </c>
      <c r="E9299" t="s">
        <v>27276</v>
      </c>
      <c r="F9299" t="s">
        <v>27277</v>
      </c>
    </row>
    <row r="9300" spans="1:12">
      <c r="A9300" t="s">
        <v>27039</v>
      </c>
      <c r="B9300" t="s">
        <v>27040</v>
      </c>
      <c r="C9300" t="s">
        <v>27278</v>
      </c>
      <c r="D9300" t="s">
        <v>27042</v>
      </c>
      <c r="E9300" t="s">
        <v>27279</v>
      </c>
      <c r="F9300" t="s">
        <v>27280</v>
      </c>
    </row>
    <row r="9301" spans="1:12">
      <c r="A9301" t="s">
        <v>27039</v>
      </c>
      <c r="B9301" t="s">
        <v>27040</v>
      </c>
      <c r="C9301" t="s">
        <v>27281</v>
      </c>
      <c r="D9301" t="s">
        <v>27042</v>
      </c>
      <c r="E9301" t="s">
        <v>11160</v>
      </c>
      <c r="F9301" t="s">
        <v>27282</v>
      </c>
    </row>
    <row r="9302" spans="1:12">
      <c r="A9302" t="s">
        <v>27039</v>
      </c>
      <c r="B9302" t="s">
        <v>27040</v>
      </c>
      <c r="C9302" t="s">
        <v>27283</v>
      </c>
      <c r="D9302" t="s">
        <v>27042</v>
      </c>
      <c r="E9302" t="s">
        <v>6824</v>
      </c>
      <c r="F9302" t="s">
        <v>27284</v>
      </c>
    </row>
    <row r="9303" spans="1:12">
      <c r="A9303" t="s">
        <v>27039</v>
      </c>
      <c r="B9303" t="s">
        <v>27040</v>
      </c>
      <c r="C9303" t="s">
        <v>27285</v>
      </c>
      <c r="D9303" t="s">
        <v>27042</v>
      </c>
      <c r="E9303" t="s">
        <v>27286</v>
      </c>
      <c r="F9303" t="s">
        <v>27287</v>
      </c>
    </row>
    <row r="9304" spans="1:12">
      <c r="A9304" t="s">
        <v>27039</v>
      </c>
      <c r="B9304" t="s">
        <v>27040</v>
      </c>
      <c r="C9304" t="s">
        <v>27288</v>
      </c>
      <c r="D9304" t="s">
        <v>27042</v>
      </c>
      <c r="E9304" t="s">
        <v>27289</v>
      </c>
      <c r="F9304" t="s">
        <v>27290</v>
      </c>
    </row>
    <row r="9305" spans="1:12">
      <c r="A9305" t="s">
        <v>27039</v>
      </c>
      <c r="B9305" t="s">
        <v>27040</v>
      </c>
      <c r="C9305" t="s">
        <v>27291</v>
      </c>
      <c r="D9305" t="s">
        <v>27042</v>
      </c>
      <c r="E9305" t="s">
        <v>27292</v>
      </c>
      <c r="F9305" t="s">
        <v>27293</v>
      </c>
      <c r="J9305" t="s">
        <v>27292</v>
      </c>
      <c r="K9305" t="s">
        <v>27044</v>
      </c>
      <c r="L9305" t="s">
        <v>3638</v>
      </c>
    </row>
    <row r="9306" spans="1:12">
      <c r="A9306" t="s">
        <v>27039</v>
      </c>
      <c r="B9306" t="s">
        <v>27040</v>
      </c>
      <c r="C9306" t="s">
        <v>27294</v>
      </c>
      <c r="D9306" t="s">
        <v>27042</v>
      </c>
      <c r="E9306" t="s">
        <v>27295</v>
      </c>
      <c r="F9306" t="s">
        <v>27296</v>
      </c>
    </row>
    <row r="9307" spans="1:12">
      <c r="A9307" t="s">
        <v>27039</v>
      </c>
      <c r="B9307" t="s">
        <v>27040</v>
      </c>
      <c r="C9307" t="s">
        <v>27297</v>
      </c>
      <c r="D9307" t="s">
        <v>27042</v>
      </c>
      <c r="E9307" t="s">
        <v>1905</v>
      </c>
      <c r="F9307" t="s">
        <v>27298</v>
      </c>
    </row>
    <row r="9308" spans="1:12">
      <c r="A9308" t="s">
        <v>27039</v>
      </c>
      <c r="B9308" t="s">
        <v>27040</v>
      </c>
      <c r="C9308" t="s">
        <v>27299</v>
      </c>
      <c r="D9308" t="s">
        <v>27042</v>
      </c>
      <c r="E9308" t="s">
        <v>27300</v>
      </c>
      <c r="F9308" t="s">
        <v>27301</v>
      </c>
      <c r="J9308" t="s">
        <v>27300</v>
      </c>
      <c r="K9308" t="s">
        <v>27044</v>
      </c>
      <c r="L9308" t="s">
        <v>3638</v>
      </c>
    </row>
    <row r="9309" spans="1:12">
      <c r="A9309" t="s">
        <v>27039</v>
      </c>
      <c r="B9309" t="s">
        <v>27040</v>
      </c>
      <c r="C9309" t="s">
        <v>27302</v>
      </c>
      <c r="D9309" t="s">
        <v>27042</v>
      </c>
      <c r="E9309" t="s">
        <v>27303</v>
      </c>
      <c r="F9309" t="s">
        <v>27304</v>
      </c>
      <c r="J9309" t="s">
        <v>27303</v>
      </c>
      <c r="K9309" t="s">
        <v>27044</v>
      </c>
      <c r="L9309" t="s">
        <v>3638</v>
      </c>
    </row>
    <row r="9310" spans="1:12">
      <c r="A9310" t="s">
        <v>27039</v>
      </c>
      <c r="B9310" t="s">
        <v>27040</v>
      </c>
      <c r="C9310" t="s">
        <v>27305</v>
      </c>
      <c r="D9310" t="s">
        <v>27042</v>
      </c>
      <c r="E9310" t="s">
        <v>13838</v>
      </c>
      <c r="F9310" t="s">
        <v>27306</v>
      </c>
    </row>
    <row r="9311" spans="1:12">
      <c r="A9311" t="s">
        <v>27039</v>
      </c>
      <c r="B9311" t="s">
        <v>27040</v>
      </c>
      <c r="C9311" t="s">
        <v>27307</v>
      </c>
      <c r="D9311" t="s">
        <v>27042</v>
      </c>
      <c r="E9311" t="s">
        <v>22422</v>
      </c>
      <c r="F9311" t="s">
        <v>27308</v>
      </c>
    </row>
    <row r="9312" spans="1:12">
      <c r="A9312" t="s">
        <v>27039</v>
      </c>
      <c r="B9312" t="s">
        <v>27040</v>
      </c>
      <c r="C9312" t="s">
        <v>27309</v>
      </c>
      <c r="D9312" t="s">
        <v>27042</v>
      </c>
      <c r="E9312" t="s">
        <v>8989</v>
      </c>
      <c r="F9312" t="s">
        <v>27310</v>
      </c>
      <c r="J9312" t="s">
        <v>8989</v>
      </c>
      <c r="K9312" t="s">
        <v>27044</v>
      </c>
      <c r="L9312" t="s">
        <v>3638</v>
      </c>
    </row>
    <row r="9313" spans="1:12">
      <c r="A9313" t="s">
        <v>27039</v>
      </c>
      <c r="B9313" t="s">
        <v>27040</v>
      </c>
      <c r="C9313" t="s">
        <v>27311</v>
      </c>
      <c r="D9313" t="s">
        <v>27042</v>
      </c>
      <c r="E9313" t="s">
        <v>27312</v>
      </c>
      <c r="F9313" t="s">
        <v>27313</v>
      </c>
    </row>
    <row r="9314" spans="1:12">
      <c r="A9314" t="s">
        <v>27039</v>
      </c>
      <c r="B9314" t="s">
        <v>27040</v>
      </c>
      <c r="C9314" t="s">
        <v>27314</v>
      </c>
      <c r="D9314" t="s">
        <v>27042</v>
      </c>
      <c r="E9314" t="s">
        <v>27315</v>
      </c>
      <c r="F9314" t="s">
        <v>27316</v>
      </c>
    </row>
    <row r="9315" spans="1:12">
      <c r="A9315" t="s">
        <v>27039</v>
      </c>
      <c r="B9315" t="s">
        <v>27040</v>
      </c>
      <c r="C9315" t="s">
        <v>27317</v>
      </c>
      <c r="D9315" t="s">
        <v>27042</v>
      </c>
      <c r="E9315" t="s">
        <v>27318</v>
      </c>
      <c r="F9315" t="s">
        <v>27319</v>
      </c>
    </row>
    <row r="9316" spans="1:12">
      <c r="A9316" t="s">
        <v>27039</v>
      </c>
      <c r="B9316" t="s">
        <v>27040</v>
      </c>
      <c r="C9316" t="s">
        <v>27320</v>
      </c>
      <c r="D9316" t="s">
        <v>27042</v>
      </c>
      <c r="E9316" t="s">
        <v>4028</v>
      </c>
      <c r="F9316" t="s">
        <v>27321</v>
      </c>
    </row>
    <row r="9317" spans="1:12">
      <c r="A9317" t="s">
        <v>27039</v>
      </c>
      <c r="B9317" t="s">
        <v>27040</v>
      </c>
      <c r="C9317" t="s">
        <v>27322</v>
      </c>
      <c r="D9317" t="s">
        <v>27042</v>
      </c>
      <c r="E9317" t="s">
        <v>27323</v>
      </c>
      <c r="F9317" t="s">
        <v>27324</v>
      </c>
    </row>
    <row r="9318" spans="1:12">
      <c r="A9318" t="s">
        <v>27039</v>
      </c>
      <c r="B9318" t="s">
        <v>27040</v>
      </c>
      <c r="C9318" t="s">
        <v>27325</v>
      </c>
      <c r="D9318" t="s">
        <v>27042</v>
      </c>
      <c r="E9318" t="s">
        <v>17060</v>
      </c>
      <c r="F9318" t="s">
        <v>27326</v>
      </c>
    </row>
    <row r="9319" spans="1:12">
      <c r="A9319" t="s">
        <v>27039</v>
      </c>
      <c r="B9319" t="s">
        <v>27040</v>
      </c>
      <c r="C9319" t="s">
        <v>27327</v>
      </c>
      <c r="D9319" t="s">
        <v>27042</v>
      </c>
      <c r="E9319" t="s">
        <v>17068</v>
      </c>
      <c r="F9319" t="s">
        <v>27328</v>
      </c>
    </row>
    <row r="9320" spans="1:12">
      <c r="A9320" t="s">
        <v>27039</v>
      </c>
      <c r="B9320" t="s">
        <v>27040</v>
      </c>
      <c r="C9320" t="s">
        <v>27329</v>
      </c>
      <c r="D9320" t="s">
        <v>27042</v>
      </c>
      <c r="E9320" t="s">
        <v>27330</v>
      </c>
      <c r="F9320" t="s">
        <v>27331</v>
      </c>
    </row>
    <row r="9321" spans="1:12">
      <c r="A9321" t="s">
        <v>27039</v>
      </c>
      <c r="B9321" t="s">
        <v>27040</v>
      </c>
      <c r="C9321" t="s">
        <v>27332</v>
      </c>
      <c r="D9321" t="s">
        <v>27042</v>
      </c>
      <c r="E9321" t="s">
        <v>17242</v>
      </c>
      <c r="F9321" t="s">
        <v>27333</v>
      </c>
    </row>
    <row r="9322" spans="1:12">
      <c r="A9322" t="s">
        <v>27039</v>
      </c>
      <c r="B9322" t="s">
        <v>27040</v>
      </c>
      <c r="C9322" t="s">
        <v>27334</v>
      </c>
      <c r="D9322" t="s">
        <v>27042</v>
      </c>
      <c r="E9322" t="s">
        <v>27335</v>
      </c>
      <c r="F9322" t="s">
        <v>27336</v>
      </c>
    </row>
    <row r="9323" spans="1:12">
      <c r="A9323" t="s">
        <v>27039</v>
      </c>
      <c r="B9323" t="s">
        <v>27040</v>
      </c>
      <c r="C9323" t="s">
        <v>27337</v>
      </c>
      <c r="D9323" t="s">
        <v>27042</v>
      </c>
      <c r="E9323" t="s">
        <v>11910</v>
      </c>
      <c r="F9323" t="s">
        <v>27338</v>
      </c>
    </row>
    <row r="9324" spans="1:12">
      <c r="A9324" t="s">
        <v>27039</v>
      </c>
      <c r="B9324" t="s">
        <v>27040</v>
      </c>
      <c r="C9324" t="s">
        <v>27339</v>
      </c>
      <c r="D9324" t="s">
        <v>27042</v>
      </c>
      <c r="E9324" t="s">
        <v>9179</v>
      </c>
      <c r="F9324" t="s">
        <v>27340</v>
      </c>
    </row>
    <row r="9325" spans="1:12">
      <c r="A9325" t="s">
        <v>27039</v>
      </c>
      <c r="B9325" t="s">
        <v>27040</v>
      </c>
      <c r="C9325" t="s">
        <v>27341</v>
      </c>
      <c r="D9325" t="s">
        <v>27042</v>
      </c>
      <c r="E9325" t="s">
        <v>27342</v>
      </c>
      <c r="F9325" t="s">
        <v>27343</v>
      </c>
      <c r="J9325" t="s">
        <v>27342</v>
      </c>
      <c r="K9325" t="s">
        <v>27044</v>
      </c>
      <c r="L9325" t="s">
        <v>3638</v>
      </c>
    </row>
    <row r="9326" spans="1:12">
      <c r="A9326" t="s">
        <v>27039</v>
      </c>
      <c r="B9326" t="s">
        <v>27040</v>
      </c>
      <c r="C9326" t="s">
        <v>27344</v>
      </c>
      <c r="D9326" t="s">
        <v>27042</v>
      </c>
      <c r="E9326" t="s">
        <v>27345</v>
      </c>
      <c r="F9326" t="s">
        <v>27346</v>
      </c>
      <c r="J9326" t="s">
        <v>27345</v>
      </c>
      <c r="K9326" t="s">
        <v>27044</v>
      </c>
      <c r="L9326" t="s">
        <v>3638</v>
      </c>
    </row>
    <row r="9327" spans="1:12">
      <c r="A9327" t="s">
        <v>27039</v>
      </c>
      <c r="B9327" t="s">
        <v>27040</v>
      </c>
      <c r="C9327" t="s">
        <v>27347</v>
      </c>
      <c r="D9327" t="s">
        <v>27042</v>
      </c>
      <c r="E9327" t="s">
        <v>26053</v>
      </c>
      <c r="F9327" t="s">
        <v>27348</v>
      </c>
      <c r="J9327" t="s">
        <v>26053</v>
      </c>
      <c r="K9327" t="s">
        <v>27044</v>
      </c>
      <c r="L9327" t="s">
        <v>3638</v>
      </c>
    </row>
    <row r="9328" spans="1:12">
      <c r="A9328" t="s">
        <v>27039</v>
      </c>
      <c r="B9328" t="s">
        <v>27040</v>
      </c>
      <c r="C9328" t="s">
        <v>27349</v>
      </c>
      <c r="D9328" t="s">
        <v>27042</v>
      </c>
      <c r="E9328" t="s">
        <v>27350</v>
      </c>
      <c r="F9328" t="s">
        <v>27351</v>
      </c>
      <c r="J9328" t="s">
        <v>27350</v>
      </c>
      <c r="K9328" t="s">
        <v>27044</v>
      </c>
      <c r="L9328" t="s">
        <v>3638</v>
      </c>
    </row>
    <row r="9329" spans="1:12">
      <c r="A9329" t="s">
        <v>27039</v>
      </c>
      <c r="B9329" t="s">
        <v>27040</v>
      </c>
      <c r="C9329" t="s">
        <v>27352</v>
      </c>
      <c r="D9329" t="s">
        <v>27042</v>
      </c>
      <c r="E9329" t="s">
        <v>17651</v>
      </c>
      <c r="F9329" t="s">
        <v>27353</v>
      </c>
    </row>
    <row r="9330" spans="1:12">
      <c r="A9330" t="s">
        <v>27039</v>
      </c>
      <c r="B9330" t="s">
        <v>27040</v>
      </c>
      <c r="C9330" t="s">
        <v>27354</v>
      </c>
      <c r="D9330" t="s">
        <v>27042</v>
      </c>
      <c r="E9330" t="s">
        <v>27355</v>
      </c>
      <c r="F9330" t="s">
        <v>27356</v>
      </c>
    </row>
    <row r="9331" spans="1:12">
      <c r="A9331" t="s">
        <v>27039</v>
      </c>
      <c r="B9331" t="s">
        <v>27040</v>
      </c>
      <c r="C9331" t="s">
        <v>27357</v>
      </c>
      <c r="D9331" t="s">
        <v>27042</v>
      </c>
      <c r="E9331" t="s">
        <v>27358</v>
      </c>
      <c r="F9331" t="s">
        <v>27359</v>
      </c>
    </row>
    <row r="9332" spans="1:12">
      <c r="A9332" t="s">
        <v>27039</v>
      </c>
      <c r="B9332" t="s">
        <v>27040</v>
      </c>
      <c r="C9332" t="s">
        <v>27360</v>
      </c>
      <c r="D9332" t="s">
        <v>27042</v>
      </c>
      <c r="E9332" t="s">
        <v>7289</v>
      </c>
      <c r="F9332" t="s">
        <v>27361</v>
      </c>
    </row>
    <row r="9333" spans="1:12">
      <c r="A9333" t="s">
        <v>27039</v>
      </c>
      <c r="B9333" t="s">
        <v>27040</v>
      </c>
      <c r="C9333" t="s">
        <v>27362</v>
      </c>
      <c r="D9333" t="s">
        <v>27042</v>
      </c>
      <c r="E9333" t="s">
        <v>27363</v>
      </c>
      <c r="F9333" t="s">
        <v>27364</v>
      </c>
      <c r="J9333" t="s">
        <v>27363</v>
      </c>
      <c r="K9333" t="s">
        <v>27044</v>
      </c>
      <c r="L9333" t="s">
        <v>3638</v>
      </c>
    </row>
    <row r="9334" spans="1:12">
      <c r="A9334" t="s">
        <v>27039</v>
      </c>
      <c r="B9334" t="s">
        <v>27040</v>
      </c>
      <c r="C9334" t="s">
        <v>27365</v>
      </c>
      <c r="D9334" t="s">
        <v>27042</v>
      </c>
      <c r="E9334" t="s">
        <v>27366</v>
      </c>
      <c r="F9334" t="s">
        <v>27367</v>
      </c>
    </row>
    <row r="9335" spans="1:12">
      <c r="A9335" t="s">
        <v>27039</v>
      </c>
      <c r="B9335" t="s">
        <v>27040</v>
      </c>
      <c r="C9335" t="s">
        <v>27368</v>
      </c>
      <c r="D9335" t="s">
        <v>27042</v>
      </c>
      <c r="E9335" t="s">
        <v>3486</v>
      </c>
      <c r="F9335" t="s">
        <v>27369</v>
      </c>
    </row>
    <row r="9336" spans="1:12">
      <c r="A9336" t="s">
        <v>27039</v>
      </c>
      <c r="B9336" t="s">
        <v>27040</v>
      </c>
      <c r="C9336" t="s">
        <v>27370</v>
      </c>
      <c r="D9336" t="s">
        <v>27042</v>
      </c>
      <c r="E9336" t="s">
        <v>9266</v>
      </c>
      <c r="F9336" t="s">
        <v>27371</v>
      </c>
    </row>
    <row r="9337" spans="1:12">
      <c r="A9337" t="s">
        <v>27039</v>
      </c>
      <c r="B9337" t="s">
        <v>27040</v>
      </c>
      <c r="C9337" t="s">
        <v>27372</v>
      </c>
      <c r="D9337" t="s">
        <v>27042</v>
      </c>
      <c r="E9337" t="s">
        <v>13497</v>
      </c>
      <c r="F9337" t="s">
        <v>27373</v>
      </c>
    </row>
    <row r="9338" spans="1:12">
      <c r="A9338" t="s">
        <v>27039</v>
      </c>
      <c r="B9338" t="s">
        <v>27040</v>
      </c>
      <c r="C9338" t="s">
        <v>27374</v>
      </c>
      <c r="D9338" t="s">
        <v>27042</v>
      </c>
      <c r="E9338" t="s">
        <v>18051</v>
      </c>
      <c r="F9338" t="s">
        <v>27375</v>
      </c>
    </row>
    <row r="9339" spans="1:12">
      <c r="A9339" t="s">
        <v>27039</v>
      </c>
      <c r="B9339" t="s">
        <v>27040</v>
      </c>
      <c r="C9339" t="s">
        <v>27376</v>
      </c>
      <c r="D9339" t="s">
        <v>27042</v>
      </c>
      <c r="E9339" t="s">
        <v>6441</v>
      </c>
      <c r="F9339" t="s">
        <v>27377</v>
      </c>
    </row>
    <row r="9340" spans="1:12">
      <c r="A9340" t="s">
        <v>27039</v>
      </c>
      <c r="B9340" t="s">
        <v>27040</v>
      </c>
      <c r="C9340" t="s">
        <v>27378</v>
      </c>
      <c r="D9340" t="s">
        <v>27042</v>
      </c>
      <c r="E9340" t="s">
        <v>27379</v>
      </c>
      <c r="F9340" t="s">
        <v>27380</v>
      </c>
    </row>
    <row r="9341" spans="1:12">
      <c r="A9341" t="s">
        <v>27039</v>
      </c>
      <c r="B9341" t="s">
        <v>27040</v>
      </c>
      <c r="C9341" t="s">
        <v>27381</v>
      </c>
      <c r="D9341" t="s">
        <v>27042</v>
      </c>
      <c r="E9341" t="s">
        <v>18086</v>
      </c>
      <c r="F9341" t="s">
        <v>27382</v>
      </c>
    </row>
    <row r="9342" spans="1:12">
      <c r="A9342" t="s">
        <v>27039</v>
      </c>
      <c r="B9342" t="s">
        <v>27040</v>
      </c>
      <c r="C9342" t="s">
        <v>27383</v>
      </c>
      <c r="D9342" t="s">
        <v>27042</v>
      </c>
      <c r="E9342" t="s">
        <v>26555</v>
      </c>
      <c r="F9342" t="s">
        <v>27384</v>
      </c>
      <c r="J9342" t="s">
        <v>26555</v>
      </c>
      <c r="K9342" t="s">
        <v>27044</v>
      </c>
      <c r="L9342" t="s">
        <v>3638</v>
      </c>
    </row>
    <row r="9343" spans="1:12">
      <c r="A9343" t="s">
        <v>27039</v>
      </c>
      <c r="B9343" t="s">
        <v>27040</v>
      </c>
      <c r="C9343" t="s">
        <v>27385</v>
      </c>
      <c r="D9343" t="s">
        <v>27042</v>
      </c>
      <c r="E9343" t="s">
        <v>3492</v>
      </c>
      <c r="F9343" t="s">
        <v>27386</v>
      </c>
    </row>
    <row r="9344" spans="1:12">
      <c r="A9344" t="s">
        <v>27039</v>
      </c>
      <c r="B9344" t="s">
        <v>27040</v>
      </c>
      <c r="C9344" t="s">
        <v>27387</v>
      </c>
      <c r="D9344" t="s">
        <v>27042</v>
      </c>
      <c r="E9344" t="s">
        <v>11338</v>
      </c>
      <c r="F9344" t="s">
        <v>27388</v>
      </c>
    </row>
    <row r="9345" spans="1:12">
      <c r="A9345" t="s">
        <v>27039</v>
      </c>
      <c r="B9345" t="s">
        <v>27040</v>
      </c>
      <c r="C9345" t="s">
        <v>27389</v>
      </c>
      <c r="D9345" t="s">
        <v>27042</v>
      </c>
      <c r="E9345" t="s">
        <v>2320</v>
      </c>
      <c r="F9345" t="s">
        <v>27390</v>
      </c>
    </row>
    <row r="9346" spans="1:12">
      <c r="A9346" t="s">
        <v>27039</v>
      </c>
      <c r="B9346" t="s">
        <v>27040</v>
      </c>
      <c r="C9346" t="s">
        <v>27391</v>
      </c>
      <c r="D9346" t="s">
        <v>27042</v>
      </c>
      <c r="E9346" t="s">
        <v>9340</v>
      </c>
      <c r="F9346" t="s">
        <v>27392</v>
      </c>
    </row>
    <row r="9347" spans="1:12">
      <c r="A9347" t="s">
        <v>27039</v>
      </c>
      <c r="B9347" t="s">
        <v>27040</v>
      </c>
      <c r="C9347" t="s">
        <v>27393</v>
      </c>
      <c r="D9347" t="s">
        <v>27042</v>
      </c>
      <c r="E9347" t="s">
        <v>9346</v>
      </c>
      <c r="F9347" t="s">
        <v>27394</v>
      </c>
    </row>
    <row r="9348" spans="1:12">
      <c r="A9348" t="s">
        <v>27039</v>
      </c>
      <c r="B9348" t="s">
        <v>27040</v>
      </c>
      <c r="C9348" t="s">
        <v>27395</v>
      </c>
      <c r="D9348" t="s">
        <v>27042</v>
      </c>
      <c r="E9348" t="s">
        <v>9349</v>
      </c>
      <c r="F9348" t="s">
        <v>27396</v>
      </c>
    </row>
    <row r="9349" spans="1:12">
      <c r="A9349" t="s">
        <v>27039</v>
      </c>
      <c r="B9349" t="s">
        <v>27040</v>
      </c>
      <c r="C9349" t="s">
        <v>27397</v>
      </c>
      <c r="D9349" t="s">
        <v>27042</v>
      </c>
      <c r="E9349" t="s">
        <v>22816</v>
      </c>
      <c r="F9349" t="s">
        <v>27398</v>
      </c>
      <c r="J9349" t="s">
        <v>22816</v>
      </c>
      <c r="K9349" t="s">
        <v>27044</v>
      </c>
      <c r="L9349" t="s">
        <v>3638</v>
      </c>
    </row>
    <row r="9350" spans="1:12">
      <c r="A9350" t="s">
        <v>27039</v>
      </c>
      <c r="B9350" t="s">
        <v>27040</v>
      </c>
      <c r="C9350" t="s">
        <v>27399</v>
      </c>
      <c r="D9350" t="s">
        <v>27042</v>
      </c>
      <c r="E9350" t="s">
        <v>27400</v>
      </c>
      <c r="F9350" t="s">
        <v>27401</v>
      </c>
    </row>
    <row r="9351" spans="1:12">
      <c r="A9351" t="s">
        <v>27039</v>
      </c>
      <c r="B9351" t="s">
        <v>27040</v>
      </c>
      <c r="C9351" t="s">
        <v>27402</v>
      </c>
      <c r="D9351" t="s">
        <v>27042</v>
      </c>
      <c r="E9351" t="s">
        <v>27403</v>
      </c>
      <c r="F9351" t="s">
        <v>27404</v>
      </c>
    </row>
    <row r="9352" spans="1:12">
      <c r="A9352" t="s">
        <v>27039</v>
      </c>
      <c r="B9352" t="s">
        <v>27040</v>
      </c>
      <c r="C9352" t="s">
        <v>27405</v>
      </c>
      <c r="D9352" t="s">
        <v>27042</v>
      </c>
      <c r="E9352" t="s">
        <v>3357</v>
      </c>
      <c r="F9352" t="s">
        <v>27406</v>
      </c>
    </row>
    <row r="9353" spans="1:12">
      <c r="A9353" t="s">
        <v>27039</v>
      </c>
      <c r="B9353" t="s">
        <v>27040</v>
      </c>
      <c r="C9353" t="s">
        <v>27407</v>
      </c>
      <c r="D9353" t="s">
        <v>27042</v>
      </c>
      <c r="E9353" t="s">
        <v>12716</v>
      </c>
      <c r="F9353" t="s">
        <v>27408</v>
      </c>
      <c r="J9353" t="s">
        <v>12716</v>
      </c>
      <c r="K9353" t="s">
        <v>27044</v>
      </c>
      <c r="L9353" t="s">
        <v>3638</v>
      </c>
    </row>
    <row r="9354" spans="1:12">
      <c r="A9354" t="s">
        <v>27039</v>
      </c>
      <c r="B9354" t="s">
        <v>27040</v>
      </c>
      <c r="C9354" t="s">
        <v>27409</v>
      </c>
      <c r="D9354" t="s">
        <v>27042</v>
      </c>
      <c r="E9354" t="s">
        <v>27410</v>
      </c>
      <c r="F9354" t="s">
        <v>27411</v>
      </c>
    </row>
    <row r="9355" spans="1:12">
      <c r="A9355" t="s">
        <v>27039</v>
      </c>
      <c r="B9355" t="s">
        <v>27040</v>
      </c>
      <c r="C9355" t="s">
        <v>27412</v>
      </c>
      <c r="D9355" t="s">
        <v>27042</v>
      </c>
      <c r="E9355" t="s">
        <v>2350</v>
      </c>
      <c r="F9355" t="s">
        <v>27413</v>
      </c>
    </row>
    <row r="9356" spans="1:12">
      <c r="A9356" t="s">
        <v>27039</v>
      </c>
      <c r="B9356" t="s">
        <v>27040</v>
      </c>
      <c r="C9356" t="s">
        <v>27414</v>
      </c>
      <c r="D9356" t="s">
        <v>27042</v>
      </c>
      <c r="E9356" t="s">
        <v>9407</v>
      </c>
      <c r="F9356" t="s">
        <v>27415</v>
      </c>
    </row>
    <row r="9357" spans="1:12">
      <c r="A9357" t="s">
        <v>27039</v>
      </c>
      <c r="B9357" t="s">
        <v>27040</v>
      </c>
      <c r="C9357" t="s">
        <v>27416</v>
      </c>
      <c r="D9357" t="s">
        <v>27042</v>
      </c>
      <c r="E9357" t="s">
        <v>9410</v>
      </c>
      <c r="F9357" t="s">
        <v>27417</v>
      </c>
    </row>
    <row r="9358" spans="1:12">
      <c r="A9358" t="s">
        <v>27039</v>
      </c>
      <c r="B9358" t="s">
        <v>27040</v>
      </c>
      <c r="C9358" t="s">
        <v>27418</v>
      </c>
      <c r="D9358" t="s">
        <v>27042</v>
      </c>
      <c r="E9358" t="s">
        <v>27419</v>
      </c>
      <c r="F9358" t="s">
        <v>27420</v>
      </c>
    </row>
    <row r="9359" spans="1:12">
      <c r="A9359" t="s">
        <v>27039</v>
      </c>
      <c r="B9359" t="s">
        <v>27040</v>
      </c>
      <c r="C9359" t="s">
        <v>27421</v>
      </c>
      <c r="D9359" t="s">
        <v>27042</v>
      </c>
      <c r="E9359" t="s">
        <v>2368</v>
      </c>
      <c r="F9359" t="s">
        <v>27422</v>
      </c>
    </row>
    <row r="9360" spans="1:12">
      <c r="A9360" t="s">
        <v>27039</v>
      </c>
      <c r="B9360" t="s">
        <v>27040</v>
      </c>
      <c r="C9360" t="s">
        <v>27423</v>
      </c>
      <c r="D9360" t="s">
        <v>27042</v>
      </c>
      <c r="E9360" t="s">
        <v>3495</v>
      </c>
      <c r="F9360" t="s">
        <v>27424</v>
      </c>
    </row>
    <row r="9361" spans="1:12">
      <c r="A9361" t="s">
        <v>27039</v>
      </c>
      <c r="B9361" t="s">
        <v>27040</v>
      </c>
      <c r="C9361" t="s">
        <v>27425</v>
      </c>
      <c r="D9361" t="s">
        <v>27042</v>
      </c>
      <c r="E9361" t="s">
        <v>10647</v>
      </c>
      <c r="F9361" t="s">
        <v>27426</v>
      </c>
    </row>
    <row r="9362" spans="1:12">
      <c r="A9362" t="s">
        <v>27039</v>
      </c>
      <c r="B9362" t="s">
        <v>27040</v>
      </c>
      <c r="C9362" t="s">
        <v>27427</v>
      </c>
      <c r="D9362" t="s">
        <v>27042</v>
      </c>
      <c r="E9362" t="s">
        <v>11691</v>
      </c>
      <c r="F9362" t="s">
        <v>27428</v>
      </c>
    </row>
    <row r="9363" spans="1:12">
      <c r="A9363" t="s">
        <v>27039</v>
      </c>
      <c r="B9363" t="s">
        <v>27040</v>
      </c>
      <c r="C9363" t="s">
        <v>27429</v>
      </c>
      <c r="D9363" t="s">
        <v>27042</v>
      </c>
      <c r="E9363" t="s">
        <v>8062</v>
      </c>
      <c r="F9363" t="s">
        <v>27430</v>
      </c>
    </row>
    <row r="9364" spans="1:12">
      <c r="A9364" t="s">
        <v>27039</v>
      </c>
      <c r="B9364" t="s">
        <v>27040</v>
      </c>
      <c r="C9364" t="s">
        <v>27431</v>
      </c>
      <c r="D9364" t="s">
        <v>27042</v>
      </c>
      <c r="E9364" t="s">
        <v>27432</v>
      </c>
      <c r="F9364" t="s">
        <v>27433</v>
      </c>
    </row>
    <row r="9365" spans="1:12">
      <c r="A9365" t="s">
        <v>27039</v>
      </c>
      <c r="B9365" t="s">
        <v>27040</v>
      </c>
      <c r="C9365" t="s">
        <v>27434</v>
      </c>
      <c r="D9365" t="s">
        <v>27042</v>
      </c>
      <c r="E9365" t="s">
        <v>27435</v>
      </c>
      <c r="F9365" t="s">
        <v>27436</v>
      </c>
    </row>
    <row r="9366" spans="1:12">
      <c r="A9366" t="s">
        <v>27039</v>
      </c>
      <c r="B9366" t="s">
        <v>27040</v>
      </c>
      <c r="C9366" t="s">
        <v>27437</v>
      </c>
      <c r="D9366" t="s">
        <v>27042</v>
      </c>
      <c r="E9366" t="s">
        <v>6722</v>
      </c>
      <c r="F9366" t="s">
        <v>27438</v>
      </c>
    </row>
    <row r="9367" spans="1:12">
      <c r="A9367" t="s">
        <v>27039</v>
      </c>
      <c r="B9367" t="s">
        <v>27040</v>
      </c>
      <c r="C9367" t="s">
        <v>27439</v>
      </c>
      <c r="D9367" t="s">
        <v>27042</v>
      </c>
      <c r="E9367" t="s">
        <v>3643</v>
      </c>
      <c r="F9367" t="s">
        <v>27440</v>
      </c>
    </row>
    <row r="9368" spans="1:12">
      <c r="A9368" t="s">
        <v>27039</v>
      </c>
      <c r="B9368" t="s">
        <v>27040</v>
      </c>
      <c r="C9368" t="s">
        <v>27441</v>
      </c>
      <c r="D9368" t="s">
        <v>27042</v>
      </c>
      <c r="E9368" t="s">
        <v>27442</v>
      </c>
      <c r="F9368" t="s">
        <v>27443</v>
      </c>
      <c r="J9368" t="s">
        <v>27442</v>
      </c>
      <c r="K9368" t="s">
        <v>27044</v>
      </c>
      <c r="L9368" t="s">
        <v>3638</v>
      </c>
    </row>
    <row r="9369" spans="1:12">
      <c r="A9369" t="s">
        <v>27039</v>
      </c>
      <c r="B9369" t="s">
        <v>27040</v>
      </c>
      <c r="C9369" t="s">
        <v>27444</v>
      </c>
      <c r="D9369" t="s">
        <v>27042</v>
      </c>
      <c r="E9369" t="s">
        <v>4145</v>
      </c>
      <c r="F9369" t="s">
        <v>27445</v>
      </c>
    </row>
    <row r="9370" spans="1:12">
      <c r="A9370" t="s">
        <v>27039</v>
      </c>
      <c r="B9370" t="s">
        <v>27040</v>
      </c>
      <c r="C9370" t="s">
        <v>27446</v>
      </c>
      <c r="D9370" t="s">
        <v>27042</v>
      </c>
      <c r="E9370" t="s">
        <v>27447</v>
      </c>
      <c r="F9370" t="s">
        <v>27448</v>
      </c>
    </row>
    <row r="9371" spans="1:12">
      <c r="A9371" t="s">
        <v>27039</v>
      </c>
      <c r="B9371" t="s">
        <v>27040</v>
      </c>
      <c r="C9371" t="s">
        <v>27449</v>
      </c>
      <c r="D9371" t="s">
        <v>27042</v>
      </c>
      <c r="E9371" t="s">
        <v>10993</v>
      </c>
      <c r="F9371" t="s">
        <v>27450</v>
      </c>
    </row>
    <row r="9372" spans="1:12">
      <c r="A9372" t="s">
        <v>27039</v>
      </c>
      <c r="B9372" t="s">
        <v>27040</v>
      </c>
      <c r="C9372" t="s">
        <v>27451</v>
      </c>
      <c r="D9372" t="s">
        <v>27042</v>
      </c>
      <c r="E9372" t="s">
        <v>9463</v>
      </c>
      <c r="F9372" t="s">
        <v>27452</v>
      </c>
    </row>
    <row r="9373" spans="1:12">
      <c r="A9373" t="s">
        <v>27039</v>
      </c>
      <c r="B9373" t="s">
        <v>27040</v>
      </c>
      <c r="C9373" t="s">
        <v>27453</v>
      </c>
      <c r="D9373" t="s">
        <v>27042</v>
      </c>
      <c r="E9373" t="s">
        <v>14366</v>
      </c>
      <c r="F9373" t="s">
        <v>27454</v>
      </c>
    </row>
    <row r="9374" spans="1:12">
      <c r="A9374" t="s">
        <v>27039</v>
      </c>
      <c r="B9374" t="s">
        <v>27040</v>
      </c>
      <c r="C9374" t="s">
        <v>27455</v>
      </c>
      <c r="D9374" t="s">
        <v>27042</v>
      </c>
      <c r="E9374" t="s">
        <v>27456</v>
      </c>
      <c r="F9374" t="s">
        <v>27457</v>
      </c>
      <c r="J9374" t="s">
        <v>27456</v>
      </c>
      <c r="K9374" t="s">
        <v>27044</v>
      </c>
      <c r="L9374" t="s">
        <v>3638</v>
      </c>
    </row>
    <row r="9375" spans="1:12">
      <c r="A9375" t="s">
        <v>27039</v>
      </c>
      <c r="B9375" t="s">
        <v>27040</v>
      </c>
      <c r="C9375" t="s">
        <v>27458</v>
      </c>
      <c r="D9375" t="s">
        <v>27042</v>
      </c>
      <c r="E9375" t="s">
        <v>18804</v>
      </c>
      <c r="F9375" t="s">
        <v>27459</v>
      </c>
      <c r="J9375" t="s">
        <v>18804</v>
      </c>
      <c r="K9375" t="s">
        <v>27044</v>
      </c>
      <c r="L9375" t="s">
        <v>3638</v>
      </c>
    </row>
    <row r="9376" spans="1:12">
      <c r="A9376" t="s">
        <v>27039</v>
      </c>
      <c r="B9376" t="s">
        <v>27040</v>
      </c>
      <c r="C9376" t="s">
        <v>27460</v>
      </c>
      <c r="D9376" t="s">
        <v>27042</v>
      </c>
      <c r="E9376" t="s">
        <v>12779</v>
      </c>
      <c r="F9376" t="s">
        <v>27461</v>
      </c>
    </row>
    <row r="9377" spans="1:12">
      <c r="A9377" t="s">
        <v>27039</v>
      </c>
      <c r="B9377" t="s">
        <v>27040</v>
      </c>
      <c r="C9377" t="s">
        <v>27462</v>
      </c>
      <c r="D9377" t="s">
        <v>27042</v>
      </c>
      <c r="E9377" t="s">
        <v>7904</v>
      </c>
      <c r="F9377" t="s">
        <v>27463</v>
      </c>
    </row>
    <row r="9378" spans="1:12">
      <c r="A9378" t="s">
        <v>27039</v>
      </c>
      <c r="B9378" t="s">
        <v>27040</v>
      </c>
      <c r="C9378" t="s">
        <v>27464</v>
      </c>
      <c r="D9378" t="s">
        <v>27042</v>
      </c>
      <c r="E9378" t="s">
        <v>27465</v>
      </c>
      <c r="F9378" t="s">
        <v>27466</v>
      </c>
    </row>
    <row r="9379" spans="1:12">
      <c r="A9379" t="s">
        <v>27039</v>
      </c>
      <c r="B9379" t="s">
        <v>27040</v>
      </c>
      <c r="C9379" t="s">
        <v>27467</v>
      </c>
      <c r="D9379" t="s">
        <v>27042</v>
      </c>
      <c r="E9379" t="s">
        <v>27468</v>
      </c>
      <c r="F9379" t="s">
        <v>27469</v>
      </c>
    </row>
    <row r="9380" spans="1:12">
      <c r="A9380" t="s">
        <v>27039</v>
      </c>
      <c r="B9380" t="s">
        <v>27040</v>
      </c>
      <c r="C9380" t="s">
        <v>27470</v>
      </c>
      <c r="D9380" t="s">
        <v>27042</v>
      </c>
      <c r="E9380" t="s">
        <v>18838</v>
      </c>
      <c r="F9380" t="s">
        <v>27471</v>
      </c>
    </row>
    <row r="9381" spans="1:12">
      <c r="A9381" t="s">
        <v>27039</v>
      </c>
      <c r="B9381" t="s">
        <v>27040</v>
      </c>
      <c r="C9381" t="s">
        <v>27472</v>
      </c>
      <c r="D9381" t="s">
        <v>27042</v>
      </c>
      <c r="E9381" t="s">
        <v>2448</v>
      </c>
      <c r="F9381" t="s">
        <v>27473</v>
      </c>
    </row>
    <row r="9382" spans="1:12">
      <c r="A9382" t="s">
        <v>27039</v>
      </c>
      <c r="B9382" t="s">
        <v>27040</v>
      </c>
      <c r="C9382" t="s">
        <v>27474</v>
      </c>
      <c r="D9382" t="s">
        <v>27042</v>
      </c>
      <c r="E9382" t="s">
        <v>26681</v>
      </c>
      <c r="F9382" t="s">
        <v>27475</v>
      </c>
    </row>
    <row r="9383" spans="1:12">
      <c r="A9383" t="s">
        <v>27039</v>
      </c>
      <c r="B9383" t="s">
        <v>27040</v>
      </c>
      <c r="C9383" t="s">
        <v>27476</v>
      </c>
      <c r="D9383" t="s">
        <v>27042</v>
      </c>
      <c r="E9383" t="s">
        <v>27477</v>
      </c>
      <c r="F9383" t="s">
        <v>27478</v>
      </c>
    </row>
    <row r="9384" spans="1:12">
      <c r="A9384" t="s">
        <v>27039</v>
      </c>
      <c r="B9384" t="s">
        <v>27040</v>
      </c>
      <c r="C9384" t="s">
        <v>27479</v>
      </c>
      <c r="D9384" t="s">
        <v>27042</v>
      </c>
      <c r="E9384" t="s">
        <v>27480</v>
      </c>
      <c r="F9384" t="s">
        <v>27481</v>
      </c>
    </row>
    <row r="9385" spans="1:12">
      <c r="A9385" t="s">
        <v>27039</v>
      </c>
      <c r="B9385" t="s">
        <v>27040</v>
      </c>
      <c r="C9385" t="s">
        <v>27482</v>
      </c>
      <c r="D9385" t="s">
        <v>27042</v>
      </c>
      <c r="E9385" t="s">
        <v>9516</v>
      </c>
      <c r="F9385" t="s">
        <v>27483</v>
      </c>
    </row>
    <row r="9386" spans="1:12">
      <c r="A9386" t="s">
        <v>27039</v>
      </c>
      <c r="B9386" t="s">
        <v>27040</v>
      </c>
      <c r="C9386" t="s">
        <v>27484</v>
      </c>
      <c r="D9386" t="s">
        <v>27042</v>
      </c>
      <c r="E9386" t="s">
        <v>27485</v>
      </c>
      <c r="F9386" t="s">
        <v>27486</v>
      </c>
    </row>
    <row r="9387" spans="1:12">
      <c r="A9387" t="s">
        <v>27039</v>
      </c>
      <c r="B9387" t="s">
        <v>27040</v>
      </c>
      <c r="C9387" t="s">
        <v>27487</v>
      </c>
      <c r="D9387" t="s">
        <v>27042</v>
      </c>
      <c r="E9387" t="s">
        <v>27488</v>
      </c>
      <c r="F9387" t="s">
        <v>27489</v>
      </c>
    </row>
    <row r="9388" spans="1:12">
      <c r="A9388" t="s">
        <v>27039</v>
      </c>
      <c r="B9388" t="s">
        <v>27040</v>
      </c>
      <c r="C9388" t="s">
        <v>27490</v>
      </c>
      <c r="D9388" t="s">
        <v>27042</v>
      </c>
      <c r="E9388" t="s">
        <v>27491</v>
      </c>
      <c r="F9388" t="s">
        <v>27492</v>
      </c>
    </row>
    <row r="9389" spans="1:12">
      <c r="A9389" t="s">
        <v>27039</v>
      </c>
      <c r="B9389" t="s">
        <v>27040</v>
      </c>
      <c r="C9389" t="s">
        <v>27493</v>
      </c>
      <c r="D9389" t="s">
        <v>27042</v>
      </c>
      <c r="E9389" t="s">
        <v>27494</v>
      </c>
      <c r="F9389" t="s">
        <v>27495</v>
      </c>
      <c r="J9389" t="s">
        <v>27494</v>
      </c>
      <c r="K9389" t="s">
        <v>27044</v>
      </c>
      <c r="L9389" t="s">
        <v>3638</v>
      </c>
    </row>
    <row r="9390" spans="1:12">
      <c r="A9390" t="s">
        <v>27039</v>
      </c>
      <c r="B9390" t="s">
        <v>27040</v>
      </c>
      <c r="C9390" t="s">
        <v>27496</v>
      </c>
      <c r="D9390" t="s">
        <v>27042</v>
      </c>
      <c r="E9390" t="s">
        <v>27497</v>
      </c>
      <c r="F9390" t="s">
        <v>27498</v>
      </c>
    </row>
    <row r="9391" spans="1:12">
      <c r="A9391" t="s">
        <v>27039</v>
      </c>
      <c r="B9391" t="s">
        <v>27040</v>
      </c>
      <c r="C9391" t="s">
        <v>27499</v>
      </c>
      <c r="D9391" t="s">
        <v>27042</v>
      </c>
      <c r="E9391" t="s">
        <v>27500</v>
      </c>
      <c r="F9391" t="s">
        <v>27501</v>
      </c>
      <c r="J9391" t="s">
        <v>27500</v>
      </c>
      <c r="K9391" t="s">
        <v>27044</v>
      </c>
      <c r="L9391" t="s">
        <v>3638</v>
      </c>
    </row>
    <row r="9392" spans="1:12">
      <c r="A9392" t="s">
        <v>27039</v>
      </c>
      <c r="B9392" t="s">
        <v>27040</v>
      </c>
      <c r="C9392" t="s">
        <v>27502</v>
      </c>
      <c r="D9392" t="s">
        <v>27042</v>
      </c>
      <c r="E9392" t="s">
        <v>18998</v>
      </c>
      <c r="F9392" t="s">
        <v>27503</v>
      </c>
    </row>
    <row r="9393" spans="1:12">
      <c r="A9393" t="s">
        <v>27039</v>
      </c>
      <c r="B9393" t="s">
        <v>27040</v>
      </c>
      <c r="C9393" t="s">
        <v>27504</v>
      </c>
      <c r="D9393" t="s">
        <v>27042</v>
      </c>
      <c r="E9393" t="s">
        <v>10395</v>
      </c>
      <c r="F9393" t="s">
        <v>27505</v>
      </c>
    </row>
    <row r="9394" spans="1:12">
      <c r="A9394" t="s">
        <v>27039</v>
      </c>
      <c r="B9394" t="s">
        <v>27040</v>
      </c>
      <c r="C9394" t="s">
        <v>27506</v>
      </c>
      <c r="D9394" t="s">
        <v>27042</v>
      </c>
      <c r="E9394" t="s">
        <v>19015</v>
      </c>
      <c r="F9394" t="s">
        <v>27507</v>
      </c>
    </row>
    <row r="9395" spans="1:12">
      <c r="A9395" t="s">
        <v>27039</v>
      </c>
      <c r="B9395" t="s">
        <v>27040</v>
      </c>
      <c r="C9395" t="s">
        <v>27508</v>
      </c>
      <c r="D9395" t="s">
        <v>27042</v>
      </c>
      <c r="E9395" t="s">
        <v>3305</v>
      </c>
      <c r="F9395" t="s">
        <v>27509</v>
      </c>
    </row>
    <row r="9396" spans="1:12">
      <c r="A9396" t="s">
        <v>27039</v>
      </c>
      <c r="B9396" t="s">
        <v>27040</v>
      </c>
      <c r="C9396" t="s">
        <v>27510</v>
      </c>
      <c r="D9396" t="s">
        <v>27042</v>
      </c>
      <c r="E9396" t="s">
        <v>9528</v>
      </c>
      <c r="F9396" t="s">
        <v>27511</v>
      </c>
    </row>
    <row r="9397" spans="1:12">
      <c r="A9397" t="s">
        <v>27039</v>
      </c>
      <c r="B9397" t="s">
        <v>27040</v>
      </c>
      <c r="C9397" t="s">
        <v>27512</v>
      </c>
      <c r="D9397" t="s">
        <v>27042</v>
      </c>
      <c r="E9397" t="s">
        <v>27513</v>
      </c>
      <c r="F9397" t="s">
        <v>27514</v>
      </c>
      <c r="J9397" t="s">
        <v>27513</v>
      </c>
      <c r="K9397" t="s">
        <v>27044</v>
      </c>
      <c r="L9397" t="s">
        <v>3638</v>
      </c>
    </row>
    <row r="9398" spans="1:12">
      <c r="A9398" t="s">
        <v>27039</v>
      </c>
      <c r="B9398" t="s">
        <v>27040</v>
      </c>
      <c r="C9398" t="s">
        <v>27515</v>
      </c>
      <c r="D9398" t="s">
        <v>27042</v>
      </c>
      <c r="E9398" t="s">
        <v>27516</v>
      </c>
      <c r="F9398" t="s">
        <v>27517</v>
      </c>
    </row>
    <row r="9399" spans="1:12">
      <c r="A9399" t="s">
        <v>27039</v>
      </c>
      <c r="B9399" t="s">
        <v>27040</v>
      </c>
      <c r="C9399" t="s">
        <v>27518</v>
      </c>
      <c r="D9399" t="s">
        <v>27042</v>
      </c>
      <c r="E9399" t="s">
        <v>27519</v>
      </c>
      <c r="F9399" t="s">
        <v>27520</v>
      </c>
    </row>
    <row r="9400" spans="1:12">
      <c r="A9400" t="s">
        <v>27039</v>
      </c>
      <c r="B9400" t="s">
        <v>27040</v>
      </c>
      <c r="C9400" t="s">
        <v>27521</v>
      </c>
      <c r="D9400" t="s">
        <v>27042</v>
      </c>
      <c r="E9400" t="s">
        <v>19124</v>
      </c>
      <c r="F9400" t="s">
        <v>27522</v>
      </c>
    </row>
    <row r="9401" spans="1:12">
      <c r="A9401" t="s">
        <v>27039</v>
      </c>
      <c r="B9401" t="s">
        <v>27040</v>
      </c>
      <c r="C9401" t="s">
        <v>27523</v>
      </c>
      <c r="D9401" t="s">
        <v>27042</v>
      </c>
      <c r="E9401" t="s">
        <v>27524</v>
      </c>
      <c r="F9401" t="s">
        <v>27525</v>
      </c>
    </row>
    <row r="9402" spans="1:12">
      <c r="A9402" t="s">
        <v>27039</v>
      </c>
      <c r="B9402" t="s">
        <v>27040</v>
      </c>
      <c r="C9402" t="s">
        <v>27526</v>
      </c>
      <c r="D9402" t="s">
        <v>27042</v>
      </c>
      <c r="E9402" t="s">
        <v>19133</v>
      </c>
      <c r="F9402" t="s">
        <v>27527</v>
      </c>
    </row>
    <row r="9403" spans="1:12">
      <c r="A9403" t="s">
        <v>27039</v>
      </c>
      <c r="B9403" t="s">
        <v>27040</v>
      </c>
      <c r="C9403" t="s">
        <v>27528</v>
      </c>
      <c r="D9403" t="s">
        <v>27042</v>
      </c>
      <c r="E9403" t="s">
        <v>9556</v>
      </c>
      <c r="F9403" t="s">
        <v>27529</v>
      </c>
    </row>
    <row r="9404" spans="1:12">
      <c r="A9404" t="s">
        <v>27039</v>
      </c>
      <c r="B9404" t="s">
        <v>27040</v>
      </c>
      <c r="C9404" t="s">
        <v>27530</v>
      </c>
      <c r="D9404" t="s">
        <v>27042</v>
      </c>
      <c r="E9404" t="s">
        <v>9559</v>
      </c>
      <c r="F9404" t="s">
        <v>27531</v>
      </c>
    </row>
    <row r="9405" spans="1:12">
      <c r="A9405" t="s">
        <v>27039</v>
      </c>
      <c r="B9405" t="s">
        <v>27040</v>
      </c>
      <c r="C9405" t="s">
        <v>27532</v>
      </c>
      <c r="D9405" t="s">
        <v>27042</v>
      </c>
      <c r="E9405" t="s">
        <v>27533</v>
      </c>
      <c r="F9405" t="s">
        <v>27534</v>
      </c>
    </row>
    <row r="9406" spans="1:12">
      <c r="A9406" t="s">
        <v>27039</v>
      </c>
      <c r="B9406" t="s">
        <v>27040</v>
      </c>
      <c r="C9406" t="s">
        <v>27535</v>
      </c>
      <c r="D9406" t="s">
        <v>27042</v>
      </c>
      <c r="E9406" t="s">
        <v>27536</v>
      </c>
      <c r="F9406" t="s">
        <v>27537</v>
      </c>
      <c r="J9406" t="s">
        <v>27536</v>
      </c>
      <c r="K9406" t="s">
        <v>27044</v>
      </c>
      <c r="L9406" t="s">
        <v>3638</v>
      </c>
    </row>
    <row r="9407" spans="1:12">
      <c r="A9407" t="s">
        <v>27039</v>
      </c>
      <c r="B9407" t="s">
        <v>27040</v>
      </c>
      <c r="C9407" t="s">
        <v>27538</v>
      </c>
      <c r="D9407" t="s">
        <v>27042</v>
      </c>
      <c r="E9407" t="s">
        <v>9562</v>
      </c>
      <c r="F9407" t="s">
        <v>27539</v>
      </c>
    </row>
    <row r="9408" spans="1:12">
      <c r="A9408" t="s">
        <v>27039</v>
      </c>
      <c r="B9408" t="s">
        <v>27040</v>
      </c>
      <c r="C9408" t="s">
        <v>27540</v>
      </c>
      <c r="D9408" t="s">
        <v>27042</v>
      </c>
      <c r="E9408" t="s">
        <v>27541</v>
      </c>
      <c r="F9408" t="s">
        <v>27542</v>
      </c>
    </row>
    <row r="9409" spans="1:12">
      <c r="A9409" t="s">
        <v>27039</v>
      </c>
      <c r="B9409" t="s">
        <v>27040</v>
      </c>
      <c r="C9409" t="s">
        <v>27543</v>
      </c>
      <c r="D9409" t="s">
        <v>27042</v>
      </c>
      <c r="E9409" t="s">
        <v>15850</v>
      </c>
      <c r="F9409" t="s">
        <v>27544</v>
      </c>
    </row>
    <row r="9410" spans="1:12">
      <c r="A9410" t="s">
        <v>27039</v>
      </c>
      <c r="B9410" t="s">
        <v>27040</v>
      </c>
      <c r="C9410" t="s">
        <v>27545</v>
      </c>
      <c r="D9410" t="s">
        <v>27042</v>
      </c>
      <c r="E9410" t="s">
        <v>3308</v>
      </c>
      <c r="F9410" t="s">
        <v>27546</v>
      </c>
    </row>
    <row r="9411" spans="1:12">
      <c r="A9411" t="s">
        <v>27039</v>
      </c>
      <c r="B9411" t="s">
        <v>27040</v>
      </c>
      <c r="C9411" t="s">
        <v>27547</v>
      </c>
      <c r="D9411" t="s">
        <v>27042</v>
      </c>
      <c r="E9411" t="s">
        <v>4719</v>
      </c>
      <c r="F9411" t="s">
        <v>27548</v>
      </c>
    </row>
    <row r="9412" spans="1:12">
      <c r="A9412" t="s">
        <v>27039</v>
      </c>
      <c r="B9412" t="s">
        <v>27040</v>
      </c>
      <c r="C9412" t="s">
        <v>27549</v>
      </c>
      <c r="D9412" t="s">
        <v>27042</v>
      </c>
      <c r="E9412" t="s">
        <v>27550</v>
      </c>
      <c r="F9412" t="s">
        <v>27227</v>
      </c>
      <c r="J9412" t="s">
        <v>27550</v>
      </c>
      <c r="K9412" t="s">
        <v>27044</v>
      </c>
      <c r="L9412" t="s">
        <v>3638</v>
      </c>
    </row>
    <row r="9413" spans="1:12">
      <c r="A9413" t="s">
        <v>27039</v>
      </c>
      <c r="B9413" t="s">
        <v>27040</v>
      </c>
      <c r="C9413" t="s">
        <v>27551</v>
      </c>
      <c r="D9413" t="s">
        <v>27042</v>
      </c>
      <c r="E9413" t="s">
        <v>19351</v>
      </c>
      <c r="F9413" t="s">
        <v>27552</v>
      </c>
    </row>
    <row r="9414" spans="1:12">
      <c r="A9414" t="s">
        <v>27039</v>
      </c>
      <c r="B9414" t="s">
        <v>27040</v>
      </c>
      <c r="C9414" t="s">
        <v>27553</v>
      </c>
      <c r="D9414" t="s">
        <v>27042</v>
      </c>
      <c r="E9414" t="s">
        <v>9623</v>
      </c>
      <c r="F9414" t="s">
        <v>27554</v>
      </c>
    </row>
    <row r="9415" spans="1:12">
      <c r="A9415" t="s">
        <v>27039</v>
      </c>
      <c r="B9415" t="s">
        <v>27040</v>
      </c>
      <c r="C9415" t="s">
        <v>27555</v>
      </c>
      <c r="D9415" t="s">
        <v>27042</v>
      </c>
      <c r="E9415" t="s">
        <v>27556</v>
      </c>
      <c r="F9415" t="s">
        <v>27557</v>
      </c>
    </row>
    <row r="9416" spans="1:12">
      <c r="A9416" t="s">
        <v>27039</v>
      </c>
      <c r="B9416" t="s">
        <v>27040</v>
      </c>
      <c r="C9416" t="s">
        <v>27558</v>
      </c>
      <c r="D9416" t="s">
        <v>27042</v>
      </c>
      <c r="E9416" t="s">
        <v>27559</v>
      </c>
      <c r="F9416" t="s">
        <v>27560</v>
      </c>
      <c r="J9416" t="s">
        <v>27559</v>
      </c>
      <c r="K9416" t="s">
        <v>27044</v>
      </c>
      <c r="L9416" t="s">
        <v>3638</v>
      </c>
    </row>
    <row r="9417" spans="1:12">
      <c r="A9417" t="s">
        <v>27039</v>
      </c>
      <c r="B9417" t="s">
        <v>27040</v>
      </c>
      <c r="C9417" t="s">
        <v>27561</v>
      </c>
      <c r="D9417" t="s">
        <v>27042</v>
      </c>
      <c r="E9417" t="s">
        <v>26747</v>
      </c>
      <c r="F9417" t="s">
        <v>27562</v>
      </c>
    </row>
    <row r="9418" spans="1:12">
      <c r="A9418" t="s">
        <v>27039</v>
      </c>
      <c r="B9418" t="s">
        <v>27040</v>
      </c>
      <c r="C9418" t="s">
        <v>27563</v>
      </c>
      <c r="D9418" t="s">
        <v>27042</v>
      </c>
      <c r="E9418" t="s">
        <v>27564</v>
      </c>
      <c r="F9418" t="s">
        <v>27565</v>
      </c>
    </row>
    <row r="9419" spans="1:12">
      <c r="A9419" t="s">
        <v>27039</v>
      </c>
      <c r="B9419" t="s">
        <v>27040</v>
      </c>
      <c r="C9419" t="s">
        <v>27566</v>
      </c>
      <c r="D9419" t="s">
        <v>27042</v>
      </c>
      <c r="E9419" t="s">
        <v>1237</v>
      </c>
      <c r="F9419" t="s">
        <v>27567</v>
      </c>
    </row>
    <row r="9420" spans="1:12">
      <c r="A9420" t="s">
        <v>27039</v>
      </c>
      <c r="B9420" t="s">
        <v>27040</v>
      </c>
      <c r="C9420" t="s">
        <v>27568</v>
      </c>
      <c r="D9420" t="s">
        <v>27042</v>
      </c>
      <c r="E9420" t="s">
        <v>7933</v>
      </c>
      <c r="F9420" t="s">
        <v>27569</v>
      </c>
    </row>
    <row r="9421" spans="1:12">
      <c r="A9421" t="s">
        <v>27039</v>
      </c>
      <c r="B9421" t="s">
        <v>27040</v>
      </c>
      <c r="C9421" t="s">
        <v>27570</v>
      </c>
      <c r="D9421" t="s">
        <v>27042</v>
      </c>
      <c r="E9421" t="s">
        <v>27571</v>
      </c>
      <c r="F9421" t="s">
        <v>27572</v>
      </c>
    </row>
    <row r="9422" spans="1:12">
      <c r="A9422" t="s">
        <v>27039</v>
      </c>
      <c r="B9422" t="s">
        <v>27040</v>
      </c>
      <c r="C9422" t="s">
        <v>27573</v>
      </c>
      <c r="D9422" t="s">
        <v>27042</v>
      </c>
      <c r="E9422" t="s">
        <v>27574</v>
      </c>
      <c r="F9422" t="s">
        <v>27575</v>
      </c>
    </row>
    <row r="9423" spans="1:12">
      <c r="A9423" t="s">
        <v>27039</v>
      </c>
      <c r="B9423" t="s">
        <v>27040</v>
      </c>
      <c r="C9423" t="s">
        <v>27576</v>
      </c>
      <c r="D9423" t="s">
        <v>27042</v>
      </c>
      <c r="E9423" t="s">
        <v>27577</v>
      </c>
      <c r="F9423" t="s">
        <v>27578</v>
      </c>
      <c r="J9423" t="s">
        <v>27577</v>
      </c>
      <c r="K9423" t="s">
        <v>27044</v>
      </c>
      <c r="L9423" t="s">
        <v>3638</v>
      </c>
    </row>
    <row r="9424" spans="1:12">
      <c r="A9424" t="s">
        <v>27039</v>
      </c>
      <c r="B9424" t="s">
        <v>27040</v>
      </c>
      <c r="C9424" t="s">
        <v>27579</v>
      </c>
      <c r="D9424" t="s">
        <v>27042</v>
      </c>
      <c r="E9424" t="s">
        <v>6969</v>
      </c>
      <c r="F9424" t="s">
        <v>27580</v>
      </c>
      <c r="J9424" t="s">
        <v>6969</v>
      </c>
      <c r="K9424" t="s">
        <v>27044</v>
      </c>
      <c r="L9424" t="s">
        <v>3638</v>
      </c>
    </row>
    <row r="9425" spans="1:6">
      <c r="A9425" t="s">
        <v>27039</v>
      </c>
      <c r="B9425" t="s">
        <v>27040</v>
      </c>
      <c r="C9425" t="s">
        <v>27581</v>
      </c>
      <c r="D9425" t="s">
        <v>27042</v>
      </c>
      <c r="E9425" t="s">
        <v>8016</v>
      </c>
      <c r="F9425" t="s">
        <v>27582</v>
      </c>
    </row>
    <row r="9426" spans="1:6">
      <c r="A9426" t="s">
        <v>27039</v>
      </c>
      <c r="B9426" t="s">
        <v>27040</v>
      </c>
      <c r="C9426" t="s">
        <v>27583</v>
      </c>
      <c r="D9426" t="s">
        <v>27042</v>
      </c>
      <c r="E9426" t="s">
        <v>24352</v>
      </c>
      <c r="F9426" t="s">
        <v>27584</v>
      </c>
    </row>
    <row r="9427" spans="1:6">
      <c r="A9427" t="s">
        <v>27039</v>
      </c>
      <c r="B9427" t="s">
        <v>27040</v>
      </c>
      <c r="C9427" t="s">
        <v>27585</v>
      </c>
      <c r="D9427" t="s">
        <v>27042</v>
      </c>
      <c r="E9427" t="s">
        <v>25747</v>
      </c>
      <c r="F9427" t="s">
        <v>27586</v>
      </c>
    </row>
    <row r="9428" spans="1:6">
      <c r="A9428" t="s">
        <v>27039</v>
      </c>
      <c r="B9428" t="s">
        <v>27040</v>
      </c>
      <c r="C9428" t="s">
        <v>27587</v>
      </c>
      <c r="D9428" t="s">
        <v>27042</v>
      </c>
      <c r="E9428" t="s">
        <v>24672</v>
      </c>
      <c r="F9428" t="s">
        <v>27588</v>
      </c>
    </row>
    <row r="9429" spans="1:6">
      <c r="A9429" t="s">
        <v>27039</v>
      </c>
      <c r="B9429" t="s">
        <v>27040</v>
      </c>
      <c r="C9429" t="s">
        <v>27589</v>
      </c>
      <c r="D9429" t="s">
        <v>27042</v>
      </c>
      <c r="E9429" t="s">
        <v>10554</v>
      </c>
      <c r="F9429" t="s">
        <v>27590</v>
      </c>
    </row>
    <row r="9430" spans="1:6">
      <c r="A9430" t="s">
        <v>27039</v>
      </c>
      <c r="B9430" t="s">
        <v>27040</v>
      </c>
      <c r="C9430" t="s">
        <v>27591</v>
      </c>
      <c r="D9430" t="s">
        <v>27042</v>
      </c>
      <c r="E9430" t="s">
        <v>27592</v>
      </c>
      <c r="F9430" t="s">
        <v>27593</v>
      </c>
    </row>
    <row r="9431" spans="1:6">
      <c r="A9431" t="s">
        <v>27039</v>
      </c>
      <c r="B9431" t="s">
        <v>27040</v>
      </c>
      <c r="C9431" t="s">
        <v>27594</v>
      </c>
      <c r="D9431" t="s">
        <v>27042</v>
      </c>
      <c r="E9431" t="s">
        <v>4256</v>
      </c>
      <c r="F9431" t="s">
        <v>27595</v>
      </c>
    </row>
    <row r="9432" spans="1:6">
      <c r="A9432" t="s">
        <v>27039</v>
      </c>
      <c r="B9432" t="s">
        <v>27040</v>
      </c>
      <c r="C9432" t="s">
        <v>27596</v>
      </c>
      <c r="D9432" t="s">
        <v>27042</v>
      </c>
      <c r="E9432" t="s">
        <v>2765</v>
      </c>
      <c r="F9432" t="s">
        <v>27597</v>
      </c>
    </row>
    <row r="9433" spans="1:6">
      <c r="A9433" t="s">
        <v>27039</v>
      </c>
      <c r="B9433" t="s">
        <v>27040</v>
      </c>
      <c r="C9433" t="s">
        <v>27598</v>
      </c>
      <c r="D9433" t="s">
        <v>27042</v>
      </c>
      <c r="E9433" t="s">
        <v>27599</v>
      </c>
      <c r="F9433" t="s">
        <v>27600</v>
      </c>
    </row>
    <row r="9434" spans="1:6">
      <c r="A9434" t="s">
        <v>27039</v>
      </c>
      <c r="B9434" t="s">
        <v>27040</v>
      </c>
      <c r="C9434" t="s">
        <v>27601</v>
      </c>
      <c r="D9434" t="s">
        <v>27042</v>
      </c>
      <c r="E9434" t="s">
        <v>27602</v>
      </c>
      <c r="F9434" t="s">
        <v>27603</v>
      </c>
    </row>
    <row r="9435" spans="1:6">
      <c r="A9435" t="s">
        <v>27039</v>
      </c>
      <c r="B9435" t="s">
        <v>27040</v>
      </c>
      <c r="C9435" t="s">
        <v>27604</v>
      </c>
      <c r="D9435" t="s">
        <v>27042</v>
      </c>
      <c r="E9435" t="s">
        <v>25952</v>
      </c>
      <c r="F9435" t="s">
        <v>27605</v>
      </c>
    </row>
    <row r="9436" spans="1:6">
      <c r="A9436" t="s">
        <v>27039</v>
      </c>
      <c r="B9436" t="s">
        <v>27040</v>
      </c>
      <c r="C9436" t="s">
        <v>27606</v>
      </c>
      <c r="D9436" t="s">
        <v>27042</v>
      </c>
      <c r="E9436" t="s">
        <v>14740</v>
      </c>
      <c r="F9436" t="s">
        <v>27607</v>
      </c>
    </row>
    <row r="9437" spans="1:6">
      <c r="A9437" t="s">
        <v>27039</v>
      </c>
      <c r="B9437" t="s">
        <v>27040</v>
      </c>
      <c r="C9437" t="s">
        <v>27608</v>
      </c>
      <c r="D9437" t="s">
        <v>27042</v>
      </c>
      <c r="E9437" t="s">
        <v>13786</v>
      </c>
      <c r="F9437" t="s">
        <v>27609</v>
      </c>
    </row>
    <row r="9438" spans="1:6">
      <c r="A9438" t="s">
        <v>27039</v>
      </c>
      <c r="B9438" t="s">
        <v>27040</v>
      </c>
      <c r="C9438" t="s">
        <v>27610</v>
      </c>
      <c r="D9438" t="s">
        <v>27042</v>
      </c>
      <c r="E9438" t="s">
        <v>4268</v>
      </c>
      <c r="F9438" t="s">
        <v>27611</v>
      </c>
    </row>
    <row r="9439" spans="1:6">
      <c r="A9439" t="s">
        <v>27039</v>
      </c>
      <c r="B9439" t="s">
        <v>27040</v>
      </c>
      <c r="C9439" t="s">
        <v>27612</v>
      </c>
      <c r="D9439" t="s">
        <v>27042</v>
      </c>
      <c r="E9439" t="s">
        <v>14503</v>
      </c>
      <c r="F9439" t="s">
        <v>27613</v>
      </c>
    </row>
    <row r="9440" spans="1:6">
      <c r="A9440" t="s">
        <v>27039</v>
      </c>
      <c r="B9440" t="s">
        <v>27040</v>
      </c>
      <c r="C9440" t="s">
        <v>27614</v>
      </c>
      <c r="D9440" t="s">
        <v>27042</v>
      </c>
      <c r="E9440" t="s">
        <v>6978</v>
      </c>
      <c r="F9440" t="s">
        <v>27615</v>
      </c>
    </row>
    <row r="9441" spans="1:12">
      <c r="A9441" t="s">
        <v>27039</v>
      </c>
      <c r="B9441" t="s">
        <v>27040</v>
      </c>
      <c r="C9441" t="s">
        <v>27616</v>
      </c>
      <c r="D9441" t="s">
        <v>27042</v>
      </c>
      <c r="E9441" t="s">
        <v>25567</v>
      </c>
      <c r="F9441" t="s">
        <v>27617</v>
      </c>
    </row>
    <row r="9442" spans="1:12">
      <c r="A9442" t="s">
        <v>27039</v>
      </c>
      <c r="B9442" t="s">
        <v>27040</v>
      </c>
      <c r="C9442" t="s">
        <v>27618</v>
      </c>
      <c r="D9442" t="s">
        <v>27042</v>
      </c>
      <c r="E9442" t="s">
        <v>2777</v>
      </c>
      <c r="F9442" t="s">
        <v>27619</v>
      </c>
    </row>
    <row r="9443" spans="1:12">
      <c r="A9443" t="s">
        <v>27039</v>
      </c>
      <c r="B9443" t="s">
        <v>27040</v>
      </c>
      <c r="C9443" t="s">
        <v>27620</v>
      </c>
      <c r="D9443" t="s">
        <v>27042</v>
      </c>
      <c r="E9443" t="s">
        <v>27621</v>
      </c>
      <c r="F9443" t="s">
        <v>27622</v>
      </c>
      <c r="J9443" t="s">
        <v>27621</v>
      </c>
      <c r="K9443" t="s">
        <v>27044</v>
      </c>
      <c r="L9443" t="s">
        <v>3638</v>
      </c>
    </row>
    <row r="9444" spans="1:12">
      <c r="A9444" t="s">
        <v>27039</v>
      </c>
      <c r="B9444" t="s">
        <v>27040</v>
      </c>
      <c r="C9444" t="s">
        <v>27623</v>
      </c>
      <c r="D9444" t="s">
        <v>27042</v>
      </c>
      <c r="E9444" t="s">
        <v>706</v>
      </c>
      <c r="F9444" t="s">
        <v>27624</v>
      </c>
    </row>
    <row r="9445" spans="1:12">
      <c r="A9445" t="s">
        <v>27039</v>
      </c>
      <c r="B9445" t="s">
        <v>27040</v>
      </c>
      <c r="C9445" t="s">
        <v>27625</v>
      </c>
      <c r="D9445" t="s">
        <v>27042</v>
      </c>
      <c r="E9445" t="s">
        <v>14511</v>
      </c>
      <c r="F9445" t="s">
        <v>27626</v>
      </c>
    </row>
    <row r="9446" spans="1:12">
      <c r="A9446" t="s">
        <v>27039</v>
      </c>
      <c r="B9446" t="s">
        <v>27040</v>
      </c>
      <c r="C9446" t="s">
        <v>27627</v>
      </c>
      <c r="D9446" t="s">
        <v>27042</v>
      </c>
      <c r="E9446" t="s">
        <v>12065</v>
      </c>
      <c r="F9446" t="s">
        <v>27628</v>
      </c>
    </row>
    <row r="9447" spans="1:12">
      <c r="A9447" t="s">
        <v>27039</v>
      </c>
      <c r="B9447" t="s">
        <v>27040</v>
      </c>
      <c r="C9447" t="s">
        <v>27629</v>
      </c>
      <c r="D9447" t="s">
        <v>27042</v>
      </c>
      <c r="E9447" t="s">
        <v>2804</v>
      </c>
      <c r="F9447" t="s">
        <v>27630</v>
      </c>
    </row>
    <row r="9448" spans="1:12">
      <c r="A9448" t="s">
        <v>27039</v>
      </c>
      <c r="B9448" t="s">
        <v>27040</v>
      </c>
      <c r="C9448" t="s">
        <v>27631</v>
      </c>
      <c r="D9448" t="s">
        <v>27042</v>
      </c>
      <c r="E9448" t="s">
        <v>2807</v>
      </c>
      <c r="F9448" t="s">
        <v>27632</v>
      </c>
    </row>
    <row r="9449" spans="1:12">
      <c r="A9449" t="s">
        <v>27039</v>
      </c>
      <c r="B9449" t="s">
        <v>27040</v>
      </c>
      <c r="C9449" t="s">
        <v>27633</v>
      </c>
      <c r="D9449" t="s">
        <v>27042</v>
      </c>
      <c r="E9449" t="s">
        <v>27634</v>
      </c>
      <c r="F9449" t="s">
        <v>27635</v>
      </c>
    </row>
    <row r="9450" spans="1:12">
      <c r="A9450" t="s">
        <v>27039</v>
      </c>
      <c r="B9450" t="s">
        <v>27040</v>
      </c>
      <c r="C9450" t="s">
        <v>27636</v>
      </c>
      <c r="D9450" t="s">
        <v>27042</v>
      </c>
      <c r="E9450" t="s">
        <v>27637</v>
      </c>
      <c r="F9450" t="s">
        <v>27638</v>
      </c>
    </row>
    <row r="9451" spans="1:12">
      <c r="A9451" t="s">
        <v>27039</v>
      </c>
      <c r="B9451" t="s">
        <v>27040</v>
      </c>
      <c r="C9451" t="s">
        <v>27639</v>
      </c>
      <c r="D9451" t="s">
        <v>27042</v>
      </c>
      <c r="E9451" t="s">
        <v>5237</v>
      </c>
      <c r="F9451" t="s">
        <v>27640</v>
      </c>
    </row>
    <row r="9452" spans="1:12">
      <c r="A9452" t="s">
        <v>27039</v>
      </c>
      <c r="B9452" t="s">
        <v>27040</v>
      </c>
      <c r="C9452" t="s">
        <v>27641</v>
      </c>
      <c r="D9452" t="s">
        <v>27042</v>
      </c>
      <c r="E9452" t="s">
        <v>15284</v>
      </c>
      <c r="F9452" t="s">
        <v>27642</v>
      </c>
    </row>
    <row r="9453" spans="1:12">
      <c r="A9453" t="s">
        <v>27039</v>
      </c>
      <c r="B9453" t="s">
        <v>27040</v>
      </c>
      <c r="C9453" t="s">
        <v>27643</v>
      </c>
      <c r="D9453" t="s">
        <v>27042</v>
      </c>
      <c r="E9453" t="s">
        <v>26208</v>
      </c>
      <c r="F9453" t="s">
        <v>27644</v>
      </c>
    </row>
    <row r="9454" spans="1:12">
      <c r="A9454" t="s">
        <v>27039</v>
      </c>
      <c r="B9454" t="s">
        <v>27040</v>
      </c>
      <c r="C9454" t="s">
        <v>27645</v>
      </c>
      <c r="D9454" t="s">
        <v>27042</v>
      </c>
      <c r="E9454" t="s">
        <v>27646</v>
      </c>
      <c r="F9454" t="s">
        <v>27647</v>
      </c>
    </row>
    <row r="9455" spans="1:12">
      <c r="A9455" t="s">
        <v>27039</v>
      </c>
      <c r="B9455" t="s">
        <v>27040</v>
      </c>
      <c r="C9455" t="s">
        <v>27648</v>
      </c>
      <c r="D9455" t="s">
        <v>27042</v>
      </c>
      <c r="E9455" t="s">
        <v>27649</v>
      </c>
      <c r="F9455" t="s">
        <v>27650</v>
      </c>
      <c r="J9455" t="s">
        <v>27649</v>
      </c>
      <c r="K9455" t="s">
        <v>27044</v>
      </c>
      <c r="L9455" t="s">
        <v>3638</v>
      </c>
    </row>
    <row r="9456" spans="1:12">
      <c r="A9456" t="s">
        <v>27039</v>
      </c>
      <c r="B9456" t="s">
        <v>27040</v>
      </c>
      <c r="C9456" t="s">
        <v>27651</v>
      </c>
      <c r="D9456" t="s">
        <v>27042</v>
      </c>
      <c r="E9456" t="s">
        <v>9848</v>
      </c>
      <c r="F9456" t="s">
        <v>27652</v>
      </c>
    </row>
    <row r="9457" spans="1:12">
      <c r="A9457" t="s">
        <v>27039</v>
      </c>
      <c r="B9457" t="s">
        <v>27040</v>
      </c>
      <c r="C9457" t="s">
        <v>27653</v>
      </c>
      <c r="D9457" t="s">
        <v>27042</v>
      </c>
      <c r="E9457" t="s">
        <v>11448</v>
      </c>
      <c r="F9457" t="s">
        <v>27654</v>
      </c>
    </row>
    <row r="9458" spans="1:12">
      <c r="A9458" t="s">
        <v>27039</v>
      </c>
      <c r="B9458" t="s">
        <v>27040</v>
      </c>
      <c r="C9458" t="s">
        <v>27655</v>
      </c>
      <c r="D9458" t="s">
        <v>27042</v>
      </c>
      <c r="E9458" t="s">
        <v>9856</v>
      </c>
      <c r="F9458" t="s">
        <v>27656</v>
      </c>
    </row>
    <row r="9459" spans="1:12">
      <c r="A9459" t="s">
        <v>27039</v>
      </c>
      <c r="B9459" t="s">
        <v>27040</v>
      </c>
      <c r="C9459" t="s">
        <v>27657</v>
      </c>
      <c r="D9459" t="s">
        <v>27042</v>
      </c>
      <c r="E9459" t="s">
        <v>22868</v>
      </c>
      <c r="F9459" t="s">
        <v>27658</v>
      </c>
    </row>
    <row r="9460" spans="1:12">
      <c r="A9460" t="s">
        <v>27039</v>
      </c>
      <c r="B9460" t="s">
        <v>27040</v>
      </c>
      <c r="C9460" t="s">
        <v>27659</v>
      </c>
      <c r="D9460" t="s">
        <v>27042</v>
      </c>
      <c r="E9460" t="s">
        <v>27660</v>
      </c>
      <c r="F9460" t="s">
        <v>27661</v>
      </c>
    </row>
    <row r="9461" spans="1:12">
      <c r="A9461" t="s">
        <v>27039</v>
      </c>
      <c r="B9461" t="s">
        <v>27040</v>
      </c>
      <c r="C9461" t="s">
        <v>27662</v>
      </c>
      <c r="D9461" t="s">
        <v>27042</v>
      </c>
      <c r="E9461" t="s">
        <v>9861</v>
      </c>
      <c r="F9461" t="s">
        <v>27663</v>
      </c>
    </row>
    <row r="9462" spans="1:12">
      <c r="A9462" t="s">
        <v>27039</v>
      </c>
      <c r="B9462" t="s">
        <v>27040</v>
      </c>
      <c r="C9462" t="s">
        <v>27664</v>
      </c>
      <c r="D9462" t="s">
        <v>27042</v>
      </c>
      <c r="E9462" t="s">
        <v>20315</v>
      </c>
      <c r="F9462" t="s">
        <v>27665</v>
      </c>
    </row>
    <row r="9463" spans="1:12">
      <c r="A9463" t="s">
        <v>27039</v>
      </c>
      <c r="B9463" t="s">
        <v>27040</v>
      </c>
      <c r="C9463" t="s">
        <v>27666</v>
      </c>
      <c r="D9463" t="s">
        <v>27042</v>
      </c>
      <c r="E9463" t="s">
        <v>7955</v>
      </c>
      <c r="F9463" t="s">
        <v>27667</v>
      </c>
    </row>
    <row r="9464" spans="1:12">
      <c r="A9464" t="s">
        <v>27039</v>
      </c>
      <c r="B9464" t="s">
        <v>27040</v>
      </c>
      <c r="C9464" t="s">
        <v>27668</v>
      </c>
      <c r="D9464" t="s">
        <v>27042</v>
      </c>
      <c r="E9464" t="s">
        <v>11049</v>
      </c>
      <c r="F9464" t="s">
        <v>27669</v>
      </c>
    </row>
    <row r="9465" spans="1:12">
      <c r="A9465" t="s">
        <v>27039</v>
      </c>
      <c r="B9465" t="s">
        <v>27040</v>
      </c>
      <c r="C9465" t="s">
        <v>27670</v>
      </c>
      <c r="D9465" t="s">
        <v>27042</v>
      </c>
      <c r="E9465" t="s">
        <v>8067</v>
      </c>
      <c r="F9465" t="s">
        <v>27671</v>
      </c>
    </row>
    <row r="9466" spans="1:12">
      <c r="A9466" t="s">
        <v>27039</v>
      </c>
      <c r="B9466" t="s">
        <v>27040</v>
      </c>
      <c r="C9466" t="s">
        <v>27672</v>
      </c>
      <c r="D9466" t="s">
        <v>27042</v>
      </c>
      <c r="E9466" t="s">
        <v>7400</v>
      </c>
      <c r="F9466" t="s">
        <v>27673</v>
      </c>
    </row>
    <row r="9467" spans="1:12">
      <c r="A9467" t="s">
        <v>27039</v>
      </c>
      <c r="B9467" t="s">
        <v>27040</v>
      </c>
      <c r="C9467" t="s">
        <v>27674</v>
      </c>
      <c r="D9467" t="s">
        <v>27042</v>
      </c>
      <c r="E9467" t="s">
        <v>7403</v>
      </c>
      <c r="F9467" t="s">
        <v>27675</v>
      </c>
      <c r="J9467" t="s">
        <v>7403</v>
      </c>
      <c r="K9467" t="s">
        <v>27044</v>
      </c>
      <c r="L9467" t="s">
        <v>3638</v>
      </c>
    </row>
    <row r="9468" spans="1:12">
      <c r="A9468" t="s">
        <v>27039</v>
      </c>
      <c r="B9468" t="s">
        <v>27040</v>
      </c>
      <c r="C9468" t="s">
        <v>27676</v>
      </c>
      <c r="D9468" t="s">
        <v>27042</v>
      </c>
      <c r="E9468" t="s">
        <v>4522</v>
      </c>
      <c r="F9468" t="s">
        <v>27677</v>
      </c>
      <c r="J9468" t="s">
        <v>4522</v>
      </c>
      <c r="K9468" t="s">
        <v>27044</v>
      </c>
      <c r="L9468" t="s">
        <v>3638</v>
      </c>
    </row>
    <row r="9469" spans="1:12">
      <c r="A9469" t="s">
        <v>27039</v>
      </c>
      <c r="B9469" t="s">
        <v>27040</v>
      </c>
      <c r="C9469" t="s">
        <v>27678</v>
      </c>
      <c r="D9469" t="s">
        <v>27042</v>
      </c>
      <c r="E9469" t="s">
        <v>9904</v>
      </c>
      <c r="F9469" t="s">
        <v>27679</v>
      </c>
    </row>
    <row r="9470" spans="1:12">
      <c r="A9470" t="s">
        <v>27039</v>
      </c>
      <c r="B9470" t="s">
        <v>27040</v>
      </c>
      <c r="C9470" t="s">
        <v>27680</v>
      </c>
      <c r="D9470" t="s">
        <v>27042</v>
      </c>
      <c r="E9470" t="s">
        <v>27681</v>
      </c>
      <c r="F9470" t="s">
        <v>27682</v>
      </c>
      <c r="J9470" t="s">
        <v>27681</v>
      </c>
      <c r="K9470" t="s">
        <v>27044</v>
      </c>
      <c r="L9470" t="s">
        <v>3638</v>
      </c>
    </row>
    <row r="9471" spans="1:12">
      <c r="A9471" t="s">
        <v>27039</v>
      </c>
      <c r="B9471" t="s">
        <v>27040</v>
      </c>
      <c r="C9471" t="s">
        <v>27683</v>
      </c>
      <c r="D9471" t="s">
        <v>27042</v>
      </c>
      <c r="E9471" t="s">
        <v>9924</v>
      </c>
      <c r="F9471" t="s">
        <v>27684</v>
      </c>
    </row>
    <row r="9472" spans="1:12">
      <c r="A9472" t="s">
        <v>27039</v>
      </c>
      <c r="B9472" t="s">
        <v>27040</v>
      </c>
      <c r="C9472" t="s">
        <v>27685</v>
      </c>
      <c r="D9472" t="s">
        <v>27042</v>
      </c>
      <c r="E9472" t="s">
        <v>9933</v>
      </c>
      <c r="F9472" t="s">
        <v>27686</v>
      </c>
    </row>
    <row r="9473" spans="1:12">
      <c r="A9473" t="s">
        <v>27039</v>
      </c>
      <c r="B9473" t="s">
        <v>27040</v>
      </c>
      <c r="C9473" t="s">
        <v>27687</v>
      </c>
      <c r="D9473" t="s">
        <v>27042</v>
      </c>
      <c r="E9473" t="s">
        <v>2903</v>
      </c>
      <c r="F9473" t="s">
        <v>27688</v>
      </c>
    </row>
    <row r="9474" spans="1:12">
      <c r="A9474" t="s">
        <v>27039</v>
      </c>
      <c r="B9474" t="s">
        <v>27040</v>
      </c>
      <c r="C9474" t="s">
        <v>27689</v>
      </c>
      <c r="D9474" t="s">
        <v>27042</v>
      </c>
      <c r="E9474" t="s">
        <v>6725</v>
      </c>
      <c r="F9474" t="s">
        <v>27690</v>
      </c>
    </row>
    <row r="9475" spans="1:12">
      <c r="A9475" t="s">
        <v>27039</v>
      </c>
      <c r="B9475" t="s">
        <v>27040</v>
      </c>
      <c r="C9475" t="s">
        <v>27691</v>
      </c>
      <c r="D9475" t="s">
        <v>27042</v>
      </c>
      <c r="E9475" t="s">
        <v>13401</v>
      </c>
      <c r="F9475" t="s">
        <v>27692</v>
      </c>
    </row>
    <row r="9476" spans="1:12">
      <c r="A9476" t="s">
        <v>27039</v>
      </c>
      <c r="B9476" t="s">
        <v>27040</v>
      </c>
      <c r="C9476" t="s">
        <v>27693</v>
      </c>
      <c r="D9476" t="s">
        <v>27042</v>
      </c>
      <c r="E9476" t="s">
        <v>27694</v>
      </c>
      <c r="F9476" t="s">
        <v>27695</v>
      </c>
    </row>
    <row r="9477" spans="1:12">
      <c r="A9477" t="s">
        <v>27039</v>
      </c>
      <c r="B9477" t="s">
        <v>27040</v>
      </c>
      <c r="C9477" t="s">
        <v>27696</v>
      </c>
      <c r="D9477" t="s">
        <v>27042</v>
      </c>
      <c r="E9477" t="s">
        <v>20490</v>
      </c>
      <c r="F9477" t="s">
        <v>27697</v>
      </c>
      <c r="J9477" t="s">
        <v>20490</v>
      </c>
      <c r="K9477" t="s">
        <v>27044</v>
      </c>
      <c r="L9477" t="s">
        <v>3638</v>
      </c>
    </row>
    <row r="9478" spans="1:12">
      <c r="A9478" t="s">
        <v>27039</v>
      </c>
      <c r="B9478" t="s">
        <v>27040</v>
      </c>
      <c r="C9478" t="s">
        <v>27698</v>
      </c>
      <c r="D9478" t="s">
        <v>27042</v>
      </c>
      <c r="E9478" t="s">
        <v>13605</v>
      </c>
      <c r="F9478" t="s">
        <v>27699</v>
      </c>
    </row>
    <row r="9479" spans="1:12">
      <c r="A9479" t="s">
        <v>27039</v>
      </c>
      <c r="B9479" t="s">
        <v>27040</v>
      </c>
      <c r="C9479" t="s">
        <v>27700</v>
      </c>
      <c r="D9479" t="s">
        <v>27042</v>
      </c>
      <c r="E9479" t="s">
        <v>22880</v>
      </c>
      <c r="F9479" t="s">
        <v>27701</v>
      </c>
    </row>
    <row r="9480" spans="1:12">
      <c r="A9480" t="s">
        <v>27039</v>
      </c>
      <c r="B9480" t="s">
        <v>27040</v>
      </c>
      <c r="C9480" t="s">
        <v>27702</v>
      </c>
      <c r="D9480" t="s">
        <v>27042</v>
      </c>
      <c r="E9480" t="s">
        <v>1049</v>
      </c>
      <c r="F9480" t="s">
        <v>27703</v>
      </c>
    </row>
    <row r="9481" spans="1:12">
      <c r="A9481" t="s">
        <v>27039</v>
      </c>
      <c r="B9481" t="s">
        <v>27040</v>
      </c>
      <c r="C9481" t="s">
        <v>27704</v>
      </c>
      <c r="D9481" t="s">
        <v>27042</v>
      </c>
      <c r="E9481" t="s">
        <v>7798</v>
      </c>
      <c r="F9481" t="s">
        <v>27705</v>
      </c>
    </row>
    <row r="9482" spans="1:12">
      <c r="A9482" t="s">
        <v>27039</v>
      </c>
      <c r="B9482" t="s">
        <v>27040</v>
      </c>
      <c r="C9482" t="s">
        <v>27706</v>
      </c>
      <c r="D9482" t="s">
        <v>27042</v>
      </c>
      <c r="E9482" t="s">
        <v>3732</v>
      </c>
      <c r="F9482" t="s">
        <v>27707</v>
      </c>
    </row>
    <row r="9483" spans="1:12">
      <c r="A9483" t="s">
        <v>27039</v>
      </c>
      <c r="B9483" t="s">
        <v>27040</v>
      </c>
      <c r="C9483" t="s">
        <v>27708</v>
      </c>
      <c r="D9483" t="s">
        <v>27042</v>
      </c>
      <c r="E9483" t="s">
        <v>5282</v>
      </c>
      <c r="F9483" t="s">
        <v>27709</v>
      </c>
    </row>
    <row r="9484" spans="1:12">
      <c r="A9484" t="s">
        <v>27039</v>
      </c>
      <c r="B9484" t="s">
        <v>27040</v>
      </c>
      <c r="C9484" t="s">
        <v>27710</v>
      </c>
      <c r="D9484" t="s">
        <v>27042</v>
      </c>
      <c r="E9484" t="s">
        <v>27711</v>
      </c>
      <c r="F9484" t="s">
        <v>27712</v>
      </c>
    </row>
    <row r="9485" spans="1:12">
      <c r="A9485" t="s">
        <v>27039</v>
      </c>
      <c r="B9485" t="s">
        <v>27040</v>
      </c>
      <c r="C9485" t="s">
        <v>27713</v>
      </c>
      <c r="D9485" t="s">
        <v>27042</v>
      </c>
      <c r="E9485" t="s">
        <v>27714</v>
      </c>
      <c r="F9485" t="s">
        <v>27715</v>
      </c>
      <c r="J9485" t="s">
        <v>27714</v>
      </c>
      <c r="K9485" t="s">
        <v>27044</v>
      </c>
      <c r="L9485" t="s">
        <v>3638</v>
      </c>
    </row>
    <row r="9486" spans="1:12">
      <c r="A9486" t="s">
        <v>27039</v>
      </c>
      <c r="B9486" t="s">
        <v>27040</v>
      </c>
      <c r="C9486" t="s">
        <v>27716</v>
      </c>
      <c r="D9486" t="s">
        <v>27042</v>
      </c>
      <c r="E9486" t="s">
        <v>10478</v>
      </c>
      <c r="F9486" t="s">
        <v>27717</v>
      </c>
    </row>
    <row r="9487" spans="1:12">
      <c r="A9487" t="s">
        <v>27039</v>
      </c>
      <c r="B9487" t="s">
        <v>27040</v>
      </c>
      <c r="C9487" t="s">
        <v>27718</v>
      </c>
      <c r="D9487" t="s">
        <v>27042</v>
      </c>
      <c r="E9487" t="s">
        <v>4567</v>
      </c>
      <c r="F9487" t="s">
        <v>27719</v>
      </c>
    </row>
    <row r="9488" spans="1:12">
      <c r="A9488" t="s">
        <v>27039</v>
      </c>
      <c r="B9488" t="s">
        <v>27040</v>
      </c>
      <c r="C9488" t="s">
        <v>27720</v>
      </c>
      <c r="D9488" t="s">
        <v>27042</v>
      </c>
      <c r="E9488" t="s">
        <v>14602</v>
      </c>
      <c r="F9488" t="s">
        <v>27721</v>
      </c>
      <c r="J9488" t="s">
        <v>14602</v>
      </c>
      <c r="K9488" t="s">
        <v>27044</v>
      </c>
      <c r="L9488" t="s">
        <v>3638</v>
      </c>
    </row>
    <row r="9489" spans="1:12">
      <c r="A9489" t="s">
        <v>27039</v>
      </c>
      <c r="B9489" t="s">
        <v>27040</v>
      </c>
      <c r="C9489" t="s">
        <v>27722</v>
      </c>
      <c r="D9489" t="s">
        <v>27042</v>
      </c>
      <c r="E9489" t="s">
        <v>20857</v>
      </c>
      <c r="F9489" t="s">
        <v>27723</v>
      </c>
      <c r="J9489" t="s">
        <v>20857</v>
      </c>
      <c r="K9489" t="s">
        <v>27044</v>
      </c>
      <c r="L9489" t="s">
        <v>3638</v>
      </c>
    </row>
    <row r="9490" spans="1:12">
      <c r="A9490" t="s">
        <v>27039</v>
      </c>
      <c r="B9490" t="s">
        <v>27040</v>
      </c>
      <c r="C9490" t="s">
        <v>27724</v>
      </c>
      <c r="D9490" t="s">
        <v>27042</v>
      </c>
      <c r="E9490" t="s">
        <v>7463</v>
      </c>
      <c r="F9490" t="s">
        <v>27725</v>
      </c>
      <c r="J9490" t="s">
        <v>7463</v>
      </c>
      <c r="K9490" t="s">
        <v>27044</v>
      </c>
      <c r="L9490" t="s">
        <v>3638</v>
      </c>
    </row>
    <row r="9491" spans="1:12">
      <c r="A9491" t="s">
        <v>27039</v>
      </c>
      <c r="B9491" t="s">
        <v>27040</v>
      </c>
      <c r="C9491" t="s">
        <v>27726</v>
      </c>
      <c r="D9491" t="s">
        <v>27042</v>
      </c>
      <c r="E9491" t="s">
        <v>13034</v>
      </c>
      <c r="F9491" t="s">
        <v>27727</v>
      </c>
    </row>
    <row r="9492" spans="1:12">
      <c r="A9492" t="s">
        <v>27039</v>
      </c>
      <c r="B9492" t="s">
        <v>27040</v>
      </c>
      <c r="C9492" t="s">
        <v>27728</v>
      </c>
      <c r="D9492" t="s">
        <v>27042</v>
      </c>
      <c r="E9492" t="s">
        <v>27729</v>
      </c>
      <c r="F9492" t="s">
        <v>27730</v>
      </c>
    </row>
    <row r="9493" spans="1:12">
      <c r="A9493" t="s">
        <v>27039</v>
      </c>
      <c r="B9493" t="s">
        <v>27040</v>
      </c>
      <c r="C9493" t="s">
        <v>27731</v>
      </c>
      <c r="D9493" t="s">
        <v>27042</v>
      </c>
      <c r="E9493" t="s">
        <v>14626</v>
      </c>
      <c r="F9493" t="s">
        <v>27732</v>
      </c>
    </row>
    <row r="9494" spans="1:12">
      <c r="A9494" t="s">
        <v>27039</v>
      </c>
      <c r="B9494" t="s">
        <v>27040</v>
      </c>
      <c r="C9494" t="s">
        <v>27733</v>
      </c>
      <c r="D9494" t="s">
        <v>27042</v>
      </c>
      <c r="E9494" t="s">
        <v>27734</v>
      </c>
      <c r="F9494" t="s">
        <v>27735</v>
      </c>
      <c r="J9494" t="s">
        <v>27734</v>
      </c>
      <c r="K9494" t="s">
        <v>27044</v>
      </c>
      <c r="L9494" t="s">
        <v>3638</v>
      </c>
    </row>
    <row r="9495" spans="1:12">
      <c r="A9495" t="s">
        <v>27039</v>
      </c>
      <c r="B9495" t="s">
        <v>27040</v>
      </c>
      <c r="C9495" t="s">
        <v>27736</v>
      </c>
      <c r="D9495" t="s">
        <v>27042</v>
      </c>
      <c r="E9495" t="s">
        <v>20941</v>
      </c>
      <c r="F9495" t="s">
        <v>27737</v>
      </c>
    </row>
    <row r="9496" spans="1:12">
      <c r="A9496" t="s">
        <v>27039</v>
      </c>
      <c r="B9496" t="s">
        <v>27040</v>
      </c>
      <c r="C9496" t="s">
        <v>27738</v>
      </c>
      <c r="D9496" t="s">
        <v>27042</v>
      </c>
      <c r="E9496" t="s">
        <v>27739</v>
      </c>
      <c r="F9496" t="s">
        <v>27740</v>
      </c>
    </row>
    <row r="9497" spans="1:12">
      <c r="A9497" t="s">
        <v>27039</v>
      </c>
      <c r="B9497" t="s">
        <v>27040</v>
      </c>
      <c r="C9497" t="s">
        <v>27741</v>
      </c>
      <c r="D9497" t="s">
        <v>27042</v>
      </c>
      <c r="E9497" t="s">
        <v>27742</v>
      </c>
      <c r="F9497" t="s">
        <v>27743</v>
      </c>
      <c r="J9497" t="s">
        <v>27742</v>
      </c>
      <c r="K9497" t="s">
        <v>27044</v>
      </c>
      <c r="L9497" t="s">
        <v>3638</v>
      </c>
    </row>
    <row r="9498" spans="1:12">
      <c r="A9498" t="s">
        <v>27039</v>
      </c>
      <c r="B9498" t="s">
        <v>27040</v>
      </c>
      <c r="C9498" t="s">
        <v>27744</v>
      </c>
      <c r="D9498" t="s">
        <v>27042</v>
      </c>
      <c r="E9498" t="s">
        <v>27745</v>
      </c>
      <c r="F9498" t="s">
        <v>27746</v>
      </c>
      <c r="J9498" t="s">
        <v>27745</v>
      </c>
      <c r="K9498" t="s">
        <v>27044</v>
      </c>
      <c r="L9498" t="s">
        <v>3638</v>
      </c>
    </row>
    <row r="9499" spans="1:12">
      <c r="A9499" t="s">
        <v>27039</v>
      </c>
      <c r="B9499" t="s">
        <v>27040</v>
      </c>
      <c r="C9499" t="s">
        <v>27747</v>
      </c>
      <c r="D9499" t="s">
        <v>27042</v>
      </c>
      <c r="E9499" t="s">
        <v>23260</v>
      </c>
      <c r="F9499" t="s">
        <v>27748</v>
      </c>
    </row>
    <row r="9500" spans="1:12">
      <c r="A9500" t="s">
        <v>27039</v>
      </c>
      <c r="B9500" t="s">
        <v>27040</v>
      </c>
      <c r="C9500" t="s">
        <v>27749</v>
      </c>
      <c r="D9500" t="s">
        <v>27042</v>
      </c>
      <c r="E9500" t="s">
        <v>26125</v>
      </c>
      <c r="F9500" t="s">
        <v>27750</v>
      </c>
    </row>
    <row r="9501" spans="1:12">
      <c r="A9501" t="s">
        <v>27039</v>
      </c>
      <c r="B9501" t="s">
        <v>27040</v>
      </c>
      <c r="C9501" t="s">
        <v>27751</v>
      </c>
      <c r="D9501" t="s">
        <v>27042</v>
      </c>
      <c r="E9501" t="s">
        <v>26919</v>
      </c>
      <c r="F9501" t="s">
        <v>27752</v>
      </c>
    </row>
    <row r="9502" spans="1:12">
      <c r="A9502" t="s">
        <v>27039</v>
      </c>
      <c r="B9502" t="s">
        <v>27040</v>
      </c>
      <c r="C9502" t="s">
        <v>27753</v>
      </c>
      <c r="D9502" t="s">
        <v>27042</v>
      </c>
      <c r="E9502" t="s">
        <v>2990</v>
      </c>
      <c r="F9502" t="s">
        <v>27754</v>
      </c>
    </row>
    <row r="9503" spans="1:12">
      <c r="A9503" t="s">
        <v>27039</v>
      </c>
      <c r="B9503" t="s">
        <v>27040</v>
      </c>
      <c r="C9503" t="s">
        <v>27755</v>
      </c>
      <c r="D9503" t="s">
        <v>27042</v>
      </c>
      <c r="E9503" t="s">
        <v>7670</v>
      </c>
      <c r="F9503" t="s">
        <v>27756</v>
      </c>
    </row>
    <row r="9504" spans="1:12">
      <c r="A9504" t="s">
        <v>27039</v>
      </c>
      <c r="B9504" t="s">
        <v>27040</v>
      </c>
      <c r="C9504" t="s">
        <v>27757</v>
      </c>
      <c r="D9504" t="s">
        <v>27042</v>
      </c>
      <c r="E9504" t="s">
        <v>27758</v>
      </c>
      <c r="F9504" t="s">
        <v>27759</v>
      </c>
    </row>
    <row r="9505" spans="1:12">
      <c r="A9505" t="s">
        <v>27039</v>
      </c>
      <c r="B9505" t="s">
        <v>27040</v>
      </c>
      <c r="C9505" t="s">
        <v>27760</v>
      </c>
      <c r="D9505" t="s">
        <v>27042</v>
      </c>
      <c r="E9505" t="s">
        <v>27761</v>
      </c>
      <c r="F9505" t="s">
        <v>27762</v>
      </c>
    </row>
    <row r="9506" spans="1:12">
      <c r="A9506" t="s">
        <v>27039</v>
      </c>
      <c r="B9506" t="s">
        <v>27040</v>
      </c>
      <c r="C9506" t="s">
        <v>27763</v>
      </c>
      <c r="D9506" t="s">
        <v>27042</v>
      </c>
      <c r="E9506" t="s">
        <v>27764</v>
      </c>
      <c r="F9506" t="s">
        <v>27765</v>
      </c>
    </row>
    <row r="9507" spans="1:12">
      <c r="A9507" t="s">
        <v>27039</v>
      </c>
      <c r="B9507" t="s">
        <v>27040</v>
      </c>
      <c r="C9507" t="s">
        <v>27766</v>
      </c>
      <c r="D9507" t="s">
        <v>27042</v>
      </c>
      <c r="E9507" t="s">
        <v>21111</v>
      </c>
      <c r="F9507" t="s">
        <v>27767</v>
      </c>
    </row>
    <row r="9508" spans="1:12">
      <c r="A9508" t="s">
        <v>27039</v>
      </c>
      <c r="B9508" t="s">
        <v>27040</v>
      </c>
      <c r="C9508" t="s">
        <v>27768</v>
      </c>
      <c r="D9508" t="s">
        <v>27042</v>
      </c>
      <c r="E9508" t="s">
        <v>4808</v>
      </c>
      <c r="F9508" t="s">
        <v>27769</v>
      </c>
    </row>
    <row r="9509" spans="1:12">
      <c r="A9509" t="s">
        <v>27039</v>
      </c>
      <c r="B9509" t="s">
        <v>27040</v>
      </c>
      <c r="C9509" t="s">
        <v>27770</v>
      </c>
      <c r="D9509" t="s">
        <v>27042</v>
      </c>
      <c r="E9509" t="s">
        <v>27771</v>
      </c>
      <c r="F9509" t="s">
        <v>27772</v>
      </c>
    </row>
    <row r="9510" spans="1:12">
      <c r="A9510" t="s">
        <v>27039</v>
      </c>
      <c r="B9510" t="s">
        <v>27040</v>
      </c>
      <c r="C9510" t="s">
        <v>27773</v>
      </c>
      <c r="D9510" t="s">
        <v>27042</v>
      </c>
      <c r="E9510" t="s">
        <v>10630</v>
      </c>
      <c r="F9510" t="s">
        <v>27774</v>
      </c>
    </row>
    <row r="9511" spans="1:12">
      <c r="A9511" t="s">
        <v>27039</v>
      </c>
      <c r="B9511" t="s">
        <v>27040</v>
      </c>
      <c r="C9511" t="s">
        <v>27775</v>
      </c>
      <c r="D9511" t="s">
        <v>27042</v>
      </c>
      <c r="E9511" t="s">
        <v>27776</v>
      </c>
      <c r="F9511" t="s">
        <v>27777</v>
      </c>
    </row>
    <row r="9512" spans="1:12">
      <c r="A9512" t="s">
        <v>27039</v>
      </c>
      <c r="B9512" t="s">
        <v>27040</v>
      </c>
      <c r="C9512" t="s">
        <v>27778</v>
      </c>
      <c r="D9512" t="s">
        <v>27042</v>
      </c>
      <c r="E9512" t="s">
        <v>12123</v>
      </c>
      <c r="F9512" t="s">
        <v>27779</v>
      </c>
    </row>
    <row r="9513" spans="1:12">
      <c r="A9513" t="s">
        <v>27039</v>
      </c>
      <c r="B9513" t="s">
        <v>27040</v>
      </c>
      <c r="C9513" t="s">
        <v>27780</v>
      </c>
      <c r="D9513" t="s">
        <v>27042</v>
      </c>
      <c r="E9513" t="s">
        <v>21207</v>
      </c>
      <c r="F9513" t="s">
        <v>27781</v>
      </c>
    </row>
    <row r="9514" spans="1:12">
      <c r="A9514" t="s">
        <v>27039</v>
      </c>
      <c r="B9514" t="s">
        <v>27040</v>
      </c>
      <c r="C9514" t="s">
        <v>27782</v>
      </c>
      <c r="D9514" t="s">
        <v>27042</v>
      </c>
      <c r="E9514" t="s">
        <v>3008</v>
      </c>
      <c r="F9514" t="s">
        <v>27783</v>
      </c>
    </row>
    <row r="9515" spans="1:12">
      <c r="A9515" t="s">
        <v>27039</v>
      </c>
      <c r="B9515" t="s">
        <v>27040</v>
      </c>
      <c r="C9515" t="s">
        <v>27784</v>
      </c>
      <c r="D9515" t="s">
        <v>27042</v>
      </c>
      <c r="E9515" t="s">
        <v>27785</v>
      </c>
      <c r="F9515" t="s">
        <v>27786</v>
      </c>
      <c r="J9515" t="s">
        <v>27785</v>
      </c>
      <c r="K9515" t="s">
        <v>27044</v>
      </c>
      <c r="L9515" t="s">
        <v>3638</v>
      </c>
    </row>
    <row r="9516" spans="1:12">
      <c r="A9516" t="s">
        <v>27039</v>
      </c>
      <c r="B9516" t="s">
        <v>27040</v>
      </c>
      <c r="C9516" t="s">
        <v>27787</v>
      </c>
      <c r="D9516" t="s">
        <v>27042</v>
      </c>
      <c r="E9516" t="s">
        <v>27788</v>
      </c>
      <c r="F9516" t="s">
        <v>27789</v>
      </c>
      <c r="J9516" t="s">
        <v>27788</v>
      </c>
      <c r="K9516" t="s">
        <v>27044</v>
      </c>
      <c r="L9516" t="s">
        <v>3638</v>
      </c>
    </row>
    <row r="9517" spans="1:12">
      <c r="A9517" t="s">
        <v>27039</v>
      </c>
      <c r="B9517" t="s">
        <v>27040</v>
      </c>
      <c r="C9517" t="s">
        <v>27790</v>
      </c>
      <c r="D9517" t="s">
        <v>27042</v>
      </c>
      <c r="E9517" t="s">
        <v>27791</v>
      </c>
      <c r="F9517" t="s">
        <v>27792</v>
      </c>
    </row>
    <row r="9518" spans="1:12">
      <c r="A9518" t="s">
        <v>27039</v>
      </c>
      <c r="B9518" t="s">
        <v>27040</v>
      </c>
      <c r="C9518" t="s">
        <v>27793</v>
      </c>
      <c r="D9518" t="s">
        <v>27042</v>
      </c>
      <c r="E9518" t="s">
        <v>7990</v>
      </c>
      <c r="F9518" t="s">
        <v>27794</v>
      </c>
    </row>
    <row r="9519" spans="1:12">
      <c r="A9519" t="s">
        <v>27039</v>
      </c>
      <c r="B9519" t="s">
        <v>27040</v>
      </c>
      <c r="C9519" t="s">
        <v>27795</v>
      </c>
      <c r="D9519" t="s">
        <v>27042</v>
      </c>
      <c r="E9519" t="s">
        <v>27796</v>
      </c>
      <c r="F9519" t="s">
        <v>27797</v>
      </c>
    </row>
    <row r="9520" spans="1:12">
      <c r="A9520" t="s">
        <v>27039</v>
      </c>
      <c r="B9520" t="s">
        <v>27040</v>
      </c>
      <c r="C9520" t="s">
        <v>27798</v>
      </c>
      <c r="D9520" t="s">
        <v>27042</v>
      </c>
      <c r="E9520" t="s">
        <v>27799</v>
      </c>
      <c r="F9520" t="s">
        <v>27800</v>
      </c>
    </row>
    <row r="9521" spans="1:12">
      <c r="A9521" t="s">
        <v>27039</v>
      </c>
      <c r="B9521" t="s">
        <v>27040</v>
      </c>
      <c r="C9521" t="s">
        <v>27801</v>
      </c>
      <c r="D9521" t="s">
        <v>27042</v>
      </c>
      <c r="E9521" t="s">
        <v>27802</v>
      </c>
      <c r="F9521" t="s">
        <v>27803</v>
      </c>
      <c r="J9521" t="s">
        <v>27802</v>
      </c>
      <c r="K9521" t="s">
        <v>27044</v>
      </c>
      <c r="L9521" t="s">
        <v>3638</v>
      </c>
    </row>
    <row r="9522" spans="1:12">
      <c r="A9522" t="s">
        <v>27039</v>
      </c>
      <c r="B9522" t="s">
        <v>27040</v>
      </c>
      <c r="C9522" t="s">
        <v>27804</v>
      </c>
      <c r="D9522" t="s">
        <v>27042</v>
      </c>
      <c r="E9522" t="s">
        <v>12156</v>
      </c>
      <c r="F9522" t="s">
        <v>27805</v>
      </c>
    </row>
    <row r="9523" spans="1:12">
      <c r="A9523" t="s">
        <v>27039</v>
      </c>
      <c r="B9523" t="s">
        <v>27040</v>
      </c>
      <c r="C9523" t="s">
        <v>27806</v>
      </c>
      <c r="D9523" t="s">
        <v>27042</v>
      </c>
      <c r="E9523" t="s">
        <v>27807</v>
      </c>
      <c r="F9523" t="s">
        <v>27808</v>
      </c>
    </row>
    <row r="9524" spans="1:12">
      <c r="A9524" t="s">
        <v>27039</v>
      </c>
      <c r="B9524" t="s">
        <v>27040</v>
      </c>
      <c r="C9524" t="s">
        <v>27809</v>
      </c>
      <c r="D9524" t="s">
        <v>27042</v>
      </c>
      <c r="E9524" t="s">
        <v>10116</v>
      </c>
      <c r="F9524" t="s">
        <v>27810</v>
      </c>
    </row>
    <row r="9525" spans="1:12">
      <c r="A9525" t="s">
        <v>27039</v>
      </c>
      <c r="B9525" t="s">
        <v>27040</v>
      </c>
      <c r="C9525" t="s">
        <v>27811</v>
      </c>
      <c r="D9525" t="s">
        <v>27042</v>
      </c>
      <c r="E9525" t="s">
        <v>27812</v>
      </c>
      <c r="F9525" t="s">
        <v>27813</v>
      </c>
    </row>
    <row r="9526" spans="1:12">
      <c r="A9526" t="s">
        <v>27039</v>
      </c>
      <c r="B9526" t="s">
        <v>27040</v>
      </c>
      <c r="C9526" t="s">
        <v>27814</v>
      </c>
      <c r="D9526" t="s">
        <v>27042</v>
      </c>
      <c r="E9526" t="s">
        <v>5355</v>
      </c>
      <c r="F9526" t="s">
        <v>27815</v>
      </c>
      <c r="J9526" t="s">
        <v>5355</v>
      </c>
      <c r="K9526" t="s">
        <v>27044</v>
      </c>
      <c r="L9526" t="s">
        <v>3638</v>
      </c>
    </row>
    <row r="9527" spans="1:12">
      <c r="A9527" t="s">
        <v>27039</v>
      </c>
      <c r="B9527" t="s">
        <v>27040</v>
      </c>
      <c r="C9527" t="s">
        <v>27816</v>
      </c>
      <c r="D9527" t="s">
        <v>27042</v>
      </c>
      <c r="E9527" t="s">
        <v>27817</v>
      </c>
      <c r="F9527" t="s">
        <v>27818</v>
      </c>
      <c r="J9527" t="s">
        <v>27817</v>
      </c>
      <c r="K9527" t="s">
        <v>27044</v>
      </c>
      <c r="L9527" t="s">
        <v>3638</v>
      </c>
    </row>
    <row r="9528" spans="1:12">
      <c r="A9528" t="s">
        <v>27039</v>
      </c>
      <c r="B9528" t="s">
        <v>27040</v>
      </c>
      <c r="C9528" t="s">
        <v>27819</v>
      </c>
      <c r="D9528" t="s">
        <v>27042</v>
      </c>
      <c r="E9528" t="s">
        <v>21873</v>
      </c>
      <c r="F9528" t="s">
        <v>27820</v>
      </c>
      <c r="J9528" t="s">
        <v>21873</v>
      </c>
      <c r="K9528" t="s">
        <v>27044</v>
      </c>
      <c r="L9528" t="s">
        <v>3638</v>
      </c>
    </row>
    <row r="9529" spans="1:12">
      <c r="A9529" t="s">
        <v>27039</v>
      </c>
      <c r="B9529" t="s">
        <v>27040</v>
      </c>
      <c r="C9529" t="s">
        <v>27821</v>
      </c>
      <c r="D9529" t="s">
        <v>27042</v>
      </c>
      <c r="E9529" t="s">
        <v>27822</v>
      </c>
      <c r="F9529" t="s">
        <v>27823</v>
      </c>
      <c r="J9529" t="s">
        <v>27822</v>
      </c>
      <c r="K9529" t="s">
        <v>27044</v>
      </c>
      <c r="L9529" t="s">
        <v>3638</v>
      </c>
    </row>
    <row r="9530" spans="1:12">
      <c r="A9530" t="s">
        <v>27039</v>
      </c>
      <c r="B9530" t="s">
        <v>27040</v>
      </c>
      <c r="C9530" t="s">
        <v>27824</v>
      </c>
      <c r="D9530" t="s">
        <v>27042</v>
      </c>
      <c r="E9530" t="s">
        <v>22281</v>
      </c>
      <c r="F9530" t="s">
        <v>27825</v>
      </c>
      <c r="J9530" t="s">
        <v>22281</v>
      </c>
      <c r="K9530" t="s">
        <v>27044</v>
      </c>
      <c r="L9530" t="s">
        <v>3638</v>
      </c>
    </row>
    <row r="9531" spans="1:12">
      <c r="A9531" t="s">
        <v>27039</v>
      </c>
      <c r="B9531" t="s">
        <v>27040</v>
      </c>
      <c r="C9531" t="s">
        <v>27826</v>
      </c>
      <c r="D9531" t="s">
        <v>27042</v>
      </c>
      <c r="E9531" t="s">
        <v>655</v>
      </c>
      <c r="F9531" t="s">
        <v>656</v>
      </c>
    </row>
    <row r="9532" spans="1:12">
      <c r="A9532" t="s">
        <v>27039</v>
      </c>
      <c r="B9532" t="s">
        <v>27040</v>
      </c>
      <c r="D9532" t="s">
        <v>27042</v>
      </c>
      <c r="G9532" t="s">
        <v>27827</v>
      </c>
      <c r="J9532" t="s">
        <v>27828</v>
      </c>
      <c r="K9532" t="s">
        <v>27044</v>
      </c>
      <c r="L9532" t="s">
        <v>3638</v>
      </c>
    </row>
    <row r="9533" spans="1:12">
      <c r="A9533" t="s">
        <v>27039</v>
      </c>
      <c r="B9533" t="s">
        <v>27040</v>
      </c>
      <c r="D9533" t="s">
        <v>27042</v>
      </c>
      <c r="G9533" t="s">
        <v>27501</v>
      </c>
      <c r="J9533" t="s">
        <v>27829</v>
      </c>
      <c r="K9533" t="s">
        <v>27044</v>
      </c>
      <c r="L9533" t="s">
        <v>3638</v>
      </c>
    </row>
    <row r="9534" spans="1:12">
      <c r="A9534" t="s">
        <v>27830</v>
      </c>
      <c r="B9534" t="s">
        <v>27831</v>
      </c>
      <c r="C9534" t="s">
        <v>27832</v>
      </c>
      <c r="D9534" t="s">
        <v>27833</v>
      </c>
      <c r="E9534" t="s">
        <v>27834</v>
      </c>
      <c r="F9534" t="s">
        <v>27835</v>
      </c>
      <c r="J9534" t="s">
        <v>27834</v>
      </c>
      <c r="K9534" t="s">
        <v>27836</v>
      </c>
      <c r="L9534" t="s">
        <v>725</v>
      </c>
    </row>
    <row r="9535" spans="1:12">
      <c r="A9535" t="s">
        <v>27830</v>
      </c>
      <c r="B9535" t="s">
        <v>27831</v>
      </c>
      <c r="C9535" t="s">
        <v>27837</v>
      </c>
      <c r="D9535" t="s">
        <v>27833</v>
      </c>
      <c r="E9535" t="s">
        <v>22658</v>
      </c>
      <c r="F9535" t="s">
        <v>27838</v>
      </c>
      <c r="J9535" t="s">
        <v>22658</v>
      </c>
      <c r="K9535" t="s">
        <v>27836</v>
      </c>
      <c r="L9535" t="s">
        <v>725</v>
      </c>
    </row>
    <row r="9536" spans="1:12">
      <c r="A9536" t="s">
        <v>27830</v>
      </c>
      <c r="B9536" t="s">
        <v>27831</v>
      </c>
      <c r="C9536" t="s">
        <v>27839</v>
      </c>
      <c r="D9536" t="s">
        <v>27833</v>
      </c>
      <c r="E9536" t="s">
        <v>27840</v>
      </c>
      <c r="F9536" t="s">
        <v>27841</v>
      </c>
    </row>
    <row r="9537" spans="1:12">
      <c r="A9537" t="s">
        <v>27830</v>
      </c>
      <c r="B9537" t="s">
        <v>27831</v>
      </c>
      <c r="C9537" t="s">
        <v>27842</v>
      </c>
      <c r="D9537" t="s">
        <v>27833</v>
      </c>
      <c r="E9537" t="s">
        <v>27843</v>
      </c>
      <c r="F9537" t="s">
        <v>27844</v>
      </c>
      <c r="J9537" t="s">
        <v>27843</v>
      </c>
      <c r="K9537" t="s">
        <v>27836</v>
      </c>
      <c r="L9537" t="s">
        <v>725</v>
      </c>
    </row>
    <row r="9538" spans="1:12">
      <c r="A9538" t="s">
        <v>27830</v>
      </c>
      <c r="B9538" t="s">
        <v>27831</v>
      </c>
      <c r="C9538" t="s">
        <v>27845</v>
      </c>
      <c r="D9538" t="s">
        <v>27833</v>
      </c>
      <c r="E9538" t="s">
        <v>27846</v>
      </c>
      <c r="F9538" t="s">
        <v>27847</v>
      </c>
      <c r="J9538" t="s">
        <v>27846</v>
      </c>
      <c r="K9538" t="s">
        <v>27836</v>
      </c>
      <c r="L9538" t="s">
        <v>725</v>
      </c>
    </row>
    <row r="9539" spans="1:12">
      <c r="A9539" t="s">
        <v>27830</v>
      </c>
      <c r="B9539" t="s">
        <v>27831</v>
      </c>
      <c r="C9539" t="s">
        <v>27848</v>
      </c>
      <c r="D9539" t="s">
        <v>27833</v>
      </c>
      <c r="E9539" t="s">
        <v>27849</v>
      </c>
      <c r="F9539" t="s">
        <v>27850</v>
      </c>
      <c r="J9539" t="s">
        <v>27849</v>
      </c>
      <c r="K9539" t="s">
        <v>27836</v>
      </c>
      <c r="L9539" t="s">
        <v>725</v>
      </c>
    </row>
    <row r="9540" spans="1:12">
      <c r="A9540" t="s">
        <v>27830</v>
      </c>
      <c r="B9540" t="s">
        <v>27831</v>
      </c>
      <c r="C9540" t="s">
        <v>27851</v>
      </c>
      <c r="D9540" t="s">
        <v>27833</v>
      </c>
      <c r="E9540" t="s">
        <v>27852</v>
      </c>
      <c r="F9540" t="s">
        <v>27853</v>
      </c>
      <c r="J9540" t="s">
        <v>27852</v>
      </c>
      <c r="K9540" t="s">
        <v>27836</v>
      </c>
      <c r="L9540" t="s">
        <v>725</v>
      </c>
    </row>
    <row r="9541" spans="1:12">
      <c r="A9541" t="s">
        <v>27830</v>
      </c>
      <c r="B9541" t="s">
        <v>27831</v>
      </c>
      <c r="C9541" t="s">
        <v>27854</v>
      </c>
      <c r="D9541" t="s">
        <v>27833</v>
      </c>
      <c r="E9541" t="s">
        <v>14278</v>
      </c>
      <c r="F9541" t="s">
        <v>27855</v>
      </c>
      <c r="J9541" t="s">
        <v>14278</v>
      </c>
      <c r="K9541" t="s">
        <v>27836</v>
      </c>
      <c r="L9541" t="s">
        <v>725</v>
      </c>
    </row>
    <row r="9542" spans="1:12">
      <c r="A9542" t="s">
        <v>27830</v>
      </c>
      <c r="B9542" t="s">
        <v>27831</v>
      </c>
      <c r="C9542" t="s">
        <v>27856</v>
      </c>
      <c r="D9542" t="s">
        <v>27833</v>
      </c>
      <c r="E9542" t="s">
        <v>27857</v>
      </c>
      <c r="F9542" t="s">
        <v>27858</v>
      </c>
      <c r="J9542" t="s">
        <v>27857</v>
      </c>
      <c r="K9542" t="s">
        <v>27836</v>
      </c>
      <c r="L9542" t="s">
        <v>725</v>
      </c>
    </row>
    <row r="9543" spans="1:12">
      <c r="A9543" t="s">
        <v>27830</v>
      </c>
      <c r="B9543" t="s">
        <v>27831</v>
      </c>
      <c r="C9543" t="s">
        <v>27859</v>
      </c>
      <c r="D9543" t="s">
        <v>27833</v>
      </c>
      <c r="E9543" t="s">
        <v>27860</v>
      </c>
      <c r="F9543" t="s">
        <v>27861</v>
      </c>
      <c r="J9543" t="s">
        <v>27860</v>
      </c>
      <c r="K9543" t="s">
        <v>27836</v>
      </c>
      <c r="L9543" t="s">
        <v>725</v>
      </c>
    </row>
    <row r="9544" spans="1:12">
      <c r="A9544" t="s">
        <v>27830</v>
      </c>
      <c r="B9544" t="s">
        <v>27831</v>
      </c>
      <c r="C9544" t="s">
        <v>27862</v>
      </c>
      <c r="D9544" t="s">
        <v>27833</v>
      </c>
      <c r="E9544" t="s">
        <v>12618</v>
      </c>
      <c r="F9544" t="s">
        <v>15066</v>
      </c>
      <c r="J9544" t="s">
        <v>12618</v>
      </c>
      <c r="K9544" t="s">
        <v>27836</v>
      </c>
      <c r="L9544" t="s">
        <v>725</v>
      </c>
    </row>
    <row r="9545" spans="1:12">
      <c r="A9545" t="s">
        <v>27830</v>
      </c>
      <c r="B9545" t="s">
        <v>27831</v>
      </c>
      <c r="C9545" t="s">
        <v>27863</v>
      </c>
      <c r="D9545" t="s">
        <v>27833</v>
      </c>
      <c r="E9545" t="s">
        <v>17651</v>
      </c>
      <c r="F9545" t="s">
        <v>27864</v>
      </c>
      <c r="J9545" t="s">
        <v>17651</v>
      </c>
      <c r="K9545" t="s">
        <v>27836</v>
      </c>
      <c r="L9545" t="s">
        <v>725</v>
      </c>
    </row>
    <row r="9546" spans="1:12">
      <c r="A9546" t="s">
        <v>27830</v>
      </c>
      <c r="B9546" t="s">
        <v>27831</v>
      </c>
      <c r="C9546" t="s">
        <v>27865</v>
      </c>
      <c r="D9546" t="s">
        <v>27833</v>
      </c>
      <c r="E9546" t="s">
        <v>27866</v>
      </c>
      <c r="F9546" t="s">
        <v>27867</v>
      </c>
      <c r="J9546" t="s">
        <v>27866</v>
      </c>
      <c r="K9546" t="s">
        <v>27836</v>
      </c>
      <c r="L9546" t="s">
        <v>725</v>
      </c>
    </row>
    <row r="9547" spans="1:12">
      <c r="A9547" t="s">
        <v>27830</v>
      </c>
      <c r="B9547" t="s">
        <v>27831</v>
      </c>
      <c r="C9547" t="s">
        <v>27868</v>
      </c>
      <c r="D9547" t="s">
        <v>27833</v>
      </c>
      <c r="E9547" t="s">
        <v>14303</v>
      </c>
      <c r="F9547" t="s">
        <v>27869</v>
      </c>
    </row>
    <row r="9548" spans="1:12">
      <c r="A9548" t="s">
        <v>27830</v>
      </c>
      <c r="B9548" t="s">
        <v>27831</v>
      </c>
      <c r="C9548" t="s">
        <v>27870</v>
      </c>
      <c r="D9548" t="s">
        <v>27833</v>
      </c>
      <c r="E9548" t="s">
        <v>27871</v>
      </c>
      <c r="F9548" t="s">
        <v>27872</v>
      </c>
      <c r="J9548" t="s">
        <v>27871</v>
      </c>
      <c r="K9548" t="s">
        <v>27836</v>
      </c>
      <c r="L9548" t="s">
        <v>725</v>
      </c>
    </row>
    <row r="9549" spans="1:12">
      <c r="A9549" t="s">
        <v>27830</v>
      </c>
      <c r="B9549" t="s">
        <v>27831</v>
      </c>
      <c r="C9549" t="s">
        <v>27873</v>
      </c>
      <c r="D9549" t="s">
        <v>27833</v>
      </c>
      <c r="E9549" t="s">
        <v>27874</v>
      </c>
      <c r="F9549" t="s">
        <v>27875</v>
      </c>
      <c r="J9549" t="s">
        <v>27874</v>
      </c>
      <c r="K9549" t="s">
        <v>27836</v>
      </c>
      <c r="L9549" t="s">
        <v>725</v>
      </c>
    </row>
    <row r="9550" spans="1:12">
      <c r="A9550" t="s">
        <v>27830</v>
      </c>
      <c r="B9550" t="s">
        <v>27831</v>
      </c>
      <c r="C9550" t="s">
        <v>27876</v>
      </c>
      <c r="D9550" t="s">
        <v>27833</v>
      </c>
      <c r="E9550" t="s">
        <v>27877</v>
      </c>
      <c r="F9550" t="s">
        <v>27878</v>
      </c>
      <c r="J9550" t="s">
        <v>27877</v>
      </c>
      <c r="K9550" t="s">
        <v>27836</v>
      </c>
      <c r="L9550" t="s">
        <v>725</v>
      </c>
    </row>
    <row r="9551" spans="1:12">
      <c r="A9551" t="s">
        <v>27830</v>
      </c>
      <c r="B9551" t="s">
        <v>27831</v>
      </c>
      <c r="C9551" t="s">
        <v>27879</v>
      </c>
      <c r="D9551" t="s">
        <v>27833</v>
      </c>
      <c r="E9551" t="s">
        <v>27880</v>
      </c>
      <c r="F9551" t="s">
        <v>27881</v>
      </c>
      <c r="J9551" t="s">
        <v>27880</v>
      </c>
      <c r="K9551" t="s">
        <v>27836</v>
      </c>
      <c r="L9551" t="s">
        <v>725</v>
      </c>
    </row>
    <row r="9552" spans="1:12">
      <c r="A9552" t="s">
        <v>27830</v>
      </c>
      <c r="B9552" t="s">
        <v>27831</v>
      </c>
      <c r="C9552" t="s">
        <v>27882</v>
      </c>
      <c r="D9552" t="s">
        <v>27833</v>
      </c>
      <c r="E9552" t="s">
        <v>27883</v>
      </c>
      <c r="F9552" t="s">
        <v>27884</v>
      </c>
      <c r="J9552" t="s">
        <v>27883</v>
      </c>
      <c r="K9552" t="s">
        <v>27836</v>
      </c>
      <c r="L9552" t="s">
        <v>725</v>
      </c>
    </row>
    <row r="9553" spans="1:12">
      <c r="A9553" t="s">
        <v>27830</v>
      </c>
      <c r="B9553" t="s">
        <v>27831</v>
      </c>
      <c r="C9553" t="s">
        <v>27885</v>
      </c>
      <c r="D9553" t="s">
        <v>27833</v>
      </c>
      <c r="E9553" t="s">
        <v>19193</v>
      </c>
      <c r="F9553" t="s">
        <v>27886</v>
      </c>
      <c r="J9553" t="s">
        <v>19193</v>
      </c>
      <c r="K9553" t="s">
        <v>27836</v>
      </c>
      <c r="L9553" t="s">
        <v>725</v>
      </c>
    </row>
    <row r="9554" spans="1:12">
      <c r="A9554" t="s">
        <v>27830</v>
      </c>
      <c r="B9554" t="s">
        <v>27831</v>
      </c>
      <c r="C9554" t="s">
        <v>27887</v>
      </c>
      <c r="D9554" t="s">
        <v>27833</v>
      </c>
      <c r="E9554" t="s">
        <v>987</v>
      </c>
      <c r="F9554" t="s">
        <v>27888</v>
      </c>
    </row>
    <row r="9555" spans="1:12">
      <c r="A9555" t="s">
        <v>27830</v>
      </c>
      <c r="B9555" t="s">
        <v>27831</v>
      </c>
      <c r="C9555" t="s">
        <v>27889</v>
      </c>
      <c r="D9555" t="s">
        <v>27833</v>
      </c>
      <c r="E9555" t="s">
        <v>19813</v>
      </c>
      <c r="F9555" t="s">
        <v>27890</v>
      </c>
      <c r="J9555" t="s">
        <v>19813</v>
      </c>
      <c r="K9555" t="s">
        <v>27836</v>
      </c>
      <c r="L9555" t="s">
        <v>725</v>
      </c>
    </row>
    <row r="9556" spans="1:12">
      <c r="A9556" t="s">
        <v>27830</v>
      </c>
      <c r="B9556" t="s">
        <v>27831</v>
      </c>
      <c r="C9556" t="s">
        <v>27891</v>
      </c>
      <c r="D9556" t="s">
        <v>27833</v>
      </c>
      <c r="E9556" t="s">
        <v>27892</v>
      </c>
      <c r="F9556" t="s">
        <v>27893</v>
      </c>
    </row>
    <row r="9557" spans="1:12">
      <c r="A9557" t="s">
        <v>27830</v>
      </c>
      <c r="B9557" t="s">
        <v>27831</v>
      </c>
      <c r="C9557" t="s">
        <v>27894</v>
      </c>
      <c r="D9557" t="s">
        <v>27833</v>
      </c>
      <c r="E9557" t="s">
        <v>27895</v>
      </c>
      <c r="F9557" t="s">
        <v>27896</v>
      </c>
      <c r="J9557" t="s">
        <v>27895</v>
      </c>
      <c r="K9557" t="s">
        <v>27836</v>
      </c>
      <c r="L9557" t="s">
        <v>725</v>
      </c>
    </row>
    <row r="9558" spans="1:12">
      <c r="A9558" t="s">
        <v>27830</v>
      </c>
      <c r="B9558" t="s">
        <v>27831</v>
      </c>
      <c r="C9558" t="s">
        <v>27897</v>
      </c>
      <c r="D9558" t="s">
        <v>27833</v>
      </c>
      <c r="E9558" t="s">
        <v>14473</v>
      </c>
      <c r="F9558" t="s">
        <v>27898</v>
      </c>
      <c r="J9558" t="s">
        <v>14473</v>
      </c>
      <c r="K9558" t="s">
        <v>27836</v>
      </c>
      <c r="L9558" t="s">
        <v>725</v>
      </c>
    </row>
    <row r="9559" spans="1:12">
      <c r="A9559" t="s">
        <v>27830</v>
      </c>
      <c r="B9559" t="s">
        <v>27831</v>
      </c>
      <c r="C9559" t="s">
        <v>27899</v>
      </c>
      <c r="D9559" t="s">
        <v>27833</v>
      </c>
      <c r="E9559" t="s">
        <v>5226</v>
      </c>
      <c r="F9559" t="s">
        <v>27900</v>
      </c>
      <c r="J9559" t="s">
        <v>5226</v>
      </c>
      <c r="K9559" t="s">
        <v>27836</v>
      </c>
      <c r="L9559" t="s">
        <v>725</v>
      </c>
    </row>
    <row r="9560" spans="1:12">
      <c r="A9560" t="s">
        <v>27830</v>
      </c>
      <c r="B9560" t="s">
        <v>27831</v>
      </c>
      <c r="C9560" t="s">
        <v>27901</v>
      </c>
      <c r="D9560" t="s">
        <v>27833</v>
      </c>
      <c r="E9560" t="s">
        <v>27902</v>
      </c>
      <c r="F9560" t="s">
        <v>27903</v>
      </c>
      <c r="J9560" t="s">
        <v>27902</v>
      </c>
      <c r="K9560" t="s">
        <v>27836</v>
      </c>
      <c r="L9560" t="s">
        <v>725</v>
      </c>
    </row>
    <row r="9561" spans="1:12">
      <c r="A9561" t="s">
        <v>27830</v>
      </c>
      <c r="B9561" t="s">
        <v>27831</v>
      </c>
      <c r="C9561" t="s">
        <v>27904</v>
      </c>
      <c r="D9561" t="s">
        <v>27833</v>
      </c>
      <c r="E9561" t="s">
        <v>27905</v>
      </c>
      <c r="F9561" t="s">
        <v>27906</v>
      </c>
      <c r="J9561" t="s">
        <v>27905</v>
      </c>
      <c r="K9561" t="s">
        <v>27836</v>
      </c>
      <c r="L9561" t="s">
        <v>725</v>
      </c>
    </row>
    <row r="9562" spans="1:12">
      <c r="A9562" t="s">
        <v>27830</v>
      </c>
      <c r="B9562" t="s">
        <v>27831</v>
      </c>
      <c r="C9562" t="s">
        <v>27907</v>
      </c>
      <c r="D9562" t="s">
        <v>27833</v>
      </c>
      <c r="E9562" t="s">
        <v>27908</v>
      </c>
      <c r="F9562" t="s">
        <v>27909</v>
      </c>
      <c r="J9562" t="s">
        <v>27908</v>
      </c>
      <c r="K9562" t="s">
        <v>27836</v>
      </c>
      <c r="L9562" t="s">
        <v>725</v>
      </c>
    </row>
    <row r="9563" spans="1:12">
      <c r="A9563" t="s">
        <v>27830</v>
      </c>
      <c r="B9563" t="s">
        <v>27831</v>
      </c>
      <c r="C9563" t="s">
        <v>27910</v>
      </c>
      <c r="D9563" t="s">
        <v>27833</v>
      </c>
      <c r="E9563" t="s">
        <v>8180</v>
      </c>
      <c r="F9563" t="s">
        <v>27911</v>
      </c>
      <c r="J9563" t="s">
        <v>8180</v>
      </c>
      <c r="K9563" t="s">
        <v>27836</v>
      </c>
      <c r="L9563" t="s">
        <v>725</v>
      </c>
    </row>
    <row r="9564" spans="1:12">
      <c r="A9564" t="s">
        <v>27830</v>
      </c>
      <c r="B9564" t="s">
        <v>27831</v>
      </c>
      <c r="C9564" t="s">
        <v>27912</v>
      </c>
      <c r="D9564" t="s">
        <v>27833</v>
      </c>
      <c r="E9564" t="s">
        <v>20530</v>
      </c>
      <c r="F9564" t="s">
        <v>27913</v>
      </c>
      <c r="J9564" t="s">
        <v>20530</v>
      </c>
      <c r="K9564" t="s">
        <v>27836</v>
      </c>
      <c r="L9564" t="s">
        <v>725</v>
      </c>
    </row>
    <row r="9565" spans="1:12">
      <c r="A9565" t="s">
        <v>27830</v>
      </c>
      <c r="B9565" t="s">
        <v>27831</v>
      </c>
      <c r="C9565" t="s">
        <v>27914</v>
      </c>
      <c r="D9565" t="s">
        <v>27833</v>
      </c>
      <c r="E9565" t="s">
        <v>27915</v>
      </c>
      <c r="F9565" t="s">
        <v>27916</v>
      </c>
      <c r="J9565" t="s">
        <v>27915</v>
      </c>
      <c r="K9565" t="s">
        <v>27836</v>
      </c>
      <c r="L9565" t="s">
        <v>725</v>
      </c>
    </row>
    <row r="9566" spans="1:12">
      <c r="A9566" t="s">
        <v>27830</v>
      </c>
      <c r="B9566" t="s">
        <v>27831</v>
      </c>
      <c r="C9566" t="s">
        <v>27917</v>
      </c>
      <c r="D9566" t="s">
        <v>27833</v>
      </c>
      <c r="E9566" t="s">
        <v>27918</v>
      </c>
      <c r="F9566" t="s">
        <v>7441</v>
      </c>
      <c r="J9566" t="s">
        <v>27918</v>
      </c>
      <c r="K9566" t="s">
        <v>27836</v>
      </c>
      <c r="L9566" t="s">
        <v>725</v>
      </c>
    </row>
    <row r="9567" spans="1:12">
      <c r="A9567" t="s">
        <v>27830</v>
      </c>
      <c r="B9567" t="s">
        <v>27831</v>
      </c>
      <c r="C9567" t="s">
        <v>27919</v>
      </c>
      <c r="D9567" t="s">
        <v>27833</v>
      </c>
      <c r="E9567" t="s">
        <v>25054</v>
      </c>
      <c r="F9567" t="s">
        <v>27920</v>
      </c>
      <c r="J9567" t="s">
        <v>25054</v>
      </c>
      <c r="K9567" t="s">
        <v>27836</v>
      </c>
      <c r="L9567" t="s">
        <v>725</v>
      </c>
    </row>
    <row r="9568" spans="1:12">
      <c r="A9568" t="s">
        <v>27830</v>
      </c>
      <c r="B9568" t="s">
        <v>27831</v>
      </c>
      <c r="C9568" t="s">
        <v>27921</v>
      </c>
      <c r="D9568" t="s">
        <v>27833</v>
      </c>
      <c r="E9568" t="s">
        <v>5323</v>
      </c>
      <c r="F9568" t="s">
        <v>27922</v>
      </c>
    </row>
    <row r="9569" spans="1:12">
      <c r="A9569" t="s">
        <v>27830</v>
      </c>
      <c r="B9569" t="s">
        <v>27831</v>
      </c>
      <c r="C9569" t="s">
        <v>27923</v>
      </c>
      <c r="D9569" t="s">
        <v>27833</v>
      </c>
      <c r="E9569" t="s">
        <v>5329</v>
      </c>
      <c r="F9569" t="s">
        <v>27924</v>
      </c>
      <c r="J9569" t="s">
        <v>5329</v>
      </c>
      <c r="K9569" t="s">
        <v>27836</v>
      </c>
      <c r="L9569" t="s">
        <v>725</v>
      </c>
    </row>
    <row r="9570" spans="1:12">
      <c r="A9570" t="s">
        <v>27830</v>
      </c>
      <c r="B9570" t="s">
        <v>27831</v>
      </c>
      <c r="C9570" t="s">
        <v>27925</v>
      </c>
      <c r="D9570" t="s">
        <v>27833</v>
      </c>
      <c r="E9570" t="s">
        <v>10066</v>
      </c>
      <c r="F9570" t="s">
        <v>27926</v>
      </c>
      <c r="J9570" t="s">
        <v>10066</v>
      </c>
      <c r="K9570" t="s">
        <v>27836</v>
      </c>
      <c r="L9570" t="s">
        <v>725</v>
      </c>
    </row>
    <row r="9571" spans="1:12">
      <c r="A9571" t="s">
        <v>27830</v>
      </c>
      <c r="B9571" t="s">
        <v>27831</v>
      </c>
      <c r="C9571" t="s">
        <v>27927</v>
      </c>
      <c r="D9571" t="s">
        <v>27833</v>
      </c>
      <c r="E9571" t="s">
        <v>27928</v>
      </c>
      <c r="F9571" t="s">
        <v>27929</v>
      </c>
      <c r="J9571" t="s">
        <v>27928</v>
      </c>
      <c r="K9571" t="s">
        <v>27836</v>
      </c>
      <c r="L9571" t="s">
        <v>725</v>
      </c>
    </row>
    <row r="9572" spans="1:12">
      <c r="A9572" t="s">
        <v>27830</v>
      </c>
      <c r="B9572" t="s">
        <v>27831</v>
      </c>
      <c r="C9572" t="s">
        <v>27930</v>
      </c>
      <c r="D9572" t="s">
        <v>27833</v>
      </c>
      <c r="E9572" t="s">
        <v>655</v>
      </c>
      <c r="F9572" t="s">
        <v>656</v>
      </c>
    </row>
    <row r="9573" spans="1:12">
      <c r="A9573" t="s">
        <v>27931</v>
      </c>
      <c r="B9573" t="s">
        <v>27932</v>
      </c>
      <c r="C9573" t="s">
        <v>27933</v>
      </c>
      <c r="D9573" t="s">
        <v>27934</v>
      </c>
      <c r="E9573" t="s">
        <v>15555</v>
      </c>
      <c r="F9573" t="s">
        <v>27935</v>
      </c>
    </row>
    <row r="9574" spans="1:12">
      <c r="A9574" t="s">
        <v>27931</v>
      </c>
      <c r="B9574" t="s">
        <v>27932</v>
      </c>
      <c r="C9574" t="s">
        <v>27936</v>
      </c>
      <c r="D9574" t="s">
        <v>27934</v>
      </c>
      <c r="E9574" t="s">
        <v>27937</v>
      </c>
      <c r="F9574" t="s">
        <v>27938</v>
      </c>
      <c r="J9574" t="s">
        <v>27937</v>
      </c>
      <c r="K9574" t="s">
        <v>24572</v>
      </c>
      <c r="L9574" t="s">
        <v>851</v>
      </c>
    </row>
    <row r="9575" spans="1:12">
      <c r="A9575" t="s">
        <v>27931</v>
      </c>
      <c r="B9575" t="s">
        <v>27932</v>
      </c>
      <c r="C9575" t="s">
        <v>27939</v>
      </c>
      <c r="D9575" t="s">
        <v>27934</v>
      </c>
      <c r="E9575" t="s">
        <v>27940</v>
      </c>
      <c r="F9575" t="s">
        <v>27941</v>
      </c>
      <c r="J9575" t="s">
        <v>27940</v>
      </c>
      <c r="K9575" t="s">
        <v>24572</v>
      </c>
      <c r="L9575" t="s">
        <v>851</v>
      </c>
    </row>
    <row r="9576" spans="1:12">
      <c r="A9576" t="s">
        <v>27931</v>
      </c>
      <c r="B9576" t="s">
        <v>27932</v>
      </c>
      <c r="C9576" t="s">
        <v>27942</v>
      </c>
      <c r="D9576" t="s">
        <v>27934</v>
      </c>
      <c r="E9576" t="s">
        <v>8744</v>
      </c>
      <c r="F9576" t="s">
        <v>27943</v>
      </c>
    </row>
    <row r="9577" spans="1:12">
      <c r="A9577" t="s">
        <v>27931</v>
      </c>
      <c r="B9577" t="s">
        <v>27932</v>
      </c>
      <c r="C9577" t="s">
        <v>27944</v>
      </c>
      <c r="D9577" t="s">
        <v>27934</v>
      </c>
      <c r="E9577" t="s">
        <v>8972</v>
      </c>
      <c r="F9577" t="s">
        <v>27945</v>
      </c>
      <c r="J9577" t="s">
        <v>8972</v>
      </c>
      <c r="K9577" t="s">
        <v>24572</v>
      </c>
      <c r="L9577" t="s">
        <v>851</v>
      </c>
    </row>
    <row r="9578" spans="1:12">
      <c r="A9578" t="s">
        <v>27931</v>
      </c>
      <c r="B9578" t="s">
        <v>27932</v>
      </c>
      <c r="C9578" t="s">
        <v>27946</v>
      </c>
      <c r="D9578" t="s">
        <v>27934</v>
      </c>
      <c r="E9578" t="s">
        <v>27947</v>
      </c>
      <c r="F9578" t="s">
        <v>27948</v>
      </c>
    </row>
    <row r="9579" spans="1:12">
      <c r="A9579" t="s">
        <v>27931</v>
      </c>
      <c r="B9579" t="s">
        <v>27932</v>
      </c>
      <c r="C9579" t="s">
        <v>27949</v>
      </c>
      <c r="D9579" t="s">
        <v>27934</v>
      </c>
      <c r="E9579" t="s">
        <v>27950</v>
      </c>
      <c r="F9579" t="s">
        <v>27951</v>
      </c>
    </row>
    <row r="9580" spans="1:12">
      <c r="A9580" t="s">
        <v>27931</v>
      </c>
      <c r="B9580" t="s">
        <v>27932</v>
      </c>
      <c r="C9580" t="s">
        <v>27952</v>
      </c>
      <c r="D9580" t="s">
        <v>27934</v>
      </c>
      <c r="E9580" t="s">
        <v>9110</v>
      </c>
      <c r="F9580" t="s">
        <v>9110</v>
      </c>
    </row>
    <row r="9581" spans="1:12">
      <c r="A9581" t="s">
        <v>27931</v>
      </c>
      <c r="B9581" t="s">
        <v>27932</v>
      </c>
      <c r="C9581" t="s">
        <v>27953</v>
      </c>
      <c r="D9581" t="s">
        <v>27934</v>
      </c>
      <c r="E9581" t="s">
        <v>27954</v>
      </c>
      <c r="F9581" t="s">
        <v>27955</v>
      </c>
      <c r="J9581" t="s">
        <v>27954</v>
      </c>
      <c r="K9581" t="s">
        <v>24572</v>
      </c>
      <c r="L9581" t="s">
        <v>851</v>
      </c>
    </row>
    <row r="9582" spans="1:12">
      <c r="A9582" t="s">
        <v>27931</v>
      </c>
      <c r="B9582" t="s">
        <v>27932</v>
      </c>
      <c r="C9582" t="s">
        <v>27956</v>
      </c>
      <c r="D9582" t="s">
        <v>27934</v>
      </c>
      <c r="E9582" t="s">
        <v>3492</v>
      </c>
      <c r="F9582" t="s">
        <v>27957</v>
      </c>
    </row>
    <row r="9583" spans="1:12">
      <c r="A9583" t="s">
        <v>27931</v>
      </c>
      <c r="B9583" t="s">
        <v>27932</v>
      </c>
      <c r="C9583" t="s">
        <v>27958</v>
      </c>
      <c r="D9583" t="s">
        <v>27934</v>
      </c>
      <c r="E9583" t="s">
        <v>15182</v>
      </c>
      <c r="F9583" t="s">
        <v>27959</v>
      </c>
      <c r="J9583" t="s">
        <v>15182</v>
      </c>
      <c r="K9583" t="s">
        <v>24572</v>
      </c>
      <c r="L9583" t="s">
        <v>851</v>
      </c>
    </row>
    <row r="9584" spans="1:12">
      <c r="A9584" t="s">
        <v>27931</v>
      </c>
      <c r="B9584" t="s">
        <v>27932</v>
      </c>
      <c r="C9584" t="s">
        <v>27960</v>
      </c>
      <c r="D9584" t="s">
        <v>27934</v>
      </c>
      <c r="E9584" t="s">
        <v>27961</v>
      </c>
      <c r="F9584" t="s">
        <v>27962</v>
      </c>
      <c r="J9584" t="s">
        <v>27961</v>
      </c>
      <c r="K9584" t="s">
        <v>24572</v>
      </c>
      <c r="L9584" t="s">
        <v>851</v>
      </c>
    </row>
    <row r="9585" spans="1:12">
      <c r="A9585" t="s">
        <v>27931</v>
      </c>
      <c r="B9585" t="s">
        <v>27932</v>
      </c>
      <c r="C9585" t="s">
        <v>27963</v>
      </c>
      <c r="D9585" t="s">
        <v>27934</v>
      </c>
      <c r="E9585" t="s">
        <v>27964</v>
      </c>
      <c r="F9585" t="s">
        <v>27965</v>
      </c>
      <c r="J9585" t="s">
        <v>27964</v>
      </c>
      <c r="K9585" t="s">
        <v>24572</v>
      </c>
      <c r="L9585" t="s">
        <v>851</v>
      </c>
    </row>
    <row r="9586" spans="1:12">
      <c r="A9586" t="s">
        <v>27931</v>
      </c>
      <c r="B9586" t="s">
        <v>27932</v>
      </c>
      <c r="C9586" t="s">
        <v>27966</v>
      </c>
      <c r="D9586" t="s">
        <v>27934</v>
      </c>
      <c r="E9586" t="s">
        <v>27967</v>
      </c>
      <c r="F9586" t="s">
        <v>27968</v>
      </c>
    </row>
    <row r="9587" spans="1:12">
      <c r="A9587" t="s">
        <v>27931</v>
      </c>
      <c r="B9587" t="s">
        <v>27932</v>
      </c>
      <c r="C9587" t="s">
        <v>27969</v>
      </c>
      <c r="D9587" t="s">
        <v>27934</v>
      </c>
      <c r="E9587" t="s">
        <v>27970</v>
      </c>
      <c r="F9587" t="s">
        <v>27971</v>
      </c>
    </row>
    <row r="9588" spans="1:12">
      <c r="A9588" t="s">
        <v>27931</v>
      </c>
      <c r="B9588" t="s">
        <v>27932</v>
      </c>
      <c r="C9588" t="s">
        <v>27972</v>
      </c>
      <c r="D9588" t="s">
        <v>27934</v>
      </c>
      <c r="E9588" t="s">
        <v>27973</v>
      </c>
      <c r="F9588" t="s">
        <v>27974</v>
      </c>
      <c r="J9588" t="s">
        <v>27973</v>
      </c>
      <c r="K9588" t="s">
        <v>24572</v>
      </c>
      <c r="L9588" t="s">
        <v>851</v>
      </c>
    </row>
    <row r="9589" spans="1:12">
      <c r="A9589" t="s">
        <v>27931</v>
      </c>
      <c r="B9589" t="s">
        <v>27932</v>
      </c>
      <c r="C9589" t="s">
        <v>27975</v>
      </c>
      <c r="D9589" t="s">
        <v>27934</v>
      </c>
      <c r="E9589" t="s">
        <v>15892</v>
      </c>
      <c r="F9589" t="s">
        <v>27976</v>
      </c>
      <c r="J9589" t="s">
        <v>15892</v>
      </c>
      <c r="K9589" t="s">
        <v>24572</v>
      </c>
      <c r="L9589" t="s">
        <v>851</v>
      </c>
    </row>
    <row r="9590" spans="1:12">
      <c r="A9590" t="s">
        <v>27931</v>
      </c>
      <c r="B9590" t="s">
        <v>27932</v>
      </c>
      <c r="C9590" t="s">
        <v>27977</v>
      </c>
      <c r="D9590" t="s">
        <v>27934</v>
      </c>
      <c r="E9590" t="s">
        <v>27978</v>
      </c>
      <c r="F9590" t="s">
        <v>27979</v>
      </c>
      <c r="J9590" t="s">
        <v>27978</v>
      </c>
      <c r="K9590" t="s">
        <v>24572</v>
      </c>
      <c r="L9590" t="s">
        <v>851</v>
      </c>
    </row>
    <row r="9591" spans="1:12">
      <c r="A9591" t="s">
        <v>27931</v>
      </c>
      <c r="B9591" t="s">
        <v>27932</v>
      </c>
      <c r="C9591" t="s">
        <v>27980</v>
      </c>
      <c r="D9591" t="s">
        <v>27934</v>
      </c>
      <c r="E9591" t="s">
        <v>27981</v>
      </c>
      <c r="F9591" t="s">
        <v>27982</v>
      </c>
    </row>
    <row r="9592" spans="1:12">
      <c r="A9592" t="s">
        <v>27931</v>
      </c>
      <c r="B9592" t="s">
        <v>27932</v>
      </c>
      <c r="C9592" t="s">
        <v>27983</v>
      </c>
      <c r="D9592" t="s">
        <v>27934</v>
      </c>
      <c r="E9592" t="s">
        <v>27984</v>
      </c>
      <c r="F9592" t="s">
        <v>27985</v>
      </c>
      <c r="J9592" t="s">
        <v>27984</v>
      </c>
      <c r="K9592" t="s">
        <v>24572</v>
      </c>
      <c r="L9592" t="s">
        <v>851</v>
      </c>
    </row>
    <row r="9593" spans="1:12">
      <c r="A9593" t="s">
        <v>27931</v>
      </c>
      <c r="B9593" t="s">
        <v>27932</v>
      </c>
      <c r="C9593" t="s">
        <v>27986</v>
      </c>
      <c r="D9593" t="s">
        <v>27934</v>
      </c>
      <c r="E9593" t="s">
        <v>21625</v>
      </c>
      <c r="F9593" t="s">
        <v>27987</v>
      </c>
    </row>
    <row r="9594" spans="1:12">
      <c r="A9594" t="s">
        <v>27931</v>
      </c>
      <c r="B9594" t="s">
        <v>27932</v>
      </c>
      <c r="C9594" t="s">
        <v>27988</v>
      </c>
      <c r="D9594" t="s">
        <v>27934</v>
      </c>
      <c r="E9594" t="s">
        <v>27812</v>
      </c>
      <c r="F9594" t="s">
        <v>27989</v>
      </c>
      <c r="J9594" t="s">
        <v>27812</v>
      </c>
      <c r="K9594" t="s">
        <v>24572</v>
      </c>
      <c r="L9594" t="s">
        <v>851</v>
      </c>
    </row>
    <row r="9595" spans="1:12">
      <c r="A9595" t="s">
        <v>27931</v>
      </c>
      <c r="B9595" t="s">
        <v>27932</v>
      </c>
      <c r="C9595" t="s">
        <v>27990</v>
      </c>
      <c r="D9595" t="s">
        <v>27934</v>
      </c>
      <c r="E9595" t="s">
        <v>3121</v>
      </c>
      <c r="F9595" t="s">
        <v>27991</v>
      </c>
    </row>
    <row r="9596" spans="1:12">
      <c r="A9596" t="s">
        <v>27931</v>
      </c>
      <c r="B9596" t="s">
        <v>27932</v>
      </c>
      <c r="C9596" t="s">
        <v>27992</v>
      </c>
      <c r="D9596" t="s">
        <v>27934</v>
      </c>
      <c r="E9596" t="s">
        <v>27993</v>
      </c>
      <c r="F9596" t="s">
        <v>27994</v>
      </c>
      <c r="J9596" t="s">
        <v>27993</v>
      </c>
      <c r="K9596" t="s">
        <v>24572</v>
      </c>
      <c r="L9596" t="s">
        <v>851</v>
      </c>
    </row>
    <row r="9597" spans="1:12">
      <c r="A9597" t="s">
        <v>27931</v>
      </c>
      <c r="B9597" t="s">
        <v>27932</v>
      </c>
      <c r="C9597" t="s">
        <v>27995</v>
      </c>
      <c r="D9597" t="s">
        <v>27934</v>
      </c>
      <c r="E9597" t="s">
        <v>655</v>
      </c>
      <c r="F9597" t="s">
        <v>656</v>
      </c>
    </row>
    <row r="9598" spans="1:12">
      <c r="A9598" t="s">
        <v>27931</v>
      </c>
      <c r="B9598" t="s">
        <v>27932</v>
      </c>
      <c r="D9598" t="s">
        <v>27934</v>
      </c>
      <c r="F9598" t="s">
        <v>27996</v>
      </c>
      <c r="J9598" t="s">
        <v>27997</v>
      </c>
      <c r="K9598" t="s">
        <v>24572</v>
      </c>
      <c r="L9598" t="s">
        <v>851</v>
      </c>
    </row>
    <row r="9599" spans="1:12">
      <c r="A9599" t="s">
        <v>27998</v>
      </c>
      <c r="B9599" t="s">
        <v>27999</v>
      </c>
      <c r="C9599" t="s">
        <v>28000</v>
      </c>
      <c r="D9599" t="s">
        <v>28001</v>
      </c>
      <c r="E9599" t="s">
        <v>28002</v>
      </c>
      <c r="F9599" t="s">
        <v>28003</v>
      </c>
      <c r="J9599" t="s">
        <v>28002</v>
      </c>
      <c r="K9599" t="s">
        <v>28004</v>
      </c>
      <c r="L9599" t="s">
        <v>4967</v>
      </c>
    </row>
    <row r="9600" spans="1:12">
      <c r="A9600" t="s">
        <v>27998</v>
      </c>
      <c r="B9600" t="s">
        <v>27999</v>
      </c>
      <c r="C9600" t="s">
        <v>28005</v>
      </c>
      <c r="D9600" t="s">
        <v>28001</v>
      </c>
      <c r="E9600" t="s">
        <v>655</v>
      </c>
      <c r="F9600" t="s">
        <v>656</v>
      </c>
    </row>
    <row r="9601" spans="1:12">
      <c r="A9601" t="s">
        <v>28006</v>
      </c>
      <c r="B9601" t="s">
        <v>28007</v>
      </c>
      <c r="C9601" t="s">
        <v>28008</v>
      </c>
      <c r="D9601" t="s">
        <v>28009</v>
      </c>
      <c r="E9601" t="s">
        <v>655</v>
      </c>
      <c r="F9601" t="s">
        <v>656</v>
      </c>
    </row>
    <row r="9602" spans="1:12">
      <c r="A9602" t="s">
        <v>3706</v>
      </c>
      <c r="B9602" t="s">
        <v>28010</v>
      </c>
      <c r="C9602" t="s">
        <v>28011</v>
      </c>
      <c r="D9602" t="s">
        <v>28012</v>
      </c>
      <c r="E9602" t="s">
        <v>3820</v>
      </c>
      <c r="F9602" t="s">
        <v>28013</v>
      </c>
      <c r="J9602" t="s">
        <v>3820</v>
      </c>
      <c r="K9602" t="s">
        <v>28012</v>
      </c>
      <c r="L9602" t="s">
        <v>3616</v>
      </c>
    </row>
    <row r="9603" spans="1:12">
      <c r="A9603" t="s">
        <v>3706</v>
      </c>
      <c r="B9603" t="s">
        <v>28010</v>
      </c>
      <c r="C9603" t="s">
        <v>28014</v>
      </c>
      <c r="D9603" t="s">
        <v>28012</v>
      </c>
      <c r="E9603" t="s">
        <v>1075</v>
      </c>
      <c r="F9603" t="s">
        <v>28015</v>
      </c>
    </row>
    <row r="9604" spans="1:12">
      <c r="A9604" t="s">
        <v>3706</v>
      </c>
      <c r="B9604" t="s">
        <v>28010</v>
      </c>
      <c r="C9604" t="s">
        <v>28016</v>
      </c>
      <c r="D9604" t="s">
        <v>28012</v>
      </c>
      <c r="E9604" t="s">
        <v>28017</v>
      </c>
      <c r="F9604" t="s">
        <v>28018</v>
      </c>
      <c r="J9604" t="s">
        <v>28017</v>
      </c>
      <c r="K9604" t="s">
        <v>28012</v>
      </c>
      <c r="L9604" t="s">
        <v>3616</v>
      </c>
    </row>
    <row r="9605" spans="1:12">
      <c r="A9605" t="s">
        <v>3706</v>
      </c>
      <c r="B9605" t="s">
        <v>28010</v>
      </c>
      <c r="C9605" t="s">
        <v>28019</v>
      </c>
      <c r="D9605" t="s">
        <v>28012</v>
      </c>
      <c r="E9605" t="s">
        <v>28020</v>
      </c>
      <c r="F9605" t="s">
        <v>28021</v>
      </c>
      <c r="J9605" t="s">
        <v>28020</v>
      </c>
      <c r="K9605" t="s">
        <v>28012</v>
      </c>
      <c r="L9605" t="s">
        <v>3616</v>
      </c>
    </row>
    <row r="9606" spans="1:12">
      <c r="A9606" t="s">
        <v>3706</v>
      </c>
      <c r="B9606" t="s">
        <v>28010</v>
      </c>
      <c r="C9606" t="s">
        <v>28022</v>
      </c>
      <c r="D9606" t="s">
        <v>28012</v>
      </c>
      <c r="E9606" t="s">
        <v>28023</v>
      </c>
      <c r="F9606" t="s">
        <v>28024</v>
      </c>
      <c r="J9606" t="s">
        <v>28023</v>
      </c>
      <c r="K9606" t="s">
        <v>28012</v>
      </c>
      <c r="L9606" t="s">
        <v>3616</v>
      </c>
    </row>
    <row r="9607" spans="1:12">
      <c r="A9607" t="s">
        <v>3706</v>
      </c>
      <c r="B9607" t="s">
        <v>28010</v>
      </c>
      <c r="C9607" t="s">
        <v>28025</v>
      </c>
      <c r="D9607" t="s">
        <v>28012</v>
      </c>
      <c r="E9607" t="s">
        <v>28026</v>
      </c>
      <c r="F9607" t="s">
        <v>28027</v>
      </c>
      <c r="J9607" t="s">
        <v>28026</v>
      </c>
      <c r="K9607" t="s">
        <v>28012</v>
      </c>
      <c r="L9607" t="s">
        <v>3616</v>
      </c>
    </row>
    <row r="9608" spans="1:12">
      <c r="A9608" t="s">
        <v>3706</v>
      </c>
      <c r="B9608" t="s">
        <v>28010</v>
      </c>
      <c r="C9608" t="s">
        <v>28028</v>
      </c>
      <c r="D9608" t="s">
        <v>28012</v>
      </c>
      <c r="E9608" t="s">
        <v>28029</v>
      </c>
      <c r="F9608" t="s">
        <v>28030</v>
      </c>
    </row>
    <row r="9609" spans="1:12">
      <c r="A9609" t="s">
        <v>3706</v>
      </c>
      <c r="B9609" t="s">
        <v>28010</v>
      </c>
      <c r="C9609" t="s">
        <v>28031</v>
      </c>
      <c r="D9609" t="s">
        <v>28012</v>
      </c>
      <c r="E9609" t="s">
        <v>28032</v>
      </c>
      <c r="F9609" t="s">
        <v>28033</v>
      </c>
    </row>
    <row r="9610" spans="1:12">
      <c r="A9610" t="s">
        <v>3706</v>
      </c>
      <c r="B9610" t="s">
        <v>28010</v>
      </c>
      <c r="C9610" t="s">
        <v>28034</v>
      </c>
      <c r="D9610" t="s">
        <v>28012</v>
      </c>
      <c r="E9610" t="s">
        <v>10954</v>
      </c>
      <c r="F9610" t="s">
        <v>28035</v>
      </c>
      <c r="J9610" t="s">
        <v>10954</v>
      </c>
      <c r="K9610" t="s">
        <v>28012</v>
      </c>
      <c r="L9610" t="s">
        <v>3616</v>
      </c>
    </row>
    <row r="9611" spans="1:12">
      <c r="A9611" t="s">
        <v>3706</v>
      </c>
      <c r="B9611" t="s">
        <v>28010</v>
      </c>
      <c r="C9611" t="s">
        <v>28036</v>
      </c>
      <c r="D9611" t="s">
        <v>28012</v>
      </c>
      <c r="E9611" t="s">
        <v>9473</v>
      </c>
      <c r="F9611" t="s">
        <v>28037</v>
      </c>
      <c r="J9611" t="s">
        <v>9473</v>
      </c>
      <c r="K9611" t="s">
        <v>28012</v>
      </c>
      <c r="L9611" t="s">
        <v>3616</v>
      </c>
    </row>
    <row r="9612" spans="1:12">
      <c r="A9612" t="s">
        <v>3706</v>
      </c>
      <c r="B9612" t="s">
        <v>28010</v>
      </c>
      <c r="C9612" t="s">
        <v>28038</v>
      </c>
      <c r="D9612" t="s">
        <v>28012</v>
      </c>
      <c r="E9612" t="s">
        <v>28039</v>
      </c>
      <c r="F9612" t="s">
        <v>28040</v>
      </c>
      <c r="J9612" t="s">
        <v>28039</v>
      </c>
      <c r="K9612" t="s">
        <v>28012</v>
      </c>
      <c r="L9612" t="s">
        <v>3616</v>
      </c>
    </row>
    <row r="9613" spans="1:12">
      <c r="A9613" t="s">
        <v>3706</v>
      </c>
      <c r="B9613" t="s">
        <v>28010</v>
      </c>
      <c r="C9613" t="s">
        <v>28041</v>
      </c>
      <c r="D9613" t="s">
        <v>28012</v>
      </c>
      <c r="E9613" t="s">
        <v>28042</v>
      </c>
      <c r="F9613" t="s">
        <v>28043</v>
      </c>
    </row>
    <row r="9614" spans="1:12">
      <c r="A9614" t="s">
        <v>3706</v>
      </c>
      <c r="B9614" t="s">
        <v>28010</v>
      </c>
      <c r="C9614" t="s">
        <v>28044</v>
      </c>
      <c r="D9614" t="s">
        <v>28012</v>
      </c>
      <c r="E9614" t="s">
        <v>28045</v>
      </c>
      <c r="F9614" t="s">
        <v>28046</v>
      </c>
      <c r="J9614" t="s">
        <v>28045</v>
      </c>
      <c r="K9614" t="s">
        <v>28012</v>
      </c>
      <c r="L9614" t="s">
        <v>3616</v>
      </c>
    </row>
    <row r="9615" spans="1:12">
      <c r="A9615" t="s">
        <v>3706</v>
      </c>
      <c r="B9615" t="s">
        <v>28010</v>
      </c>
      <c r="C9615" t="s">
        <v>28047</v>
      </c>
      <c r="D9615" t="s">
        <v>28012</v>
      </c>
      <c r="E9615" t="s">
        <v>28048</v>
      </c>
      <c r="F9615" t="s">
        <v>28049</v>
      </c>
    </row>
    <row r="9616" spans="1:12">
      <c r="A9616" t="s">
        <v>3706</v>
      </c>
      <c r="B9616" t="s">
        <v>28010</v>
      </c>
      <c r="C9616" t="s">
        <v>28050</v>
      </c>
      <c r="D9616" t="s">
        <v>28012</v>
      </c>
      <c r="E9616" t="s">
        <v>9924</v>
      </c>
      <c r="F9616" t="s">
        <v>1351</v>
      </c>
      <c r="J9616" t="s">
        <v>9924</v>
      </c>
      <c r="K9616" t="s">
        <v>28012</v>
      </c>
      <c r="L9616" t="s">
        <v>3616</v>
      </c>
    </row>
    <row r="9617" spans="1:12">
      <c r="A9617" t="s">
        <v>3706</v>
      </c>
      <c r="B9617" t="s">
        <v>28010</v>
      </c>
      <c r="C9617" t="s">
        <v>28051</v>
      </c>
      <c r="D9617" t="s">
        <v>28012</v>
      </c>
      <c r="E9617" t="s">
        <v>28052</v>
      </c>
      <c r="F9617" t="s">
        <v>1351</v>
      </c>
      <c r="J9617" t="s">
        <v>28052</v>
      </c>
      <c r="K9617" t="s">
        <v>28012</v>
      </c>
      <c r="L9617" t="s">
        <v>3616</v>
      </c>
    </row>
    <row r="9618" spans="1:12">
      <c r="A9618" t="s">
        <v>3706</v>
      </c>
      <c r="B9618" t="s">
        <v>28010</v>
      </c>
      <c r="C9618" t="s">
        <v>28053</v>
      </c>
      <c r="D9618" t="s">
        <v>28012</v>
      </c>
      <c r="E9618" t="s">
        <v>28054</v>
      </c>
      <c r="F9618" t="s">
        <v>28055</v>
      </c>
      <c r="J9618" t="s">
        <v>28054</v>
      </c>
      <c r="K9618" t="s">
        <v>28012</v>
      </c>
      <c r="L9618" t="s">
        <v>3616</v>
      </c>
    </row>
    <row r="9619" spans="1:12">
      <c r="A9619" t="s">
        <v>3706</v>
      </c>
      <c r="B9619" t="s">
        <v>28010</v>
      </c>
      <c r="C9619" t="s">
        <v>28056</v>
      </c>
      <c r="D9619" t="s">
        <v>28012</v>
      </c>
      <c r="E9619" t="s">
        <v>655</v>
      </c>
      <c r="F9619" t="s">
        <v>656</v>
      </c>
    </row>
    <row r="9620" spans="1:12">
      <c r="A9620" t="s">
        <v>3706</v>
      </c>
      <c r="B9620" t="s">
        <v>28010</v>
      </c>
      <c r="D9620" t="s">
        <v>28012</v>
      </c>
      <c r="F9620" t="s">
        <v>28035</v>
      </c>
      <c r="J9620" t="s">
        <v>28057</v>
      </c>
      <c r="K9620" t="s">
        <v>28012</v>
      </c>
      <c r="L9620" t="s">
        <v>3616</v>
      </c>
    </row>
    <row r="9621" spans="1:12">
      <c r="A9621" t="s">
        <v>28058</v>
      </c>
      <c r="B9621" t="s">
        <v>28059</v>
      </c>
      <c r="C9621" t="s">
        <v>28060</v>
      </c>
      <c r="D9621" t="s">
        <v>28061</v>
      </c>
      <c r="E9621" t="s">
        <v>28062</v>
      </c>
      <c r="F9621" t="s">
        <v>28063</v>
      </c>
    </row>
    <row r="9622" spans="1:12">
      <c r="A9622" t="s">
        <v>28058</v>
      </c>
      <c r="B9622" t="s">
        <v>28059</v>
      </c>
      <c r="C9622" t="s">
        <v>28064</v>
      </c>
      <c r="D9622" t="s">
        <v>28061</v>
      </c>
      <c r="E9622" t="s">
        <v>6348</v>
      </c>
      <c r="F9622" t="s">
        <v>28065</v>
      </c>
    </row>
    <row r="9623" spans="1:12">
      <c r="A9623" t="s">
        <v>28058</v>
      </c>
      <c r="B9623" t="s">
        <v>28059</v>
      </c>
      <c r="C9623" t="s">
        <v>28066</v>
      </c>
      <c r="D9623" t="s">
        <v>28061</v>
      </c>
      <c r="E9623" t="s">
        <v>28067</v>
      </c>
      <c r="F9623" t="s">
        <v>28068</v>
      </c>
      <c r="J9623" t="s">
        <v>28067</v>
      </c>
      <c r="K9623" t="s">
        <v>28069</v>
      </c>
      <c r="L9623" t="s">
        <v>851</v>
      </c>
    </row>
    <row r="9624" spans="1:12">
      <c r="A9624" t="s">
        <v>28058</v>
      </c>
      <c r="B9624" t="s">
        <v>28059</v>
      </c>
      <c r="C9624" t="s">
        <v>28070</v>
      </c>
      <c r="D9624" t="s">
        <v>28061</v>
      </c>
      <c r="E9624" t="s">
        <v>4933</v>
      </c>
      <c r="F9624" t="s">
        <v>28071</v>
      </c>
      <c r="J9624" t="s">
        <v>4933</v>
      </c>
      <c r="K9624" t="s">
        <v>28069</v>
      </c>
      <c r="L9624" t="s">
        <v>851</v>
      </c>
    </row>
    <row r="9625" spans="1:12">
      <c r="A9625" t="s">
        <v>28058</v>
      </c>
      <c r="B9625" t="s">
        <v>28059</v>
      </c>
      <c r="C9625" t="s">
        <v>28072</v>
      </c>
      <c r="D9625" t="s">
        <v>28061</v>
      </c>
      <c r="E9625" t="s">
        <v>28073</v>
      </c>
      <c r="F9625" t="s">
        <v>28074</v>
      </c>
      <c r="J9625" t="s">
        <v>28073</v>
      </c>
      <c r="K9625" t="s">
        <v>28069</v>
      </c>
      <c r="L9625" t="s">
        <v>851</v>
      </c>
    </row>
    <row r="9626" spans="1:12">
      <c r="A9626" t="s">
        <v>28058</v>
      </c>
      <c r="B9626" t="s">
        <v>28059</v>
      </c>
      <c r="C9626" t="s">
        <v>28075</v>
      </c>
      <c r="D9626" t="s">
        <v>28061</v>
      </c>
      <c r="E9626" t="s">
        <v>28076</v>
      </c>
      <c r="F9626" t="s">
        <v>28077</v>
      </c>
      <c r="J9626" t="s">
        <v>28076</v>
      </c>
      <c r="K9626" t="s">
        <v>28069</v>
      </c>
      <c r="L9626" t="s">
        <v>851</v>
      </c>
    </row>
    <row r="9627" spans="1:12">
      <c r="A9627" t="s">
        <v>28058</v>
      </c>
      <c r="B9627" t="s">
        <v>28059</v>
      </c>
      <c r="C9627" t="s">
        <v>28078</v>
      </c>
      <c r="D9627" t="s">
        <v>28061</v>
      </c>
      <c r="E9627" t="s">
        <v>15395</v>
      </c>
      <c r="F9627" t="s">
        <v>28079</v>
      </c>
      <c r="J9627" t="s">
        <v>15395</v>
      </c>
      <c r="K9627" t="s">
        <v>28069</v>
      </c>
      <c r="L9627" t="s">
        <v>851</v>
      </c>
    </row>
    <row r="9628" spans="1:12">
      <c r="A9628" t="s">
        <v>28058</v>
      </c>
      <c r="B9628" t="s">
        <v>28059</v>
      </c>
      <c r="C9628" t="s">
        <v>28080</v>
      </c>
      <c r="D9628" t="s">
        <v>28061</v>
      </c>
      <c r="E9628" t="s">
        <v>23690</v>
      </c>
      <c r="F9628" t="s">
        <v>28081</v>
      </c>
    </row>
    <row r="9629" spans="1:12">
      <c r="A9629" t="s">
        <v>28058</v>
      </c>
      <c r="B9629" t="s">
        <v>28059</v>
      </c>
      <c r="C9629" t="s">
        <v>28082</v>
      </c>
      <c r="D9629" t="s">
        <v>28061</v>
      </c>
      <c r="E9629" t="s">
        <v>12539</v>
      </c>
      <c r="F9629" t="s">
        <v>28083</v>
      </c>
      <c r="J9629" t="s">
        <v>12539</v>
      </c>
      <c r="K9629" t="s">
        <v>28069</v>
      </c>
      <c r="L9629" t="s">
        <v>851</v>
      </c>
    </row>
    <row r="9630" spans="1:12">
      <c r="A9630" t="s">
        <v>28058</v>
      </c>
      <c r="B9630" t="s">
        <v>28059</v>
      </c>
      <c r="C9630" t="s">
        <v>28084</v>
      </c>
      <c r="D9630" t="s">
        <v>28061</v>
      </c>
      <c r="E9630" t="s">
        <v>28085</v>
      </c>
      <c r="F9630" t="s">
        <v>28086</v>
      </c>
      <c r="J9630" t="s">
        <v>28085</v>
      </c>
      <c r="K9630" t="s">
        <v>28069</v>
      </c>
      <c r="L9630" t="s">
        <v>851</v>
      </c>
    </row>
    <row r="9631" spans="1:12">
      <c r="A9631" t="s">
        <v>28058</v>
      </c>
      <c r="B9631" t="s">
        <v>28059</v>
      </c>
      <c r="C9631" t="s">
        <v>28087</v>
      </c>
      <c r="D9631" t="s">
        <v>28061</v>
      </c>
      <c r="E9631" t="s">
        <v>9017</v>
      </c>
      <c r="F9631" t="s">
        <v>28088</v>
      </c>
    </row>
    <row r="9632" spans="1:12">
      <c r="A9632" t="s">
        <v>28058</v>
      </c>
      <c r="B9632" t="s">
        <v>28059</v>
      </c>
      <c r="C9632" t="s">
        <v>28089</v>
      </c>
      <c r="D9632" t="s">
        <v>28061</v>
      </c>
      <c r="E9632" t="s">
        <v>9185</v>
      </c>
      <c r="F9632" t="s">
        <v>28090</v>
      </c>
      <c r="J9632" t="s">
        <v>9185</v>
      </c>
      <c r="K9632" t="s">
        <v>28069</v>
      </c>
      <c r="L9632" t="s">
        <v>851</v>
      </c>
    </row>
    <row r="9633" spans="1:12">
      <c r="A9633" t="s">
        <v>28058</v>
      </c>
      <c r="B9633" t="s">
        <v>28059</v>
      </c>
      <c r="C9633" t="s">
        <v>28091</v>
      </c>
      <c r="D9633" t="s">
        <v>28061</v>
      </c>
      <c r="E9633" t="s">
        <v>10975</v>
      </c>
      <c r="F9633" t="s">
        <v>28092</v>
      </c>
    </row>
    <row r="9634" spans="1:12">
      <c r="A9634" t="s">
        <v>28058</v>
      </c>
      <c r="B9634" t="s">
        <v>28059</v>
      </c>
      <c r="C9634" t="s">
        <v>28093</v>
      </c>
      <c r="D9634" t="s">
        <v>28061</v>
      </c>
      <c r="E9634" t="s">
        <v>9416</v>
      </c>
      <c r="F9634" t="s">
        <v>28094</v>
      </c>
      <c r="J9634" t="s">
        <v>9416</v>
      </c>
      <c r="K9634" t="s">
        <v>28069</v>
      </c>
      <c r="L9634" t="s">
        <v>851</v>
      </c>
    </row>
    <row r="9635" spans="1:12">
      <c r="A9635" t="s">
        <v>28058</v>
      </c>
      <c r="B9635" t="s">
        <v>28059</v>
      </c>
      <c r="C9635" t="s">
        <v>28095</v>
      </c>
      <c r="D9635" t="s">
        <v>28061</v>
      </c>
      <c r="E9635" t="s">
        <v>6949</v>
      </c>
      <c r="F9635" t="s">
        <v>24773</v>
      </c>
    </row>
    <row r="9636" spans="1:12">
      <c r="A9636" t="s">
        <v>28058</v>
      </c>
      <c r="B9636" t="s">
        <v>28059</v>
      </c>
      <c r="C9636" t="s">
        <v>28096</v>
      </c>
      <c r="D9636" t="s">
        <v>28061</v>
      </c>
      <c r="E9636" t="s">
        <v>9681</v>
      </c>
      <c r="F9636" t="s">
        <v>28097</v>
      </c>
    </row>
    <row r="9637" spans="1:12">
      <c r="A9637" t="s">
        <v>28058</v>
      </c>
      <c r="B9637" t="s">
        <v>28059</v>
      </c>
      <c r="C9637" t="s">
        <v>28098</v>
      </c>
      <c r="D9637" t="s">
        <v>28061</v>
      </c>
      <c r="E9637" t="s">
        <v>27564</v>
      </c>
      <c r="F9637" t="s">
        <v>28099</v>
      </c>
      <c r="J9637" t="s">
        <v>27564</v>
      </c>
      <c r="K9637" t="s">
        <v>28069</v>
      </c>
      <c r="L9637" t="s">
        <v>851</v>
      </c>
    </row>
    <row r="9638" spans="1:12">
      <c r="A9638" t="s">
        <v>28058</v>
      </c>
      <c r="B9638" t="s">
        <v>28059</v>
      </c>
      <c r="C9638" t="s">
        <v>28100</v>
      </c>
      <c r="D9638" t="s">
        <v>28061</v>
      </c>
      <c r="E9638" t="s">
        <v>28101</v>
      </c>
      <c r="F9638" t="s">
        <v>28102</v>
      </c>
      <c r="J9638" t="s">
        <v>28101</v>
      </c>
      <c r="K9638" t="s">
        <v>28069</v>
      </c>
      <c r="L9638" t="s">
        <v>851</v>
      </c>
    </row>
    <row r="9639" spans="1:12">
      <c r="A9639" t="s">
        <v>28058</v>
      </c>
      <c r="B9639" t="s">
        <v>28059</v>
      </c>
      <c r="C9639" t="s">
        <v>28103</v>
      </c>
      <c r="D9639" t="s">
        <v>28061</v>
      </c>
      <c r="E9639" t="s">
        <v>4292</v>
      </c>
      <c r="F9639" t="s">
        <v>28104</v>
      </c>
      <c r="J9639" t="s">
        <v>4292</v>
      </c>
      <c r="K9639" t="s">
        <v>28069</v>
      </c>
      <c r="L9639" t="s">
        <v>851</v>
      </c>
    </row>
    <row r="9640" spans="1:12">
      <c r="A9640" t="s">
        <v>28058</v>
      </c>
      <c r="B9640" t="s">
        <v>28059</v>
      </c>
      <c r="C9640" t="s">
        <v>28105</v>
      </c>
      <c r="D9640" t="s">
        <v>28061</v>
      </c>
      <c r="E9640" t="s">
        <v>28106</v>
      </c>
      <c r="F9640" t="s">
        <v>28107</v>
      </c>
      <c r="J9640" t="s">
        <v>28106</v>
      </c>
      <c r="K9640" t="s">
        <v>28069</v>
      </c>
      <c r="L9640" t="s">
        <v>851</v>
      </c>
    </row>
    <row r="9641" spans="1:12">
      <c r="A9641" t="s">
        <v>28058</v>
      </c>
      <c r="B9641" t="s">
        <v>28059</v>
      </c>
      <c r="C9641" t="s">
        <v>28108</v>
      </c>
      <c r="D9641" t="s">
        <v>28061</v>
      </c>
      <c r="E9641" t="s">
        <v>12098</v>
      </c>
      <c r="F9641" t="s">
        <v>28109</v>
      </c>
    </row>
    <row r="9642" spans="1:12">
      <c r="A9642" t="s">
        <v>28058</v>
      </c>
      <c r="B9642" t="s">
        <v>28059</v>
      </c>
      <c r="C9642" t="s">
        <v>28110</v>
      </c>
      <c r="D9642" t="s">
        <v>28061</v>
      </c>
      <c r="E9642" t="s">
        <v>28111</v>
      </c>
      <c r="F9642" t="s">
        <v>28112</v>
      </c>
      <c r="J9642" t="s">
        <v>28111</v>
      </c>
      <c r="K9642" t="s">
        <v>28069</v>
      </c>
      <c r="L9642" t="s">
        <v>851</v>
      </c>
    </row>
    <row r="9643" spans="1:12">
      <c r="A9643" t="s">
        <v>28058</v>
      </c>
      <c r="B9643" t="s">
        <v>28059</v>
      </c>
      <c r="C9643" t="s">
        <v>28113</v>
      </c>
      <c r="D9643" t="s">
        <v>28061</v>
      </c>
      <c r="E9643" t="s">
        <v>1055</v>
      </c>
      <c r="F9643" t="s">
        <v>28114</v>
      </c>
      <c r="J9643" t="s">
        <v>1055</v>
      </c>
      <c r="K9643" t="s">
        <v>28069</v>
      </c>
      <c r="L9643" t="s">
        <v>851</v>
      </c>
    </row>
    <row r="9644" spans="1:12">
      <c r="A9644" t="s">
        <v>28058</v>
      </c>
      <c r="B9644" t="s">
        <v>28059</v>
      </c>
      <c r="C9644" t="s">
        <v>28115</v>
      </c>
      <c r="D9644" t="s">
        <v>28061</v>
      </c>
      <c r="E9644" t="s">
        <v>4626</v>
      </c>
      <c r="F9644" t="s">
        <v>28116</v>
      </c>
    </row>
    <row r="9645" spans="1:12">
      <c r="A9645" t="s">
        <v>28058</v>
      </c>
      <c r="B9645" t="s">
        <v>28059</v>
      </c>
      <c r="C9645" t="s">
        <v>28117</v>
      </c>
      <c r="D9645" t="s">
        <v>28061</v>
      </c>
      <c r="E9645" t="s">
        <v>28118</v>
      </c>
      <c r="F9645" t="s">
        <v>28119</v>
      </c>
      <c r="J9645" t="s">
        <v>28118</v>
      </c>
      <c r="K9645" t="s">
        <v>28069</v>
      </c>
      <c r="L9645" t="s">
        <v>851</v>
      </c>
    </row>
    <row r="9646" spans="1:12">
      <c r="A9646" t="s">
        <v>28058</v>
      </c>
      <c r="B9646" t="s">
        <v>28059</v>
      </c>
      <c r="C9646" t="s">
        <v>28120</v>
      </c>
      <c r="D9646" t="s">
        <v>28061</v>
      </c>
      <c r="E9646" t="s">
        <v>28121</v>
      </c>
      <c r="F9646" t="s">
        <v>28122</v>
      </c>
      <c r="J9646" t="s">
        <v>28121</v>
      </c>
      <c r="K9646" t="s">
        <v>28069</v>
      </c>
      <c r="L9646" t="s">
        <v>851</v>
      </c>
    </row>
    <row r="9647" spans="1:12">
      <c r="A9647" t="s">
        <v>28058</v>
      </c>
      <c r="B9647" t="s">
        <v>28059</v>
      </c>
      <c r="C9647" t="s">
        <v>28123</v>
      </c>
      <c r="D9647" t="s">
        <v>28061</v>
      </c>
      <c r="E9647" t="s">
        <v>655</v>
      </c>
      <c r="F9647" t="s">
        <v>656</v>
      </c>
    </row>
    <row r="9648" spans="1:12">
      <c r="A9648" t="s">
        <v>28124</v>
      </c>
      <c r="B9648" t="s">
        <v>28125</v>
      </c>
      <c r="C9648" t="s">
        <v>28126</v>
      </c>
      <c r="D9648" t="s">
        <v>28127</v>
      </c>
      <c r="E9648" t="s">
        <v>26830</v>
      </c>
      <c r="F9648" t="s">
        <v>28128</v>
      </c>
      <c r="J9648" t="s">
        <v>26830</v>
      </c>
      <c r="K9648" t="s">
        <v>28124</v>
      </c>
      <c r="L9648" t="s">
        <v>1389</v>
      </c>
    </row>
    <row r="9649" spans="1:12">
      <c r="A9649" t="s">
        <v>28124</v>
      </c>
      <c r="B9649" t="s">
        <v>28125</v>
      </c>
      <c r="C9649" t="s">
        <v>28129</v>
      </c>
      <c r="D9649" t="s">
        <v>28127</v>
      </c>
      <c r="E9649" t="s">
        <v>655</v>
      </c>
      <c r="F9649" t="s">
        <v>656</v>
      </c>
    </row>
    <row r="9650" spans="1:12">
      <c r="A9650" t="s">
        <v>28130</v>
      </c>
      <c r="B9650" t="s">
        <v>28131</v>
      </c>
      <c r="C9650" t="s">
        <v>28132</v>
      </c>
      <c r="D9650" t="s">
        <v>28133</v>
      </c>
      <c r="E9650" t="s">
        <v>28134</v>
      </c>
      <c r="F9650" t="s">
        <v>28135</v>
      </c>
      <c r="J9650" t="s">
        <v>28134</v>
      </c>
      <c r="K9650" t="s">
        <v>5168</v>
      </c>
      <c r="L9650" t="s">
        <v>814</v>
      </c>
    </row>
    <row r="9651" spans="1:12">
      <c r="A9651" t="s">
        <v>28130</v>
      </c>
      <c r="B9651" t="s">
        <v>28131</v>
      </c>
      <c r="C9651" t="s">
        <v>28136</v>
      </c>
      <c r="D9651" t="s">
        <v>28133</v>
      </c>
      <c r="E9651" t="s">
        <v>28137</v>
      </c>
      <c r="F9651" t="s">
        <v>3676</v>
      </c>
    </row>
    <row r="9652" spans="1:12">
      <c r="A9652" t="s">
        <v>28130</v>
      </c>
      <c r="B9652" t="s">
        <v>28131</v>
      </c>
      <c r="C9652" t="s">
        <v>28138</v>
      </c>
      <c r="D9652" t="s">
        <v>28133</v>
      </c>
      <c r="E9652" t="s">
        <v>8254</v>
      </c>
      <c r="F9652" t="s">
        <v>28139</v>
      </c>
    </row>
    <row r="9653" spans="1:12">
      <c r="A9653" t="s">
        <v>28130</v>
      </c>
      <c r="B9653" t="s">
        <v>28131</v>
      </c>
      <c r="C9653" t="s">
        <v>28140</v>
      </c>
      <c r="D9653" t="s">
        <v>28133</v>
      </c>
      <c r="E9653" t="s">
        <v>16603</v>
      </c>
      <c r="F9653" t="s">
        <v>28139</v>
      </c>
    </row>
    <row r="9654" spans="1:12">
      <c r="A9654" t="s">
        <v>28130</v>
      </c>
      <c r="B9654" t="s">
        <v>28131</v>
      </c>
      <c r="C9654" t="s">
        <v>28141</v>
      </c>
      <c r="D9654" t="s">
        <v>28133</v>
      </c>
      <c r="E9654" t="s">
        <v>28142</v>
      </c>
      <c r="F9654" t="s">
        <v>28143</v>
      </c>
    </row>
    <row r="9655" spans="1:12">
      <c r="A9655" t="s">
        <v>28130</v>
      </c>
      <c r="B9655" t="s">
        <v>28131</v>
      </c>
      <c r="C9655" t="s">
        <v>28144</v>
      </c>
      <c r="D9655" t="s">
        <v>28133</v>
      </c>
      <c r="E9655" t="s">
        <v>8163</v>
      </c>
      <c r="F9655" t="s">
        <v>28145</v>
      </c>
      <c r="J9655" t="s">
        <v>8163</v>
      </c>
      <c r="K9655" t="s">
        <v>5168</v>
      </c>
      <c r="L9655" t="s">
        <v>814</v>
      </c>
    </row>
    <row r="9656" spans="1:12">
      <c r="A9656" t="s">
        <v>28130</v>
      </c>
      <c r="B9656" t="s">
        <v>28131</v>
      </c>
      <c r="C9656" t="s">
        <v>28146</v>
      </c>
      <c r="D9656" t="s">
        <v>28133</v>
      </c>
      <c r="E9656" t="s">
        <v>11113</v>
      </c>
      <c r="F9656" t="s">
        <v>28147</v>
      </c>
    </row>
    <row r="9657" spans="1:12">
      <c r="A9657" t="s">
        <v>28130</v>
      </c>
      <c r="B9657" t="s">
        <v>28131</v>
      </c>
      <c r="C9657" t="s">
        <v>28148</v>
      </c>
      <c r="D9657" t="s">
        <v>28133</v>
      </c>
      <c r="E9657" t="s">
        <v>655</v>
      </c>
      <c r="F9657" t="s">
        <v>656</v>
      </c>
    </row>
    <row r="9658" spans="1:12">
      <c r="A9658" t="s">
        <v>28130</v>
      </c>
      <c r="B9658" t="s">
        <v>28131</v>
      </c>
      <c r="D9658" t="s">
        <v>28133</v>
      </c>
      <c r="F9658" t="s">
        <v>28149</v>
      </c>
      <c r="J9658" t="s">
        <v>28150</v>
      </c>
      <c r="K9658" t="s">
        <v>5168</v>
      </c>
      <c r="L9658" t="s">
        <v>814</v>
      </c>
    </row>
    <row r="9659" spans="1:12">
      <c r="A9659" t="s">
        <v>28151</v>
      </c>
      <c r="B9659" t="s">
        <v>28152</v>
      </c>
      <c r="C9659" t="s">
        <v>28153</v>
      </c>
      <c r="D9659" t="s">
        <v>28154</v>
      </c>
      <c r="E9659" t="s">
        <v>28155</v>
      </c>
      <c r="F9659" t="s">
        <v>28156</v>
      </c>
      <c r="J9659" t="s">
        <v>28155</v>
      </c>
      <c r="K9659" t="s">
        <v>28151</v>
      </c>
      <c r="L9659" t="s">
        <v>664</v>
      </c>
    </row>
    <row r="9660" spans="1:12">
      <c r="A9660" t="s">
        <v>28151</v>
      </c>
      <c r="B9660" t="s">
        <v>28152</v>
      </c>
      <c r="C9660" t="s">
        <v>28157</v>
      </c>
      <c r="D9660" t="s">
        <v>28154</v>
      </c>
      <c r="E9660" t="s">
        <v>5023</v>
      </c>
      <c r="F9660" t="s">
        <v>28158</v>
      </c>
    </row>
    <row r="9661" spans="1:12">
      <c r="A9661" t="s">
        <v>28151</v>
      </c>
      <c r="B9661" t="s">
        <v>28152</v>
      </c>
      <c r="C9661" t="s">
        <v>28159</v>
      </c>
      <c r="D9661" t="s">
        <v>28154</v>
      </c>
      <c r="E9661" t="s">
        <v>17183</v>
      </c>
      <c r="F9661" t="s">
        <v>28160</v>
      </c>
    </row>
    <row r="9662" spans="1:12">
      <c r="A9662" t="s">
        <v>28151</v>
      </c>
      <c r="B9662" t="s">
        <v>28152</v>
      </c>
      <c r="C9662" t="s">
        <v>28161</v>
      </c>
      <c r="D9662" t="s">
        <v>28154</v>
      </c>
      <c r="E9662" t="s">
        <v>17227</v>
      </c>
      <c r="F9662" t="s">
        <v>28162</v>
      </c>
    </row>
    <row r="9663" spans="1:12">
      <c r="A9663" t="s">
        <v>28151</v>
      </c>
      <c r="B9663" t="s">
        <v>28152</v>
      </c>
      <c r="C9663" t="s">
        <v>28163</v>
      </c>
      <c r="D9663" t="s">
        <v>28154</v>
      </c>
      <c r="E9663" t="s">
        <v>9496</v>
      </c>
      <c r="F9663" t="s">
        <v>28164</v>
      </c>
    </row>
    <row r="9664" spans="1:12">
      <c r="A9664" t="s">
        <v>28151</v>
      </c>
      <c r="B9664" t="s">
        <v>28152</v>
      </c>
      <c r="C9664" t="s">
        <v>28165</v>
      </c>
      <c r="D9664" t="s">
        <v>28154</v>
      </c>
      <c r="E9664" t="s">
        <v>28166</v>
      </c>
      <c r="F9664" t="s">
        <v>28167</v>
      </c>
    </row>
    <row r="9665" spans="1:12">
      <c r="A9665" t="s">
        <v>28151</v>
      </c>
      <c r="B9665" t="s">
        <v>28152</v>
      </c>
      <c r="C9665" t="s">
        <v>28168</v>
      </c>
      <c r="D9665" t="s">
        <v>28154</v>
      </c>
      <c r="E9665" t="s">
        <v>28169</v>
      </c>
      <c r="F9665" t="s">
        <v>28170</v>
      </c>
    </row>
    <row r="9666" spans="1:12">
      <c r="A9666" t="s">
        <v>28151</v>
      </c>
      <c r="B9666" t="s">
        <v>28152</v>
      </c>
      <c r="C9666" t="s">
        <v>28171</v>
      </c>
      <c r="D9666" t="s">
        <v>28154</v>
      </c>
      <c r="E9666" t="s">
        <v>655</v>
      </c>
      <c r="F9666" t="s">
        <v>656</v>
      </c>
    </row>
    <row r="9667" spans="1:12">
      <c r="A9667" t="s">
        <v>28172</v>
      </c>
      <c r="B9667" t="s">
        <v>28173</v>
      </c>
      <c r="C9667" t="s">
        <v>28174</v>
      </c>
      <c r="D9667" t="s">
        <v>28175</v>
      </c>
      <c r="E9667" t="s">
        <v>3829</v>
      </c>
      <c r="F9667" t="s">
        <v>24854</v>
      </c>
    </row>
    <row r="9668" spans="1:12">
      <c r="A9668" t="s">
        <v>28172</v>
      </c>
      <c r="B9668" t="s">
        <v>28173</v>
      </c>
      <c r="C9668" t="s">
        <v>28176</v>
      </c>
      <c r="D9668" t="s">
        <v>28175</v>
      </c>
      <c r="E9668" t="s">
        <v>14460</v>
      </c>
      <c r="F9668" t="s">
        <v>28177</v>
      </c>
    </row>
    <row r="9669" spans="1:12">
      <c r="A9669" t="s">
        <v>28172</v>
      </c>
      <c r="B9669" t="s">
        <v>28173</v>
      </c>
      <c r="C9669" t="s">
        <v>28178</v>
      </c>
      <c r="D9669" t="s">
        <v>28175</v>
      </c>
      <c r="E9669" t="s">
        <v>12953</v>
      </c>
      <c r="F9669" t="s">
        <v>28179</v>
      </c>
      <c r="J9669" t="s">
        <v>12953</v>
      </c>
      <c r="K9669" t="s">
        <v>28180</v>
      </c>
      <c r="L9669" t="s">
        <v>916</v>
      </c>
    </row>
    <row r="9670" spans="1:12">
      <c r="A9670" t="s">
        <v>28172</v>
      </c>
      <c r="B9670" t="s">
        <v>28173</v>
      </c>
      <c r="C9670" t="s">
        <v>28181</v>
      </c>
      <c r="D9670" t="s">
        <v>28175</v>
      </c>
      <c r="E9670" t="s">
        <v>655</v>
      </c>
      <c r="F9670" t="s">
        <v>656</v>
      </c>
    </row>
    <row r="9671" spans="1:12">
      <c r="A9671" t="s">
        <v>28182</v>
      </c>
      <c r="B9671" t="s">
        <v>28183</v>
      </c>
      <c r="C9671" t="s">
        <v>28184</v>
      </c>
      <c r="D9671" t="s">
        <v>28185</v>
      </c>
      <c r="E9671" t="s">
        <v>28186</v>
      </c>
      <c r="F9671" t="s">
        <v>28187</v>
      </c>
      <c r="J9671" t="s">
        <v>28186</v>
      </c>
      <c r="K9671" t="s">
        <v>15931</v>
      </c>
      <c r="L9671" t="s">
        <v>851</v>
      </c>
    </row>
    <row r="9672" spans="1:12">
      <c r="A9672" t="s">
        <v>28182</v>
      </c>
      <c r="B9672" t="s">
        <v>28183</v>
      </c>
      <c r="C9672" t="s">
        <v>28188</v>
      </c>
      <c r="D9672" t="s">
        <v>28185</v>
      </c>
      <c r="E9672" t="s">
        <v>8470</v>
      </c>
      <c r="F9672" t="s">
        <v>28189</v>
      </c>
    </row>
    <row r="9673" spans="1:12">
      <c r="A9673" t="s">
        <v>28182</v>
      </c>
      <c r="B9673" t="s">
        <v>28183</v>
      </c>
      <c r="C9673" t="s">
        <v>28190</v>
      </c>
      <c r="D9673" t="s">
        <v>28185</v>
      </c>
      <c r="E9673" t="s">
        <v>7142</v>
      </c>
      <c r="F9673" t="s">
        <v>28191</v>
      </c>
      <c r="J9673" t="s">
        <v>7142</v>
      </c>
      <c r="K9673" t="s">
        <v>15931</v>
      </c>
      <c r="L9673" t="s">
        <v>851</v>
      </c>
    </row>
    <row r="9674" spans="1:12">
      <c r="A9674" t="s">
        <v>28182</v>
      </c>
      <c r="B9674" t="s">
        <v>28183</v>
      </c>
      <c r="C9674" t="s">
        <v>28192</v>
      </c>
      <c r="D9674" t="s">
        <v>28185</v>
      </c>
      <c r="E9674" t="s">
        <v>28193</v>
      </c>
      <c r="F9674" t="s">
        <v>28194</v>
      </c>
      <c r="J9674" t="s">
        <v>28193</v>
      </c>
      <c r="K9674" t="s">
        <v>15931</v>
      </c>
      <c r="L9674" t="s">
        <v>851</v>
      </c>
    </row>
    <row r="9675" spans="1:12">
      <c r="A9675" t="s">
        <v>28182</v>
      </c>
      <c r="B9675" t="s">
        <v>28183</v>
      </c>
      <c r="C9675" t="s">
        <v>28195</v>
      </c>
      <c r="D9675" t="s">
        <v>28185</v>
      </c>
      <c r="E9675" t="s">
        <v>28196</v>
      </c>
      <c r="F9675" t="s">
        <v>28197</v>
      </c>
      <c r="J9675" t="s">
        <v>28196</v>
      </c>
      <c r="K9675" t="s">
        <v>15931</v>
      </c>
      <c r="L9675" t="s">
        <v>851</v>
      </c>
    </row>
    <row r="9676" spans="1:12">
      <c r="A9676" t="s">
        <v>28182</v>
      </c>
      <c r="B9676" t="s">
        <v>28183</v>
      </c>
      <c r="C9676" t="s">
        <v>28198</v>
      </c>
      <c r="D9676" t="s">
        <v>28185</v>
      </c>
      <c r="E9676" t="s">
        <v>8566</v>
      </c>
      <c r="F9676" t="s">
        <v>28199</v>
      </c>
    </row>
    <row r="9677" spans="1:12">
      <c r="A9677" t="s">
        <v>28182</v>
      </c>
      <c r="B9677" t="s">
        <v>28183</v>
      </c>
      <c r="C9677" t="s">
        <v>28200</v>
      </c>
      <c r="D9677" t="s">
        <v>28185</v>
      </c>
      <c r="E9677" t="s">
        <v>8614</v>
      </c>
      <c r="F9677" t="s">
        <v>28201</v>
      </c>
    </row>
    <row r="9678" spans="1:12">
      <c r="A9678" t="s">
        <v>28182</v>
      </c>
      <c r="B9678" t="s">
        <v>28183</v>
      </c>
      <c r="C9678" t="s">
        <v>28202</v>
      </c>
      <c r="D9678" t="s">
        <v>28185</v>
      </c>
      <c r="E9678" t="s">
        <v>10300</v>
      </c>
      <c r="F9678" t="s">
        <v>28203</v>
      </c>
    </row>
    <row r="9679" spans="1:12">
      <c r="A9679" t="s">
        <v>28182</v>
      </c>
      <c r="B9679" t="s">
        <v>28183</v>
      </c>
      <c r="C9679" t="s">
        <v>28204</v>
      </c>
      <c r="D9679" t="s">
        <v>28185</v>
      </c>
      <c r="E9679" t="s">
        <v>3864</v>
      </c>
      <c r="F9679" t="s">
        <v>28205</v>
      </c>
    </row>
    <row r="9680" spans="1:12">
      <c r="A9680" t="s">
        <v>28182</v>
      </c>
      <c r="B9680" t="s">
        <v>28183</v>
      </c>
      <c r="C9680" t="s">
        <v>28206</v>
      </c>
      <c r="D9680" t="s">
        <v>28185</v>
      </c>
      <c r="E9680" t="s">
        <v>8653</v>
      </c>
      <c r="F9680" t="s">
        <v>28207</v>
      </c>
    </row>
    <row r="9681" spans="1:12">
      <c r="A9681" t="s">
        <v>28182</v>
      </c>
      <c r="B9681" t="s">
        <v>28183</v>
      </c>
      <c r="C9681" t="s">
        <v>28208</v>
      </c>
      <c r="D9681" t="s">
        <v>28185</v>
      </c>
      <c r="E9681" t="s">
        <v>873</v>
      </c>
      <c r="F9681" t="s">
        <v>28209</v>
      </c>
    </row>
    <row r="9682" spans="1:12">
      <c r="A9682" t="s">
        <v>28182</v>
      </c>
      <c r="B9682" t="s">
        <v>28183</v>
      </c>
      <c r="C9682" t="s">
        <v>28210</v>
      </c>
      <c r="D9682" t="s">
        <v>28185</v>
      </c>
      <c r="E9682" t="s">
        <v>8675</v>
      </c>
      <c r="F9682" t="s">
        <v>28211</v>
      </c>
      <c r="J9682" t="s">
        <v>8675</v>
      </c>
      <c r="K9682" t="s">
        <v>15931</v>
      </c>
      <c r="L9682" t="s">
        <v>851</v>
      </c>
    </row>
    <row r="9683" spans="1:12">
      <c r="A9683" t="s">
        <v>28182</v>
      </c>
      <c r="B9683" t="s">
        <v>28183</v>
      </c>
      <c r="C9683" t="s">
        <v>28212</v>
      </c>
      <c r="D9683" t="s">
        <v>28185</v>
      </c>
      <c r="E9683" t="s">
        <v>4900</v>
      </c>
      <c r="F9683" t="s">
        <v>28213</v>
      </c>
    </row>
    <row r="9684" spans="1:12">
      <c r="A9684" t="s">
        <v>28182</v>
      </c>
      <c r="B9684" t="s">
        <v>28183</v>
      </c>
      <c r="C9684" t="s">
        <v>28214</v>
      </c>
      <c r="D9684" t="s">
        <v>28185</v>
      </c>
      <c r="E9684" t="s">
        <v>7714</v>
      </c>
      <c r="F9684" t="s">
        <v>28215</v>
      </c>
    </row>
    <row r="9685" spans="1:12">
      <c r="A9685" t="s">
        <v>28182</v>
      </c>
      <c r="B9685" t="s">
        <v>28183</v>
      </c>
      <c r="C9685" t="s">
        <v>28216</v>
      </c>
      <c r="D9685" t="s">
        <v>28185</v>
      </c>
      <c r="E9685" t="s">
        <v>25164</v>
      </c>
      <c r="F9685" t="s">
        <v>28217</v>
      </c>
    </row>
    <row r="9686" spans="1:12">
      <c r="A9686" t="s">
        <v>28182</v>
      </c>
      <c r="B9686" t="s">
        <v>28183</v>
      </c>
      <c r="C9686" t="s">
        <v>28218</v>
      </c>
      <c r="D9686" t="s">
        <v>28185</v>
      </c>
      <c r="E9686" t="s">
        <v>8691</v>
      </c>
      <c r="F9686" t="s">
        <v>28219</v>
      </c>
    </row>
    <row r="9687" spans="1:12">
      <c r="A9687" t="s">
        <v>28182</v>
      </c>
      <c r="B9687" t="s">
        <v>28183</v>
      </c>
      <c r="C9687" t="s">
        <v>28220</v>
      </c>
      <c r="D9687" t="s">
        <v>28185</v>
      </c>
      <c r="E9687" t="s">
        <v>3891</v>
      </c>
      <c r="F9687" t="s">
        <v>28221</v>
      </c>
    </row>
    <row r="9688" spans="1:12">
      <c r="A9688" t="s">
        <v>28182</v>
      </c>
      <c r="B9688" t="s">
        <v>28183</v>
      </c>
      <c r="C9688" t="s">
        <v>28222</v>
      </c>
      <c r="D9688" t="s">
        <v>28185</v>
      </c>
      <c r="E9688" t="s">
        <v>8108</v>
      </c>
      <c r="F9688" t="s">
        <v>28223</v>
      </c>
    </row>
    <row r="9689" spans="1:12">
      <c r="A9689" t="s">
        <v>28182</v>
      </c>
      <c r="B9689" t="s">
        <v>28183</v>
      </c>
      <c r="C9689" t="s">
        <v>28224</v>
      </c>
      <c r="D9689" t="s">
        <v>28185</v>
      </c>
      <c r="E9689" t="s">
        <v>8111</v>
      </c>
      <c r="F9689" t="s">
        <v>28225</v>
      </c>
    </row>
    <row r="9690" spans="1:12">
      <c r="A9690" t="s">
        <v>28182</v>
      </c>
      <c r="B9690" t="s">
        <v>28183</v>
      </c>
      <c r="C9690" t="s">
        <v>28226</v>
      </c>
      <c r="D9690" t="s">
        <v>28185</v>
      </c>
      <c r="E9690" t="s">
        <v>28227</v>
      </c>
      <c r="F9690" t="s">
        <v>28228</v>
      </c>
    </row>
    <row r="9691" spans="1:12">
      <c r="A9691" t="s">
        <v>28182</v>
      </c>
      <c r="B9691" t="s">
        <v>28183</v>
      </c>
      <c r="C9691" t="s">
        <v>28229</v>
      </c>
      <c r="D9691" t="s">
        <v>28185</v>
      </c>
      <c r="E9691" t="s">
        <v>7177</v>
      </c>
      <c r="F9691" t="s">
        <v>28230</v>
      </c>
      <c r="J9691" t="s">
        <v>7177</v>
      </c>
      <c r="K9691" t="s">
        <v>15931</v>
      </c>
      <c r="L9691" t="s">
        <v>851</v>
      </c>
    </row>
    <row r="9692" spans="1:12">
      <c r="A9692" t="s">
        <v>28182</v>
      </c>
      <c r="B9692" t="s">
        <v>28183</v>
      </c>
      <c r="C9692" t="s">
        <v>28231</v>
      </c>
      <c r="D9692" t="s">
        <v>28185</v>
      </c>
      <c r="E9692" t="s">
        <v>28232</v>
      </c>
      <c r="F9692" t="s">
        <v>28233</v>
      </c>
      <c r="J9692" t="s">
        <v>28232</v>
      </c>
      <c r="K9692" t="s">
        <v>15931</v>
      </c>
      <c r="L9692" t="s">
        <v>851</v>
      </c>
    </row>
    <row r="9693" spans="1:12">
      <c r="A9693" t="s">
        <v>28182</v>
      </c>
      <c r="B9693" t="s">
        <v>28183</v>
      </c>
      <c r="C9693" t="s">
        <v>28234</v>
      </c>
      <c r="D9693" t="s">
        <v>28185</v>
      </c>
      <c r="E9693" t="s">
        <v>3218</v>
      </c>
      <c r="F9693" t="s">
        <v>28235</v>
      </c>
    </row>
    <row r="9694" spans="1:12">
      <c r="A9694" t="s">
        <v>28182</v>
      </c>
      <c r="B9694" t="s">
        <v>28183</v>
      </c>
      <c r="C9694" t="s">
        <v>28236</v>
      </c>
      <c r="D9694" t="s">
        <v>28185</v>
      </c>
      <c r="E9694" t="s">
        <v>28237</v>
      </c>
      <c r="F9694" t="s">
        <v>28238</v>
      </c>
      <c r="J9694" t="s">
        <v>28237</v>
      </c>
      <c r="K9694" t="s">
        <v>15931</v>
      </c>
      <c r="L9694" t="s">
        <v>851</v>
      </c>
    </row>
    <row r="9695" spans="1:12">
      <c r="A9695" t="s">
        <v>28182</v>
      </c>
      <c r="B9695" t="s">
        <v>28183</v>
      </c>
      <c r="C9695" t="s">
        <v>28239</v>
      </c>
      <c r="D9695" t="s">
        <v>28185</v>
      </c>
      <c r="E9695" t="s">
        <v>27234</v>
      </c>
      <c r="F9695" t="s">
        <v>28240</v>
      </c>
      <c r="J9695" t="s">
        <v>27234</v>
      </c>
      <c r="K9695" t="s">
        <v>15931</v>
      </c>
      <c r="L9695" t="s">
        <v>851</v>
      </c>
    </row>
    <row r="9696" spans="1:12">
      <c r="A9696" t="s">
        <v>28182</v>
      </c>
      <c r="B9696" t="s">
        <v>28183</v>
      </c>
      <c r="C9696" t="s">
        <v>28241</v>
      </c>
      <c r="D9696" t="s">
        <v>28185</v>
      </c>
      <c r="E9696" t="s">
        <v>1129</v>
      </c>
      <c r="F9696" t="s">
        <v>28242</v>
      </c>
    </row>
    <row r="9697" spans="1:12">
      <c r="A9697" t="s">
        <v>28182</v>
      </c>
      <c r="B9697" t="s">
        <v>28183</v>
      </c>
      <c r="C9697" t="s">
        <v>28243</v>
      </c>
      <c r="D9697" t="s">
        <v>28185</v>
      </c>
      <c r="E9697" t="s">
        <v>3392</v>
      </c>
      <c r="F9697" t="s">
        <v>28244</v>
      </c>
    </row>
    <row r="9698" spans="1:12">
      <c r="A9698" t="s">
        <v>28182</v>
      </c>
      <c r="B9698" t="s">
        <v>28183</v>
      </c>
      <c r="C9698" t="s">
        <v>28245</v>
      </c>
      <c r="D9698" t="s">
        <v>28185</v>
      </c>
      <c r="E9698" t="s">
        <v>28246</v>
      </c>
      <c r="F9698" t="s">
        <v>28247</v>
      </c>
    </row>
    <row r="9699" spans="1:12">
      <c r="A9699" t="s">
        <v>28182</v>
      </c>
      <c r="B9699" t="s">
        <v>28183</v>
      </c>
      <c r="C9699" t="s">
        <v>28248</v>
      </c>
      <c r="D9699" t="s">
        <v>28185</v>
      </c>
      <c r="E9699" t="s">
        <v>28249</v>
      </c>
      <c r="F9699" t="s">
        <v>28250</v>
      </c>
      <c r="J9699" t="s">
        <v>28249</v>
      </c>
      <c r="K9699" t="s">
        <v>15931</v>
      </c>
      <c r="L9699" t="s">
        <v>851</v>
      </c>
    </row>
    <row r="9700" spans="1:12">
      <c r="A9700" t="s">
        <v>28182</v>
      </c>
      <c r="B9700" t="s">
        <v>28183</v>
      </c>
      <c r="C9700" t="s">
        <v>28251</v>
      </c>
      <c r="D9700" t="s">
        <v>28185</v>
      </c>
      <c r="E9700" t="s">
        <v>28252</v>
      </c>
      <c r="F9700" t="s">
        <v>28253</v>
      </c>
    </row>
    <row r="9701" spans="1:12">
      <c r="A9701" t="s">
        <v>28182</v>
      </c>
      <c r="B9701" t="s">
        <v>28183</v>
      </c>
      <c r="C9701" t="s">
        <v>28254</v>
      </c>
      <c r="D9701" t="s">
        <v>28185</v>
      </c>
      <c r="E9701" t="s">
        <v>28255</v>
      </c>
      <c r="F9701" t="s">
        <v>28256</v>
      </c>
    </row>
    <row r="9702" spans="1:12">
      <c r="A9702" t="s">
        <v>28182</v>
      </c>
      <c r="B9702" t="s">
        <v>28183</v>
      </c>
      <c r="C9702" t="s">
        <v>28257</v>
      </c>
      <c r="D9702" t="s">
        <v>28185</v>
      </c>
      <c r="E9702" t="s">
        <v>1992</v>
      </c>
      <c r="F9702" t="s">
        <v>28258</v>
      </c>
    </row>
    <row r="9703" spans="1:12">
      <c r="A9703" t="s">
        <v>28182</v>
      </c>
      <c r="B9703" t="s">
        <v>28183</v>
      </c>
      <c r="C9703" t="s">
        <v>28259</v>
      </c>
      <c r="D9703" t="s">
        <v>28185</v>
      </c>
      <c r="E9703" t="s">
        <v>5003</v>
      </c>
      <c r="F9703" t="s">
        <v>28260</v>
      </c>
    </row>
    <row r="9704" spans="1:12">
      <c r="A9704" t="s">
        <v>28182</v>
      </c>
      <c r="B9704" t="s">
        <v>28183</v>
      </c>
      <c r="C9704" t="s">
        <v>28261</v>
      </c>
      <c r="D9704" t="s">
        <v>28185</v>
      </c>
      <c r="E9704" t="s">
        <v>11899</v>
      </c>
      <c r="F9704" t="s">
        <v>28262</v>
      </c>
    </row>
    <row r="9705" spans="1:12">
      <c r="A9705" t="s">
        <v>28182</v>
      </c>
      <c r="B9705" t="s">
        <v>28183</v>
      </c>
      <c r="C9705" t="s">
        <v>28263</v>
      </c>
      <c r="D9705" t="s">
        <v>28185</v>
      </c>
      <c r="E9705" t="s">
        <v>742</v>
      </c>
      <c r="F9705" t="s">
        <v>28264</v>
      </c>
    </row>
    <row r="9706" spans="1:12">
      <c r="A9706" t="s">
        <v>28182</v>
      </c>
      <c r="B9706" t="s">
        <v>28183</v>
      </c>
      <c r="C9706" t="s">
        <v>28265</v>
      </c>
      <c r="D9706" t="s">
        <v>28185</v>
      </c>
      <c r="E9706" t="s">
        <v>12592</v>
      </c>
      <c r="F9706" t="s">
        <v>28266</v>
      </c>
    </row>
    <row r="9707" spans="1:12">
      <c r="A9707" t="s">
        <v>28182</v>
      </c>
      <c r="B9707" t="s">
        <v>28183</v>
      </c>
      <c r="C9707" t="s">
        <v>28267</v>
      </c>
      <c r="D9707" t="s">
        <v>28185</v>
      </c>
      <c r="E9707" t="s">
        <v>5023</v>
      </c>
      <c r="F9707" t="s">
        <v>28268</v>
      </c>
    </row>
    <row r="9708" spans="1:12">
      <c r="A9708" t="s">
        <v>28182</v>
      </c>
      <c r="B9708" t="s">
        <v>28183</v>
      </c>
      <c r="C9708" t="s">
        <v>28269</v>
      </c>
      <c r="D9708" t="s">
        <v>28185</v>
      </c>
      <c r="E9708" t="s">
        <v>28270</v>
      </c>
      <c r="F9708" t="s">
        <v>28271</v>
      </c>
      <c r="J9708" t="s">
        <v>28270</v>
      </c>
      <c r="K9708" t="s">
        <v>15931</v>
      </c>
      <c r="L9708" t="s">
        <v>851</v>
      </c>
    </row>
    <row r="9709" spans="1:12">
      <c r="A9709" t="s">
        <v>28182</v>
      </c>
      <c r="B9709" t="s">
        <v>28183</v>
      </c>
      <c r="C9709" t="s">
        <v>28272</v>
      </c>
      <c r="D9709" t="s">
        <v>28185</v>
      </c>
      <c r="E9709" t="s">
        <v>28273</v>
      </c>
      <c r="F9709" t="s">
        <v>28274</v>
      </c>
    </row>
    <row r="9710" spans="1:12">
      <c r="A9710" t="s">
        <v>28182</v>
      </c>
      <c r="B9710" t="s">
        <v>28183</v>
      </c>
      <c r="C9710" t="s">
        <v>28275</v>
      </c>
      <c r="D9710" t="s">
        <v>28185</v>
      </c>
      <c r="E9710" t="s">
        <v>18755</v>
      </c>
      <c r="F9710" t="s">
        <v>28276</v>
      </c>
    </row>
    <row r="9711" spans="1:12">
      <c r="A9711" t="s">
        <v>28182</v>
      </c>
      <c r="B9711" t="s">
        <v>28183</v>
      </c>
      <c r="C9711" t="s">
        <v>28277</v>
      </c>
      <c r="D9711" t="s">
        <v>28185</v>
      </c>
      <c r="E9711" t="s">
        <v>28278</v>
      </c>
      <c r="F9711" t="s">
        <v>28279</v>
      </c>
    </row>
    <row r="9712" spans="1:12">
      <c r="A9712" t="s">
        <v>28182</v>
      </c>
      <c r="B9712" t="s">
        <v>28183</v>
      </c>
      <c r="C9712" t="s">
        <v>28280</v>
      </c>
      <c r="D9712" t="s">
        <v>28185</v>
      </c>
      <c r="E9712" t="s">
        <v>9508</v>
      </c>
      <c r="F9712" t="s">
        <v>28281</v>
      </c>
    </row>
    <row r="9713" spans="1:12">
      <c r="A9713" t="s">
        <v>28182</v>
      </c>
      <c r="B9713" t="s">
        <v>28183</v>
      </c>
      <c r="C9713" t="s">
        <v>28282</v>
      </c>
      <c r="D9713" t="s">
        <v>28185</v>
      </c>
      <c r="E9713" t="s">
        <v>2517</v>
      </c>
      <c r="F9713" t="s">
        <v>28283</v>
      </c>
    </row>
    <row r="9714" spans="1:12">
      <c r="A9714" t="s">
        <v>28182</v>
      </c>
      <c r="B9714" t="s">
        <v>28183</v>
      </c>
      <c r="C9714" t="s">
        <v>28284</v>
      </c>
      <c r="D9714" t="s">
        <v>28185</v>
      </c>
      <c r="E9714" t="s">
        <v>19255</v>
      </c>
      <c r="F9714" t="s">
        <v>28285</v>
      </c>
    </row>
    <row r="9715" spans="1:12">
      <c r="A9715" t="s">
        <v>28182</v>
      </c>
      <c r="B9715" t="s">
        <v>28183</v>
      </c>
      <c r="C9715" t="s">
        <v>28286</v>
      </c>
      <c r="D9715" t="s">
        <v>28185</v>
      </c>
      <c r="E9715" t="s">
        <v>22618</v>
      </c>
      <c r="F9715" t="s">
        <v>28287</v>
      </c>
    </row>
    <row r="9716" spans="1:12">
      <c r="A9716" t="s">
        <v>28182</v>
      </c>
      <c r="B9716" t="s">
        <v>28183</v>
      </c>
      <c r="C9716" t="s">
        <v>28288</v>
      </c>
      <c r="D9716" t="s">
        <v>28185</v>
      </c>
      <c r="E9716" t="s">
        <v>28289</v>
      </c>
      <c r="F9716" t="s">
        <v>28290</v>
      </c>
    </row>
    <row r="9717" spans="1:12">
      <c r="A9717" t="s">
        <v>28182</v>
      </c>
      <c r="B9717" t="s">
        <v>28183</v>
      </c>
      <c r="C9717" t="s">
        <v>28291</v>
      </c>
      <c r="D9717" t="s">
        <v>28185</v>
      </c>
      <c r="E9717" t="s">
        <v>19438</v>
      </c>
      <c r="F9717" t="s">
        <v>28292</v>
      </c>
    </row>
    <row r="9718" spans="1:12">
      <c r="A9718" t="s">
        <v>28182</v>
      </c>
      <c r="B9718" t="s">
        <v>28183</v>
      </c>
      <c r="C9718" t="s">
        <v>28293</v>
      </c>
      <c r="D9718" t="s">
        <v>28185</v>
      </c>
      <c r="E9718" t="s">
        <v>3500</v>
      </c>
      <c r="F9718" t="s">
        <v>28294</v>
      </c>
    </row>
    <row r="9719" spans="1:12">
      <c r="A9719" t="s">
        <v>28182</v>
      </c>
      <c r="B9719" t="s">
        <v>28183</v>
      </c>
      <c r="C9719" t="s">
        <v>28295</v>
      </c>
      <c r="D9719" t="s">
        <v>28185</v>
      </c>
      <c r="E9719" t="s">
        <v>19949</v>
      </c>
      <c r="F9719" t="s">
        <v>28296</v>
      </c>
      <c r="J9719" t="s">
        <v>19949</v>
      </c>
      <c r="K9719" t="s">
        <v>15931</v>
      </c>
      <c r="L9719" t="s">
        <v>851</v>
      </c>
    </row>
    <row r="9720" spans="1:12">
      <c r="A9720" t="s">
        <v>28182</v>
      </c>
      <c r="B9720" t="s">
        <v>28183</v>
      </c>
      <c r="C9720" t="s">
        <v>28297</v>
      </c>
      <c r="D9720" t="s">
        <v>28185</v>
      </c>
      <c r="E9720" t="s">
        <v>28298</v>
      </c>
      <c r="F9720" t="s">
        <v>28299</v>
      </c>
    </row>
    <row r="9721" spans="1:12">
      <c r="A9721" t="s">
        <v>28182</v>
      </c>
      <c r="B9721" t="s">
        <v>28183</v>
      </c>
      <c r="C9721" t="s">
        <v>28300</v>
      </c>
      <c r="D9721" t="s">
        <v>28185</v>
      </c>
      <c r="E9721" t="s">
        <v>28301</v>
      </c>
      <c r="F9721" t="s">
        <v>28302</v>
      </c>
      <c r="J9721" t="s">
        <v>28301</v>
      </c>
      <c r="K9721" t="s">
        <v>15931</v>
      </c>
      <c r="L9721" t="s">
        <v>851</v>
      </c>
    </row>
    <row r="9722" spans="1:12">
      <c r="A9722" t="s">
        <v>28182</v>
      </c>
      <c r="B9722" t="s">
        <v>28183</v>
      </c>
      <c r="C9722" t="s">
        <v>28303</v>
      </c>
      <c r="D9722" t="s">
        <v>28185</v>
      </c>
      <c r="E9722" t="s">
        <v>28304</v>
      </c>
      <c r="F9722" t="s">
        <v>28305</v>
      </c>
    </row>
    <row r="9723" spans="1:12">
      <c r="A9723" t="s">
        <v>28182</v>
      </c>
      <c r="B9723" t="s">
        <v>28183</v>
      </c>
      <c r="C9723" t="s">
        <v>28306</v>
      </c>
      <c r="D9723" t="s">
        <v>28185</v>
      </c>
      <c r="E9723" t="s">
        <v>28307</v>
      </c>
      <c r="F9723" t="s">
        <v>28308</v>
      </c>
    </row>
    <row r="9724" spans="1:12">
      <c r="A9724" t="s">
        <v>28182</v>
      </c>
      <c r="B9724" t="s">
        <v>28183</v>
      </c>
      <c r="C9724" t="s">
        <v>28309</v>
      </c>
      <c r="D9724" t="s">
        <v>28185</v>
      </c>
      <c r="E9724" t="s">
        <v>4256</v>
      </c>
      <c r="F9724" t="s">
        <v>28310</v>
      </c>
    </row>
    <row r="9725" spans="1:12">
      <c r="A9725" t="s">
        <v>28182</v>
      </c>
      <c r="B9725" t="s">
        <v>28183</v>
      </c>
      <c r="C9725" t="s">
        <v>28311</v>
      </c>
      <c r="D9725" t="s">
        <v>28185</v>
      </c>
      <c r="E9725" t="s">
        <v>28312</v>
      </c>
      <c r="F9725" t="s">
        <v>28313</v>
      </c>
    </row>
    <row r="9726" spans="1:12">
      <c r="A9726" t="s">
        <v>28182</v>
      </c>
      <c r="B9726" t="s">
        <v>28183</v>
      </c>
      <c r="C9726" t="s">
        <v>28314</v>
      </c>
      <c r="D9726" t="s">
        <v>28185</v>
      </c>
      <c r="E9726" t="s">
        <v>7940</v>
      </c>
      <c r="F9726" t="s">
        <v>28315</v>
      </c>
    </row>
    <row r="9727" spans="1:12">
      <c r="A9727" t="s">
        <v>28182</v>
      </c>
      <c r="B9727" t="s">
        <v>28183</v>
      </c>
      <c r="C9727" t="s">
        <v>28316</v>
      </c>
      <c r="D9727" t="s">
        <v>28185</v>
      </c>
      <c r="E9727" t="s">
        <v>3311</v>
      </c>
      <c r="F9727" t="s">
        <v>28317</v>
      </c>
    </row>
    <row r="9728" spans="1:12">
      <c r="A9728" t="s">
        <v>28182</v>
      </c>
      <c r="B9728" t="s">
        <v>28183</v>
      </c>
      <c r="C9728" t="s">
        <v>28318</v>
      </c>
      <c r="D9728" t="s">
        <v>28185</v>
      </c>
      <c r="E9728" t="s">
        <v>9800</v>
      </c>
      <c r="F9728" t="s">
        <v>28319</v>
      </c>
    </row>
    <row r="9729" spans="1:12">
      <c r="A9729" t="s">
        <v>28182</v>
      </c>
      <c r="B9729" t="s">
        <v>28183</v>
      </c>
      <c r="C9729" t="s">
        <v>28320</v>
      </c>
      <c r="D9729" t="s">
        <v>28185</v>
      </c>
      <c r="E9729" t="s">
        <v>1284</v>
      </c>
      <c r="F9729" t="s">
        <v>28321</v>
      </c>
    </row>
    <row r="9730" spans="1:12">
      <c r="A9730" t="s">
        <v>28182</v>
      </c>
      <c r="B9730" t="s">
        <v>28183</v>
      </c>
      <c r="C9730" t="s">
        <v>28322</v>
      </c>
      <c r="D9730" t="s">
        <v>28185</v>
      </c>
      <c r="E9730" t="s">
        <v>28323</v>
      </c>
      <c r="F9730" t="s">
        <v>28324</v>
      </c>
    </row>
    <row r="9731" spans="1:12">
      <c r="A9731" t="s">
        <v>28182</v>
      </c>
      <c r="B9731" t="s">
        <v>28183</v>
      </c>
      <c r="C9731" t="s">
        <v>28325</v>
      </c>
      <c r="D9731" t="s">
        <v>28185</v>
      </c>
      <c r="E9731" t="s">
        <v>5255</v>
      </c>
      <c r="F9731" t="s">
        <v>28326</v>
      </c>
    </row>
    <row r="9732" spans="1:12">
      <c r="A9732" t="s">
        <v>28182</v>
      </c>
      <c r="B9732" t="s">
        <v>28183</v>
      </c>
      <c r="C9732" t="s">
        <v>28327</v>
      </c>
      <c r="D9732" t="s">
        <v>28185</v>
      </c>
      <c r="E9732" t="s">
        <v>28328</v>
      </c>
      <c r="F9732" t="s">
        <v>28329</v>
      </c>
      <c r="J9732" t="s">
        <v>28328</v>
      </c>
      <c r="K9732" t="s">
        <v>15931</v>
      </c>
      <c r="L9732" t="s">
        <v>851</v>
      </c>
    </row>
    <row r="9733" spans="1:12">
      <c r="A9733" t="s">
        <v>28182</v>
      </c>
      <c r="B9733" t="s">
        <v>28183</v>
      </c>
      <c r="C9733" t="s">
        <v>28330</v>
      </c>
      <c r="D9733" t="s">
        <v>28185</v>
      </c>
      <c r="E9733" t="s">
        <v>28331</v>
      </c>
      <c r="F9733" t="s">
        <v>28332</v>
      </c>
      <c r="J9733" t="s">
        <v>28331</v>
      </c>
      <c r="K9733" t="s">
        <v>15931</v>
      </c>
      <c r="L9733" t="s">
        <v>851</v>
      </c>
    </row>
    <row r="9734" spans="1:12">
      <c r="A9734" t="s">
        <v>28182</v>
      </c>
      <c r="B9734" t="s">
        <v>28183</v>
      </c>
      <c r="C9734" t="s">
        <v>28333</v>
      </c>
      <c r="D9734" t="s">
        <v>28185</v>
      </c>
      <c r="E9734" t="s">
        <v>9930</v>
      </c>
      <c r="F9734" t="s">
        <v>28334</v>
      </c>
    </row>
    <row r="9735" spans="1:12">
      <c r="A9735" t="s">
        <v>28182</v>
      </c>
      <c r="B9735" t="s">
        <v>28183</v>
      </c>
      <c r="C9735" t="s">
        <v>28335</v>
      </c>
      <c r="D9735" t="s">
        <v>28185</v>
      </c>
      <c r="E9735" t="s">
        <v>3574</v>
      </c>
      <c r="F9735" t="s">
        <v>28336</v>
      </c>
    </row>
    <row r="9736" spans="1:12">
      <c r="A9736" t="s">
        <v>28182</v>
      </c>
      <c r="B9736" t="s">
        <v>28183</v>
      </c>
      <c r="C9736" t="s">
        <v>28337</v>
      </c>
      <c r="D9736" t="s">
        <v>28185</v>
      </c>
      <c r="E9736" t="s">
        <v>9953</v>
      </c>
      <c r="F9736" t="s">
        <v>28338</v>
      </c>
    </row>
    <row r="9737" spans="1:12">
      <c r="A9737" t="s">
        <v>28182</v>
      </c>
      <c r="B9737" t="s">
        <v>28183</v>
      </c>
      <c r="C9737" t="s">
        <v>28339</v>
      </c>
      <c r="D9737" t="s">
        <v>28185</v>
      </c>
      <c r="E9737" t="s">
        <v>3524</v>
      </c>
      <c r="F9737" t="s">
        <v>28340</v>
      </c>
    </row>
    <row r="9738" spans="1:12">
      <c r="A9738" t="s">
        <v>28182</v>
      </c>
      <c r="B9738" t="s">
        <v>28183</v>
      </c>
      <c r="C9738" t="s">
        <v>28341</v>
      </c>
      <c r="D9738" t="s">
        <v>28185</v>
      </c>
      <c r="E9738" t="s">
        <v>4561</v>
      </c>
      <c r="F9738" t="s">
        <v>28342</v>
      </c>
    </row>
    <row r="9739" spans="1:12">
      <c r="A9739" t="s">
        <v>28182</v>
      </c>
      <c r="B9739" t="s">
        <v>28183</v>
      </c>
      <c r="C9739" t="s">
        <v>28343</v>
      </c>
      <c r="D9739" t="s">
        <v>28185</v>
      </c>
      <c r="E9739" t="s">
        <v>28344</v>
      </c>
      <c r="F9739" t="s">
        <v>28345</v>
      </c>
      <c r="J9739" t="s">
        <v>28344</v>
      </c>
      <c r="K9739" t="s">
        <v>15931</v>
      </c>
      <c r="L9739" t="s">
        <v>851</v>
      </c>
    </row>
    <row r="9740" spans="1:12">
      <c r="A9740" t="s">
        <v>28182</v>
      </c>
      <c r="B9740" t="s">
        <v>28183</v>
      </c>
      <c r="C9740" t="s">
        <v>28346</v>
      </c>
      <c r="D9740" t="s">
        <v>28185</v>
      </c>
      <c r="E9740" t="s">
        <v>27918</v>
      </c>
      <c r="F9740" t="s">
        <v>28347</v>
      </c>
    </row>
    <row r="9741" spans="1:12">
      <c r="A9741" t="s">
        <v>28182</v>
      </c>
      <c r="B9741" t="s">
        <v>28183</v>
      </c>
      <c r="C9741" t="s">
        <v>28348</v>
      </c>
      <c r="D9741" t="s">
        <v>28185</v>
      </c>
      <c r="E9741" t="s">
        <v>13017</v>
      </c>
      <c r="F9741" t="s">
        <v>28349</v>
      </c>
    </row>
    <row r="9742" spans="1:12">
      <c r="A9742" t="s">
        <v>28182</v>
      </c>
      <c r="B9742" t="s">
        <v>28183</v>
      </c>
      <c r="C9742" t="s">
        <v>28350</v>
      </c>
      <c r="D9742" t="s">
        <v>28185</v>
      </c>
      <c r="E9742" t="s">
        <v>28351</v>
      </c>
      <c r="F9742" t="s">
        <v>28352</v>
      </c>
      <c r="J9742" t="s">
        <v>28351</v>
      </c>
      <c r="K9742" t="s">
        <v>15931</v>
      </c>
      <c r="L9742" t="s">
        <v>851</v>
      </c>
    </row>
    <row r="9743" spans="1:12">
      <c r="A9743" t="s">
        <v>28182</v>
      </c>
      <c r="B9743" t="s">
        <v>28183</v>
      </c>
      <c r="C9743" t="s">
        <v>28353</v>
      </c>
      <c r="D9743" t="s">
        <v>28185</v>
      </c>
      <c r="E9743" t="s">
        <v>20996</v>
      </c>
      <c r="F9743" t="s">
        <v>28354</v>
      </c>
      <c r="J9743" t="s">
        <v>20996</v>
      </c>
      <c r="K9743" t="s">
        <v>15931</v>
      </c>
      <c r="L9743" t="s">
        <v>851</v>
      </c>
    </row>
    <row r="9744" spans="1:12">
      <c r="A9744" t="s">
        <v>28182</v>
      </c>
      <c r="B9744" t="s">
        <v>28183</v>
      </c>
      <c r="C9744" t="s">
        <v>28355</v>
      </c>
      <c r="D9744" t="s">
        <v>28185</v>
      </c>
      <c r="E9744" t="s">
        <v>7488</v>
      </c>
      <c r="F9744" t="s">
        <v>28356</v>
      </c>
    </row>
    <row r="9745" spans="1:12">
      <c r="A9745" t="s">
        <v>28182</v>
      </c>
      <c r="B9745" t="s">
        <v>28183</v>
      </c>
      <c r="C9745" t="s">
        <v>28357</v>
      </c>
      <c r="D9745" t="s">
        <v>28185</v>
      </c>
      <c r="E9745" t="s">
        <v>24463</v>
      </c>
      <c r="F9745" t="s">
        <v>28358</v>
      </c>
      <c r="J9745" t="s">
        <v>24463</v>
      </c>
      <c r="K9745" t="s">
        <v>15931</v>
      </c>
      <c r="L9745" t="s">
        <v>851</v>
      </c>
    </row>
    <row r="9746" spans="1:12">
      <c r="A9746" t="s">
        <v>28182</v>
      </c>
      <c r="B9746" t="s">
        <v>28183</v>
      </c>
      <c r="C9746" t="s">
        <v>28359</v>
      </c>
      <c r="D9746" t="s">
        <v>28185</v>
      </c>
      <c r="E9746" t="s">
        <v>3023</v>
      </c>
      <c r="F9746" t="s">
        <v>28360</v>
      </c>
    </row>
    <row r="9747" spans="1:12">
      <c r="A9747" t="s">
        <v>28182</v>
      </c>
      <c r="B9747" t="s">
        <v>28183</v>
      </c>
      <c r="C9747" t="s">
        <v>28361</v>
      </c>
      <c r="D9747" t="s">
        <v>28185</v>
      </c>
      <c r="E9747" t="s">
        <v>14133</v>
      </c>
      <c r="F9747" t="s">
        <v>28362</v>
      </c>
    </row>
    <row r="9748" spans="1:12">
      <c r="A9748" t="s">
        <v>28182</v>
      </c>
      <c r="B9748" t="s">
        <v>28183</v>
      </c>
      <c r="C9748" t="s">
        <v>28363</v>
      </c>
      <c r="D9748" t="s">
        <v>28185</v>
      </c>
      <c r="E9748" t="s">
        <v>8285</v>
      </c>
      <c r="F9748" t="s">
        <v>28364</v>
      </c>
    </row>
    <row r="9749" spans="1:12">
      <c r="A9749" t="s">
        <v>28182</v>
      </c>
      <c r="B9749" t="s">
        <v>28183</v>
      </c>
      <c r="C9749" t="s">
        <v>28365</v>
      </c>
      <c r="D9749" t="s">
        <v>28185</v>
      </c>
      <c r="E9749" t="s">
        <v>28366</v>
      </c>
      <c r="F9749" t="s">
        <v>28367</v>
      </c>
    </row>
    <row r="9750" spans="1:12">
      <c r="A9750" t="s">
        <v>28182</v>
      </c>
      <c r="B9750" t="s">
        <v>28183</v>
      </c>
      <c r="C9750" t="s">
        <v>28368</v>
      </c>
      <c r="D9750" t="s">
        <v>28185</v>
      </c>
      <c r="E9750" t="s">
        <v>10090</v>
      </c>
      <c r="F9750" t="s">
        <v>28369</v>
      </c>
    </row>
    <row r="9751" spans="1:12">
      <c r="A9751" t="s">
        <v>28182</v>
      </c>
      <c r="B9751" t="s">
        <v>28183</v>
      </c>
      <c r="C9751" t="s">
        <v>28370</v>
      </c>
      <c r="D9751" t="s">
        <v>28185</v>
      </c>
      <c r="E9751" t="s">
        <v>7044</v>
      </c>
      <c r="F9751" t="s">
        <v>28371</v>
      </c>
    </row>
    <row r="9752" spans="1:12">
      <c r="A9752" t="s">
        <v>28182</v>
      </c>
      <c r="B9752" t="s">
        <v>28183</v>
      </c>
      <c r="C9752" t="s">
        <v>28372</v>
      </c>
      <c r="D9752" t="s">
        <v>28185</v>
      </c>
      <c r="E9752" t="s">
        <v>655</v>
      </c>
      <c r="F9752" t="s">
        <v>656</v>
      </c>
    </row>
    <row r="9753" spans="1:12">
      <c r="A9753" t="s">
        <v>28373</v>
      </c>
      <c r="B9753" t="s">
        <v>28374</v>
      </c>
      <c r="C9753" t="s">
        <v>28375</v>
      </c>
      <c r="D9753" t="s">
        <v>28376</v>
      </c>
      <c r="E9753" t="s">
        <v>8504</v>
      </c>
      <c r="F9753" t="s">
        <v>28377</v>
      </c>
      <c r="J9753" t="s">
        <v>8504</v>
      </c>
      <c r="K9753" t="s">
        <v>28378</v>
      </c>
      <c r="L9753" t="s">
        <v>851</v>
      </c>
    </row>
    <row r="9754" spans="1:12">
      <c r="A9754" t="s">
        <v>28373</v>
      </c>
      <c r="B9754" t="s">
        <v>28374</v>
      </c>
      <c r="C9754" t="s">
        <v>28379</v>
      </c>
      <c r="D9754" t="s">
        <v>28376</v>
      </c>
      <c r="E9754" t="s">
        <v>11283</v>
      </c>
      <c r="F9754" t="s">
        <v>19444</v>
      </c>
      <c r="J9754" t="s">
        <v>11283</v>
      </c>
      <c r="K9754" t="s">
        <v>28378</v>
      </c>
      <c r="L9754" t="s">
        <v>851</v>
      </c>
    </row>
    <row r="9755" spans="1:12">
      <c r="A9755" t="s">
        <v>28373</v>
      </c>
      <c r="B9755" t="s">
        <v>28374</v>
      </c>
      <c r="C9755" t="s">
        <v>28380</v>
      </c>
      <c r="D9755" t="s">
        <v>28376</v>
      </c>
      <c r="E9755" t="s">
        <v>14508</v>
      </c>
      <c r="F9755" t="s">
        <v>28381</v>
      </c>
      <c r="J9755" t="s">
        <v>14508</v>
      </c>
      <c r="K9755" t="s">
        <v>28378</v>
      </c>
      <c r="L9755" t="s">
        <v>851</v>
      </c>
    </row>
    <row r="9756" spans="1:12">
      <c r="A9756" t="s">
        <v>28373</v>
      </c>
      <c r="B9756" t="s">
        <v>28374</v>
      </c>
      <c r="C9756" t="s">
        <v>28382</v>
      </c>
      <c r="D9756" t="s">
        <v>28376</v>
      </c>
      <c r="E9756" t="s">
        <v>655</v>
      </c>
      <c r="F9756" t="s">
        <v>656</v>
      </c>
    </row>
    <row r="9757" spans="1:12">
      <c r="A9757" t="s">
        <v>28383</v>
      </c>
      <c r="B9757" t="s">
        <v>28384</v>
      </c>
      <c r="C9757" t="s">
        <v>28385</v>
      </c>
      <c r="D9757" t="s">
        <v>28386</v>
      </c>
      <c r="E9757" t="s">
        <v>28387</v>
      </c>
      <c r="F9757" t="s">
        <v>28388</v>
      </c>
      <c r="J9757" t="s">
        <v>28387</v>
      </c>
      <c r="K9757" t="s">
        <v>28389</v>
      </c>
      <c r="L9757" t="s">
        <v>863</v>
      </c>
    </row>
    <row r="9758" spans="1:12">
      <c r="A9758" t="s">
        <v>28383</v>
      </c>
      <c r="B9758" t="s">
        <v>28384</v>
      </c>
      <c r="C9758" t="s">
        <v>28390</v>
      </c>
      <c r="D9758" t="s">
        <v>28386</v>
      </c>
      <c r="E9758" t="s">
        <v>27834</v>
      </c>
      <c r="F9758" t="s">
        <v>28391</v>
      </c>
    </row>
    <row r="9759" spans="1:12">
      <c r="A9759" t="s">
        <v>28383</v>
      </c>
      <c r="B9759" t="s">
        <v>28384</v>
      </c>
      <c r="C9759" t="s">
        <v>28392</v>
      </c>
      <c r="D9759" t="s">
        <v>28386</v>
      </c>
      <c r="E9759" t="s">
        <v>28393</v>
      </c>
      <c r="F9759" t="s">
        <v>28394</v>
      </c>
    </row>
    <row r="9760" spans="1:12">
      <c r="A9760" t="s">
        <v>28383</v>
      </c>
      <c r="B9760" t="s">
        <v>28384</v>
      </c>
      <c r="C9760" t="s">
        <v>28395</v>
      </c>
      <c r="D9760" t="s">
        <v>28386</v>
      </c>
      <c r="E9760" t="s">
        <v>28396</v>
      </c>
      <c r="F9760" t="s">
        <v>28397</v>
      </c>
    </row>
    <row r="9761" spans="1:12">
      <c r="A9761" t="s">
        <v>28383</v>
      </c>
      <c r="B9761" t="s">
        <v>28384</v>
      </c>
      <c r="C9761" t="s">
        <v>28398</v>
      </c>
      <c r="D9761" t="s">
        <v>28386</v>
      </c>
      <c r="E9761" t="s">
        <v>1564</v>
      </c>
      <c r="F9761" t="s">
        <v>28399</v>
      </c>
    </row>
    <row r="9762" spans="1:12">
      <c r="A9762" t="s">
        <v>28383</v>
      </c>
      <c r="B9762" t="s">
        <v>28384</v>
      </c>
      <c r="C9762" t="s">
        <v>28400</v>
      </c>
      <c r="D9762" t="s">
        <v>28386</v>
      </c>
      <c r="E9762" t="s">
        <v>6566</v>
      </c>
      <c r="F9762" t="s">
        <v>28401</v>
      </c>
    </row>
    <row r="9763" spans="1:12">
      <c r="A9763" t="s">
        <v>28383</v>
      </c>
      <c r="B9763" t="s">
        <v>28384</v>
      </c>
      <c r="C9763" t="s">
        <v>28402</v>
      </c>
      <c r="D9763" t="s">
        <v>28386</v>
      </c>
      <c r="E9763" t="s">
        <v>3615</v>
      </c>
      <c r="F9763" t="s">
        <v>28403</v>
      </c>
    </row>
    <row r="9764" spans="1:12">
      <c r="A9764" t="s">
        <v>28383</v>
      </c>
      <c r="B9764" t="s">
        <v>28384</v>
      </c>
      <c r="C9764" t="s">
        <v>28404</v>
      </c>
      <c r="D9764" t="s">
        <v>28386</v>
      </c>
      <c r="E9764" t="s">
        <v>27091</v>
      </c>
      <c r="F9764" t="s">
        <v>28405</v>
      </c>
    </row>
    <row r="9765" spans="1:12">
      <c r="A9765" t="s">
        <v>28383</v>
      </c>
      <c r="B9765" t="s">
        <v>28384</v>
      </c>
      <c r="C9765" t="s">
        <v>28406</v>
      </c>
      <c r="D9765" t="s">
        <v>28386</v>
      </c>
      <c r="E9765" t="s">
        <v>27096</v>
      </c>
      <c r="F9765" t="s">
        <v>28407</v>
      </c>
    </row>
    <row r="9766" spans="1:12">
      <c r="A9766" t="s">
        <v>28383</v>
      </c>
      <c r="B9766" t="s">
        <v>28384</v>
      </c>
      <c r="C9766" t="s">
        <v>28408</v>
      </c>
      <c r="D9766" t="s">
        <v>28386</v>
      </c>
      <c r="E9766" t="s">
        <v>1597</v>
      </c>
      <c r="F9766" t="s">
        <v>28409</v>
      </c>
    </row>
    <row r="9767" spans="1:12">
      <c r="A9767" t="s">
        <v>28383</v>
      </c>
      <c r="B9767" t="s">
        <v>28384</v>
      </c>
      <c r="C9767" t="s">
        <v>28410</v>
      </c>
      <c r="D9767" t="s">
        <v>28386</v>
      </c>
      <c r="E9767" t="s">
        <v>28411</v>
      </c>
      <c r="F9767" t="s">
        <v>28412</v>
      </c>
      <c r="J9767" t="s">
        <v>28411</v>
      </c>
      <c r="K9767" t="s">
        <v>28389</v>
      </c>
      <c r="L9767" t="s">
        <v>863</v>
      </c>
    </row>
    <row r="9768" spans="1:12">
      <c r="A9768" t="s">
        <v>28383</v>
      </c>
      <c r="B9768" t="s">
        <v>28384</v>
      </c>
      <c r="C9768" t="s">
        <v>28413</v>
      </c>
      <c r="D9768" t="s">
        <v>28386</v>
      </c>
      <c r="E9768" t="s">
        <v>28414</v>
      </c>
      <c r="F9768" t="s">
        <v>28415</v>
      </c>
    </row>
    <row r="9769" spans="1:12">
      <c r="A9769" t="s">
        <v>28383</v>
      </c>
      <c r="B9769" t="s">
        <v>28384</v>
      </c>
      <c r="C9769" t="s">
        <v>28416</v>
      </c>
      <c r="D9769" t="s">
        <v>28386</v>
      </c>
      <c r="E9769" t="s">
        <v>28417</v>
      </c>
      <c r="F9769" t="s">
        <v>28418</v>
      </c>
    </row>
    <row r="9770" spans="1:12">
      <c r="A9770" t="s">
        <v>28383</v>
      </c>
      <c r="B9770" t="s">
        <v>28384</v>
      </c>
      <c r="C9770" t="s">
        <v>28419</v>
      </c>
      <c r="D9770" t="s">
        <v>28386</v>
      </c>
      <c r="E9770" t="s">
        <v>1138</v>
      </c>
      <c r="F9770" t="s">
        <v>28420</v>
      </c>
      <c r="J9770" t="s">
        <v>1138</v>
      </c>
      <c r="K9770" t="s">
        <v>28389</v>
      </c>
      <c r="L9770" t="s">
        <v>863</v>
      </c>
    </row>
    <row r="9771" spans="1:12">
      <c r="A9771" t="s">
        <v>28383</v>
      </c>
      <c r="B9771" t="s">
        <v>28384</v>
      </c>
      <c r="C9771" t="s">
        <v>28421</v>
      </c>
      <c r="D9771" t="s">
        <v>28386</v>
      </c>
      <c r="E9771" t="s">
        <v>25660</v>
      </c>
      <c r="F9771" t="s">
        <v>28422</v>
      </c>
    </row>
    <row r="9772" spans="1:12">
      <c r="A9772" t="s">
        <v>28383</v>
      </c>
      <c r="B9772" t="s">
        <v>28384</v>
      </c>
      <c r="C9772" t="s">
        <v>28423</v>
      </c>
      <c r="D9772" t="s">
        <v>28386</v>
      </c>
      <c r="E9772" t="s">
        <v>28424</v>
      </c>
      <c r="F9772" t="s">
        <v>28425</v>
      </c>
    </row>
    <row r="9773" spans="1:12">
      <c r="A9773" t="s">
        <v>28383</v>
      </c>
      <c r="B9773" t="s">
        <v>28384</v>
      </c>
      <c r="C9773" t="s">
        <v>28426</v>
      </c>
      <c r="D9773" t="s">
        <v>28386</v>
      </c>
      <c r="E9773" t="s">
        <v>28427</v>
      </c>
      <c r="F9773" t="s">
        <v>28428</v>
      </c>
    </row>
    <row r="9774" spans="1:12">
      <c r="A9774" t="s">
        <v>28383</v>
      </c>
      <c r="B9774" t="s">
        <v>28384</v>
      </c>
      <c r="C9774" t="s">
        <v>28429</v>
      </c>
      <c r="D9774" t="s">
        <v>28386</v>
      </c>
      <c r="E9774" t="s">
        <v>28430</v>
      </c>
      <c r="F9774" t="s">
        <v>28431</v>
      </c>
      <c r="J9774" t="s">
        <v>28430</v>
      </c>
      <c r="K9774" t="s">
        <v>28389</v>
      </c>
      <c r="L9774" t="s">
        <v>863</v>
      </c>
    </row>
    <row r="9775" spans="1:12">
      <c r="A9775" t="s">
        <v>28383</v>
      </c>
      <c r="B9775" t="s">
        <v>28384</v>
      </c>
      <c r="C9775" t="s">
        <v>28432</v>
      </c>
      <c r="D9775" t="s">
        <v>28386</v>
      </c>
      <c r="E9775" t="s">
        <v>2070</v>
      </c>
      <c r="F9775" t="s">
        <v>28433</v>
      </c>
    </row>
    <row r="9776" spans="1:12">
      <c r="A9776" t="s">
        <v>28383</v>
      </c>
      <c r="B9776" t="s">
        <v>28384</v>
      </c>
      <c r="C9776" t="s">
        <v>28434</v>
      </c>
      <c r="D9776" t="s">
        <v>28386</v>
      </c>
      <c r="E9776" t="s">
        <v>28435</v>
      </c>
      <c r="F9776" t="s">
        <v>28436</v>
      </c>
    </row>
    <row r="9777" spans="1:12">
      <c r="A9777" t="s">
        <v>28383</v>
      </c>
      <c r="B9777" t="s">
        <v>28384</v>
      </c>
      <c r="C9777" t="s">
        <v>28437</v>
      </c>
      <c r="D9777" t="s">
        <v>28386</v>
      </c>
      <c r="E9777" t="s">
        <v>28438</v>
      </c>
      <c r="F9777" t="s">
        <v>28439</v>
      </c>
    </row>
    <row r="9778" spans="1:12">
      <c r="A9778" t="s">
        <v>28383</v>
      </c>
      <c r="B9778" t="s">
        <v>28384</v>
      </c>
      <c r="C9778" t="s">
        <v>28440</v>
      </c>
      <c r="D9778" t="s">
        <v>28386</v>
      </c>
      <c r="E9778" t="s">
        <v>17565</v>
      </c>
      <c r="F9778" t="s">
        <v>28441</v>
      </c>
    </row>
    <row r="9779" spans="1:12">
      <c r="A9779" t="s">
        <v>28383</v>
      </c>
      <c r="B9779" t="s">
        <v>28384</v>
      </c>
      <c r="C9779" t="s">
        <v>28442</v>
      </c>
      <c r="D9779" t="s">
        <v>28386</v>
      </c>
      <c r="E9779" t="s">
        <v>17569</v>
      </c>
      <c r="F9779" t="s">
        <v>28443</v>
      </c>
      <c r="J9779" t="s">
        <v>17569</v>
      </c>
      <c r="K9779" t="s">
        <v>28389</v>
      </c>
      <c r="L9779" t="s">
        <v>863</v>
      </c>
    </row>
    <row r="9780" spans="1:12">
      <c r="A9780" t="s">
        <v>28383</v>
      </c>
      <c r="B9780" t="s">
        <v>28384</v>
      </c>
      <c r="C9780" t="s">
        <v>28444</v>
      </c>
      <c r="D9780" t="s">
        <v>28386</v>
      </c>
      <c r="E9780" t="s">
        <v>26496</v>
      </c>
      <c r="F9780" t="s">
        <v>28445</v>
      </c>
    </row>
    <row r="9781" spans="1:12">
      <c r="A9781" t="s">
        <v>28383</v>
      </c>
      <c r="B9781" t="s">
        <v>28384</v>
      </c>
      <c r="C9781" t="s">
        <v>28446</v>
      </c>
      <c r="D9781" t="s">
        <v>28386</v>
      </c>
      <c r="E9781" t="s">
        <v>3483</v>
      </c>
      <c r="F9781" t="s">
        <v>28447</v>
      </c>
    </row>
    <row r="9782" spans="1:12">
      <c r="A9782" t="s">
        <v>28383</v>
      </c>
      <c r="B9782" t="s">
        <v>28384</v>
      </c>
      <c r="C9782" t="s">
        <v>28448</v>
      </c>
      <c r="D9782" t="s">
        <v>28386</v>
      </c>
      <c r="E9782" t="s">
        <v>9281</v>
      </c>
      <c r="F9782" t="s">
        <v>9281</v>
      </c>
    </row>
    <row r="9783" spans="1:12">
      <c r="A9783" t="s">
        <v>28383</v>
      </c>
      <c r="B9783" t="s">
        <v>28384</v>
      </c>
      <c r="C9783" t="s">
        <v>28449</v>
      </c>
      <c r="D9783" t="s">
        <v>28386</v>
      </c>
      <c r="E9783" t="s">
        <v>15478</v>
      </c>
      <c r="F9783" t="s">
        <v>28450</v>
      </c>
    </row>
    <row r="9784" spans="1:12">
      <c r="A9784" t="s">
        <v>28383</v>
      </c>
      <c r="B9784" t="s">
        <v>28384</v>
      </c>
      <c r="C9784" t="s">
        <v>28451</v>
      </c>
      <c r="D9784" t="s">
        <v>28386</v>
      </c>
      <c r="E9784" t="s">
        <v>28452</v>
      </c>
      <c r="F9784" t="s">
        <v>28453</v>
      </c>
      <c r="J9784" t="s">
        <v>28452</v>
      </c>
      <c r="K9784" t="s">
        <v>28389</v>
      </c>
      <c r="L9784" t="s">
        <v>863</v>
      </c>
    </row>
    <row r="9785" spans="1:12">
      <c r="A9785" t="s">
        <v>28383</v>
      </c>
      <c r="B9785" t="s">
        <v>28384</v>
      </c>
      <c r="C9785" t="s">
        <v>28454</v>
      </c>
      <c r="D9785" t="s">
        <v>28386</v>
      </c>
      <c r="E9785" t="s">
        <v>3489</v>
      </c>
      <c r="F9785" t="s">
        <v>28455</v>
      </c>
    </row>
    <row r="9786" spans="1:12">
      <c r="A9786" t="s">
        <v>28383</v>
      </c>
      <c r="B9786" t="s">
        <v>28384</v>
      </c>
      <c r="C9786" t="s">
        <v>28456</v>
      </c>
      <c r="D9786" t="s">
        <v>28386</v>
      </c>
      <c r="E9786" t="s">
        <v>28457</v>
      </c>
      <c r="F9786" t="s">
        <v>28458</v>
      </c>
      <c r="J9786" t="s">
        <v>28457</v>
      </c>
      <c r="K9786" t="s">
        <v>28389</v>
      </c>
      <c r="L9786" t="s">
        <v>863</v>
      </c>
    </row>
    <row r="9787" spans="1:12">
      <c r="A9787" t="s">
        <v>28383</v>
      </c>
      <c r="B9787" t="s">
        <v>28384</v>
      </c>
      <c r="C9787" t="s">
        <v>28459</v>
      </c>
      <c r="D9787" t="s">
        <v>28386</v>
      </c>
      <c r="E9787" t="s">
        <v>5060</v>
      </c>
      <c r="F9787" t="s">
        <v>28460</v>
      </c>
    </row>
    <row r="9788" spans="1:12">
      <c r="A9788" t="s">
        <v>28383</v>
      </c>
      <c r="B9788" t="s">
        <v>28384</v>
      </c>
      <c r="C9788" t="s">
        <v>28461</v>
      </c>
      <c r="D9788" t="s">
        <v>28386</v>
      </c>
      <c r="E9788" t="s">
        <v>18098</v>
      </c>
      <c r="F9788" t="s">
        <v>28462</v>
      </c>
      <c r="J9788" t="s">
        <v>18098</v>
      </c>
      <c r="K9788" t="s">
        <v>28389</v>
      </c>
      <c r="L9788" t="s">
        <v>863</v>
      </c>
    </row>
    <row r="9789" spans="1:12">
      <c r="A9789" t="s">
        <v>28383</v>
      </c>
      <c r="B9789" t="s">
        <v>28384</v>
      </c>
      <c r="C9789" t="s">
        <v>28463</v>
      </c>
      <c r="D9789" t="s">
        <v>28386</v>
      </c>
      <c r="E9789" t="s">
        <v>28464</v>
      </c>
      <c r="F9789" t="s">
        <v>28453</v>
      </c>
    </row>
    <row r="9790" spans="1:12">
      <c r="A9790" t="s">
        <v>28383</v>
      </c>
      <c r="B9790" t="s">
        <v>28384</v>
      </c>
      <c r="C9790" t="s">
        <v>28465</v>
      </c>
      <c r="D9790" t="s">
        <v>28386</v>
      </c>
      <c r="E9790" t="s">
        <v>18263</v>
      </c>
      <c r="F9790" t="s">
        <v>28466</v>
      </c>
    </row>
    <row r="9791" spans="1:12">
      <c r="A9791" t="s">
        <v>28383</v>
      </c>
      <c r="B9791" t="s">
        <v>28384</v>
      </c>
      <c r="C9791" t="s">
        <v>28467</v>
      </c>
      <c r="D9791" t="s">
        <v>28386</v>
      </c>
      <c r="E9791" t="s">
        <v>23564</v>
      </c>
      <c r="F9791" t="s">
        <v>28468</v>
      </c>
    </row>
    <row r="9792" spans="1:12">
      <c r="A9792" t="s">
        <v>28383</v>
      </c>
      <c r="B9792" t="s">
        <v>28384</v>
      </c>
      <c r="C9792" t="s">
        <v>28469</v>
      </c>
      <c r="D9792" t="s">
        <v>28386</v>
      </c>
      <c r="E9792" t="s">
        <v>11325</v>
      </c>
      <c r="F9792" t="s">
        <v>28470</v>
      </c>
    </row>
    <row r="9793" spans="1:12">
      <c r="A9793" t="s">
        <v>28383</v>
      </c>
      <c r="B9793" t="s">
        <v>28384</v>
      </c>
      <c r="C9793" t="s">
        <v>28471</v>
      </c>
      <c r="D9793" t="s">
        <v>28386</v>
      </c>
      <c r="E9793" t="s">
        <v>10376</v>
      </c>
      <c r="F9793" t="s">
        <v>28472</v>
      </c>
      <c r="J9793" t="s">
        <v>10376</v>
      </c>
      <c r="K9793" t="s">
        <v>28389</v>
      </c>
      <c r="L9793" t="s">
        <v>863</v>
      </c>
    </row>
    <row r="9794" spans="1:12">
      <c r="A9794" t="s">
        <v>28383</v>
      </c>
      <c r="B9794" t="s">
        <v>28384</v>
      </c>
      <c r="C9794" t="s">
        <v>28473</v>
      </c>
      <c r="D9794" t="s">
        <v>28386</v>
      </c>
      <c r="E9794" t="s">
        <v>24272</v>
      </c>
      <c r="F9794" t="s">
        <v>28474</v>
      </c>
    </row>
    <row r="9795" spans="1:12">
      <c r="A9795" t="s">
        <v>28383</v>
      </c>
      <c r="B9795" t="s">
        <v>28384</v>
      </c>
      <c r="C9795" t="s">
        <v>28475</v>
      </c>
      <c r="D9795" t="s">
        <v>28386</v>
      </c>
      <c r="E9795" t="s">
        <v>9329</v>
      </c>
      <c r="F9795" t="s">
        <v>28476</v>
      </c>
    </row>
    <row r="9796" spans="1:12">
      <c r="A9796" t="s">
        <v>28383</v>
      </c>
      <c r="B9796" t="s">
        <v>28384</v>
      </c>
      <c r="C9796" t="s">
        <v>28477</v>
      </c>
      <c r="D9796" t="s">
        <v>28386</v>
      </c>
      <c r="E9796" t="s">
        <v>28478</v>
      </c>
      <c r="F9796" t="s">
        <v>28479</v>
      </c>
      <c r="J9796" t="s">
        <v>28478</v>
      </c>
      <c r="K9796" t="s">
        <v>28389</v>
      </c>
      <c r="L9796" t="s">
        <v>863</v>
      </c>
    </row>
    <row r="9797" spans="1:12">
      <c r="A9797" t="s">
        <v>28383</v>
      </c>
      <c r="B9797" t="s">
        <v>28384</v>
      </c>
      <c r="C9797" t="s">
        <v>28480</v>
      </c>
      <c r="D9797" t="s">
        <v>28386</v>
      </c>
      <c r="E9797" t="s">
        <v>4133</v>
      </c>
      <c r="F9797" t="s">
        <v>28481</v>
      </c>
    </row>
    <row r="9798" spans="1:12">
      <c r="A9798" t="s">
        <v>28383</v>
      </c>
      <c r="B9798" t="s">
        <v>28384</v>
      </c>
      <c r="C9798" t="s">
        <v>28482</v>
      </c>
      <c r="D9798" t="s">
        <v>28386</v>
      </c>
      <c r="E9798" t="s">
        <v>28483</v>
      </c>
      <c r="F9798" t="s">
        <v>28484</v>
      </c>
      <c r="J9798" t="s">
        <v>28483</v>
      </c>
      <c r="K9798" t="s">
        <v>28389</v>
      </c>
      <c r="L9798" t="s">
        <v>863</v>
      </c>
    </row>
    <row r="9799" spans="1:12">
      <c r="A9799" t="s">
        <v>28383</v>
      </c>
      <c r="B9799" t="s">
        <v>28384</v>
      </c>
      <c r="C9799" t="s">
        <v>28485</v>
      </c>
      <c r="D9799" t="s">
        <v>28386</v>
      </c>
      <c r="E9799" t="s">
        <v>18755</v>
      </c>
      <c r="F9799" t="s">
        <v>28486</v>
      </c>
    </row>
    <row r="9800" spans="1:12">
      <c r="A9800" t="s">
        <v>28383</v>
      </c>
      <c r="B9800" t="s">
        <v>28384</v>
      </c>
      <c r="C9800" t="s">
        <v>28487</v>
      </c>
      <c r="D9800" t="s">
        <v>28386</v>
      </c>
      <c r="E9800" t="s">
        <v>28488</v>
      </c>
      <c r="F9800" t="s">
        <v>28489</v>
      </c>
    </row>
    <row r="9801" spans="1:12">
      <c r="A9801" t="s">
        <v>28383</v>
      </c>
      <c r="B9801" t="s">
        <v>28384</v>
      </c>
      <c r="C9801" t="s">
        <v>28490</v>
      </c>
      <c r="D9801" t="s">
        <v>28386</v>
      </c>
      <c r="E9801" t="s">
        <v>984</v>
      </c>
      <c r="F9801" t="s">
        <v>28491</v>
      </c>
    </row>
    <row r="9802" spans="1:12">
      <c r="A9802" t="s">
        <v>28383</v>
      </c>
      <c r="B9802" t="s">
        <v>28384</v>
      </c>
      <c r="C9802" t="s">
        <v>28492</v>
      </c>
      <c r="D9802" t="s">
        <v>28386</v>
      </c>
      <c r="E9802" t="s">
        <v>28493</v>
      </c>
      <c r="F9802" t="s">
        <v>28494</v>
      </c>
    </row>
    <row r="9803" spans="1:12">
      <c r="A9803" t="s">
        <v>28383</v>
      </c>
      <c r="B9803" t="s">
        <v>28384</v>
      </c>
      <c r="C9803" t="s">
        <v>28495</v>
      </c>
      <c r="D9803" t="s">
        <v>28386</v>
      </c>
      <c r="E9803" t="s">
        <v>12216</v>
      </c>
      <c r="F9803" t="s">
        <v>28496</v>
      </c>
    </row>
    <row r="9804" spans="1:12">
      <c r="A9804" t="s">
        <v>28383</v>
      </c>
      <c r="B9804" t="s">
        <v>28384</v>
      </c>
      <c r="C9804" t="s">
        <v>28497</v>
      </c>
      <c r="D9804" t="s">
        <v>28386</v>
      </c>
      <c r="E9804" t="s">
        <v>28498</v>
      </c>
      <c r="F9804" t="s">
        <v>28499</v>
      </c>
      <c r="J9804" t="s">
        <v>28498</v>
      </c>
      <c r="K9804" t="s">
        <v>28389</v>
      </c>
      <c r="L9804" t="s">
        <v>863</v>
      </c>
    </row>
    <row r="9805" spans="1:12">
      <c r="A9805" t="s">
        <v>28383</v>
      </c>
      <c r="B9805" t="s">
        <v>28384</v>
      </c>
      <c r="C9805" t="s">
        <v>28500</v>
      </c>
      <c r="D9805" t="s">
        <v>28386</v>
      </c>
      <c r="E9805" t="s">
        <v>8207</v>
      </c>
      <c r="F9805" t="s">
        <v>28501</v>
      </c>
    </row>
    <row r="9806" spans="1:12">
      <c r="A9806" t="s">
        <v>28383</v>
      </c>
      <c r="B9806" t="s">
        <v>28384</v>
      </c>
      <c r="C9806" t="s">
        <v>28502</v>
      </c>
      <c r="D9806" t="s">
        <v>28386</v>
      </c>
      <c r="E9806" t="s">
        <v>7912</v>
      </c>
      <c r="F9806" t="s">
        <v>28503</v>
      </c>
    </row>
    <row r="9807" spans="1:12">
      <c r="A9807" t="s">
        <v>28383</v>
      </c>
      <c r="B9807" t="s">
        <v>28384</v>
      </c>
      <c r="C9807" t="s">
        <v>28504</v>
      </c>
      <c r="D9807" t="s">
        <v>28386</v>
      </c>
      <c r="E9807" t="s">
        <v>28505</v>
      </c>
      <c r="F9807" t="s">
        <v>28506</v>
      </c>
      <c r="J9807" t="s">
        <v>28505</v>
      </c>
      <c r="K9807" t="s">
        <v>28389</v>
      </c>
      <c r="L9807" t="s">
        <v>863</v>
      </c>
    </row>
    <row r="9808" spans="1:12">
      <c r="A9808" t="s">
        <v>28383</v>
      </c>
      <c r="B9808" t="s">
        <v>28384</v>
      </c>
      <c r="C9808" t="s">
        <v>28507</v>
      </c>
      <c r="D9808" t="s">
        <v>28386</v>
      </c>
      <c r="E9808" t="s">
        <v>25333</v>
      </c>
      <c r="F9808" t="s">
        <v>28508</v>
      </c>
      <c r="J9808" t="s">
        <v>25333</v>
      </c>
      <c r="K9808" t="s">
        <v>28389</v>
      </c>
      <c r="L9808" t="s">
        <v>863</v>
      </c>
    </row>
    <row r="9809" spans="1:12">
      <c r="A9809" t="s">
        <v>28383</v>
      </c>
      <c r="B9809" t="s">
        <v>28384</v>
      </c>
      <c r="C9809" t="s">
        <v>28509</v>
      </c>
      <c r="D9809" t="s">
        <v>28386</v>
      </c>
      <c r="E9809" t="s">
        <v>28510</v>
      </c>
      <c r="F9809" t="s">
        <v>28511</v>
      </c>
    </row>
    <row r="9810" spans="1:12">
      <c r="A9810" t="s">
        <v>28383</v>
      </c>
      <c r="B9810" t="s">
        <v>28384</v>
      </c>
      <c r="C9810" t="s">
        <v>28512</v>
      </c>
      <c r="D9810" t="s">
        <v>28386</v>
      </c>
      <c r="E9810" t="s">
        <v>2595</v>
      </c>
      <c r="F9810" t="s">
        <v>28513</v>
      </c>
    </row>
    <row r="9811" spans="1:12">
      <c r="A9811" t="s">
        <v>28383</v>
      </c>
      <c r="B9811" t="s">
        <v>28384</v>
      </c>
      <c r="C9811" t="s">
        <v>28514</v>
      </c>
      <c r="D9811" t="s">
        <v>28386</v>
      </c>
      <c r="E9811" t="s">
        <v>22618</v>
      </c>
      <c r="F9811" t="s">
        <v>28515</v>
      </c>
    </row>
    <row r="9812" spans="1:12">
      <c r="A9812" t="s">
        <v>28383</v>
      </c>
      <c r="B9812" t="s">
        <v>28384</v>
      </c>
      <c r="C9812" t="s">
        <v>28516</v>
      </c>
      <c r="D9812" t="s">
        <v>28386</v>
      </c>
      <c r="E9812" t="s">
        <v>19413</v>
      </c>
      <c r="F9812" t="s">
        <v>28517</v>
      </c>
    </row>
    <row r="9813" spans="1:12">
      <c r="A9813" t="s">
        <v>28383</v>
      </c>
      <c r="B9813" t="s">
        <v>28384</v>
      </c>
      <c r="C9813" t="s">
        <v>28518</v>
      </c>
      <c r="D9813" t="s">
        <v>28386</v>
      </c>
      <c r="E9813" t="s">
        <v>28519</v>
      </c>
      <c r="F9813" t="s">
        <v>28520</v>
      </c>
    </row>
    <row r="9814" spans="1:12">
      <c r="A9814" t="s">
        <v>28383</v>
      </c>
      <c r="B9814" t="s">
        <v>28384</v>
      </c>
      <c r="C9814" t="s">
        <v>28521</v>
      </c>
      <c r="D9814" t="s">
        <v>28386</v>
      </c>
      <c r="E9814" t="s">
        <v>28522</v>
      </c>
      <c r="F9814" t="s">
        <v>28523</v>
      </c>
    </row>
    <row r="9815" spans="1:12">
      <c r="A9815" t="s">
        <v>28383</v>
      </c>
      <c r="B9815" t="s">
        <v>28384</v>
      </c>
      <c r="C9815" t="s">
        <v>28524</v>
      </c>
      <c r="D9815" t="s">
        <v>28386</v>
      </c>
      <c r="E9815" t="s">
        <v>28525</v>
      </c>
      <c r="F9815" t="s">
        <v>28526</v>
      </c>
    </row>
    <row r="9816" spans="1:12">
      <c r="A9816" t="s">
        <v>28383</v>
      </c>
      <c r="B9816" t="s">
        <v>28384</v>
      </c>
      <c r="C9816" t="s">
        <v>28527</v>
      </c>
      <c r="D9816" t="s">
        <v>28386</v>
      </c>
      <c r="E9816" t="s">
        <v>28528</v>
      </c>
      <c r="F9816" t="s">
        <v>28529</v>
      </c>
    </row>
    <row r="9817" spans="1:12">
      <c r="A9817" t="s">
        <v>28383</v>
      </c>
      <c r="B9817" t="s">
        <v>28384</v>
      </c>
      <c r="C9817" t="s">
        <v>28530</v>
      </c>
      <c r="D9817" t="s">
        <v>28386</v>
      </c>
      <c r="E9817" t="s">
        <v>12028</v>
      </c>
      <c r="F9817" t="s">
        <v>28531</v>
      </c>
    </row>
    <row r="9818" spans="1:12">
      <c r="A9818" t="s">
        <v>28383</v>
      </c>
      <c r="B9818" t="s">
        <v>28384</v>
      </c>
      <c r="C9818" t="s">
        <v>28532</v>
      </c>
      <c r="D9818" t="s">
        <v>28386</v>
      </c>
      <c r="E9818" t="s">
        <v>19809</v>
      </c>
      <c r="F9818" t="s">
        <v>28533</v>
      </c>
    </row>
    <row r="9819" spans="1:12">
      <c r="A9819" t="s">
        <v>28383</v>
      </c>
      <c r="B9819" t="s">
        <v>28384</v>
      </c>
      <c r="C9819" t="s">
        <v>28534</v>
      </c>
      <c r="D9819" t="s">
        <v>28386</v>
      </c>
      <c r="E9819" t="s">
        <v>19908</v>
      </c>
      <c r="F9819" t="s">
        <v>28535</v>
      </c>
    </row>
    <row r="9820" spans="1:12">
      <c r="A9820" t="s">
        <v>28383</v>
      </c>
      <c r="B9820" t="s">
        <v>28384</v>
      </c>
      <c r="C9820" t="s">
        <v>28536</v>
      </c>
      <c r="D9820" t="s">
        <v>28386</v>
      </c>
      <c r="E9820" t="s">
        <v>9672</v>
      </c>
      <c r="F9820" t="s">
        <v>28537</v>
      </c>
    </row>
    <row r="9821" spans="1:12">
      <c r="A9821" t="s">
        <v>28383</v>
      </c>
      <c r="B9821" t="s">
        <v>28384</v>
      </c>
      <c r="C9821" t="s">
        <v>28538</v>
      </c>
      <c r="D9821" t="s">
        <v>28386</v>
      </c>
      <c r="E9821" t="s">
        <v>28539</v>
      </c>
      <c r="F9821" t="s">
        <v>28540</v>
      </c>
    </row>
    <row r="9822" spans="1:12">
      <c r="A9822" t="s">
        <v>28383</v>
      </c>
      <c r="B9822" t="s">
        <v>28384</v>
      </c>
      <c r="C9822" t="s">
        <v>28541</v>
      </c>
      <c r="D9822" t="s">
        <v>28386</v>
      </c>
      <c r="E9822" t="s">
        <v>8352</v>
      </c>
      <c r="F9822" t="s">
        <v>28542</v>
      </c>
    </row>
    <row r="9823" spans="1:12">
      <c r="A9823" t="s">
        <v>28383</v>
      </c>
      <c r="B9823" t="s">
        <v>28384</v>
      </c>
      <c r="C9823" t="s">
        <v>28543</v>
      </c>
      <c r="D9823" t="s">
        <v>28386</v>
      </c>
      <c r="E9823" t="s">
        <v>19953</v>
      </c>
      <c r="F9823" t="s">
        <v>28544</v>
      </c>
      <c r="J9823" t="s">
        <v>19953</v>
      </c>
      <c r="K9823" t="s">
        <v>28389</v>
      </c>
      <c r="L9823" t="s">
        <v>863</v>
      </c>
    </row>
    <row r="9824" spans="1:12">
      <c r="A9824" t="s">
        <v>28383</v>
      </c>
      <c r="B9824" t="s">
        <v>28384</v>
      </c>
      <c r="C9824" t="s">
        <v>28545</v>
      </c>
      <c r="D9824" t="s">
        <v>28386</v>
      </c>
      <c r="E9824" t="s">
        <v>2685</v>
      </c>
      <c r="F9824" t="s">
        <v>28546</v>
      </c>
    </row>
    <row r="9825" spans="1:12">
      <c r="A9825" t="s">
        <v>28383</v>
      </c>
      <c r="B9825" t="s">
        <v>28384</v>
      </c>
      <c r="C9825" t="s">
        <v>28547</v>
      </c>
      <c r="D9825" t="s">
        <v>28386</v>
      </c>
      <c r="E9825" t="s">
        <v>28548</v>
      </c>
      <c r="F9825" t="s">
        <v>28549</v>
      </c>
      <c r="J9825" t="s">
        <v>28548</v>
      </c>
      <c r="K9825" t="s">
        <v>28389</v>
      </c>
      <c r="L9825" t="s">
        <v>863</v>
      </c>
    </row>
    <row r="9826" spans="1:12">
      <c r="A9826" t="s">
        <v>28383</v>
      </c>
      <c r="B9826" t="s">
        <v>28384</v>
      </c>
      <c r="C9826" t="s">
        <v>28550</v>
      </c>
      <c r="D9826" t="s">
        <v>28386</v>
      </c>
      <c r="E9826" t="s">
        <v>28551</v>
      </c>
      <c r="F9826" t="s">
        <v>28552</v>
      </c>
    </row>
    <row r="9827" spans="1:12">
      <c r="A9827" t="s">
        <v>28383</v>
      </c>
      <c r="B9827" t="s">
        <v>28384</v>
      </c>
      <c r="C9827" t="s">
        <v>28553</v>
      </c>
      <c r="D9827" t="s">
        <v>28386</v>
      </c>
      <c r="E9827" t="s">
        <v>7374</v>
      </c>
      <c r="F9827" t="s">
        <v>28554</v>
      </c>
    </row>
    <row r="9828" spans="1:12">
      <c r="A9828" t="s">
        <v>28383</v>
      </c>
      <c r="B9828" t="s">
        <v>28384</v>
      </c>
      <c r="C9828" t="s">
        <v>28555</v>
      </c>
      <c r="D9828" t="s">
        <v>28386</v>
      </c>
      <c r="E9828" t="s">
        <v>15865</v>
      </c>
      <c r="F9828" t="s">
        <v>28556</v>
      </c>
    </row>
    <row r="9829" spans="1:12">
      <c r="A9829" t="s">
        <v>28383</v>
      </c>
      <c r="B9829" t="s">
        <v>28384</v>
      </c>
      <c r="C9829" t="s">
        <v>28557</v>
      </c>
      <c r="D9829" t="s">
        <v>28386</v>
      </c>
      <c r="E9829" t="s">
        <v>2742</v>
      </c>
      <c r="F9829" t="s">
        <v>28558</v>
      </c>
    </row>
    <row r="9830" spans="1:12">
      <c r="A9830" t="s">
        <v>28383</v>
      </c>
      <c r="B9830" t="s">
        <v>28384</v>
      </c>
      <c r="C9830" t="s">
        <v>28559</v>
      </c>
      <c r="D9830" t="s">
        <v>28386</v>
      </c>
      <c r="E9830" t="s">
        <v>28560</v>
      </c>
      <c r="F9830" t="s">
        <v>28561</v>
      </c>
      <c r="J9830" t="s">
        <v>28560</v>
      </c>
      <c r="K9830" t="s">
        <v>28389</v>
      </c>
      <c r="L9830" t="s">
        <v>863</v>
      </c>
    </row>
    <row r="9831" spans="1:12">
      <c r="A9831" t="s">
        <v>28383</v>
      </c>
      <c r="B9831" t="s">
        <v>28384</v>
      </c>
      <c r="C9831" t="s">
        <v>28562</v>
      </c>
      <c r="D9831" t="s">
        <v>28386</v>
      </c>
      <c r="E9831" t="s">
        <v>2783</v>
      </c>
      <c r="F9831" t="s">
        <v>28563</v>
      </c>
    </row>
    <row r="9832" spans="1:12">
      <c r="A9832" t="s">
        <v>28383</v>
      </c>
      <c r="B9832" t="s">
        <v>28384</v>
      </c>
      <c r="C9832" t="s">
        <v>28564</v>
      </c>
      <c r="D9832" t="s">
        <v>28386</v>
      </c>
      <c r="E9832" t="s">
        <v>14508</v>
      </c>
      <c r="F9832" t="s">
        <v>28565</v>
      </c>
    </row>
    <row r="9833" spans="1:12">
      <c r="A9833" t="s">
        <v>28383</v>
      </c>
      <c r="B9833" t="s">
        <v>28384</v>
      </c>
      <c r="C9833" t="s">
        <v>28566</v>
      </c>
      <c r="D9833" t="s">
        <v>28386</v>
      </c>
      <c r="E9833" t="s">
        <v>28045</v>
      </c>
      <c r="F9833" t="s">
        <v>28567</v>
      </c>
    </row>
    <row r="9834" spans="1:12">
      <c r="A9834" t="s">
        <v>28383</v>
      </c>
      <c r="B9834" t="s">
        <v>28384</v>
      </c>
      <c r="C9834" t="s">
        <v>28568</v>
      </c>
      <c r="D9834" t="s">
        <v>28386</v>
      </c>
      <c r="E9834" t="s">
        <v>28569</v>
      </c>
      <c r="F9834" t="s">
        <v>28570</v>
      </c>
    </row>
    <row r="9835" spans="1:12">
      <c r="A9835" t="s">
        <v>28383</v>
      </c>
      <c r="B9835" t="s">
        <v>28384</v>
      </c>
      <c r="C9835" t="s">
        <v>28571</v>
      </c>
      <c r="D9835" t="s">
        <v>28386</v>
      </c>
      <c r="E9835" t="s">
        <v>1272</v>
      </c>
      <c r="F9835" t="s">
        <v>28572</v>
      </c>
    </row>
    <row r="9836" spans="1:12">
      <c r="A9836" t="s">
        <v>28383</v>
      </c>
      <c r="B9836" t="s">
        <v>28384</v>
      </c>
      <c r="C9836" t="s">
        <v>28573</v>
      </c>
      <c r="D9836" t="s">
        <v>28386</v>
      </c>
      <c r="E9836" t="s">
        <v>5234</v>
      </c>
      <c r="F9836" t="s">
        <v>28574</v>
      </c>
    </row>
    <row r="9837" spans="1:12">
      <c r="A9837" t="s">
        <v>28383</v>
      </c>
      <c r="B9837" t="s">
        <v>28384</v>
      </c>
      <c r="C9837" t="s">
        <v>28575</v>
      </c>
      <c r="D9837" t="s">
        <v>28386</v>
      </c>
      <c r="E9837" t="s">
        <v>28576</v>
      </c>
      <c r="F9837" t="s">
        <v>28577</v>
      </c>
    </row>
    <row r="9838" spans="1:12">
      <c r="A9838" t="s">
        <v>28383</v>
      </c>
      <c r="B9838" t="s">
        <v>28384</v>
      </c>
      <c r="C9838" t="s">
        <v>28578</v>
      </c>
      <c r="D9838" t="s">
        <v>28386</v>
      </c>
      <c r="E9838" t="s">
        <v>13942</v>
      </c>
      <c r="F9838" t="s">
        <v>28579</v>
      </c>
      <c r="J9838" t="s">
        <v>13942</v>
      </c>
      <c r="K9838" t="s">
        <v>28389</v>
      </c>
      <c r="L9838" t="s">
        <v>863</v>
      </c>
    </row>
    <row r="9839" spans="1:12">
      <c r="A9839" t="s">
        <v>28383</v>
      </c>
      <c r="B9839" t="s">
        <v>28384</v>
      </c>
      <c r="C9839" t="s">
        <v>28580</v>
      </c>
      <c r="D9839" t="s">
        <v>28386</v>
      </c>
      <c r="E9839" t="s">
        <v>28581</v>
      </c>
      <c r="F9839" t="s">
        <v>28582</v>
      </c>
    </row>
    <row r="9840" spans="1:12">
      <c r="A9840" t="s">
        <v>28383</v>
      </c>
      <c r="B9840" t="s">
        <v>28384</v>
      </c>
      <c r="C9840" t="s">
        <v>28583</v>
      </c>
      <c r="D9840" t="s">
        <v>28386</v>
      </c>
      <c r="E9840" t="s">
        <v>11056</v>
      </c>
      <c r="F9840" t="s">
        <v>28584</v>
      </c>
    </row>
    <row r="9841" spans="1:12">
      <c r="A9841" t="s">
        <v>28383</v>
      </c>
      <c r="B9841" t="s">
        <v>28384</v>
      </c>
      <c r="C9841" t="s">
        <v>28585</v>
      </c>
      <c r="D9841" t="s">
        <v>28386</v>
      </c>
      <c r="E9841" t="s">
        <v>10809</v>
      </c>
      <c r="F9841" t="s">
        <v>28586</v>
      </c>
    </row>
    <row r="9842" spans="1:12">
      <c r="A9842" t="s">
        <v>28383</v>
      </c>
      <c r="B9842" t="s">
        <v>28384</v>
      </c>
      <c r="C9842" t="s">
        <v>28587</v>
      </c>
      <c r="D9842" t="s">
        <v>28386</v>
      </c>
      <c r="E9842" t="s">
        <v>7406</v>
      </c>
      <c r="F9842" t="s">
        <v>28588</v>
      </c>
    </row>
    <row r="9843" spans="1:12">
      <c r="A9843" t="s">
        <v>28383</v>
      </c>
      <c r="B9843" t="s">
        <v>28384</v>
      </c>
      <c r="C9843" t="s">
        <v>28589</v>
      </c>
      <c r="D9843" t="s">
        <v>28386</v>
      </c>
      <c r="E9843" t="s">
        <v>10467</v>
      </c>
      <c r="F9843" t="s">
        <v>28590</v>
      </c>
    </row>
    <row r="9844" spans="1:12">
      <c r="A9844" t="s">
        <v>28383</v>
      </c>
      <c r="B9844" t="s">
        <v>28384</v>
      </c>
      <c r="C9844" t="s">
        <v>28591</v>
      </c>
      <c r="D9844" t="s">
        <v>28386</v>
      </c>
      <c r="E9844" t="s">
        <v>28592</v>
      </c>
      <c r="F9844" t="s">
        <v>28593</v>
      </c>
    </row>
    <row r="9845" spans="1:12">
      <c r="A9845" t="s">
        <v>28383</v>
      </c>
      <c r="B9845" t="s">
        <v>28384</v>
      </c>
      <c r="C9845" t="s">
        <v>28594</v>
      </c>
      <c r="D9845" t="s">
        <v>28386</v>
      </c>
      <c r="E9845" t="s">
        <v>14575</v>
      </c>
      <c r="F9845" t="s">
        <v>28595</v>
      </c>
    </row>
    <row r="9846" spans="1:12">
      <c r="A9846" t="s">
        <v>28383</v>
      </c>
      <c r="B9846" t="s">
        <v>28384</v>
      </c>
      <c r="C9846" t="s">
        <v>28596</v>
      </c>
      <c r="D9846" t="s">
        <v>28386</v>
      </c>
      <c r="E9846" t="s">
        <v>20638</v>
      </c>
      <c r="F9846" t="s">
        <v>28597</v>
      </c>
    </row>
    <row r="9847" spans="1:12">
      <c r="A9847" t="s">
        <v>28383</v>
      </c>
      <c r="B9847" t="s">
        <v>28384</v>
      </c>
      <c r="C9847" t="s">
        <v>28598</v>
      </c>
      <c r="D9847" t="s">
        <v>28386</v>
      </c>
      <c r="E9847" t="s">
        <v>1014</v>
      </c>
      <c r="F9847" t="s">
        <v>28599</v>
      </c>
    </row>
    <row r="9848" spans="1:12">
      <c r="A9848" t="s">
        <v>28383</v>
      </c>
      <c r="B9848" t="s">
        <v>28384</v>
      </c>
      <c r="C9848" t="s">
        <v>28600</v>
      </c>
      <c r="D9848" t="s">
        <v>28386</v>
      </c>
      <c r="E9848" t="s">
        <v>28601</v>
      </c>
      <c r="F9848" t="s">
        <v>28602</v>
      </c>
    </row>
    <row r="9849" spans="1:12">
      <c r="A9849" t="s">
        <v>28383</v>
      </c>
      <c r="B9849" t="s">
        <v>28384</v>
      </c>
      <c r="C9849" t="s">
        <v>28603</v>
      </c>
      <c r="D9849" t="s">
        <v>28386</v>
      </c>
      <c r="E9849" t="s">
        <v>5294</v>
      </c>
      <c r="F9849" t="s">
        <v>28604</v>
      </c>
      <c r="J9849" t="s">
        <v>5294</v>
      </c>
      <c r="K9849" t="s">
        <v>28389</v>
      </c>
      <c r="L9849" t="s">
        <v>863</v>
      </c>
    </row>
    <row r="9850" spans="1:12">
      <c r="A9850" t="s">
        <v>28383</v>
      </c>
      <c r="B9850" t="s">
        <v>28384</v>
      </c>
      <c r="C9850" t="s">
        <v>28605</v>
      </c>
      <c r="D9850" t="s">
        <v>28386</v>
      </c>
      <c r="E9850" t="s">
        <v>7000</v>
      </c>
      <c r="F9850" t="s">
        <v>28606</v>
      </c>
    </row>
    <row r="9851" spans="1:12">
      <c r="A9851" t="s">
        <v>28383</v>
      </c>
      <c r="B9851" t="s">
        <v>28384</v>
      </c>
      <c r="C9851" t="s">
        <v>28607</v>
      </c>
      <c r="D9851" t="s">
        <v>28386</v>
      </c>
      <c r="E9851" t="s">
        <v>4851</v>
      </c>
      <c r="F9851" t="s">
        <v>28608</v>
      </c>
    </row>
    <row r="9852" spans="1:12">
      <c r="A9852" t="s">
        <v>28383</v>
      </c>
      <c r="B9852" t="s">
        <v>28384</v>
      </c>
      <c r="C9852" t="s">
        <v>28609</v>
      </c>
      <c r="D9852" t="s">
        <v>28386</v>
      </c>
      <c r="E9852" t="s">
        <v>28610</v>
      </c>
      <c r="F9852" t="s">
        <v>28611</v>
      </c>
      <c r="J9852" t="s">
        <v>28610</v>
      </c>
      <c r="K9852" t="s">
        <v>28389</v>
      </c>
      <c r="L9852" t="s">
        <v>863</v>
      </c>
    </row>
    <row r="9853" spans="1:12">
      <c r="A9853" t="s">
        <v>28383</v>
      </c>
      <c r="B9853" t="s">
        <v>28384</v>
      </c>
      <c r="C9853" t="s">
        <v>28612</v>
      </c>
      <c r="D9853" t="s">
        <v>28386</v>
      </c>
      <c r="E9853" t="s">
        <v>15521</v>
      </c>
      <c r="F9853" t="s">
        <v>28613</v>
      </c>
    </row>
    <row r="9854" spans="1:12">
      <c r="A9854" t="s">
        <v>28383</v>
      </c>
      <c r="B9854" t="s">
        <v>28384</v>
      </c>
      <c r="C9854" t="s">
        <v>28614</v>
      </c>
      <c r="D9854" t="s">
        <v>28386</v>
      </c>
      <c r="E9854" t="s">
        <v>7463</v>
      </c>
      <c r="F9854" t="s">
        <v>28615</v>
      </c>
    </row>
    <row r="9855" spans="1:12">
      <c r="A9855" t="s">
        <v>28383</v>
      </c>
      <c r="B9855" t="s">
        <v>28384</v>
      </c>
      <c r="C9855" t="s">
        <v>28616</v>
      </c>
      <c r="D9855" t="s">
        <v>28386</v>
      </c>
      <c r="E9855" t="s">
        <v>26228</v>
      </c>
      <c r="F9855" t="s">
        <v>28617</v>
      </c>
    </row>
    <row r="9856" spans="1:12">
      <c r="A9856" t="s">
        <v>28383</v>
      </c>
      <c r="B9856" t="s">
        <v>28384</v>
      </c>
      <c r="C9856" t="s">
        <v>28618</v>
      </c>
      <c r="D9856" t="s">
        <v>28386</v>
      </c>
      <c r="E9856" t="s">
        <v>10730</v>
      </c>
      <c r="F9856" t="s">
        <v>28619</v>
      </c>
    </row>
    <row r="9857" spans="1:12">
      <c r="A9857" t="s">
        <v>28383</v>
      </c>
      <c r="B9857" t="s">
        <v>28384</v>
      </c>
      <c r="C9857" t="s">
        <v>28620</v>
      </c>
      <c r="D9857" t="s">
        <v>28386</v>
      </c>
      <c r="E9857" t="s">
        <v>28621</v>
      </c>
      <c r="F9857" t="s">
        <v>28622</v>
      </c>
    </row>
    <row r="9858" spans="1:12">
      <c r="A9858" t="s">
        <v>28383</v>
      </c>
      <c r="B9858" t="s">
        <v>28384</v>
      </c>
      <c r="C9858" t="s">
        <v>28623</v>
      </c>
      <c r="D9858" t="s">
        <v>28386</v>
      </c>
      <c r="E9858" t="s">
        <v>28624</v>
      </c>
      <c r="F9858" t="s">
        <v>28625</v>
      </c>
    </row>
    <row r="9859" spans="1:12">
      <c r="A9859" t="s">
        <v>28383</v>
      </c>
      <c r="B9859" t="s">
        <v>28384</v>
      </c>
      <c r="C9859" t="s">
        <v>28626</v>
      </c>
      <c r="D9859" t="s">
        <v>28386</v>
      </c>
      <c r="E9859" t="s">
        <v>27791</v>
      </c>
      <c r="F9859" t="s">
        <v>28627</v>
      </c>
      <c r="J9859" t="s">
        <v>27791</v>
      </c>
      <c r="K9859" t="s">
        <v>28389</v>
      </c>
      <c r="L9859" t="s">
        <v>863</v>
      </c>
    </row>
    <row r="9860" spans="1:12">
      <c r="A9860" t="s">
        <v>28383</v>
      </c>
      <c r="B9860" t="s">
        <v>28384</v>
      </c>
      <c r="C9860" t="s">
        <v>28628</v>
      </c>
      <c r="D9860" t="s">
        <v>28386</v>
      </c>
      <c r="E9860" t="s">
        <v>15352</v>
      </c>
      <c r="F9860" t="s">
        <v>28629</v>
      </c>
    </row>
    <row r="9861" spans="1:12">
      <c r="A9861" t="s">
        <v>28383</v>
      </c>
      <c r="B9861" t="s">
        <v>28384</v>
      </c>
      <c r="C9861" t="s">
        <v>28630</v>
      </c>
      <c r="D9861" t="s">
        <v>28386</v>
      </c>
      <c r="E9861" t="s">
        <v>21571</v>
      </c>
      <c r="F9861" t="s">
        <v>28631</v>
      </c>
    </row>
    <row r="9862" spans="1:12">
      <c r="A9862" t="s">
        <v>28383</v>
      </c>
      <c r="B9862" t="s">
        <v>28384</v>
      </c>
      <c r="C9862" t="s">
        <v>28632</v>
      </c>
      <c r="D9862" t="s">
        <v>28386</v>
      </c>
      <c r="E9862" t="s">
        <v>11511</v>
      </c>
      <c r="F9862" t="s">
        <v>28633</v>
      </c>
    </row>
    <row r="9863" spans="1:12">
      <c r="A9863" t="s">
        <v>28383</v>
      </c>
      <c r="B9863" t="s">
        <v>28384</v>
      </c>
      <c r="C9863" t="s">
        <v>28634</v>
      </c>
      <c r="D9863" t="s">
        <v>28386</v>
      </c>
      <c r="E9863" t="s">
        <v>28635</v>
      </c>
      <c r="F9863" t="s">
        <v>28636</v>
      </c>
      <c r="J9863" t="s">
        <v>28635</v>
      </c>
      <c r="K9863" t="s">
        <v>28389</v>
      </c>
      <c r="L9863" t="s">
        <v>863</v>
      </c>
    </row>
    <row r="9864" spans="1:12">
      <c r="A9864" t="s">
        <v>28383</v>
      </c>
      <c r="B9864" t="s">
        <v>28384</v>
      </c>
      <c r="C9864" t="s">
        <v>28637</v>
      </c>
      <c r="D9864" t="s">
        <v>28386</v>
      </c>
      <c r="E9864" t="s">
        <v>28638</v>
      </c>
      <c r="F9864" t="s">
        <v>28639</v>
      </c>
      <c r="J9864" t="s">
        <v>28638</v>
      </c>
      <c r="K9864" t="s">
        <v>28389</v>
      </c>
      <c r="L9864" t="s">
        <v>863</v>
      </c>
    </row>
    <row r="9865" spans="1:12">
      <c r="A9865" t="s">
        <v>28383</v>
      </c>
      <c r="B9865" t="s">
        <v>28384</v>
      </c>
      <c r="C9865" t="s">
        <v>28640</v>
      </c>
      <c r="D9865" t="s">
        <v>28386</v>
      </c>
      <c r="E9865" t="s">
        <v>28641</v>
      </c>
      <c r="F9865" t="s">
        <v>28642</v>
      </c>
    </row>
    <row r="9866" spans="1:12">
      <c r="A9866" t="s">
        <v>28383</v>
      </c>
      <c r="B9866" t="s">
        <v>28384</v>
      </c>
      <c r="C9866" t="s">
        <v>28643</v>
      </c>
      <c r="D9866" t="s">
        <v>28386</v>
      </c>
      <c r="E9866" t="s">
        <v>28644</v>
      </c>
      <c r="F9866" t="s">
        <v>28645</v>
      </c>
      <c r="J9866" t="s">
        <v>28644</v>
      </c>
      <c r="K9866" t="s">
        <v>28389</v>
      </c>
      <c r="L9866" t="s">
        <v>863</v>
      </c>
    </row>
    <row r="9867" spans="1:12">
      <c r="A9867" t="s">
        <v>28383</v>
      </c>
      <c r="B9867" t="s">
        <v>28384</v>
      </c>
      <c r="C9867" t="s">
        <v>28646</v>
      </c>
      <c r="D9867" t="s">
        <v>28386</v>
      </c>
      <c r="E9867" t="s">
        <v>28647</v>
      </c>
      <c r="F9867" t="s">
        <v>28648</v>
      </c>
      <c r="J9867" t="s">
        <v>28647</v>
      </c>
      <c r="K9867" t="s">
        <v>28389</v>
      </c>
      <c r="L9867" t="s">
        <v>863</v>
      </c>
    </row>
    <row r="9868" spans="1:12">
      <c r="A9868" t="s">
        <v>28383</v>
      </c>
      <c r="B9868" t="s">
        <v>28384</v>
      </c>
      <c r="C9868" t="s">
        <v>28649</v>
      </c>
      <c r="D9868" t="s">
        <v>28386</v>
      </c>
      <c r="E9868" t="s">
        <v>28650</v>
      </c>
      <c r="F9868" t="s">
        <v>28651</v>
      </c>
    </row>
    <row r="9869" spans="1:12">
      <c r="A9869" t="s">
        <v>28383</v>
      </c>
      <c r="B9869" t="s">
        <v>28384</v>
      </c>
      <c r="C9869" t="s">
        <v>28652</v>
      </c>
      <c r="D9869" t="s">
        <v>28386</v>
      </c>
      <c r="E9869" t="s">
        <v>28653</v>
      </c>
      <c r="F9869" t="s">
        <v>28654</v>
      </c>
    </row>
    <row r="9870" spans="1:12">
      <c r="A9870" t="s">
        <v>28383</v>
      </c>
      <c r="B9870" t="s">
        <v>28384</v>
      </c>
      <c r="C9870" t="s">
        <v>28655</v>
      </c>
      <c r="D9870" t="s">
        <v>28386</v>
      </c>
      <c r="E9870" t="s">
        <v>28656</v>
      </c>
      <c r="F9870" t="s">
        <v>28657</v>
      </c>
    </row>
    <row r="9871" spans="1:12">
      <c r="A9871" t="s">
        <v>28383</v>
      </c>
      <c r="B9871" t="s">
        <v>28384</v>
      </c>
      <c r="C9871" t="s">
        <v>28658</v>
      </c>
      <c r="D9871" t="s">
        <v>28386</v>
      </c>
      <c r="E9871" t="s">
        <v>12162</v>
      </c>
      <c r="F9871" t="s">
        <v>28659</v>
      </c>
    </row>
    <row r="9872" spans="1:12">
      <c r="A9872" t="s">
        <v>28383</v>
      </c>
      <c r="B9872" t="s">
        <v>28384</v>
      </c>
      <c r="C9872" t="s">
        <v>28660</v>
      </c>
      <c r="D9872" t="s">
        <v>28386</v>
      </c>
      <c r="E9872" t="s">
        <v>24805</v>
      </c>
      <c r="F9872" t="s">
        <v>28661</v>
      </c>
    </row>
    <row r="9873" spans="1:12">
      <c r="A9873" t="s">
        <v>28383</v>
      </c>
      <c r="B9873" t="s">
        <v>28384</v>
      </c>
      <c r="C9873" t="s">
        <v>28662</v>
      </c>
      <c r="D9873" t="s">
        <v>28386</v>
      </c>
      <c r="E9873" t="s">
        <v>23265</v>
      </c>
      <c r="F9873" t="s">
        <v>28663</v>
      </c>
    </row>
    <row r="9874" spans="1:12">
      <c r="A9874" t="s">
        <v>28383</v>
      </c>
      <c r="B9874" t="s">
        <v>28384</v>
      </c>
      <c r="C9874" t="s">
        <v>28664</v>
      </c>
      <c r="D9874" t="s">
        <v>28386</v>
      </c>
      <c r="E9874" t="s">
        <v>655</v>
      </c>
      <c r="F9874" t="s">
        <v>656</v>
      </c>
    </row>
    <row r="9875" spans="1:12">
      <c r="A9875" t="s">
        <v>28383</v>
      </c>
      <c r="B9875" t="s">
        <v>28384</v>
      </c>
      <c r="D9875" t="s">
        <v>28386</v>
      </c>
      <c r="F9875" t="s">
        <v>28665</v>
      </c>
      <c r="J9875" t="s">
        <v>16089</v>
      </c>
      <c r="K9875" t="s">
        <v>28389</v>
      </c>
      <c r="L9875" t="s">
        <v>863</v>
      </c>
    </row>
    <row r="9876" spans="1:12">
      <c r="A9876" t="s">
        <v>28383</v>
      </c>
      <c r="B9876" t="s">
        <v>28384</v>
      </c>
      <c r="D9876" t="s">
        <v>28386</v>
      </c>
      <c r="F9876" t="s">
        <v>28666</v>
      </c>
      <c r="J9876" t="s">
        <v>28667</v>
      </c>
      <c r="K9876" t="s">
        <v>28389</v>
      </c>
      <c r="L9876" t="s">
        <v>863</v>
      </c>
    </row>
    <row r="9877" spans="1:12">
      <c r="A9877" t="s">
        <v>28383</v>
      </c>
      <c r="B9877" t="s">
        <v>28384</v>
      </c>
      <c r="D9877" t="s">
        <v>28386</v>
      </c>
      <c r="F9877" t="s">
        <v>15422</v>
      </c>
      <c r="J9877" t="s">
        <v>18590</v>
      </c>
      <c r="K9877" t="s">
        <v>28389</v>
      </c>
      <c r="L9877" t="s">
        <v>863</v>
      </c>
    </row>
    <row r="9878" spans="1:12">
      <c r="A9878" t="s">
        <v>28383</v>
      </c>
      <c r="B9878" t="s">
        <v>28384</v>
      </c>
      <c r="D9878" t="s">
        <v>28386</v>
      </c>
      <c r="F9878" t="s">
        <v>28668</v>
      </c>
      <c r="J9878" t="s">
        <v>20777</v>
      </c>
      <c r="K9878" t="s">
        <v>28389</v>
      </c>
      <c r="L9878" t="s">
        <v>863</v>
      </c>
    </row>
    <row r="9879" spans="1:12">
      <c r="A9879" t="s">
        <v>28383</v>
      </c>
      <c r="B9879" t="s">
        <v>28384</v>
      </c>
      <c r="D9879" t="s">
        <v>28386</v>
      </c>
      <c r="F9879" t="s">
        <v>28669</v>
      </c>
      <c r="J9879" t="s">
        <v>28670</v>
      </c>
      <c r="K9879" t="s">
        <v>28389</v>
      </c>
      <c r="L9879" t="s">
        <v>863</v>
      </c>
    </row>
    <row r="9880" spans="1:12">
      <c r="A9880" t="s">
        <v>28383</v>
      </c>
      <c r="B9880" t="s">
        <v>28384</v>
      </c>
      <c r="D9880" t="s">
        <v>28386</v>
      </c>
      <c r="F9880" t="s">
        <v>28671</v>
      </c>
      <c r="J9880" t="s">
        <v>22112</v>
      </c>
      <c r="K9880" t="s">
        <v>28389</v>
      </c>
      <c r="L9880" t="s">
        <v>863</v>
      </c>
    </row>
    <row r="9881" spans="1:12">
      <c r="A9881" t="s">
        <v>28672</v>
      </c>
      <c r="B9881" t="s">
        <v>28673</v>
      </c>
      <c r="C9881" t="s">
        <v>28674</v>
      </c>
      <c r="D9881" t="s">
        <v>28675</v>
      </c>
      <c r="E9881" t="s">
        <v>28676</v>
      </c>
      <c r="F9881" t="s">
        <v>28677</v>
      </c>
      <c r="J9881" t="s">
        <v>28676</v>
      </c>
      <c r="K9881" t="s">
        <v>28678</v>
      </c>
      <c r="L9881" t="s">
        <v>916</v>
      </c>
    </row>
    <row r="9882" spans="1:12">
      <c r="A9882" t="s">
        <v>28672</v>
      </c>
      <c r="B9882" t="s">
        <v>28673</v>
      </c>
      <c r="C9882" t="s">
        <v>28679</v>
      </c>
      <c r="D9882" t="s">
        <v>28675</v>
      </c>
      <c r="E9882" t="s">
        <v>28680</v>
      </c>
      <c r="F9882" t="s">
        <v>28681</v>
      </c>
      <c r="J9882" t="s">
        <v>28680</v>
      </c>
      <c r="K9882" t="s">
        <v>28678</v>
      </c>
      <c r="L9882" t="s">
        <v>916</v>
      </c>
    </row>
    <row r="9883" spans="1:12">
      <c r="A9883" t="s">
        <v>28672</v>
      </c>
      <c r="B9883" t="s">
        <v>28673</v>
      </c>
      <c r="C9883" t="s">
        <v>28682</v>
      </c>
      <c r="D9883" t="s">
        <v>28675</v>
      </c>
      <c r="E9883" t="s">
        <v>28683</v>
      </c>
      <c r="F9883" t="s">
        <v>28684</v>
      </c>
      <c r="J9883" t="s">
        <v>28683</v>
      </c>
      <c r="K9883" t="s">
        <v>28678</v>
      </c>
      <c r="L9883" t="s">
        <v>916</v>
      </c>
    </row>
    <row r="9884" spans="1:12">
      <c r="A9884" t="s">
        <v>28672</v>
      </c>
      <c r="B9884" t="s">
        <v>28673</v>
      </c>
      <c r="C9884" t="s">
        <v>28685</v>
      </c>
      <c r="D9884" t="s">
        <v>28675</v>
      </c>
      <c r="E9884" t="s">
        <v>18211</v>
      </c>
      <c r="F9884" t="s">
        <v>28686</v>
      </c>
      <c r="J9884" t="s">
        <v>18211</v>
      </c>
      <c r="K9884" t="s">
        <v>28678</v>
      </c>
      <c r="L9884" t="s">
        <v>916</v>
      </c>
    </row>
    <row r="9885" spans="1:12">
      <c r="A9885" t="s">
        <v>28672</v>
      </c>
      <c r="B9885" t="s">
        <v>28673</v>
      </c>
      <c r="C9885" t="s">
        <v>28687</v>
      </c>
      <c r="D9885" t="s">
        <v>28675</v>
      </c>
      <c r="E9885" t="s">
        <v>28688</v>
      </c>
      <c r="F9885" t="s">
        <v>28689</v>
      </c>
      <c r="J9885" t="s">
        <v>28688</v>
      </c>
      <c r="K9885" t="s">
        <v>28678</v>
      </c>
      <c r="L9885" t="s">
        <v>916</v>
      </c>
    </row>
    <row r="9886" spans="1:12">
      <c r="A9886" t="s">
        <v>28672</v>
      </c>
      <c r="B9886" t="s">
        <v>28673</v>
      </c>
      <c r="C9886" t="s">
        <v>28690</v>
      </c>
      <c r="D9886" t="s">
        <v>28675</v>
      </c>
      <c r="E9886" t="s">
        <v>655</v>
      </c>
      <c r="F9886" t="s">
        <v>656</v>
      </c>
    </row>
    <row r="9887" spans="1:12">
      <c r="A9887" t="s">
        <v>28691</v>
      </c>
      <c r="B9887" t="s">
        <v>28692</v>
      </c>
      <c r="C9887" t="s">
        <v>28693</v>
      </c>
      <c r="D9887" t="s">
        <v>28694</v>
      </c>
      <c r="E9887" t="s">
        <v>22538</v>
      </c>
      <c r="F9887" t="s">
        <v>28695</v>
      </c>
    </row>
    <row r="9888" spans="1:12">
      <c r="A9888" t="s">
        <v>28691</v>
      </c>
      <c r="B9888" t="s">
        <v>28692</v>
      </c>
      <c r="C9888" t="s">
        <v>28696</v>
      </c>
      <c r="D9888" t="s">
        <v>28694</v>
      </c>
      <c r="E9888" t="s">
        <v>28697</v>
      </c>
      <c r="F9888" t="s">
        <v>28698</v>
      </c>
    </row>
    <row r="9889" spans="1:12">
      <c r="A9889" t="s">
        <v>28691</v>
      </c>
      <c r="B9889" t="s">
        <v>28692</v>
      </c>
      <c r="C9889" t="s">
        <v>28699</v>
      </c>
      <c r="D9889" t="s">
        <v>28694</v>
      </c>
      <c r="E9889" t="s">
        <v>28700</v>
      </c>
      <c r="F9889" t="s">
        <v>28701</v>
      </c>
      <c r="J9889" t="s">
        <v>28700</v>
      </c>
      <c r="K9889" t="s">
        <v>28702</v>
      </c>
      <c r="L9889" t="s">
        <v>664</v>
      </c>
    </row>
    <row r="9890" spans="1:12">
      <c r="A9890" t="s">
        <v>28691</v>
      </c>
      <c r="B9890" t="s">
        <v>28692</v>
      </c>
      <c r="C9890" t="s">
        <v>28703</v>
      </c>
      <c r="D9890" t="s">
        <v>28694</v>
      </c>
      <c r="E9890" t="s">
        <v>28704</v>
      </c>
      <c r="F9890" t="s">
        <v>28705</v>
      </c>
      <c r="J9890" t="s">
        <v>28704</v>
      </c>
      <c r="K9890" t="s">
        <v>28702</v>
      </c>
      <c r="L9890" t="s">
        <v>664</v>
      </c>
    </row>
    <row r="9891" spans="1:12">
      <c r="A9891" t="s">
        <v>28691</v>
      </c>
      <c r="B9891" t="s">
        <v>28692</v>
      </c>
      <c r="C9891" t="s">
        <v>28706</v>
      </c>
      <c r="D9891" t="s">
        <v>28694</v>
      </c>
      <c r="E9891" t="s">
        <v>28707</v>
      </c>
      <c r="F9891" t="s">
        <v>28708</v>
      </c>
      <c r="J9891" t="s">
        <v>28707</v>
      </c>
      <c r="K9891" t="s">
        <v>28702</v>
      </c>
      <c r="L9891" t="s">
        <v>664</v>
      </c>
    </row>
    <row r="9892" spans="1:12">
      <c r="A9892" t="s">
        <v>28691</v>
      </c>
      <c r="B9892" t="s">
        <v>28692</v>
      </c>
      <c r="C9892" t="s">
        <v>28709</v>
      </c>
      <c r="D9892" t="s">
        <v>28694</v>
      </c>
      <c r="E9892" t="s">
        <v>28710</v>
      </c>
      <c r="F9892" t="s">
        <v>28711</v>
      </c>
    </row>
    <row r="9893" spans="1:12">
      <c r="A9893" t="s">
        <v>28691</v>
      </c>
      <c r="B9893" t="s">
        <v>28692</v>
      </c>
      <c r="C9893" t="s">
        <v>28712</v>
      </c>
      <c r="D9893" t="s">
        <v>28694</v>
      </c>
      <c r="E9893" t="s">
        <v>28713</v>
      </c>
      <c r="F9893" t="s">
        <v>28714</v>
      </c>
    </row>
    <row r="9894" spans="1:12">
      <c r="A9894" t="s">
        <v>28691</v>
      </c>
      <c r="B9894" t="s">
        <v>28692</v>
      </c>
      <c r="C9894" t="s">
        <v>28715</v>
      </c>
      <c r="D9894" t="s">
        <v>28694</v>
      </c>
      <c r="E9894" t="s">
        <v>8545</v>
      </c>
      <c r="F9894" t="s">
        <v>28716</v>
      </c>
      <c r="J9894" t="s">
        <v>8545</v>
      </c>
      <c r="K9894" t="s">
        <v>28702</v>
      </c>
      <c r="L9894" t="s">
        <v>664</v>
      </c>
    </row>
    <row r="9895" spans="1:12">
      <c r="A9895" t="s">
        <v>28691</v>
      </c>
      <c r="B9895" t="s">
        <v>28692</v>
      </c>
      <c r="C9895" t="s">
        <v>28717</v>
      </c>
      <c r="D9895" t="s">
        <v>28694</v>
      </c>
      <c r="E9895" t="s">
        <v>675</v>
      </c>
      <c r="F9895" t="s">
        <v>676</v>
      </c>
    </row>
    <row r="9896" spans="1:12">
      <c r="A9896" t="s">
        <v>28691</v>
      </c>
      <c r="B9896" t="s">
        <v>28692</v>
      </c>
      <c r="C9896" t="s">
        <v>28718</v>
      </c>
      <c r="D9896" t="s">
        <v>28694</v>
      </c>
      <c r="E9896" t="s">
        <v>28719</v>
      </c>
      <c r="F9896" t="s">
        <v>28720</v>
      </c>
      <c r="J9896" t="s">
        <v>28719</v>
      </c>
      <c r="K9896" t="s">
        <v>28702</v>
      </c>
      <c r="L9896" t="s">
        <v>664</v>
      </c>
    </row>
    <row r="9897" spans="1:12">
      <c r="A9897" t="s">
        <v>28691</v>
      </c>
      <c r="B9897" t="s">
        <v>28692</v>
      </c>
      <c r="C9897" t="s">
        <v>28721</v>
      </c>
      <c r="D9897" t="s">
        <v>28694</v>
      </c>
      <c r="E9897" t="s">
        <v>28722</v>
      </c>
      <c r="F9897" t="s">
        <v>28723</v>
      </c>
      <c r="J9897" t="s">
        <v>28722</v>
      </c>
      <c r="K9897" t="s">
        <v>28702</v>
      </c>
      <c r="L9897" t="s">
        <v>664</v>
      </c>
    </row>
    <row r="9898" spans="1:12">
      <c r="A9898" t="s">
        <v>28691</v>
      </c>
      <c r="B9898" t="s">
        <v>28692</v>
      </c>
      <c r="C9898" t="s">
        <v>28724</v>
      </c>
      <c r="D9898" t="s">
        <v>28694</v>
      </c>
      <c r="E9898" t="s">
        <v>28725</v>
      </c>
      <c r="F9898" t="s">
        <v>28726</v>
      </c>
      <c r="J9898" t="s">
        <v>28725</v>
      </c>
      <c r="K9898" t="s">
        <v>28702</v>
      </c>
      <c r="L9898" t="s">
        <v>664</v>
      </c>
    </row>
    <row r="9899" spans="1:12">
      <c r="A9899" t="s">
        <v>28691</v>
      </c>
      <c r="B9899" t="s">
        <v>28692</v>
      </c>
      <c r="C9899" t="s">
        <v>28727</v>
      </c>
      <c r="D9899" t="s">
        <v>28694</v>
      </c>
      <c r="E9899" t="s">
        <v>28728</v>
      </c>
      <c r="F9899" t="s">
        <v>28729</v>
      </c>
      <c r="J9899" t="s">
        <v>28728</v>
      </c>
      <c r="K9899" t="s">
        <v>28702</v>
      </c>
      <c r="L9899" t="s">
        <v>664</v>
      </c>
    </row>
    <row r="9900" spans="1:12">
      <c r="A9900" t="s">
        <v>28691</v>
      </c>
      <c r="B9900" t="s">
        <v>28692</v>
      </c>
      <c r="C9900" t="s">
        <v>28730</v>
      </c>
      <c r="D9900" t="s">
        <v>28694</v>
      </c>
      <c r="E9900" t="s">
        <v>28731</v>
      </c>
      <c r="F9900" t="s">
        <v>28732</v>
      </c>
      <c r="J9900" t="s">
        <v>28731</v>
      </c>
      <c r="K9900" t="s">
        <v>28702</v>
      </c>
      <c r="L9900" t="s">
        <v>664</v>
      </c>
    </row>
    <row r="9901" spans="1:12">
      <c r="A9901" t="s">
        <v>28691</v>
      </c>
      <c r="B9901" t="s">
        <v>28692</v>
      </c>
      <c r="C9901" t="s">
        <v>28733</v>
      </c>
      <c r="D9901" t="s">
        <v>28694</v>
      </c>
      <c r="E9901" t="s">
        <v>28734</v>
      </c>
      <c r="F9901" t="s">
        <v>28735</v>
      </c>
      <c r="J9901" t="s">
        <v>28734</v>
      </c>
      <c r="K9901" t="s">
        <v>28702</v>
      </c>
      <c r="L9901" t="s">
        <v>664</v>
      </c>
    </row>
    <row r="9902" spans="1:12">
      <c r="A9902" t="s">
        <v>28691</v>
      </c>
      <c r="B9902" t="s">
        <v>28692</v>
      </c>
      <c r="C9902" t="s">
        <v>28736</v>
      </c>
      <c r="D9902" t="s">
        <v>28694</v>
      </c>
      <c r="E9902" t="s">
        <v>16961</v>
      </c>
      <c r="F9902" t="s">
        <v>28737</v>
      </c>
      <c r="J9902" t="s">
        <v>16961</v>
      </c>
      <c r="K9902" t="s">
        <v>28702</v>
      </c>
      <c r="L9902" t="s">
        <v>664</v>
      </c>
    </row>
    <row r="9903" spans="1:12">
      <c r="A9903" t="s">
        <v>28691</v>
      </c>
      <c r="B9903" t="s">
        <v>28692</v>
      </c>
      <c r="C9903" t="s">
        <v>28738</v>
      </c>
      <c r="D9903" t="s">
        <v>28694</v>
      </c>
      <c r="E9903" t="s">
        <v>9183</v>
      </c>
      <c r="F9903" t="s">
        <v>28739</v>
      </c>
      <c r="J9903" t="s">
        <v>9183</v>
      </c>
      <c r="K9903" t="s">
        <v>28702</v>
      </c>
      <c r="L9903" t="s">
        <v>664</v>
      </c>
    </row>
    <row r="9904" spans="1:12">
      <c r="A9904" t="s">
        <v>28691</v>
      </c>
      <c r="B9904" t="s">
        <v>28692</v>
      </c>
      <c r="C9904" t="s">
        <v>28740</v>
      </c>
      <c r="D9904" t="s">
        <v>28694</v>
      </c>
      <c r="E9904" t="s">
        <v>28741</v>
      </c>
      <c r="F9904" t="s">
        <v>28742</v>
      </c>
    </row>
    <row r="9905" spans="1:12">
      <c r="A9905" t="s">
        <v>28691</v>
      </c>
      <c r="B9905" t="s">
        <v>28692</v>
      </c>
      <c r="C9905" t="s">
        <v>28743</v>
      </c>
      <c r="D9905" t="s">
        <v>28694</v>
      </c>
      <c r="E9905" t="s">
        <v>694</v>
      </c>
      <c r="F9905" t="s">
        <v>28744</v>
      </c>
      <c r="J9905" t="s">
        <v>694</v>
      </c>
      <c r="K9905" t="s">
        <v>28702</v>
      </c>
      <c r="L9905" t="s">
        <v>664</v>
      </c>
    </row>
    <row r="9906" spans="1:12">
      <c r="A9906" t="s">
        <v>28691</v>
      </c>
      <c r="B9906" t="s">
        <v>28692</v>
      </c>
      <c r="C9906" t="s">
        <v>28745</v>
      </c>
      <c r="D9906" t="s">
        <v>28694</v>
      </c>
      <c r="E9906" t="s">
        <v>28746</v>
      </c>
      <c r="F9906" t="s">
        <v>28747</v>
      </c>
    </row>
    <row r="9907" spans="1:12">
      <c r="A9907" t="s">
        <v>28691</v>
      </c>
      <c r="B9907" t="s">
        <v>28692</v>
      </c>
      <c r="C9907" t="s">
        <v>28748</v>
      </c>
      <c r="D9907" t="s">
        <v>28694</v>
      </c>
      <c r="E9907" t="s">
        <v>17826</v>
      </c>
      <c r="F9907" t="s">
        <v>28749</v>
      </c>
    </row>
    <row r="9908" spans="1:12">
      <c r="A9908" t="s">
        <v>28691</v>
      </c>
      <c r="B9908" t="s">
        <v>28692</v>
      </c>
      <c r="C9908" t="s">
        <v>28750</v>
      </c>
      <c r="D9908" t="s">
        <v>28694</v>
      </c>
      <c r="E9908" t="s">
        <v>9419</v>
      </c>
      <c r="F9908" t="s">
        <v>28751</v>
      </c>
    </row>
    <row r="9909" spans="1:12">
      <c r="A9909" t="s">
        <v>28691</v>
      </c>
      <c r="B9909" t="s">
        <v>28692</v>
      </c>
      <c r="C9909" t="s">
        <v>28752</v>
      </c>
      <c r="D9909" t="s">
        <v>28694</v>
      </c>
      <c r="E9909" t="s">
        <v>14366</v>
      </c>
      <c r="F9909" t="s">
        <v>28753</v>
      </c>
    </row>
    <row r="9910" spans="1:12">
      <c r="A9910" t="s">
        <v>28691</v>
      </c>
      <c r="B9910" t="s">
        <v>28692</v>
      </c>
      <c r="C9910" t="s">
        <v>28754</v>
      </c>
      <c r="D9910" t="s">
        <v>28694</v>
      </c>
      <c r="E9910" t="s">
        <v>3566</v>
      </c>
      <c r="F9910" t="s">
        <v>28755</v>
      </c>
    </row>
    <row r="9911" spans="1:12">
      <c r="A9911" t="s">
        <v>28691</v>
      </c>
      <c r="B9911" t="s">
        <v>28692</v>
      </c>
      <c r="C9911" t="s">
        <v>28756</v>
      </c>
      <c r="D9911" t="s">
        <v>28694</v>
      </c>
      <c r="E9911" t="s">
        <v>28278</v>
      </c>
      <c r="F9911" t="s">
        <v>7911</v>
      </c>
      <c r="J9911" t="s">
        <v>28278</v>
      </c>
      <c r="K9911" t="s">
        <v>28702</v>
      </c>
      <c r="L9911" t="s">
        <v>664</v>
      </c>
    </row>
    <row r="9912" spans="1:12">
      <c r="A9912" t="s">
        <v>28691</v>
      </c>
      <c r="B9912" t="s">
        <v>28692</v>
      </c>
      <c r="C9912" t="s">
        <v>28757</v>
      </c>
      <c r="D9912" t="s">
        <v>28694</v>
      </c>
      <c r="E9912" t="s">
        <v>28758</v>
      </c>
      <c r="F9912" t="s">
        <v>28759</v>
      </c>
      <c r="J9912" t="s">
        <v>28758</v>
      </c>
      <c r="K9912" t="s">
        <v>28702</v>
      </c>
      <c r="L9912" t="s">
        <v>664</v>
      </c>
    </row>
    <row r="9913" spans="1:12">
      <c r="A9913" t="s">
        <v>28691</v>
      </c>
      <c r="B9913" t="s">
        <v>28692</v>
      </c>
      <c r="C9913" t="s">
        <v>28760</v>
      </c>
      <c r="D9913" t="s">
        <v>28694</v>
      </c>
      <c r="E9913" t="s">
        <v>9547</v>
      </c>
      <c r="F9913" t="s">
        <v>28761</v>
      </c>
    </row>
    <row r="9914" spans="1:12">
      <c r="A9914" t="s">
        <v>28691</v>
      </c>
      <c r="B9914" t="s">
        <v>28692</v>
      </c>
      <c r="C9914" t="s">
        <v>28762</v>
      </c>
      <c r="D9914" t="s">
        <v>28694</v>
      </c>
      <c r="E9914" t="s">
        <v>28763</v>
      </c>
      <c r="F9914" t="s">
        <v>28764</v>
      </c>
    </row>
    <row r="9915" spans="1:12">
      <c r="A9915" t="s">
        <v>28691</v>
      </c>
      <c r="B9915" t="s">
        <v>28692</v>
      </c>
      <c r="C9915" t="s">
        <v>28765</v>
      </c>
      <c r="D9915" t="s">
        <v>28694</v>
      </c>
      <c r="E9915" t="s">
        <v>28766</v>
      </c>
      <c r="F9915" t="s">
        <v>28767</v>
      </c>
    </row>
    <row r="9916" spans="1:12">
      <c r="A9916" t="s">
        <v>28691</v>
      </c>
      <c r="B9916" t="s">
        <v>28692</v>
      </c>
      <c r="C9916" t="s">
        <v>28768</v>
      </c>
      <c r="D9916" t="s">
        <v>28694</v>
      </c>
      <c r="E9916" t="s">
        <v>2822</v>
      </c>
      <c r="F9916" t="s">
        <v>28769</v>
      </c>
    </row>
    <row r="9917" spans="1:12">
      <c r="A9917" t="s">
        <v>28691</v>
      </c>
      <c r="B9917" t="s">
        <v>28692</v>
      </c>
      <c r="C9917" t="s">
        <v>28770</v>
      </c>
      <c r="D9917" t="s">
        <v>28694</v>
      </c>
      <c r="E9917" t="s">
        <v>28771</v>
      </c>
      <c r="F9917" t="s">
        <v>28772</v>
      </c>
      <c r="J9917" t="s">
        <v>28771</v>
      </c>
      <c r="K9917" t="s">
        <v>28702</v>
      </c>
      <c r="L9917" t="s">
        <v>664</v>
      </c>
    </row>
    <row r="9918" spans="1:12">
      <c r="A9918" t="s">
        <v>28691</v>
      </c>
      <c r="B9918" t="s">
        <v>28692</v>
      </c>
      <c r="C9918" t="s">
        <v>28773</v>
      </c>
      <c r="D9918" t="s">
        <v>28694</v>
      </c>
      <c r="E9918" t="s">
        <v>11427</v>
      </c>
      <c r="F9918" t="s">
        <v>28774</v>
      </c>
      <c r="J9918" t="s">
        <v>11427</v>
      </c>
      <c r="K9918" t="s">
        <v>28702</v>
      </c>
      <c r="L9918" t="s">
        <v>664</v>
      </c>
    </row>
    <row r="9919" spans="1:12">
      <c r="A9919" t="s">
        <v>28691</v>
      </c>
      <c r="B9919" t="s">
        <v>28692</v>
      </c>
      <c r="C9919" t="s">
        <v>28775</v>
      </c>
      <c r="D9919" t="s">
        <v>28694</v>
      </c>
      <c r="E9919" t="s">
        <v>2825</v>
      </c>
      <c r="F9919" t="s">
        <v>28776</v>
      </c>
    </row>
    <row r="9920" spans="1:12">
      <c r="A9920" t="s">
        <v>28691</v>
      </c>
      <c r="B9920" t="s">
        <v>28692</v>
      </c>
      <c r="C9920" t="s">
        <v>28777</v>
      </c>
      <c r="D9920" t="s">
        <v>28694</v>
      </c>
      <c r="E9920" t="s">
        <v>6873</v>
      </c>
      <c r="F9920" t="s">
        <v>28778</v>
      </c>
    </row>
    <row r="9921" spans="1:12">
      <c r="A9921" t="s">
        <v>28691</v>
      </c>
      <c r="B9921" t="s">
        <v>28692</v>
      </c>
      <c r="C9921" t="s">
        <v>28779</v>
      </c>
      <c r="D9921" t="s">
        <v>28694</v>
      </c>
      <c r="E9921" t="s">
        <v>11619</v>
      </c>
      <c r="F9921" t="s">
        <v>28780</v>
      </c>
    </row>
    <row r="9922" spans="1:12">
      <c r="A9922" t="s">
        <v>28691</v>
      </c>
      <c r="B9922" t="s">
        <v>28692</v>
      </c>
      <c r="C9922" t="s">
        <v>28781</v>
      </c>
      <c r="D9922" t="s">
        <v>28694</v>
      </c>
      <c r="E9922" t="s">
        <v>28782</v>
      </c>
      <c r="F9922" t="s">
        <v>28783</v>
      </c>
      <c r="J9922" t="s">
        <v>28782</v>
      </c>
      <c r="K9922" t="s">
        <v>28702</v>
      </c>
      <c r="L9922" t="s">
        <v>664</v>
      </c>
    </row>
    <row r="9923" spans="1:12">
      <c r="A9923" t="s">
        <v>28691</v>
      </c>
      <c r="B9923" t="s">
        <v>28692</v>
      </c>
      <c r="C9923" t="s">
        <v>28784</v>
      </c>
      <c r="D9923" t="s">
        <v>28694</v>
      </c>
      <c r="E9923" t="s">
        <v>28785</v>
      </c>
      <c r="F9923" t="s">
        <v>28786</v>
      </c>
      <c r="J9923" t="s">
        <v>28785</v>
      </c>
      <c r="K9923" t="s">
        <v>28702</v>
      </c>
      <c r="L9923" t="s">
        <v>664</v>
      </c>
    </row>
    <row r="9924" spans="1:12">
      <c r="A9924" t="s">
        <v>28691</v>
      </c>
      <c r="B9924" t="s">
        <v>28692</v>
      </c>
      <c r="C9924" t="s">
        <v>28787</v>
      </c>
      <c r="D9924" t="s">
        <v>28694</v>
      </c>
      <c r="E9924" t="s">
        <v>20773</v>
      </c>
      <c r="F9924" t="s">
        <v>28788</v>
      </c>
    </row>
    <row r="9925" spans="1:12">
      <c r="A9925" t="s">
        <v>28691</v>
      </c>
      <c r="B9925" t="s">
        <v>28692</v>
      </c>
      <c r="C9925" t="s">
        <v>28789</v>
      </c>
      <c r="D9925" t="s">
        <v>28694</v>
      </c>
      <c r="E9925" t="s">
        <v>28790</v>
      </c>
      <c r="F9925" t="s">
        <v>28791</v>
      </c>
      <c r="J9925" t="s">
        <v>28790</v>
      </c>
      <c r="K9925" t="s">
        <v>28702</v>
      </c>
      <c r="L9925" t="s">
        <v>664</v>
      </c>
    </row>
    <row r="9926" spans="1:12">
      <c r="A9926" t="s">
        <v>28691</v>
      </c>
      <c r="B9926" t="s">
        <v>28692</v>
      </c>
      <c r="C9926" t="s">
        <v>28792</v>
      </c>
      <c r="D9926" t="s">
        <v>28694</v>
      </c>
      <c r="E9926" t="s">
        <v>21376</v>
      </c>
      <c r="F9926" t="s">
        <v>28793</v>
      </c>
      <c r="J9926" t="s">
        <v>21376</v>
      </c>
      <c r="K9926" t="s">
        <v>28702</v>
      </c>
      <c r="L9926" t="s">
        <v>664</v>
      </c>
    </row>
    <row r="9927" spans="1:12">
      <c r="A9927" t="s">
        <v>28691</v>
      </c>
      <c r="B9927" t="s">
        <v>28692</v>
      </c>
      <c r="C9927" t="s">
        <v>28794</v>
      </c>
      <c r="D9927" t="s">
        <v>28694</v>
      </c>
      <c r="E9927" t="s">
        <v>21387</v>
      </c>
      <c r="F9927" t="s">
        <v>28795</v>
      </c>
      <c r="J9927" t="s">
        <v>21387</v>
      </c>
      <c r="K9927" t="s">
        <v>28702</v>
      </c>
      <c r="L9927" t="s">
        <v>664</v>
      </c>
    </row>
    <row r="9928" spans="1:12">
      <c r="A9928" t="s">
        <v>28691</v>
      </c>
      <c r="B9928" t="s">
        <v>28692</v>
      </c>
      <c r="C9928" t="s">
        <v>28796</v>
      </c>
      <c r="D9928" t="s">
        <v>28694</v>
      </c>
      <c r="E9928" t="s">
        <v>28797</v>
      </c>
      <c r="F9928" t="s">
        <v>28798</v>
      </c>
      <c r="J9928" t="s">
        <v>28797</v>
      </c>
      <c r="K9928" t="s">
        <v>28702</v>
      </c>
      <c r="L9928" t="s">
        <v>664</v>
      </c>
    </row>
    <row r="9929" spans="1:12">
      <c r="A9929" t="s">
        <v>28691</v>
      </c>
      <c r="B9929" t="s">
        <v>28692</v>
      </c>
      <c r="C9929" t="s">
        <v>28799</v>
      </c>
      <c r="D9929" t="s">
        <v>28694</v>
      </c>
      <c r="E9929" t="s">
        <v>28800</v>
      </c>
      <c r="F9929" t="s">
        <v>28801</v>
      </c>
      <c r="J9929" t="s">
        <v>28800</v>
      </c>
      <c r="K9929" t="s">
        <v>28702</v>
      </c>
      <c r="L9929" t="s">
        <v>664</v>
      </c>
    </row>
    <row r="9930" spans="1:12">
      <c r="A9930" t="s">
        <v>28691</v>
      </c>
      <c r="B9930" t="s">
        <v>28692</v>
      </c>
      <c r="C9930" t="s">
        <v>28802</v>
      </c>
      <c r="D9930" t="s">
        <v>28694</v>
      </c>
      <c r="E9930" t="s">
        <v>11535</v>
      </c>
      <c r="F9930" t="s">
        <v>28803</v>
      </c>
    </row>
    <row r="9931" spans="1:12">
      <c r="A9931" t="s">
        <v>28691</v>
      </c>
      <c r="B9931" t="s">
        <v>28692</v>
      </c>
      <c r="C9931" t="s">
        <v>28804</v>
      </c>
      <c r="D9931" t="s">
        <v>28694</v>
      </c>
      <c r="E9931" t="s">
        <v>28805</v>
      </c>
      <c r="F9931" t="s">
        <v>28806</v>
      </c>
      <c r="J9931" t="s">
        <v>28805</v>
      </c>
      <c r="K9931" t="s">
        <v>28702</v>
      </c>
      <c r="L9931" t="s">
        <v>664</v>
      </c>
    </row>
    <row r="9932" spans="1:12">
      <c r="A9932" t="s">
        <v>28691</v>
      </c>
      <c r="B9932" t="s">
        <v>28692</v>
      </c>
      <c r="C9932" t="s">
        <v>28807</v>
      </c>
      <c r="D9932" t="s">
        <v>28694</v>
      </c>
      <c r="E9932" t="s">
        <v>28808</v>
      </c>
      <c r="F9932" t="s">
        <v>28809</v>
      </c>
      <c r="J9932" t="s">
        <v>28808</v>
      </c>
      <c r="K9932" t="s">
        <v>28702</v>
      </c>
      <c r="L9932" t="s">
        <v>664</v>
      </c>
    </row>
    <row r="9933" spans="1:12">
      <c r="A9933" t="s">
        <v>28691</v>
      </c>
      <c r="B9933" t="s">
        <v>28692</v>
      </c>
      <c r="C9933" t="s">
        <v>28810</v>
      </c>
      <c r="D9933" t="s">
        <v>28694</v>
      </c>
      <c r="E9933" t="s">
        <v>28811</v>
      </c>
      <c r="F9933" t="s">
        <v>28812</v>
      </c>
    </row>
    <row r="9934" spans="1:12">
      <c r="A9934" t="s">
        <v>28691</v>
      </c>
      <c r="B9934" t="s">
        <v>28692</v>
      </c>
      <c r="C9934" t="s">
        <v>28813</v>
      </c>
      <c r="D9934" t="s">
        <v>28694</v>
      </c>
      <c r="E9934" t="s">
        <v>655</v>
      </c>
      <c r="F9934" t="s">
        <v>656</v>
      </c>
    </row>
    <row r="9935" spans="1:12">
      <c r="A9935" t="s">
        <v>28691</v>
      </c>
      <c r="B9935" t="s">
        <v>28692</v>
      </c>
      <c r="D9935" t="s">
        <v>28694</v>
      </c>
      <c r="F9935" t="s">
        <v>28814</v>
      </c>
      <c r="J9935" t="s">
        <v>28815</v>
      </c>
      <c r="K9935" t="s">
        <v>28702</v>
      </c>
      <c r="L9935" t="s">
        <v>664</v>
      </c>
    </row>
    <row r="9936" spans="1:12">
      <c r="A9936" t="s">
        <v>28816</v>
      </c>
      <c r="B9936" t="s">
        <v>28817</v>
      </c>
      <c r="C9936" t="s">
        <v>28818</v>
      </c>
      <c r="D9936" t="s">
        <v>28819</v>
      </c>
      <c r="E9936" t="s">
        <v>28820</v>
      </c>
      <c r="F9936" t="s">
        <v>28821</v>
      </c>
      <c r="J9936" t="s">
        <v>28820</v>
      </c>
      <c r="K9936" t="s">
        <v>28822</v>
      </c>
      <c r="L9936" t="s">
        <v>1389</v>
      </c>
    </row>
    <row r="9937" spans="1:12">
      <c r="A9937" t="s">
        <v>28816</v>
      </c>
      <c r="B9937" t="s">
        <v>28817</v>
      </c>
      <c r="C9937" t="s">
        <v>28823</v>
      </c>
      <c r="D9937" t="s">
        <v>28819</v>
      </c>
      <c r="E9937" t="s">
        <v>28824</v>
      </c>
      <c r="F9937" t="s">
        <v>28825</v>
      </c>
      <c r="J9937" t="s">
        <v>28824</v>
      </c>
      <c r="K9937" t="s">
        <v>28822</v>
      </c>
      <c r="L9937" t="s">
        <v>1389</v>
      </c>
    </row>
    <row r="9938" spans="1:12">
      <c r="A9938" t="s">
        <v>28816</v>
      </c>
      <c r="B9938" t="s">
        <v>28817</v>
      </c>
      <c r="C9938" t="s">
        <v>28826</v>
      </c>
      <c r="D9938" t="s">
        <v>28819</v>
      </c>
      <c r="E9938" t="s">
        <v>7136</v>
      </c>
      <c r="F9938" t="s">
        <v>28827</v>
      </c>
      <c r="J9938" t="s">
        <v>7136</v>
      </c>
      <c r="K9938" t="s">
        <v>28822</v>
      </c>
      <c r="L9938" t="s">
        <v>1389</v>
      </c>
    </row>
    <row r="9939" spans="1:12">
      <c r="A9939" t="s">
        <v>28816</v>
      </c>
      <c r="B9939" t="s">
        <v>28817</v>
      </c>
      <c r="C9939" t="s">
        <v>28828</v>
      </c>
      <c r="D9939" t="s">
        <v>28819</v>
      </c>
      <c r="E9939" t="s">
        <v>28829</v>
      </c>
      <c r="F9939" t="s">
        <v>28830</v>
      </c>
      <c r="J9939" t="s">
        <v>28829</v>
      </c>
      <c r="K9939" t="s">
        <v>28822</v>
      </c>
      <c r="L9939" t="s">
        <v>1389</v>
      </c>
    </row>
    <row r="9940" spans="1:12">
      <c r="A9940" t="s">
        <v>28816</v>
      </c>
      <c r="B9940" t="s">
        <v>28817</v>
      </c>
      <c r="C9940" t="s">
        <v>28831</v>
      </c>
      <c r="D9940" t="s">
        <v>28819</v>
      </c>
      <c r="E9940" t="s">
        <v>16510</v>
      </c>
      <c r="F9940" t="s">
        <v>28832</v>
      </c>
      <c r="J9940" t="s">
        <v>16510</v>
      </c>
      <c r="K9940" t="s">
        <v>28822</v>
      </c>
      <c r="L9940" t="s">
        <v>1389</v>
      </c>
    </row>
    <row r="9941" spans="1:12">
      <c r="A9941" t="s">
        <v>28816</v>
      </c>
      <c r="B9941" t="s">
        <v>28817</v>
      </c>
      <c r="C9941" t="s">
        <v>28833</v>
      </c>
      <c r="D9941" t="s">
        <v>28819</v>
      </c>
      <c r="E9941" t="s">
        <v>28834</v>
      </c>
      <c r="F9941" t="s">
        <v>28835</v>
      </c>
      <c r="J9941" t="s">
        <v>28834</v>
      </c>
      <c r="K9941" t="s">
        <v>28822</v>
      </c>
      <c r="L9941" t="s">
        <v>1389</v>
      </c>
    </row>
    <row r="9942" spans="1:12">
      <c r="A9942" t="s">
        <v>28816</v>
      </c>
      <c r="B9942" t="s">
        <v>28817</v>
      </c>
      <c r="C9942" t="s">
        <v>28836</v>
      </c>
      <c r="D9942" t="s">
        <v>28819</v>
      </c>
      <c r="E9942" t="s">
        <v>2001</v>
      </c>
      <c r="F9942" t="s">
        <v>28837</v>
      </c>
      <c r="J9942" t="s">
        <v>2001</v>
      </c>
      <c r="K9942" t="s">
        <v>28822</v>
      </c>
      <c r="L9942" t="s">
        <v>1389</v>
      </c>
    </row>
    <row r="9943" spans="1:12">
      <c r="A9943" t="s">
        <v>28816</v>
      </c>
      <c r="B9943" t="s">
        <v>28817</v>
      </c>
      <c r="C9943" t="s">
        <v>28838</v>
      </c>
      <c r="D9943" t="s">
        <v>28819</v>
      </c>
      <c r="E9943" t="s">
        <v>28839</v>
      </c>
      <c r="F9943" t="s">
        <v>28840</v>
      </c>
      <c r="J9943" t="s">
        <v>28839</v>
      </c>
      <c r="K9943" t="s">
        <v>28822</v>
      </c>
      <c r="L9943" t="s">
        <v>1389</v>
      </c>
    </row>
    <row r="9944" spans="1:12">
      <c r="A9944" t="s">
        <v>28816</v>
      </c>
      <c r="B9944" t="s">
        <v>28817</v>
      </c>
      <c r="C9944" t="s">
        <v>28841</v>
      </c>
      <c r="D9944" t="s">
        <v>28819</v>
      </c>
      <c r="E9944" t="s">
        <v>10348</v>
      </c>
      <c r="F9944" t="s">
        <v>28842</v>
      </c>
      <c r="J9944" t="s">
        <v>10348</v>
      </c>
      <c r="K9944" t="s">
        <v>28822</v>
      </c>
      <c r="L9944" t="s">
        <v>1389</v>
      </c>
    </row>
    <row r="9945" spans="1:12">
      <c r="A9945" t="s">
        <v>28816</v>
      </c>
      <c r="B9945" t="s">
        <v>28817</v>
      </c>
      <c r="C9945" t="s">
        <v>28843</v>
      </c>
      <c r="D9945" t="s">
        <v>28819</v>
      </c>
      <c r="E9945" t="s">
        <v>28844</v>
      </c>
      <c r="F9945" t="s">
        <v>28845</v>
      </c>
      <c r="J9945" t="s">
        <v>28844</v>
      </c>
      <c r="K9945" t="s">
        <v>28822</v>
      </c>
      <c r="L9945" t="s">
        <v>1389</v>
      </c>
    </row>
    <row r="9946" spans="1:12">
      <c r="A9946" t="s">
        <v>28816</v>
      </c>
      <c r="B9946" t="s">
        <v>28817</v>
      </c>
      <c r="C9946" t="s">
        <v>28846</v>
      </c>
      <c r="D9946" t="s">
        <v>28819</v>
      </c>
      <c r="E9946" t="s">
        <v>18658</v>
      </c>
      <c r="F9946" t="s">
        <v>28847</v>
      </c>
      <c r="J9946" t="s">
        <v>18658</v>
      </c>
      <c r="K9946" t="s">
        <v>28822</v>
      </c>
      <c r="L9946" t="s">
        <v>1389</v>
      </c>
    </row>
    <row r="9947" spans="1:12">
      <c r="A9947" t="s">
        <v>28816</v>
      </c>
      <c r="B9947" t="s">
        <v>28817</v>
      </c>
      <c r="C9947" t="s">
        <v>28848</v>
      </c>
      <c r="D9947" t="s">
        <v>28819</v>
      </c>
      <c r="E9947" t="s">
        <v>5084</v>
      </c>
      <c r="F9947" t="s">
        <v>28849</v>
      </c>
    </row>
    <row r="9948" spans="1:12">
      <c r="A9948" t="s">
        <v>28816</v>
      </c>
      <c r="B9948" t="s">
        <v>28817</v>
      </c>
      <c r="C9948" t="s">
        <v>28850</v>
      </c>
      <c r="D9948" t="s">
        <v>28819</v>
      </c>
      <c r="E9948" t="s">
        <v>28851</v>
      </c>
      <c r="F9948" t="s">
        <v>28852</v>
      </c>
      <c r="J9948" t="s">
        <v>28851</v>
      </c>
      <c r="K9948" t="s">
        <v>28822</v>
      </c>
      <c r="L9948" t="s">
        <v>1389</v>
      </c>
    </row>
    <row r="9949" spans="1:12">
      <c r="A9949" t="s">
        <v>28816</v>
      </c>
      <c r="B9949" t="s">
        <v>28817</v>
      </c>
      <c r="C9949" t="s">
        <v>28853</v>
      </c>
      <c r="D9949" t="s">
        <v>28819</v>
      </c>
      <c r="E9949" t="s">
        <v>19015</v>
      </c>
      <c r="F9949" t="s">
        <v>28854</v>
      </c>
      <c r="J9949" t="s">
        <v>19015</v>
      </c>
      <c r="K9949" t="s">
        <v>28822</v>
      </c>
      <c r="L9949" t="s">
        <v>1389</v>
      </c>
    </row>
    <row r="9950" spans="1:12">
      <c r="A9950" t="s">
        <v>28816</v>
      </c>
      <c r="B9950" t="s">
        <v>28817</v>
      </c>
      <c r="C9950" t="s">
        <v>28855</v>
      </c>
      <c r="D9950" t="s">
        <v>28819</v>
      </c>
      <c r="E9950" t="s">
        <v>3646</v>
      </c>
      <c r="F9950" t="s">
        <v>28856</v>
      </c>
      <c r="J9950" t="s">
        <v>3646</v>
      </c>
      <c r="K9950" t="s">
        <v>28822</v>
      </c>
      <c r="L9950" t="s">
        <v>1389</v>
      </c>
    </row>
    <row r="9951" spans="1:12">
      <c r="A9951" t="s">
        <v>28816</v>
      </c>
      <c r="B9951" t="s">
        <v>28817</v>
      </c>
      <c r="C9951" t="s">
        <v>28857</v>
      </c>
      <c r="D9951" t="s">
        <v>28819</v>
      </c>
      <c r="E9951" t="s">
        <v>5138</v>
      </c>
      <c r="F9951" t="s">
        <v>28858</v>
      </c>
    </row>
    <row r="9952" spans="1:12">
      <c r="A9952" t="s">
        <v>28816</v>
      </c>
      <c r="B9952" t="s">
        <v>28817</v>
      </c>
      <c r="C9952" t="s">
        <v>28859</v>
      </c>
      <c r="D9952" t="s">
        <v>28819</v>
      </c>
      <c r="E9952" t="s">
        <v>19991</v>
      </c>
      <c r="F9952" t="s">
        <v>28860</v>
      </c>
      <c r="J9952" t="s">
        <v>19991</v>
      </c>
      <c r="K9952" t="s">
        <v>28822</v>
      </c>
      <c r="L9952" t="s">
        <v>1389</v>
      </c>
    </row>
    <row r="9953" spans="1:12">
      <c r="A9953" t="s">
        <v>28816</v>
      </c>
      <c r="B9953" t="s">
        <v>28817</v>
      </c>
      <c r="C9953" t="s">
        <v>28861</v>
      </c>
      <c r="D9953" t="s">
        <v>28819</v>
      </c>
      <c r="E9953" t="s">
        <v>5223</v>
      </c>
      <c r="F9953" t="s">
        <v>28862</v>
      </c>
      <c r="J9953" t="s">
        <v>5223</v>
      </c>
      <c r="K9953" t="s">
        <v>28822</v>
      </c>
      <c r="L9953" t="s">
        <v>1389</v>
      </c>
    </row>
    <row r="9954" spans="1:12">
      <c r="A9954" t="s">
        <v>28816</v>
      </c>
      <c r="B9954" t="s">
        <v>28817</v>
      </c>
      <c r="C9954" t="s">
        <v>28863</v>
      </c>
      <c r="D9954" t="s">
        <v>28819</v>
      </c>
      <c r="E9954" t="s">
        <v>894</v>
      </c>
      <c r="F9954" t="s">
        <v>28864</v>
      </c>
      <c r="J9954" t="s">
        <v>894</v>
      </c>
      <c r="K9954" t="s">
        <v>28822</v>
      </c>
      <c r="L9954" t="s">
        <v>1389</v>
      </c>
    </row>
    <row r="9955" spans="1:12">
      <c r="A9955" t="s">
        <v>28816</v>
      </c>
      <c r="B9955" t="s">
        <v>28817</v>
      </c>
      <c r="C9955" t="s">
        <v>28865</v>
      </c>
      <c r="D9955" t="s">
        <v>28819</v>
      </c>
      <c r="E9955" t="s">
        <v>28866</v>
      </c>
      <c r="F9955" t="s">
        <v>28867</v>
      </c>
      <c r="J9955" t="s">
        <v>28866</v>
      </c>
      <c r="K9955" t="s">
        <v>28822</v>
      </c>
      <c r="L9955" t="s">
        <v>1389</v>
      </c>
    </row>
    <row r="9956" spans="1:12">
      <c r="A9956" t="s">
        <v>28816</v>
      </c>
      <c r="B9956" t="s">
        <v>28817</v>
      </c>
      <c r="C9956" t="s">
        <v>28868</v>
      </c>
      <c r="D9956" t="s">
        <v>28819</v>
      </c>
      <c r="E9956" t="s">
        <v>15297</v>
      </c>
      <c r="F9956" t="s">
        <v>28869</v>
      </c>
      <c r="J9956" t="s">
        <v>15297</v>
      </c>
      <c r="K9956" t="s">
        <v>28822</v>
      </c>
      <c r="L9956" t="s">
        <v>1389</v>
      </c>
    </row>
    <row r="9957" spans="1:12">
      <c r="A9957" t="s">
        <v>28816</v>
      </c>
      <c r="B9957" t="s">
        <v>28817</v>
      </c>
      <c r="C9957" t="s">
        <v>28870</v>
      </c>
      <c r="D9957" t="s">
        <v>28819</v>
      </c>
      <c r="E9957" t="s">
        <v>28871</v>
      </c>
      <c r="F9957" t="s">
        <v>28872</v>
      </c>
      <c r="J9957" t="s">
        <v>28871</v>
      </c>
      <c r="K9957" t="s">
        <v>28822</v>
      </c>
      <c r="L9957" t="s">
        <v>1389</v>
      </c>
    </row>
    <row r="9958" spans="1:12">
      <c r="A9958" t="s">
        <v>28816</v>
      </c>
      <c r="B9958" t="s">
        <v>28817</v>
      </c>
      <c r="C9958" t="s">
        <v>28873</v>
      </c>
      <c r="D9958" t="s">
        <v>28819</v>
      </c>
      <c r="E9958" t="s">
        <v>28874</v>
      </c>
      <c r="F9958" t="s">
        <v>28875</v>
      </c>
      <c r="J9958" t="s">
        <v>28874</v>
      </c>
      <c r="K9958" t="s">
        <v>28822</v>
      </c>
      <c r="L9958" t="s">
        <v>1389</v>
      </c>
    </row>
    <row r="9959" spans="1:12">
      <c r="A9959" t="s">
        <v>28816</v>
      </c>
      <c r="B9959" t="s">
        <v>28817</v>
      </c>
      <c r="C9959" t="s">
        <v>28876</v>
      </c>
      <c r="D9959" t="s">
        <v>28819</v>
      </c>
      <c r="E9959" t="s">
        <v>5268</v>
      </c>
      <c r="F9959" t="s">
        <v>28877</v>
      </c>
    </row>
    <row r="9960" spans="1:12">
      <c r="A9960" t="s">
        <v>28816</v>
      </c>
      <c r="B9960" t="s">
        <v>28817</v>
      </c>
      <c r="C9960" t="s">
        <v>28878</v>
      </c>
      <c r="D9960" t="s">
        <v>28819</v>
      </c>
      <c r="E9960" t="s">
        <v>11077</v>
      </c>
      <c r="F9960" t="s">
        <v>28879</v>
      </c>
    </row>
    <row r="9961" spans="1:12">
      <c r="A9961" t="s">
        <v>28816</v>
      </c>
      <c r="B9961" t="s">
        <v>28817</v>
      </c>
      <c r="C9961" t="s">
        <v>28880</v>
      </c>
      <c r="D9961" t="s">
        <v>28819</v>
      </c>
      <c r="E9961" t="s">
        <v>20849</v>
      </c>
      <c r="F9961" t="s">
        <v>28881</v>
      </c>
      <c r="J9961" t="s">
        <v>20849</v>
      </c>
      <c r="K9961" t="s">
        <v>28822</v>
      </c>
      <c r="L9961" t="s">
        <v>1389</v>
      </c>
    </row>
    <row r="9962" spans="1:12">
      <c r="A9962" t="s">
        <v>28816</v>
      </c>
      <c r="B9962" t="s">
        <v>28817</v>
      </c>
      <c r="C9962" t="s">
        <v>28882</v>
      </c>
      <c r="D9962" t="s">
        <v>28819</v>
      </c>
      <c r="E9962" t="s">
        <v>27771</v>
      </c>
      <c r="F9962" t="s">
        <v>28883</v>
      </c>
      <c r="J9962" t="s">
        <v>27771</v>
      </c>
      <c r="K9962" t="s">
        <v>28822</v>
      </c>
      <c r="L9962" t="s">
        <v>1389</v>
      </c>
    </row>
    <row r="9963" spans="1:12">
      <c r="A9963" t="s">
        <v>28816</v>
      </c>
      <c r="B9963" t="s">
        <v>28817</v>
      </c>
      <c r="C9963" t="s">
        <v>28884</v>
      </c>
      <c r="D9963" t="s">
        <v>28819</v>
      </c>
      <c r="E9963" t="s">
        <v>28885</v>
      </c>
      <c r="F9963" t="s">
        <v>28886</v>
      </c>
      <c r="J9963" t="s">
        <v>28885</v>
      </c>
      <c r="K9963" t="s">
        <v>28822</v>
      </c>
      <c r="L9963" t="s">
        <v>1389</v>
      </c>
    </row>
    <row r="9964" spans="1:12">
      <c r="A9964" t="s">
        <v>28816</v>
      </c>
      <c r="B9964" t="s">
        <v>28817</v>
      </c>
      <c r="C9964" t="s">
        <v>28887</v>
      </c>
      <c r="D9964" t="s">
        <v>28819</v>
      </c>
      <c r="E9964" t="s">
        <v>22024</v>
      </c>
      <c r="F9964" t="s">
        <v>28888</v>
      </c>
      <c r="J9964" t="s">
        <v>22024</v>
      </c>
      <c r="K9964" t="s">
        <v>28822</v>
      </c>
      <c r="L9964" t="s">
        <v>1389</v>
      </c>
    </row>
    <row r="9965" spans="1:12">
      <c r="A9965" t="s">
        <v>28816</v>
      </c>
      <c r="B9965" t="s">
        <v>28817</v>
      </c>
      <c r="C9965" t="s">
        <v>28889</v>
      </c>
      <c r="D9965" t="s">
        <v>28819</v>
      </c>
      <c r="E9965" t="s">
        <v>655</v>
      </c>
      <c r="F9965" t="s">
        <v>656</v>
      </c>
    </row>
    <row r="9966" spans="1:12">
      <c r="A9966" t="s">
        <v>28816</v>
      </c>
      <c r="B9966" t="s">
        <v>28817</v>
      </c>
      <c r="D9966" t="s">
        <v>28819</v>
      </c>
      <c r="F9966" t="s">
        <v>28890</v>
      </c>
      <c r="J9966" t="s">
        <v>28891</v>
      </c>
      <c r="K9966" t="s">
        <v>28822</v>
      </c>
      <c r="L9966" t="s">
        <v>1389</v>
      </c>
    </row>
    <row r="9967" spans="1:12">
      <c r="A9967" t="s">
        <v>28892</v>
      </c>
      <c r="B9967" t="s">
        <v>28893</v>
      </c>
      <c r="C9967" t="s">
        <v>28894</v>
      </c>
      <c r="D9967" t="s">
        <v>28895</v>
      </c>
      <c r="E9967" t="s">
        <v>28896</v>
      </c>
      <c r="F9967" t="s">
        <v>28897</v>
      </c>
      <c r="J9967" t="s">
        <v>28896</v>
      </c>
      <c r="K9967" t="s">
        <v>28898</v>
      </c>
      <c r="L9967" t="s">
        <v>916</v>
      </c>
    </row>
    <row r="9968" spans="1:12">
      <c r="A9968" t="s">
        <v>28892</v>
      </c>
      <c r="B9968" t="s">
        <v>28893</v>
      </c>
      <c r="C9968" t="s">
        <v>28899</v>
      </c>
      <c r="D9968" t="s">
        <v>28895</v>
      </c>
      <c r="E9968" t="s">
        <v>28900</v>
      </c>
      <c r="F9968" t="s">
        <v>28901</v>
      </c>
      <c r="J9968" t="s">
        <v>28900</v>
      </c>
      <c r="K9968" t="s">
        <v>28898</v>
      </c>
      <c r="L9968" t="s">
        <v>916</v>
      </c>
    </row>
    <row r="9969" spans="1:12">
      <c r="A9969" t="s">
        <v>28892</v>
      </c>
      <c r="B9969" t="s">
        <v>28893</v>
      </c>
      <c r="C9969" t="s">
        <v>28902</v>
      </c>
      <c r="D9969" t="s">
        <v>28895</v>
      </c>
      <c r="E9969" t="s">
        <v>7339</v>
      </c>
      <c r="F9969" t="s">
        <v>15198</v>
      </c>
    </row>
    <row r="9970" spans="1:12">
      <c r="A9970" t="s">
        <v>28892</v>
      </c>
      <c r="B9970" t="s">
        <v>28893</v>
      </c>
      <c r="C9970" t="s">
        <v>28903</v>
      </c>
      <c r="D9970" t="s">
        <v>28895</v>
      </c>
      <c r="E9970" t="s">
        <v>12059</v>
      </c>
      <c r="F9970" t="s">
        <v>28904</v>
      </c>
    </row>
    <row r="9971" spans="1:12">
      <c r="A9971" t="s">
        <v>28892</v>
      </c>
      <c r="B9971" t="s">
        <v>28893</v>
      </c>
      <c r="C9971" t="s">
        <v>28905</v>
      </c>
      <c r="D9971" t="s">
        <v>28895</v>
      </c>
      <c r="E9971" t="s">
        <v>9756</v>
      </c>
      <c r="F9971" t="s">
        <v>28906</v>
      </c>
      <c r="J9971" t="s">
        <v>9756</v>
      </c>
      <c r="K9971" t="s">
        <v>28898</v>
      </c>
      <c r="L9971" t="s">
        <v>916</v>
      </c>
    </row>
    <row r="9972" spans="1:12">
      <c r="A9972" t="s">
        <v>28892</v>
      </c>
      <c r="B9972" t="s">
        <v>28893</v>
      </c>
      <c r="C9972" t="s">
        <v>28907</v>
      </c>
      <c r="D9972" t="s">
        <v>28895</v>
      </c>
      <c r="E9972" t="s">
        <v>20370</v>
      </c>
      <c r="F9972" t="s">
        <v>28908</v>
      </c>
      <c r="J9972" t="s">
        <v>20370</v>
      </c>
      <c r="K9972" t="s">
        <v>28898</v>
      </c>
      <c r="L9972" t="s">
        <v>916</v>
      </c>
    </row>
    <row r="9973" spans="1:12">
      <c r="A9973" t="s">
        <v>28892</v>
      </c>
      <c r="B9973" t="s">
        <v>28893</v>
      </c>
      <c r="C9973" t="s">
        <v>28909</v>
      </c>
      <c r="D9973" t="s">
        <v>28895</v>
      </c>
      <c r="E9973" t="s">
        <v>655</v>
      </c>
      <c r="F9973" t="s">
        <v>656</v>
      </c>
    </row>
    <row r="9974" spans="1:12">
      <c r="A9974" t="s">
        <v>28910</v>
      </c>
      <c r="B9974" t="s">
        <v>28911</v>
      </c>
      <c r="C9974" t="s">
        <v>28912</v>
      </c>
      <c r="D9974" t="s">
        <v>28913</v>
      </c>
      <c r="E9974" t="s">
        <v>28914</v>
      </c>
      <c r="F9974" t="s">
        <v>28915</v>
      </c>
      <c r="J9974" t="s">
        <v>28914</v>
      </c>
      <c r="K9974" t="s">
        <v>28910</v>
      </c>
      <c r="L9974" t="s">
        <v>664</v>
      </c>
    </row>
    <row r="9975" spans="1:12">
      <c r="A9975" t="s">
        <v>28910</v>
      </c>
      <c r="B9975" t="s">
        <v>28911</v>
      </c>
      <c r="C9975" t="s">
        <v>28916</v>
      </c>
      <c r="D9975" t="s">
        <v>28913</v>
      </c>
      <c r="E9975" t="s">
        <v>28917</v>
      </c>
      <c r="F9975" t="s">
        <v>28918</v>
      </c>
      <c r="J9975" t="s">
        <v>28917</v>
      </c>
      <c r="K9975" t="s">
        <v>28910</v>
      </c>
      <c r="L9975" t="s">
        <v>664</v>
      </c>
    </row>
    <row r="9976" spans="1:12">
      <c r="A9976" t="s">
        <v>28910</v>
      </c>
      <c r="B9976" t="s">
        <v>28911</v>
      </c>
      <c r="C9976" t="s">
        <v>28919</v>
      </c>
      <c r="D9976" t="s">
        <v>28913</v>
      </c>
      <c r="E9976" t="s">
        <v>28920</v>
      </c>
      <c r="F9976" t="s">
        <v>28921</v>
      </c>
      <c r="J9976" t="s">
        <v>28920</v>
      </c>
      <c r="K9976" t="s">
        <v>28910</v>
      </c>
      <c r="L9976" t="s">
        <v>664</v>
      </c>
    </row>
    <row r="9977" spans="1:12">
      <c r="A9977" t="s">
        <v>28910</v>
      </c>
      <c r="B9977" t="s">
        <v>28911</v>
      </c>
      <c r="C9977" t="s">
        <v>28922</v>
      </c>
      <c r="D9977" t="s">
        <v>28913</v>
      </c>
      <c r="E9977" t="s">
        <v>28923</v>
      </c>
      <c r="F9977" t="s">
        <v>28924</v>
      </c>
      <c r="J9977" t="s">
        <v>28923</v>
      </c>
      <c r="K9977" t="s">
        <v>28910</v>
      </c>
      <c r="L9977" t="s">
        <v>664</v>
      </c>
    </row>
    <row r="9978" spans="1:12">
      <c r="A9978" t="s">
        <v>28910</v>
      </c>
      <c r="B9978" t="s">
        <v>28911</v>
      </c>
      <c r="C9978" t="s">
        <v>28925</v>
      </c>
      <c r="D9978" t="s">
        <v>28913</v>
      </c>
      <c r="E9978" t="s">
        <v>28926</v>
      </c>
      <c r="F9978" t="s">
        <v>28927</v>
      </c>
      <c r="J9978" t="s">
        <v>28926</v>
      </c>
      <c r="K9978" t="s">
        <v>28910</v>
      </c>
      <c r="L9978" t="s">
        <v>664</v>
      </c>
    </row>
    <row r="9979" spans="1:12">
      <c r="A9979" t="s">
        <v>28910</v>
      </c>
      <c r="B9979" t="s">
        <v>28911</v>
      </c>
      <c r="C9979" t="s">
        <v>28928</v>
      </c>
      <c r="D9979" t="s">
        <v>28913</v>
      </c>
      <c r="E9979" t="s">
        <v>1938</v>
      </c>
      <c r="F9979" t="s">
        <v>28929</v>
      </c>
      <c r="J9979" t="s">
        <v>1938</v>
      </c>
      <c r="K9979" t="s">
        <v>28910</v>
      </c>
      <c r="L9979" t="s">
        <v>664</v>
      </c>
    </row>
    <row r="9980" spans="1:12">
      <c r="A9980" t="s">
        <v>28910</v>
      </c>
      <c r="B9980" t="s">
        <v>28911</v>
      </c>
      <c r="C9980" t="s">
        <v>28930</v>
      </c>
      <c r="D9980" t="s">
        <v>28913</v>
      </c>
      <c r="E9980" t="s">
        <v>28931</v>
      </c>
      <c r="F9980" t="s">
        <v>28932</v>
      </c>
      <c r="J9980" t="s">
        <v>28931</v>
      </c>
      <c r="K9980" t="s">
        <v>28910</v>
      </c>
      <c r="L9980" t="s">
        <v>664</v>
      </c>
    </row>
    <row r="9981" spans="1:12">
      <c r="A9981" t="s">
        <v>28910</v>
      </c>
      <c r="B9981" t="s">
        <v>28911</v>
      </c>
      <c r="C9981" t="s">
        <v>28933</v>
      </c>
      <c r="D9981" t="s">
        <v>28913</v>
      </c>
      <c r="E9981" t="s">
        <v>28934</v>
      </c>
      <c r="F9981" t="s">
        <v>28935</v>
      </c>
      <c r="J9981" t="s">
        <v>28934</v>
      </c>
      <c r="K9981" t="s">
        <v>28910</v>
      </c>
      <c r="L9981" t="s">
        <v>664</v>
      </c>
    </row>
    <row r="9982" spans="1:12">
      <c r="A9982" t="s">
        <v>28910</v>
      </c>
      <c r="B9982" t="s">
        <v>28911</v>
      </c>
      <c r="C9982" t="s">
        <v>28936</v>
      </c>
      <c r="D9982" t="s">
        <v>28913</v>
      </c>
      <c r="E9982" t="s">
        <v>28937</v>
      </c>
      <c r="F9982" t="s">
        <v>28938</v>
      </c>
      <c r="J9982" t="s">
        <v>28937</v>
      </c>
      <c r="K9982" t="s">
        <v>28910</v>
      </c>
      <c r="L9982" t="s">
        <v>664</v>
      </c>
    </row>
    <row r="9983" spans="1:12">
      <c r="A9983" t="s">
        <v>28910</v>
      </c>
      <c r="B9983" t="s">
        <v>28911</v>
      </c>
      <c r="C9983" t="s">
        <v>28939</v>
      </c>
      <c r="D9983" t="s">
        <v>28913</v>
      </c>
      <c r="E9983" t="s">
        <v>28940</v>
      </c>
      <c r="F9983" t="s">
        <v>28941</v>
      </c>
      <c r="J9983" t="s">
        <v>28940</v>
      </c>
      <c r="K9983" t="s">
        <v>28910</v>
      </c>
      <c r="L9983" t="s">
        <v>664</v>
      </c>
    </row>
    <row r="9984" spans="1:12">
      <c r="A9984" t="s">
        <v>28910</v>
      </c>
      <c r="B9984" t="s">
        <v>28911</v>
      </c>
      <c r="C9984" t="s">
        <v>28942</v>
      </c>
      <c r="D9984" t="s">
        <v>28913</v>
      </c>
      <c r="E9984" t="s">
        <v>25538</v>
      </c>
      <c r="F9984" t="s">
        <v>28943</v>
      </c>
    </row>
    <row r="9985" spans="1:12">
      <c r="A9985" t="s">
        <v>28910</v>
      </c>
      <c r="B9985" t="s">
        <v>28911</v>
      </c>
      <c r="C9985" t="s">
        <v>28944</v>
      </c>
      <c r="D9985" t="s">
        <v>28913</v>
      </c>
      <c r="E9985" t="s">
        <v>18443</v>
      </c>
      <c r="F9985" t="s">
        <v>28945</v>
      </c>
      <c r="J9985" t="s">
        <v>18443</v>
      </c>
      <c r="K9985" t="s">
        <v>28910</v>
      </c>
      <c r="L9985" t="s">
        <v>664</v>
      </c>
    </row>
    <row r="9986" spans="1:12">
      <c r="A9986" t="s">
        <v>28910</v>
      </c>
      <c r="B9986" t="s">
        <v>28911</v>
      </c>
      <c r="C9986" t="s">
        <v>28946</v>
      </c>
      <c r="D9986" t="s">
        <v>28913</v>
      </c>
      <c r="E9986" t="s">
        <v>24272</v>
      </c>
      <c r="F9986" t="s">
        <v>28947</v>
      </c>
      <c r="J9986" t="s">
        <v>24272</v>
      </c>
      <c r="K9986" t="s">
        <v>28910</v>
      </c>
      <c r="L9986" t="s">
        <v>664</v>
      </c>
    </row>
    <row r="9987" spans="1:12">
      <c r="A9987" t="s">
        <v>28910</v>
      </c>
      <c r="B9987" t="s">
        <v>28911</v>
      </c>
      <c r="C9987" t="s">
        <v>28948</v>
      </c>
      <c r="D9987" t="s">
        <v>28913</v>
      </c>
      <c r="E9987" t="s">
        <v>18506</v>
      </c>
      <c r="F9987" t="s">
        <v>28949</v>
      </c>
      <c r="J9987" t="s">
        <v>18506</v>
      </c>
      <c r="K9987" t="s">
        <v>28910</v>
      </c>
      <c r="L9987" t="s">
        <v>664</v>
      </c>
    </row>
    <row r="9988" spans="1:12">
      <c r="A9988" t="s">
        <v>28910</v>
      </c>
      <c r="B9988" t="s">
        <v>28911</v>
      </c>
      <c r="C9988" t="s">
        <v>28950</v>
      </c>
      <c r="D9988" t="s">
        <v>28913</v>
      </c>
      <c r="E9988" t="s">
        <v>28951</v>
      </c>
      <c r="F9988" t="s">
        <v>28952</v>
      </c>
      <c r="J9988" t="s">
        <v>28951</v>
      </c>
      <c r="K9988" t="s">
        <v>28910</v>
      </c>
      <c r="L9988" t="s">
        <v>664</v>
      </c>
    </row>
    <row r="9989" spans="1:12">
      <c r="A9989" t="s">
        <v>28910</v>
      </c>
      <c r="B9989" t="s">
        <v>28911</v>
      </c>
      <c r="C9989" t="s">
        <v>28953</v>
      </c>
      <c r="D9989" t="s">
        <v>28913</v>
      </c>
      <c r="E9989" t="s">
        <v>28954</v>
      </c>
      <c r="F9989" t="s">
        <v>28955</v>
      </c>
      <c r="J9989" t="s">
        <v>28954</v>
      </c>
      <c r="K9989" t="s">
        <v>28910</v>
      </c>
      <c r="L9989" t="s">
        <v>664</v>
      </c>
    </row>
    <row r="9990" spans="1:12">
      <c r="A9990" t="s">
        <v>28910</v>
      </c>
      <c r="B9990" t="s">
        <v>28911</v>
      </c>
      <c r="C9990" t="s">
        <v>28956</v>
      </c>
      <c r="D9990" t="s">
        <v>28913</v>
      </c>
      <c r="E9990" t="s">
        <v>28957</v>
      </c>
      <c r="F9990" t="s">
        <v>28958</v>
      </c>
      <c r="J9990" t="s">
        <v>28957</v>
      </c>
      <c r="K9990" t="s">
        <v>28910</v>
      </c>
      <c r="L9990" t="s">
        <v>664</v>
      </c>
    </row>
    <row r="9991" spans="1:12">
      <c r="A9991" t="s">
        <v>28910</v>
      </c>
      <c r="B9991" t="s">
        <v>28911</v>
      </c>
      <c r="C9991" t="s">
        <v>28959</v>
      </c>
      <c r="D9991" t="s">
        <v>28913</v>
      </c>
      <c r="E9991" t="s">
        <v>28960</v>
      </c>
      <c r="F9991" t="s">
        <v>28961</v>
      </c>
      <c r="J9991" t="s">
        <v>28960</v>
      </c>
      <c r="K9991" t="s">
        <v>28910</v>
      </c>
      <c r="L9991" t="s">
        <v>664</v>
      </c>
    </row>
    <row r="9992" spans="1:12">
      <c r="A9992" t="s">
        <v>28910</v>
      </c>
      <c r="B9992" t="s">
        <v>28911</v>
      </c>
      <c r="C9992" t="s">
        <v>28962</v>
      </c>
      <c r="D9992" t="s">
        <v>28913</v>
      </c>
      <c r="E9992" t="s">
        <v>28963</v>
      </c>
      <c r="F9992" t="s">
        <v>28964</v>
      </c>
      <c r="J9992" t="s">
        <v>28963</v>
      </c>
      <c r="K9992" t="s">
        <v>28910</v>
      </c>
      <c r="L9992" t="s">
        <v>664</v>
      </c>
    </row>
    <row r="9993" spans="1:12">
      <c r="A9993" t="s">
        <v>28910</v>
      </c>
      <c r="B9993" t="s">
        <v>28911</v>
      </c>
      <c r="C9993" t="s">
        <v>28965</v>
      </c>
      <c r="D9993" t="s">
        <v>28913</v>
      </c>
      <c r="E9993" t="s">
        <v>7444</v>
      </c>
      <c r="F9993" t="s">
        <v>28966</v>
      </c>
    </row>
    <row r="9994" spans="1:12">
      <c r="A9994" t="s">
        <v>28910</v>
      </c>
      <c r="B9994" t="s">
        <v>28911</v>
      </c>
      <c r="C9994" t="s">
        <v>28967</v>
      </c>
      <c r="D9994" t="s">
        <v>28913</v>
      </c>
      <c r="E9994" t="s">
        <v>28968</v>
      </c>
      <c r="F9994" t="s">
        <v>28969</v>
      </c>
      <c r="J9994" t="s">
        <v>28968</v>
      </c>
      <c r="K9994" t="s">
        <v>28910</v>
      </c>
      <c r="L9994" t="s">
        <v>664</v>
      </c>
    </row>
    <row r="9995" spans="1:12">
      <c r="A9995" t="s">
        <v>28910</v>
      </c>
      <c r="B9995" t="s">
        <v>28911</v>
      </c>
      <c r="C9995" t="s">
        <v>28970</v>
      </c>
      <c r="D9995" t="s">
        <v>28913</v>
      </c>
      <c r="E9995" t="s">
        <v>655</v>
      </c>
      <c r="F9995" t="s">
        <v>656</v>
      </c>
    </row>
    <row r="9996" spans="1:12">
      <c r="A9996" t="s">
        <v>28971</v>
      </c>
      <c r="B9996" t="s">
        <v>28972</v>
      </c>
      <c r="C9996" t="s">
        <v>28973</v>
      </c>
      <c r="D9996" t="s">
        <v>28974</v>
      </c>
      <c r="E9996" t="s">
        <v>28975</v>
      </c>
      <c r="F9996" t="s">
        <v>28976</v>
      </c>
      <c r="J9996" t="s">
        <v>28975</v>
      </c>
      <c r="K9996" t="s">
        <v>28977</v>
      </c>
      <c r="L9996" t="s">
        <v>851</v>
      </c>
    </row>
    <row r="9997" spans="1:12">
      <c r="A9997" t="s">
        <v>28971</v>
      </c>
      <c r="B9997" t="s">
        <v>28972</v>
      </c>
      <c r="C9997" t="s">
        <v>28978</v>
      </c>
      <c r="D9997" t="s">
        <v>28974</v>
      </c>
      <c r="E9997" t="s">
        <v>8413</v>
      </c>
      <c r="F9997" t="s">
        <v>8413</v>
      </c>
    </row>
    <row r="9998" spans="1:12">
      <c r="A9998" t="s">
        <v>28971</v>
      </c>
      <c r="B9998" t="s">
        <v>28972</v>
      </c>
      <c r="C9998" t="s">
        <v>28979</v>
      </c>
      <c r="D9998" t="s">
        <v>28974</v>
      </c>
      <c r="E9998" t="s">
        <v>857</v>
      </c>
      <c r="F9998" t="s">
        <v>28980</v>
      </c>
    </row>
    <row r="9999" spans="1:12">
      <c r="A9999" t="s">
        <v>28971</v>
      </c>
      <c r="B9999" t="s">
        <v>28972</v>
      </c>
      <c r="C9999" t="s">
        <v>28981</v>
      </c>
      <c r="D9999" t="s">
        <v>28974</v>
      </c>
      <c r="E9999" t="s">
        <v>10867</v>
      </c>
      <c r="F9999" t="s">
        <v>10867</v>
      </c>
    </row>
    <row r="10000" spans="1:12">
      <c r="A10000" t="s">
        <v>28971</v>
      </c>
      <c r="B10000" t="s">
        <v>28972</v>
      </c>
      <c r="C10000" t="s">
        <v>28982</v>
      </c>
      <c r="D10000" t="s">
        <v>28974</v>
      </c>
      <c r="E10000" t="s">
        <v>8424</v>
      </c>
      <c r="F10000" t="s">
        <v>28983</v>
      </c>
    </row>
    <row r="10001" spans="1:12">
      <c r="A10001" t="s">
        <v>28971</v>
      </c>
      <c r="B10001" t="s">
        <v>28972</v>
      </c>
      <c r="C10001" t="s">
        <v>28984</v>
      </c>
      <c r="D10001" t="s">
        <v>28974</v>
      </c>
      <c r="E10001" t="s">
        <v>14152</v>
      </c>
      <c r="F10001" t="s">
        <v>28985</v>
      </c>
    </row>
    <row r="10002" spans="1:12">
      <c r="A10002" t="s">
        <v>28971</v>
      </c>
      <c r="B10002" t="s">
        <v>28972</v>
      </c>
      <c r="C10002" t="s">
        <v>28986</v>
      </c>
      <c r="D10002" t="s">
        <v>28974</v>
      </c>
      <c r="E10002" t="s">
        <v>28987</v>
      </c>
      <c r="F10002" t="s">
        <v>28988</v>
      </c>
    </row>
    <row r="10003" spans="1:12">
      <c r="A10003" t="s">
        <v>28971</v>
      </c>
      <c r="B10003" t="s">
        <v>28972</v>
      </c>
      <c r="C10003" t="s">
        <v>28989</v>
      </c>
      <c r="D10003" t="s">
        <v>28974</v>
      </c>
      <c r="E10003" t="s">
        <v>3817</v>
      </c>
      <c r="F10003" t="s">
        <v>28990</v>
      </c>
    </row>
    <row r="10004" spans="1:12">
      <c r="A10004" t="s">
        <v>28971</v>
      </c>
      <c r="B10004" t="s">
        <v>28972</v>
      </c>
      <c r="C10004" t="s">
        <v>28991</v>
      </c>
      <c r="D10004" t="s">
        <v>28974</v>
      </c>
      <c r="E10004" t="s">
        <v>14751</v>
      </c>
      <c r="F10004" t="s">
        <v>28992</v>
      </c>
    </row>
    <row r="10005" spans="1:12">
      <c r="A10005" t="s">
        <v>28971</v>
      </c>
      <c r="B10005" t="s">
        <v>28972</v>
      </c>
      <c r="C10005" t="s">
        <v>28993</v>
      </c>
      <c r="D10005" t="s">
        <v>28974</v>
      </c>
      <c r="E10005" t="s">
        <v>8451</v>
      </c>
      <c r="F10005" t="s">
        <v>28994</v>
      </c>
      <c r="J10005" t="s">
        <v>8451</v>
      </c>
      <c r="K10005" t="s">
        <v>28977</v>
      </c>
      <c r="L10005" t="s">
        <v>851</v>
      </c>
    </row>
    <row r="10006" spans="1:12">
      <c r="A10006" t="s">
        <v>28971</v>
      </c>
      <c r="B10006" t="s">
        <v>28972</v>
      </c>
      <c r="C10006" t="s">
        <v>28995</v>
      </c>
      <c r="D10006" t="s">
        <v>28974</v>
      </c>
      <c r="E10006" t="s">
        <v>28996</v>
      </c>
      <c r="F10006" t="s">
        <v>28997</v>
      </c>
    </row>
    <row r="10007" spans="1:12">
      <c r="A10007" t="s">
        <v>28971</v>
      </c>
      <c r="B10007" t="s">
        <v>28972</v>
      </c>
      <c r="C10007" t="s">
        <v>28998</v>
      </c>
      <c r="D10007" t="s">
        <v>28974</v>
      </c>
      <c r="E10007" t="s">
        <v>4875</v>
      </c>
      <c r="F10007" t="s">
        <v>28999</v>
      </c>
    </row>
    <row r="10008" spans="1:12">
      <c r="A10008" t="s">
        <v>28971</v>
      </c>
      <c r="B10008" t="s">
        <v>28972</v>
      </c>
      <c r="C10008" t="s">
        <v>29000</v>
      </c>
      <c r="D10008" t="s">
        <v>28974</v>
      </c>
      <c r="E10008" t="s">
        <v>4883</v>
      </c>
      <c r="F10008" t="s">
        <v>29001</v>
      </c>
    </row>
    <row r="10009" spans="1:12">
      <c r="A10009" t="s">
        <v>28971</v>
      </c>
      <c r="B10009" t="s">
        <v>28972</v>
      </c>
      <c r="C10009" t="s">
        <v>29002</v>
      </c>
      <c r="D10009" t="s">
        <v>28974</v>
      </c>
      <c r="E10009" t="s">
        <v>23533</v>
      </c>
      <c r="F10009" t="s">
        <v>29003</v>
      </c>
    </row>
    <row r="10010" spans="1:12">
      <c r="A10010" t="s">
        <v>28971</v>
      </c>
      <c r="B10010" t="s">
        <v>28972</v>
      </c>
      <c r="C10010" t="s">
        <v>29004</v>
      </c>
      <c r="D10010" t="s">
        <v>28974</v>
      </c>
      <c r="E10010" t="s">
        <v>27099</v>
      </c>
      <c r="F10010" t="s">
        <v>29005</v>
      </c>
    </row>
    <row r="10011" spans="1:12">
      <c r="A10011" t="s">
        <v>28971</v>
      </c>
      <c r="B10011" t="s">
        <v>28972</v>
      </c>
      <c r="C10011" t="s">
        <v>29006</v>
      </c>
      <c r="D10011" t="s">
        <v>28974</v>
      </c>
      <c r="E10011" t="s">
        <v>29007</v>
      </c>
      <c r="F10011" t="s">
        <v>29008</v>
      </c>
      <c r="J10011" t="s">
        <v>29007</v>
      </c>
      <c r="K10011" t="s">
        <v>28977</v>
      </c>
      <c r="L10011" t="s">
        <v>851</v>
      </c>
    </row>
    <row r="10012" spans="1:12">
      <c r="A10012" t="s">
        <v>28971</v>
      </c>
      <c r="B10012" t="s">
        <v>28972</v>
      </c>
      <c r="C10012" t="s">
        <v>29009</v>
      </c>
      <c r="D10012" t="s">
        <v>28974</v>
      </c>
      <c r="E10012" t="s">
        <v>24185</v>
      </c>
      <c r="F10012" t="s">
        <v>29010</v>
      </c>
      <c r="J10012" t="s">
        <v>24185</v>
      </c>
      <c r="K10012" t="s">
        <v>28977</v>
      </c>
      <c r="L10012" t="s">
        <v>851</v>
      </c>
    </row>
    <row r="10013" spans="1:12">
      <c r="A10013" t="s">
        <v>28971</v>
      </c>
      <c r="B10013" t="s">
        <v>28972</v>
      </c>
      <c r="C10013" t="s">
        <v>29011</v>
      </c>
      <c r="D10013" t="s">
        <v>28974</v>
      </c>
      <c r="E10013" t="s">
        <v>3661</v>
      </c>
      <c r="F10013" t="s">
        <v>29012</v>
      </c>
    </row>
    <row r="10014" spans="1:12">
      <c r="A10014" t="s">
        <v>28971</v>
      </c>
      <c r="B10014" t="s">
        <v>28972</v>
      </c>
      <c r="C10014" t="s">
        <v>29013</v>
      </c>
      <c r="D10014" t="s">
        <v>28974</v>
      </c>
      <c r="E10014" t="s">
        <v>869</v>
      </c>
      <c r="F10014" t="s">
        <v>29014</v>
      </c>
    </row>
    <row r="10015" spans="1:12">
      <c r="A10015" t="s">
        <v>28971</v>
      </c>
      <c r="B10015" t="s">
        <v>28972</v>
      </c>
      <c r="C10015" t="s">
        <v>29015</v>
      </c>
      <c r="D10015" t="s">
        <v>28974</v>
      </c>
      <c r="E10015" t="s">
        <v>10300</v>
      </c>
      <c r="F10015" t="s">
        <v>29016</v>
      </c>
    </row>
    <row r="10016" spans="1:12">
      <c r="A10016" t="s">
        <v>28971</v>
      </c>
      <c r="B10016" t="s">
        <v>28972</v>
      </c>
      <c r="C10016" t="s">
        <v>29017</v>
      </c>
      <c r="D10016" t="s">
        <v>28974</v>
      </c>
      <c r="E10016" t="s">
        <v>3459</v>
      </c>
      <c r="F10016" t="s">
        <v>29018</v>
      </c>
    </row>
    <row r="10017" spans="1:12">
      <c r="A10017" t="s">
        <v>28971</v>
      </c>
      <c r="B10017" t="s">
        <v>28972</v>
      </c>
      <c r="C10017" t="s">
        <v>29019</v>
      </c>
      <c r="D10017" t="s">
        <v>28974</v>
      </c>
      <c r="E10017" t="s">
        <v>11236</v>
      </c>
      <c r="F10017" t="s">
        <v>29020</v>
      </c>
    </row>
    <row r="10018" spans="1:12">
      <c r="A10018" t="s">
        <v>28971</v>
      </c>
      <c r="B10018" t="s">
        <v>28972</v>
      </c>
      <c r="C10018" t="s">
        <v>29021</v>
      </c>
      <c r="D10018" t="s">
        <v>28974</v>
      </c>
      <c r="E10018" t="s">
        <v>1627</v>
      </c>
      <c r="F10018" t="s">
        <v>29022</v>
      </c>
    </row>
    <row r="10019" spans="1:12">
      <c r="A10019" t="s">
        <v>28971</v>
      </c>
      <c r="B10019" t="s">
        <v>28972</v>
      </c>
      <c r="C10019" t="s">
        <v>29023</v>
      </c>
      <c r="D10019" t="s">
        <v>28974</v>
      </c>
      <c r="E10019" t="s">
        <v>10904</v>
      </c>
      <c r="F10019" t="s">
        <v>29024</v>
      </c>
    </row>
    <row r="10020" spans="1:12">
      <c r="A10020" t="s">
        <v>28971</v>
      </c>
      <c r="B10020" t="s">
        <v>28972</v>
      </c>
      <c r="C10020" t="s">
        <v>29025</v>
      </c>
      <c r="D10020" t="s">
        <v>28974</v>
      </c>
      <c r="E10020" t="s">
        <v>8747</v>
      </c>
      <c r="F10020" t="s">
        <v>29026</v>
      </c>
    </row>
    <row r="10021" spans="1:12">
      <c r="A10021" t="s">
        <v>28971</v>
      </c>
      <c r="B10021" t="s">
        <v>28972</v>
      </c>
      <c r="C10021" t="s">
        <v>29027</v>
      </c>
      <c r="D10021" t="s">
        <v>28974</v>
      </c>
      <c r="E10021" t="s">
        <v>15563</v>
      </c>
      <c r="F10021" t="s">
        <v>29028</v>
      </c>
    </row>
    <row r="10022" spans="1:12">
      <c r="A10022" t="s">
        <v>28971</v>
      </c>
      <c r="B10022" t="s">
        <v>28972</v>
      </c>
      <c r="C10022" t="s">
        <v>14925</v>
      </c>
      <c r="D10022" t="s">
        <v>28974</v>
      </c>
      <c r="E10022" t="s">
        <v>10513</v>
      </c>
      <c r="F10022" t="s">
        <v>29029</v>
      </c>
    </row>
    <row r="10023" spans="1:12">
      <c r="A10023" t="s">
        <v>28971</v>
      </c>
      <c r="B10023" t="s">
        <v>28972</v>
      </c>
      <c r="C10023" t="s">
        <v>29030</v>
      </c>
      <c r="D10023" t="s">
        <v>28974</v>
      </c>
      <c r="E10023" t="s">
        <v>29031</v>
      </c>
      <c r="F10023" t="s">
        <v>29032</v>
      </c>
    </row>
    <row r="10024" spans="1:12">
      <c r="A10024" t="s">
        <v>28971</v>
      </c>
      <c r="B10024" t="s">
        <v>28972</v>
      </c>
      <c r="C10024" t="s">
        <v>29033</v>
      </c>
      <c r="D10024" t="s">
        <v>28974</v>
      </c>
      <c r="E10024" t="s">
        <v>29034</v>
      </c>
      <c r="F10024" t="s">
        <v>29035</v>
      </c>
      <c r="J10024" t="s">
        <v>29034</v>
      </c>
      <c r="K10024" t="s">
        <v>28977</v>
      </c>
      <c r="L10024" t="s">
        <v>851</v>
      </c>
    </row>
    <row r="10025" spans="1:12">
      <c r="A10025" t="s">
        <v>28971</v>
      </c>
      <c r="B10025" t="s">
        <v>28972</v>
      </c>
      <c r="C10025" t="s">
        <v>29036</v>
      </c>
      <c r="D10025" t="s">
        <v>28974</v>
      </c>
      <c r="E10025" t="s">
        <v>14264</v>
      </c>
      <c r="F10025" t="s">
        <v>29037</v>
      </c>
    </row>
    <row r="10026" spans="1:12">
      <c r="A10026" t="s">
        <v>28971</v>
      </c>
      <c r="B10026" t="s">
        <v>28972</v>
      </c>
      <c r="C10026" t="s">
        <v>29038</v>
      </c>
      <c r="D10026" t="s">
        <v>28974</v>
      </c>
      <c r="E10026" t="s">
        <v>12497</v>
      </c>
      <c r="F10026" t="s">
        <v>29039</v>
      </c>
    </row>
    <row r="10027" spans="1:12">
      <c r="A10027" t="s">
        <v>28971</v>
      </c>
      <c r="B10027" t="s">
        <v>28972</v>
      </c>
      <c r="C10027" t="s">
        <v>29040</v>
      </c>
      <c r="D10027" t="s">
        <v>28974</v>
      </c>
      <c r="E10027" t="s">
        <v>8866</v>
      </c>
      <c r="F10027" t="s">
        <v>29041</v>
      </c>
    </row>
    <row r="10028" spans="1:12">
      <c r="A10028" t="s">
        <v>28971</v>
      </c>
      <c r="B10028" t="s">
        <v>28972</v>
      </c>
      <c r="C10028" t="s">
        <v>29042</v>
      </c>
      <c r="D10028" t="s">
        <v>28974</v>
      </c>
      <c r="E10028" t="s">
        <v>29043</v>
      </c>
      <c r="F10028" t="s">
        <v>29044</v>
      </c>
    </row>
    <row r="10029" spans="1:12">
      <c r="A10029" t="s">
        <v>28971</v>
      </c>
      <c r="B10029" t="s">
        <v>28972</v>
      </c>
      <c r="C10029" t="s">
        <v>29045</v>
      </c>
      <c r="D10029" t="s">
        <v>28974</v>
      </c>
      <c r="E10029" t="s">
        <v>15572</v>
      </c>
      <c r="F10029" t="s">
        <v>29046</v>
      </c>
    </row>
    <row r="10030" spans="1:12">
      <c r="A10030" t="s">
        <v>28971</v>
      </c>
      <c r="B10030" t="s">
        <v>28972</v>
      </c>
      <c r="C10030" t="s">
        <v>29047</v>
      </c>
      <c r="D10030" t="s">
        <v>28974</v>
      </c>
      <c r="E10030" t="s">
        <v>29048</v>
      </c>
      <c r="F10030" t="s">
        <v>29049</v>
      </c>
    </row>
    <row r="10031" spans="1:12">
      <c r="A10031" t="s">
        <v>28971</v>
      </c>
      <c r="B10031" t="s">
        <v>28972</v>
      </c>
      <c r="C10031" t="s">
        <v>29050</v>
      </c>
      <c r="D10031" t="s">
        <v>28974</v>
      </c>
      <c r="E10031" t="s">
        <v>7216</v>
      </c>
      <c r="F10031" t="s">
        <v>29051</v>
      </c>
    </row>
    <row r="10032" spans="1:12">
      <c r="A10032" t="s">
        <v>28971</v>
      </c>
      <c r="B10032" t="s">
        <v>28972</v>
      </c>
      <c r="C10032" t="s">
        <v>29052</v>
      </c>
      <c r="D10032" t="s">
        <v>28974</v>
      </c>
      <c r="E10032" t="s">
        <v>13335</v>
      </c>
      <c r="F10032" t="s">
        <v>29053</v>
      </c>
    </row>
    <row r="10033" spans="1:12">
      <c r="A10033" t="s">
        <v>28971</v>
      </c>
      <c r="B10033" t="s">
        <v>28972</v>
      </c>
      <c r="C10033" t="s">
        <v>29054</v>
      </c>
      <c r="D10033" t="s">
        <v>28974</v>
      </c>
      <c r="E10033" t="s">
        <v>11267</v>
      </c>
      <c r="F10033" t="s">
        <v>29055</v>
      </c>
    </row>
    <row r="10034" spans="1:12">
      <c r="A10034" t="s">
        <v>28971</v>
      </c>
      <c r="B10034" t="s">
        <v>28972</v>
      </c>
      <c r="C10034" t="s">
        <v>29056</v>
      </c>
      <c r="D10034" t="s">
        <v>28974</v>
      </c>
      <c r="E10034" t="s">
        <v>29057</v>
      </c>
      <c r="F10034" t="s">
        <v>29058</v>
      </c>
    </row>
    <row r="10035" spans="1:12">
      <c r="A10035" t="s">
        <v>28971</v>
      </c>
      <c r="B10035" t="s">
        <v>28972</v>
      </c>
      <c r="C10035" t="s">
        <v>29059</v>
      </c>
      <c r="D10035" t="s">
        <v>28974</v>
      </c>
      <c r="E10035" t="s">
        <v>12533</v>
      </c>
      <c r="F10035" t="s">
        <v>29060</v>
      </c>
    </row>
    <row r="10036" spans="1:12">
      <c r="A10036" t="s">
        <v>28971</v>
      </c>
      <c r="B10036" t="s">
        <v>28972</v>
      </c>
      <c r="C10036" t="s">
        <v>29061</v>
      </c>
      <c r="D10036" t="s">
        <v>28974</v>
      </c>
      <c r="E10036" t="s">
        <v>3607</v>
      </c>
      <c r="F10036" t="s">
        <v>29062</v>
      </c>
    </row>
    <row r="10037" spans="1:12">
      <c r="A10037" t="s">
        <v>28971</v>
      </c>
      <c r="B10037" t="s">
        <v>28972</v>
      </c>
      <c r="C10037" t="s">
        <v>29063</v>
      </c>
      <c r="D10037" t="s">
        <v>28974</v>
      </c>
      <c r="E10037" t="s">
        <v>11257</v>
      </c>
      <c r="F10037" t="s">
        <v>29064</v>
      </c>
    </row>
    <row r="10038" spans="1:12">
      <c r="A10038" t="s">
        <v>28971</v>
      </c>
      <c r="B10038" t="s">
        <v>28972</v>
      </c>
      <c r="C10038" t="s">
        <v>29065</v>
      </c>
      <c r="D10038" t="s">
        <v>28974</v>
      </c>
      <c r="E10038" t="s">
        <v>8992</v>
      </c>
      <c r="F10038" t="s">
        <v>29066</v>
      </c>
      <c r="J10038" t="s">
        <v>8992</v>
      </c>
      <c r="K10038" t="s">
        <v>28977</v>
      </c>
      <c r="L10038" t="s">
        <v>851</v>
      </c>
    </row>
    <row r="10039" spans="1:12">
      <c r="A10039" t="s">
        <v>28971</v>
      </c>
      <c r="B10039" t="s">
        <v>28972</v>
      </c>
      <c r="C10039" t="s">
        <v>29067</v>
      </c>
      <c r="D10039" t="s">
        <v>28974</v>
      </c>
      <c r="E10039" t="s">
        <v>16890</v>
      </c>
      <c r="F10039" t="s">
        <v>29068</v>
      </c>
    </row>
    <row r="10040" spans="1:12">
      <c r="A10040" t="s">
        <v>28971</v>
      </c>
      <c r="B10040" t="s">
        <v>28972</v>
      </c>
      <c r="C10040" t="s">
        <v>29069</v>
      </c>
      <c r="D10040" t="s">
        <v>28974</v>
      </c>
      <c r="E10040" t="s">
        <v>9004</v>
      </c>
      <c r="F10040" t="s">
        <v>29070</v>
      </c>
    </row>
    <row r="10041" spans="1:12">
      <c r="A10041" t="s">
        <v>28971</v>
      </c>
      <c r="B10041" t="s">
        <v>28972</v>
      </c>
      <c r="C10041" t="s">
        <v>29071</v>
      </c>
      <c r="D10041" t="s">
        <v>28974</v>
      </c>
      <c r="E10041" t="s">
        <v>16908</v>
      </c>
      <c r="F10041" t="s">
        <v>29072</v>
      </c>
      <c r="J10041" t="s">
        <v>16908</v>
      </c>
      <c r="K10041" t="s">
        <v>28977</v>
      </c>
      <c r="L10041" t="s">
        <v>851</v>
      </c>
    </row>
    <row r="10042" spans="1:12">
      <c r="A10042" t="s">
        <v>28971</v>
      </c>
      <c r="B10042" t="s">
        <v>28972</v>
      </c>
      <c r="C10042" t="s">
        <v>29073</v>
      </c>
      <c r="D10042" t="s">
        <v>28974</v>
      </c>
      <c r="E10042" t="s">
        <v>7741</v>
      </c>
      <c r="F10042" t="s">
        <v>29074</v>
      </c>
    </row>
    <row r="10043" spans="1:12">
      <c r="A10043" t="s">
        <v>28971</v>
      </c>
      <c r="B10043" t="s">
        <v>28972</v>
      </c>
      <c r="C10043" t="s">
        <v>29075</v>
      </c>
      <c r="D10043" t="s">
        <v>28974</v>
      </c>
      <c r="E10043" t="s">
        <v>4037</v>
      </c>
      <c r="F10043" t="s">
        <v>29076</v>
      </c>
    </row>
    <row r="10044" spans="1:12">
      <c r="A10044" t="s">
        <v>28971</v>
      </c>
      <c r="B10044" t="s">
        <v>28972</v>
      </c>
      <c r="C10044" t="s">
        <v>29077</v>
      </c>
      <c r="D10044" t="s">
        <v>28974</v>
      </c>
      <c r="E10044" t="s">
        <v>29078</v>
      </c>
      <c r="F10044" t="s">
        <v>29079</v>
      </c>
    </row>
    <row r="10045" spans="1:12">
      <c r="A10045" t="s">
        <v>28971</v>
      </c>
      <c r="B10045" t="s">
        <v>28972</v>
      </c>
      <c r="C10045" t="s">
        <v>29080</v>
      </c>
      <c r="D10045" t="s">
        <v>28974</v>
      </c>
      <c r="E10045" t="s">
        <v>29081</v>
      </c>
      <c r="F10045" t="s">
        <v>29082</v>
      </c>
      <c r="J10045" t="s">
        <v>29081</v>
      </c>
      <c r="K10045" t="s">
        <v>28977</v>
      </c>
      <c r="L10045" t="s">
        <v>851</v>
      </c>
    </row>
    <row r="10046" spans="1:12">
      <c r="A10046" t="s">
        <v>28971</v>
      </c>
      <c r="B10046" t="s">
        <v>28972</v>
      </c>
      <c r="C10046" t="s">
        <v>29083</v>
      </c>
      <c r="D10046" t="s">
        <v>28974</v>
      </c>
      <c r="E10046" t="s">
        <v>16919</v>
      </c>
      <c r="F10046" t="s">
        <v>29084</v>
      </c>
    </row>
    <row r="10047" spans="1:12">
      <c r="A10047" t="s">
        <v>28971</v>
      </c>
      <c r="B10047" t="s">
        <v>28972</v>
      </c>
      <c r="C10047" t="s">
        <v>29085</v>
      </c>
      <c r="D10047" t="s">
        <v>28974</v>
      </c>
      <c r="E10047" t="s">
        <v>10337</v>
      </c>
      <c r="F10047" t="s">
        <v>29086</v>
      </c>
      <c r="J10047" t="s">
        <v>10337</v>
      </c>
      <c r="K10047" t="s">
        <v>28977</v>
      </c>
      <c r="L10047" t="s">
        <v>851</v>
      </c>
    </row>
    <row r="10048" spans="1:12">
      <c r="A10048" t="s">
        <v>28971</v>
      </c>
      <c r="B10048" t="s">
        <v>28972</v>
      </c>
      <c r="C10048" t="s">
        <v>29087</v>
      </c>
      <c r="D10048" t="s">
        <v>28974</v>
      </c>
      <c r="E10048" t="s">
        <v>7229</v>
      </c>
      <c r="F10048" t="s">
        <v>29088</v>
      </c>
    </row>
    <row r="10049" spans="1:12">
      <c r="A10049" t="s">
        <v>28971</v>
      </c>
      <c r="B10049" t="s">
        <v>28972</v>
      </c>
      <c r="C10049" t="s">
        <v>29089</v>
      </c>
      <c r="D10049" t="s">
        <v>28974</v>
      </c>
      <c r="E10049" t="s">
        <v>9069</v>
      </c>
      <c r="F10049" t="s">
        <v>29090</v>
      </c>
    </row>
    <row r="10050" spans="1:12">
      <c r="A10050" t="s">
        <v>28971</v>
      </c>
      <c r="B10050" t="s">
        <v>28972</v>
      </c>
      <c r="C10050" t="s">
        <v>29091</v>
      </c>
      <c r="D10050" t="s">
        <v>28974</v>
      </c>
      <c r="E10050" t="s">
        <v>16961</v>
      </c>
      <c r="F10050" t="s">
        <v>29092</v>
      </c>
    </row>
    <row r="10051" spans="1:12">
      <c r="A10051" t="s">
        <v>28971</v>
      </c>
      <c r="B10051" t="s">
        <v>28972</v>
      </c>
      <c r="C10051" t="s">
        <v>29093</v>
      </c>
      <c r="D10051" t="s">
        <v>28974</v>
      </c>
      <c r="E10051" t="s">
        <v>16971</v>
      </c>
      <c r="F10051" t="s">
        <v>29094</v>
      </c>
    </row>
    <row r="10052" spans="1:12">
      <c r="A10052" t="s">
        <v>28971</v>
      </c>
      <c r="B10052" t="s">
        <v>28972</v>
      </c>
      <c r="C10052" t="s">
        <v>29095</v>
      </c>
      <c r="D10052" t="s">
        <v>28974</v>
      </c>
      <c r="E10052" t="s">
        <v>9110</v>
      </c>
      <c r="F10052" t="s">
        <v>29096</v>
      </c>
    </row>
    <row r="10053" spans="1:12">
      <c r="A10053" t="s">
        <v>28971</v>
      </c>
      <c r="B10053" t="s">
        <v>28972</v>
      </c>
      <c r="C10053" t="s">
        <v>29097</v>
      </c>
      <c r="D10053" t="s">
        <v>28974</v>
      </c>
      <c r="E10053" t="s">
        <v>9119</v>
      </c>
      <c r="F10053" t="s">
        <v>29098</v>
      </c>
    </row>
    <row r="10054" spans="1:12">
      <c r="A10054" t="s">
        <v>28971</v>
      </c>
      <c r="B10054" t="s">
        <v>28972</v>
      </c>
      <c r="C10054" t="s">
        <v>29099</v>
      </c>
      <c r="D10054" t="s">
        <v>28974</v>
      </c>
      <c r="E10054" t="s">
        <v>7244</v>
      </c>
      <c r="F10054" t="s">
        <v>29100</v>
      </c>
    </row>
    <row r="10055" spans="1:12">
      <c r="A10055" t="s">
        <v>28971</v>
      </c>
      <c r="B10055" t="s">
        <v>28972</v>
      </c>
      <c r="C10055" t="s">
        <v>29101</v>
      </c>
      <c r="D10055" t="s">
        <v>28974</v>
      </c>
      <c r="E10055" t="s">
        <v>29102</v>
      </c>
      <c r="F10055" t="s">
        <v>29103</v>
      </c>
      <c r="J10055" t="s">
        <v>29102</v>
      </c>
      <c r="K10055" t="s">
        <v>28977</v>
      </c>
      <c r="L10055" t="s">
        <v>851</v>
      </c>
    </row>
    <row r="10056" spans="1:12">
      <c r="A10056" t="s">
        <v>28971</v>
      </c>
      <c r="B10056" t="s">
        <v>28972</v>
      </c>
      <c r="C10056" t="s">
        <v>29104</v>
      </c>
      <c r="D10056" t="s">
        <v>28974</v>
      </c>
      <c r="E10056" t="s">
        <v>17233</v>
      </c>
      <c r="F10056" t="s">
        <v>29105</v>
      </c>
    </row>
    <row r="10057" spans="1:12">
      <c r="A10057" t="s">
        <v>28971</v>
      </c>
      <c r="B10057" t="s">
        <v>28972</v>
      </c>
      <c r="C10057" t="s">
        <v>29106</v>
      </c>
      <c r="D10057" t="s">
        <v>28974</v>
      </c>
      <c r="E10057" t="s">
        <v>29107</v>
      </c>
      <c r="F10057" t="s">
        <v>29108</v>
      </c>
    </row>
    <row r="10058" spans="1:12">
      <c r="A10058" t="s">
        <v>28971</v>
      </c>
      <c r="B10058" t="s">
        <v>28972</v>
      </c>
      <c r="C10058" t="s">
        <v>29109</v>
      </c>
      <c r="D10058" t="s">
        <v>28974</v>
      </c>
      <c r="E10058" t="s">
        <v>8132</v>
      </c>
      <c r="F10058" t="s">
        <v>29110</v>
      </c>
    </row>
    <row r="10059" spans="1:12">
      <c r="A10059" t="s">
        <v>28971</v>
      </c>
      <c r="B10059" t="s">
        <v>28972</v>
      </c>
      <c r="C10059" t="s">
        <v>29111</v>
      </c>
      <c r="D10059" t="s">
        <v>28974</v>
      </c>
      <c r="E10059" t="s">
        <v>11910</v>
      </c>
      <c r="F10059" t="s">
        <v>29112</v>
      </c>
    </row>
    <row r="10060" spans="1:12">
      <c r="A10060" t="s">
        <v>28971</v>
      </c>
      <c r="B10060" t="s">
        <v>28972</v>
      </c>
      <c r="C10060" t="s">
        <v>29113</v>
      </c>
      <c r="D10060" t="s">
        <v>28974</v>
      </c>
      <c r="E10060" t="s">
        <v>9216</v>
      </c>
      <c r="F10060" t="s">
        <v>9217</v>
      </c>
    </row>
    <row r="10061" spans="1:12">
      <c r="A10061" t="s">
        <v>28971</v>
      </c>
      <c r="B10061" t="s">
        <v>28972</v>
      </c>
      <c r="C10061" t="s">
        <v>29114</v>
      </c>
      <c r="D10061" t="s">
        <v>28974</v>
      </c>
      <c r="E10061" t="s">
        <v>10957</v>
      </c>
      <c r="F10061" t="s">
        <v>29115</v>
      </c>
      <c r="J10061" t="s">
        <v>10957</v>
      </c>
      <c r="K10061" t="s">
        <v>28977</v>
      </c>
      <c r="L10061" t="s">
        <v>851</v>
      </c>
    </row>
    <row r="10062" spans="1:12">
      <c r="A10062" t="s">
        <v>28971</v>
      </c>
      <c r="B10062" t="s">
        <v>28972</v>
      </c>
      <c r="C10062" t="s">
        <v>29116</v>
      </c>
      <c r="D10062" t="s">
        <v>28974</v>
      </c>
      <c r="E10062" t="s">
        <v>29117</v>
      </c>
      <c r="F10062" t="s">
        <v>29118</v>
      </c>
    </row>
    <row r="10063" spans="1:12">
      <c r="A10063" t="s">
        <v>28971</v>
      </c>
      <c r="B10063" t="s">
        <v>28972</v>
      </c>
      <c r="C10063" t="s">
        <v>29119</v>
      </c>
      <c r="D10063" t="s">
        <v>28974</v>
      </c>
      <c r="E10063" t="s">
        <v>25261</v>
      </c>
      <c r="F10063" t="s">
        <v>29120</v>
      </c>
    </row>
    <row r="10064" spans="1:12">
      <c r="A10064" t="s">
        <v>28971</v>
      </c>
      <c r="B10064" t="s">
        <v>28972</v>
      </c>
      <c r="C10064" t="s">
        <v>29121</v>
      </c>
      <c r="D10064" t="s">
        <v>28974</v>
      </c>
      <c r="E10064" t="s">
        <v>29122</v>
      </c>
      <c r="F10064" t="s">
        <v>29123</v>
      </c>
      <c r="J10064" t="s">
        <v>29122</v>
      </c>
      <c r="K10064" t="s">
        <v>28977</v>
      </c>
      <c r="L10064" t="s">
        <v>851</v>
      </c>
    </row>
    <row r="10065" spans="1:12">
      <c r="A10065" t="s">
        <v>28971</v>
      </c>
      <c r="B10065" t="s">
        <v>28972</v>
      </c>
      <c r="C10065" t="s">
        <v>29124</v>
      </c>
      <c r="D10065" t="s">
        <v>28974</v>
      </c>
      <c r="E10065" t="s">
        <v>17819</v>
      </c>
      <c r="F10065" t="s">
        <v>29125</v>
      </c>
    </row>
    <row r="10066" spans="1:12">
      <c r="A10066" t="s">
        <v>28971</v>
      </c>
      <c r="B10066" t="s">
        <v>28972</v>
      </c>
      <c r="C10066" t="s">
        <v>29126</v>
      </c>
      <c r="D10066" t="s">
        <v>28974</v>
      </c>
      <c r="E10066" t="s">
        <v>17841</v>
      </c>
      <c r="F10066" t="s">
        <v>29127</v>
      </c>
    </row>
    <row r="10067" spans="1:12">
      <c r="A10067" t="s">
        <v>28971</v>
      </c>
      <c r="B10067" t="s">
        <v>28972</v>
      </c>
      <c r="C10067" t="s">
        <v>29128</v>
      </c>
      <c r="D10067" t="s">
        <v>28974</v>
      </c>
      <c r="E10067" t="s">
        <v>15161</v>
      </c>
      <c r="F10067" t="s">
        <v>29129</v>
      </c>
    </row>
    <row r="10068" spans="1:12">
      <c r="A10068" t="s">
        <v>28971</v>
      </c>
      <c r="B10068" t="s">
        <v>28972</v>
      </c>
      <c r="C10068" t="s">
        <v>29130</v>
      </c>
      <c r="D10068" t="s">
        <v>28974</v>
      </c>
      <c r="E10068" t="s">
        <v>3483</v>
      </c>
      <c r="F10068" t="s">
        <v>29131</v>
      </c>
    </row>
    <row r="10069" spans="1:12">
      <c r="A10069" t="s">
        <v>28971</v>
      </c>
      <c r="B10069" t="s">
        <v>28972</v>
      </c>
      <c r="C10069" t="s">
        <v>29132</v>
      </c>
      <c r="D10069" t="s">
        <v>28974</v>
      </c>
      <c r="E10069" t="s">
        <v>2223</v>
      </c>
      <c r="F10069" t="s">
        <v>29133</v>
      </c>
    </row>
    <row r="10070" spans="1:12">
      <c r="A10070" t="s">
        <v>28971</v>
      </c>
      <c r="B10070" t="s">
        <v>28972</v>
      </c>
      <c r="C10070" t="s">
        <v>29134</v>
      </c>
      <c r="D10070" t="s">
        <v>28974</v>
      </c>
      <c r="E10070" t="s">
        <v>7298</v>
      </c>
      <c r="F10070" t="s">
        <v>29135</v>
      </c>
    </row>
    <row r="10071" spans="1:12">
      <c r="A10071" t="s">
        <v>28971</v>
      </c>
      <c r="B10071" t="s">
        <v>28972</v>
      </c>
      <c r="C10071" t="s">
        <v>29136</v>
      </c>
      <c r="D10071" t="s">
        <v>28974</v>
      </c>
      <c r="E10071" t="s">
        <v>14316</v>
      </c>
      <c r="F10071" t="s">
        <v>29137</v>
      </c>
      <c r="J10071" t="s">
        <v>14316</v>
      </c>
      <c r="K10071" t="s">
        <v>28977</v>
      </c>
      <c r="L10071" t="s">
        <v>851</v>
      </c>
    </row>
    <row r="10072" spans="1:12">
      <c r="A10072" t="s">
        <v>28971</v>
      </c>
      <c r="B10072" t="s">
        <v>28972</v>
      </c>
      <c r="C10072" t="s">
        <v>29138</v>
      </c>
      <c r="D10072" t="s">
        <v>28974</v>
      </c>
      <c r="E10072" t="s">
        <v>6447</v>
      </c>
      <c r="F10072" t="s">
        <v>29139</v>
      </c>
    </row>
    <row r="10073" spans="1:12">
      <c r="A10073" t="s">
        <v>28971</v>
      </c>
      <c r="B10073" t="s">
        <v>28972</v>
      </c>
      <c r="C10073" t="s">
        <v>29140</v>
      </c>
      <c r="D10073" t="s">
        <v>28974</v>
      </c>
      <c r="E10073" t="s">
        <v>14835</v>
      </c>
      <c r="F10073" t="s">
        <v>29141</v>
      </c>
      <c r="J10073" t="s">
        <v>14835</v>
      </c>
      <c r="K10073" t="s">
        <v>28977</v>
      </c>
      <c r="L10073" t="s">
        <v>851</v>
      </c>
    </row>
    <row r="10074" spans="1:12">
      <c r="A10074" t="s">
        <v>28971</v>
      </c>
      <c r="B10074" t="s">
        <v>28972</v>
      </c>
      <c r="C10074" t="s">
        <v>29142</v>
      </c>
      <c r="D10074" t="s">
        <v>28974</v>
      </c>
      <c r="E10074" t="s">
        <v>18222</v>
      </c>
      <c r="F10074" t="s">
        <v>29143</v>
      </c>
    </row>
    <row r="10075" spans="1:12">
      <c r="A10075" t="s">
        <v>28971</v>
      </c>
      <c r="B10075" t="s">
        <v>28972</v>
      </c>
      <c r="C10075" t="s">
        <v>29144</v>
      </c>
      <c r="D10075" t="s">
        <v>28974</v>
      </c>
      <c r="E10075" t="s">
        <v>10368</v>
      </c>
      <c r="F10075" t="s">
        <v>29145</v>
      </c>
    </row>
    <row r="10076" spans="1:12">
      <c r="A10076" t="s">
        <v>28971</v>
      </c>
      <c r="B10076" t="s">
        <v>28972</v>
      </c>
      <c r="C10076" t="s">
        <v>29146</v>
      </c>
      <c r="D10076" t="s">
        <v>28974</v>
      </c>
      <c r="E10076" t="s">
        <v>6790</v>
      </c>
      <c r="F10076" t="s">
        <v>29147</v>
      </c>
    </row>
    <row r="10077" spans="1:12">
      <c r="A10077" t="s">
        <v>28971</v>
      </c>
      <c r="B10077" t="s">
        <v>28972</v>
      </c>
      <c r="C10077" t="s">
        <v>29148</v>
      </c>
      <c r="D10077" t="s">
        <v>28974</v>
      </c>
      <c r="E10077" t="s">
        <v>29149</v>
      </c>
      <c r="F10077" t="s">
        <v>29150</v>
      </c>
      <c r="J10077" t="s">
        <v>29149</v>
      </c>
      <c r="K10077" t="s">
        <v>28977</v>
      </c>
      <c r="L10077" t="s">
        <v>851</v>
      </c>
    </row>
    <row r="10078" spans="1:12">
      <c r="A10078" t="s">
        <v>28971</v>
      </c>
      <c r="B10078" t="s">
        <v>28972</v>
      </c>
      <c r="C10078" t="s">
        <v>29151</v>
      </c>
      <c r="D10078" t="s">
        <v>28974</v>
      </c>
      <c r="E10078" t="s">
        <v>8339</v>
      </c>
      <c r="F10078" t="s">
        <v>29152</v>
      </c>
      <c r="J10078" t="s">
        <v>8339</v>
      </c>
      <c r="K10078" t="s">
        <v>28977</v>
      </c>
      <c r="L10078" t="s">
        <v>851</v>
      </c>
    </row>
    <row r="10079" spans="1:12">
      <c r="A10079" t="s">
        <v>28971</v>
      </c>
      <c r="B10079" t="s">
        <v>28972</v>
      </c>
      <c r="C10079" t="s">
        <v>29153</v>
      </c>
      <c r="D10079" t="s">
        <v>28974</v>
      </c>
      <c r="E10079" t="s">
        <v>18469</v>
      </c>
      <c r="F10079" t="s">
        <v>29154</v>
      </c>
      <c r="J10079" t="s">
        <v>18469</v>
      </c>
      <c r="K10079" t="s">
        <v>28977</v>
      </c>
      <c r="L10079" t="s">
        <v>851</v>
      </c>
    </row>
    <row r="10080" spans="1:12">
      <c r="A10080" t="s">
        <v>28971</v>
      </c>
      <c r="B10080" t="s">
        <v>28972</v>
      </c>
      <c r="C10080" t="s">
        <v>29155</v>
      </c>
      <c r="D10080" t="s">
        <v>28974</v>
      </c>
      <c r="E10080" t="s">
        <v>3640</v>
      </c>
      <c r="F10080" t="s">
        <v>29156</v>
      </c>
    </row>
    <row r="10081" spans="1:12">
      <c r="A10081" t="s">
        <v>28971</v>
      </c>
      <c r="B10081" t="s">
        <v>28972</v>
      </c>
      <c r="C10081" t="s">
        <v>29157</v>
      </c>
      <c r="D10081" t="s">
        <v>28974</v>
      </c>
      <c r="E10081" t="s">
        <v>13284</v>
      </c>
      <c r="F10081" t="s">
        <v>29158</v>
      </c>
    </row>
    <row r="10082" spans="1:12">
      <c r="A10082" t="s">
        <v>28971</v>
      </c>
      <c r="B10082" t="s">
        <v>28972</v>
      </c>
      <c r="C10082" t="s">
        <v>29159</v>
      </c>
      <c r="D10082" t="s">
        <v>28974</v>
      </c>
      <c r="E10082" t="s">
        <v>29160</v>
      </c>
      <c r="F10082" t="s">
        <v>29161</v>
      </c>
    </row>
    <row r="10083" spans="1:12">
      <c r="A10083" t="s">
        <v>28971</v>
      </c>
      <c r="B10083" t="s">
        <v>28972</v>
      </c>
      <c r="C10083" t="s">
        <v>29162</v>
      </c>
      <c r="D10083" t="s">
        <v>28974</v>
      </c>
      <c r="E10083" t="s">
        <v>29163</v>
      </c>
      <c r="F10083" t="s">
        <v>29164</v>
      </c>
    </row>
    <row r="10084" spans="1:12">
      <c r="A10084" t="s">
        <v>28971</v>
      </c>
      <c r="B10084" t="s">
        <v>28972</v>
      </c>
      <c r="C10084" t="s">
        <v>29165</v>
      </c>
      <c r="D10084" t="s">
        <v>28974</v>
      </c>
      <c r="E10084" t="s">
        <v>8265</v>
      </c>
      <c r="F10084" t="s">
        <v>29166</v>
      </c>
    </row>
    <row r="10085" spans="1:12">
      <c r="A10085" t="s">
        <v>28971</v>
      </c>
      <c r="B10085" t="s">
        <v>28972</v>
      </c>
      <c r="C10085" t="s">
        <v>29167</v>
      </c>
      <c r="D10085" t="s">
        <v>28974</v>
      </c>
      <c r="E10085" t="s">
        <v>966</v>
      </c>
      <c r="F10085" t="s">
        <v>29168</v>
      </c>
    </row>
    <row r="10086" spans="1:12">
      <c r="A10086" t="s">
        <v>28971</v>
      </c>
      <c r="B10086" t="s">
        <v>28972</v>
      </c>
      <c r="C10086" t="s">
        <v>29169</v>
      </c>
      <c r="D10086" t="s">
        <v>28974</v>
      </c>
      <c r="E10086" t="s">
        <v>9349</v>
      </c>
      <c r="F10086" t="s">
        <v>29170</v>
      </c>
    </row>
    <row r="10087" spans="1:12">
      <c r="A10087" t="s">
        <v>28971</v>
      </c>
      <c r="B10087" t="s">
        <v>28972</v>
      </c>
      <c r="C10087" t="s">
        <v>29171</v>
      </c>
      <c r="D10087" t="s">
        <v>28974</v>
      </c>
      <c r="E10087" t="s">
        <v>29172</v>
      </c>
      <c r="F10087" t="s">
        <v>29173</v>
      </c>
    </row>
    <row r="10088" spans="1:12">
      <c r="A10088" t="s">
        <v>28971</v>
      </c>
      <c r="B10088" t="s">
        <v>28972</v>
      </c>
      <c r="C10088" t="s">
        <v>29174</v>
      </c>
      <c r="D10088" t="s">
        <v>28974</v>
      </c>
      <c r="E10088" t="s">
        <v>9407</v>
      </c>
      <c r="F10088" t="s">
        <v>29175</v>
      </c>
    </row>
    <row r="10089" spans="1:12">
      <c r="A10089" t="s">
        <v>28971</v>
      </c>
      <c r="B10089" t="s">
        <v>28972</v>
      </c>
      <c r="C10089" t="s">
        <v>29176</v>
      </c>
      <c r="D10089" t="s">
        <v>28974</v>
      </c>
      <c r="E10089" t="s">
        <v>8002</v>
      </c>
      <c r="F10089" t="s">
        <v>29177</v>
      </c>
    </row>
    <row r="10090" spans="1:12">
      <c r="A10090" t="s">
        <v>28971</v>
      </c>
      <c r="B10090" t="s">
        <v>28972</v>
      </c>
      <c r="C10090" t="s">
        <v>29178</v>
      </c>
      <c r="D10090" t="s">
        <v>28974</v>
      </c>
      <c r="E10090" t="s">
        <v>9416</v>
      </c>
      <c r="F10090" t="s">
        <v>29179</v>
      </c>
    </row>
    <row r="10091" spans="1:12">
      <c r="A10091" t="s">
        <v>28971</v>
      </c>
      <c r="B10091" t="s">
        <v>28972</v>
      </c>
      <c r="C10091" t="s">
        <v>29180</v>
      </c>
      <c r="D10091" t="s">
        <v>28974</v>
      </c>
      <c r="E10091" t="s">
        <v>10988</v>
      </c>
      <c r="F10091" t="s">
        <v>29181</v>
      </c>
    </row>
    <row r="10092" spans="1:12">
      <c r="A10092" t="s">
        <v>28971</v>
      </c>
      <c r="B10092" t="s">
        <v>28972</v>
      </c>
      <c r="C10092" t="s">
        <v>29182</v>
      </c>
      <c r="D10092" t="s">
        <v>28974</v>
      </c>
      <c r="E10092" t="s">
        <v>29183</v>
      </c>
      <c r="F10092" t="s">
        <v>29184</v>
      </c>
    </row>
    <row r="10093" spans="1:12">
      <c r="A10093" t="s">
        <v>28971</v>
      </c>
      <c r="B10093" t="s">
        <v>28972</v>
      </c>
      <c r="C10093" t="s">
        <v>29185</v>
      </c>
      <c r="D10093" t="s">
        <v>28974</v>
      </c>
      <c r="E10093" t="s">
        <v>29186</v>
      </c>
      <c r="F10093" t="s">
        <v>29187</v>
      </c>
      <c r="J10093" t="s">
        <v>29186</v>
      </c>
      <c r="K10093" t="s">
        <v>28977</v>
      </c>
      <c r="L10093" t="s">
        <v>851</v>
      </c>
    </row>
    <row r="10094" spans="1:12">
      <c r="A10094" t="s">
        <v>28971</v>
      </c>
      <c r="B10094" t="s">
        <v>28972</v>
      </c>
      <c r="C10094" t="s">
        <v>29188</v>
      </c>
      <c r="D10094" t="s">
        <v>28974</v>
      </c>
      <c r="E10094" t="s">
        <v>3495</v>
      </c>
      <c r="F10094" t="s">
        <v>29189</v>
      </c>
    </row>
    <row r="10095" spans="1:12">
      <c r="A10095" t="s">
        <v>28971</v>
      </c>
      <c r="B10095" t="s">
        <v>28972</v>
      </c>
      <c r="C10095" t="s">
        <v>29190</v>
      </c>
      <c r="D10095" t="s">
        <v>28974</v>
      </c>
      <c r="E10095" t="s">
        <v>29191</v>
      </c>
      <c r="F10095" t="s">
        <v>29192</v>
      </c>
      <c r="J10095" t="s">
        <v>29191</v>
      </c>
      <c r="K10095" t="s">
        <v>28977</v>
      </c>
      <c r="L10095" t="s">
        <v>851</v>
      </c>
    </row>
    <row r="10096" spans="1:12">
      <c r="A10096" t="s">
        <v>28971</v>
      </c>
      <c r="B10096" t="s">
        <v>28972</v>
      </c>
      <c r="C10096" t="s">
        <v>29193</v>
      </c>
      <c r="D10096" t="s">
        <v>28974</v>
      </c>
      <c r="E10096" t="s">
        <v>9447</v>
      </c>
      <c r="F10096" t="s">
        <v>29194</v>
      </c>
    </row>
    <row r="10097" spans="1:12">
      <c r="A10097" t="s">
        <v>28971</v>
      </c>
      <c r="B10097" t="s">
        <v>28972</v>
      </c>
      <c r="C10097" t="s">
        <v>29195</v>
      </c>
      <c r="D10097" t="s">
        <v>28974</v>
      </c>
      <c r="E10097" t="s">
        <v>6722</v>
      </c>
      <c r="F10097" t="s">
        <v>29196</v>
      </c>
    </row>
    <row r="10098" spans="1:12">
      <c r="A10098" t="s">
        <v>28971</v>
      </c>
      <c r="B10098" t="s">
        <v>28972</v>
      </c>
      <c r="C10098" t="s">
        <v>29197</v>
      </c>
      <c r="D10098" t="s">
        <v>28974</v>
      </c>
      <c r="E10098" t="s">
        <v>5099</v>
      </c>
      <c r="F10098" t="s">
        <v>29198</v>
      </c>
    </row>
    <row r="10099" spans="1:12">
      <c r="A10099" t="s">
        <v>28971</v>
      </c>
      <c r="B10099" t="s">
        <v>28972</v>
      </c>
      <c r="C10099" t="s">
        <v>29199</v>
      </c>
      <c r="D10099" t="s">
        <v>28974</v>
      </c>
      <c r="E10099" t="s">
        <v>29200</v>
      </c>
      <c r="F10099" t="s">
        <v>29201</v>
      </c>
    </row>
    <row r="10100" spans="1:12">
      <c r="A10100" t="s">
        <v>28971</v>
      </c>
      <c r="B10100" t="s">
        <v>28972</v>
      </c>
      <c r="C10100" t="s">
        <v>29202</v>
      </c>
      <c r="D10100" t="s">
        <v>28974</v>
      </c>
      <c r="E10100" t="s">
        <v>29203</v>
      </c>
      <c r="F10100" t="s">
        <v>29204</v>
      </c>
      <c r="J10100" t="s">
        <v>29203</v>
      </c>
      <c r="K10100" t="s">
        <v>28977</v>
      </c>
      <c r="L10100" t="s">
        <v>851</v>
      </c>
    </row>
    <row r="10101" spans="1:12">
      <c r="A10101" t="s">
        <v>28971</v>
      </c>
      <c r="B10101" t="s">
        <v>28972</v>
      </c>
      <c r="C10101" t="s">
        <v>29205</v>
      </c>
      <c r="D10101" t="s">
        <v>28974</v>
      </c>
      <c r="E10101" t="s">
        <v>11976</v>
      </c>
      <c r="F10101" t="s">
        <v>29206</v>
      </c>
    </row>
    <row r="10102" spans="1:12">
      <c r="A10102" t="s">
        <v>28971</v>
      </c>
      <c r="B10102" t="s">
        <v>28972</v>
      </c>
      <c r="C10102" t="s">
        <v>29207</v>
      </c>
      <c r="D10102" t="s">
        <v>28974</v>
      </c>
      <c r="E10102" t="s">
        <v>10993</v>
      </c>
      <c r="F10102" t="s">
        <v>29208</v>
      </c>
    </row>
    <row r="10103" spans="1:12">
      <c r="A10103" t="s">
        <v>28971</v>
      </c>
      <c r="B10103" t="s">
        <v>28972</v>
      </c>
      <c r="C10103" t="s">
        <v>29209</v>
      </c>
      <c r="D10103" t="s">
        <v>28974</v>
      </c>
      <c r="E10103" t="s">
        <v>3566</v>
      </c>
      <c r="F10103" t="s">
        <v>29210</v>
      </c>
    </row>
    <row r="10104" spans="1:12">
      <c r="A10104" t="s">
        <v>28971</v>
      </c>
      <c r="B10104" t="s">
        <v>28972</v>
      </c>
      <c r="C10104" t="s">
        <v>29211</v>
      </c>
      <c r="D10104" t="s">
        <v>28974</v>
      </c>
      <c r="E10104" t="s">
        <v>29212</v>
      </c>
      <c r="F10104" t="s">
        <v>29213</v>
      </c>
    </row>
    <row r="10105" spans="1:12">
      <c r="A10105" t="s">
        <v>28971</v>
      </c>
      <c r="B10105" t="s">
        <v>28972</v>
      </c>
      <c r="C10105" t="s">
        <v>29214</v>
      </c>
      <c r="D10105" t="s">
        <v>28974</v>
      </c>
      <c r="E10105" t="s">
        <v>18948</v>
      </c>
      <c r="F10105" t="s">
        <v>29215</v>
      </c>
      <c r="J10105" t="s">
        <v>18948</v>
      </c>
      <c r="K10105" t="s">
        <v>28977</v>
      </c>
      <c r="L10105" t="s">
        <v>851</v>
      </c>
    </row>
    <row r="10106" spans="1:12">
      <c r="A10106" t="s">
        <v>28971</v>
      </c>
      <c r="B10106" t="s">
        <v>28972</v>
      </c>
      <c r="C10106" t="s">
        <v>29216</v>
      </c>
      <c r="D10106" t="s">
        <v>28974</v>
      </c>
      <c r="E10106" t="s">
        <v>9523</v>
      </c>
      <c r="F10106" t="s">
        <v>29217</v>
      </c>
    </row>
    <row r="10107" spans="1:12">
      <c r="A10107" t="s">
        <v>28971</v>
      </c>
      <c r="B10107" t="s">
        <v>28972</v>
      </c>
      <c r="C10107" t="s">
        <v>29218</v>
      </c>
      <c r="D10107" t="s">
        <v>28974</v>
      </c>
      <c r="E10107" t="s">
        <v>3305</v>
      </c>
      <c r="F10107" t="s">
        <v>29219</v>
      </c>
    </row>
    <row r="10108" spans="1:12">
      <c r="A10108" t="s">
        <v>28971</v>
      </c>
      <c r="B10108" t="s">
        <v>28972</v>
      </c>
      <c r="C10108" t="s">
        <v>29220</v>
      </c>
      <c r="D10108" t="s">
        <v>28974</v>
      </c>
      <c r="E10108" t="s">
        <v>29221</v>
      </c>
      <c r="F10108" t="s">
        <v>29222</v>
      </c>
    </row>
    <row r="10109" spans="1:12">
      <c r="A10109" t="s">
        <v>28971</v>
      </c>
      <c r="B10109" t="s">
        <v>28972</v>
      </c>
      <c r="C10109" t="s">
        <v>29223</v>
      </c>
      <c r="D10109" t="s">
        <v>28974</v>
      </c>
      <c r="E10109" t="s">
        <v>9528</v>
      </c>
      <c r="F10109" t="s">
        <v>29224</v>
      </c>
    </row>
    <row r="10110" spans="1:12">
      <c r="A10110" t="s">
        <v>28971</v>
      </c>
      <c r="B10110" t="s">
        <v>28972</v>
      </c>
      <c r="C10110" t="s">
        <v>29225</v>
      </c>
      <c r="D10110" t="s">
        <v>28974</v>
      </c>
      <c r="E10110" t="s">
        <v>11004</v>
      </c>
      <c r="F10110" t="s">
        <v>29226</v>
      </c>
    </row>
    <row r="10111" spans="1:12">
      <c r="A10111" t="s">
        <v>28971</v>
      </c>
      <c r="B10111" t="s">
        <v>28972</v>
      </c>
      <c r="C10111" t="s">
        <v>29227</v>
      </c>
      <c r="D10111" t="s">
        <v>28974</v>
      </c>
      <c r="E10111" t="s">
        <v>15839</v>
      </c>
      <c r="F10111" t="s">
        <v>29228</v>
      </c>
    </row>
    <row r="10112" spans="1:12">
      <c r="A10112" t="s">
        <v>28971</v>
      </c>
      <c r="B10112" t="s">
        <v>28972</v>
      </c>
      <c r="C10112" t="s">
        <v>29229</v>
      </c>
      <c r="D10112" t="s">
        <v>28974</v>
      </c>
      <c r="E10112" t="s">
        <v>19157</v>
      </c>
      <c r="F10112" t="s">
        <v>29230</v>
      </c>
    </row>
    <row r="10113" spans="1:12">
      <c r="A10113" t="s">
        <v>28971</v>
      </c>
      <c r="B10113" t="s">
        <v>28972</v>
      </c>
      <c r="C10113" t="s">
        <v>29231</v>
      </c>
      <c r="D10113" t="s">
        <v>28974</v>
      </c>
      <c r="E10113" t="s">
        <v>15219</v>
      </c>
      <c r="F10113" t="s">
        <v>29232</v>
      </c>
    </row>
    <row r="10114" spans="1:12">
      <c r="A10114" t="s">
        <v>28971</v>
      </c>
      <c r="B10114" t="s">
        <v>28972</v>
      </c>
      <c r="C10114" t="s">
        <v>29233</v>
      </c>
      <c r="D10114" t="s">
        <v>28974</v>
      </c>
      <c r="E10114" t="s">
        <v>15234</v>
      </c>
      <c r="F10114" t="s">
        <v>29234</v>
      </c>
    </row>
    <row r="10115" spans="1:12">
      <c r="A10115" t="s">
        <v>28971</v>
      </c>
      <c r="B10115" t="s">
        <v>28972</v>
      </c>
      <c r="C10115" t="s">
        <v>29235</v>
      </c>
      <c r="D10115" t="s">
        <v>28974</v>
      </c>
      <c r="E10115" t="s">
        <v>9598</v>
      </c>
      <c r="F10115" t="s">
        <v>29236</v>
      </c>
    </row>
    <row r="10116" spans="1:12">
      <c r="A10116" t="s">
        <v>28971</v>
      </c>
      <c r="B10116" t="s">
        <v>28972</v>
      </c>
      <c r="C10116" t="s">
        <v>29237</v>
      </c>
      <c r="D10116" t="s">
        <v>28974</v>
      </c>
      <c r="E10116" t="s">
        <v>993</v>
      </c>
      <c r="F10116" t="s">
        <v>29238</v>
      </c>
    </row>
    <row r="10117" spans="1:12">
      <c r="A10117" t="s">
        <v>28971</v>
      </c>
      <c r="B10117" t="s">
        <v>28972</v>
      </c>
      <c r="C10117" t="s">
        <v>29239</v>
      </c>
      <c r="D10117" t="s">
        <v>28974</v>
      </c>
      <c r="E10117" t="s">
        <v>23981</v>
      </c>
      <c r="F10117" t="s">
        <v>29240</v>
      </c>
    </row>
    <row r="10118" spans="1:12">
      <c r="A10118" t="s">
        <v>28971</v>
      </c>
      <c r="B10118" t="s">
        <v>28972</v>
      </c>
      <c r="C10118" t="s">
        <v>29241</v>
      </c>
      <c r="D10118" t="s">
        <v>28974</v>
      </c>
      <c r="E10118" t="s">
        <v>5138</v>
      </c>
      <c r="F10118" t="s">
        <v>29242</v>
      </c>
    </row>
    <row r="10119" spans="1:12">
      <c r="A10119" t="s">
        <v>28971</v>
      </c>
      <c r="B10119" t="s">
        <v>28972</v>
      </c>
      <c r="C10119" t="s">
        <v>29243</v>
      </c>
      <c r="D10119" t="s">
        <v>28974</v>
      </c>
      <c r="E10119" t="s">
        <v>29244</v>
      </c>
      <c r="F10119" t="s">
        <v>29245</v>
      </c>
    </row>
    <row r="10120" spans="1:12">
      <c r="A10120" t="s">
        <v>28971</v>
      </c>
      <c r="B10120" t="s">
        <v>28972</v>
      </c>
      <c r="C10120" t="s">
        <v>29246</v>
      </c>
      <c r="D10120" t="s">
        <v>28974</v>
      </c>
      <c r="E10120" t="s">
        <v>29247</v>
      </c>
      <c r="F10120" t="s">
        <v>29248</v>
      </c>
      <c r="J10120" t="s">
        <v>29247</v>
      </c>
      <c r="K10120" t="s">
        <v>28977</v>
      </c>
      <c r="L10120" t="s">
        <v>851</v>
      </c>
    </row>
    <row r="10121" spans="1:12">
      <c r="A10121" t="s">
        <v>28971</v>
      </c>
      <c r="B10121" t="s">
        <v>28972</v>
      </c>
      <c r="C10121" t="s">
        <v>29249</v>
      </c>
      <c r="D10121" t="s">
        <v>28974</v>
      </c>
      <c r="E10121" t="s">
        <v>25338</v>
      </c>
      <c r="F10121" t="s">
        <v>29250</v>
      </c>
    </row>
    <row r="10122" spans="1:12">
      <c r="A10122" t="s">
        <v>28971</v>
      </c>
      <c r="B10122" t="s">
        <v>28972</v>
      </c>
      <c r="C10122" t="s">
        <v>29251</v>
      </c>
      <c r="D10122" t="s">
        <v>28974</v>
      </c>
      <c r="E10122" t="s">
        <v>2655</v>
      </c>
      <c r="F10122" t="s">
        <v>29252</v>
      </c>
    </row>
    <row r="10123" spans="1:12">
      <c r="A10123" t="s">
        <v>28971</v>
      </c>
      <c r="B10123" t="s">
        <v>28972</v>
      </c>
      <c r="C10123" t="s">
        <v>29253</v>
      </c>
      <c r="D10123" t="s">
        <v>28974</v>
      </c>
      <c r="E10123" t="s">
        <v>19660</v>
      </c>
      <c r="F10123" t="s">
        <v>29254</v>
      </c>
    </row>
    <row r="10124" spans="1:12">
      <c r="A10124" t="s">
        <v>28971</v>
      </c>
      <c r="B10124" t="s">
        <v>28972</v>
      </c>
      <c r="C10124" t="s">
        <v>29255</v>
      </c>
      <c r="D10124" t="s">
        <v>28974</v>
      </c>
      <c r="E10124" t="s">
        <v>19693</v>
      </c>
      <c r="F10124" t="s">
        <v>29256</v>
      </c>
    </row>
    <row r="10125" spans="1:12">
      <c r="A10125" t="s">
        <v>28971</v>
      </c>
      <c r="B10125" t="s">
        <v>28972</v>
      </c>
      <c r="C10125" t="s">
        <v>29257</v>
      </c>
      <c r="D10125" t="s">
        <v>28974</v>
      </c>
      <c r="E10125" t="s">
        <v>19699</v>
      </c>
      <c r="F10125" t="s">
        <v>29258</v>
      </c>
    </row>
    <row r="10126" spans="1:12">
      <c r="A10126" t="s">
        <v>28971</v>
      </c>
      <c r="B10126" t="s">
        <v>28972</v>
      </c>
      <c r="C10126" t="s">
        <v>29259</v>
      </c>
      <c r="D10126" t="s">
        <v>28974</v>
      </c>
      <c r="E10126" t="s">
        <v>29260</v>
      </c>
      <c r="F10126" t="s">
        <v>29261</v>
      </c>
    </row>
    <row r="10127" spans="1:12">
      <c r="A10127" t="s">
        <v>28971</v>
      </c>
      <c r="B10127" t="s">
        <v>28972</v>
      </c>
      <c r="C10127" t="s">
        <v>29262</v>
      </c>
      <c r="D10127" t="s">
        <v>28974</v>
      </c>
      <c r="E10127" t="s">
        <v>29263</v>
      </c>
      <c r="F10127" t="s">
        <v>29264</v>
      </c>
      <c r="J10127" t="s">
        <v>29263</v>
      </c>
      <c r="K10127" t="s">
        <v>28977</v>
      </c>
      <c r="L10127" t="s">
        <v>851</v>
      </c>
    </row>
    <row r="10128" spans="1:12">
      <c r="A10128" t="s">
        <v>28971</v>
      </c>
      <c r="B10128" t="s">
        <v>28972</v>
      </c>
      <c r="C10128" t="s">
        <v>29265</v>
      </c>
      <c r="D10128" t="s">
        <v>28974</v>
      </c>
      <c r="E10128" t="s">
        <v>29266</v>
      </c>
      <c r="F10128" t="s">
        <v>29267</v>
      </c>
      <c r="J10128" t="s">
        <v>29266</v>
      </c>
      <c r="K10128" t="s">
        <v>28977</v>
      </c>
      <c r="L10128" t="s">
        <v>851</v>
      </c>
    </row>
    <row r="10129" spans="1:12">
      <c r="A10129" t="s">
        <v>28971</v>
      </c>
      <c r="B10129" t="s">
        <v>28972</v>
      </c>
      <c r="C10129" t="s">
        <v>29268</v>
      </c>
      <c r="D10129" t="s">
        <v>28974</v>
      </c>
      <c r="E10129" t="s">
        <v>28298</v>
      </c>
      <c r="F10129" t="s">
        <v>29269</v>
      </c>
    </row>
    <row r="10130" spans="1:12">
      <c r="A10130" t="s">
        <v>28971</v>
      </c>
      <c r="B10130" t="s">
        <v>28972</v>
      </c>
      <c r="C10130" t="s">
        <v>29270</v>
      </c>
      <c r="D10130" t="s">
        <v>28974</v>
      </c>
      <c r="E10130" t="s">
        <v>20086</v>
      </c>
      <c r="F10130" t="s">
        <v>29271</v>
      </c>
      <c r="J10130" t="s">
        <v>20086</v>
      </c>
      <c r="K10130" t="s">
        <v>28977</v>
      </c>
      <c r="L10130" t="s">
        <v>851</v>
      </c>
    </row>
    <row r="10131" spans="1:12">
      <c r="A10131" t="s">
        <v>28971</v>
      </c>
      <c r="B10131" t="s">
        <v>28972</v>
      </c>
      <c r="C10131" t="s">
        <v>29272</v>
      </c>
      <c r="D10131" t="s">
        <v>28974</v>
      </c>
      <c r="E10131" t="s">
        <v>20102</v>
      </c>
      <c r="F10131" t="s">
        <v>29273</v>
      </c>
      <c r="J10131" t="s">
        <v>20102</v>
      </c>
      <c r="K10131" t="s">
        <v>28977</v>
      </c>
      <c r="L10131" t="s">
        <v>851</v>
      </c>
    </row>
    <row r="10132" spans="1:12">
      <c r="A10132" t="s">
        <v>28971</v>
      </c>
      <c r="B10132" t="s">
        <v>28972</v>
      </c>
      <c r="C10132" t="s">
        <v>29274</v>
      </c>
      <c r="D10132" t="s">
        <v>28974</v>
      </c>
      <c r="E10132" t="s">
        <v>3363</v>
      </c>
      <c r="F10132" t="s">
        <v>29275</v>
      </c>
    </row>
    <row r="10133" spans="1:12">
      <c r="A10133" t="s">
        <v>28971</v>
      </c>
      <c r="B10133" t="s">
        <v>28972</v>
      </c>
      <c r="C10133" t="s">
        <v>29276</v>
      </c>
      <c r="D10133" t="s">
        <v>28974</v>
      </c>
      <c r="E10133" t="s">
        <v>5156</v>
      </c>
      <c r="F10133" t="s">
        <v>29277</v>
      </c>
    </row>
    <row r="10134" spans="1:12">
      <c r="A10134" t="s">
        <v>28971</v>
      </c>
      <c r="B10134" t="s">
        <v>28972</v>
      </c>
      <c r="C10134" t="s">
        <v>29278</v>
      </c>
      <c r="D10134" t="s">
        <v>28974</v>
      </c>
      <c r="E10134" t="s">
        <v>29279</v>
      </c>
      <c r="F10134" t="s">
        <v>29280</v>
      </c>
    </row>
    <row r="10135" spans="1:12">
      <c r="A10135" t="s">
        <v>28971</v>
      </c>
      <c r="B10135" t="s">
        <v>28972</v>
      </c>
      <c r="C10135" t="s">
        <v>29281</v>
      </c>
      <c r="D10135" t="s">
        <v>28974</v>
      </c>
      <c r="E10135" t="s">
        <v>8016</v>
      </c>
      <c r="F10135" t="s">
        <v>29282</v>
      </c>
    </row>
    <row r="10136" spans="1:12">
      <c r="A10136" t="s">
        <v>28971</v>
      </c>
      <c r="B10136" t="s">
        <v>28972</v>
      </c>
      <c r="C10136" t="s">
        <v>29283</v>
      </c>
      <c r="D10136" t="s">
        <v>28974</v>
      </c>
      <c r="E10136" t="s">
        <v>28312</v>
      </c>
      <c r="F10136" t="s">
        <v>29284</v>
      </c>
    </row>
    <row r="10137" spans="1:12">
      <c r="A10137" t="s">
        <v>28971</v>
      </c>
      <c r="B10137" t="s">
        <v>28972</v>
      </c>
      <c r="C10137" t="s">
        <v>29285</v>
      </c>
      <c r="D10137" t="s">
        <v>28974</v>
      </c>
      <c r="E10137" t="s">
        <v>11424</v>
      </c>
      <c r="F10137" t="s">
        <v>11424</v>
      </c>
    </row>
    <row r="10138" spans="1:12">
      <c r="A10138" t="s">
        <v>28971</v>
      </c>
      <c r="B10138" t="s">
        <v>28972</v>
      </c>
      <c r="C10138" t="s">
        <v>29286</v>
      </c>
      <c r="D10138" t="s">
        <v>28974</v>
      </c>
      <c r="E10138" t="s">
        <v>2825</v>
      </c>
      <c r="F10138" t="s">
        <v>29287</v>
      </c>
    </row>
    <row r="10139" spans="1:12">
      <c r="A10139" t="s">
        <v>28971</v>
      </c>
      <c r="B10139" t="s">
        <v>28972</v>
      </c>
      <c r="C10139" t="s">
        <v>29288</v>
      </c>
      <c r="D10139" t="s">
        <v>28974</v>
      </c>
      <c r="E10139" t="s">
        <v>29289</v>
      </c>
      <c r="F10139" t="s">
        <v>29290</v>
      </c>
      <c r="J10139" t="s">
        <v>29289</v>
      </c>
      <c r="K10139" t="s">
        <v>28977</v>
      </c>
      <c r="L10139" t="s">
        <v>851</v>
      </c>
    </row>
    <row r="10140" spans="1:12">
      <c r="A10140" t="s">
        <v>28971</v>
      </c>
      <c r="B10140" t="s">
        <v>28972</v>
      </c>
      <c r="C10140" t="s">
        <v>29291</v>
      </c>
      <c r="D10140" t="s">
        <v>28974</v>
      </c>
      <c r="E10140" t="s">
        <v>29292</v>
      </c>
      <c r="F10140" t="s">
        <v>29293</v>
      </c>
    </row>
    <row r="10141" spans="1:12">
      <c r="A10141" t="s">
        <v>28971</v>
      </c>
      <c r="B10141" t="s">
        <v>28972</v>
      </c>
      <c r="C10141" t="s">
        <v>29294</v>
      </c>
      <c r="D10141" t="s">
        <v>28974</v>
      </c>
      <c r="E10141" t="s">
        <v>26830</v>
      </c>
      <c r="F10141" t="s">
        <v>29295</v>
      </c>
    </row>
    <row r="10142" spans="1:12">
      <c r="A10142" t="s">
        <v>28971</v>
      </c>
      <c r="B10142" t="s">
        <v>28972</v>
      </c>
      <c r="C10142" t="s">
        <v>29296</v>
      </c>
      <c r="D10142" t="s">
        <v>28974</v>
      </c>
      <c r="E10142" t="s">
        <v>29297</v>
      </c>
      <c r="F10142" t="s">
        <v>29298</v>
      </c>
    </row>
    <row r="10143" spans="1:12">
      <c r="A10143" t="s">
        <v>28971</v>
      </c>
      <c r="B10143" t="s">
        <v>28972</v>
      </c>
      <c r="C10143" t="s">
        <v>29299</v>
      </c>
      <c r="D10143" t="s">
        <v>28974</v>
      </c>
      <c r="E10143" t="s">
        <v>10459</v>
      </c>
      <c r="F10143" t="s">
        <v>29300</v>
      </c>
    </row>
    <row r="10144" spans="1:12">
      <c r="A10144" t="s">
        <v>28971</v>
      </c>
      <c r="B10144" t="s">
        <v>28972</v>
      </c>
      <c r="C10144" t="s">
        <v>29301</v>
      </c>
      <c r="D10144" t="s">
        <v>28974</v>
      </c>
      <c r="E10144" t="s">
        <v>29302</v>
      </c>
      <c r="F10144" t="s">
        <v>29303</v>
      </c>
    </row>
    <row r="10145" spans="1:12">
      <c r="A10145" t="s">
        <v>28971</v>
      </c>
      <c r="B10145" t="s">
        <v>28972</v>
      </c>
      <c r="C10145" t="s">
        <v>29304</v>
      </c>
      <c r="D10145" t="s">
        <v>28974</v>
      </c>
      <c r="E10145" t="s">
        <v>11448</v>
      </c>
      <c r="F10145" t="s">
        <v>29305</v>
      </c>
    </row>
    <row r="10146" spans="1:12">
      <c r="A10146" t="s">
        <v>28971</v>
      </c>
      <c r="B10146" t="s">
        <v>28972</v>
      </c>
      <c r="C10146" t="s">
        <v>29306</v>
      </c>
      <c r="D10146" t="s">
        <v>28974</v>
      </c>
      <c r="E10146" t="s">
        <v>29307</v>
      </c>
      <c r="F10146" t="s">
        <v>29308</v>
      </c>
    </row>
    <row r="10147" spans="1:12">
      <c r="A10147" t="s">
        <v>28971</v>
      </c>
      <c r="B10147" t="s">
        <v>28972</v>
      </c>
      <c r="C10147" t="s">
        <v>29309</v>
      </c>
      <c r="D10147" t="s">
        <v>28974</v>
      </c>
      <c r="E10147" t="s">
        <v>29310</v>
      </c>
      <c r="F10147" t="s">
        <v>29311</v>
      </c>
      <c r="J10147" t="s">
        <v>29310</v>
      </c>
      <c r="K10147" t="s">
        <v>28977</v>
      </c>
      <c r="L10147" t="s">
        <v>851</v>
      </c>
    </row>
    <row r="10148" spans="1:12">
      <c r="A10148" t="s">
        <v>28971</v>
      </c>
      <c r="B10148" t="s">
        <v>28972</v>
      </c>
      <c r="C10148" t="s">
        <v>29312</v>
      </c>
      <c r="D10148" t="s">
        <v>28974</v>
      </c>
      <c r="E10148" t="s">
        <v>20366</v>
      </c>
      <c r="F10148" t="s">
        <v>29313</v>
      </c>
    </row>
    <row r="10149" spans="1:12">
      <c r="A10149" t="s">
        <v>28971</v>
      </c>
      <c r="B10149" t="s">
        <v>28972</v>
      </c>
      <c r="C10149" t="s">
        <v>29314</v>
      </c>
      <c r="D10149" t="s">
        <v>28974</v>
      </c>
      <c r="E10149" t="s">
        <v>29315</v>
      </c>
      <c r="F10149" t="s">
        <v>29316</v>
      </c>
      <c r="J10149" t="s">
        <v>29315</v>
      </c>
      <c r="K10149" t="s">
        <v>28977</v>
      </c>
      <c r="L10149" t="s">
        <v>851</v>
      </c>
    </row>
    <row r="10150" spans="1:12">
      <c r="A10150" t="s">
        <v>28971</v>
      </c>
      <c r="B10150" t="s">
        <v>28972</v>
      </c>
      <c r="C10150" t="s">
        <v>29317</v>
      </c>
      <c r="D10150" t="s">
        <v>28974</v>
      </c>
      <c r="E10150" t="s">
        <v>13597</v>
      </c>
      <c r="F10150" t="s">
        <v>29318</v>
      </c>
    </row>
    <row r="10151" spans="1:12">
      <c r="A10151" t="s">
        <v>28971</v>
      </c>
      <c r="B10151" t="s">
        <v>28972</v>
      </c>
      <c r="C10151" t="s">
        <v>29319</v>
      </c>
      <c r="D10151" t="s">
        <v>28974</v>
      </c>
      <c r="E10151" t="s">
        <v>9930</v>
      </c>
      <c r="F10151" t="s">
        <v>29320</v>
      </c>
    </row>
    <row r="10152" spans="1:12">
      <c r="A10152" t="s">
        <v>28971</v>
      </c>
      <c r="B10152" t="s">
        <v>28972</v>
      </c>
      <c r="C10152" t="s">
        <v>29321</v>
      </c>
      <c r="D10152" t="s">
        <v>28974</v>
      </c>
      <c r="E10152" t="s">
        <v>11456</v>
      </c>
      <c r="F10152" t="s">
        <v>29322</v>
      </c>
    </row>
    <row r="10153" spans="1:12">
      <c r="A10153" t="s">
        <v>28971</v>
      </c>
      <c r="B10153" t="s">
        <v>28972</v>
      </c>
      <c r="C10153" t="s">
        <v>29323</v>
      </c>
      <c r="D10153" t="s">
        <v>28974</v>
      </c>
      <c r="E10153" t="s">
        <v>25377</v>
      </c>
      <c r="F10153" t="s">
        <v>29324</v>
      </c>
    </row>
    <row r="10154" spans="1:12">
      <c r="A10154" t="s">
        <v>28971</v>
      </c>
      <c r="B10154" t="s">
        <v>28972</v>
      </c>
      <c r="C10154" t="s">
        <v>29325</v>
      </c>
      <c r="D10154" t="s">
        <v>28974</v>
      </c>
      <c r="E10154" t="s">
        <v>20511</v>
      </c>
      <c r="F10154" t="s">
        <v>29326</v>
      </c>
    </row>
    <row r="10155" spans="1:12">
      <c r="A10155" t="s">
        <v>28971</v>
      </c>
      <c r="B10155" t="s">
        <v>28972</v>
      </c>
      <c r="C10155" t="s">
        <v>29327</v>
      </c>
      <c r="D10155" t="s">
        <v>28974</v>
      </c>
      <c r="E10155" t="s">
        <v>20518</v>
      </c>
      <c r="F10155" t="s">
        <v>29328</v>
      </c>
    </row>
    <row r="10156" spans="1:12">
      <c r="A10156" t="s">
        <v>28971</v>
      </c>
      <c r="B10156" t="s">
        <v>28972</v>
      </c>
      <c r="C10156" t="s">
        <v>29329</v>
      </c>
      <c r="D10156" t="s">
        <v>28974</v>
      </c>
      <c r="E10156" t="s">
        <v>13605</v>
      </c>
      <c r="F10156" t="s">
        <v>29330</v>
      </c>
    </row>
    <row r="10157" spans="1:12">
      <c r="A10157" t="s">
        <v>28971</v>
      </c>
      <c r="B10157" t="s">
        <v>28972</v>
      </c>
      <c r="C10157" t="s">
        <v>29331</v>
      </c>
      <c r="D10157" t="s">
        <v>28974</v>
      </c>
      <c r="E10157" t="s">
        <v>10470</v>
      </c>
      <c r="F10157" t="s">
        <v>29332</v>
      </c>
    </row>
    <row r="10158" spans="1:12">
      <c r="A10158" t="s">
        <v>28971</v>
      </c>
      <c r="B10158" t="s">
        <v>28972</v>
      </c>
      <c r="C10158" t="s">
        <v>29333</v>
      </c>
      <c r="D10158" t="s">
        <v>28974</v>
      </c>
      <c r="E10158" t="s">
        <v>3515</v>
      </c>
      <c r="F10158" t="s">
        <v>29334</v>
      </c>
    </row>
    <row r="10159" spans="1:12">
      <c r="A10159" t="s">
        <v>28971</v>
      </c>
      <c r="B10159" t="s">
        <v>28972</v>
      </c>
      <c r="C10159" t="s">
        <v>29335</v>
      </c>
      <c r="D10159" t="s">
        <v>28974</v>
      </c>
      <c r="E10159" t="s">
        <v>20550</v>
      </c>
      <c r="F10159" t="s">
        <v>29336</v>
      </c>
    </row>
    <row r="10160" spans="1:12">
      <c r="A10160" t="s">
        <v>28971</v>
      </c>
      <c r="B10160" t="s">
        <v>28972</v>
      </c>
      <c r="C10160" t="s">
        <v>29337</v>
      </c>
      <c r="D10160" t="s">
        <v>28974</v>
      </c>
      <c r="E10160" t="s">
        <v>6703</v>
      </c>
      <c r="F10160" t="s">
        <v>29338</v>
      </c>
    </row>
    <row r="10161" spans="1:12">
      <c r="A10161" t="s">
        <v>28971</v>
      </c>
      <c r="B10161" t="s">
        <v>28972</v>
      </c>
      <c r="C10161" t="s">
        <v>29339</v>
      </c>
      <c r="D10161" t="s">
        <v>28974</v>
      </c>
      <c r="E10161" t="s">
        <v>20638</v>
      </c>
      <c r="F10161" t="s">
        <v>29340</v>
      </c>
    </row>
    <row r="10162" spans="1:12">
      <c r="A10162" t="s">
        <v>28971</v>
      </c>
      <c r="B10162" t="s">
        <v>28972</v>
      </c>
      <c r="C10162" t="s">
        <v>29341</v>
      </c>
      <c r="D10162" t="s">
        <v>28974</v>
      </c>
      <c r="E10162" t="s">
        <v>9953</v>
      </c>
      <c r="F10162" t="s">
        <v>29342</v>
      </c>
    </row>
    <row r="10163" spans="1:12">
      <c r="A10163" t="s">
        <v>28971</v>
      </c>
      <c r="B10163" t="s">
        <v>28972</v>
      </c>
      <c r="C10163" t="s">
        <v>29343</v>
      </c>
      <c r="D10163" t="s">
        <v>28974</v>
      </c>
      <c r="E10163" t="s">
        <v>15944</v>
      </c>
      <c r="F10163" t="s">
        <v>29344</v>
      </c>
      <c r="J10163" t="s">
        <v>15944</v>
      </c>
      <c r="K10163" t="s">
        <v>28977</v>
      </c>
      <c r="L10163" t="s">
        <v>851</v>
      </c>
    </row>
    <row r="10164" spans="1:12">
      <c r="A10164" t="s">
        <v>28971</v>
      </c>
      <c r="B10164" t="s">
        <v>28972</v>
      </c>
      <c r="C10164" t="s">
        <v>29345</v>
      </c>
      <c r="D10164" t="s">
        <v>28974</v>
      </c>
      <c r="E10164" t="s">
        <v>5282</v>
      </c>
      <c r="F10164" t="s">
        <v>29346</v>
      </c>
    </row>
    <row r="10165" spans="1:12">
      <c r="A10165" t="s">
        <v>28971</v>
      </c>
      <c r="B10165" t="s">
        <v>28972</v>
      </c>
      <c r="C10165" t="s">
        <v>29347</v>
      </c>
      <c r="D10165" t="s">
        <v>28974</v>
      </c>
      <c r="E10165" t="s">
        <v>14581</v>
      </c>
      <c r="F10165" t="s">
        <v>29348</v>
      </c>
    </row>
    <row r="10166" spans="1:12">
      <c r="A10166" t="s">
        <v>28971</v>
      </c>
      <c r="B10166" t="s">
        <v>28972</v>
      </c>
      <c r="C10166" t="s">
        <v>29349</v>
      </c>
      <c r="D10166" t="s">
        <v>28974</v>
      </c>
      <c r="E10166" t="s">
        <v>4847</v>
      </c>
      <c r="F10166" t="s">
        <v>29350</v>
      </c>
    </row>
    <row r="10167" spans="1:12">
      <c r="A10167" t="s">
        <v>28971</v>
      </c>
      <c r="B10167" t="s">
        <v>28972</v>
      </c>
      <c r="C10167" t="s">
        <v>29351</v>
      </c>
      <c r="D10167" t="s">
        <v>28974</v>
      </c>
      <c r="E10167" t="s">
        <v>29352</v>
      </c>
      <c r="F10167" t="s">
        <v>29353</v>
      </c>
    </row>
    <row r="10168" spans="1:12">
      <c r="A10168" t="s">
        <v>28971</v>
      </c>
      <c r="B10168" t="s">
        <v>28972</v>
      </c>
      <c r="C10168" t="s">
        <v>29354</v>
      </c>
      <c r="D10168" t="s">
        <v>28974</v>
      </c>
      <c r="E10168" t="s">
        <v>2939</v>
      </c>
      <c r="F10168" t="s">
        <v>29355</v>
      </c>
    </row>
    <row r="10169" spans="1:12">
      <c r="A10169" t="s">
        <v>28971</v>
      </c>
      <c r="B10169" t="s">
        <v>28972</v>
      </c>
      <c r="C10169" t="s">
        <v>29356</v>
      </c>
      <c r="D10169" t="s">
        <v>28974</v>
      </c>
      <c r="E10169" t="s">
        <v>10478</v>
      </c>
      <c r="F10169" t="s">
        <v>29357</v>
      </c>
    </row>
    <row r="10170" spans="1:12">
      <c r="A10170" t="s">
        <v>28971</v>
      </c>
      <c r="B10170" t="s">
        <v>28972</v>
      </c>
      <c r="C10170" t="s">
        <v>29358</v>
      </c>
      <c r="D10170" t="s">
        <v>28974</v>
      </c>
      <c r="E10170" t="s">
        <v>9986</v>
      </c>
      <c r="F10170" t="s">
        <v>29359</v>
      </c>
    </row>
    <row r="10171" spans="1:12">
      <c r="A10171" t="s">
        <v>28971</v>
      </c>
      <c r="B10171" t="s">
        <v>28972</v>
      </c>
      <c r="C10171" t="s">
        <v>29360</v>
      </c>
      <c r="D10171" t="s">
        <v>28974</v>
      </c>
      <c r="E10171" t="s">
        <v>11469</v>
      </c>
      <c r="F10171" t="s">
        <v>26866</v>
      </c>
      <c r="J10171" t="s">
        <v>11469</v>
      </c>
      <c r="K10171" t="s">
        <v>28977</v>
      </c>
      <c r="L10171" t="s">
        <v>851</v>
      </c>
    </row>
    <row r="10172" spans="1:12">
      <c r="A10172" t="s">
        <v>28971</v>
      </c>
      <c r="B10172" t="s">
        <v>28972</v>
      </c>
      <c r="C10172" t="s">
        <v>29361</v>
      </c>
      <c r="D10172" t="s">
        <v>28974</v>
      </c>
      <c r="E10172" t="s">
        <v>25863</v>
      </c>
      <c r="F10172" t="s">
        <v>29362</v>
      </c>
    </row>
    <row r="10173" spans="1:12">
      <c r="A10173" t="s">
        <v>28971</v>
      </c>
      <c r="B10173" t="s">
        <v>28972</v>
      </c>
      <c r="C10173" t="s">
        <v>29363</v>
      </c>
      <c r="D10173" t="s">
        <v>28974</v>
      </c>
      <c r="E10173" t="s">
        <v>4849</v>
      </c>
      <c r="F10173" t="s">
        <v>29364</v>
      </c>
    </row>
    <row r="10174" spans="1:12">
      <c r="A10174" t="s">
        <v>28971</v>
      </c>
      <c r="B10174" t="s">
        <v>28972</v>
      </c>
      <c r="C10174" t="s">
        <v>29365</v>
      </c>
      <c r="D10174" t="s">
        <v>28974</v>
      </c>
      <c r="E10174" t="s">
        <v>8229</v>
      </c>
      <c r="F10174" t="s">
        <v>29366</v>
      </c>
    </row>
    <row r="10175" spans="1:12">
      <c r="A10175" t="s">
        <v>28971</v>
      </c>
      <c r="B10175" t="s">
        <v>28972</v>
      </c>
      <c r="C10175" t="s">
        <v>29367</v>
      </c>
      <c r="D10175" t="s">
        <v>28974</v>
      </c>
      <c r="E10175" t="s">
        <v>7438</v>
      </c>
      <c r="F10175" t="s">
        <v>29368</v>
      </c>
    </row>
    <row r="10176" spans="1:12">
      <c r="A10176" t="s">
        <v>28971</v>
      </c>
      <c r="B10176" t="s">
        <v>28972</v>
      </c>
      <c r="C10176" t="s">
        <v>29369</v>
      </c>
      <c r="D10176" t="s">
        <v>28974</v>
      </c>
      <c r="E10176" t="s">
        <v>14602</v>
      </c>
      <c r="F10176" t="s">
        <v>29370</v>
      </c>
    </row>
    <row r="10177" spans="1:12">
      <c r="A10177" t="s">
        <v>28971</v>
      </c>
      <c r="B10177" t="s">
        <v>28972</v>
      </c>
      <c r="C10177" t="s">
        <v>29371</v>
      </c>
      <c r="D10177" t="s">
        <v>28974</v>
      </c>
      <c r="E10177" t="s">
        <v>4851</v>
      </c>
      <c r="F10177" t="s">
        <v>29372</v>
      </c>
    </row>
    <row r="10178" spans="1:12">
      <c r="A10178" t="s">
        <v>28971</v>
      </c>
      <c r="B10178" t="s">
        <v>28972</v>
      </c>
      <c r="C10178" t="s">
        <v>29373</v>
      </c>
      <c r="D10178" t="s">
        <v>28974</v>
      </c>
      <c r="E10178" t="s">
        <v>28670</v>
      </c>
      <c r="F10178" t="s">
        <v>29374</v>
      </c>
    </row>
    <row r="10179" spans="1:12">
      <c r="A10179" t="s">
        <v>28971</v>
      </c>
      <c r="B10179" t="s">
        <v>28972</v>
      </c>
      <c r="C10179" t="s">
        <v>29375</v>
      </c>
      <c r="D10179" t="s">
        <v>28974</v>
      </c>
      <c r="E10179" t="s">
        <v>7466</v>
      </c>
      <c r="F10179" t="s">
        <v>29376</v>
      </c>
    </row>
    <row r="10180" spans="1:12">
      <c r="A10180" t="s">
        <v>28971</v>
      </c>
      <c r="B10180" t="s">
        <v>28972</v>
      </c>
      <c r="C10180" t="s">
        <v>29377</v>
      </c>
      <c r="D10180" t="s">
        <v>28974</v>
      </c>
      <c r="E10180" t="s">
        <v>29378</v>
      </c>
      <c r="F10180" t="s">
        <v>29379</v>
      </c>
      <c r="J10180" t="s">
        <v>29378</v>
      </c>
      <c r="K10180" t="s">
        <v>28977</v>
      </c>
      <c r="L10180" t="s">
        <v>851</v>
      </c>
    </row>
    <row r="10181" spans="1:12">
      <c r="A10181" t="s">
        <v>28971</v>
      </c>
      <c r="B10181" t="s">
        <v>28972</v>
      </c>
      <c r="C10181" t="s">
        <v>29380</v>
      </c>
      <c r="D10181" t="s">
        <v>28974</v>
      </c>
      <c r="E10181" t="s">
        <v>27764</v>
      </c>
      <c r="F10181" t="s">
        <v>29381</v>
      </c>
    </row>
    <row r="10182" spans="1:12">
      <c r="A10182" t="s">
        <v>28971</v>
      </c>
      <c r="B10182" t="s">
        <v>28972</v>
      </c>
      <c r="C10182" t="s">
        <v>29382</v>
      </c>
      <c r="D10182" t="s">
        <v>28974</v>
      </c>
      <c r="E10182" t="s">
        <v>29383</v>
      </c>
      <c r="F10182" t="s">
        <v>29384</v>
      </c>
    </row>
    <row r="10183" spans="1:12">
      <c r="A10183" t="s">
        <v>28971</v>
      </c>
      <c r="B10183" t="s">
        <v>28972</v>
      </c>
      <c r="C10183" t="s">
        <v>29385</v>
      </c>
      <c r="D10183" t="s">
        <v>28974</v>
      </c>
      <c r="E10183" t="s">
        <v>15963</v>
      </c>
      <c r="F10183" t="s">
        <v>29386</v>
      </c>
    </row>
    <row r="10184" spans="1:12">
      <c r="A10184" t="s">
        <v>28971</v>
      </c>
      <c r="B10184" t="s">
        <v>28972</v>
      </c>
      <c r="C10184" t="s">
        <v>29387</v>
      </c>
      <c r="D10184" t="s">
        <v>28974</v>
      </c>
      <c r="E10184" t="s">
        <v>10028</v>
      </c>
      <c r="F10184" t="s">
        <v>29388</v>
      </c>
    </row>
    <row r="10185" spans="1:12">
      <c r="A10185" t="s">
        <v>28971</v>
      </c>
      <c r="B10185" t="s">
        <v>28972</v>
      </c>
      <c r="C10185" t="s">
        <v>29389</v>
      </c>
      <c r="D10185" t="s">
        <v>28974</v>
      </c>
      <c r="E10185" t="s">
        <v>7009</v>
      </c>
      <c r="F10185" t="s">
        <v>29390</v>
      </c>
    </row>
    <row r="10186" spans="1:12">
      <c r="A10186" t="s">
        <v>28971</v>
      </c>
      <c r="B10186" t="s">
        <v>28972</v>
      </c>
      <c r="C10186" t="s">
        <v>29391</v>
      </c>
      <c r="D10186" t="s">
        <v>28974</v>
      </c>
      <c r="E10186" t="s">
        <v>13301</v>
      </c>
      <c r="F10186" t="s">
        <v>29392</v>
      </c>
    </row>
    <row r="10187" spans="1:12">
      <c r="A10187" t="s">
        <v>28971</v>
      </c>
      <c r="B10187" t="s">
        <v>28972</v>
      </c>
      <c r="C10187" t="s">
        <v>29393</v>
      </c>
      <c r="D10187" t="s">
        <v>28974</v>
      </c>
      <c r="E10187" t="s">
        <v>10034</v>
      </c>
      <c r="F10187" t="s">
        <v>29394</v>
      </c>
    </row>
    <row r="10188" spans="1:12">
      <c r="A10188" t="s">
        <v>28971</v>
      </c>
      <c r="B10188" t="s">
        <v>28972</v>
      </c>
      <c r="C10188" t="s">
        <v>29395</v>
      </c>
      <c r="D10188" t="s">
        <v>28974</v>
      </c>
      <c r="E10188" t="s">
        <v>10040</v>
      </c>
      <c r="F10188" t="s">
        <v>29396</v>
      </c>
    </row>
    <row r="10189" spans="1:12">
      <c r="A10189" t="s">
        <v>28971</v>
      </c>
      <c r="B10189" t="s">
        <v>28972</v>
      </c>
      <c r="C10189" t="s">
        <v>29397</v>
      </c>
      <c r="D10189" t="s">
        <v>28974</v>
      </c>
      <c r="E10189" t="s">
        <v>15972</v>
      </c>
      <c r="F10189" t="s">
        <v>29398</v>
      </c>
    </row>
    <row r="10190" spans="1:12">
      <c r="A10190" t="s">
        <v>28971</v>
      </c>
      <c r="B10190" t="s">
        <v>28972</v>
      </c>
      <c r="C10190" t="s">
        <v>29399</v>
      </c>
      <c r="D10190" t="s">
        <v>28974</v>
      </c>
      <c r="E10190" t="s">
        <v>24470</v>
      </c>
      <c r="F10190" t="s">
        <v>29400</v>
      </c>
    </row>
    <row r="10191" spans="1:12">
      <c r="A10191" t="s">
        <v>28971</v>
      </c>
      <c r="B10191" t="s">
        <v>28972</v>
      </c>
      <c r="C10191" t="s">
        <v>29401</v>
      </c>
      <c r="D10191" t="s">
        <v>28974</v>
      </c>
      <c r="E10191" t="s">
        <v>3038</v>
      </c>
      <c r="F10191" t="s">
        <v>29402</v>
      </c>
    </row>
    <row r="10192" spans="1:12">
      <c r="A10192" t="s">
        <v>28971</v>
      </c>
      <c r="B10192" t="s">
        <v>28972</v>
      </c>
      <c r="C10192" t="s">
        <v>29403</v>
      </c>
      <c r="D10192" t="s">
        <v>28974</v>
      </c>
      <c r="E10192" t="s">
        <v>21476</v>
      </c>
      <c r="F10192" t="s">
        <v>29404</v>
      </c>
    </row>
    <row r="10193" spans="1:12">
      <c r="A10193" t="s">
        <v>28971</v>
      </c>
      <c r="B10193" t="s">
        <v>28972</v>
      </c>
      <c r="C10193" t="s">
        <v>29405</v>
      </c>
      <c r="D10193" t="s">
        <v>28974</v>
      </c>
      <c r="E10193" t="s">
        <v>29406</v>
      </c>
      <c r="F10193" t="s">
        <v>29407</v>
      </c>
      <c r="J10193" t="s">
        <v>29406</v>
      </c>
      <c r="K10193" t="s">
        <v>28977</v>
      </c>
      <c r="L10193" t="s">
        <v>851</v>
      </c>
    </row>
    <row r="10194" spans="1:12">
      <c r="A10194" t="s">
        <v>28971</v>
      </c>
      <c r="B10194" t="s">
        <v>28972</v>
      </c>
      <c r="C10194" t="s">
        <v>29408</v>
      </c>
      <c r="D10194" t="s">
        <v>28974</v>
      </c>
      <c r="E10194" t="s">
        <v>29409</v>
      </c>
      <c r="F10194" t="s">
        <v>29410</v>
      </c>
    </row>
    <row r="10195" spans="1:12">
      <c r="A10195" t="s">
        <v>28971</v>
      </c>
      <c r="B10195" t="s">
        <v>28972</v>
      </c>
      <c r="C10195" t="s">
        <v>29411</v>
      </c>
      <c r="D10195" t="s">
        <v>28974</v>
      </c>
      <c r="E10195" t="s">
        <v>21592</v>
      </c>
      <c r="F10195" t="s">
        <v>29412</v>
      </c>
    </row>
    <row r="10196" spans="1:12">
      <c r="A10196" t="s">
        <v>28971</v>
      </c>
      <c r="B10196" t="s">
        <v>28972</v>
      </c>
      <c r="C10196" t="s">
        <v>29413</v>
      </c>
      <c r="D10196" t="s">
        <v>28974</v>
      </c>
      <c r="E10196" t="s">
        <v>29414</v>
      </c>
      <c r="F10196" t="s">
        <v>29415</v>
      </c>
    </row>
    <row r="10197" spans="1:12">
      <c r="A10197" t="s">
        <v>28971</v>
      </c>
      <c r="B10197" t="s">
        <v>28972</v>
      </c>
      <c r="C10197" t="s">
        <v>29416</v>
      </c>
      <c r="D10197" t="s">
        <v>28974</v>
      </c>
      <c r="E10197" t="s">
        <v>4620</v>
      </c>
      <c r="F10197" t="s">
        <v>29417</v>
      </c>
    </row>
    <row r="10198" spans="1:12">
      <c r="A10198" t="s">
        <v>28971</v>
      </c>
      <c r="B10198" t="s">
        <v>28972</v>
      </c>
      <c r="C10198" t="s">
        <v>29418</v>
      </c>
      <c r="D10198" t="s">
        <v>28974</v>
      </c>
      <c r="E10198" t="s">
        <v>29419</v>
      </c>
      <c r="F10198" t="s">
        <v>29420</v>
      </c>
    </row>
    <row r="10199" spans="1:12">
      <c r="A10199" t="s">
        <v>28971</v>
      </c>
      <c r="B10199" t="s">
        <v>28972</v>
      </c>
      <c r="C10199" t="s">
        <v>29421</v>
      </c>
      <c r="D10199" t="s">
        <v>28974</v>
      </c>
      <c r="E10199" t="s">
        <v>25458</v>
      </c>
      <c r="F10199" t="s">
        <v>29422</v>
      </c>
    </row>
    <row r="10200" spans="1:12">
      <c r="A10200" t="s">
        <v>28971</v>
      </c>
      <c r="B10200" t="s">
        <v>28972</v>
      </c>
      <c r="C10200" t="s">
        <v>29423</v>
      </c>
      <c r="D10200" t="s">
        <v>28974</v>
      </c>
      <c r="E10200" t="s">
        <v>29424</v>
      </c>
      <c r="F10200" t="s">
        <v>29425</v>
      </c>
    </row>
    <row r="10201" spans="1:12">
      <c r="A10201" t="s">
        <v>28971</v>
      </c>
      <c r="B10201" t="s">
        <v>28972</v>
      </c>
      <c r="C10201" t="s">
        <v>29426</v>
      </c>
      <c r="D10201" t="s">
        <v>28974</v>
      </c>
      <c r="E10201" t="s">
        <v>5332</v>
      </c>
      <c r="F10201" t="s">
        <v>29427</v>
      </c>
    </row>
    <row r="10202" spans="1:12">
      <c r="A10202" t="s">
        <v>28971</v>
      </c>
      <c r="B10202" t="s">
        <v>28972</v>
      </c>
      <c r="C10202" t="s">
        <v>29428</v>
      </c>
      <c r="D10202" t="s">
        <v>28974</v>
      </c>
      <c r="E10202" t="s">
        <v>3545</v>
      </c>
      <c r="F10202" t="s">
        <v>29429</v>
      </c>
    </row>
    <row r="10203" spans="1:12">
      <c r="A10203" t="s">
        <v>28971</v>
      </c>
      <c r="B10203" t="s">
        <v>28972</v>
      </c>
      <c r="C10203" t="s">
        <v>29430</v>
      </c>
      <c r="D10203" t="s">
        <v>28974</v>
      </c>
      <c r="E10203" t="s">
        <v>29431</v>
      </c>
      <c r="F10203" t="s">
        <v>29432</v>
      </c>
      <c r="J10203" t="s">
        <v>29431</v>
      </c>
      <c r="K10203" t="s">
        <v>28977</v>
      </c>
      <c r="L10203" t="s">
        <v>851</v>
      </c>
    </row>
    <row r="10204" spans="1:12">
      <c r="A10204" t="s">
        <v>28971</v>
      </c>
      <c r="B10204" t="s">
        <v>28972</v>
      </c>
      <c r="C10204" t="s">
        <v>29433</v>
      </c>
      <c r="D10204" t="s">
        <v>28974</v>
      </c>
      <c r="E10204" t="s">
        <v>29434</v>
      </c>
      <c r="F10204" t="s">
        <v>29435</v>
      </c>
      <c r="J10204" t="s">
        <v>29434</v>
      </c>
      <c r="K10204" t="s">
        <v>28977</v>
      </c>
      <c r="L10204" t="s">
        <v>851</v>
      </c>
    </row>
    <row r="10205" spans="1:12">
      <c r="A10205" t="s">
        <v>28971</v>
      </c>
      <c r="B10205" t="s">
        <v>28972</v>
      </c>
      <c r="C10205" t="s">
        <v>29436</v>
      </c>
      <c r="D10205" t="s">
        <v>28974</v>
      </c>
      <c r="E10205" t="s">
        <v>26972</v>
      </c>
      <c r="F10205" t="s">
        <v>29437</v>
      </c>
    </row>
    <row r="10206" spans="1:12">
      <c r="A10206" t="s">
        <v>28971</v>
      </c>
      <c r="B10206" t="s">
        <v>28972</v>
      </c>
      <c r="C10206" t="s">
        <v>29438</v>
      </c>
      <c r="D10206" t="s">
        <v>28974</v>
      </c>
      <c r="E10206" t="s">
        <v>25471</v>
      </c>
      <c r="F10206" t="s">
        <v>29439</v>
      </c>
      <c r="J10206" t="s">
        <v>25471</v>
      </c>
      <c r="K10206" t="s">
        <v>28977</v>
      </c>
      <c r="L10206" t="s">
        <v>851</v>
      </c>
    </row>
    <row r="10207" spans="1:12">
      <c r="A10207" t="s">
        <v>28971</v>
      </c>
      <c r="B10207" t="s">
        <v>28972</v>
      </c>
      <c r="C10207" t="s">
        <v>29440</v>
      </c>
      <c r="D10207" t="s">
        <v>28974</v>
      </c>
      <c r="E10207" t="s">
        <v>29441</v>
      </c>
      <c r="F10207" t="s">
        <v>29442</v>
      </c>
      <c r="J10207" t="s">
        <v>29441</v>
      </c>
      <c r="K10207" t="s">
        <v>28977</v>
      </c>
      <c r="L10207" t="s">
        <v>851</v>
      </c>
    </row>
    <row r="10208" spans="1:12">
      <c r="A10208" t="s">
        <v>28971</v>
      </c>
      <c r="B10208" t="s">
        <v>28972</v>
      </c>
      <c r="C10208" t="s">
        <v>29443</v>
      </c>
      <c r="D10208" t="s">
        <v>28974</v>
      </c>
      <c r="E10208" t="s">
        <v>29444</v>
      </c>
      <c r="F10208" t="s">
        <v>29445</v>
      </c>
      <c r="J10208" t="s">
        <v>29444</v>
      </c>
      <c r="K10208" t="s">
        <v>28977</v>
      </c>
      <c r="L10208" t="s">
        <v>851</v>
      </c>
    </row>
    <row r="10209" spans="1:12">
      <c r="A10209" t="s">
        <v>28971</v>
      </c>
      <c r="B10209" t="s">
        <v>28972</v>
      </c>
      <c r="C10209" t="s">
        <v>29446</v>
      </c>
      <c r="D10209" t="s">
        <v>28974</v>
      </c>
      <c r="E10209" t="s">
        <v>3076</v>
      </c>
      <c r="F10209" t="s">
        <v>29447</v>
      </c>
    </row>
    <row r="10210" spans="1:12">
      <c r="A10210" t="s">
        <v>28971</v>
      </c>
      <c r="B10210" t="s">
        <v>28972</v>
      </c>
      <c r="C10210" t="s">
        <v>29448</v>
      </c>
      <c r="D10210" t="s">
        <v>28974</v>
      </c>
      <c r="E10210" t="s">
        <v>5945</v>
      </c>
      <c r="F10210" t="s">
        <v>29449</v>
      </c>
    </row>
    <row r="10211" spans="1:12">
      <c r="A10211" t="s">
        <v>28971</v>
      </c>
      <c r="B10211" t="s">
        <v>28972</v>
      </c>
      <c r="C10211" t="s">
        <v>29450</v>
      </c>
      <c r="D10211" t="s">
        <v>28974</v>
      </c>
      <c r="E10211" t="s">
        <v>655</v>
      </c>
      <c r="F10211" t="s">
        <v>656</v>
      </c>
    </row>
    <row r="10212" spans="1:12">
      <c r="A10212" t="s">
        <v>28971</v>
      </c>
      <c r="B10212" t="s">
        <v>28972</v>
      </c>
      <c r="D10212" t="s">
        <v>28974</v>
      </c>
      <c r="F10212" t="s">
        <v>29332</v>
      </c>
      <c r="J10212" t="s">
        <v>29451</v>
      </c>
      <c r="K10212" t="s">
        <v>28977</v>
      </c>
      <c r="L10212" t="s">
        <v>851</v>
      </c>
    </row>
    <row r="10213" spans="1:12">
      <c r="A10213" t="s">
        <v>28971</v>
      </c>
      <c r="B10213" t="s">
        <v>28972</v>
      </c>
      <c r="D10213" t="s">
        <v>28974</v>
      </c>
      <c r="F10213" t="s">
        <v>29452</v>
      </c>
      <c r="J10213" t="s">
        <v>29453</v>
      </c>
      <c r="K10213" t="s">
        <v>28977</v>
      </c>
      <c r="L10213" t="s">
        <v>851</v>
      </c>
    </row>
    <row r="10214" spans="1:12">
      <c r="A10214" t="s">
        <v>28971</v>
      </c>
      <c r="B10214" t="s">
        <v>28972</v>
      </c>
      <c r="D10214" t="s">
        <v>28974</v>
      </c>
      <c r="F10214" t="s">
        <v>29228</v>
      </c>
      <c r="J10214" t="s">
        <v>29454</v>
      </c>
      <c r="K10214" t="s">
        <v>28977</v>
      </c>
      <c r="L10214" t="s">
        <v>851</v>
      </c>
    </row>
    <row r="10215" spans="1:12">
      <c r="A10215" t="s">
        <v>29455</v>
      </c>
      <c r="B10215" t="s">
        <v>29456</v>
      </c>
      <c r="C10215" t="s">
        <v>29457</v>
      </c>
      <c r="D10215" t="s">
        <v>29458</v>
      </c>
      <c r="E10215" t="s">
        <v>7834</v>
      </c>
      <c r="F10215" t="s">
        <v>29459</v>
      </c>
    </row>
    <row r="10216" spans="1:12">
      <c r="A10216" t="s">
        <v>29455</v>
      </c>
      <c r="B10216" t="s">
        <v>29456</v>
      </c>
      <c r="C10216" t="s">
        <v>29460</v>
      </c>
      <c r="D10216" t="s">
        <v>29458</v>
      </c>
      <c r="E10216" t="s">
        <v>2217</v>
      </c>
      <c r="F10216" t="s">
        <v>29461</v>
      </c>
    </row>
    <row r="10217" spans="1:12">
      <c r="A10217" t="s">
        <v>29455</v>
      </c>
      <c r="B10217" t="s">
        <v>29456</v>
      </c>
      <c r="C10217" t="s">
        <v>29462</v>
      </c>
      <c r="D10217" t="s">
        <v>29458</v>
      </c>
      <c r="E10217" t="s">
        <v>25545</v>
      </c>
      <c r="F10217" t="s">
        <v>29463</v>
      </c>
    </row>
    <row r="10218" spans="1:12">
      <c r="A10218" t="s">
        <v>29455</v>
      </c>
      <c r="B10218" t="s">
        <v>29456</v>
      </c>
      <c r="C10218" t="s">
        <v>29464</v>
      </c>
      <c r="D10218" t="s">
        <v>29458</v>
      </c>
      <c r="E10218" t="s">
        <v>9712</v>
      </c>
      <c r="F10218" t="s">
        <v>29465</v>
      </c>
    </row>
    <row r="10219" spans="1:12">
      <c r="A10219" t="s">
        <v>29455</v>
      </c>
      <c r="B10219" t="s">
        <v>29456</v>
      </c>
      <c r="C10219" t="s">
        <v>29466</v>
      </c>
      <c r="D10219" t="s">
        <v>29458</v>
      </c>
      <c r="E10219" t="s">
        <v>8067</v>
      </c>
      <c r="F10219" t="s">
        <v>29467</v>
      </c>
    </row>
    <row r="10220" spans="1:12">
      <c r="A10220" t="s">
        <v>29455</v>
      </c>
      <c r="B10220" t="s">
        <v>29456</v>
      </c>
      <c r="C10220" t="s">
        <v>29468</v>
      </c>
      <c r="D10220" t="s">
        <v>29458</v>
      </c>
      <c r="E10220" t="s">
        <v>29469</v>
      </c>
      <c r="F10220" t="s">
        <v>29470</v>
      </c>
    </row>
    <row r="10221" spans="1:12">
      <c r="A10221" t="s">
        <v>29455</v>
      </c>
      <c r="B10221" t="s">
        <v>29456</v>
      </c>
      <c r="C10221" t="s">
        <v>29471</v>
      </c>
      <c r="D10221" t="s">
        <v>29458</v>
      </c>
      <c r="E10221" t="s">
        <v>9933</v>
      </c>
      <c r="F10221" t="s">
        <v>29455</v>
      </c>
      <c r="J10221" t="s">
        <v>9933</v>
      </c>
      <c r="K10221" t="s">
        <v>9933</v>
      </c>
      <c r="L10221" t="s">
        <v>3638</v>
      </c>
    </row>
    <row r="10222" spans="1:12">
      <c r="A10222" t="s">
        <v>29455</v>
      </c>
      <c r="B10222" t="s">
        <v>29456</v>
      </c>
      <c r="C10222" t="s">
        <v>29472</v>
      </c>
      <c r="D10222" t="s">
        <v>29458</v>
      </c>
      <c r="E10222" t="s">
        <v>13034</v>
      </c>
      <c r="F10222" t="s">
        <v>29473</v>
      </c>
    </row>
    <row r="10223" spans="1:12">
      <c r="A10223" t="s">
        <v>29455</v>
      </c>
      <c r="B10223" t="s">
        <v>29456</v>
      </c>
      <c r="C10223" t="s">
        <v>29474</v>
      </c>
      <c r="D10223" t="s">
        <v>29458</v>
      </c>
      <c r="E10223" t="s">
        <v>29475</v>
      </c>
      <c r="F10223" t="s">
        <v>29476</v>
      </c>
      <c r="J10223" t="s">
        <v>29475</v>
      </c>
      <c r="K10223" t="s">
        <v>9933</v>
      </c>
      <c r="L10223" t="s">
        <v>3638</v>
      </c>
    </row>
    <row r="10224" spans="1:12">
      <c r="A10224" t="s">
        <v>29455</v>
      </c>
      <c r="B10224" t="s">
        <v>29456</v>
      </c>
      <c r="C10224" t="s">
        <v>29477</v>
      </c>
      <c r="D10224" t="s">
        <v>29458</v>
      </c>
      <c r="E10224" t="s">
        <v>655</v>
      </c>
      <c r="F10224" t="s">
        <v>656</v>
      </c>
    </row>
    <row r="10225" spans="1:12">
      <c r="A10225" t="s">
        <v>29455</v>
      </c>
      <c r="B10225" t="s">
        <v>29456</v>
      </c>
      <c r="D10225" t="s">
        <v>29458</v>
      </c>
      <c r="F10225" t="s">
        <v>29478</v>
      </c>
      <c r="J10225" t="s">
        <v>29479</v>
      </c>
      <c r="K10225" t="s">
        <v>9933</v>
      </c>
      <c r="L10225" t="s">
        <v>3638</v>
      </c>
    </row>
    <row r="10226" spans="1:12">
      <c r="A10226" t="s">
        <v>29455</v>
      </c>
      <c r="B10226" t="s">
        <v>29456</v>
      </c>
      <c r="D10226" t="s">
        <v>29458</v>
      </c>
      <c r="F10226" t="s">
        <v>29455</v>
      </c>
      <c r="J10226" t="s">
        <v>29480</v>
      </c>
      <c r="K10226" t="s">
        <v>9933</v>
      </c>
      <c r="L10226" t="s">
        <v>3638</v>
      </c>
    </row>
    <row r="10227" spans="1:12">
      <c r="A10227" t="s">
        <v>29481</v>
      </c>
      <c r="B10227" t="s">
        <v>29482</v>
      </c>
      <c r="C10227" t="s">
        <v>29483</v>
      </c>
      <c r="D10227" t="s">
        <v>29484</v>
      </c>
      <c r="E10227" t="s">
        <v>3663</v>
      </c>
      <c r="F10227" t="s">
        <v>29485</v>
      </c>
    </row>
    <row r="10228" spans="1:12">
      <c r="A10228" t="s">
        <v>29481</v>
      </c>
      <c r="B10228" t="s">
        <v>29482</v>
      </c>
      <c r="C10228" t="s">
        <v>29486</v>
      </c>
      <c r="D10228" t="s">
        <v>29484</v>
      </c>
      <c r="E10228" t="s">
        <v>16370</v>
      </c>
      <c r="F10228" t="s">
        <v>13737</v>
      </c>
      <c r="J10228" t="s">
        <v>16370</v>
      </c>
      <c r="K10228" t="s">
        <v>29487</v>
      </c>
      <c r="L10228" t="s">
        <v>916</v>
      </c>
    </row>
    <row r="10229" spans="1:12">
      <c r="A10229" t="s">
        <v>29481</v>
      </c>
      <c r="B10229" t="s">
        <v>29482</v>
      </c>
      <c r="C10229" t="s">
        <v>29488</v>
      </c>
      <c r="D10229" t="s">
        <v>29484</v>
      </c>
      <c r="E10229" t="s">
        <v>20434</v>
      </c>
      <c r="F10229" t="s">
        <v>29489</v>
      </c>
    </row>
    <row r="10230" spans="1:12">
      <c r="A10230" t="s">
        <v>29481</v>
      </c>
      <c r="B10230" t="s">
        <v>29482</v>
      </c>
      <c r="C10230" t="s">
        <v>29490</v>
      </c>
      <c r="D10230" t="s">
        <v>29484</v>
      </c>
      <c r="E10230" t="s">
        <v>27739</v>
      </c>
      <c r="F10230" t="s">
        <v>29491</v>
      </c>
    </row>
    <row r="10231" spans="1:12">
      <c r="A10231" t="s">
        <v>29481</v>
      </c>
      <c r="B10231" t="s">
        <v>29482</v>
      </c>
      <c r="C10231" t="s">
        <v>29492</v>
      </c>
      <c r="D10231" t="s">
        <v>29484</v>
      </c>
      <c r="E10231" t="s">
        <v>655</v>
      </c>
      <c r="F10231" t="s">
        <v>656</v>
      </c>
    </row>
    <row r="10232" spans="1:12">
      <c r="A10232" t="s">
        <v>29493</v>
      </c>
      <c r="B10232" t="s">
        <v>29494</v>
      </c>
      <c r="C10232" t="s">
        <v>29495</v>
      </c>
      <c r="D10232" t="s">
        <v>29496</v>
      </c>
      <c r="E10232" t="s">
        <v>17788</v>
      </c>
      <c r="F10232" t="s">
        <v>29497</v>
      </c>
    </row>
    <row r="10233" spans="1:12">
      <c r="A10233" t="s">
        <v>29493</v>
      </c>
      <c r="B10233" t="s">
        <v>29494</v>
      </c>
      <c r="C10233" t="s">
        <v>29498</v>
      </c>
      <c r="D10233" t="s">
        <v>29496</v>
      </c>
      <c r="E10233" t="s">
        <v>18377</v>
      </c>
      <c r="F10233" t="s">
        <v>29499</v>
      </c>
    </row>
    <row r="10234" spans="1:12">
      <c r="A10234" t="s">
        <v>29493</v>
      </c>
      <c r="B10234" t="s">
        <v>29494</v>
      </c>
      <c r="C10234" t="s">
        <v>29500</v>
      </c>
      <c r="D10234" t="s">
        <v>29496</v>
      </c>
      <c r="E10234" t="s">
        <v>10988</v>
      </c>
      <c r="F10234" t="s">
        <v>29501</v>
      </c>
      <c r="J10234" t="s">
        <v>10988</v>
      </c>
      <c r="K10234" t="s">
        <v>29502</v>
      </c>
      <c r="L10234" t="s">
        <v>851</v>
      </c>
    </row>
    <row r="10235" spans="1:12">
      <c r="A10235" t="s">
        <v>29493</v>
      </c>
      <c r="B10235" t="s">
        <v>29494</v>
      </c>
      <c r="C10235" t="s">
        <v>29503</v>
      </c>
      <c r="D10235" t="s">
        <v>29496</v>
      </c>
      <c r="E10235" t="s">
        <v>29504</v>
      </c>
      <c r="F10235" t="s">
        <v>29505</v>
      </c>
      <c r="J10235" t="s">
        <v>29504</v>
      </c>
      <c r="K10235" t="s">
        <v>29502</v>
      </c>
      <c r="L10235" t="s">
        <v>851</v>
      </c>
    </row>
    <row r="10236" spans="1:12">
      <c r="A10236" t="s">
        <v>29493</v>
      </c>
      <c r="B10236" t="s">
        <v>29494</v>
      </c>
      <c r="C10236" t="s">
        <v>29506</v>
      </c>
      <c r="D10236" t="s">
        <v>29496</v>
      </c>
      <c r="E10236" t="s">
        <v>9738</v>
      </c>
      <c r="F10236" t="s">
        <v>29507</v>
      </c>
    </row>
    <row r="10237" spans="1:12">
      <c r="A10237" t="s">
        <v>29493</v>
      </c>
      <c r="B10237" t="s">
        <v>29494</v>
      </c>
      <c r="C10237" t="s">
        <v>29508</v>
      </c>
      <c r="D10237" t="s">
        <v>29496</v>
      </c>
      <c r="E10237" t="s">
        <v>5214</v>
      </c>
      <c r="F10237" t="s">
        <v>29509</v>
      </c>
      <c r="J10237" t="s">
        <v>5214</v>
      </c>
      <c r="K10237" t="s">
        <v>29502</v>
      </c>
      <c r="L10237" t="s">
        <v>851</v>
      </c>
    </row>
    <row r="10238" spans="1:12">
      <c r="A10238" t="s">
        <v>29493</v>
      </c>
      <c r="B10238" t="s">
        <v>29494</v>
      </c>
      <c r="C10238" t="s">
        <v>29510</v>
      </c>
      <c r="D10238" t="s">
        <v>29496</v>
      </c>
      <c r="E10238" t="s">
        <v>655</v>
      </c>
      <c r="F10238" t="s">
        <v>656</v>
      </c>
    </row>
    <row r="10239" spans="1:12">
      <c r="A10239" t="s">
        <v>29511</v>
      </c>
      <c r="B10239" t="s">
        <v>29512</v>
      </c>
      <c r="C10239" t="s">
        <v>29513</v>
      </c>
      <c r="D10239" t="s">
        <v>29514</v>
      </c>
      <c r="E10239" t="s">
        <v>3227</v>
      </c>
      <c r="F10239" t="s">
        <v>29515</v>
      </c>
    </row>
    <row r="10240" spans="1:12">
      <c r="A10240" t="s">
        <v>29511</v>
      </c>
      <c r="B10240" t="s">
        <v>29512</v>
      </c>
      <c r="C10240" t="s">
        <v>29516</v>
      </c>
      <c r="D10240" t="s">
        <v>29514</v>
      </c>
      <c r="E10240" t="s">
        <v>29517</v>
      </c>
      <c r="F10240" t="s">
        <v>29518</v>
      </c>
      <c r="J10240" t="s">
        <v>29517</v>
      </c>
      <c r="K10240" t="s">
        <v>5138</v>
      </c>
      <c r="L10240" t="s">
        <v>851</v>
      </c>
    </row>
    <row r="10241" spans="1:12">
      <c r="A10241" t="s">
        <v>29511</v>
      </c>
      <c r="B10241" t="s">
        <v>29512</v>
      </c>
      <c r="C10241" t="s">
        <v>29519</v>
      </c>
      <c r="D10241" t="s">
        <v>29514</v>
      </c>
      <c r="E10241" t="s">
        <v>19650</v>
      </c>
      <c r="F10241" t="s">
        <v>29520</v>
      </c>
    </row>
    <row r="10242" spans="1:12">
      <c r="A10242" t="s">
        <v>29511</v>
      </c>
      <c r="B10242" t="s">
        <v>29512</v>
      </c>
      <c r="C10242" t="s">
        <v>29521</v>
      </c>
      <c r="D10242" t="s">
        <v>29514</v>
      </c>
      <c r="E10242" t="s">
        <v>7000</v>
      </c>
      <c r="F10242" t="s">
        <v>29522</v>
      </c>
    </row>
    <row r="10243" spans="1:12">
      <c r="A10243" t="s">
        <v>29511</v>
      </c>
      <c r="B10243" t="s">
        <v>29512</v>
      </c>
      <c r="C10243" t="s">
        <v>29523</v>
      </c>
      <c r="D10243" t="s">
        <v>29514</v>
      </c>
      <c r="E10243" t="s">
        <v>655</v>
      </c>
      <c r="F10243" t="s">
        <v>656</v>
      </c>
    </row>
    <row r="10244" spans="1:12">
      <c r="A10244" t="s">
        <v>29524</v>
      </c>
      <c r="B10244" t="s">
        <v>29525</v>
      </c>
      <c r="C10244" t="s">
        <v>29526</v>
      </c>
      <c r="D10244" t="s">
        <v>29527</v>
      </c>
      <c r="E10244" t="s">
        <v>26313</v>
      </c>
      <c r="F10244" t="s">
        <v>29528</v>
      </c>
    </row>
    <row r="10245" spans="1:12">
      <c r="A10245" t="s">
        <v>29524</v>
      </c>
      <c r="B10245" t="s">
        <v>29525</v>
      </c>
      <c r="C10245" t="s">
        <v>29529</v>
      </c>
      <c r="D10245" t="s">
        <v>29527</v>
      </c>
      <c r="E10245" t="s">
        <v>8470</v>
      </c>
      <c r="F10245" t="s">
        <v>29530</v>
      </c>
    </row>
    <row r="10246" spans="1:12">
      <c r="A10246" t="s">
        <v>29524</v>
      </c>
      <c r="B10246" t="s">
        <v>29525</v>
      </c>
      <c r="C10246" t="s">
        <v>29531</v>
      </c>
      <c r="D10246" t="s">
        <v>29527</v>
      </c>
      <c r="E10246" t="s">
        <v>12381</v>
      </c>
      <c r="F10246" t="s">
        <v>29532</v>
      </c>
    </row>
    <row r="10247" spans="1:12">
      <c r="A10247" t="s">
        <v>29524</v>
      </c>
      <c r="B10247" t="s">
        <v>29525</v>
      </c>
      <c r="C10247" t="s">
        <v>29533</v>
      </c>
      <c r="D10247" t="s">
        <v>29527</v>
      </c>
      <c r="E10247" t="s">
        <v>27147</v>
      </c>
      <c r="F10247" t="s">
        <v>29534</v>
      </c>
      <c r="J10247" t="s">
        <v>27147</v>
      </c>
      <c r="K10247" t="s">
        <v>29535</v>
      </c>
      <c r="L10247" t="s">
        <v>851</v>
      </c>
    </row>
    <row r="10248" spans="1:12">
      <c r="A10248" t="s">
        <v>29524</v>
      </c>
      <c r="B10248" t="s">
        <v>29525</v>
      </c>
      <c r="C10248" t="s">
        <v>29536</v>
      </c>
      <c r="D10248" t="s">
        <v>29527</v>
      </c>
      <c r="E10248" t="s">
        <v>4966</v>
      </c>
      <c r="F10248" t="s">
        <v>29537</v>
      </c>
    </row>
    <row r="10249" spans="1:12">
      <c r="A10249" t="s">
        <v>29524</v>
      </c>
      <c r="B10249" t="s">
        <v>29525</v>
      </c>
      <c r="C10249" t="s">
        <v>29538</v>
      </c>
      <c r="D10249" t="s">
        <v>29527</v>
      </c>
      <c r="E10249" t="s">
        <v>29539</v>
      </c>
      <c r="F10249" t="s">
        <v>29540</v>
      </c>
    </row>
    <row r="10250" spans="1:12">
      <c r="A10250" t="s">
        <v>29524</v>
      </c>
      <c r="B10250" t="s">
        <v>29525</v>
      </c>
      <c r="C10250" t="s">
        <v>29541</v>
      </c>
      <c r="D10250" t="s">
        <v>29527</v>
      </c>
      <c r="E10250" t="s">
        <v>29542</v>
      </c>
      <c r="F10250" t="s">
        <v>29543</v>
      </c>
      <c r="J10250" t="s">
        <v>29542</v>
      </c>
      <c r="K10250" t="s">
        <v>29535</v>
      </c>
      <c r="L10250" t="s">
        <v>851</v>
      </c>
    </row>
    <row r="10251" spans="1:12">
      <c r="A10251" t="s">
        <v>29524</v>
      </c>
      <c r="B10251" t="s">
        <v>29525</v>
      </c>
      <c r="C10251" t="s">
        <v>29544</v>
      </c>
      <c r="D10251" t="s">
        <v>29527</v>
      </c>
      <c r="E10251" t="s">
        <v>6943</v>
      </c>
      <c r="F10251" t="s">
        <v>29545</v>
      </c>
    </row>
    <row r="10252" spans="1:12">
      <c r="A10252" t="s">
        <v>29524</v>
      </c>
      <c r="B10252" t="s">
        <v>29525</v>
      </c>
      <c r="C10252" t="s">
        <v>29546</v>
      </c>
      <c r="D10252" t="s">
        <v>29527</v>
      </c>
      <c r="E10252" t="s">
        <v>29547</v>
      </c>
      <c r="F10252" t="s">
        <v>29548</v>
      </c>
    </row>
    <row r="10253" spans="1:12">
      <c r="A10253" t="s">
        <v>29524</v>
      </c>
      <c r="B10253" t="s">
        <v>29525</v>
      </c>
      <c r="C10253" t="s">
        <v>29549</v>
      </c>
      <c r="D10253" t="s">
        <v>29527</v>
      </c>
      <c r="E10253" t="s">
        <v>18465</v>
      </c>
      <c r="F10253" t="s">
        <v>29550</v>
      </c>
      <c r="J10253" t="s">
        <v>18465</v>
      </c>
      <c r="K10253" t="s">
        <v>29535</v>
      </c>
      <c r="L10253" t="s">
        <v>851</v>
      </c>
    </row>
    <row r="10254" spans="1:12">
      <c r="A10254" t="s">
        <v>29524</v>
      </c>
      <c r="B10254" t="s">
        <v>29525</v>
      </c>
      <c r="C10254" t="s">
        <v>29551</v>
      </c>
      <c r="D10254" t="s">
        <v>29527</v>
      </c>
      <c r="E10254" t="s">
        <v>9450</v>
      </c>
      <c r="F10254" t="s">
        <v>29552</v>
      </c>
      <c r="J10254" t="s">
        <v>9450</v>
      </c>
      <c r="K10254" t="s">
        <v>29535</v>
      </c>
      <c r="L10254" t="s">
        <v>851</v>
      </c>
    </row>
    <row r="10255" spans="1:12">
      <c r="A10255" t="s">
        <v>29524</v>
      </c>
      <c r="B10255" t="s">
        <v>29525</v>
      </c>
      <c r="C10255" t="s">
        <v>29553</v>
      </c>
      <c r="D10255" t="s">
        <v>29527</v>
      </c>
      <c r="E10255" t="s">
        <v>12059</v>
      </c>
      <c r="F10255" t="s">
        <v>29554</v>
      </c>
      <c r="J10255" t="s">
        <v>12059</v>
      </c>
      <c r="K10255" t="s">
        <v>29535</v>
      </c>
      <c r="L10255" t="s">
        <v>851</v>
      </c>
    </row>
    <row r="10256" spans="1:12">
      <c r="A10256" t="s">
        <v>29524</v>
      </c>
      <c r="B10256" t="s">
        <v>29525</v>
      </c>
      <c r="C10256" t="s">
        <v>29555</v>
      </c>
      <c r="D10256" t="s">
        <v>29527</v>
      </c>
      <c r="E10256" t="s">
        <v>29556</v>
      </c>
      <c r="F10256" t="s">
        <v>29557</v>
      </c>
      <c r="J10256" t="s">
        <v>29556</v>
      </c>
      <c r="K10256" t="s">
        <v>29535</v>
      </c>
      <c r="L10256" t="s">
        <v>851</v>
      </c>
    </row>
    <row r="10257" spans="1:12">
      <c r="A10257" t="s">
        <v>29524</v>
      </c>
      <c r="B10257" t="s">
        <v>29525</v>
      </c>
      <c r="C10257" t="s">
        <v>29558</v>
      </c>
      <c r="D10257" t="s">
        <v>29527</v>
      </c>
      <c r="E10257" t="s">
        <v>29559</v>
      </c>
      <c r="F10257" t="s">
        <v>29560</v>
      </c>
    </row>
    <row r="10258" spans="1:12">
      <c r="A10258" t="s">
        <v>29524</v>
      </c>
      <c r="B10258" t="s">
        <v>29525</v>
      </c>
      <c r="C10258" t="s">
        <v>29561</v>
      </c>
      <c r="D10258" t="s">
        <v>29527</v>
      </c>
      <c r="E10258" t="s">
        <v>7406</v>
      </c>
      <c r="F10258" t="s">
        <v>29562</v>
      </c>
    </row>
    <row r="10259" spans="1:12">
      <c r="A10259" t="s">
        <v>29524</v>
      </c>
      <c r="B10259" t="s">
        <v>29525</v>
      </c>
      <c r="C10259" t="s">
        <v>29563</v>
      </c>
      <c r="D10259" t="s">
        <v>29527</v>
      </c>
      <c r="E10259" t="s">
        <v>29564</v>
      </c>
      <c r="F10259" t="s">
        <v>29565</v>
      </c>
      <c r="J10259" t="s">
        <v>29564</v>
      </c>
      <c r="K10259" t="s">
        <v>29535</v>
      </c>
      <c r="L10259" t="s">
        <v>851</v>
      </c>
    </row>
    <row r="10260" spans="1:12">
      <c r="A10260" t="s">
        <v>29524</v>
      </c>
      <c r="B10260" t="s">
        <v>29525</v>
      </c>
      <c r="C10260" t="s">
        <v>29566</v>
      </c>
      <c r="D10260" t="s">
        <v>29527</v>
      </c>
      <c r="E10260" t="s">
        <v>4550</v>
      </c>
      <c r="F10260" t="s">
        <v>29567</v>
      </c>
    </row>
    <row r="10261" spans="1:12">
      <c r="A10261" t="s">
        <v>29524</v>
      </c>
      <c r="B10261" t="s">
        <v>29525</v>
      </c>
      <c r="C10261" t="s">
        <v>29568</v>
      </c>
      <c r="D10261" t="s">
        <v>29527</v>
      </c>
      <c r="E10261" t="s">
        <v>20911</v>
      </c>
      <c r="F10261" t="s">
        <v>29569</v>
      </c>
      <c r="J10261" t="s">
        <v>20911</v>
      </c>
      <c r="K10261" t="s">
        <v>29535</v>
      </c>
      <c r="L10261" t="s">
        <v>851</v>
      </c>
    </row>
    <row r="10262" spans="1:12">
      <c r="A10262" t="s">
        <v>29524</v>
      </c>
      <c r="B10262" t="s">
        <v>29525</v>
      </c>
      <c r="C10262" t="s">
        <v>29570</v>
      </c>
      <c r="D10262" t="s">
        <v>29527</v>
      </c>
      <c r="E10262" t="s">
        <v>21296</v>
      </c>
      <c r="F10262" t="s">
        <v>29571</v>
      </c>
    </row>
    <row r="10263" spans="1:12">
      <c r="A10263" t="s">
        <v>29524</v>
      </c>
      <c r="B10263" t="s">
        <v>29525</v>
      </c>
      <c r="C10263" t="s">
        <v>29572</v>
      </c>
      <c r="D10263" t="s">
        <v>29527</v>
      </c>
      <c r="E10263" t="s">
        <v>655</v>
      </c>
      <c r="F10263" t="s">
        <v>656</v>
      </c>
    </row>
    <row r="10264" spans="1:12">
      <c r="A10264" t="s">
        <v>29573</v>
      </c>
      <c r="B10264" t="s">
        <v>29574</v>
      </c>
      <c r="C10264" t="s">
        <v>29575</v>
      </c>
      <c r="D10264" t="s">
        <v>29576</v>
      </c>
      <c r="E10264" t="s">
        <v>29577</v>
      </c>
      <c r="F10264" t="s">
        <v>29578</v>
      </c>
      <c r="J10264" t="s">
        <v>29577</v>
      </c>
      <c r="K10264" t="s">
        <v>29579</v>
      </c>
      <c r="L10264" t="s">
        <v>916</v>
      </c>
    </row>
    <row r="10265" spans="1:12">
      <c r="A10265" t="s">
        <v>29573</v>
      </c>
      <c r="B10265" t="s">
        <v>29574</v>
      </c>
      <c r="C10265" t="s">
        <v>29580</v>
      </c>
      <c r="D10265" t="s">
        <v>29576</v>
      </c>
      <c r="E10265" t="s">
        <v>29581</v>
      </c>
      <c r="F10265" t="s">
        <v>26382</v>
      </c>
      <c r="J10265" t="s">
        <v>29581</v>
      </c>
      <c r="K10265" t="s">
        <v>29579</v>
      </c>
      <c r="L10265" t="s">
        <v>916</v>
      </c>
    </row>
    <row r="10266" spans="1:12">
      <c r="A10266" t="s">
        <v>29573</v>
      </c>
      <c r="B10266" t="s">
        <v>29574</v>
      </c>
      <c r="C10266" t="s">
        <v>29582</v>
      </c>
      <c r="D10266" t="s">
        <v>29576</v>
      </c>
      <c r="E10266" t="s">
        <v>16727</v>
      </c>
      <c r="F10266" t="s">
        <v>29583</v>
      </c>
      <c r="J10266" t="s">
        <v>16727</v>
      </c>
      <c r="K10266" t="s">
        <v>29579</v>
      </c>
      <c r="L10266" t="s">
        <v>916</v>
      </c>
    </row>
    <row r="10267" spans="1:12">
      <c r="A10267" t="s">
        <v>29573</v>
      </c>
      <c r="B10267" t="s">
        <v>29574</v>
      </c>
      <c r="C10267" t="s">
        <v>29584</v>
      </c>
      <c r="D10267" t="s">
        <v>29576</v>
      </c>
      <c r="E10267" t="s">
        <v>29585</v>
      </c>
      <c r="F10267" t="s">
        <v>29586</v>
      </c>
      <c r="J10267" t="s">
        <v>29585</v>
      </c>
      <c r="K10267" t="s">
        <v>29579</v>
      </c>
      <c r="L10267" t="s">
        <v>916</v>
      </c>
    </row>
    <row r="10268" spans="1:12">
      <c r="A10268" t="s">
        <v>29573</v>
      </c>
      <c r="B10268" t="s">
        <v>29574</v>
      </c>
      <c r="C10268" t="s">
        <v>29587</v>
      </c>
      <c r="D10268" t="s">
        <v>29576</v>
      </c>
      <c r="E10268" t="s">
        <v>17015</v>
      </c>
      <c r="F10268" t="s">
        <v>29588</v>
      </c>
      <c r="J10268" t="s">
        <v>17015</v>
      </c>
      <c r="K10268" t="s">
        <v>29579</v>
      </c>
      <c r="L10268" t="s">
        <v>916</v>
      </c>
    </row>
    <row r="10269" spans="1:12">
      <c r="A10269" t="s">
        <v>29573</v>
      </c>
      <c r="B10269" t="s">
        <v>29574</v>
      </c>
      <c r="C10269" t="s">
        <v>29589</v>
      </c>
      <c r="D10269" t="s">
        <v>29576</v>
      </c>
      <c r="E10269" t="s">
        <v>17886</v>
      </c>
      <c r="F10269" t="s">
        <v>29590</v>
      </c>
      <c r="J10269" t="s">
        <v>17886</v>
      </c>
      <c r="K10269" t="s">
        <v>29579</v>
      </c>
      <c r="L10269" t="s">
        <v>916</v>
      </c>
    </row>
    <row r="10270" spans="1:12">
      <c r="A10270" t="s">
        <v>29573</v>
      </c>
      <c r="B10270" t="s">
        <v>29574</v>
      </c>
      <c r="C10270" t="s">
        <v>29591</v>
      </c>
      <c r="D10270" t="s">
        <v>29576</v>
      </c>
      <c r="E10270" t="s">
        <v>14828</v>
      </c>
      <c r="F10270" t="s">
        <v>3658</v>
      </c>
      <c r="J10270" t="s">
        <v>14828</v>
      </c>
      <c r="K10270" t="s">
        <v>29579</v>
      </c>
      <c r="L10270" t="s">
        <v>916</v>
      </c>
    </row>
    <row r="10271" spans="1:12">
      <c r="A10271" t="s">
        <v>29573</v>
      </c>
      <c r="B10271" t="s">
        <v>29574</v>
      </c>
      <c r="C10271" t="s">
        <v>29592</v>
      </c>
      <c r="D10271" t="s">
        <v>29576</v>
      </c>
      <c r="E10271" t="s">
        <v>9284</v>
      </c>
      <c r="F10271" t="s">
        <v>29593</v>
      </c>
      <c r="J10271" t="s">
        <v>9284</v>
      </c>
      <c r="K10271" t="s">
        <v>29579</v>
      </c>
      <c r="L10271" t="s">
        <v>916</v>
      </c>
    </row>
    <row r="10272" spans="1:12">
      <c r="A10272" t="s">
        <v>29573</v>
      </c>
      <c r="B10272" t="s">
        <v>29574</v>
      </c>
      <c r="C10272" t="s">
        <v>29594</v>
      </c>
      <c r="D10272" t="s">
        <v>29576</v>
      </c>
      <c r="E10272" t="s">
        <v>12013</v>
      </c>
      <c r="F10272" t="s">
        <v>29595</v>
      </c>
    </row>
    <row r="10273" spans="1:12">
      <c r="A10273" t="s">
        <v>29573</v>
      </c>
      <c r="B10273" t="s">
        <v>29574</v>
      </c>
      <c r="C10273" t="s">
        <v>29596</v>
      </c>
      <c r="D10273" t="s">
        <v>29576</v>
      </c>
      <c r="E10273" t="s">
        <v>29597</v>
      </c>
      <c r="F10273" t="s">
        <v>29598</v>
      </c>
    </row>
    <row r="10274" spans="1:12">
      <c r="A10274" t="s">
        <v>29573</v>
      </c>
      <c r="B10274" t="s">
        <v>29574</v>
      </c>
      <c r="C10274" t="s">
        <v>29599</v>
      </c>
      <c r="D10274" t="s">
        <v>29576</v>
      </c>
      <c r="E10274" t="s">
        <v>29600</v>
      </c>
      <c r="F10274" t="s">
        <v>29601</v>
      </c>
    </row>
    <row r="10275" spans="1:12">
      <c r="A10275" t="s">
        <v>29573</v>
      </c>
      <c r="B10275" t="s">
        <v>29574</v>
      </c>
      <c r="C10275" t="s">
        <v>29602</v>
      </c>
      <c r="D10275" t="s">
        <v>29576</v>
      </c>
      <c r="E10275" t="s">
        <v>655</v>
      </c>
      <c r="F10275" t="s">
        <v>656</v>
      </c>
    </row>
    <row r="10276" spans="1:12">
      <c r="A10276" t="s">
        <v>29573</v>
      </c>
      <c r="B10276" t="s">
        <v>29574</v>
      </c>
      <c r="D10276" t="s">
        <v>29576</v>
      </c>
      <c r="F10276" t="s">
        <v>29573</v>
      </c>
      <c r="J10276" t="s">
        <v>20675</v>
      </c>
      <c r="K10276" t="s">
        <v>29579</v>
      </c>
      <c r="L10276" t="s">
        <v>916</v>
      </c>
    </row>
    <row r="10277" spans="1:12">
      <c r="A10277" t="s">
        <v>29573</v>
      </c>
      <c r="B10277" t="s">
        <v>29574</v>
      </c>
      <c r="D10277" t="s">
        <v>29576</v>
      </c>
      <c r="F10277" t="s">
        <v>29603</v>
      </c>
      <c r="J10277" t="s">
        <v>29604</v>
      </c>
      <c r="K10277" t="s">
        <v>29579</v>
      </c>
      <c r="L10277" t="s">
        <v>916</v>
      </c>
    </row>
    <row r="10278" spans="1:12">
      <c r="A10278" t="s">
        <v>29605</v>
      </c>
      <c r="B10278" t="s">
        <v>29606</v>
      </c>
      <c r="C10278" t="s">
        <v>29607</v>
      </c>
      <c r="D10278" t="s">
        <v>27</v>
      </c>
      <c r="E10278" t="s">
        <v>6994</v>
      </c>
      <c r="F10278" t="s">
        <v>29605</v>
      </c>
    </row>
    <row r="10279" spans="1:12">
      <c r="A10279" t="s">
        <v>29605</v>
      </c>
      <c r="B10279" t="s">
        <v>29606</v>
      </c>
      <c r="C10279" t="s">
        <v>29608</v>
      </c>
      <c r="D10279" t="s">
        <v>27</v>
      </c>
      <c r="E10279" t="s">
        <v>655</v>
      </c>
      <c r="F10279" t="s">
        <v>656</v>
      </c>
    </row>
    <row r="10280" spans="1:12">
      <c r="A10280" t="s">
        <v>29609</v>
      </c>
      <c r="B10280" t="s">
        <v>29610</v>
      </c>
      <c r="C10280" t="s">
        <v>29611</v>
      </c>
      <c r="D10280" t="s">
        <v>29612</v>
      </c>
      <c r="E10280" t="s">
        <v>29613</v>
      </c>
      <c r="F10280" t="s">
        <v>29614</v>
      </c>
      <c r="J10280" t="s">
        <v>29613</v>
      </c>
      <c r="K10280" t="s">
        <v>12970</v>
      </c>
      <c r="L10280" t="s">
        <v>916</v>
      </c>
    </row>
    <row r="10281" spans="1:12">
      <c r="A10281" t="s">
        <v>29609</v>
      </c>
      <c r="B10281" t="s">
        <v>29610</v>
      </c>
      <c r="C10281" t="s">
        <v>29615</v>
      </c>
      <c r="D10281" t="s">
        <v>29612</v>
      </c>
      <c r="E10281" t="s">
        <v>29616</v>
      </c>
      <c r="F10281" t="s">
        <v>29617</v>
      </c>
      <c r="J10281" t="s">
        <v>29616</v>
      </c>
      <c r="K10281" t="s">
        <v>12970</v>
      </c>
      <c r="L10281" t="s">
        <v>916</v>
      </c>
    </row>
    <row r="10282" spans="1:12">
      <c r="A10282" t="s">
        <v>29609</v>
      </c>
      <c r="B10282" t="s">
        <v>29610</v>
      </c>
      <c r="C10282" t="s">
        <v>29618</v>
      </c>
      <c r="D10282" t="s">
        <v>29612</v>
      </c>
      <c r="E10282" t="s">
        <v>29619</v>
      </c>
      <c r="F10282" t="s">
        <v>29620</v>
      </c>
      <c r="J10282" t="s">
        <v>29619</v>
      </c>
      <c r="K10282" t="s">
        <v>12970</v>
      </c>
      <c r="L10282" t="s">
        <v>916</v>
      </c>
    </row>
    <row r="10283" spans="1:12">
      <c r="A10283" t="s">
        <v>29609</v>
      </c>
      <c r="B10283" t="s">
        <v>29610</v>
      </c>
      <c r="C10283" t="s">
        <v>29621</v>
      </c>
      <c r="D10283" t="s">
        <v>29612</v>
      </c>
      <c r="E10283" t="s">
        <v>17926</v>
      </c>
      <c r="F10283" t="s">
        <v>29622</v>
      </c>
      <c r="J10283" t="s">
        <v>17926</v>
      </c>
      <c r="K10283" t="s">
        <v>12970</v>
      </c>
      <c r="L10283" t="s">
        <v>916</v>
      </c>
    </row>
    <row r="10284" spans="1:12">
      <c r="A10284" t="s">
        <v>29609</v>
      </c>
      <c r="B10284" t="s">
        <v>29610</v>
      </c>
      <c r="C10284" t="s">
        <v>29623</v>
      </c>
      <c r="D10284" t="s">
        <v>29612</v>
      </c>
      <c r="E10284" t="s">
        <v>29624</v>
      </c>
      <c r="F10284" t="s">
        <v>29625</v>
      </c>
      <c r="J10284" t="s">
        <v>29624</v>
      </c>
      <c r="K10284" t="s">
        <v>12970</v>
      </c>
      <c r="L10284" t="s">
        <v>916</v>
      </c>
    </row>
    <row r="10285" spans="1:12">
      <c r="A10285" t="s">
        <v>29609</v>
      </c>
      <c r="B10285" t="s">
        <v>29610</v>
      </c>
      <c r="C10285" t="s">
        <v>29626</v>
      </c>
      <c r="D10285" t="s">
        <v>29612</v>
      </c>
      <c r="E10285" t="s">
        <v>29627</v>
      </c>
      <c r="F10285" t="s">
        <v>29628</v>
      </c>
      <c r="J10285" t="s">
        <v>29627</v>
      </c>
      <c r="K10285" t="s">
        <v>12970</v>
      </c>
      <c r="L10285" t="s">
        <v>916</v>
      </c>
    </row>
    <row r="10286" spans="1:12">
      <c r="A10286" t="s">
        <v>29609</v>
      </c>
      <c r="B10286" t="s">
        <v>29610</v>
      </c>
      <c r="C10286" t="s">
        <v>29629</v>
      </c>
      <c r="D10286" t="s">
        <v>29612</v>
      </c>
      <c r="E10286" t="s">
        <v>29630</v>
      </c>
      <c r="F10286" t="s">
        <v>29631</v>
      </c>
      <c r="J10286" t="s">
        <v>29630</v>
      </c>
      <c r="K10286" t="s">
        <v>12970</v>
      </c>
      <c r="L10286" t="s">
        <v>916</v>
      </c>
    </row>
    <row r="10287" spans="1:12">
      <c r="A10287" t="s">
        <v>29609</v>
      </c>
      <c r="B10287" t="s">
        <v>29610</v>
      </c>
      <c r="C10287" t="s">
        <v>29632</v>
      </c>
      <c r="D10287" t="s">
        <v>29612</v>
      </c>
      <c r="E10287" t="s">
        <v>29633</v>
      </c>
      <c r="F10287" t="s">
        <v>29634</v>
      </c>
      <c r="J10287" t="s">
        <v>29633</v>
      </c>
      <c r="K10287" t="s">
        <v>12970</v>
      </c>
      <c r="L10287" t="s">
        <v>916</v>
      </c>
    </row>
    <row r="10288" spans="1:12">
      <c r="A10288" t="s">
        <v>29609</v>
      </c>
      <c r="B10288" t="s">
        <v>29610</v>
      </c>
      <c r="C10288" t="s">
        <v>29635</v>
      </c>
      <c r="D10288" t="s">
        <v>29612</v>
      </c>
      <c r="E10288" t="s">
        <v>29636</v>
      </c>
      <c r="F10288" t="s">
        <v>29637</v>
      </c>
      <c r="J10288" t="s">
        <v>29636</v>
      </c>
      <c r="K10288" t="s">
        <v>12970</v>
      </c>
      <c r="L10288" t="s">
        <v>916</v>
      </c>
    </row>
    <row r="10289" spans="1:12">
      <c r="A10289" t="s">
        <v>29609</v>
      </c>
      <c r="B10289" t="s">
        <v>29610</v>
      </c>
      <c r="C10289" t="s">
        <v>29638</v>
      </c>
      <c r="D10289" t="s">
        <v>29612</v>
      </c>
      <c r="E10289" t="s">
        <v>29639</v>
      </c>
      <c r="F10289" t="s">
        <v>29640</v>
      </c>
      <c r="J10289" t="s">
        <v>29639</v>
      </c>
      <c r="K10289" t="s">
        <v>12970</v>
      </c>
      <c r="L10289" t="s">
        <v>916</v>
      </c>
    </row>
    <row r="10290" spans="1:12">
      <c r="A10290" t="s">
        <v>29609</v>
      </c>
      <c r="B10290" t="s">
        <v>29610</v>
      </c>
      <c r="C10290" t="s">
        <v>29641</v>
      </c>
      <c r="D10290" t="s">
        <v>29612</v>
      </c>
      <c r="E10290" t="s">
        <v>20589</v>
      </c>
      <c r="F10290" t="s">
        <v>29642</v>
      </c>
      <c r="J10290" t="s">
        <v>20589</v>
      </c>
      <c r="K10290" t="s">
        <v>12970</v>
      </c>
      <c r="L10290" t="s">
        <v>916</v>
      </c>
    </row>
    <row r="10291" spans="1:12">
      <c r="A10291" t="s">
        <v>29609</v>
      </c>
      <c r="B10291" t="s">
        <v>29610</v>
      </c>
      <c r="C10291" t="s">
        <v>29643</v>
      </c>
      <c r="D10291" t="s">
        <v>29612</v>
      </c>
      <c r="E10291" t="s">
        <v>21372</v>
      </c>
      <c r="F10291" t="s">
        <v>29644</v>
      </c>
      <c r="J10291" t="s">
        <v>21372</v>
      </c>
      <c r="K10291" t="s">
        <v>12970</v>
      </c>
      <c r="L10291" t="s">
        <v>916</v>
      </c>
    </row>
    <row r="10292" spans="1:12">
      <c r="A10292" t="s">
        <v>29609</v>
      </c>
      <c r="B10292" t="s">
        <v>29610</v>
      </c>
      <c r="C10292" t="s">
        <v>29645</v>
      </c>
      <c r="D10292" t="s">
        <v>29612</v>
      </c>
      <c r="E10292" t="s">
        <v>29646</v>
      </c>
      <c r="F10292" t="s">
        <v>29647</v>
      </c>
      <c r="J10292" t="s">
        <v>29646</v>
      </c>
      <c r="K10292" t="s">
        <v>12970</v>
      </c>
      <c r="L10292" t="s">
        <v>916</v>
      </c>
    </row>
    <row r="10293" spans="1:12">
      <c r="A10293" t="s">
        <v>29609</v>
      </c>
      <c r="B10293" t="s">
        <v>29610</v>
      </c>
      <c r="C10293" t="s">
        <v>29648</v>
      </c>
      <c r="D10293" t="s">
        <v>29612</v>
      </c>
      <c r="E10293" t="s">
        <v>29649</v>
      </c>
      <c r="F10293" t="s">
        <v>29650</v>
      </c>
      <c r="J10293" t="s">
        <v>29649</v>
      </c>
      <c r="K10293" t="s">
        <v>12970</v>
      </c>
      <c r="L10293" t="s">
        <v>916</v>
      </c>
    </row>
    <row r="10294" spans="1:12">
      <c r="A10294" t="s">
        <v>29609</v>
      </c>
      <c r="B10294" t="s">
        <v>29610</v>
      </c>
      <c r="C10294" t="s">
        <v>29651</v>
      </c>
      <c r="D10294" t="s">
        <v>29612</v>
      </c>
      <c r="E10294" t="s">
        <v>655</v>
      </c>
      <c r="F10294" t="s">
        <v>656</v>
      </c>
    </row>
    <row r="10295" spans="1:12">
      <c r="A10295" t="s">
        <v>29609</v>
      </c>
      <c r="B10295" t="s">
        <v>29610</v>
      </c>
      <c r="D10295" t="s">
        <v>29612</v>
      </c>
      <c r="F10295" t="s">
        <v>29652</v>
      </c>
      <c r="J10295" t="s">
        <v>29653</v>
      </c>
      <c r="K10295" t="s">
        <v>12970</v>
      </c>
      <c r="L10295" t="s">
        <v>916</v>
      </c>
    </row>
    <row r="10296" spans="1:12">
      <c r="A10296" t="s">
        <v>29654</v>
      </c>
      <c r="B10296" t="s">
        <v>29655</v>
      </c>
      <c r="C10296" t="s">
        <v>29656</v>
      </c>
      <c r="D10296" t="s">
        <v>29657</v>
      </c>
      <c r="E10296" t="s">
        <v>29658</v>
      </c>
      <c r="F10296" t="s">
        <v>29659</v>
      </c>
      <c r="J10296" t="s">
        <v>29658</v>
      </c>
      <c r="K10296" t="s">
        <v>29660</v>
      </c>
      <c r="L10296" t="s">
        <v>916</v>
      </c>
    </row>
    <row r="10297" spans="1:12">
      <c r="A10297" t="s">
        <v>29654</v>
      </c>
      <c r="B10297" t="s">
        <v>29655</v>
      </c>
      <c r="C10297" t="s">
        <v>29661</v>
      </c>
      <c r="D10297" t="s">
        <v>29657</v>
      </c>
      <c r="E10297" t="s">
        <v>29662</v>
      </c>
      <c r="F10297" t="s">
        <v>29663</v>
      </c>
      <c r="J10297" t="s">
        <v>29662</v>
      </c>
      <c r="K10297" t="s">
        <v>29660</v>
      </c>
      <c r="L10297" t="s">
        <v>916</v>
      </c>
    </row>
    <row r="10298" spans="1:12">
      <c r="A10298" t="s">
        <v>29654</v>
      </c>
      <c r="B10298" t="s">
        <v>29655</v>
      </c>
      <c r="C10298" t="s">
        <v>29664</v>
      </c>
      <c r="D10298" t="s">
        <v>29657</v>
      </c>
      <c r="E10298" t="s">
        <v>8656</v>
      </c>
      <c r="F10298" t="s">
        <v>29665</v>
      </c>
      <c r="J10298" t="s">
        <v>8656</v>
      </c>
      <c r="K10298" t="s">
        <v>29660</v>
      </c>
      <c r="L10298" t="s">
        <v>916</v>
      </c>
    </row>
    <row r="10299" spans="1:12">
      <c r="A10299" t="s">
        <v>29654</v>
      </c>
      <c r="B10299" t="s">
        <v>29655</v>
      </c>
      <c r="C10299" t="s">
        <v>29666</v>
      </c>
      <c r="D10299" t="s">
        <v>29657</v>
      </c>
      <c r="E10299" t="s">
        <v>29667</v>
      </c>
      <c r="F10299" t="s">
        <v>29668</v>
      </c>
      <c r="J10299" t="s">
        <v>29667</v>
      </c>
      <c r="K10299" t="s">
        <v>29660</v>
      </c>
      <c r="L10299" t="s">
        <v>916</v>
      </c>
    </row>
    <row r="10300" spans="1:12">
      <c r="A10300" t="s">
        <v>29654</v>
      </c>
      <c r="B10300" t="s">
        <v>29655</v>
      </c>
      <c r="C10300" t="s">
        <v>29669</v>
      </c>
      <c r="D10300" t="s">
        <v>29657</v>
      </c>
      <c r="E10300" t="s">
        <v>29670</v>
      </c>
      <c r="F10300" t="s">
        <v>29671</v>
      </c>
      <c r="J10300" t="s">
        <v>29670</v>
      </c>
      <c r="K10300" t="s">
        <v>29660</v>
      </c>
      <c r="L10300" t="s">
        <v>916</v>
      </c>
    </row>
    <row r="10301" spans="1:12">
      <c r="A10301" t="s">
        <v>29654</v>
      </c>
      <c r="B10301" t="s">
        <v>29655</v>
      </c>
      <c r="C10301" t="s">
        <v>29672</v>
      </c>
      <c r="D10301" t="s">
        <v>29657</v>
      </c>
      <c r="E10301" t="s">
        <v>29673</v>
      </c>
      <c r="F10301" t="s">
        <v>29674</v>
      </c>
      <c r="J10301" t="s">
        <v>29673</v>
      </c>
      <c r="K10301" t="s">
        <v>29660</v>
      </c>
      <c r="L10301" t="s">
        <v>916</v>
      </c>
    </row>
    <row r="10302" spans="1:12">
      <c r="A10302" t="s">
        <v>29654</v>
      </c>
      <c r="B10302" t="s">
        <v>29655</v>
      </c>
      <c r="C10302" t="s">
        <v>29675</v>
      </c>
      <c r="D10302" t="s">
        <v>29657</v>
      </c>
      <c r="E10302" t="s">
        <v>29676</v>
      </c>
      <c r="F10302" t="s">
        <v>29677</v>
      </c>
      <c r="J10302" t="s">
        <v>29676</v>
      </c>
      <c r="K10302" t="s">
        <v>29660</v>
      </c>
      <c r="L10302" t="s">
        <v>916</v>
      </c>
    </row>
    <row r="10303" spans="1:12">
      <c r="A10303" t="s">
        <v>29654</v>
      </c>
      <c r="B10303" t="s">
        <v>29655</v>
      </c>
      <c r="C10303" t="s">
        <v>29678</v>
      </c>
      <c r="D10303" t="s">
        <v>29657</v>
      </c>
      <c r="E10303" t="s">
        <v>29679</v>
      </c>
      <c r="F10303" t="s">
        <v>29680</v>
      </c>
      <c r="J10303" t="s">
        <v>29679</v>
      </c>
      <c r="K10303" t="s">
        <v>29660</v>
      </c>
      <c r="L10303" t="s">
        <v>916</v>
      </c>
    </row>
    <row r="10304" spans="1:12">
      <c r="A10304" t="s">
        <v>29654</v>
      </c>
      <c r="B10304" t="s">
        <v>29655</v>
      </c>
      <c r="C10304" t="s">
        <v>29681</v>
      </c>
      <c r="D10304" t="s">
        <v>29657</v>
      </c>
      <c r="E10304" t="s">
        <v>29682</v>
      </c>
      <c r="F10304" t="s">
        <v>29683</v>
      </c>
      <c r="J10304" t="s">
        <v>29682</v>
      </c>
      <c r="K10304" t="s">
        <v>29660</v>
      </c>
      <c r="L10304" t="s">
        <v>916</v>
      </c>
    </row>
    <row r="10305" spans="1:12">
      <c r="A10305" t="s">
        <v>29654</v>
      </c>
      <c r="B10305" t="s">
        <v>29655</v>
      </c>
      <c r="C10305" t="s">
        <v>29684</v>
      </c>
      <c r="D10305" t="s">
        <v>29657</v>
      </c>
      <c r="E10305" t="s">
        <v>29685</v>
      </c>
      <c r="F10305" t="s">
        <v>29686</v>
      </c>
      <c r="J10305" t="s">
        <v>29685</v>
      </c>
      <c r="K10305" t="s">
        <v>29660</v>
      </c>
      <c r="L10305" t="s">
        <v>916</v>
      </c>
    </row>
    <row r="10306" spans="1:12">
      <c r="A10306" t="s">
        <v>29654</v>
      </c>
      <c r="B10306" t="s">
        <v>29655</v>
      </c>
      <c r="C10306" t="s">
        <v>29687</v>
      </c>
      <c r="D10306" t="s">
        <v>29657</v>
      </c>
      <c r="E10306" t="s">
        <v>29688</v>
      </c>
      <c r="F10306" t="s">
        <v>29689</v>
      </c>
      <c r="J10306" t="s">
        <v>29688</v>
      </c>
      <c r="K10306" t="s">
        <v>29660</v>
      </c>
      <c r="L10306" t="s">
        <v>916</v>
      </c>
    </row>
    <row r="10307" spans="1:12">
      <c r="A10307" t="s">
        <v>29654</v>
      </c>
      <c r="B10307" t="s">
        <v>29655</v>
      </c>
      <c r="C10307" t="s">
        <v>29690</v>
      </c>
      <c r="D10307" t="s">
        <v>29657</v>
      </c>
      <c r="E10307" t="s">
        <v>29691</v>
      </c>
      <c r="F10307" t="s">
        <v>29692</v>
      </c>
      <c r="J10307" t="s">
        <v>29691</v>
      </c>
      <c r="K10307" t="s">
        <v>29660</v>
      </c>
      <c r="L10307" t="s">
        <v>916</v>
      </c>
    </row>
    <row r="10308" spans="1:12">
      <c r="A10308" t="s">
        <v>29654</v>
      </c>
      <c r="B10308" t="s">
        <v>29655</v>
      </c>
      <c r="C10308" t="s">
        <v>29693</v>
      </c>
      <c r="D10308" t="s">
        <v>29657</v>
      </c>
      <c r="E10308" t="s">
        <v>29694</v>
      </c>
      <c r="F10308" t="s">
        <v>29695</v>
      </c>
      <c r="J10308" t="s">
        <v>29694</v>
      </c>
      <c r="K10308" t="s">
        <v>29660</v>
      </c>
      <c r="L10308" t="s">
        <v>916</v>
      </c>
    </row>
    <row r="10309" spans="1:12">
      <c r="A10309" t="s">
        <v>29654</v>
      </c>
      <c r="B10309" t="s">
        <v>29655</v>
      </c>
      <c r="C10309" t="s">
        <v>29696</v>
      </c>
      <c r="D10309" t="s">
        <v>29657</v>
      </c>
      <c r="E10309" t="s">
        <v>18263</v>
      </c>
      <c r="F10309" t="s">
        <v>29697</v>
      </c>
      <c r="J10309" t="s">
        <v>18263</v>
      </c>
      <c r="K10309" t="s">
        <v>29660</v>
      </c>
      <c r="L10309" t="s">
        <v>916</v>
      </c>
    </row>
    <row r="10310" spans="1:12">
      <c r="A10310" t="s">
        <v>29654</v>
      </c>
      <c r="B10310" t="s">
        <v>29655</v>
      </c>
      <c r="C10310" t="s">
        <v>29698</v>
      </c>
      <c r="D10310" t="s">
        <v>29657</v>
      </c>
      <c r="E10310" t="s">
        <v>29699</v>
      </c>
      <c r="F10310" t="s">
        <v>29700</v>
      </c>
      <c r="J10310" t="s">
        <v>29699</v>
      </c>
      <c r="K10310" t="s">
        <v>29660</v>
      </c>
      <c r="L10310" t="s">
        <v>916</v>
      </c>
    </row>
    <row r="10311" spans="1:12">
      <c r="A10311" t="s">
        <v>29654</v>
      </c>
      <c r="B10311" t="s">
        <v>29655</v>
      </c>
      <c r="C10311" t="s">
        <v>29701</v>
      </c>
      <c r="D10311" t="s">
        <v>29657</v>
      </c>
      <c r="E10311" t="s">
        <v>9493</v>
      </c>
      <c r="F10311" t="s">
        <v>29702</v>
      </c>
    </row>
    <row r="10312" spans="1:12">
      <c r="A10312" t="s">
        <v>29654</v>
      </c>
      <c r="B10312" t="s">
        <v>29655</v>
      </c>
      <c r="C10312" t="s">
        <v>29703</v>
      </c>
      <c r="D10312" t="s">
        <v>29657</v>
      </c>
      <c r="E10312" t="s">
        <v>29704</v>
      </c>
      <c r="F10312" t="s">
        <v>29705</v>
      </c>
      <c r="J10312" t="s">
        <v>29704</v>
      </c>
      <c r="K10312" t="s">
        <v>29660</v>
      </c>
      <c r="L10312" t="s">
        <v>916</v>
      </c>
    </row>
    <row r="10313" spans="1:12">
      <c r="A10313" t="s">
        <v>29654</v>
      </c>
      <c r="B10313" t="s">
        <v>29655</v>
      </c>
      <c r="C10313" t="s">
        <v>29706</v>
      </c>
      <c r="D10313" t="s">
        <v>29657</v>
      </c>
      <c r="E10313" t="s">
        <v>655</v>
      </c>
      <c r="F10313" t="s">
        <v>656</v>
      </c>
    </row>
    <row r="10314" spans="1:12">
      <c r="A10314" t="s">
        <v>29707</v>
      </c>
      <c r="B10314" t="s">
        <v>29708</v>
      </c>
      <c r="C10314" t="s">
        <v>29709</v>
      </c>
      <c r="D10314" t="s">
        <v>29710</v>
      </c>
      <c r="E10314" t="s">
        <v>29711</v>
      </c>
      <c r="F10314" t="s">
        <v>29712</v>
      </c>
      <c r="J10314" t="s">
        <v>29711</v>
      </c>
      <c r="K10314" t="s">
        <v>5300</v>
      </c>
      <c r="L10314" t="s">
        <v>814</v>
      </c>
    </row>
    <row r="10315" spans="1:12">
      <c r="A10315" t="s">
        <v>29707</v>
      </c>
      <c r="B10315" t="s">
        <v>29708</v>
      </c>
      <c r="C10315" t="s">
        <v>29713</v>
      </c>
      <c r="D10315" t="s">
        <v>29710</v>
      </c>
      <c r="E10315" t="s">
        <v>29714</v>
      </c>
      <c r="F10315" t="s">
        <v>29715</v>
      </c>
      <c r="J10315" t="s">
        <v>29714</v>
      </c>
      <c r="K10315" t="s">
        <v>5300</v>
      </c>
      <c r="L10315" t="s">
        <v>814</v>
      </c>
    </row>
    <row r="10316" spans="1:12">
      <c r="A10316" t="s">
        <v>29707</v>
      </c>
      <c r="B10316" t="s">
        <v>29708</v>
      </c>
      <c r="C10316" t="s">
        <v>29716</v>
      </c>
      <c r="D10316" t="s">
        <v>29710</v>
      </c>
      <c r="E10316" t="s">
        <v>24900</v>
      </c>
      <c r="F10316" t="s">
        <v>29717</v>
      </c>
      <c r="J10316" t="s">
        <v>24900</v>
      </c>
      <c r="K10316" t="s">
        <v>5300</v>
      </c>
      <c r="L10316" t="s">
        <v>814</v>
      </c>
    </row>
    <row r="10317" spans="1:12">
      <c r="A10317" t="s">
        <v>29707</v>
      </c>
      <c r="B10317" t="s">
        <v>29708</v>
      </c>
      <c r="C10317" t="s">
        <v>29718</v>
      </c>
      <c r="D10317" t="s">
        <v>29710</v>
      </c>
      <c r="E10317" t="s">
        <v>17472</v>
      </c>
      <c r="F10317" t="s">
        <v>29719</v>
      </c>
      <c r="J10317" t="s">
        <v>17472</v>
      </c>
      <c r="K10317" t="s">
        <v>5300</v>
      </c>
      <c r="L10317" t="s">
        <v>814</v>
      </c>
    </row>
    <row r="10318" spans="1:12">
      <c r="A10318" t="s">
        <v>29707</v>
      </c>
      <c r="B10318" t="s">
        <v>29708</v>
      </c>
      <c r="C10318" t="s">
        <v>29720</v>
      </c>
      <c r="D10318" t="s">
        <v>29710</v>
      </c>
      <c r="E10318" t="s">
        <v>29721</v>
      </c>
      <c r="F10318" t="s">
        <v>29722</v>
      </c>
      <c r="J10318" t="s">
        <v>29721</v>
      </c>
      <c r="K10318" t="s">
        <v>5300</v>
      </c>
      <c r="L10318" t="s">
        <v>814</v>
      </c>
    </row>
    <row r="10319" spans="1:12">
      <c r="A10319" t="s">
        <v>29707</v>
      </c>
      <c r="B10319" t="s">
        <v>29708</v>
      </c>
      <c r="C10319" t="s">
        <v>29723</v>
      </c>
      <c r="D10319" t="s">
        <v>29710</v>
      </c>
      <c r="E10319" t="s">
        <v>19023</v>
      </c>
      <c r="F10319" t="s">
        <v>29724</v>
      </c>
      <c r="J10319" t="s">
        <v>19023</v>
      </c>
      <c r="K10319" t="s">
        <v>5300</v>
      </c>
      <c r="L10319" t="s">
        <v>814</v>
      </c>
    </row>
    <row r="10320" spans="1:12">
      <c r="A10320" t="s">
        <v>29707</v>
      </c>
      <c r="B10320" t="s">
        <v>29708</v>
      </c>
      <c r="C10320" t="s">
        <v>29725</v>
      </c>
      <c r="D10320" t="s">
        <v>29710</v>
      </c>
      <c r="E10320" t="s">
        <v>20070</v>
      </c>
      <c r="F10320" t="s">
        <v>29726</v>
      </c>
      <c r="J10320" t="s">
        <v>20070</v>
      </c>
      <c r="K10320" t="s">
        <v>5300</v>
      </c>
      <c r="L10320" t="s">
        <v>814</v>
      </c>
    </row>
    <row r="10321" spans="1:12">
      <c r="A10321" t="s">
        <v>29707</v>
      </c>
      <c r="B10321" t="s">
        <v>29708</v>
      </c>
      <c r="C10321" t="s">
        <v>29727</v>
      </c>
      <c r="D10321" t="s">
        <v>29710</v>
      </c>
      <c r="E10321" t="s">
        <v>25949</v>
      </c>
      <c r="F10321" t="s">
        <v>29726</v>
      </c>
      <c r="J10321" t="s">
        <v>25949</v>
      </c>
      <c r="K10321" t="s">
        <v>5300</v>
      </c>
      <c r="L10321" t="s">
        <v>814</v>
      </c>
    </row>
    <row r="10322" spans="1:12">
      <c r="A10322" t="s">
        <v>29707</v>
      </c>
      <c r="B10322" t="s">
        <v>29708</v>
      </c>
      <c r="C10322" t="s">
        <v>29728</v>
      </c>
      <c r="D10322" t="s">
        <v>29710</v>
      </c>
      <c r="E10322" t="s">
        <v>4292</v>
      </c>
      <c r="F10322" t="s">
        <v>29729</v>
      </c>
    </row>
    <row r="10323" spans="1:12">
      <c r="A10323" t="s">
        <v>29707</v>
      </c>
      <c r="B10323" t="s">
        <v>29708</v>
      </c>
      <c r="C10323" t="s">
        <v>29730</v>
      </c>
      <c r="D10323" t="s">
        <v>29710</v>
      </c>
      <c r="E10323" t="s">
        <v>1049</v>
      </c>
      <c r="F10323" t="s">
        <v>29731</v>
      </c>
    </row>
    <row r="10324" spans="1:12">
      <c r="A10324" t="s">
        <v>29707</v>
      </c>
      <c r="B10324" t="s">
        <v>29708</v>
      </c>
      <c r="C10324" t="s">
        <v>29732</v>
      </c>
      <c r="D10324" t="s">
        <v>29710</v>
      </c>
      <c r="E10324" t="s">
        <v>20593</v>
      </c>
      <c r="F10324" t="s">
        <v>29733</v>
      </c>
      <c r="J10324" t="s">
        <v>20593</v>
      </c>
      <c r="K10324" t="s">
        <v>5300</v>
      </c>
      <c r="L10324" t="s">
        <v>814</v>
      </c>
    </row>
    <row r="10325" spans="1:12">
      <c r="A10325" t="s">
        <v>29707</v>
      </c>
      <c r="B10325" t="s">
        <v>29708</v>
      </c>
      <c r="C10325" t="s">
        <v>29734</v>
      </c>
      <c r="D10325" t="s">
        <v>29710</v>
      </c>
      <c r="E10325" t="s">
        <v>21248</v>
      </c>
      <c r="F10325" t="s">
        <v>29735</v>
      </c>
      <c r="J10325" t="s">
        <v>21248</v>
      </c>
      <c r="K10325" t="s">
        <v>5300</v>
      </c>
      <c r="L10325" t="s">
        <v>814</v>
      </c>
    </row>
    <row r="10326" spans="1:12">
      <c r="A10326" t="s">
        <v>29707</v>
      </c>
      <c r="B10326" t="s">
        <v>29708</v>
      </c>
      <c r="C10326" t="s">
        <v>29736</v>
      </c>
      <c r="D10326" t="s">
        <v>29710</v>
      </c>
      <c r="E10326" t="s">
        <v>29737</v>
      </c>
      <c r="F10326" t="s">
        <v>29738</v>
      </c>
      <c r="J10326" t="s">
        <v>29737</v>
      </c>
      <c r="K10326" t="s">
        <v>5300</v>
      </c>
      <c r="L10326" t="s">
        <v>814</v>
      </c>
    </row>
    <row r="10327" spans="1:12">
      <c r="A10327" t="s">
        <v>29707</v>
      </c>
      <c r="B10327" t="s">
        <v>29708</v>
      </c>
      <c r="C10327" t="s">
        <v>29739</v>
      </c>
      <c r="D10327" t="s">
        <v>29710</v>
      </c>
      <c r="E10327" t="s">
        <v>655</v>
      </c>
      <c r="F10327" t="s">
        <v>656</v>
      </c>
    </row>
    <row r="10328" spans="1:12">
      <c r="A10328" t="s">
        <v>29740</v>
      </c>
      <c r="B10328" t="s">
        <v>29741</v>
      </c>
      <c r="C10328" t="s">
        <v>29742</v>
      </c>
      <c r="D10328" t="s">
        <v>29743</v>
      </c>
      <c r="E10328" t="s">
        <v>28746</v>
      </c>
      <c r="F10328" t="s">
        <v>28943</v>
      </c>
      <c r="J10328" t="s">
        <v>28746</v>
      </c>
      <c r="K10328" t="s">
        <v>3768</v>
      </c>
      <c r="L10328" t="s">
        <v>664</v>
      </c>
    </row>
    <row r="10329" spans="1:12">
      <c r="A10329" t="s">
        <v>29740</v>
      </c>
      <c r="B10329" t="s">
        <v>29741</v>
      </c>
      <c r="C10329" t="s">
        <v>29744</v>
      </c>
      <c r="D10329" t="s">
        <v>29743</v>
      </c>
      <c r="E10329" t="s">
        <v>14366</v>
      </c>
      <c r="F10329" t="s">
        <v>29745</v>
      </c>
      <c r="J10329" t="s">
        <v>14366</v>
      </c>
      <c r="K10329" t="s">
        <v>3768</v>
      </c>
      <c r="L10329" t="s">
        <v>664</v>
      </c>
    </row>
    <row r="10330" spans="1:12">
      <c r="A10330" t="s">
        <v>29740</v>
      </c>
      <c r="B10330" t="s">
        <v>29741</v>
      </c>
      <c r="C10330" t="s">
        <v>29746</v>
      </c>
      <c r="D10330" t="s">
        <v>29743</v>
      </c>
      <c r="E10330" t="s">
        <v>29747</v>
      </c>
      <c r="F10330" t="s">
        <v>27021</v>
      </c>
      <c r="J10330" t="s">
        <v>29747</v>
      </c>
      <c r="K10330" t="s">
        <v>3768</v>
      </c>
      <c r="L10330" t="s">
        <v>664</v>
      </c>
    </row>
    <row r="10331" spans="1:12">
      <c r="A10331" t="s">
        <v>29740</v>
      </c>
      <c r="B10331" t="s">
        <v>29741</v>
      </c>
      <c r="C10331" t="s">
        <v>29748</v>
      </c>
      <c r="D10331" t="s">
        <v>29743</v>
      </c>
      <c r="E10331" t="s">
        <v>655</v>
      </c>
      <c r="F10331" t="s">
        <v>656</v>
      </c>
    </row>
    <row r="10332" spans="1:12">
      <c r="A10332" t="s">
        <v>29749</v>
      </c>
      <c r="B10332" t="s">
        <v>29750</v>
      </c>
      <c r="C10332" t="s">
        <v>29751</v>
      </c>
      <c r="D10332" t="s">
        <v>29752</v>
      </c>
      <c r="E10332" t="s">
        <v>6584</v>
      </c>
      <c r="F10332" t="s">
        <v>13712</v>
      </c>
    </row>
    <row r="10333" spans="1:12">
      <c r="A10333" t="s">
        <v>29749</v>
      </c>
      <c r="B10333" t="s">
        <v>29750</v>
      </c>
      <c r="C10333" t="s">
        <v>29753</v>
      </c>
      <c r="D10333" t="s">
        <v>29752</v>
      </c>
      <c r="E10333" t="s">
        <v>27137</v>
      </c>
      <c r="F10333" t="s">
        <v>29754</v>
      </c>
    </row>
    <row r="10334" spans="1:12">
      <c r="A10334" t="s">
        <v>29749</v>
      </c>
      <c r="B10334" t="s">
        <v>29750</v>
      </c>
      <c r="C10334" t="s">
        <v>29755</v>
      </c>
      <c r="D10334" t="s">
        <v>29752</v>
      </c>
      <c r="E10334" t="s">
        <v>29756</v>
      </c>
      <c r="F10334" t="s">
        <v>29757</v>
      </c>
      <c r="J10334" t="s">
        <v>29756</v>
      </c>
      <c r="K10334" t="s">
        <v>7010</v>
      </c>
      <c r="L10334" t="s">
        <v>916</v>
      </c>
    </row>
    <row r="10335" spans="1:12">
      <c r="A10335" t="s">
        <v>29749</v>
      </c>
      <c r="B10335" t="s">
        <v>29750</v>
      </c>
      <c r="C10335" t="s">
        <v>29758</v>
      </c>
      <c r="D10335" t="s">
        <v>29752</v>
      </c>
      <c r="E10335" t="s">
        <v>29759</v>
      </c>
      <c r="F10335" t="s">
        <v>29760</v>
      </c>
      <c r="J10335" t="s">
        <v>29759</v>
      </c>
      <c r="K10335" t="s">
        <v>7010</v>
      </c>
      <c r="L10335" t="s">
        <v>916</v>
      </c>
    </row>
    <row r="10336" spans="1:12">
      <c r="A10336" t="s">
        <v>29749</v>
      </c>
      <c r="B10336" t="s">
        <v>29750</v>
      </c>
      <c r="C10336" t="s">
        <v>29761</v>
      </c>
      <c r="D10336" t="s">
        <v>29752</v>
      </c>
      <c r="E10336" t="s">
        <v>21159</v>
      </c>
      <c r="F10336" t="s">
        <v>29762</v>
      </c>
      <c r="J10336" t="s">
        <v>21159</v>
      </c>
      <c r="K10336" t="s">
        <v>7010</v>
      </c>
      <c r="L10336" t="s">
        <v>916</v>
      </c>
    </row>
    <row r="10337" spans="1:12">
      <c r="A10337" t="s">
        <v>29749</v>
      </c>
      <c r="B10337" t="s">
        <v>29750</v>
      </c>
      <c r="C10337" t="s">
        <v>29763</v>
      </c>
      <c r="D10337" t="s">
        <v>29752</v>
      </c>
      <c r="E10337" t="s">
        <v>655</v>
      </c>
      <c r="F10337" t="s">
        <v>656</v>
      </c>
    </row>
    <row r="10338" spans="1:12">
      <c r="A10338" t="s">
        <v>6926</v>
      </c>
      <c r="B10338" t="s">
        <v>29764</v>
      </c>
      <c r="C10338" t="s">
        <v>29765</v>
      </c>
      <c r="D10338" t="s">
        <v>29766</v>
      </c>
      <c r="E10338" t="s">
        <v>16066</v>
      </c>
      <c r="F10338" t="s">
        <v>29767</v>
      </c>
    </row>
    <row r="10339" spans="1:12">
      <c r="A10339" t="s">
        <v>6926</v>
      </c>
      <c r="B10339" t="s">
        <v>29764</v>
      </c>
      <c r="C10339" t="s">
        <v>29768</v>
      </c>
      <c r="D10339" t="s">
        <v>29766</v>
      </c>
      <c r="E10339" t="s">
        <v>6348</v>
      </c>
      <c r="F10339" t="s">
        <v>10524</v>
      </c>
    </row>
    <row r="10340" spans="1:12">
      <c r="A10340" t="s">
        <v>6926</v>
      </c>
      <c r="B10340" t="s">
        <v>29764</v>
      </c>
      <c r="C10340" t="s">
        <v>29769</v>
      </c>
      <c r="D10340" t="s">
        <v>29766</v>
      </c>
      <c r="E10340" t="s">
        <v>3227</v>
      </c>
      <c r="F10340" t="s">
        <v>10530</v>
      </c>
    </row>
    <row r="10341" spans="1:12">
      <c r="A10341" t="s">
        <v>6926</v>
      </c>
      <c r="B10341" t="s">
        <v>29764</v>
      </c>
      <c r="C10341" t="s">
        <v>29770</v>
      </c>
      <c r="D10341" t="s">
        <v>29766</v>
      </c>
      <c r="E10341" t="s">
        <v>1544</v>
      </c>
      <c r="F10341" t="s">
        <v>10527</v>
      </c>
    </row>
    <row r="10342" spans="1:12">
      <c r="A10342" t="s">
        <v>6926</v>
      </c>
      <c r="B10342" t="s">
        <v>29764</v>
      </c>
      <c r="C10342" t="s">
        <v>29771</v>
      </c>
      <c r="D10342" t="s">
        <v>29766</v>
      </c>
      <c r="E10342" t="s">
        <v>29772</v>
      </c>
      <c r="F10342" t="s">
        <v>29773</v>
      </c>
    </row>
    <row r="10343" spans="1:12">
      <c r="A10343" t="s">
        <v>6926</v>
      </c>
      <c r="B10343" t="s">
        <v>29764</v>
      </c>
      <c r="C10343" t="s">
        <v>29774</v>
      </c>
      <c r="D10343" t="s">
        <v>29766</v>
      </c>
      <c r="E10343" t="s">
        <v>10541</v>
      </c>
      <c r="F10343" t="s">
        <v>29775</v>
      </c>
    </row>
    <row r="10344" spans="1:12">
      <c r="A10344" t="s">
        <v>6926</v>
      </c>
      <c r="B10344" t="s">
        <v>29764</v>
      </c>
      <c r="C10344" t="s">
        <v>29776</v>
      </c>
      <c r="D10344" t="s">
        <v>29766</v>
      </c>
      <c r="E10344" t="s">
        <v>10680</v>
      </c>
      <c r="F10344" t="s">
        <v>10681</v>
      </c>
    </row>
    <row r="10345" spans="1:12">
      <c r="A10345" t="s">
        <v>6926</v>
      </c>
      <c r="B10345" t="s">
        <v>29764</v>
      </c>
      <c r="C10345" t="s">
        <v>29777</v>
      </c>
      <c r="D10345" t="s">
        <v>29766</v>
      </c>
      <c r="E10345" t="s">
        <v>29778</v>
      </c>
      <c r="F10345" t="s">
        <v>10548</v>
      </c>
    </row>
    <row r="10346" spans="1:12">
      <c r="A10346" t="s">
        <v>6926</v>
      </c>
      <c r="B10346" t="s">
        <v>29764</v>
      </c>
      <c r="C10346" t="s">
        <v>29779</v>
      </c>
      <c r="D10346" t="s">
        <v>29766</v>
      </c>
      <c r="E10346" t="s">
        <v>3566</v>
      </c>
      <c r="F10346" t="s">
        <v>8151</v>
      </c>
    </row>
    <row r="10347" spans="1:12">
      <c r="A10347" t="s">
        <v>6926</v>
      </c>
      <c r="B10347" t="s">
        <v>29764</v>
      </c>
      <c r="C10347" t="s">
        <v>29780</v>
      </c>
      <c r="D10347" t="s">
        <v>29766</v>
      </c>
      <c r="E10347" t="s">
        <v>10551</v>
      </c>
      <c r="F10347" t="s">
        <v>10552</v>
      </c>
    </row>
    <row r="10348" spans="1:12">
      <c r="A10348" t="s">
        <v>6926</v>
      </c>
      <c r="B10348" t="s">
        <v>29764</v>
      </c>
      <c r="C10348" t="s">
        <v>29781</v>
      </c>
      <c r="D10348" t="s">
        <v>29766</v>
      </c>
      <c r="E10348" t="s">
        <v>7945</v>
      </c>
      <c r="F10348" t="s">
        <v>10563</v>
      </c>
    </row>
    <row r="10349" spans="1:12">
      <c r="A10349" t="s">
        <v>6926</v>
      </c>
      <c r="B10349" t="s">
        <v>29764</v>
      </c>
      <c r="C10349" t="s">
        <v>29782</v>
      </c>
      <c r="D10349" t="s">
        <v>29766</v>
      </c>
      <c r="E10349" t="s">
        <v>897</v>
      </c>
      <c r="F10349" t="s">
        <v>29783</v>
      </c>
    </row>
    <row r="10350" spans="1:12">
      <c r="A10350" t="s">
        <v>6926</v>
      </c>
      <c r="B10350" t="s">
        <v>29764</v>
      </c>
      <c r="C10350" t="s">
        <v>29784</v>
      </c>
      <c r="D10350" t="s">
        <v>29766</v>
      </c>
      <c r="E10350" t="s">
        <v>9851</v>
      </c>
      <c r="F10350" t="s">
        <v>29785</v>
      </c>
      <c r="J10350" t="s">
        <v>9851</v>
      </c>
      <c r="K10350" t="s">
        <v>29786</v>
      </c>
      <c r="L10350" t="s">
        <v>814</v>
      </c>
    </row>
    <row r="10351" spans="1:12">
      <c r="A10351" t="s">
        <v>6926</v>
      </c>
      <c r="B10351" t="s">
        <v>29764</v>
      </c>
      <c r="C10351" t="s">
        <v>29787</v>
      </c>
      <c r="D10351" t="s">
        <v>29766</v>
      </c>
      <c r="E10351" t="s">
        <v>9876</v>
      </c>
      <c r="F10351" t="s">
        <v>10575</v>
      </c>
    </row>
    <row r="10352" spans="1:12">
      <c r="A10352" t="s">
        <v>6926</v>
      </c>
      <c r="B10352" t="s">
        <v>29764</v>
      </c>
      <c r="C10352" t="s">
        <v>29788</v>
      </c>
      <c r="D10352" t="s">
        <v>29766</v>
      </c>
      <c r="E10352" t="s">
        <v>25037</v>
      </c>
      <c r="F10352" t="s">
        <v>29789</v>
      </c>
    </row>
    <row r="10353" spans="1:12">
      <c r="A10353" t="s">
        <v>6926</v>
      </c>
      <c r="B10353" t="s">
        <v>29764</v>
      </c>
      <c r="C10353" t="s">
        <v>29790</v>
      </c>
      <c r="D10353" t="s">
        <v>29766</v>
      </c>
      <c r="E10353" t="s">
        <v>20336</v>
      </c>
      <c r="F10353" t="s">
        <v>10545</v>
      </c>
    </row>
    <row r="10354" spans="1:12">
      <c r="A10354" t="s">
        <v>6926</v>
      </c>
      <c r="B10354" t="s">
        <v>29764</v>
      </c>
      <c r="C10354" t="s">
        <v>29791</v>
      </c>
      <c r="D10354" t="s">
        <v>29766</v>
      </c>
      <c r="E10354" t="s">
        <v>29792</v>
      </c>
      <c r="F10354" t="s">
        <v>10567</v>
      </c>
    </row>
    <row r="10355" spans="1:12">
      <c r="A10355" t="s">
        <v>6926</v>
      </c>
      <c r="B10355" t="s">
        <v>29764</v>
      </c>
      <c r="C10355" t="s">
        <v>29793</v>
      </c>
      <c r="D10355" t="s">
        <v>29766</v>
      </c>
      <c r="E10355" t="s">
        <v>9964</v>
      </c>
      <c r="F10355" t="s">
        <v>29794</v>
      </c>
    </row>
    <row r="10356" spans="1:12">
      <c r="A10356" t="s">
        <v>6926</v>
      </c>
      <c r="B10356" t="s">
        <v>29764</v>
      </c>
      <c r="C10356" t="s">
        <v>29795</v>
      </c>
      <c r="D10356" t="s">
        <v>29766</v>
      </c>
      <c r="E10356" t="s">
        <v>655</v>
      </c>
      <c r="F10356" t="s">
        <v>656</v>
      </c>
    </row>
    <row r="10357" spans="1:12">
      <c r="A10357" t="s">
        <v>29796</v>
      </c>
      <c r="B10357" t="s">
        <v>29797</v>
      </c>
      <c r="C10357" t="s">
        <v>29798</v>
      </c>
      <c r="D10357" t="s">
        <v>29799</v>
      </c>
      <c r="E10357" t="s">
        <v>16010</v>
      </c>
      <c r="F10357" t="s">
        <v>29800</v>
      </c>
      <c r="J10357" t="s">
        <v>16010</v>
      </c>
      <c r="K10357" t="s">
        <v>29801</v>
      </c>
      <c r="L10357" t="s">
        <v>664</v>
      </c>
    </row>
    <row r="10358" spans="1:12">
      <c r="A10358" t="s">
        <v>29796</v>
      </c>
      <c r="B10358" t="s">
        <v>29797</v>
      </c>
      <c r="C10358" t="s">
        <v>29802</v>
      </c>
      <c r="D10358" t="s">
        <v>29799</v>
      </c>
      <c r="E10358" t="s">
        <v>6348</v>
      </c>
      <c r="F10358" t="s">
        <v>29803</v>
      </c>
    </row>
    <row r="10359" spans="1:12">
      <c r="A10359" t="s">
        <v>29796</v>
      </c>
      <c r="B10359" t="s">
        <v>29797</v>
      </c>
      <c r="C10359" t="s">
        <v>29804</v>
      </c>
      <c r="D10359" t="s">
        <v>29799</v>
      </c>
      <c r="E10359" t="s">
        <v>1854</v>
      </c>
      <c r="F10359" t="s">
        <v>29805</v>
      </c>
      <c r="J10359" t="s">
        <v>1854</v>
      </c>
      <c r="K10359" t="s">
        <v>29801</v>
      </c>
      <c r="L10359" t="s">
        <v>664</v>
      </c>
    </row>
    <row r="10360" spans="1:12">
      <c r="A10360" t="s">
        <v>29796</v>
      </c>
      <c r="B10360" t="s">
        <v>29797</v>
      </c>
      <c r="C10360" t="s">
        <v>29806</v>
      </c>
      <c r="D10360" t="s">
        <v>29799</v>
      </c>
      <c r="E10360" t="s">
        <v>29807</v>
      </c>
      <c r="F10360" t="s">
        <v>29808</v>
      </c>
      <c r="J10360" t="s">
        <v>29807</v>
      </c>
      <c r="K10360" t="s">
        <v>29801</v>
      </c>
      <c r="L10360" t="s">
        <v>664</v>
      </c>
    </row>
    <row r="10361" spans="1:12">
      <c r="A10361" t="s">
        <v>29796</v>
      </c>
      <c r="B10361" t="s">
        <v>29797</v>
      </c>
      <c r="C10361" t="s">
        <v>29809</v>
      </c>
      <c r="D10361" t="s">
        <v>29799</v>
      </c>
      <c r="E10361" t="s">
        <v>17826</v>
      </c>
      <c r="F10361" t="s">
        <v>29810</v>
      </c>
      <c r="J10361" t="s">
        <v>17826</v>
      </c>
      <c r="K10361" t="s">
        <v>29801</v>
      </c>
      <c r="L10361" t="s">
        <v>664</v>
      </c>
    </row>
    <row r="10362" spans="1:12">
      <c r="A10362" t="s">
        <v>29796</v>
      </c>
      <c r="B10362" t="s">
        <v>29797</v>
      </c>
      <c r="C10362" t="s">
        <v>29811</v>
      </c>
      <c r="D10362" t="s">
        <v>29799</v>
      </c>
      <c r="E10362" t="s">
        <v>11585</v>
      </c>
      <c r="F10362" t="s">
        <v>29812</v>
      </c>
      <c r="J10362" t="s">
        <v>11585</v>
      </c>
      <c r="K10362" t="s">
        <v>29801</v>
      </c>
      <c r="L10362" t="s">
        <v>664</v>
      </c>
    </row>
    <row r="10363" spans="1:12">
      <c r="A10363" t="s">
        <v>29796</v>
      </c>
      <c r="B10363" t="s">
        <v>29797</v>
      </c>
      <c r="C10363" t="s">
        <v>29813</v>
      </c>
      <c r="D10363" t="s">
        <v>29799</v>
      </c>
      <c r="E10363" t="s">
        <v>29814</v>
      </c>
      <c r="F10363" t="s">
        <v>29815</v>
      </c>
      <c r="J10363" t="s">
        <v>29814</v>
      </c>
      <c r="K10363" t="s">
        <v>29801</v>
      </c>
      <c r="L10363" t="s">
        <v>664</v>
      </c>
    </row>
    <row r="10364" spans="1:12">
      <c r="A10364" t="s">
        <v>29796</v>
      </c>
      <c r="B10364" t="s">
        <v>29797</v>
      </c>
      <c r="C10364" t="s">
        <v>29816</v>
      </c>
      <c r="D10364" t="s">
        <v>29799</v>
      </c>
      <c r="E10364" t="s">
        <v>5282</v>
      </c>
      <c r="F10364" t="s">
        <v>29817</v>
      </c>
      <c r="J10364" t="s">
        <v>5282</v>
      </c>
      <c r="K10364" t="s">
        <v>29801</v>
      </c>
      <c r="L10364" t="s">
        <v>664</v>
      </c>
    </row>
    <row r="10365" spans="1:12">
      <c r="A10365" t="s">
        <v>29796</v>
      </c>
      <c r="B10365" t="s">
        <v>29797</v>
      </c>
      <c r="C10365" t="s">
        <v>29818</v>
      </c>
      <c r="D10365" t="s">
        <v>29799</v>
      </c>
      <c r="E10365" t="s">
        <v>21361</v>
      </c>
      <c r="F10365" t="s">
        <v>29819</v>
      </c>
    </row>
    <row r="10366" spans="1:12">
      <c r="A10366" t="s">
        <v>29796</v>
      </c>
      <c r="B10366" t="s">
        <v>29797</v>
      </c>
      <c r="C10366" t="s">
        <v>29820</v>
      </c>
      <c r="D10366" t="s">
        <v>29799</v>
      </c>
      <c r="E10366" t="s">
        <v>655</v>
      </c>
      <c r="F10366" t="s">
        <v>656</v>
      </c>
    </row>
    <row r="10367" spans="1:12">
      <c r="A10367" t="s">
        <v>29821</v>
      </c>
      <c r="B10367" t="s">
        <v>29822</v>
      </c>
      <c r="C10367" t="s">
        <v>29823</v>
      </c>
      <c r="D10367" t="s">
        <v>29824</v>
      </c>
      <c r="E10367" t="s">
        <v>19167</v>
      </c>
      <c r="F10367" t="s">
        <v>29825</v>
      </c>
      <c r="J10367" t="s">
        <v>19167</v>
      </c>
      <c r="K10367" t="s">
        <v>29826</v>
      </c>
      <c r="L10367" t="s">
        <v>916</v>
      </c>
    </row>
    <row r="10368" spans="1:12">
      <c r="A10368" t="s">
        <v>29821</v>
      </c>
      <c r="B10368" t="s">
        <v>29822</v>
      </c>
      <c r="C10368" t="s">
        <v>29827</v>
      </c>
      <c r="D10368" t="s">
        <v>29824</v>
      </c>
      <c r="E10368" t="s">
        <v>655</v>
      </c>
      <c r="F10368" t="s">
        <v>656</v>
      </c>
    </row>
    <row r="10369" spans="1:12">
      <c r="A10369" t="s">
        <v>29828</v>
      </c>
      <c r="B10369" t="s">
        <v>29829</v>
      </c>
      <c r="C10369" t="s">
        <v>29830</v>
      </c>
      <c r="D10369" t="s">
        <v>29831</v>
      </c>
      <c r="E10369" t="s">
        <v>29832</v>
      </c>
      <c r="F10369" t="s">
        <v>29833</v>
      </c>
      <c r="J10369" t="s">
        <v>29832</v>
      </c>
      <c r="K10369" t="s">
        <v>8072</v>
      </c>
      <c r="L10369" t="s">
        <v>814</v>
      </c>
    </row>
    <row r="10370" spans="1:12">
      <c r="A10370" t="s">
        <v>29828</v>
      </c>
      <c r="B10370" t="s">
        <v>29829</v>
      </c>
      <c r="C10370" t="s">
        <v>29834</v>
      </c>
      <c r="D10370" t="s">
        <v>29831</v>
      </c>
      <c r="E10370" t="s">
        <v>29835</v>
      </c>
      <c r="F10370" t="s">
        <v>29836</v>
      </c>
      <c r="J10370" t="s">
        <v>29835</v>
      </c>
      <c r="K10370" t="s">
        <v>8072</v>
      </c>
      <c r="L10370" t="s">
        <v>814</v>
      </c>
    </row>
    <row r="10371" spans="1:12">
      <c r="A10371" t="s">
        <v>29828</v>
      </c>
      <c r="B10371" t="s">
        <v>29829</v>
      </c>
      <c r="C10371" t="s">
        <v>29837</v>
      </c>
      <c r="D10371" t="s">
        <v>29831</v>
      </c>
      <c r="E10371" t="s">
        <v>8349</v>
      </c>
      <c r="F10371" t="s">
        <v>29838</v>
      </c>
      <c r="J10371" t="s">
        <v>8349</v>
      </c>
      <c r="K10371" t="s">
        <v>8072</v>
      </c>
      <c r="L10371" t="s">
        <v>814</v>
      </c>
    </row>
    <row r="10372" spans="1:12">
      <c r="A10372" t="s">
        <v>29828</v>
      </c>
      <c r="B10372" t="s">
        <v>29829</v>
      </c>
      <c r="C10372" t="s">
        <v>29839</v>
      </c>
      <c r="D10372" t="s">
        <v>29831</v>
      </c>
      <c r="E10372" t="s">
        <v>5194</v>
      </c>
      <c r="F10372" t="s">
        <v>29840</v>
      </c>
      <c r="J10372" t="s">
        <v>5194</v>
      </c>
      <c r="K10372" t="s">
        <v>8072</v>
      </c>
      <c r="L10372" t="s">
        <v>814</v>
      </c>
    </row>
    <row r="10373" spans="1:12">
      <c r="A10373" t="s">
        <v>29828</v>
      </c>
      <c r="B10373" t="s">
        <v>29829</v>
      </c>
      <c r="C10373" t="s">
        <v>29841</v>
      </c>
      <c r="D10373" t="s">
        <v>29831</v>
      </c>
      <c r="E10373" t="s">
        <v>29842</v>
      </c>
      <c r="F10373" t="s">
        <v>29843</v>
      </c>
      <c r="J10373" t="s">
        <v>29842</v>
      </c>
      <c r="K10373" t="s">
        <v>8072</v>
      </c>
      <c r="L10373" t="s">
        <v>814</v>
      </c>
    </row>
    <row r="10374" spans="1:12">
      <c r="A10374" t="s">
        <v>29828</v>
      </c>
      <c r="B10374" t="s">
        <v>29829</v>
      </c>
      <c r="C10374" t="s">
        <v>29844</v>
      </c>
      <c r="D10374" t="s">
        <v>29831</v>
      </c>
      <c r="E10374" t="s">
        <v>25391</v>
      </c>
      <c r="F10374" t="s">
        <v>29845</v>
      </c>
      <c r="J10374" t="s">
        <v>25391</v>
      </c>
      <c r="K10374" t="s">
        <v>8072</v>
      </c>
      <c r="L10374" t="s">
        <v>814</v>
      </c>
    </row>
    <row r="10375" spans="1:12">
      <c r="A10375" t="s">
        <v>29828</v>
      </c>
      <c r="B10375" t="s">
        <v>29829</v>
      </c>
      <c r="C10375" t="s">
        <v>29846</v>
      </c>
      <c r="D10375" t="s">
        <v>29831</v>
      </c>
      <c r="E10375" t="s">
        <v>29847</v>
      </c>
      <c r="F10375" t="s">
        <v>29848</v>
      </c>
      <c r="J10375" t="s">
        <v>29847</v>
      </c>
      <c r="K10375" t="s">
        <v>8072</v>
      </c>
      <c r="L10375" t="s">
        <v>814</v>
      </c>
    </row>
    <row r="10376" spans="1:12">
      <c r="A10376" t="s">
        <v>29828</v>
      </c>
      <c r="B10376" t="s">
        <v>29829</v>
      </c>
      <c r="C10376" t="s">
        <v>29849</v>
      </c>
      <c r="D10376" t="s">
        <v>29831</v>
      </c>
      <c r="E10376" t="s">
        <v>655</v>
      </c>
      <c r="F10376" t="s">
        <v>656</v>
      </c>
    </row>
    <row r="10377" spans="1:12">
      <c r="A10377" t="s">
        <v>29850</v>
      </c>
      <c r="B10377" t="s">
        <v>29851</v>
      </c>
      <c r="C10377" t="s">
        <v>29852</v>
      </c>
      <c r="D10377" t="s">
        <v>29853</v>
      </c>
      <c r="E10377" t="s">
        <v>29854</v>
      </c>
      <c r="F10377" t="s">
        <v>29855</v>
      </c>
      <c r="J10377" t="s">
        <v>29854</v>
      </c>
      <c r="K10377" t="s">
        <v>29850</v>
      </c>
      <c r="L10377" t="s">
        <v>916</v>
      </c>
    </row>
    <row r="10378" spans="1:12">
      <c r="A10378" t="s">
        <v>29850</v>
      </c>
      <c r="B10378" t="s">
        <v>29851</v>
      </c>
      <c r="C10378" t="s">
        <v>29856</v>
      </c>
      <c r="D10378" t="s">
        <v>29853</v>
      </c>
      <c r="E10378" t="s">
        <v>16225</v>
      </c>
      <c r="F10378" t="s">
        <v>29857</v>
      </c>
      <c r="J10378" t="s">
        <v>16225</v>
      </c>
      <c r="K10378" t="s">
        <v>29850</v>
      </c>
      <c r="L10378" t="s">
        <v>916</v>
      </c>
    </row>
    <row r="10379" spans="1:12">
      <c r="A10379" t="s">
        <v>29850</v>
      </c>
      <c r="B10379" t="s">
        <v>29851</v>
      </c>
      <c r="C10379" t="s">
        <v>29858</v>
      </c>
      <c r="D10379" t="s">
        <v>29853</v>
      </c>
      <c r="E10379" t="s">
        <v>29859</v>
      </c>
      <c r="F10379" t="s">
        <v>29860</v>
      </c>
      <c r="J10379" t="s">
        <v>29859</v>
      </c>
      <c r="K10379" t="s">
        <v>29850</v>
      </c>
      <c r="L10379" t="s">
        <v>916</v>
      </c>
    </row>
    <row r="10380" spans="1:12">
      <c r="A10380" t="s">
        <v>29850</v>
      </c>
      <c r="B10380" t="s">
        <v>29851</v>
      </c>
      <c r="C10380" t="s">
        <v>29861</v>
      </c>
      <c r="D10380" t="s">
        <v>29853</v>
      </c>
      <c r="E10380" t="s">
        <v>29862</v>
      </c>
      <c r="F10380" t="s">
        <v>4148</v>
      </c>
      <c r="J10380" t="s">
        <v>29862</v>
      </c>
      <c r="K10380" t="s">
        <v>29850</v>
      </c>
      <c r="L10380" t="s">
        <v>916</v>
      </c>
    </row>
    <row r="10381" spans="1:12">
      <c r="A10381" t="s">
        <v>29850</v>
      </c>
      <c r="B10381" t="s">
        <v>29851</v>
      </c>
      <c r="C10381" t="s">
        <v>29863</v>
      </c>
      <c r="D10381" t="s">
        <v>29853</v>
      </c>
      <c r="E10381" t="s">
        <v>29864</v>
      </c>
      <c r="F10381" t="s">
        <v>29865</v>
      </c>
      <c r="J10381" t="s">
        <v>29864</v>
      </c>
      <c r="K10381" t="s">
        <v>29850</v>
      </c>
      <c r="L10381" t="s">
        <v>916</v>
      </c>
    </row>
    <row r="10382" spans="1:12">
      <c r="A10382" t="s">
        <v>29850</v>
      </c>
      <c r="B10382" t="s">
        <v>29851</v>
      </c>
      <c r="C10382" t="s">
        <v>29866</v>
      </c>
      <c r="D10382" t="s">
        <v>29853</v>
      </c>
      <c r="E10382" t="s">
        <v>29867</v>
      </c>
      <c r="F10382" t="s">
        <v>26008</v>
      </c>
      <c r="J10382" t="s">
        <v>29867</v>
      </c>
      <c r="K10382" t="s">
        <v>29850</v>
      </c>
      <c r="L10382" t="s">
        <v>916</v>
      </c>
    </row>
    <row r="10383" spans="1:12">
      <c r="A10383" t="s">
        <v>29850</v>
      </c>
      <c r="B10383" t="s">
        <v>29851</v>
      </c>
      <c r="C10383" t="s">
        <v>29868</v>
      </c>
      <c r="D10383" t="s">
        <v>29853</v>
      </c>
      <c r="E10383" t="s">
        <v>8578</v>
      </c>
      <c r="F10383" t="s">
        <v>29869</v>
      </c>
      <c r="J10383" t="s">
        <v>8578</v>
      </c>
      <c r="K10383" t="s">
        <v>29850</v>
      </c>
      <c r="L10383" t="s">
        <v>916</v>
      </c>
    </row>
    <row r="10384" spans="1:12">
      <c r="A10384" t="s">
        <v>29850</v>
      </c>
      <c r="B10384" t="s">
        <v>29851</v>
      </c>
      <c r="C10384" t="s">
        <v>29870</v>
      </c>
      <c r="D10384" t="s">
        <v>29853</v>
      </c>
      <c r="E10384" t="s">
        <v>29871</v>
      </c>
      <c r="F10384" t="s">
        <v>29872</v>
      </c>
      <c r="J10384" t="s">
        <v>29871</v>
      </c>
      <c r="K10384" t="s">
        <v>29850</v>
      </c>
      <c r="L10384" t="s">
        <v>916</v>
      </c>
    </row>
    <row r="10385" spans="1:12">
      <c r="A10385" t="s">
        <v>29850</v>
      </c>
      <c r="B10385" t="s">
        <v>29851</v>
      </c>
      <c r="C10385" t="s">
        <v>29873</v>
      </c>
      <c r="D10385" t="s">
        <v>29853</v>
      </c>
      <c r="E10385" t="s">
        <v>29874</v>
      </c>
      <c r="F10385" t="s">
        <v>11919</v>
      </c>
      <c r="J10385" t="s">
        <v>29874</v>
      </c>
      <c r="K10385" t="s">
        <v>29850</v>
      </c>
      <c r="L10385" t="s">
        <v>916</v>
      </c>
    </row>
    <row r="10386" spans="1:12">
      <c r="A10386" t="s">
        <v>29850</v>
      </c>
      <c r="B10386" t="s">
        <v>29851</v>
      </c>
      <c r="C10386" t="s">
        <v>29875</v>
      </c>
      <c r="D10386" t="s">
        <v>29853</v>
      </c>
      <c r="E10386" t="s">
        <v>29876</v>
      </c>
      <c r="F10386" t="s">
        <v>29877</v>
      </c>
      <c r="J10386" t="s">
        <v>29876</v>
      </c>
      <c r="K10386" t="s">
        <v>29850</v>
      </c>
      <c r="L10386" t="s">
        <v>916</v>
      </c>
    </row>
    <row r="10387" spans="1:12">
      <c r="A10387" t="s">
        <v>29850</v>
      </c>
      <c r="B10387" t="s">
        <v>29851</v>
      </c>
      <c r="C10387" t="s">
        <v>29878</v>
      </c>
      <c r="D10387" t="s">
        <v>29853</v>
      </c>
      <c r="E10387" t="s">
        <v>29879</v>
      </c>
      <c r="F10387" t="s">
        <v>29880</v>
      </c>
      <c r="J10387" t="s">
        <v>29879</v>
      </c>
      <c r="K10387" t="s">
        <v>29850</v>
      </c>
      <c r="L10387" t="s">
        <v>916</v>
      </c>
    </row>
    <row r="10388" spans="1:12">
      <c r="A10388" t="s">
        <v>29850</v>
      </c>
      <c r="B10388" t="s">
        <v>29851</v>
      </c>
      <c r="C10388" t="s">
        <v>29881</v>
      </c>
      <c r="D10388" t="s">
        <v>29853</v>
      </c>
      <c r="E10388" t="s">
        <v>28510</v>
      </c>
      <c r="F10388" t="s">
        <v>29882</v>
      </c>
      <c r="J10388" t="s">
        <v>28510</v>
      </c>
      <c r="K10388" t="s">
        <v>29850</v>
      </c>
      <c r="L10388" t="s">
        <v>916</v>
      </c>
    </row>
    <row r="10389" spans="1:12">
      <c r="A10389" t="s">
        <v>29850</v>
      </c>
      <c r="B10389" t="s">
        <v>29851</v>
      </c>
      <c r="C10389" t="s">
        <v>29883</v>
      </c>
      <c r="D10389" t="s">
        <v>29853</v>
      </c>
      <c r="E10389" t="s">
        <v>29884</v>
      </c>
      <c r="F10389" t="s">
        <v>29885</v>
      </c>
      <c r="J10389" t="s">
        <v>29884</v>
      </c>
      <c r="K10389" t="s">
        <v>29850</v>
      </c>
      <c r="L10389" t="s">
        <v>916</v>
      </c>
    </row>
    <row r="10390" spans="1:12">
      <c r="A10390" t="s">
        <v>29850</v>
      </c>
      <c r="B10390" t="s">
        <v>29851</v>
      </c>
      <c r="C10390" t="s">
        <v>29886</v>
      </c>
      <c r="D10390" t="s">
        <v>29853</v>
      </c>
      <c r="E10390" t="s">
        <v>29887</v>
      </c>
      <c r="F10390" t="s">
        <v>29888</v>
      </c>
      <c r="J10390" t="s">
        <v>29887</v>
      </c>
      <c r="K10390" t="s">
        <v>29850</v>
      </c>
      <c r="L10390" t="s">
        <v>916</v>
      </c>
    </row>
    <row r="10391" spans="1:12">
      <c r="A10391" t="s">
        <v>29850</v>
      </c>
      <c r="B10391" t="s">
        <v>29851</v>
      </c>
      <c r="C10391" t="s">
        <v>29889</v>
      </c>
      <c r="D10391" t="s">
        <v>29853</v>
      </c>
      <c r="E10391" t="s">
        <v>29890</v>
      </c>
      <c r="F10391" t="s">
        <v>3661</v>
      </c>
      <c r="J10391" t="s">
        <v>29890</v>
      </c>
      <c r="K10391" t="s">
        <v>29850</v>
      </c>
      <c r="L10391" t="s">
        <v>916</v>
      </c>
    </row>
    <row r="10392" spans="1:12">
      <c r="A10392" t="s">
        <v>29850</v>
      </c>
      <c r="B10392" t="s">
        <v>29851</v>
      </c>
      <c r="C10392" t="s">
        <v>29891</v>
      </c>
      <c r="D10392" t="s">
        <v>29853</v>
      </c>
      <c r="E10392" t="s">
        <v>20172</v>
      </c>
      <c r="F10392" t="s">
        <v>29892</v>
      </c>
      <c r="J10392" t="s">
        <v>20172</v>
      </c>
      <c r="K10392" t="s">
        <v>29850</v>
      </c>
      <c r="L10392" t="s">
        <v>916</v>
      </c>
    </row>
    <row r="10393" spans="1:12">
      <c r="A10393" t="s">
        <v>29850</v>
      </c>
      <c r="B10393" t="s">
        <v>29851</v>
      </c>
      <c r="C10393" t="s">
        <v>29893</v>
      </c>
      <c r="D10393" t="s">
        <v>29853</v>
      </c>
      <c r="E10393" t="s">
        <v>29894</v>
      </c>
      <c r="F10393" t="s">
        <v>29895</v>
      </c>
      <c r="J10393" t="s">
        <v>29894</v>
      </c>
      <c r="K10393" t="s">
        <v>29850</v>
      </c>
      <c r="L10393" t="s">
        <v>916</v>
      </c>
    </row>
    <row r="10394" spans="1:12">
      <c r="A10394" t="s">
        <v>29850</v>
      </c>
      <c r="B10394" t="s">
        <v>29851</v>
      </c>
      <c r="C10394" t="s">
        <v>29896</v>
      </c>
      <c r="D10394" t="s">
        <v>29853</v>
      </c>
      <c r="E10394" t="s">
        <v>29897</v>
      </c>
      <c r="F10394" t="s">
        <v>29898</v>
      </c>
      <c r="J10394" t="s">
        <v>29897</v>
      </c>
      <c r="K10394" t="s">
        <v>29850</v>
      </c>
      <c r="L10394" t="s">
        <v>916</v>
      </c>
    </row>
    <row r="10395" spans="1:12">
      <c r="A10395" t="s">
        <v>29850</v>
      </c>
      <c r="B10395" t="s">
        <v>29851</v>
      </c>
      <c r="C10395" t="s">
        <v>29899</v>
      </c>
      <c r="D10395" t="s">
        <v>29853</v>
      </c>
      <c r="E10395" t="s">
        <v>20668</v>
      </c>
      <c r="F10395" t="s">
        <v>29900</v>
      </c>
      <c r="J10395" t="s">
        <v>20668</v>
      </c>
      <c r="K10395" t="s">
        <v>29850</v>
      </c>
      <c r="L10395" t="s">
        <v>916</v>
      </c>
    </row>
    <row r="10396" spans="1:12">
      <c r="A10396" t="s">
        <v>29850</v>
      </c>
      <c r="B10396" t="s">
        <v>29851</v>
      </c>
      <c r="C10396" t="s">
        <v>29901</v>
      </c>
      <c r="D10396" t="s">
        <v>29853</v>
      </c>
      <c r="E10396" t="s">
        <v>655</v>
      </c>
      <c r="F10396" t="s">
        <v>656</v>
      </c>
    </row>
    <row r="10397" spans="1:12">
      <c r="A10397" t="s">
        <v>29902</v>
      </c>
      <c r="B10397" t="s">
        <v>29903</v>
      </c>
      <c r="C10397" t="s">
        <v>29904</v>
      </c>
      <c r="D10397" t="s">
        <v>29905</v>
      </c>
      <c r="E10397" t="s">
        <v>11731</v>
      </c>
      <c r="F10397" t="s">
        <v>29906</v>
      </c>
    </row>
    <row r="10398" spans="1:12">
      <c r="A10398" t="s">
        <v>29902</v>
      </c>
      <c r="B10398" t="s">
        <v>29903</v>
      </c>
      <c r="C10398" t="s">
        <v>29907</v>
      </c>
      <c r="D10398" t="s">
        <v>29905</v>
      </c>
      <c r="E10398" t="s">
        <v>26575</v>
      </c>
      <c r="F10398" t="s">
        <v>29908</v>
      </c>
    </row>
    <row r="10399" spans="1:12">
      <c r="A10399" t="s">
        <v>29902</v>
      </c>
      <c r="B10399" t="s">
        <v>29903</v>
      </c>
      <c r="C10399" t="s">
        <v>29909</v>
      </c>
      <c r="D10399" t="s">
        <v>29905</v>
      </c>
      <c r="E10399" t="s">
        <v>29910</v>
      </c>
      <c r="F10399" t="s">
        <v>29911</v>
      </c>
      <c r="J10399" t="s">
        <v>29910</v>
      </c>
      <c r="K10399" t="s">
        <v>29902</v>
      </c>
      <c r="L10399" t="s">
        <v>916</v>
      </c>
    </row>
    <row r="10400" spans="1:12">
      <c r="A10400" t="s">
        <v>29902</v>
      </c>
      <c r="B10400" t="s">
        <v>29903</v>
      </c>
      <c r="C10400" t="s">
        <v>29912</v>
      </c>
      <c r="D10400" t="s">
        <v>29905</v>
      </c>
      <c r="E10400" t="s">
        <v>29913</v>
      </c>
      <c r="F10400" t="s">
        <v>29914</v>
      </c>
      <c r="J10400" t="s">
        <v>29913</v>
      </c>
      <c r="K10400" t="s">
        <v>29902</v>
      </c>
      <c r="L10400" t="s">
        <v>916</v>
      </c>
    </row>
    <row r="10401" spans="1:12">
      <c r="A10401" t="s">
        <v>29902</v>
      </c>
      <c r="B10401" t="s">
        <v>29903</v>
      </c>
      <c r="C10401" t="s">
        <v>29915</v>
      </c>
      <c r="D10401" t="s">
        <v>29905</v>
      </c>
      <c r="E10401" t="s">
        <v>655</v>
      </c>
      <c r="F10401" t="s">
        <v>656</v>
      </c>
    </row>
    <row r="10402" spans="1:12">
      <c r="A10402" t="s">
        <v>29916</v>
      </c>
      <c r="B10402" t="s">
        <v>29917</v>
      </c>
      <c r="C10402" t="s">
        <v>29918</v>
      </c>
      <c r="D10402" t="s">
        <v>29919</v>
      </c>
      <c r="E10402" t="s">
        <v>29920</v>
      </c>
      <c r="F10402" t="s">
        <v>29921</v>
      </c>
      <c r="J10402" t="s">
        <v>29920</v>
      </c>
      <c r="K10402" t="s">
        <v>29922</v>
      </c>
      <c r="L10402" t="s">
        <v>3638</v>
      </c>
    </row>
    <row r="10403" spans="1:12">
      <c r="A10403" t="s">
        <v>29916</v>
      </c>
      <c r="B10403" t="s">
        <v>29917</v>
      </c>
      <c r="C10403" t="s">
        <v>29923</v>
      </c>
      <c r="D10403" t="s">
        <v>29919</v>
      </c>
      <c r="E10403" t="s">
        <v>29924</v>
      </c>
      <c r="F10403" t="s">
        <v>29925</v>
      </c>
      <c r="J10403" t="s">
        <v>29924</v>
      </c>
      <c r="K10403" t="s">
        <v>29922</v>
      </c>
      <c r="L10403" t="s">
        <v>3638</v>
      </c>
    </row>
    <row r="10404" spans="1:12">
      <c r="A10404" t="s">
        <v>29916</v>
      </c>
      <c r="B10404" t="s">
        <v>29917</v>
      </c>
      <c r="C10404" t="s">
        <v>29926</v>
      </c>
      <c r="D10404" t="s">
        <v>29919</v>
      </c>
      <c r="E10404" t="s">
        <v>14970</v>
      </c>
      <c r="F10404" t="s">
        <v>29927</v>
      </c>
    </row>
    <row r="10405" spans="1:12">
      <c r="A10405" t="s">
        <v>29916</v>
      </c>
      <c r="B10405" t="s">
        <v>29917</v>
      </c>
      <c r="C10405" t="s">
        <v>29928</v>
      </c>
      <c r="D10405" t="s">
        <v>29919</v>
      </c>
      <c r="E10405" t="s">
        <v>12360</v>
      </c>
      <c r="F10405" t="s">
        <v>29929</v>
      </c>
    </row>
    <row r="10406" spans="1:12">
      <c r="A10406" t="s">
        <v>29916</v>
      </c>
      <c r="B10406" t="s">
        <v>29917</v>
      </c>
      <c r="C10406" t="s">
        <v>29930</v>
      </c>
      <c r="D10406" t="s">
        <v>29919</v>
      </c>
      <c r="E10406" t="s">
        <v>29931</v>
      </c>
      <c r="F10406" t="s">
        <v>29932</v>
      </c>
    </row>
    <row r="10407" spans="1:12">
      <c r="A10407" t="s">
        <v>29916</v>
      </c>
      <c r="B10407" t="s">
        <v>29917</v>
      </c>
      <c r="C10407" t="s">
        <v>29933</v>
      </c>
      <c r="D10407" t="s">
        <v>29919</v>
      </c>
      <c r="E10407" t="s">
        <v>29934</v>
      </c>
      <c r="F10407" t="s">
        <v>29935</v>
      </c>
    </row>
    <row r="10408" spans="1:12">
      <c r="A10408" t="s">
        <v>29916</v>
      </c>
      <c r="B10408" t="s">
        <v>29917</v>
      </c>
      <c r="C10408" t="s">
        <v>29936</v>
      </c>
      <c r="D10408" t="s">
        <v>29919</v>
      </c>
      <c r="E10408" t="s">
        <v>8114</v>
      </c>
      <c r="F10408" t="s">
        <v>29937</v>
      </c>
      <c r="J10408" t="s">
        <v>8114</v>
      </c>
      <c r="K10408" t="s">
        <v>29922</v>
      </c>
      <c r="L10408" t="s">
        <v>3638</v>
      </c>
    </row>
    <row r="10409" spans="1:12">
      <c r="A10409" t="s">
        <v>29916</v>
      </c>
      <c r="B10409" t="s">
        <v>29917</v>
      </c>
      <c r="C10409" t="s">
        <v>29938</v>
      </c>
      <c r="D10409" t="s">
        <v>29919</v>
      </c>
      <c r="E10409" t="s">
        <v>16506</v>
      </c>
      <c r="F10409" t="s">
        <v>29939</v>
      </c>
    </row>
    <row r="10410" spans="1:12">
      <c r="A10410" t="s">
        <v>29916</v>
      </c>
      <c r="B10410" t="s">
        <v>29917</v>
      </c>
      <c r="C10410" t="s">
        <v>29940</v>
      </c>
      <c r="D10410" t="s">
        <v>29919</v>
      </c>
      <c r="E10410" t="s">
        <v>6912</v>
      </c>
      <c r="F10410" t="s">
        <v>29941</v>
      </c>
      <c r="J10410" t="s">
        <v>6912</v>
      </c>
      <c r="K10410" t="s">
        <v>29922</v>
      </c>
      <c r="L10410" t="s">
        <v>3638</v>
      </c>
    </row>
    <row r="10411" spans="1:12">
      <c r="A10411" t="s">
        <v>29916</v>
      </c>
      <c r="B10411" t="s">
        <v>29917</v>
      </c>
      <c r="C10411" t="s">
        <v>29942</v>
      </c>
      <c r="D10411" t="s">
        <v>29919</v>
      </c>
      <c r="E10411" t="s">
        <v>29943</v>
      </c>
      <c r="F10411" t="s">
        <v>29944</v>
      </c>
      <c r="J10411" t="s">
        <v>29943</v>
      </c>
      <c r="K10411" t="s">
        <v>29922</v>
      </c>
      <c r="L10411" t="s">
        <v>3638</v>
      </c>
    </row>
    <row r="10412" spans="1:12">
      <c r="A10412" t="s">
        <v>29916</v>
      </c>
      <c r="B10412" t="s">
        <v>29917</v>
      </c>
      <c r="C10412" t="s">
        <v>29945</v>
      </c>
      <c r="D10412" t="s">
        <v>29919</v>
      </c>
      <c r="E10412" t="s">
        <v>29946</v>
      </c>
      <c r="F10412" t="s">
        <v>29947</v>
      </c>
      <c r="J10412" t="s">
        <v>29946</v>
      </c>
      <c r="K10412" t="s">
        <v>29922</v>
      </c>
      <c r="L10412" t="s">
        <v>3638</v>
      </c>
    </row>
    <row r="10413" spans="1:12">
      <c r="A10413" t="s">
        <v>29916</v>
      </c>
      <c r="B10413" t="s">
        <v>29917</v>
      </c>
      <c r="C10413" t="s">
        <v>29948</v>
      </c>
      <c r="D10413" t="s">
        <v>29919</v>
      </c>
      <c r="E10413" t="s">
        <v>9128</v>
      </c>
      <c r="F10413" t="s">
        <v>29949</v>
      </c>
      <c r="J10413" t="s">
        <v>9128</v>
      </c>
      <c r="K10413" t="s">
        <v>29922</v>
      </c>
      <c r="L10413" t="s">
        <v>3638</v>
      </c>
    </row>
    <row r="10414" spans="1:12">
      <c r="A10414" t="s">
        <v>29916</v>
      </c>
      <c r="B10414" t="s">
        <v>29917</v>
      </c>
      <c r="C10414" t="s">
        <v>29950</v>
      </c>
      <c r="D10414" t="s">
        <v>29919</v>
      </c>
      <c r="E10414" t="s">
        <v>17160</v>
      </c>
      <c r="F10414" t="s">
        <v>29951</v>
      </c>
      <c r="J10414" t="s">
        <v>17160</v>
      </c>
      <c r="K10414" t="s">
        <v>29922</v>
      </c>
      <c r="L10414" t="s">
        <v>3638</v>
      </c>
    </row>
    <row r="10415" spans="1:12">
      <c r="A10415" t="s">
        <v>29916</v>
      </c>
      <c r="B10415" t="s">
        <v>29917</v>
      </c>
      <c r="C10415" t="s">
        <v>29952</v>
      </c>
      <c r="D10415" t="s">
        <v>29919</v>
      </c>
      <c r="E10415" t="s">
        <v>3483</v>
      </c>
      <c r="F10415" t="s">
        <v>29953</v>
      </c>
    </row>
    <row r="10416" spans="1:12">
      <c r="A10416" t="s">
        <v>29916</v>
      </c>
      <c r="B10416" t="s">
        <v>29917</v>
      </c>
      <c r="C10416" t="s">
        <v>29954</v>
      </c>
      <c r="D10416" t="s">
        <v>29919</v>
      </c>
      <c r="E10416" t="s">
        <v>29955</v>
      </c>
      <c r="F10416" t="s">
        <v>29956</v>
      </c>
      <c r="J10416" t="s">
        <v>29955</v>
      </c>
      <c r="K10416" t="s">
        <v>29922</v>
      </c>
      <c r="L10416" t="s">
        <v>3638</v>
      </c>
    </row>
    <row r="10417" spans="1:12">
      <c r="A10417" t="s">
        <v>29916</v>
      </c>
      <c r="B10417" t="s">
        <v>29917</v>
      </c>
      <c r="C10417" t="s">
        <v>29957</v>
      </c>
      <c r="D10417" t="s">
        <v>29919</v>
      </c>
      <c r="E10417" t="s">
        <v>29958</v>
      </c>
      <c r="F10417" t="s">
        <v>29959</v>
      </c>
      <c r="J10417" t="s">
        <v>29958</v>
      </c>
      <c r="K10417" t="s">
        <v>29922</v>
      </c>
      <c r="L10417" t="s">
        <v>3638</v>
      </c>
    </row>
    <row r="10418" spans="1:12">
      <c r="A10418" t="s">
        <v>29916</v>
      </c>
      <c r="B10418" t="s">
        <v>29917</v>
      </c>
      <c r="C10418" t="s">
        <v>29960</v>
      </c>
      <c r="D10418" t="s">
        <v>29919</v>
      </c>
      <c r="E10418" t="s">
        <v>18177</v>
      </c>
      <c r="F10418" t="s">
        <v>29961</v>
      </c>
      <c r="J10418" t="s">
        <v>18177</v>
      </c>
      <c r="K10418" t="s">
        <v>29922</v>
      </c>
      <c r="L10418" t="s">
        <v>3638</v>
      </c>
    </row>
    <row r="10419" spans="1:12">
      <c r="A10419" t="s">
        <v>29916</v>
      </c>
      <c r="B10419" t="s">
        <v>29917</v>
      </c>
      <c r="C10419" t="s">
        <v>29962</v>
      </c>
      <c r="D10419" t="s">
        <v>29919</v>
      </c>
      <c r="E10419" t="s">
        <v>11319</v>
      </c>
      <c r="F10419" t="s">
        <v>29963</v>
      </c>
    </row>
    <row r="10420" spans="1:12">
      <c r="A10420" t="s">
        <v>29916</v>
      </c>
      <c r="B10420" t="s">
        <v>29917</v>
      </c>
      <c r="C10420" t="s">
        <v>29964</v>
      </c>
      <c r="D10420" t="s">
        <v>29919</v>
      </c>
      <c r="E10420" t="s">
        <v>6450</v>
      </c>
      <c r="F10420" t="s">
        <v>29965</v>
      </c>
    </row>
    <row r="10421" spans="1:12">
      <c r="A10421" t="s">
        <v>29916</v>
      </c>
      <c r="B10421" t="s">
        <v>29917</v>
      </c>
      <c r="C10421" t="s">
        <v>29966</v>
      </c>
      <c r="D10421" t="s">
        <v>29919</v>
      </c>
      <c r="E10421" t="s">
        <v>3354</v>
      </c>
      <c r="F10421" t="s">
        <v>29967</v>
      </c>
    </row>
    <row r="10422" spans="1:12">
      <c r="A10422" t="s">
        <v>29916</v>
      </c>
      <c r="B10422" t="s">
        <v>29917</v>
      </c>
      <c r="C10422" t="s">
        <v>29968</v>
      </c>
      <c r="D10422" t="s">
        <v>29919</v>
      </c>
      <c r="E10422" t="s">
        <v>18377</v>
      </c>
      <c r="F10422" t="s">
        <v>29969</v>
      </c>
      <c r="J10422" t="s">
        <v>18377</v>
      </c>
      <c r="K10422" t="s">
        <v>29922</v>
      </c>
      <c r="L10422" t="s">
        <v>3638</v>
      </c>
    </row>
    <row r="10423" spans="1:12">
      <c r="A10423" t="s">
        <v>29916</v>
      </c>
      <c r="B10423" t="s">
        <v>29917</v>
      </c>
      <c r="C10423" t="s">
        <v>29970</v>
      </c>
      <c r="D10423" t="s">
        <v>29919</v>
      </c>
      <c r="E10423" t="s">
        <v>13347</v>
      </c>
      <c r="F10423" t="s">
        <v>29971</v>
      </c>
    </row>
    <row r="10424" spans="1:12">
      <c r="A10424" t="s">
        <v>29916</v>
      </c>
      <c r="B10424" t="s">
        <v>29917</v>
      </c>
      <c r="C10424" t="s">
        <v>29972</v>
      </c>
      <c r="D10424" t="s">
        <v>29919</v>
      </c>
      <c r="E10424" t="s">
        <v>18696</v>
      </c>
      <c r="F10424" t="s">
        <v>29973</v>
      </c>
    </row>
    <row r="10425" spans="1:12">
      <c r="A10425" t="s">
        <v>29916</v>
      </c>
      <c r="B10425" t="s">
        <v>29917</v>
      </c>
      <c r="C10425" t="s">
        <v>29974</v>
      </c>
      <c r="D10425" t="s">
        <v>29919</v>
      </c>
      <c r="E10425" t="s">
        <v>14344</v>
      </c>
      <c r="F10425" t="s">
        <v>29975</v>
      </c>
    </row>
    <row r="10426" spans="1:12">
      <c r="A10426" t="s">
        <v>29916</v>
      </c>
      <c r="B10426" t="s">
        <v>29917</v>
      </c>
      <c r="C10426" t="s">
        <v>29976</v>
      </c>
      <c r="D10426" t="s">
        <v>29919</v>
      </c>
      <c r="E10426" t="s">
        <v>9369</v>
      </c>
      <c r="F10426" t="s">
        <v>29977</v>
      </c>
    </row>
    <row r="10427" spans="1:12">
      <c r="A10427" t="s">
        <v>29916</v>
      </c>
      <c r="B10427" t="s">
        <v>29917</v>
      </c>
      <c r="C10427" t="s">
        <v>29978</v>
      </c>
      <c r="D10427" t="s">
        <v>29919</v>
      </c>
      <c r="E10427" t="s">
        <v>29699</v>
      </c>
      <c r="F10427" t="s">
        <v>29979</v>
      </c>
    </row>
    <row r="10428" spans="1:12">
      <c r="A10428" t="s">
        <v>29916</v>
      </c>
      <c r="B10428" t="s">
        <v>29917</v>
      </c>
      <c r="C10428" t="s">
        <v>29980</v>
      </c>
      <c r="D10428" t="s">
        <v>29919</v>
      </c>
      <c r="E10428" t="s">
        <v>9434</v>
      </c>
      <c r="F10428" t="s">
        <v>29981</v>
      </c>
      <c r="J10428" t="s">
        <v>9434</v>
      </c>
      <c r="K10428" t="s">
        <v>29922</v>
      </c>
      <c r="L10428" t="s">
        <v>3638</v>
      </c>
    </row>
    <row r="10429" spans="1:12">
      <c r="A10429" t="s">
        <v>29916</v>
      </c>
      <c r="B10429" t="s">
        <v>29917</v>
      </c>
      <c r="C10429" t="s">
        <v>29982</v>
      </c>
      <c r="D10429" t="s">
        <v>29919</v>
      </c>
      <c r="E10429" t="s">
        <v>29983</v>
      </c>
      <c r="F10429" t="s">
        <v>29984</v>
      </c>
      <c r="J10429" t="s">
        <v>29983</v>
      </c>
      <c r="K10429" t="s">
        <v>29922</v>
      </c>
      <c r="L10429" t="s">
        <v>3638</v>
      </c>
    </row>
    <row r="10430" spans="1:12">
      <c r="A10430" t="s">
        <v>29916</v>
      </c>
      <c r="B10430" t="s">
        <v>29917</v>
      </c>
      <c r="C10430" t="s">
        <v>29985</v>
      </c>
      <c r="D10430" t="s">
        <v>29919</v>
      </c>
      <c r="E10430" t="s">
        <v>29986</v>
      </c>
      <c r="F10430" t="s">
        <v>29987</v>
      </c>
      <c r="J10430" t="s">
        <v>29986</v>
      </c>
      <c r="K10430" t="s">
        <v>29922</v>
      </c>
      <c r="L10430" t="s">
        <v>3638</v>
      </c>
    </row>
    <row r="10431" spans="1:12">
      <c r="A10431" t="s">
        <v>29916</v>
      </c>
      <c r="B10431" t="s">
        <v>29917</v>
      </c>
      <c r="C10431" t="s">
        <v>29988</v>
      </c>
      <c r="D10431" t="s">
        <v>29919</v>
      </c>
      <c r="E10431" t="s">
        <v>23181</v>
      </c>
      <c r="F10431" t="s">
        <v>29989</v>
      </c>
    </row>
    <row r="10432" spans="1:12">
      <c r="A10432" t="s">
        <v>29916</v>
      </c>
      <c r="B10432" t="s">
        <v>29917</v>
      </c>
      <c r="C10432" t="s">
        <v>29990</v>
      </c>
      <c r="D10432" t="s">
        <v>29919</v>
      </c>
      <c r="E10432" t="s">
        <v>10401</v>
      </c>
      <c r="F10432" t="s">
        <v>29991</v>
      </c>
      <c r="J10432" t="s">
        <v>10401</v>
      </c>
      <c r="K10432" t="s">
        <v>29922</v>
      </c>
      <c r="L10432" t="s">
        <v>3638</v>
      </c>
    </row>
    <row r="10433" spans="1:12">
      <c r="A10433" t="s">
        <v>29916</v>
      </c>
      <c r="B10433" t="s">
        <v>29917</v>
      </c>
      <c r="C10433" t="s">
        <v>29992</v>
      </c>
      <c r="D10433" t="s">
        <v>29919</v>
      </c>
      <c r="E10433" t="s">
        <v>29993</v>
      </c>
      <c r="F10433" t="s">
        <v>29994</v>
      </c>
      <c r="J10433" t="s">
        <v>29993</v>
      </c>
      <c r="K10433" t="s">
        <v>29922</v>
      </c>
      <c r="L10433" t="s">
        <v>3638</v>
      </c>
    </row>
    <row r="10434" spans="1:12">
      <c r="A10434" t="s">
        <v>29916</v>
      </c>
      <c r="B10434" t="s">
        <v>29917</v>
      </c>
      <c r="C10434" t="s">
        <v>29995</v>
      </c>
      <c r="D10434" t="s">
        <v>29919</v>
      </c>
      <c r="E10434" t="s">
        <v>19549</v>
      </c>
      <c r="F10434" t="s">
        <v>11598</v>
      </c>
      <c r="J10434" t="s">
        <v>19549</v>
      </c>
      <c r="K10434" t="s">
        <v>29922</v>
      </c>
      <c r="L10434" t="s">
        <v>3638</v>
      </c>
    </row>
    <row r="10435" spans="1:12">
      <c r="A10435" t="s">
        <v>29916</v>
      </c>
      <c r="B10435" t="s">
        <v>29917</v>
      </c>
      <c r="C10435" t="s">
        <v>29996</v>
      </c>
      <c r="D10435" t="s">
        <v>29919</v>
      </c>
      <c r="E10435" t="s">
        <v>13559</v>
      </c>
      <c r="F10435" t="s">
        <v>29997</v>
      </c>
      <c r="J10435" t="s">
        <v>13559</v>
      </c>
      <c r="K10435" t="s">
        <v>29922</v>
      </c>
      <c r="L10435" t="s">
        <v>3638</v>
      </c>
    </row>
    <row r="10436" spans="1:12">
      <c r="A10436" t="s">
        <v>29916</v>
      </c>
      <c r="B10436" t="s">
        <v>29917</v>
      </c>
      <c r="C10436" t="s">
        <v>29998</v>
      </c>
      <c r="D10436" t="s">
        <v>29919</v>
      </c>
      <c r="E10436" t="s">
        <v>29999</v>
      </c>
      <c r="F10436" t="s">
        <v>30000</v>
      </c>
    </row>
    <row r="10437" spans="1:12">
      <c r="A10437" t="s">
        <v>29916</v>
      </c>
      <c r="B10437" t="s">
        <v>29917</v>
      </c>
      <c r="C10437" t="s">
        <v>30001</v>
      </c>
      <c r="D10437" t="s">
        <v>29919</v>
      </c>
      <c r="E10437" t="s">
        <v>30002</v>
      </c>
      <c r="F10437" t="s">
        <v>30003</v>
      </c>
      <c r="J10437" t="s">
        <v>30002</v>
      </c>
      <c r="K10437" t="s">
        <v>29922</v>
      </c>
      <c r="L10437" t="s">
        <v>3638</v>
      </c>
    </row>
    <row r="10438" spans="1:12">
      <c r="A10438" t="s">
        <v>29916</v>
      </c>
      <c r="B10438" t="s">
        <v>29917</v>
      </c>
      <c r="C10438" t="s">
        <v>30004</v>
      </c>
      <c r="D10438" t="s">
        <v>29919</v>
      </c>
      <c r="E10438" t="s">
        <v>30005</v>
      </c>
      <c r="F10438" t="s">
        <v>30006</v>
      </c>
    </row>
    <row r="10439" spans="1:12">
      <c r="A10439" t="s">
        <v>29916</v>
      </c>
      <c r="B10439" t="s">
        <v>29917</v>
      </c>
      <c r="C10439" t="s">
        <v>30007</v>
      </c>
      <c r="D10439" t="s">
        <v>29919</v>
      </c>
      <c r="E10439" t="s">
        <v>14476</v>
      </c>
      <c r="F10439" t="s">
        <v>30008</v>
      </c>
    </row>
    <row r="10440" spans="1:12">
      <c r="A10440" t="s">
        <v>29916</v>
      </c>
      <c r="B10440" t="s">
        <v>29917</v>
      </c>
      <c r="C10440" t="s">
        <v>30009</v>
      </c>
      <c r="D10440" t="s">
        <v>29919</v>
      </c>
      <c r="E10440" t="s">
        <v>26199</v>
      </c>
      <c r="F10440" t="s">
        <v>30010</v>
      </c>
    </row>
    <row r="10441" spans="1:12">
      <c r="A10441" t="s">
        <v>29916</v>
      </c>
      <c r="B10441" t="s">
        <v>29917</v>
      </c>
      <c r="C10441" t="s">
        <v>30011</v>
      </c>
      <c r="D10441" t="s">
        <v>29919</v>
      </c>
      <c r="E10441" t="s">
        <v>12891</v>
      </c>
      <c r="F10441" t="s">
        <v>30012</v>
      </c>
      <c r="J10441" t="s">
        <v>12891</v>
      </c>
      <c r="K10441" t="s">
        <v>29922</v>
      </c>
      <c r="L10441" t="s">
        <v>3638</v>
      </c>
    </row>
    <row r="10442" spans="1:12">
      <c r="A10442" t="s">
        <v>29916</v>
      </c>
      <c r="B10442" t="s">
        <v>29917</v>
      </c>
      <c r="C10442" t="s">
        <v>30013</v>
      </c>
      <c r="D10442" t="s">
        <v>29919</v>
      </c>
      <c r="E10442" t="s">
        <v>16045</v>
      </c>
      <c r="F10442" t="s">
        <v>30014</v>
      </c>
      <c r="J10442" t="s">
        <v>16045</v>
      </c>
      <c r="K10442" t="s">
        <v>29922</v>
      </c>
      <c r="L10442" t="s">
        <v>3638</v>
      </c>
    </row>
    <row r="10443" spans="1:12">
      <c r="A10443" t="s">
        <v>29916</v>
      </c>
      <c r="B10443" t="s">
        <v>29917</v>
      </c>
      <c r="C10443" t="s">
        <v>30015</v>
      </c>
      <c r="D10443" t="s">
        <v>29919</v>
      </c>
      <c r="E10443" t="s">
        <v>5255</v>
      </c>
      <c r="F10443" t="s">
        <v>30016</v>
      </c>
    </row>
    <row r="10444" spans="1:12">
      <c r="A10444" t="s">
        <v>29916</v>
      </c>
      <c r="B10444" t="s">
        <v>29917</v>
      </c>
      <c r="C10444" t="s">
        <v>30017</v>
      </c>
      <c r="D10444" t="s">
        <v>29919</v>
      </c>
      <c r="E10444" t="s">
        <v>30018</v>
      </c>
      <c r="F10444" t="s">
        <v>30019</v>
      </c>
      <c r="J10444" t="s">
        <v>30018</v>
      </c>
      <c r="K10444" t="s">
        <v>29922</v>
      </c>
      <c r="L10444" t="s">
        <v>3638</v>
      </c>
    </row>
    <row r="10445" spans="1:12">
      <c r="A10445" t="s">
        <v>29916</v>
      </c>
      <c r="B10445" t="s">
        <v>29917</v>
      </c>
      <c r="C10445" t="s">
        <v>30020</v>
      </c>
      <c r="D10445" t="s">
        <v>29919</v>
      </c>
      <c r="E10445" t="s">
        <v>5271</v>
      </c>
      <c r="F10445" t="s">
        <v>30021</v>
      </c>
    </row>
    <row r="10446" spans="1:12">
      <c r="A10446" t="s">
        <v>29916</v>
      </c>
      <c r="B10446" t="s">
        <v>29917</v>
      </c>
      <c r="C10446" t="s">
        <v>30022</v>
      </c>
      <c r="D10446" t="s">
        <v>29919</v>
      </c>
      <c r="E10446" t="s">
        <v>9933</v>
      </c>
      <c r="F10446" t="s">
        <v>30023</v>
      </c>
    </row>
    <row r="10447" spans="1:12">
      <c r="A10447" t="s">
        <v>29916</v>
      </c>
      <c r="B10447" t="s">
        <v>29917</v>
      </c>
      <c r="C10447" t="s">
        <v>30024</v>
      </c>
      <c r="D10447" t="s">
        <v>29919</v>
      </c>
      <c r="E10447" t="s">
        <v>20619</v>
      </c>
      <c r="F10447" t="s">
        <v>30025</v>
      </c>
      <c r="J10447" t="s">
        <v>20619</v>
      </c>
      <c r="K10447" t="s">
        <v>29922</v>
      </c>
      <c r="L10447" t="s">
        <v>3638</v>
      </c>
    </row>
    <row r="10448" spans="1:12">
      <c r="A10448" t="s">
        <v>29916</v>
      </c>
      <c r="B10448" t="s">
        <v>29917</v>
      </c>
      <c r="C10448" t="s">
        <v>30026</v>
      </c>
      <c r="D10448" t="s">
        <v>29919</v>
      </c>
      <c r="E10448" t="s">
        <v>14596</v>
      </c>
      <c r="F10448" t="s">
        <v>30027</v>
      </c>
    </row>
    <row r="10449" spans="1:12">
      <c r="A10449" t="s">
        <v>29916</v>
      </c>
      <c r="B10449" t="s">
        <v>29917</v>
      </c>
      <c r="C10449" t="s">
        <v>30028</v>
      </c>
      <c r="D10449" t="s">
        <v>29919</v>
      </c>
      <c r="E10449" t="s">
        <v>20857</v>
      </c>
      <c r="F10449" t="s">
        <v>30029</v>
      </c>
    </row>
    <row r="10450" spans="1:12">
      <c r="A10450" t="s">
        <v>29916</v>
      </c>
      <c r="B10450" t="s">
        <v>29917</v>
      </c>
      <c r="C10450" t="s">
        <v>30030</v>
      </c>
      <c r="D10450" t="s">
        <v>29919</v>
      </c>
      <c r="E10450" t="s">
        <v>21003</v>
      </c>
      <c r="F10450" t="s">
        <v>30031</v>
      </c>
    </row>
    <row r="10451" spans="1:12">
      <c r="A10451" t="s">
        <v>29916</v>
      </c>
      <c r="B10451" t="s">
        <v>29917</v>
      </c>
      <c r="C10451" t="s">
        <v>30032</v>
      </c>
      <c r="D10451" t="s">
        <v>29919</v>
      </c>
      <c r="E10451" t="s">
        <v>21071</v>
      </c>
      <c r="F10451" t="s">
        <v>30033</v>
      </c>
      <c r="J10451" t="s">
        <v>21071</v>
      </c>
      <c r="K10451" t="s">
        <v>29922</v>
      </c>
      <c r="L10451" t="s">
        <v>3638</v>
      </c>
    </row>
    <row r="10452" spans="1:12">
      <c r="A10452" t="s">
        <v>29916</v>
      </c>
      <c r="B10452" t="s">
        <v>29917</v>
      </c>
      <c r="C10452" t="s">
        <v>30034</v>
      </c>
      <c r="D10452" t="s">
        <v>29919</v>
      </c>
      <c r="E10452" t="s">
        <v>21104</v>
      </c>
      <c r="F10452" t="s">
        <v>20882</v>
      </c>
      <c r="J10452" t="s">
        <v>21104</v>
      </c>
      <c r="K10452" t="s">
        <v>29922</v>
      </c>
      <c r="L10452" t="s">
        <v>3638</v>
      </c>
    </row>
    <row r="10453" spans="1:12">
      <c r="A10453" t="s">
        <v>29916</v>
      </c>
      <c r="B10453" t="s">
        <v>29917</v>
      </c>
      <c r="C10453" t="s">
        <v>30035</v>
      </c>
      <c r="D10453" t="s">
        <v>29919</v>
      </c>
      <c r="E10453" t="s">
        <v>21335</v>
      </c>
      <c r="F10453" t="s">
        <v>30036</v>
      </c>
      <c r="J10453" t="s">
        <v>21335</v>
      </c>
      <c r="K10453" t="s">
        <v>29922</v>
      </c>
      <c r="L10453" t="s">
        <v>3638</v>
      </c>
    </row>
    <row r="10454" spans="1:12">
      <c r="A10454" t="s">
        <v>29916</v>
      </c>
      <c r="B10454" t="s">
        <v>29917</v>
      </c>
      <c r="C10454" t="s">
        <v>30037</v>
      </c>
      <c r="D10454" t="s">
        <v>29919</v>
      </c>
      <c r="E10454" t="s">
        <v>30038</v>
      </c>
      <c r="F10454" t="s">
        <v>30039</v>
      </c>
      <c r="J10454" t="s">
        <v>30038</v>
      </c>
      <c r="K10454" t="s">
        <v>29922</v>
      </c>
      <c r="L10454" t="s">
        <v>3638</v>
      </c>
    </row>
    <row r="10455" spans="1:12">
      <c r="A10455" t="s">
        <v>29916</v>
      </c>
      <c r="B10455" t="s">
        <v>29917</v>
      </c>
      <c r="C10455" t="s">
        <v>30040</v>
      </c>
      <c r="D10455" t="s">
        <v>29919</v>
      </c>
      <c r="E10455" t="s">
        <v>10071</v>
      </c>
      <c r="F10455" t="s">
        <v>30041</v>
      </c>
    </row>
    <row r="10456" spans="1:12">
      <c r="A10456" t="s">
        <v>29916</v>
      </c>
      <c r="B10456" t="s">
        <v>29917</v>
      </c>
      <c r="C10456" t="s">
        <v>30042</v>
      </c>
      <c r="D10456" t="s">
        <v>29919</v>
      </c>
      <c r="E10456" t="s">
        <v>30043</v>
      </c>
      <c r="F10456" t="s">
        <v>30044</v>
      </c>
      <c r="J10456" t="s">
        <v>30043</v>
      </c>
      <c r="K10456" t="s">
        <v>29922</v>
      </c>
      <c r="L10456" t="s">
        <v>3638</v>
      </c>
    </row>
    <row r="10457" spans="1:12">
      <c r="A10457" t="s">
        <v>29916</v>
      </c>
      <c r="B10457" t="s">
        <v>29917</v>
      </c>
      <c r="C10457" t="s">
        <v>30045</v>
      </c>
      <c r="D10457" t="s">
        <v>29919</v>
      </c>
      <c r="E10457" t="s">
        <v>30046</v>
      </c>
      <c r="F10457" t="s">
        <v>30047</v>
      </c>
      <c r="J10457" t="s">
        <v>30046</v>
      </c>
      <c r="K10457" t="s">
        <v>29922</v>
      </c>
      <c r="L10457" t="s">
        <v>3638</v>
      </c>
    </row>
    <row r="10458" spans="1:12">
      <c r="A10458" t="s">
        <v>29916</v>
      </c>
      <c r="B10458" t="s">
        <v>29917</v>
      </c>
      <c r="C10458" t="s">
        <v>30048</v>
      </c>
      <c r="D10458" t="s">
        <v>29919</v>
      </c>
      <c r="E10458" t="s">
        <v>30049</v>
      </c>
      <c r="F10458" t="s">
        <v>30050</v>
      </c>
      <c r="J10458" t="s">
        <v>30049</v>
      </c>
      <c r="K10458" t="s">
        <v>29922</v>
      </c>
      <c r="L10458" t="s">
        <v>3638</v>
      </c>
    </row>
    <row r="10459" spans="1:12">
      <c r="A10459" t="s">
        <v>29916</v>
      </c>
      <c r="B10459" t="s">
        <v>29917</v>
      </c>
      <c r="C10459" t="s">
        <v>30051</v>
      </c>
      <c r="D10459" t="s">
        <v>29919</v>
      </c>
      <c r="E10459" t="s">
        <v>30052</v>
      </c>
      <c r="F10459" t="s">
        <v>30053</v>
      </c>
      <c r="J10459" t="s">
        <v>30052</v>
      </c>
      <c r="K10459" t="s">
        <v>29922</v>
      </c>
      <c r="L10459" t="s">
        <v>3638</v>
      </c>
    </row>
    <row r="10460" spans="1:12">
      <c r="A10460" t="s">
        <v>29916</v>
      </c>
      <c r="B10460" t="s">
        <v>29917</v>
      </c>
      <c r="C10460" t="s">
        <v>30054</v>
      </c>
      <c r="D10460" t="s">
        <v>29919</v>
      </c>
      <c r="E10460" t="s">
        <v>30055</v>
      </c>
      <c r="F10460" t="s">
        <v>30056</v>
      </c>
      <c r="J10460" t="s">
        <v>30055</v>
      </c>
      <c r="K10460" t="s">
        <v>29922</v>
      </c>
      <c r="L10460" t="s">
        <v>3638</v>
      </c>
    </row>
    <row r="10461" spans="1:12">
      <c r="A10461" t="s">
        <v>29916</v>
      </c>
      <c r="B10461" t="s">
        <v>29917</v>
      </c>
      <c r="C10461" t="s">
        <v>30057</v>
      </c>
      <c r="D10461" t="s">
        <v>29919</v>
      </c>
      <c r="E10461" t="s">
        <v>655</v>
      </c>
      <c r="F10461" t="s">
        <v>656</v>
      </c>
    </row>
    <row r="10462" spans="1:12">
      <c r="A10462" t="s">
        <v>29916</v>
      </c>
      <c r="B10462" t="s">
        <v>29917</v>
      </c>
      <c r="D10462" t="s">
        <v>29919</v>
      </c>
      <c r="F10462" t="s">
        <v>30058</v>
      </c>
      <c r="J10462" t="s">
        <v>21013</v>
      </c>
      <c r="K10462" t="s">
        <v>29922</v>
      </c>
      <c r="L10462" t="s">
        <v>3638</v>
      </c>
    </row>
    <row r="10463" spans="1:12">
      <c r="A10463" t="s">
        <v>30059</v>
      </c>
      <c r="B10463" t="s">
        <v>30060</v>
      </c>
      <c r="C10463" t="s">
        <v>30061</v>
      </c>
      <c r="D10463" t="s">
        <v>30062</v>
      </c>
      <c r="E10463" t="s">
        <v>30063</v>
      </c>
      <c r="F10463" t="s">
        <v>30064</v>
      </c>
      <c r="J10463" t="s">
        <v>30063</v>
      </c>
      <c r="K10463" t="s">
        <v>30065</v>
      </c>
      <c r="L10463" t="s">
        <v>863</v>
      </c>
    </row>
    <row r="10464" spans="1:12">
      <c r="A10464" t="s">
        <v>30059</v>
      </c>
      <c r="B10464" t="s">
        <v>30060</v>
      </c>
      <c r="C10464" t="s">
        <v>30066</v>
      </c>
      <c r="D10464" t="s">
        <v>30062</v>
      </c>
      <c r="E10464" t="s">
        <v>655</v>
      </c>
      <c r="F10464" t="s">
        <v>656</v>
      </c>
    </row>
    <row r="10465" spans="1:12">
      <c r="A10465" t="s">
        <v>30067</v>
      </c>
      <c r="B10465" t="s">
        <v>30068</v>
      </c>
      <c r="C10465" t="s">
        <v>30069</v>
      </c>
      <c r="D10465" t="s">
        <v>30070</v>
      </c>
      <c r="E10465" t="s">
        <v>30071</v>
      </c>
      <c r="F10465" t="s">
        <v>30072</v>
      </c>
    </row>
    <row r="10466" spans="1:12">
      <c r="A10466" t="s">
        <v>30067</v>
      </c>
      <c r="B10466" t="s">
        <v>30068</v>
      </c>
      <c r="C10466" t="s">
        <v>30073</v>
      </c>
      <c r="D10466" t="s">
        <v>30070</v>
      </c>
      <c r="E10466" t="s">
        <v>16704</v>
      </c>
      <c r="F10466" t="s">
        <v>30074</v>
      </c>
    </row>
    <row r="10467" spans="1:12">
      <c r="A10467" t="s">
        <v>30067</v>
      </c>
      <c r="B10467" t="s">
        <v>30068</v>
      </c>
      <c r="C10467" t="s">
        <v>30075</v>
      </c>
      <c r="D10467" t="s">
        <v>30070</v>
      </c>
      <c r="E10467" t="s">
        <v>23020</v>
      </c>
      <c r="F10467" t="s">
        <v>30076</v>
      </c>
    </row>
    <row r="10468" spans="1:12">
      <c r="A10468" t="s">
        <v>30067</v>
      </c>
      <c r="B10468" t="s">
        <v>30068</v>
      </c>
      <c r="C10468" t="s">
        <v>30077</v>
      </c>
      <c r="D10468" t="s">
        <v>30070</v>
      </c>
      <c r="E10468" t="s">
        <v>655</v>
      </c>
      <c r="F10468" t="s">
        <v>656</v>
      </c>
    </row>
    <row r="10469" spans="1:12">
      <c r="A10469" t="s">
        <v>30078</v>
      </c>
      <c r="B10469" t="s">
        <v>30079</v>
      </c>
      <c r="C10469" t="s">
        <v>30080</v>
      </c>
      <c r="D10469" t="s">
        <v>30081</v>
      </c>
      <c r="E10469" t="s">
        <v>8764</v>
      </c>
      <c r="F10469" t="s">
        <v>6385</v>
      </c>
      <c r="J10469" t="s">
        <v>8764</v>
      </c>
      <c r="K10469" t="s">
        <v>30082</v>
      </c>
      <c r="L10469" t="s">
        <v>3638</v>
      </c>
    </row>
    <row r="10470" spans="1:12">
      <c r="A10470" t="s">
        <v>30078</v>
      </c>
      <c r="B10470" t="s">
        <v>30079</v>
      </c>
      <c r="C10470" t="s">
        <v>30083</v>
      </c>
      <c r="D10470" t="s">
        <v>30081</v>
      </c>
      <c r="E10470" t="s">
        <v>655</v>
      </c>
      <c r="F10470" t="s">
        <v>656</v>
      </c>
    </row>
    <row r="10471" spans="1:12">
      <c r="A10471" t="s">
        <v>30084</v>
      </c>
      <c r="B10471" t="s">
        <v>30085</v>
      </c>
      <c r="C10471" t="s">
        <v>30086</v>
      </c>
      <c r="D10471" t="s">
        <v>30087</v>
      </c>
      <c r="E10471" t="s">
        <v>16363</v>
      </c>
      <c r="F10471" t="s">
        <v>30088</v>
      </c>
      <c r="J10471" t="s">
        <v>16363</v>
      </c>
      <c r="K10471" t="s">
        <v>30089</v>
      </c>
      <c r="L10471" t="s">
        <v>863</v>
      </c>
    </row>
    <row r="10472" spans="1:12">
      <c r="A10472" t="s">
        <v>30084</v>
      </c>
      <c r="B10472" t="s">
        <v>30085</v>
      </c>
      <c r="C10472" t="s">
        <v>30090</v>
      </c>
      <c r="D10472" t="s">
        <v>30087</v>
      </c>
      <c r="E10472" t="s">
        <v>655</v>
      </c>
      <c r="F10472" t="s">
        <v>656</v>
      </c>
    </row>
    <row r="10473" spans="1:12">
      <c r="A10473" t="s">
        <v>30091</v>
      </c>
      <c r="B10473" t="s">
        <v>30092</v>
      </c>
      <c r="C10473" t="s">
        <v>30093</v>
      </c>
      <c r="D10473" t="s">
        <v>30094</v>
      </c>
      <c r="E10473" t="s">
        <v>14176</v>
      </c>
      <c r="F10473" t="s">
        <v>30095</v>
      </c>
    </row>
    <row r="10474" spans="1:12">
      <c r="A10474" t="s">
        <v>30091</v>
      </c>
      <c r="B10474" t="s">
        <v>30092</v>
      </c>
      <c r="C10474" t="s">
        <v>30096</v>
      </c>
      <c r="D10474" t="s">
        <v>30094</v>
      </c>
      <c r="E10474" t="s">
        <v>7708</v>
      </c>
      <c r="F10474" t="s">
        <v>30097</v>
      </c>
    </row>
    <row r="10475" spans="1:12">
      <c r="A10475" t="s">
        <v>30091</v>
      </c>
      <c r="B10475" t="s">
        <v>30092</v>
      </c>
      <c r="C10475" t="s">
        <v>30098</v>
      </c>
      <c r="D10475" t="s">
        <v>30094</v>
      </c>
      <c r="E10475" t="s">
        <v>30099</v>
      </c>
      <c r="F10475" t="s">
        <v>30100</v>
      </c>
    </row>
    <row r="10476" spans="1:12">
      <c r="A10476" t="s">
        <v>30091</v>
      </c>
      <c r="B10476" t="s">
        <v>30092</v>
      </c>
      <c r="C10476" t="s">
        <v>30101</v>
      </c>
      <c r="D10476" t="s">
        <v>30094</v>
      </c>
      <c r="E10476" t="s">
        <v>30102</v>
      </c>
      <c r="F10476" t="s">
        <v>30103</v>
      </c>
      <c r="J10476" t="s">
        <v>30102</v>
      </c>
      <c r="K10476" t="s">
        <v>24470</v>
      </c>
      <c r="L10476" t="s">
        <v>851</v>
      </c>
    </row>
    <row r="10477" spans="1:12">
      <c r="A10477" t="s">
        <v>30091</v>
      </c>
      <c r="B10477" t="s">
        <v>30092</v>
      </c>
      <c r="C10477" t="s">
        <v>30104</v>
      </c>
      <c r="D10477" t="s">
        <v>30094</v>
      </c>
      <c r="E10477" t="s">
        <v>15780</v>
      </c>
      <c r="F10477" t="s">
        <v>30105</v>
      </c>
      <c r="J10477" t="s">
        <v>15780</v>
      </c>
      <c r="K10477" t="s">
        <v>24470</v>
      </c>
      <c r="L10477" t="s">
        <v>851</v>
      </c>
    </row>
    <row r="10478" spans="1:12">
      <c r="A10478" t="s">
        <v>30091</v>
      </c>
      <c r="B10478" t="s">
        <v>30092</v>
      </c>
      <c r="C10478" t="s">
        <v>30106</v>
      </c>
      <c r="D10478" t="s">
        <v>30094</v>
      </c>
      <c r="E10478" t="s">
        <v>30107</v>
      </c>
      <c r="F10478" t="s">
        <v>30108</v>
      </c>
      <c r="J10478" t="s">
        <v>30107</v>
      </c>
      <c r="K10478" t="s">
        <v>24470</v>
      </c>
      <c r="L10478" t="s">
        <v>851</v>
      </c>
    </row>
    <row r="10479" spans="1:12">
      <c r="A10479" t="s">
        <v>30091</v>
      </c>
      <c r="B10479" t="s">
        <v>30092</v>
      </c>
      <c r="C10479" t="s">
        <v>30109</v>
      </c>
      <c r="D10479" t="s">
        <v>30094</v>
      </c>
      <c r="E10479" t="s">
        <v>9278</v>
      </c>
      <c r="F10479" t="s">
        <v>30110</v>
      </c>
    </row>
    <row r="10480" spans="1:12">
      <c r="A10480" t="s">
        <v>30091</v>
      </c>
      <c r="B10480" t="s">
        <v>30092</v>
      </c>
      <c r="C10480" t="s">
        <v>30111</v>
      </c>
      <c r="D10480" t="s">
        <v>30094</v>
      </c>
      <c r="E10480" t="s">
        <v>15478</v>
      </c>
      <c r="F10480" t="s">
        <v>30112</v>
      </c>
    </row>
    <row r="10481" spans="1:12">
      <c r="A10481" t="s">
        <v>30091</v>
      </c>
      <c r="B10481" t="s">
        <v>30092</v>
      </c>
      <c r="C10481" t="s">
        <v>30113</v>
      </c>
      <c r="D10481" t="s">
        <v>30094</v>
      </c>
      <c r="E10481" t="s">
        <v>18157</v>
      </c>
      <c r="F10481" t="s">
        <v>30114</v>
      </c>
    </row>
    <row r="10482" spans="1:12">
      <c r="A10482" t="s">
        <v>30091</v>
      </c>
      <c r="B10482" t="s">
        <v>30092</v>
      </c>
      <c r="C10482" t="s">
        <v>30115</v>
      </c>
      <c r="D10482" t="s">
        <v>30094</v>
      </c>
      <c r="E10482" t="s">
        <v>11325</v>
      </c>
      <c r="F10482" t="s">
        <v>30116</v>
      </c>
    </row>
    <row r="10483" spans="1:12">
      <c r="A10483" t="s">
        <v>30091</v>
      </c>
      <c r="B10483" t="s">
        <v>30092</v>
      </c>
      <c r="C10483" t="s">
        <v>30117</v>
      </c>
      <c r="D10483" t="s">
        <v>30094</v>
      </c>
      <c r="E10483" t="s">
        <v>26634</v>
      </c>
      <c r="F10483" t="s">
        <v>30118</v>
      </c>
    </row>
    <row r="10484" spans="1:12">
      <c r="A10484" t="s">
        <v>30091</v>
      </c>
      <c r="B10484" t="s">
        <v>30092</v>
      </c>
      <c r="C10484" t="s">
        <v>30119</v>
      </c>
      <c r="D10484" t="s">
        <v>30094</v>
      </c>
      <c r="E10484" t="s">
        <v>30120</v>
      </c>
      <c r="F10484" t="s">
        <v>30121</v>
      </c>
    </row>
    <row r="10485" spans="1:12">
      <c r="A10485" t="s">
        <v>30091</v>
      </c>
      <c r="B10485" t="s">
        <v>30092</v>
      </c>
      <c r="C10485" t="s">
        <v>30122</v>
      </c>
      <c r="D10485" t="s">
        <v>30094</v>
      </c>
      <c r="E10485" t="s">
        <v>10996</v>
      </c>
      <c r="F10485" t="s">
        <v>30123</v>
      </c>
    </row>
    <row r="10486" spans="1:12">
      <c r="A10486" t="s">
        <v>30091</v>
      </c>
      <c r="B10486" t="s">
        <v>30092</v>
      </c>
      <c r="C10486" t="s">
        <v>30124</v>
      </c>
      <c r="D10486" t="s">
        <v>30094</v>
      </c>
      <c r="E10486" t="s">
        <v>6491</v>
      </c>
      <c r="F10486" t="s">
        <v>30125</v>
      </c>
    </row>
    <row r="10487" spans="1:12">
      <c r="A10487" t="s">
        <v>30091</v>
      </c>
      <c r="B10487" t="s">
        <v>30092</v>
      </c>
      <c r="C10487" t="s">
        <v>30126</v>
      </c>
      <c r="D10487" t="s">
        <v>30094</v>
      </c>
      <c r="E10487" t="s">
        <v>22454</v>
      </c>
      <c r="F10487" t="s">
        <v>30127</v>
      </c>
    </row>
    <row r="10488" spans="1:12">
      <c r="A10488" t="s">
        <v>30091</v>
      </c>
      <c r="B10488" t="s">
        <v>30092</v>
      </c>
      <c r="C10488" t="s">
        <v>30128</v>
      </c>
      <c r="D10488" t="s">
        <v>30094</v>
      </c>
      <c r="E10488" t="s">
        <v>5102</v>
      </c>
      <c r="F10488" t="s">
        <v>30129</v>
      </c>
      <c r="J10488" t="s">
        <v>5102</v>
      </c>
      <c r="K10488" t="s">
        <v>24470</v>
      </c>
      <c r="L10488" t="s">
        <v>851</v>
      </c>
    </row>
    <row r="10489" spans="1:12">
      <c r="A10489" t="s">
        <v>30091</v>
      </c>
      <c r="B10489" t="s">
        <v>30092</v>
      </c>
      <c r="C10489" t="s">
        <v>30130</v>
      </c>
      <c r="D10489" t="s">
        <v>30094</v>
      </c>
      <c r="E10489" t="s">
        <v>6835</v>
      </c>
      <c r="F10489" t="s">
        <v>30131</v>
      </c>
    </row>
    <row r="10490" spans="1:12">
      <c r="A10490" t="s">
        <v>30091</v>
      </c>
      <c r="B10490" t="s">
        <v>30092</v>
      </c>
      <c r="C10490" t="s">
        <v>30132</v>
      </c>
      <c r="D10490" t="s">
        <v>30094</v>
      </c>
      <c r="E10490" t="s">
        <v>4184</v>
      </c>
      <c r="F10490" t="s">
        <v>30133</v>
      </c>
    </row>
    <row r="10491" spans="1:12">
      <c r="A10491" t="s">
        <v>30091</v>
      </c>
      <c r="B10491" t="s">
        <v>30092</v>
      </c>
      <c r="C10491" t="s">
        <v>30134</v>
      </c>
      <c r="D10491" t="s">
        <v>30094</v>
      </c>
      <c r="E10491" t="s">
        <v>9562</v>
      </c>
      <c r="F10491" t="s">
        <v>30135</v>
      </c>
    </row>
    <row r="10492" spans="1:12">
      <c r="A10492" t="s">
        <v>30091</v>
      </c>
      <c r="B10492" t="s">
        <v>30092</v>
      </c>
      <c r="C10492" t="s">
        <v>30136</v>
      </c>
      <c r="D10492" t="s">
        <v>30094</v>
      </c>
      <c r="E10492" t="s">
        <v>30137</v>
      </c>
      <c r="F10492" t="s">
        <v>30138</v>
      </c>
      <c r="J10492" t="s">
        <v>30137</v>
      </c>
      <c r="K10492" t="s">
        <v>24470</v>
      </c>
      <c r="L10492" t="s">
        <v>851</v>
      </c>
    </row>
    <row r="10493" spans="1:12">
      <c r="A10493" t="s">
        <v>30091</v>
      </c>
      <c r="B10493" t="s">
        <v>30092</v>
      </c>
      <c r="C10493" t="s">
        <v>30139</v>
      </c>
      <c r="D10493" t="s">
        <v>30094</v>
      </c>
      <c r="E10493" t="s">
        <v>13952</v>
      </c>
      <c r="F10493" t="s">
        <v>30140</v>
      </c>
    </row>
    <row r="10494" spans="1:12">
      <c r="A10494" t="s">
        <v>30091</v>
      </c>
      <c r="B10494" t="s">
        <v>30092</v>
      </c>
      <c r="C10494" t="s">
        <v>30141</v>
      </c>
      <c r="D10494" t="s">
        <v>30094</v>
      </c>
      <c r="E10494" t="s">
        <v>30142</v>
      </c>
      <c r="F10494" t="s">
        <v>30143</v>
      </c>
    </row>
    <row r="10495" spans="1:12">
      <c r="A10495" t="s">
        <v>30091</v>
      </c>
      <c r="B10495" t="s">
        <v>30092</v>
      </c>
      <c r="C10495" t="s">
        <v>30144</v>
      </c>
      <c r="D10495" t="s">
        <v>30094</v>
      </c>
      <c r="E10495" t="s">
        <v>10028</v>
      </c>
      <c r="F10495" t="s">
        <v>30145</v>
      </c>
      <c r="J10495" t="s">
        <v>10028</v>
      </c>
      <c r="K10495" t="s">
        <v>24470</v>
      </c>
      <c r="L10495" t="s">
        <v>851</v>
      </c>
    </row>
    <row r="10496" spans="1:12">
      <c r="A10496" t="s">
        <v>30091</v>
      </c>
      <c r="B10496" t="s">
        <v>30092</v>
      </c>
      <c r="C10496" t="s">
        <v>30146</v>
      </c>
      <c r="D10496" t="s">
        <v>30094</v>
      </c>
      <c r="E10496" t="s">
        <v>24470</v>
      </c>
      <c r="F10496" t="s">
        <v>30147</v>
      </c>
      <c r="J10496" t="s">
        <v>24470</v>
      </c>
      <c r="K10496" t="s">
        <v>24470</v>
      </c>
      <c r="L10496" t="s">
        <v>851</v>
      </c>
    </row>
    <row r="10497" spans="1:12">
      <c r="A10497" t="s">
        <v>30091</v>
      </c>
      <c r="B10497" t="s">
        <v>30092</v>
      </c>
      <c r="C10497" t="s">
        <v>30148</v>
      </c>
      <c r="D10497" t="s">
        <v>30094</v>
      </c>
      <c r="E10497" t="s">
        <v>655</v>
      </c>
      <c r="F10497" t="s">
        <v>656</v>
      </c>
    </row>
    <row r="10498" spans="1:12">
      <c r="A10498" t="s">
        <v>30149</v>
      </c>
      <c r="B10498" t="s">
        <v>30150</v>
      </c>
      <c r="C10498" t="s">
        <v>30151</v>
      </c>
      <c r="D10498" t="s">
        <v>30152</v>
      </c>
      <c r="E10498" t="s">
        <v>30153</v>
      </c>
      <c r="F10498" t="s">
        <v>30153</v>
      </c>
      <c r="J10498" t="s">
        <v>30153</v>
      </c>
      <c r="K10498" t="s">
        <v>30149</v>
      </c>
      <c r="L10498" t="s">
        <v>1389</v>
      </c>
    </row>
    <row r="10499" spans="1:12">
      <c r="A10499" t="s">
        <v>30149</v>
      </c>
      <c r="B10499" t="s">
        <v>30150</v>
      </c>
      <c r="C10499" t="s">
        <v>30154</v>
      </c>
      <c r="D10499" t="s">
        <v>30152</v>
      </c>
      <c r="E10499" t="s">
        <v>30155</v>
      </c>
      <c r="F10499" t="s">
        <v>30156</v>
      </c>
    </row>
    <row r="10500" spans="1:12">
      <c r="A10500" t="s">
        <v>30149</v>
      </c>
      <c r="B10500" t="s">
        <v>30150</v>
      </c>
      <c r="C10500" t="s">
        <v>30157</v>
      </c>
      <c r="D10500" t="s">
        <v>30152</v>
      </c>
      <c r="E10500" t="s">
        <v>30158</v>
      </c>
      <c r="F10500" t="s">
        <v>30159</v>
      </c>
    </row>
    <row r="10501" spans="1:12">
      <c r="A10501" t="s">
        <v>30149</v>
      </c>
      <c r="B10501" t="s">
        <v>30150</v>
      </c>
      <c r="C10501" t="s">
        <v>30160</v>
      </c>
      <c r="D10501" t="s">
        <v>30152</v>
      </c>
      <c r="E10501" t="s">
        <v>30161</v>
      </c>
      <c r="F10501" t="s">
        <v>30162</v>
      </c>
      <c r="J10501" t="s">
        <v>30161</v>
      </c>
      <c r="K10501" t="s">
        <v>30149</v>
      </c>
      <c r="L10501" t="s">
        <v>1389</v>
      </c>
    </row>
    <row r="10502" spans="1:12">
      <c r="A10502" t="s">
        <v>30149</v>
      </c>
      <c r="B10502" t="s">
        <v>30150</v>
      </c>
      <c r="C10502" t="s">
        <v>30163</v>
      </c>
      <c r="D10502" t="s">
        <v>30152</v>
      </c>
      <c r="E10502" t="s">
        <v>20941</v>
      </c>
      <c r="F10502" t="s">
        <v>30164</v>
      </c>
      <c r="J10502" t="s">
        <v>20941</v>
      </c>
      <c r="K10502" t="s">
        <v>30149</v>
      </c>
      <c r="L10502" t="s">
        <v>1389</v>
      </c>
    </row>
    <row r="10503" spans="1:12">
      <c r="A10503" t="s">
        <v>30149</v>
      </c>
      <c r="B10503" t="s">
        <v>30150</v>
      </c>
      <c r="C10503" t="s">
        <v>30165</v>
      </c>
      <c r="D10503" t="s">
        <v>30152</v>
      </c>
      <c r="E10503" t="s">
        <v>28366</v>
      </c>
      <c r="F10503" t="s">
        <v>30166</v>
      </c>
      <c r="J10503" t="s">
        <v>28366</v>
      </c>
      <c r="K10503" t="s">
        <v>30149</v>
      </c>
      <c r="L10503" t="s">
        <v>1389</v>
      </c>
    </row>
    <row r="10504" spans="1:12">
      <c r="A10504" t="s">
        <v>30149</v>
      </c>
      <c r="B10504" t="s">
        <v>30150</v>
      </c>
      <c r="C10504" t="s">
        <v>30167</v>
      </c>
      <c r="D10504" t="s">
        <v>30152</v>
      </c>
      <c r="E10504" t="s">
        <v>655</v>
      </c>
      <c r="F10504" t="s">
        <v>656</v>
      </c>
    </row>
    <row r="10505" spans="1:12">
      <c r="A10505" t="s">
        <v>30168</v>
      </c>
      <c r="B10505" t="s">
        <v>30169</v>
      </c>
      <c r="C10505" t="s">
        <v>30170</v>
      </c>
      <c r="D10505" t="s">
        <v>30171</v>
      </c>
      <c r="E10505" t="s">
        <v>8764</v>
      </c>
      <c r="F10505" t="s">
        <v>6385</v>
      </c>
    </row>
    <row r="10506" spans="1:12">
      <c r="A10506" t="s">
        <v>30168</v>
      </c>
      <c r="B10506" t="s">
        <v>30169</v>
      </c>
      <c r="C10506" t="s">
        <v>30172</v>
      </c>
      <c r="D10506" t="s">
        <v>30171</v>
      </c>
      <c r="E10506" t="s">
        <v>655</v>
      </c>
      <c r="F10506" t="s">
        <v>656</v>
      </c>
    </row>
    <row r="10507" spans="1:12">
      <c r="A10507" t="s">
        <v>30173</v>
      </c>
      <c r="B10507" t="s">
        <v>30174</v>
      </c>
      <c r="C10507" t="s">
        <v>30175</v>
      </c>
      <c r="D10507" t="s">
        <v>30176</v>
      </c>
      <c r="E10507" t="s">
        <v>10754</v>
      </c>
      <c r="F10507" t="s">
        <v>30177</v>
      </c>
      <c r="J10507" t="s">
        <v>10754</v>
      </c>
      <c r="K10507" t="s">
        <v>30178</v>
      </c>
      <c r="L10507" t="s">
        <v>851</v>
      </c>
    </row>
    <row r="10508" spans="1:12">
      <c r="A10508" t="s">
        <v>30173</v>
      </c>
      <c r="B10508" t="s">
        <v>30174</v>
      </c>
      <c r="C10508" t="s">
        <v>30179</v>
      </c>
      <c r="D10508" t="s">
        <v>30176</v>
      </c>
      <c r="E10508" t="s">
        <v>30180</v>
      </c>
      <c r="F10508" t="s">
        <v>30181</v>
      </c>
      <c r="J10508" t="s">
        <v>30180</v>
      </c>
      <c r="K10508" t="s">
        <v>30178</v>
      </c>
      <c r="L10508" t="s">
        <v>851</v>
      </c>
    </row>
    <row r="10509" spans="1:12">
      <c r="A10509" t="s">
        <v>30173</v>
      </c>
      <c r="B10509" t="s">
        <v>30174</v>
      </c>
      <c r="C10509" t="s">
        <v>30182</v>
      </c>
      <c r="D10509" t="s">
        <v>30176</v>
      </c>
      <c r="E10509" t="s">
        <v>16192</v>
      </c>
      <c r="F10509" t="s">
        <v>30183</v>
      </c>
    </row>
    <row r="10510" spans="1:12">
      <c r="A10510" t="s">
        <v>30173</v>
      </c>
      <c r="B10510" t="s">
        <v>30174</v>
      </c>
      <c r="C10510" t="s">
        <v>30184</v>
      </c>
      <c r="D10510" t="s">
        <v>30176</v>
      </c>
      <c r="E10510" t="s">
        <v>23529</v>
      </c>
      <c r="F10510" t="s">
        <v>30185</v>
      </c>
    </row>
    <row r="10511" spans="1:12">
      <c r="A10511" t="s">
        <v>30173</v>
      </c>
      <c r="B10511" t="s">
        <v>30174</v>
      </c>
      <c r="C10511" t="s">
        <v>30186</v>
      </c>
      <c r="D10511" t="s">
        <v>30176</v>
      </c>
      <c r="E10511" t="s">
        <v>10867</v>
      </c>
      <c r="F10511" t="s">
        <v>30187</v>
      </c>
    </row>
    <row r="10512" spans="1:12">
      <c r="A10512" t="s">
        <v>30173</v>
      </c>
      <c r="B10512" t="s">
        <v>30174</v>
      </c>
      <c r="C10512" t="s">
        <v>30188</v>
      </c>
      <c r="D10512" t="s">
        <v>30176</v>
      </c>
      <c r="E10512" t="s">
        <v>30189</v>
      </c>
      <c r="F10512" t="s">
        <v>30190</v>
      </c>
    </row>
    <row r="10513" spans="1:12">
      <c r="A10513" t="s">
        <v>30173</v>
      </c>
      <c r="B10513" t="s">
        <v>30174</v>
      </c>
      <c r="C10513" t="s">
        <v>30191</v>
      </c>
      <c r="D10513" t="s">
        <v>30176</v>
      </c>
      <c r="E10513" t="s">
        <v>28987</v>
      </c>
      <c r="F10513" t="s">
        <v>30192</v>
      </c>
      <c r="J10513" t="s">
        <v>28987</v>
      </c>
      <c r="K10513" t="s">
        <v>30178</v>
      </c>
      <c r="L10513" t="s">
        <v>851</v>
      </c>
    </row>
    <row r="10514" spans="1:12">
      <c r="A10514" t="s">
        <v>30173</v>
      </c>
      <c r="B10514" t="s">
        <v>30174</v>
      </c>
      <c r="C10514" t="s">
        <v>30193</v>
      </c>
      <c r="D10514" t="s">
        <v>30176</v>
      </c>
      <c r="E10514" t="s">
        <v>16386</v>
      </c>
      <c r="F10514" t="s">
        <v>30194</v>
      </c>
      <c r="J10514" t="s">
        <v>16386</v>
      </c>
      <c r="K10514" t="s">
        <v>30178</v>
      </c>
      <c r="L10514" t="s">
        <v>851</v>
      </c>
    </row>
    <row r="10515" spans="1:12">
      <c r="A10515" t="s">
        <v>30173</v>
      </c>
      <c r="B10515" t="s">
        <v>30174</v>
      </c>
      <c r="C10515" t="s">
        <v>30195</v>
      </c>
      <c r="D10515" t="s">
        <v>30176</v>
      </c>
      <c r="E10515" t="s">
        <v>7832</v>
      </c>
      <c r="F10515" t="s">
        <v>30196</v>
      </c>
    </row>
    <row r="10516" spans="1:12">
      <c r="A10516" t="s">
        <v>30173</v>
      </c>
      <c r="B10516" t="s">
        <v>30174</v>
      </c>
      <c r="C10516" t="s">
        <v>30197</v>
      </c>
      <c r="D10516" t="s">
        <v>30176</v>
      </c>
      <c r="E10516" t="s">
        <v>30198</v>
      </c>
      <c r="F10516" t="s">
        <v>30199</v>
      </c>
      <c r="J10516" t="s">
        <v>30198</v>
      </c>
      <c r="K10516" t="s">
        <v>30178</v>
      </c>
      <c r="L10516" t="s">
        <v>851</v>
      </c>
    </row>
    <row r="10517" spans="1:12">
      <c r="A10517" t="s">
        <v>30173</v>
      </c>
      <c r="B10517" t="s">
        <v>30174</v>
      </c>
      <c r="C10517" t="s">
        <v>30200</v>
      </c>
      <c r="D10517" t="s">
        <v>30176</v>
      </c>
      <c r="E10517" t="s">
        <v>30201</v>
      </c>
      <c r="F10517" t="s">
        <v>30202</v>
      </c>
    </row>
    <row r="10518" spans="1:12">
      <c r="A10518" t="s">
        <v>30173</v>
      </c>
      <c r="B10518" t="s">
        <v>30174</v>
      </c>
      <c r="C10518" t="s">
        <v>30203</v>
      </c>
      <c r="D10518" t="s">
        <v>30176</v>
      </c>
      <c r="E10518" t="s">
        <v>3452</v>
      </c>
      <c r="F10518" t="s">
        <v>30204</v>
      </c>
      <c r="J10518" t="s">
        <v>3452</v>
      </c>
      <c r="K10518" t="s">
        <v>30178</v>
      </c>
      <c r="L10518" t="s">
        <v>851</v>
      </c>
    </row>
    <row r="10519" spans="1:12">
      <c r="A10519" t="s">
        <v>30173</v>
      </c>
      <c r="B10519" t="s">
        <v>30174</v>
      </c>
      <c r="C10519" t="s">
        <v>30205</v>
      </c>
      <c r="D10519" t="s">
        <v>30176</v>
      </c>
      <c r="E10519" t="s">
        <v>16453</v>
      </c>
      <c r="F10519" t="s">
        <v>30206</v>
      </c>
      <c r="J10519" t="s">
        <v>16453</v>
      </c>
      <c r="K10519" t="s">
        <v>30178</v>
      </c>
      <c r="L10519" t="s">
        <v>851</v>
      </c>
    </row>
    <row r="10520" spans="1:12">
      <c r="A10520" t="s">
        <v>30173</v>
      </c>
      <c r="B10520" t="s">
        <v>30174</v>
      </c>
      <c r="C10520" t="s">
        <v>30207</v>
      </c>
      <c r="D10520" t="s">
        <v>30176</v>
      </c>
      <c r="E10520" t="s">
        <v>7711</v>
      </c>
      <c r="F10520" t="s">
        <v>30208</v>
      </c>
    </row>
    <row r="10521" spans="1:12">
      <c r="A10521" t="s">
        <v>30173</v>
      </c>
      <c r="B10521" t="s">
        <v>30174</v>
      </c>
      <c r="C10521" t="s">
        <v>30209</v>
      </c>
      <c r="D10521" t="s">
        <v>30176</v>
      </c>
      <c r="E10521" t="s">
        <v>30210</v>
      </c>
      <c r="F10521" t="s">
        <v>30211</v>
      </c>
      <c r="J10521" t="s">
        <v>30210</v>
      </c>
      <c r="K10521" t="s">
        <v>30178</v>
      </c>
      <c r="L10521" t="s">
        <v>851</v>
      </c>
    </row>
    <row r="10522" spans="1:12">
      <c r="A10522" t="s">
        <v>30173</v>
      </c>
      <c r="B10522" t="s">
        <v>30174</v>
      </c>
      <c r="C10522" t="s">
        <v>30212</v>
      </c>
      <c r="D10522" t="s">
        <v>30176</v>
      </c>
      <c r="E10522" t="s">
        <v>1648</v>
      </c>
      <c r="F10522" t="s">
        <v>30213</v>
      </c>
    </row>
    <row r="10523" spans="1:12">
      <c r="A10523" t="s">
        <v>30173</v>
      </c>
      <c r="B10523" t="s">
        <v>30174</v>
      </c>
      <c r="C10523" t="s">
        <v>30214</v>
      </c>
      <c r="D10523" t="s">
        <v>30176</v>
      </c>
      <c r="E10523" t="s">
        <v>30215</v>
      </c>
      <c r="F10523" t="s">
        <v>30216</v>
      </c>
    </row>
    <row r="10524" spans="1:12">
      <c r="A10524" t="s">
        <v>30173</v>
      </c>
      <c r="B10524" t="s">
        <v>30174</v>
      </c>
      <c r="C10524" t="s">
        <v>30217</v>
      </c>
      <c r="D10524" t="s">
        <v>30176</v>
      </c>
      <c r="E10524" t="s">
        <v>30218</v>
      </c>
      <c r="F10524" t="s">
        <v>30219</v>
      </c>
    </row>
    <row r="10525" spans="1:12">
      <c r="A10525" t="s">
        <v>30173</v>
      </c>
      <c r="B10525" t="s">
        <v>30174</v>
      </c>
      <c r="C10525" t="s">
        <v>30220</v>
      </c>
      <c r="D10525" t="s">
        <v>30176</v>
      </c>
      <c r="E10525" t="s">
        <v>30221</v>
      </c>
      <c r="F10525" t="s">
        <v>30222</v>
      </c>
    </row>
    <row r="10526" spans="1:12">
      <c r="A10526" t="s">
        <v>30173</v>
      </c>
      <c r="B10526" t="s">
        <v>30174</v>
      </c>
      <c r="C10526" t="s">
        <v>30223</v>
      </c>
      <c r="D10526" t="s">
        <v>30176</v>
      </c>
      <c r="E10526" t="s">
        <v>30224</v>
      </c>
      <c r="F10526" t="s">
        <v>30225</v>
      </c>
      <c r="J10526" t="s">
        <v>30224</v>
      </c>
      <c r="K10526" t="s">
        <v>30178</v>
      </c>
      <c r="L10526" t="s">
        <v>851</v>
      </c>
    </row>
    <row r="10527" spans="1:12">
      <c r="A10527" t="s">
        <v>30173</v>
      </c>
      <c r="B10527" t="s">
        <v>30174</v>
      </c>
      <c r="C10527" t="s">
        <v>30226</v>
      </c>
      <c r="D10527" t="s">
        <v>30176</v>
      </c>
      <c r="E10527" t="s">
        <v>1717</v>
      </c>
      <c r="F10527" t="s">
        <v>30227</v>
      </c>
    </row>
    <row r="10528" spans="1:12">
      <c r="A10528" t="s">
        <v>30173</v>
      </c>
      <c r="B10528" t="s">
        <v>30174</v>
      </c>
      <c r="C10528" t="s">
        <v>30228</v>
      </c>
      <c r="D10528" t="s">
        <v>30176</v>
      </c>
      <c r="E10528" t="s">
        <v>14239</v>
      </c>
      <c r="F10528" t="s">
        <v>30229</v>
      </c>
    </row>
    <row r="10529" spans="1:12">
      <c r="A10529" t="s">
        <v>30173</v>
      </c>
      <c r="B10529" t="s">
        <v>30174</v>
      </c>
      <c r="C10529" t="s">
        <v>30230</v>
      </c>
      <c r="D10529" t="s">
        <v>30176</v>
      </c>
      <c r="E10529" t="s">
        <v>30231</v>
      </c>
      <c r="F10529" t="s">
        <v>30232</v>
      </c>
      <c r="J10529" t="s">
        <v>30231</v>
      </c>
      <c r="K10529" t="s">
        <v>30178</v>
      </c>
      <c r="L10529" t="s">
        <v>851</v>
      </c>
    </row>
    <row r="10530" spans="1:12">
      <c r="A10530" t="s">
        <v>30173</v>
      </c>
      <c r="B10530" t="s">
        <v>30174</v>
      </c>
      <c r="C10530" t="s">
        <v>30233</v>
      </c>
      <c r="D10530" t="s">
        <v>30176</v>
      </c>
      <c r="E10530" t="s">
        <v>30234</v>
      </c>
      <c r="F10530" t="s">
        <v>30235</v>
      </c>
    </row>
    <row r="10531" spans="1:12">
      <c r="A10531" t="s">
        <v>30173</v>
      </c>
      <c r="B10531" t="s">
        <v>30174</v>
      </c>
      <c r="C10531" t="s">
        <v>30236</v>
      </c>
      <c r="D10531" t="s">
        <v>30176</v>
      </c>
      <c r="E10531" t="s">
        <v>7196</v>
      </c>
      <c r="F10531" t="s">
        <v>30237</v>
      </c>
    </row>
    <row r="10532" spans="1:12">
      <c r="A10532" t="s">
        <v>30173</v>
      </c>
      <c r="B10532" t="s">
        <v>30174</v>
      </c>
      <c r="C10532" t="s">
        <v>30238</v>
      </c>
      <c r="D10532" t="s">
        <v>30176</v>
      </c>
      <c r="E10532" t="s">
        <v>30239</v>
      </c>
      <c r="F10532" t="s">
        <v>30240</v>
      </c>
    </row>
    <row r="10533" spans="1:12">
      <c r="A10533" t="s">
        <v>30173</v>
      </c>
      <c r="B10533" t="s">
        <v>30174</v>
      </c>
      <c r="C10533" t="s">
        <v>30241</v>
      </c>
      <c r="D10533" t="s">
        <v>30176</v>
      </c>
      <c r="E10533" t="s">
        <v>30242</v>
      </c>
      <c r="F10533" t="s">
        <v>30243</v>
      </c>
    </row>
    <row r="10534" spans="1:12">
      <c r="A10534" t="s">
        <v>30173</v>
      </c>
      <c r="B10534" t="s">
        <v>30174</v>
      </c>
      <c r="C10534" t="s">
        <v>30244</v>
      </c>
      <c r="D10534" t="s">
        <v>30176</v>
      </c>
      <c r="E10534" t="s">
        <v>30245</v>
      </c>
      <c r="F10534" t="s">
        <v>30246</v>
      </c>
      <c r="J10534" t="s">
        <v>30245</v>
      </c>
      <c r="K10534" t="s">
        <v>30178</v>
      </c>
      <c r="L10534" t="s">
        <v>851</v>
      </c>
    </row>
    <row r="10535" spans="1:12">
      <c r="A10535" t="s">
        <v>30173</v>
      </c>
      <c r="B10535" t="s">
        <v>30174</v>
      </c>
      <c r="C10535" t="s">
        <v>30247</v>
      </c>
      <c r="D10535" t="s">
        <v>30176</v>
      </c>
      <c r="E10535" t="s">
        <v>30248</v>
      </c>
      <c r="F10535" t="s">
        <v>30249</v>
      </c>
      <c r="J10535" t="s">
        <v>30248</v>
      </c>
      <c r="K10535" t="s">
        <v>30178</v>
      </c>
      <c r="L10535" t="s">
        <v>851</v>
      </c>
    </row>
    <row r="10536" spans="1:12">
      <c r="A10536" t="s">
        <v>30173</v>
      </c>
      <c r="B10536" t="s">
        <v>30174</v>
      </c>
      <c r="C10536" t="s">
        <v>30250</v>
      </c>
      <c r="D10536" t="s">
        <v>30176</v>
      </c>
      <c r="E10536" t="s">
        <v>951</v>
      </c>
      <c r="F10536" t="s">
        <v>30251</v>
      </c>
    </row>
    <row r="10537" spans="1:12">
      <c r="A10537" t="s">
        <v>30173</v>
      </c>
      <c r="B10537" t="s">
        <v>30174</v>
      </c>
      <c r="C10537" t="s">
        <v>30252</v>
      </c>
      <c r="D10537" t="s">
        <v>30176</v>
      </c>
      <c r="E10537" t="s">
        <v>14264</v>
      </c>
      <c r="F10537" t="s">
        <v>30253</v>
      </c>
    </row>
    <row r="10538" spans="1:12">
      <c r="A10538" t="s">
        <v>30173</v>
      </c>
      <c r="B10538" t="s">
        <v>30174</v>
      </c>
      <c r="C10538" t="s">
        <v>30254</v>
      </c>
      <c r="D10538" t="s">
        <v>30176</v>
      </c>
      <c r="E10538" t="s">
        <v>30255</v>
      </c>
      <c r="F10538" t="s">
        <v>30256</v>
      </c>
      <c r="J10538" t="s">
        <v>30255</v>
      </c>
      <c r="K10538" t="s">
        <v>30178</v>
      </c>
      <c r="L10538" t="s">
        <v>851</v>
      </c>
    </row>
    <row r="10539" spans="1:12">
      <c r="A10539" t="s">
        <v>30173</v>
      </c>
      <c r="B10539" t="s">
        <v>30174</v>
      </c>
      <c r="C10539" t="s">
        <v>30257</v>
      </c>
      <c r="D10539" t="s">
        <v>30176</v>
      </c>
      <c r="E10539" t="s">
        <v>26414</v>
      </c>
      <c r="F10539" t="s">
        <v>30258</v>
      </c>
    </row>
    <row r="10540" spans="1:12">
      <c r="A10540" t="s">
        <v>30173</v>
      </c>
      <c r="B10540" t="s">
        <v>30174</v>
      </c>
      <c r="C10540" t="s">
        <v>30259</v>
      </c>
      <c r="D10540" t="s">
        <v>30176</v>
      </c>
      <c r="E10540" t="s">
        <v>30260</v>
      </c>
      <c r="F10540" t="s">
        <v>30261</v>
      </c>
      <c r="J10540" t="s">
        <v>30260</v>
      </c>
      <c r="K10540" t="s">
        <v>30178</v>
      </c>
      <c r="L10540" t="s">
        <v>851</v>
      </c>
    </row>
    <row r="10541" spans="1:12">
      <c r="A10541" t="s">
        <v>30173</v>
      </c>
      <c r="B10541" t="s">
        <v>30174</v>
      </c>
      <c r="C10541" t="s">
        <v>30262</v>
      </c>
      <c r="D10541" t="s">
        <v>30176</v>
      </c>
      <c r="E10541" t="s">
        <v>30263</v>
      </c>
      <c r="F10541" t="s">
        <v>30264</v>
      </c>
      <c r="J10541" t="s">
        <v>30263</v>
      </c>
      <c r="K10541" t="s">
        <v>30178</v>
      </c>
      <c r="L10541" t="s">
        <v>851</v>
      </c>
    </row>
    <row r="10542" spans="1:12">
      <c r="A10542" t="s">
        <v>30173</v>
      </c>
      <c r="B10542" t="s">
        <v>30174</v>
      </c>
      <c r="C10542" t="s">
        <v>30265</v>
      </c>
      <c r="D10542" t="s">
        <v>30176</v>
      </c>
      <c r="E10542" t="s">
        <v>16613</v>
      </c>
      <c r="F10542" t="s">
        <v>30266</v>
      </c>
      <c r="J10542" t="s">
        <v>16613</v>
      </c>
      <c r="K10542" t="s">
        <v>30178</v>
      </c>
      <c r="L10542" t="s">
        <v>851</v>
      </c>
    </row>
    <row r="10543" spans="1:12">
      <c r="A10543" t="s">
        <v>30173</v>
      </c>
      <c r="B10543" t="s">
        <v>30174</v>
      </c>
      <c r="C10543" t="s">
        <v>30267</v>
      </c>
      <c r="D10543" t="s">
        <v>30176</v>
      </c>
      <c r="E10543" t="s">
        <v>7872</v>
      </c>
      <c r="F10543" t="s">
        <v>30268</v>
      </c>
    </row>
    <row r="10544" spans="1:12">
      <c r="A10544" t="s">
        <v>30173</v>
      </c>
      <c r="B10544" t="s">
        <v>30174</v>
      </c>
      <c r="C10544" t="s">
        <v>30269</v>
      </c>
      <c r="D10544" t="s">
        <v>30176</v>
      </c>
      <c r="E10544" t="s">
        <v>30270</v>
      </c>
      <c r="F10544" t="s">
        <v>30271</v>
      </c>
      <c r="J10544" t="s">
        <v>30270</v>
      </c>
      <c r="K10544" t="s">
        <v>30178</v>
      </c>
      <c r="L10544" t="s">
        <v>851</v>
      </c>
    </row>
    <row r="10545" spans="1:12">
      <c r="A10545" t="s">
        <v>30173</v>
      </c>
      <c r="B10545" t="s">
        <v>30174</v>
      </c>
      <c r="C10545" t="s">
        <v>30272</v>
      </c>
      <c r="D10545" t="s">
        <v>30176</v>
      </c>
      <c r="E10545" t="s">
        <v>12516</v>
      </c>
      <c r="F10545" t="s">
        <v>30273</v>
      </c>
    </row>
    <row r="10546" spans="1:12">
      <c r="A10546" t="s">
        <v>30173</v>
      </c>
      <c r="B10546" t="s">
        <v>30174</v>
      </c>
      <c r="C10546" t="s">
        <v>30274</v>
      </c>
      <c r="D10546" t="s">
        <v>30176</v>
      </c>
      <c r="E10546" t="s">
        <v>30275</v>
      </c>
      <c r="F10546" t="s">
        <v>30276</v>
      </c>
    </row>
    <row r="10547" spans="1:12">
      <c r="A10547" t="s">
        <v>30173</v>
      </c>
      <c r="B10547" t="s">
        <v>30174</v>
      </c>
      <c r="C10547" t="s">
        <v>30277</v>
      </c>
      <c r="D10547" t="s">
        <v>30176</v>
      </c>
      <c r="E10547" t="s">
        <v>11267</v>
      </c>
      <c r="F10547" t="s">
        <v>30278</v>
      </c>
    </row>
    <row r="10548" spans="1:12">
      <c r="A10548" t="s">
        <v>30173</v>
      </c>
      <c r="B10548" t="s">
        <v>30174</v>
      </c>
      <c r="C10548" t="s">
        <v>30279</v>
      </c>
      <c r="D10548" t="s">
        <v>30176</v>
      </c>
      <c r="E10548" t="s">
        <v>7219</v>
      </c>
      <c r="F10548" t="s">
        <v>30280</v>
      </c>
    </row>
    <row r="10549" spans="1:12">
      <c r="A10549" t="s">
        <v>30173</v>
      </c>
      <c r="B10549" t="s">
        <v>30174</v>
      </c>
      <c r="C10549" t="s">
        <v>30281</v>
      </c>
      <c r="D10549" t="s">
        <v>30176</v>
      </c>
      <c r="E10549" t="s">
        <v>7876</v>
      </c>
      <c r="F10549" t="s">
        <v>30282</v>
      </c>
    </row>
    <row r="10550" spans="1:12">
      <c r="A10550" t="s">
        <v>30173</v>
      </c>
      <c r="B10550" t="s">
        <v>30174</v>
      </c>
      <c r="C10550" t="s">
        <v>30283</v>
      </c>
      <c r="D10550" t="s">
        <v>30176</v>
      </c>
      <c r="E10550" t="s">
        <v>30284</v>
      </c>
      <c r="F10550" t="s">
        <v>30285</v>
      </c>
    </row>
    <row r="10551" spans="1:12">
      <c r="A10551" t="s">
        <v>30173</v>
      </c>
      <c r="B10551" t="s">
        <v>30174</v>
      </c>
      <c r="C10551" t="s">
        <v>30286</v>
      </c>
      <c r="D10551" t="s">
        <v>30176</v>
      </c>
      <c r="E10551" t="s">
        <v>4019</v>
      </c>
      <c r="F10551" t="s">
        <v>30287</v>
      </c>
    </row>
    <row r="10552" spans="1:12">
      <c r="A10552" t="s">
        <v>30173</v>
      </c>
      <c r="B10552" t="s">
        <v>30174</v>
      </c>
      <c r="C10552" t="s">
        <v>30288</v>
      </c>
      <c r="D10552" t="s">
        <v>30176</v>
      </c>
      <c r="E10552" t="s">
        <v>8986</v>
      </c>
      <c r="F10552" t="s">
        <v>30289</v>
      </c>
    </row>
    <row r="10553" spans="1:12">
      <c r="A10553" t="s">
        <v>30173</v>
      </c>
      <c r="B10553" t="s">
        <v>30174</v>
      </c>
      <c r="C10553" t="s">
        <v>30290</v>
      </c>
      <c r="D10553" t="s">
        <v>30176</v>
      </c>
      <c r="E10553" t="s">
        <v>7880</v>
      </c>
      <c r="F10553" t="s">
        <v>30291</v>
      </c>
    </row>
    <row r="10554" spans="1:12">
      <c r="A10554" t="s">
        <v>30173</v>
      </c>
      <c r="B10554" t="s">
        <v>30174</v>
      </c>
      <c r="C10554" t="s">
        <v>30292</v>
      </c>
      <c r="D10554" t="s">
        <v>30176</v>
      </c>
      <c r="E10554" t="s">
        <v>30293</v>
      </c>
      <c r="F10554" t="s">
        <v>30294</v>
      </c>
    </row>
    <row r="10555" spans="1:12">
      <c r="A10555" t="s">
        <v>30173</v>
      </c>
      <c r="B10555" t="s">
        <v>30174</v>
      </c>
      <c r="C10555" t="s">
        <v>30295</v>
      </c>
      <c r="D10555" t="s">
        <v>30176</v>
      </c>
      <c r="E10555" t="s">
        <v>9020</v>
      </c>
      <c r="F10555" t="s">
        <v>30296</v>
      </c>
    </row>
    <row r="10556" spans="1:12">
      <c r="A10556" t="s">
        <v>30173</v>
      </c>
      <c r="B10556" t="s">
        <v>30174</v>
      </c>
      <c r="C10556" t="s">
        <v>30297</v>
      </c>
      <c r="D10556" t="s">
        <v>30176</v>
      </c>
      <c r="E10556" t="s">
        <v>2091</v>
      </c>
      <c r="F10556" t="s">
        <v>30298</v>
      </c>
    </row>
    <row r="10557" spans="1:12">
      <c r="A10557" t="s">
        <v>30173</v>
      </c>
      <c r="B10557" t="s">
        <v>30174</v>
      </c>
      <c r="C10557" t="s">
        <v>30299</v>
      </c>
      <c r="D10557" t="s">
        <v>30176</v>
      </c>
      <c r="E10557" t="s">
        <v>30300</v>
      </c>
      <c r="F10557" t="s">
        <v>30301</v>
      </c>
      <c r="J10557" t="s">
        <v>30300</v>
      </c>
      <c r="K10557" t="s">
        <v>30178</v>
      </c>
      <c r="L10557" t="s">
        <v>851</v>
      </c>
    </row>
    <row r="10558" spans="1:12">
      <c r="A10558" t="s">
        <v>30173</v>
      </c>
      <c r="B10558" t="s">
        <v>30174</v>
      </c>
      <c r="C10558" t="s">
        <v>30302</v>
      </c>
      <c r="D10558" t="s">
        <v>30176</v>
      </c>
      <c r="E10558" t="s">
        <v>5029</v>
      </c>
      <c r="F10558" t="s">
        <v>30303</v>
      </c>
    </row>
    <row r="10559" spans="1:12">
      <c r="A10559" t="s">
        <v>30173</v>
      </c>
      <c r="B10559" t="s">
        <v>30174</v>
      </c>
      <c r="C10559" t="s">
        <v>30304</v>
      </c>
      <c r="D10559" t="s">
        <v>30176</v>
      </c>
      <c r="E10559" t="s">
        <v>12615</v>
      </c>
      <c r="F10559" t="s">
        <v>30305</v>
      </c>
    </row>
    <row r="10560" spans="1:12">
      <c r="A10560" t="s">
        <v>30173</v>
      </c>
      <c r="B10560" t="s">
        <v>30174</v>
      </c>
      <c r="C10560" t="s">
        <v>30306</v>
      </c>
      <c r="D10560" t="s">
        <v>30176</v>
      </c>
      <c r="E10560" t="s">
        <v>9119</v>
      </c>
      <c r="F10560" t="s">
        <v>30307</v>
      </c>
    </row>
    <row r="10561" spans="1:12">
      <c r="A10561" t="s">
        <v>30173</v>
      </c>
      <c r="B10561" t="s">
        <v>30174</v>
      </c>
      <c r="C10561" t="s">
        <v>30308</v>
      </c>
      <c r="D10561" t="s">
        <v>30176</v>
      </c>
      <c r="E10561" t="s">
        <v>5037</v>
      </c>
      <c r="F10561" t="s">
        <v>30309</v>
      </c>
    </row>
    <row r="10562" spans="1:12">
      <c r="A10562" t="s">
        <v>30173</v>
      </c>
      <c r="B10562" t="s">
        <v>30174</v>
      </c>
      <c r="C10562" t="s">
        <v>30310</v>
      </c>
      <c r="D10562" t="s">
        <v>30176</v>
      </c>
      <c r="E10562" t="s">
        <v>30311</v>
      </c>
      <c r="F10562" t="s">
        <v>30312</v>
      </c>
      <c r="J10562" t="s">
        <v>30311</v>
      </c>
      <c r="K10562" t="s">
        <v>30178</v>
      </c>
      <c r="L10562" t="s">
        <v>851</v>
      </c>
    </row>
    <row r="10563" spans="1:12">
      <c r="A10563" t="s">
        <v>30173</v>
      </c>
      <c r="B10563" t="s">
        <v>30174</v>
      </c>
      <c r="C10563" t="s">
        <v>30313</v>
      </c>
      <c r="D10563" t="s">
        <v>30176</v>
      </c>
      <c r="E10563" t="s">
        <v>27345</v>
      </c>
      <c r="F10563" t="s">
        <v>30314</v>
      </c>
    </row>
    <row r="10564" spans="1:12">
      <c r="A10564" t="s">
        <v>30173</v>
      </c>
      <c r="B10564" t="s">
        <v>30174</v>
      </c>
      <c r="C10564" t="s">
        <v>30315</v>
      </c>
      <c r="D10564" t="s">
        <v>30176</v>
      </c>
      <c r="E10564" t="s">
        <v>7265</v>
      </c>
      <c r="F10564" t="s">
        <v>30316</v>
      </c>
    </row>
    <row r="10565" spans="1:12">
      <c r="A10565" t="s">
        <v>30173</v>
      </c>
      <c r="B10565" t="s">
        <v>30174</v>
      </c>
      <c r="C10565" t="s">
        <v>30317</v>
      </c>
      <c r="D10565" t="s">
        <v>30176</v>
      </c>
      <c r="E10565" t="s">
        <v>17608</v>
      </c>
      <c r="F10565" t="s">
        <v>30318</v>
      </c>
    </row>
    <row r="10566" spans="1:12">
      <c r="A10566" t="s">
        <v>30173</v>
      </c>
      <c r="B10566" t="s">
        <v>30174</v>
      </c>
      <c r="C10566" t="s">
        <v>30319</v>
      </c>
      <c r="D10566" t="s">
        <v>30176</v>
      </c>
      <c r="E10566" t="s">
        <v>2187</v>
      </c>
      <c r="F10566" t="s">
        <v>30320</v>
      </c>
    </row>
    <row r="10567" spans="1:12">
      <c r="A10567" t="s">
        <v>30173</v>
      </c>
      <c r="B10567" t="s">
        <v>30174</v>
      </c>
      <c r="C10567" t="s">
        <v>30321</v>
      </c>
      <c r="D10567" t="s">
        <v>30176</v>
      </c>
      <c r="E10567" t="s">
        <v>15076</v>
      </c>
      <c r="F10567" t="s">
        <v>30322</v>
      </c>
    </row>
    <row r="10568" spans="1:12">
      <c r="A10568" t="s">
        <v>30173</v>
      </c>
      <c r="B10568" t="s">
        <v>30174</v>
      </c>
      <c r="C10568" t="s">
        <v>30323</v>
      </c>
      <c r="D10568" t="s">
        <v>30176</v>
      </c>
      <c r="E10568" t="s">
        <v>30324</v>
      </c>
      <c r="F10568" t="s">
        <v>30325</v>
      </c>
      <c r="J10568" t="s">
        <v>30324</v>
      </c>
      <c r="K10568" t="s">
        <v>30178</v>
      </c>
      <c r="L10568" t="s">
        <v>851</v>
      </c>
    </row>
    <row r="10569" spans="1:12">
      <c r="A10569" t="s">
        <v>30173</v>
      </c>
      <c r="B10569" t="s">
        <v>30174</v>
      </c>
      <c r="C10569" t="s">
        <v>30326</v>
      </c>
      <c r="D10569" t="s">
        <v>30176</v>
      </c>
      <c r="E10569" t="s">
        <v>17785</v>
      </c>
      <c r="F10569" t="s">
        <v>30327</v>
      </c>
      <c r="J10569" t="s">
        <v>17785</v>
      </c>
      <c r="K10569" t="s">
        <v>30178</v>
      </c>
      <c r="L10569" t="s">
        <v>851</v>
      </c>
    </row>
    <row r="10570" spans="1:12">
      <c r="A10570" t="s">
        <v>30173</v>
      </c>
      <c r="B10570" t="s">
        <v>30174</v>
      </c>
      <c r="C10570" t="s">
        <v>30328</v>
      </c>
      <c r="D10570" t="s">
        <v>30176</v>
      </c>
      <c r="E10570" t="s">
        <v>23931</v>
      </c>
      <c r="F10570" t="s">
        <v>30329</v>
      </c>
    </row>
    <row r="10571" spans="1:12">
      <c r="A10571" t="s">
        <v>30173</v>
      </c>
      <c r="B10571" t="s">
        <v>30174</v>
      </c>
      <c r="C10571" t="s">
        <v>30330</v>
      </c>
      <c r="D10571" t="s">
        <v>30176</v>
      </c>
      <c r="E10571" t="s">
        <v>3486</v>
      </c>
      <c r="F10571" t="s">
        <v>30331</v>
      </c>
    </row>
    <row r="10572" spans="1:12">
      <c r="A10572" t="s">
        <v>30173</v>
      </c>
      <c r="B10572" t="s">
        <v>30174</v>
      </c>
      <c r="C10572" t="s">
        <v>30332</v>
      </c>
      <c r="D10572" t="s">
        <v>30176</v>
      </c>
      <c r="E10572" t="s">
        <v>9266</v>
      </c>
      <c r="F10572" t="s">
        <v>30333</v>
      </c>
    </row>
    <row r="10573" spans="1:12">
      <c r="A10573" t="s">
        <v>30173</v>
      </c>
      <c r="B10573" t="s">
        <v>30174</v>
      </c>
      <c r="C10573" t="s">
        <v>30334</v>
      </c>
      <c r="D10573" t="s">
        <v>30176</v>
      </c>
      <c r="E10573" t="s">
        <v>30335</v>
      </c>
      <c r="F10573" t="s">
        <v>30336</v>
      </c>
    </row>
    <row r="10574" spans="1:12">
      <c r="A10574" t="s">
        <v>30173</v>
      </c>
      <c r="B10574" t="s">
        <v>30174</v>
      </c>
      <c r="C10574" t="s">
        <v>30337</v>
      </c>
      <c r="D10574" t="s">
        <v>30176</v>
      </c>
      <c r="E10574" t="s">
        <v>24262</v>
      </c>
      <c r="F10574" t="s">
        <v>30338</v>
      </c>
    </row>
    <row r="10575" spans="1:12">
      <c r="A10575" t="s">
        <v>30173</v>
      </c>
      <c r="B10575" t="s">
        <v>30174</v>
      </c>
      <c r="C10575" t="s">
        <v>30339</v>
      </c>
      <c r="D10575" t="s">
        <v>30176</v>
      </c>
      <c r="E10575" t="s">
        <v>30340</v>
      </c>
      <c r="F10575" t="s">
        <v>30341</v>
      </c>
    </row>
    <row r="10576" spans="1:12">
      <c r="A10576" t="s">
        <v>30173</v>
      </c>
      <c r="B10576" t="s">
        <v>30174</v>
      </c>
      <c r="C10576" t="s">
        <v>30342</v>
      </c>
      <c r="D10576" t="s">
        <v>30176</v>
      </c>
      <c r="E10576" t="s">
        <v>2288</v>
      </c>
      <c r="F10576" t="s">
        <v>30343</v>
      </c>
    </row>
    <row r="10577" spans="1:12">
      <c r="A10577" t="s">
        <v>30173</v>
      </c>
      <c r="B10577" t="s">
        <v>30174</v>
      </c>
      <c r="C10577" t="s">
        <v>30344</v>
      </c>
      <c r="D10577" t="s">
        <v>30176</v>
      </c>
      <c r="E10577" t="s">
        <v>11344</v>
      </c>
      <c r="F10577" t="s">
        <v>30345</v>
      </c>
    </row>
    <row r="10578" spans="1:12">
      <c r="A10578" t="s">
        <v>30173</v>
      </c>
      <c r="B10578" t="s">
        <v>30174</v>
      </c>
      <c r="C10578" t="s">
        <v>30346</v>
      </c>
      <c r="D10578" t="s">
        <v>30176</v>
      </c>
      <c r="E10578" t="s">
        <v>18684</v>
      </c>
      <c r="F10578" t="s">
        <v>30347</v>
      </c>
      <c r="J10578" t="s">
        <v>18684</v>
      </c>
      <c r="K10578" t="s">
        <v>30178</v>
      </c>
      <c r="L10578" t="s">
        <v>851</v>
      </c>
    </row>
    <row r="10579" spans="1:12">
      <c r="A10579" t="s">
        <v>30173</v>
      </c>
      <c r="B10579" t="s">
        <v>30174</v>
      </c>
      <c r="C10579" t="s">
        <v>30348</v>
      </c>
      <c r="D10579" t="s">
        <v>30176</v>
      </c>
      <c r="E10579" t="s">
        <v>9493</v>
      </c>
      <c r="F10579" t="s">
        <v>30349</v>
      </c>
    </row>
    <row r="10580" spans="1:12">
      <c r="A10580" t="s">
        <v>30173</v>
      </c>
      <c r="B10580" t="s">
        <v>30174</v>
      </c>
      <c r="C10580" t="s">
        <v>30350</v>
      </c>
      <c r="D10580" t="s">
        <v>30176</v>
      </c>
      <c r="E10580" t="s">
        <v>7345</v>
      </c>
      <c r="F10580" t="s">
        <v>30351</v>
      </c>
      <c r="J10580" t="s">
        <v>7345</v>
      </c>
      <c r="K10580" t="s">
        <v>30178</v>
      </c>
      <c r="L10580" t="s">
        <v>851</v>
      </c>
    </row>
    <row r="10581" spans="1:12">
      <c r="A10581" t="s">
        <v>30173</v>
      </c>
      <c r="B10581" t="s">
        <v>30174</v>
      </c>
      <c r="C10581" t="s">
        <v>30352</v>
      </c>
      <c r="D10581" t="s">
        <v>30176</v>
      </c>
      <c r="E10581" t="s">
        <v>15839</v>
      </c>
      <c r="F10581" t="s">
        <v>30353</v>
      </c>
    </row>
    <row r="10582" spans="1:12">
      <c r="A10582" t="s">
        <v>30173</v>
      </c>
      <c r="B10582" t="s">
        <v>30174</v>
      </c>
      <c r="C10582" t="s">
        <v>30354</v>
      </c>
      <c r="D10582" t="s">
        <v>30176</v>
      </c>
      <c r="E10582" t="s">
        <v>9533</v>
      </c>
      <c r="F10582" t="s">
        <v>30355</v>
      </c>
    </row>
    <row r="10583" spans="1:12">
      <c r="A10583" t="s">
        <v>30173</v>
      </c>
      <c r="B10583" t="s">
        <v>30174</v>
      </c>
      <c r="C10583" t="s">
        <v>30356</v>
      </c>
      <c r="D10583" t="s">
        <v>30176</v>
      </c>
      <c r="E10583" t="s">
        <v>24552</v>
      </c>
      <c r="F10583" t="s">
        <v>30357</v>
      </c>
    </row>
    <row r="10584" spans="1:12">
      <c r="A10584" t="s">
        <v>30173</v>
      </c>
      <c r="B10584" t="s">
        <v>30174</v>
      </c>
      <c r="C10584" t="s">
        <v>30358</v>
      </c>
      <c r="D10584" t="s">
        <v>30176</v>
      </c>
      <c r="E10584" t="s">
        <v>9550</v>
      </c>
      <c r="F10584" t="s">
        <v>30359</v>
      </c>
    </row>
    <row r="10585" spans="1:12">
      <c r="A10585" t="s">
        <v>30173</v>
      </c>
      <c r="B10585" t="s">
        <v>30174</v>
      </c>
      <c r="C10585" t="s">
        <v>30360</v>
      </c>
      <c r="D10585" t="s">
        <v>30176</v>
      </c>
      <c r="E10585" t="s">
        <v>30361</v>
      </c>
      <c r="F10585" t="s">
        <v>30362</v>
      </c>
    </row>
    <row r="10586" spans="1:12">
      <c r="A10586" t="s">
        <v>30173</v>
      </c>
      <c r="B10586" t="s">
        <v>30174</v>
      </c>
      <c r="C10586" t="s">
        <v>30363</v>
      </c>
      <c r="D10586" t="s">
        <v>30176</v>
      </c>
      <c r="E10586" t="s">
        <v>30364</v>
      </c>
      <c r="F10586" t="s">
        <v>30365</v>
      </c>
    </row>
    <row r="10587" spans="1:12">
      <c r="A10587" t="s">
        <v>30173</v>
      </c>
      <c r="B10587" t="s">
        <v>30174</v>
      </c>
      <c r="C10587" t="s">
        <v>30366</v>
      </c>
      <c r="D10587" t="s">
        <v>30176</v>
      </c>
      <c r="E10587" t="s">
        <v>14454</v>
      </c>
      <c r="F10587" t="s">
        <v>30367</v>
      </c>
    </row>
    <row r="10588" spans="1:12">
      <c r="A10588" t="s">
        <v>30173</v>
      </c>
      <c r="B10588" t="s">
        <v>30174</v>
      </c>
      <c r="C10588" t="s">
        <v>30368</v>
      </c>
      <c r="D10588" t="s">
        <v>30176</v>
      </c>
      <c r="E10588" t="s">
        <v>25970</v>
      </c>
      <c r="F10588" t="s">
        <v>30369</v>
      </c>
    </row>
    <row r="10589" spans="1:12">
      <c r="A10589" t="s">
        <v>30173</v>
      </c>
      <c r="B10589" t="s">
        <v>30174</v>
      </c>
      <c r="C10589" t="s">
        <v>30370</v>
      </c>
      <c r="D10589" t="s">
        <v>30176</v>
      </c>
      <c r="E10589" t="s">
        <v>16050</v>
      </c>
      <c r="F10589" t="s">
        <v>30371</v>
      </c>
      <c r="J10589" t="s">
        <v>16050</v>
      </c>
      <c r="K10589" t="s">
        <v>30178</v>
      </c>
      <c r="L10589" t="s">
        <v>851</v>
      </c>
    </row>
    <row r="10590" spans="1:12">
      <c r="A10590" t="s">
        <v>30173</v>
      </c>
      <c r="B10590" t="s">
        <v>30174</v>
      </c>
      <c r="C10590" t="s">
        <v>30372</v>
      </c>
      <c r="D10590" t="s">
        <v>30176</v>
      </c>
      <c r="E10590" t="s">
        <v>3649</v>
      </c>
      <c r="F10590" t="s">
        <v>30373</v>
      </c>
    </row>
    <row r="10591" spans="1:12">
      <c r="A10591" t="s">
        <v>30173</v>
      </c>
      <c r="B10591" t="s">
        <v>30174</v>
      </c>
      <c r="C10591" t="s">
        <v>30374</v>
      </c>
      <c r="D10591" t="s">
        <v>30176</v>
      </c>
      <c r="E10591" t="s">
        <v>23744</v>
      </c>
      <c r="F10591" t="s">
        <v>30375</v>
      </c>
    </row>
    <row r="10592" spans="1:12">
      <c r="A10592" t="s">
        <v>30173</v>
      </c>
      <c r="B10592" t="s">
        <v>30174</v>
      </c>
      <c r="C10592" t="s">
        <v>30376</v>
      </c>
      <c r="D10592" t="s">
        <v>30176</v>
      </c>
      <c r="E10592" t="s">
        <v>30377</v>
      </c>
      <c r="F10592" t="s">
        <v>30378</v>
      </c>
      <c r="J10592" t="s">
        <v>30379</v>
      </c>
      <c r="K10592" t="s">
        <v>30178</v>
      </c>
      <c r="L10592" t="s">
        <v>851</v>
      </c>
    </row>
    <row r="10593" spans="1:12">
      <c r="A10593" t="s">
        <v>30173</v>
      </c>
      <c r="B10593" t="s">
        <v>30174</v>
      </c>
      <c r="C10593" t="s">
        <v>30380</v>
      </c>
      <c r="D10593" t="s">
        <v>30176</v>
      </c>
      <c r="E10593" t="s">
        <v>5271</v>
      </c>
      <c r="F10593" t="s">
        <v>4218</v>
      </c>
      <c r="J10593" t="s">
        <v>27556</v>
      </c>
      <c r="K10593" t="s">
        <v>30178</v>
      </c>
      <c r="L10593" t="s">
        <v>851</v>
      </c>
    </row>
    <row r="10594" spans="1:12">
      <c r="A10594" t="s">
        <v>30173</v>
      </c>
      <c r="B10594" t="s">
        <v>30174</v>
      </c>
      <c r="C10594" t="s">
        <v>30381</v>
      </c>
      <c r="D10594" t="s">
        <v>30176</v>
      </c>
      <c r="E10594" t="s">
        <v>6725</v>
      </c>
      <c r="F10594" t="s">
        <v>30382</v>
      </c>
    </row>
    <row r="10595" spans="1:12">
      <c r="A10595" t="s">
        <v>30173</v>
      </c>
      <c r="B10595" t="s">
        <v>30174</v>
      </c>
      <c r="C10595" t="s">
        <v>30383</v>
      </c>
      <c r="D10595" t="s">
        <v>30176</v>
      </c>
      <c r="E10595" t="s">
        <v>30384</v>
      </c>
      <c r="F10595" t="s">
        <v>30385</v>
      </c>
      <c r="J10595" t="s">
        <v>30384</v>
      </c>
      <c r="K10595" t="s">
        <v>30178</v>
      </c>
      <c r="L10595" t="s">
        <v>851</v>
      </c>
    </row>
    <row r="10596" spans="1:12">
      <c r="A10596" t="s">
        <v>30173</v>
      </c>
      <c r="B10596" t="s">
        <v>30174</v>
      </c>
      <c r="C10596" t="s">
        <v>30386</v>
      </c>
      <c r="D10596" t="s">
        <v>30176</v>
      </c>
      <c r="E10596" t="s">
        <v>3652</v>
      </c>
      <c r="F10596" t="s">
        <v>30387</v>
      </c>
    </row>
    <row r="10597" spans="1:12">
      <c r="A10597" t="s">
        <v>30173</v>
      </c>
      <c r="B10597" t="s">
        <v>30174</v>
      </c>
      <c r="C10597" t="s">
        <v>30388</v>
      </c>
      <c r="D10597" t="s">
        <v>30176</v>
      </c>
      <c r="E10597" t="s">
        <v>20974</v>
      </c>
      <c r="F10597" t="s">
        <v>30389</v>
      </c>
    </row>
    <row r="10598" spans="1:12">
      <c r="A10598" t="s">
        <v>30173</v>
      </c>
      <c r="B10598" t="s">
        <v>30174</v>
      </c>
      <c r="C10598" t="s">
        <v>30390</v>
      </c>
      <c r="D10598" t="s">
        <v>30176</v>
      </c>
      <c r="E10598" t="s">
        <v>15333</v>
      </c>
      <c r="F10598" t="s">
        <v>30391</v>
      </c>
    </row>
    <row r="10599" spans="1:12">
      <c r="A10599" t="s">
        <v>30173</v>
      </c>
      <c r="B10599" t="s">
        <v>30174</v>
      </c>
      <c r="C10599" t="s">
        <v>30392</v>
      </c>
      <c r="D10599" t="s">
        <v>30176</v>
      </c>
      <c r="E10599" t="s">
        <v>4599</v>
      </c>
      <c r="F10599" t="s">
        <v>30393</v>
      </c>
    </row>
    <row r="10600" spans="1:12">
      <c r="A10600" t="s">
        <v>30173</v>
      </c>
      <c r="B10600" t="s">
        <v>30174</v>
      </c>
      <c r="C10600" t="s">
        <v>30394</v>
      </c>
      <c r="D10600" t="s">
        <v>30176</v>
      </c>
      <c r="E10600" t="s">
        <v>10054</v>
      </c>
      <c r="F10600" t="s">
        <v>30395</v>
      </c>
    </row>
    <row r="10601" spans="1:12">
      <c r="A10601" t="s">
        <v>30173</v>
      </c>
      <c r="B10601" t="s">
        <v>30174</v>
      </c>
      <c r="C10601" t="s">
        <v>30396</v>
      </c>
      <c r="D10601" t="s">
        <v>30176</v>
      </c>
      <c r="E10601" t="s">
        <v>30397</v>
      </c>
      <c r="F10601" t="s">
        <v>30398</v>
      </c>
      <c r="J10601" t="s">
        <v>30397</v>
      </c>
      <c r="K10601" t="s">
        <v>30178</v>
      </c>
      <c r="L10601" t="s">
        <v>851</v>
      </c>
    </row>
    <row r="10602" spans="1:12">
      <c r="A10602" t="s">
        <v>30173</v>
      </c>
      <c r="B10602" t="s">
        <v>30174</v>
      </c>
      <c r="C10602" t="s">
        <v>30399</v>
      </c>
      <c r="D10602" t="s">
        <v>30176</v>
      </c>
      <c r="E10602" t="s">
        <v>30400</v>
      </c>
      <c r="F10602" t="s">
        <v>30401</v>
      </c>
    </row>
    <row r="10603" spans="1:12">
      <c r="A10603" t="s">
        <v>30173</v>
      </c>
      <c r="B10603" t="s">
        <v>30174</v>
      </c>
      <c r="C10603" t="s">
        <v>30402</v>
      </c>
      <c r="D10603" t="s">
        <v>30176</v>
      </c>
      <c r="E10603" t="s">
        <v>5332</v>
      </c>
      <c r="F10603" t="s">
        <v>5332</v>
      </c>
      <c r="J10603" t="s">
        <v>5332</v>
      </c>
      <c r="K10603" t="s">
        <v>30178</v>
      </c>
      <c r="L10603" t="s">
        <v>851</v>
      </c>
    </row>
    <row r="10604" spans="1:12">
      <c r="A10604" t="s">
        <v>30173</v>
      </c>
      <c r="B10604" t="s">
        <v>30174</v>
      </c>
      <c r="C10604" t="s">
        <v>30403</v>
      </c>
      <c r="D10604" t="s">
        <v>30176</v>
      </c>
      <c r="E10604" t="s">
        <v>8285</v>
      </c>
      <c r="F10604" t="s">
        <v>30404</v>
      </c>
      <c r="J10604" t="s">
        <v>8285</v>
      </c>
      <c r="K10604" t="s">
        <v>30178</v>
      </c>
      <c r="L10604" t="s">
        <v>851</v>
      </c>
    </row>
    <row r="10605" spans="1:12">
      <c r="A10605" t="s">
        <v>30173</v>
      </c>
      <c r="B10605" t="s">
        <v>30174</v>
      </c>
      <c r="C10605" t="s">
        <v>30405</v>
      </c>
      <c r="D10605" t="s">
        <v>30176</v>
      </c>
      <c r="E10605" t="s">
        <v>30406</v>
      </c>
      <c r="F10605" t="s">
        <v>30407</v>
      </c>
    </row>
    <row r="10606" spans="1:12">
      <c r="A10606" t="s">
        <v>30173</v>
      </c>
      <c r="B10606" t="s">
        <v>30174</v>
      </c>
      <c r="C10606" t="s">
        <v>30408</v>
      </c>
      <c r="D10606" t="s">
        <v>30176</v>
      </c>
      <c r="E10606" t="s">
        <v>30409</v>
      </c>
      <c r="F10606" t="s">
        <v>30410</v>
      </c>
    </row>
    <row r="10607" spans="1:12">
      <c r="A10607" t="s">
        <v>30173</v>
      </c>
      <c r="B10607" t="s">
        <v>30174</v>
      </c>
      <c r="C10607" t="s">
        <v>30411</v>
      </c>
      <c r="D10607" t="s">
        <v>30176</v>
      </c>
      <c r="E10607" t="s">
        <v>30412</v>
      </c>
      <c r="F10607" t="s">
        <v>30413</v>
      </c>
    </row>
    <row r="10608" spans="1:12">
      <c r="A10608" t="s">
        <v>30173</v>
      </c>
      <c r="B10608" t="s">
        <v>30174</v>
      </c>
      <c r="C10608" t="s">
        <v>30414</v>
      </c>
      <c r="D10608" t="s">
        <v>30176</v>
      </c>
      <c r="E10608" t="s">
        <v>655</v>
      </c>
      <c r="F10608" t="s">
        <v>656</v>
      </c>
    </row>
    <row r="10609" spans="1:12">
      <c r="A10609" t="s">
        <v>30173</v>
      </c>
      <c r="B10609" t="s">
        <v>30174</v>
      </c>
      <c r="D10609" t="s">
        <v>30176</v>
      </c>
      <c r="F10609" t="s">
        <v>30415</v>
      </c>
      <c r="J10609" t="s">
        <v>14146</v>
      </c>
      <c r="K10609" t="s">
        <v>30178</v>
      </c>
      <c r="L10609" t="s">
        <v>851</v>
      </c>
    </row>
    <row r="10610" spans="1:12">
      <c r="A10610" t="s">
        <v>30173</v>
      </c>
      <c r="B10610" t="s">
        <v>30174</v>
      </c>
      <c r="D10610" t="s">
        <v>30176</v>
      </c>
      <c r="F10610" t="s">
        <v>30416</v>
      </c>
      <c r="J10610" t="s">
        <v>27355</v>
      </c>
      <c r="K10610" t="s">
        <v>30178</v>
      </c>
      <c r="L10610" t="s">
        <v>851</v>
      </c>
    </row>
    <row r="10611" spans="1:12">
      <c r="A10611" t="s">
        <v>30173</v>
      </c>
      <c r="B10611" t="s">
        <v>30174</v>
      </c>
      <c r="D10611" t="s">
        <v>30176</v>
      </c>
      <c r="F10611" t="s">
        <v>30417</v>
      </c>
      <c r="J10611" t="s">
        <v>30418</v>
      </c>
      <c r="K10611" t="s">
        <v>30178</v>
      </c>
      <c r="L10611" t="s">
        <v>851</v>
      </c>
    </row>
    <row r="10612" spans="1:12">
      <c r="A10612" t="s">
        <v>30419</v>
      </c>
      <c r="B10612" t="s">
        <v>30420</v>
      </c>
      <c r="C10612" t="s">
        <v>30421</v>
      </c>
      <c r="D10612" t="s">
        <v>30422</v>
      </c>
      <c r="E10612" t="s">
        <v>4924</v>
      </c>
      <c r="F10612" t="s">
        <v>30423</v>
      </c>
    </row>
    <row r="10613" spans="1:12">
      <c r="A10613" t="s">
        <v>30419</v>
      </c>
      <c r="B10613" t="s">
        <v>30420</v>
      </c>
      <c r="C10613" t="s">
        <v>30424</v>
      </c>
      <c r="D10613" t="s">
        <v>30422</v>
      </c>
      <c r="E10613" t="s">
        <v>2320</v>
      </c>
      <c r="F10613" t="s">
        <v>30425</v>
      </c>
    </row>
    <row r="10614" spans="1:12">
      <c r="A10614" t="s">
        <v>30419</v>
      </c>
      <c r="B10614" t="s">
        <v>30420</v>
      </c>
      <c r="C10614" t="s">
        <v>30426</v>
      </c>
      <c r="D10614" t="s">
        <v>30422</v>
      </c>
      <c r="E10614" t="s">
        <v>30427</v>
      </c>
      <c r="F10614" t="s">
        <v>30428</v>
      </c>
      <c r="J10614" t="s">
        <v>30427</v>
      </c>
      <c r="K10614" t="s">
        <v>30429</v>
      </c>
      <c r="L10614" t="s">
        <v>814</v>
      </c>
    </row>
    <row r="10615" spans="1:12">
      <c r="A10615" t="s">
        <v>30419</v>
      </c>
      <c r="B10615" t="s">
        <v>30420</v>
      </c>
      <c r="C10615" t="s">
        <v>30430</v>
      </c>
      <c r="D10615" t="s">
        <v>30422</v>
      </c>
      <c r="E10615" t="s">
        <v>11613</v>
      </c>
      <c r="F10615" t="s">
        <v>30431</v>
      </c>
    </row>
    <row r="10616" spans="1:12">
      <c r="A10616" t="s">
        <v>30419</v>
      </c>
      <c r="B10616" t="s">
        <v>30420</v>
      </c>
      <c r="C10616" t="s">
        <v>30432</v>
      </c>
      <c r="D10616" t="s">
        <v>30422</v>
      </c>
      <c r="E10616" t="s">
        <v>30433</v>
      </c>
      <c r="F10616" t="s">
        <v>30434</v>
      </c>
    </row>
    <row r="10617" spans="1:12">
      <c r="A10617" t="s">
        <v>30419</v>
      </c>
      <c r="B10617" t="s">
        <v>30420</v>
      </c>
      <c r="C10617" t="s">
        <v>30435</v>
      </c>
      <c r="D10617" t="s">
        <v>30422</v>
      </c>
      <c r="E10617" t="s">
        <v>13377</v>
      </c>
      <c r="F10617" t="s">
        <v>30436</v>
      </c>
    </row>
    <row r="10618" spans="1:12">
      <c r="A10618" t="s">
        <v>30419</v>
      </c>
      <c r="B10618" t="s">
        <v>30420</v>
      </c>
      <c r="C10618" t="s">
        <v>30437</v>
      </c>
      <c r="D10618" t="s">
        <v>30422</v>
      </c>
      <c r="E10618" t="s">
        <v>30438</v>
      </c>
      <c r="F10618" t="s">
        <v>30439</v>
      </c>
    </row>
    <row r="10619" spans="1:12">
      <c r="A10619" t="s">
        <v>30419</v>
      </c>
      <c r="B10619" t="s">
        <v>30420</v>
      </c>
      <c r="C10619" t="s">
        <v>30440</v>
      </c>
      <c r="D10619" t="s">
        <v>30422</v>
      </c>
      <c r="E10619" t="s">
        <v>7955</v>
      </c>
      <c r="F10619" t="s">
        <v>30441</v>
      </c>
    </row>
    <row r="10620" spans="1:12">
      <c r="A10620" t="s">
        <v>30419</v>
      </c>
      <c r="B10620" t="s">
        <v>30420</v>
      </c>
      <c r="C10620" t="s">
        <v>30442</v>
      </c>
      <c r="D10620" t="s">
        <v>30422</v>
      </c>
      <c r="E10620" t="s">
        <v>7403</v>
      </c>
      <c r="F10620" t="s">
        <v>11060</v>
      </c>
    </row>
    <row r="10621" spans="1:12">
      <c r="A10621" t="s">
        <v>30419</v>
      </c>
      <c r="B10621" t="s">
        <v>30420</v>
      </c>
      <c r="C10621" t="s">
        <v>30443</v>
      </c>
      <c r="D10621" t="s">
        <v>30422</v>
      </c>
      <c r="E10621" t="s">
        <v>20853</v>
      </c>
      <c r="F10621" t="s">
        <v>30444</v>
      </c>
      <c r="J10621" t="s">
        <v>20853</v>
      </c>
      <c r="K10621" t="s">
        <v>30429</v>
      </c>
      <c r="L10621" t="s">
        <v>814</v>
      </c>
    </row>
    <row r="10622" spans="1:12">
      <c r="A10622" t="s">
        <v>30419</v>
      </c>
      <c r="B10622" t="s">
        <v>30420</v>
      </c>
      <c r="C10622" t="s">
        <v>30445</v>
      </c>
      <c r="D10622" t="s">
        <v>30422</v>
      </c>
      <c r="E10622" t="s">
        <v>2987</v>
      </c>
      <c r="F10622" t="s">
        <v>30446</v>
      </c>
    </row>
    <row r="10623" spans="1:12">
      <c r="A10623" t="s">
        <v>30419</v>
      </c>
      <c r="B10623" t="s">
        <v>30420</v>
      </c>
      <c r="C10623" t="s">
        <v>30447</v>
      </c>
      <c r="D10623" t="s">
        <v>30422</v>
      </c>
      <c r="E10623" t="s">
        <v>655</v>
      </c>
      <c r="F10623" t="s">
        <v>656</v>
      </c>
    </row>
    <row r="10624" spans="1:12">
      <c r="A10624" t="s">
        <v>30448</v>
      </c>
      <c r="B10624" t="s">
        <v>30449</v>
      </c>
      <c r="C10624" t="s">
        <v>30450</v>
      </c>
      <c r="D10624" t="s">
        <v>30451</v>
      </c>
      <c r="E10624" t="s">
        <v>30452</v>
      </c>
      <c r="F10624" t="s">
        <v>30453</v>
      </c>
      <c r="J10624" t="s">
        <v>30452</v>
      </c>
      <c r="K10624" t="s">
        <v>30454</v>
      </c>
      <c r="L10624" t="s">
        <v>1389</v>
      </c>
    </row>
    <row r="10625" spans="1:12">
      <c r="A10625" t="s">
        <v>30448</v>
      </c>
      <c r="B10625" t="s">
        <v>30449</v>
      </c>
      <c r="C10625" t="s">
        <v>30455</v>
      </c>
      <c r="D10625" t="s">
        <v>30451</v>
      </c>
      <c r="E10625" t="s">
        <v>655</v>
      </c>
      <c r="F10625" t="s">
        <v>656</v>
      </c>
    </row>
    <row r="10626" spans="1:12">
      <c r="A10626" t="s">
        <v>30456</v>
      </c>
      <c r="B10626" t="s">
        <v>30457</v>
      </c>
      <c r="C10626" t="s">
        <v>30458</v>
      </c>
      <c r="D10626" t="s">
        <v>30459</v>
      </c>
      <c r="E10626" t="s">
        <v>30460</v>
      </c>
      <c r="F10626" t="s">
        <v>30461</v>
      </c>
    </row>
    <row r="10627" spans="1:12">
      <c r="A10627" t="s">
        <v>30456</v>
      </c>
      <c r="B10627" t="s">
        <v>30457</v>
      </c>
      <c r="C10627" t="s">
        <v>30462</v>
      </c>
      <c r="D10627" t="s">
        <v>30459</v>
      </c>
      <c r="E10627" t="s">
        <v>30463</v>
      </c>
      <c r="F10627" t="s">
        <v>30464</v>
      </c>
      <c r="J10627" t="s">
        <v>30463</v>
      </c>
      <c r="K10627" t="s">
        <v>30465</v>
      </c>
      <c r="L10627" t="s">
        <v>3638</v>
      </c>
    </row>
    <row r="10628" spans="1:12">
      <c r="A10628" t="s">
        <v>30456</v>
      </c>
      <c r="B10628" t="s">
        <v>30457</v>
      </c>
      <c r="C10628" t="s">
        <v>30466</v>
      </c>
      <c r="D10628" t="s">
        <v>30459</v>
      </c>
      <c r="E10628" t="s">
        <v>30467</v>
      </c>
      <c r="F10628" t="s">
        <v>30468</v>
      </c>
      <c r="J10628" t="s">
        <v>30467</v>
      </c>
      <c r="K10628" t="s">
        <v>30465</v>
      </c>
      <c r="L10628" t="s">
        <v>3638</v>
      </c>
    </row>
    <row r="10629" spans="1:12">
      <c r="A10629" t="s">
        <v>30456</v>
      </c>
      <c r="B10629" t="s">
        <v>30457</v>
      </c>
      <c r="C10629" t="s">
        <v>30469</v>
      </c>
      <c r="D10629" t="s">
        <v>30459</v>
      </c>
      <c r="E10629" t="s">
        <v>9213</v>
      </c>
      <c r="F10629" t="s">
        <v>30470</v>
      </c>
      <c r="J10629" t="s">
        <v>9213</v>
      </c>
      <c r="K10629" t="s">
        <v>30465</v>
      </c>
      <c r="L10629" t="s">
        <v>3638</v>
      </c>
    </row>
    <row r="10630" spans="1:12">
      <c r="A10630" t="s">
        <v>30456</v>
      </c>
      <c r="B10630" t="s">
        <v>30457</v>
      </c>
      <c r="C10630" t="s">
        <v>30471</v>
      </c>
      <c r="D10630" t="s">
        <v>30459</v>
      </c>
      <c r="E10630" t="s">
        <v>9278</v>
      </c>
      <c r="F10630" t="s">
        <v>30472</v>
      </c>
    </row>
    <row r="10631" spans="1:12">
      <c r="A10631" t="s">
        <v>30456</v>
      </c>
      <c r="B10631" t="s">
        <v>30457</v>
      </c>
      <c r="C10631" t="s">
        <v>30473</v>
      </c>
      <c r="D10631" t="s">
        <v>30459</v>
      </c>
      <c r="E10631" t="s">
        <v>30474</v>
      </c>
      <c r="F10631" t="s">
        <v>30475</v>
      </c>
      <c r="J10631" t="s">
        <v>30474</v>
      </c>
      <c r="K10631" t="s">
        <v>30465</v>
      </c>
      <c r="L10631" t="s">
        <v>3638</v>
      </c>
    </row>
    <row r="10632" spans="1:12">
      <c r="A10632" t="s">
        <v>30456</v>
      </c>
      <c r="B10632" t="s">
        <v>30457</v>
      </c>
      <c r="C10632" t="s">
        <v>30476</v>
      </c>
      <c r="D10632" t="s">
        <v>30459</v>
      </c>
      <c r="E10632" t="s">
        <v>30477</v>
      </c>
      <c r="F10632" t="s">
        <v>30478</v>
      </c>
      <c r="J10632" t="s">
        <v>30477</v>
      </c>
      <c r="K10632" t="s">
        <v>30465</v>
      </c>
      <c r="L10632" t="s">
        <v>3638</v>
      </c>
    </row>
    <row r="10633" spans="1:12">
      <c r="A10633" t="s">
        <v>30456</v>
      </c>
      <c r="B10633" t="s">
        <v>30457</v>
      </c>
      <c r="C10633" t="s">
        <v>30479</v>
      </c>
      <c r="D10633" t="s">
        <v>30459</v>
      </c>
      <c r="E10633" t="s">
        <v>14394</v>
      </c>
      <c r="F10633" t="s">
        <v>30480</v>
      </c>
    </row>
    <row r="10634" spans="1:12">
      <c r="A10634" t="s">
        <v>30456</v>
      </c>
      <c r="B10634" t="s">
        <v>30457</v>
      </c>
      <c r="C10634" t="s">
        <v>30481</v>
      </c>
      <c r="D10634" t="s">
        <v>30459</v>
      </c>
      <c r="E10634" t="s">
        <v>30482</v>
      </c>
      <c r="F10634" t="s">
        <v>30483</v>
      </c>
      <c r="J10634" t="s">
        <v>30482</v>
      </c>
      <c r="K10634" t="s">
        <v>30465</v>
      </c>
      <c r="L10634" t="s">
        <v>3638</v>
      </c>
    </row>
    <row r="10635" spans="1:12">
      <c r="A10635" t="s">
        <v>30456</v>
      </c>
      <c r="B10635" t="s">
        <v>30457</v>
      </c>
      <c r="C10635" t="s">
        <v>30484</v>
      </c>
      <c r="D10635" t="s">
        <v>30459</v>
      </c>
      <c r="E10635" t="s">
        <v>20581</v>
      </c>
      <c r="F10635" t="s">
        <v>30485</v>
      </c>
      <c r="J10635" t="s">
        <v>20581</v>
      </c>
      <c r="K10635" t="s">
        <v>30465</v>
      </c>
      <c r="L10635" t="s">
        <v>3638</v>
      </c>
    </row>
    <row r="10636" spans="1:12">
      <c r="A10636" t="s">
        <v>30456</v>
      </c>
      <c r="B10636" t="s">
        <v>30457</v>
      </c>
      <c r="C10636" t="s">
        <v>30486</v>
      </c>
      <c r="D10636" t="s">
        <v>30459</v>
      </c>
      <c r="E10636" t="s">
        <v>30487</v>
      </c>
      <c r="F10636" t="s">
        <v>30488</v>
      </c>
    </row>
    <row r="10637" spans="1:12">
      <c r="A10637" t="s">
        <v>30456</v>
      </c>
      <c r="B10637" t="s">
        <v>30457</v>
      </c>
      <c r="C10637" t="s">
        <v>30489</v>
      </c>
      <c r="D10637" t="s">
        <v>30459</v>
      </c>
      <c r="E10637" t="s">
        <v>30490</v>
      </c>
      <c r="F10637" t="s">
        <v>30491</v>
      </c>
      <c r="J10637" t="s">
        <v>30490</v>
      </c>
      <c r="K10637" t="s">
        <v>30465</v>
      </c>
      <c r="L10637" t="s">
        <v>3638</v>
      </c>
    </row>
    <row r="10638" spans="1:12">
      <c r="A10638" t="s">
        <v>30456</v>
      </c>
      <c r="B10638" t="s">
        <v>30457</v>
      </c>
      <c r="C10638" t="s">
        <v>30492</v>
      </c>
      <c r="D10638" t="s">
        <v>30459</v>
      </c>
      <c r="E10638" t="s">
        <v>30493</v>
      </c>
      <c r="F10638" t="s">
        <v>30494</v>
      </c>
      <c r="J10638" t="s">
        <v>30493</v>
      </c>
      <c r="K10638" t="s">
        <v>30465</v>
      </c>
      <c r="L10638" t="s">
        <v>3638</v>
      </c>
    </row>
    <row r="10639" spans="1:12">
      <c r="A10639" t="s">
        <v>30456</v>
      </c>
      <c r="B10639" t="s">
        <v>30457</v>
      </c>
      <c r="C10639" t="s">
        <v>30495</v>
      </c>
      <c r="D10639" t="s">
        <v>30459</v>
      </c>
      <c r="E10639" t="s">
        <v>21296</v>
      </c>
      <c r="F10639" t="s">
        <v>30496</v>
      </c>
      <c r="J10639" t="s">
        <v>21296</v>
      </c>
      <c r="K10639" t="s">
        <v>30465</v>
      </c>
      <c r="L10639" t="s">
        <v>3638</v>
      </c>
    </row>
    <row r="10640" spans="1:12">
      <c r="A10640" t="s">
        <v>30456</v>
      </c>
      <c r="B10640" t="s">
        <v>30457</v>
      </c>
      <c r="C10640" t="s">
        <v>30497</v>
      </c>
      <c r="D10640" t="s">
        <v>30459</v>
      </c>
      <c r="E10640" t="s">
        <v>30498</v>
      </c>
      <c r="F10640" t="s">
        <v>30499</v>
      </c>
      <c r="J10640" t="s">
        <v>30498</v>
      </c>
      <c r="K10640" t="s">
        <v>30465</v>
      </c>
      <c r="L10640" t="s">
        <v>3638</v>
      </c>
    </row>
    <row r="10641" spans="1:12">
      <c r="A10641" t="s">
        <v>30456</v>
      </c>
      <c r="B10641" t="s">
        <v>30457</v>
      </c>
      <c r="C10641" t="s">
        <v>30500</v>
      </c>
      <c r="D10641" t="s">
        <v>30459</v>
      </c>
      <c r="E10641" t="s">
        <v>7491</v>
      </c>
      <c r="F10641" t="s">
        <v>30501</v>
      </c>
      <c r="J10641" t="s">
        <v>7491</v>
      </c>
      <c r="K10641" t="s">
        <v>30465</v>
      </c>
      <c r="L10641" t="s">
        <v>3638</v>
      </c>
    </row>
    <row r="10642" spans="1:12">
      <c r="A10642" t="s">
        <v>30456</v>
      </c>
      <c r="B10642" t="s">
        <v>30457</v>
      </c>
      <c r="C10642" t="s">
        <v>30502</v>
      </c>
      <c r="D10642" t="s">
        <v>30459</v>
      </c>
      <c r="E10642" t="s">
        <v>655</v>
      </c>
      <c r="F10642" t="s">
        <v>656</v>
      </c>
    </row>
    <row r="10643" spans="1:12">
      <c r="A10643" t="s">
        <v>30456</v>
      </c>
      <c r="B10643" t="s">
        <v>30457</v>
      </c>
      <c r="D10643" t="s">
        <v>30459</v>
      </c>
      <c r="F10643" t="s">
        <v>30501</v>
      </c>
      <c r="J10643" t="s">
        <v>30503</v>
      </c>
      <c r="K10643" t="s">
        <v>30465</v>
      </c>
      <c r="L10643" t="s">
        <v>3638</v>
      </c>
    </row>
    <row r="10644" spans="1:12">
      <c r="A10644" t="s">
        <v>30504</v>
      </c>
      <c r="B10644" t="s">
        <v>30505</v>
      </c>
      <c r="C10644" t="s">
        <v>30506</v>
      </c>
      <c r="D10644" t="s">
        <v>30507</v>
      </c>
      <c r="E10644" t="s">
        <v>14751</v>
      </c>
      <c r="F10644" t="s">
        <v>30508</v>
      </c>
      <c r="J10644" t="s">
        <v>14751</v>
      </c>
      <c r="K10644" t="s">
        <v>30509</v>
      </c>
      <c r="L10644" t="s">
        <v>916</v>
      </c>
    </row>
    <row r="10645" spans="1:12">
      <c r="A10645" t="s">
        <v>30504</v>
      </c>
      <c r="B10645" t="s">
        <v>30505</v>
      </c>
      <c r="C10645" t="s">
        <v>30510</v>
      </c>
      <c r="D10645" t="s">
        <v>30507</v>
      </c>
      <c r="E10645" t="s">
        <v>30511</v>
      </c>
      <c r="F10645" t="s">
        <v>30512</v>
      </c>
      <c r="J10645" t="s">
        <v>30511</v>
      </c>
      <c r="K10645" t="s">
        <v>30509</v>
      </c>
      <c r="L10645" t="s">
        <v>916</v>
      </c>
    </row>
    <row r="10646" spans="1:12">
      <c r="A10646" t="s">
        <v>30504</v>
      </c>
      <c r="B10646" t="s">
        <v>30505</v>
      </c>
      <c r="C10646" t="s">
        <v>30513</v>
      </c>
      <c r="D10646" t="s">
        <v>30507</v>
      </c>
      <c r="E10646" t="s">
        <v>8744</v>
      </c>
      <c r="F10646" t="s">
        <v>30514</v>
      </c>
      <c r="J10646" t="s">
        <v>8744</v>
      </c>
      <c r="K10646" t="s">
        <v>30509</v>
      </c>
      <c r="L10646" t="s">
        <v>916</v>
      </c>
    </row>
    <row r="10647" spans="1:12">
      <c r="A10647" t="s">
        <v>30504</v>
      </c>
      <c r="B10647" t="s">
        <v>30505</v>
      </c>
      <c r="C10647" t="s">
        <v>30515</v>
      </c>
      <c r="D10647" t="s">
        <v>30507</v>
      </c>
      <c r="E10647" t="s">
        <v>30516</v>
      </c>
      <c r="F10647" t="s">
        <v>30517</v>
      </c>
      <c r="J10647" t="s">
        <v>30516</v>
      </c>
      <c r="K10647" t="s">
        <v>30509</v>
      </c>
      <c r="L10647" t="s">
        <v>916</v>
      </c>
    </row>
    <row r="10648" spans="1:12">
      <c r="A10648" t="s">
        <v>30504</v>
      </c>
      <c r="B10648" t="s">
        <v>30505</v>
      </c>
      <c r="C10648" t="s">
        <v>30518</v>
      </c>
      <c r="D10648" t="s">
        <v>30507</v>
      </c>
      <c r="E10648" t="s">
        <v>15788</v>
      </c>
      <c r="F10648" t="s">
        <v>30519</v>
      </c>
      <c r="J10648" t="s">
        <v>15788</v>
      </c>
      <c r="K10648" t="s">
        <v>30509</v>
      </c>
      <c r="L10648" t="s">
        <v>916</v>
      </c>
    </row>
    <row r="10649" spans="1:12">
      <c r="A10649" t="s">
        <v>30504</v>
      </c>
      <c r="B10649" t="s">
        <v>30505</v>
      </c>
      <c r="C10649" t="s">
        <v>30520</v>
      </c>
      <c r="D10649" t="s">
        <v>30507</v>
      </c>
      <c r="E10649" t="s">
        <v>30521</v>
      </c>
      <c r="F10649" t="s">
        <v>30522</v>
      </c>
      <c r="J10649" t="s">
        <v>30521</v>
      </c>
      <c r="K10649" t="s">
        <v>30509</v>
      </c>
      <c r="L10649" t="s">
        <v>916</v>
      </c>
    </row>
    <row r="10650" spans="1:12">
      <c r="A10650" t="s">
        <v>30504</v>
      </c>
      <c r="B10650" t="s">
        <v>30505</v>
      </c>
      <c r="C10650" t="s">
        <v>30523</v>
      </c>
      <c r="D10650" t="s">
        <v>30507</v>
      </c>
      <c r="E10650" t="s">
        <v>30524</v>
      </c>
      <c r="F10650" t="s">
        <v>30525</v>
      </c>
      <c r="J10650" t="s">
        <v>30524</v>
      </c>
      <c r="K10650" t="s">
        <v>30509</v>
      </c>
      <c r="L10650" t="s">
        <v>916</v>
      </c>
    </row>
    <row r="10651" spans="1:12">
      <c r="A10651" t="s">
        <v>30504</v>
      </c>
      <c r="B10651" t="s">
        <v>30505</v>
      </c>
      <c r="C10651" t="s">
        <v>30526</v>
      </c>
      <c r="D10651" t="s">
        <v>30507</v>
      </c>
      <c r="E10651" t="s">
        <v>30527</v>
      </c>
      <c r="F10651" t="s">
        <v>30528</v>
      </c>
      <c r="J10651" t="s">
        <v>30527</v>
      </c>
      <c r="K10651" t="s">
        <v>30509</v>
      </c>
      <c r="L10651" t="s">
        <v>916</v>
      </c>
    </row>
    <row r="10652" spans="1:12">
      <c r="A10652" t="s">
        <v>30504</v>
      </c>
      <c r="B10652" t="s">
        <v>30505</v>
      </c>
      <c r="C10652" t="s">
        <v>30529</v>
      </c>
      <c r="D10652" t="s">
        <v>30507</v>
      </c>
      <c r="E10652" t="s">
        <v>15407</v>
      </c>
      <c r="F10652" t="s">
        <v>30530</v>
      </c>
    </row>
    <row r="10653" spans="1:12">
      <c r="A10653" t="s">
        <v>30504</v>
      </c>
      <c r="B10653" t="s">
        <v>30505</v>
      </c>
      <c r="C10653" t="s">
        <v>30531</v>
      </c>
      <c r="D10653" t="s">
        <v>30507</v>
      </c>
      <c r="E10653" t="s">
        <v>11313</v>
      </c>
      <c r="F10653" t="s">
        <v>30532</v>
      </c>
    </row>
    <row r="10654" spans="1:12">
      <c r="A10654" t="s">
        <v>30504</v>
      </c>
      <c r="B10654" t="s">
        <v>30505</v>
      </c>
      <c r="C10654" t="s">
        <v>30533</v>
      </c>
      <c r="D10654" t="s">
        <v>30507</v>
      </c>
      <c r="E10654" t="s">
        <v>18094</v>
      </c>
      <c r="F10654" t="s">
        <v>6442</v>
      </c>
      <c r="J10654" t="s">
        <v>18094</v>
      </c>
      <c r="K10654" t="s">
        <v>30509</v>
      </c>
      <c r="L10654" t="s">
        <v>916</v>
      </c>
    </row>
    <row r="10655" spans="1:12">
      <c r="A10655" t="s">
        <v>30504</v>
      </c>
      <c r="B10655" t="s">
        <v>30505</v>
      </c>
      <c r="C10655" t="s">
        <v>30534</v>
      </c>
      <c r="D10655" t="s">
        <v>30507</v>
      </c>
      <c r="E10655" t="s">
        <v>30535</v>
      </c>
      <c r="F10655" t="s">
        <v>30536</v>
      </c>
      <c r="J10655" t="s">
        <v>30535</v>
      </c>
      <c r="K10655" t="s">
        <v>30509</v>
      </c>
      <c r="L10655" t="s">
        <v>916</v>
      </c>
    </row>
    <row r="10656" spans="1:12">
      <c r="A10656" t="s">
        <v>30504</v>
      </c>
      <c r="B10656" t="s">
        <v>30505</v>
      </c>
      <c r="C10656" t="s">
        <v>30537</v>
      </c>
      <c r="D10656" t="s">
        <v>30507</v>
      </c>
      <c r="E10656" t="s">
        <v>30538</v>
      </c>
      <c r="F10656" t="s">
        <v>30539</v>
      </c>
      <c r="J10656" t="s">
        <v>30538</v>
      </c>
      <c r="K10656" t="s">
        <v>30509</v>
      </c>
      <c r="L10656" t="s">
        <v>916</v>
      </c>
    </row>
    <row r="10657" spans="1:12">
      <c r="A10657" t="s">
        <v>30504</v>
      </c>
      <c r="B10657" t="s">
        <v>30505</v>
      </c>
      <c r="C10657" t="s">
        <v>30540</v>
      </c>
      <c r="D10657" t="s">
        <v>30507</v>
      </c>
      <c r="E10657" t="s">
        <v>30541</v>
      </c>
      <c r="F10657" t="s">
        <v>30542</v>
      </c>
      <c r="J10657" t="s">
        <v>30541</v>
      </c>
      <c r="K10657" t="s">
        <v>30509</v>
      </c>
      <c r="L10657" t="s">
        <v>916</v>
      </c>
    </row>
    <row r="10658" spans="1:12">
      <c r="A10658" t="s">
        <v>30504</v>
      </c>
      <c r="B10658" t="s">
        <v>30505</v>
      </c>
      <c r="C10658" t="s">
        <v>30543</v>
      </c>
      <c r="D10658" t="s">
        <v>30507</v>
      </c>
      <c r="E10658" t="s">
        <v>6672</v>
      </c>
      <c r="F10658" t="s">
        <v>30544</v>
      </c>
      <c r="J10658" t="s">
        <v>6672</v>
      </c>
      <c r="K10658" t="s">
        <v>30509</v>
      </c>
      <c r="L10658" t="s">
        <v>916</v>
      </c>
    </row>
    <row r="10659" spans="1:12">
      <c r="A10659" t="s">
        <v>30504</v>
      </c>
      <c r="B10659" t="s">
        <v>30505</v>
      </c>
      <c r="C10659" t="s">
        <v>30545</v>
      </c>
      <c r="D10659" t="s">
        <v>30507</v>
      </c>
      <c r="E10659" t="s">
        <v>30546</v>
      </c>
      <c r="F10659" t="s">
        <v>30547</v>
      </c>
      <c r="J10659" t="s">
        <v>30546</v>
      </c>
      <c r="K10659" t="s">
        <v>30509</v>
      </c>
      <c r="L10659" t="s">
        <v>916</v>
      </c>
    </row>
    <row r="10660" spans="1:12">
      <c r="A10660" t="s">
        <v>30504</v>
      </c>
      <c r="B10660" t="s">
        <v>30505</v>
      </c>
      <c r="C10660" t="s">
        <v>30548</v>
      </c>
      <c r="D10660" t="s">
        <v>30507</v>
      </c>
      <c r="E10660" t="s">
        <v>27480</v>
      </c>
      <c r="F10660" t="s">
        <v>30549</v>
      </c>
    </row>
    <row r="10661" spans="1:12">
      <c r="A10661" t="s">
        <v>30504</v>
      </c>
      <c r="B10661" t="s">
        <v>30505</v>
      </c>
      <c r="C10661" t="s">
        <v>30550</v>
      </c>
      <c r="D10661" t="s">
        <v>30507</v>
      </c>
      <c r="E10661" t="s">
        <v>11369</v>
      </c>
      <c r="F10661" t="s">
        <v>30551</v>
      </c>
    </row>
    <row r="10662" spans="1:12">
      <c r="A10662" t="s">
        <v>30504</v>
      </c>
      <c r="B10662" t="s">
        <v>30505</v>
      </c>
      <c r="C10662" t="s">
        <v>30552</v>
      </c>
      <c r="D10662" t="s">
        <v>30507</v>
      </c>
      <c r="E10662" t="s">
        <v>30553</v>
      </c>
      <c r="F10662" t="s">
        <v>30554</v>
      </c>
    </row>
    <row r="10663" spans="1:12">
      <c r="A10663" t="s">
        <v>30504</v>
      </c>
      <c r="B10663" t="s">
        <v>30505</v>
      </c>
      <c r="C10663" t="s">
        <v>30555</v>
      </c>
      <c r="D10663" t="s">
        <v>30507</v>
      </c>
      <c r="E10663" t="s">
        <v>14081</v>
      </c>
      <c r="F10663" t="s">
        <v>30556</v>
      </c>
    </row>
    <row r="10664" spans="1:12">
      <c r="A10664" t="s">
        <v>30504</v>
      </c>
      <c r="B10664" t="s">
        <v>30505</v>
      </c>
      <c r="C10664" t="s">
        <v>30557</v>
      </c>
      <c r="D10664" t="s">
        <v>30507</v>
      </c>
      <c r="E10664" t="s">
        <v>19167</v>
      </c>
      <c r="F10664" t="s">
        <v>30558</v>
      </c>
    </row>
    <row r="10665" spans="1:12">
      <c r="A10665" t="s">
        <v>30504</v>
      </c>
      <c r="B10665" t="s">
        <v>30505</v>
      </c>
      <c r="C10665" t="s">
        <v>30559</v>
      </c>
      <c r="D10665" t="s">
        <v>30507</v>
      </c>
      <c r="E10665" t="s">
        <v>30560</v>
      </c>
      <c r="F10665" t="s">
        <v>30561</v>
      </c>
      <c r="J10665" t="s">
        <v>30560</v>
      </c>
      <c r="K10665" t="s">
        <v>30509</v>
      </c>
      <c r="L10665" t="s">
        <v>916</v>
      </c>
    </row>
    <row r="10666" spans="1:12">
      <c r="A10666" t="s">
        <v>30504</v>
      </c>
      <c r="B10666" t="s">
        <v>30505</v>
      </c>
      <c r="C10666" t="s">
        <v>30562</v>
      </c>
      <c r="D10666" t="s">
        <v>30507</v>
      </c>
      <c r="E10666" t="s">
        <v>30563</v>
      </c>
      <c r="F10666" t="s">
        <v>30564</v>
      </c>
      <c r="J10666" t="s">
        <v>30563</v>
      </c>
      <c r="K10666" t="s">
        <v>30509</v>
      </c>
      <c r="L10666" t="s">
        <v>916</v>
      </c>
    </row>
    <row r="10667" spans="1:12">
      <c r="A10667" t="s">
        <v>30504</v>
      </c>
      <c r="B10667" t="s">
        <v>30505</v>
      </c>
      <c r="C10667" t="s">
        <v>30565</v>
      </c>
      <c r="D10667" t="s">
        <v>30507</v>
      </c>
      <c r="E10667" t="s">
        <v>30566</v>
      </c>
      <c r="F10667" t="s">
        <v>30567</v>
      </c>
      <c r="J10667" t="s">
        <v>30566</v>
      </c>
      <c r="K10667" t="s">
        <v>30509</v>
      </c>
      <c r="L10667" t="s">
        <v>916</v>
      </c>
    </row>
    <row r="10668" spans="1:12">
      <c r="A10668" t="s">
        <v>30504</v>
      </c>
      <c r="B10668" t="s">
        <v>30505</v>
      </c>
      <c r="C10668" t="s">
        <v>30568</v>
      </c>
      <c r="D10668" t="s">
        <v>30507</v>
      </c>
      <c r="E10668" t="s">
        <v>30569</v>
      </c>
      <c r="F10668" t="s">
        <v>30570</v>
      </c>
      <c r="J10668" t="s">
        <v>30569</v>
      </c>
      <c r="K10668" t="s">
        <v>30509</v>
      </c>
      <c r="L10668" t="s">
        <v>916</v>
      </c>
    </row>
    <row r="10669" spans="1:12">
      <c r="A10669" t="s">
        <v>30504</v>
      </c>
      <c r="B10669" t="s">
        <v>30505</v>
      </c>
      <c r="C10669" t="s">
        <v>30571</v>
      </c>
      <c r="D10669" t="s">
        <v>30507</v>
      </c>
      <c r="E10669" t="s">
        <v>13559</v>
      </c>
      <c r="F10669" t="s">
        <v>30572</v>
      </c>
    </row>
    <row r="10670" spans="1:12">
      <c r="A10670" t="s">
        <v>30504</v>
      </c>
      <c r="B10670" t="s">
        <v>30505</v>
      </c>
      <c r="C10670" t="s">
        <v>30573</v>
      </c>
      <c r="D10670" t="s">
        <v>30507</v>
      </c>
      <c r="E10670" t="s">
        <v>4262</v>
      </c>
      <c r="F10670" t="s">
        <v>24573</v>
      </c>
      <c r="J10670" t="s">
        <v>4262</v>
      </c>
      <c r="K10670" t="s">
        <v>30509</v>
      </c>
      <c r="L10670" t="s">
        <v>916</v>
      </c>
    </row>
    <row r="10671" spans="1:12">
      <c r="A10671" t="s">
        <v>30504</v>
      </c>
      <c r="B10671" t="s">
        <v>30505</v>
      </c>
      <c r="C10671" t="s">
        <v>30574</v>
      </c>
      <c r="D10671" t="s">
        <v>30507</v>
      </c>
      <c r="E10671" t="s">
        <v>26098</v>
      </c>
      <c r="F10671" t="s">
        <v>30575</v>
      </c>
    </row>
    <row r="10672" spans="1:12">
      <c r="A10672" t="s">
        <v>30504</v>
      </c>
      <c r="B10672" t="s">
        <v>30505</v>
      </c>
      <c r="C10672" t="s">
        <v>30576</v>
      </c>
      <c r="D10672" t="s">
        <v>30507</v>
      </c>
      <c r="E10672" t="s">
        <v>15421</v>
      </c>
      <c r="F10672" t="s">
        <v>30577</v>
      </c>
    </row>
    <row r="10673" spans="1:12">
      <c r="A10673" t="s">
        <v>30504</v>
      </c>
      <c r="B10673" t="s">
        <v>30505</v>
      </c>
      <c r="C10673" t="s">
        <v>30578</v>
      </c>
      <c r="D10673" t="s">
        <v>30507</v>
      </c>
      <c r="E10673" t="s">
        <v>30579</v>
      </c>
      <c r="F10673" t="s">
        <v>30580</v>
      </c>
      <c r="J10673" t="s">
        <v>30579</v>
      </c>
      <c r="K10673" t="s">
        <v>30509</v>
      </c>
      <c r="L10673" t="s">
        <v>916</v>
      </c>
    </row>
    <row r="10674" spans="1:12">
      <c r="A10674" t="s">
        <v>30504</v>
      </c>
      <c r="B10674" t="s">
        <v>30505</v>
      </c>
      <c r="C10674" t="s">
        <v>30581</v>
      </c>
      <c r="D10674" t="s">
        <v>30507</v>
      </c>
      <c r="E10674" t="s">
        <v>20410</v>
      </c>
      <c r="F10674" t="s">
        <v>30582</v>
      </c>
      <c r="J10674" t="s">
        <v>20410</v>
      </c>
      <c r="K10674" t="s">
        <v>30509</v>
      </c>
      <c r="L10674" t="s">
        <v>916</v>
      </c>
    </row>
    <row r="10675" spans="1:12">
      <c r="A10675" t="s">
        <v>30504</v>
      </c>
      <c r="B10675" t="s">
        <v>30505</v>
      </c>
      <c r="C10675" t="s">
        <v>30583</v>
      </c>
      <c r="D10675" t="s">
        <v>30507</v>
      </c>
      <c r="E10675" t="s">
        <v>30584</v>
      </c>
      <c r="F10675" t="s">
        <v>30585</v>
      </c>
      <c r="J10675" t="s">
        <v>30584</v>
      </c>
      <c r="K10675" t="s">
        <v>30509</v>
      </c>
      <c r="L10675" t="s">
        <v>916</v>
      </c>
    </row>
    <row r="10676" spans="1:12">
      <c r="A10676" t="s">
        <v>30504</v>
      </c>
      <c r="B10676" t="s">
        <v>30505</v>
      </c>
      <c r="C10676" t="s">
        <v>30586</v>
      </c>
      <c r="D10676" t="s">
        <v>30507</v>
      </c>
      <c r="E10676" t="s">
        <v>20927</v>
      </c>
      <c r="F10676" t="s">
        <v>30587</v>
      </c>
      <c r="J10676" t="s">
        <v>20927</v>
      </c>
      <c r="K10676" t="s">
        <v>30509</v>
      </c>
      <c r="L10676" t="s">
        <v>916</v>
      </c>
    </row>
    <row r="10677" spans="1:12">
      <c r="A10677" t="s">
        <v>30504</v>
      </c>
      <c r="B10677" t="s">
        <v>30505</v>
      </c>
      <c r="C10677" t="s">
        <v>30588</v>
      </c>
      <c r="D10677" t="s">
        <v>30507</v>
      </c>
      <c r="E10677" t="s">
        <v>27758</v>
      </c>
      <c r="F10677" t="s">
        <v>30589</v>
      </c>
      <c r="J10677" t="s">
        <v>27758</v>
      </c>
      <c r="K10677" t="s">
        <v>30509</v>
      </c>
      <c r="L10677" t="s">
        <v>916</v>
      </c>
    </row>
    <row r="10678" spans="1:12">
      <c r="A10678" t="s">
        <v>30504</v>
      </c>
      <c r="B10678" t="s">
        <v>30505</v>
      </c>
      <c r="C10678" t="s">
        <v>30590</v>
      </c>
      <c r="D10678" t="s">
        <v>30507</v>
      </c>
      <c r="E10678" t="s">
        <v>30591</v>
      </c>
      <c r="F10678" t="s">
        <v>30592</v>
      </c>
      <c r="J10678" t="s">
        <v>30591</v>
      </c>
      <c r="K10678" t="s">
        <v>30509</v>
      </c>
      <c r="L10678" t="s">
        <v>916</v>
      </c>
    </row>
    <row r="10679" spans="1:12">
      <c r="A10679" t="s">
        <v>30504</v>
      </c>
      <c r="B10679" t="s">
        <v>30505</v>
      </c>
      <c r="C10679" t="s">
        <v>30593</v>
      </c>
      <c r="D10679" t="s">
        <v>30507</v>
      </c>
      <c r="E10679" t="s">
        <v>24470</v>
      </c>
      <c r="F10679" t="s">
        <v>30594</v>
      </c>
    </row>
    <row r="10680" spans="1:12">
      <c r="A10680" t="s">
        <v>30504</v>
      </c>
      <c r="B10680" t="s">
        <v>30505</v>
      </c>
      <c r="C10680" t="s">
        <v>30595</v>
      </c>
      <c r="D10680" t="s">
        <v>30507</v>
      </c>
      <c r="E10680" t="s">
        <v>21877</v>
      </c>
      <c r="F10680" t="s">
        <v>30596</v>
      </c>
      <c r="J10680" t="s">
        <v>21877</v>
      </c>
      <c r="K10680" t="s">
        <v>30509</v>
      </c>
      <c r="L10680" t="s">
        <v>916</v>
      </c>
    </row>
    <row r="10681" spans="1:12">
      <c r="A10681" t="s">
        <v>30504</v>
      </c>
      <c r="B10681" t="s">
        <v>30505</v>
      </c>
      <c r="C10681" t="s">
        <v>30597</v>
      </c>
      <c r="D10681" t="s">
        <v>30507</v>
      </c>
      <c r="E10681" t="s">
        <v>30598</v>
      </c>
      <c r="F10681" t="s">
        <v>30599</v>
      </c>
      <c r="J10681" t="s">
        <v>30598</v>
      </c>
      <c r="K10681" t="s">
        <v>30509</v>
      </c>
      <c r="L10681" t="s">
        <v>916</v>
      </c>
    </row>
    <row r="10682" spans="1:12">
      <c r="A10682" t="s">
        <v>30504</v>
      </c>
      <c r="B10682" t="s">
        <v>30505</v>
      </c>
      <c r="C10682" t="s">
        <v>30600</v>
      </c>
      <c r="D10682" t="s">
        <v>30507</v>
      </c>
      <c r="E10682" t="s">
        <v>655</v>
      </c>
      <c r="F10682" t="s">
        <v>656</v>
      </c>
    </row>
    <row r="10683" spans="1:12">
      <c r="A10683" t="s">
        <v>30601</v>
      </c>
      <c r="B10683" t="s">
        <v>30602</v>
      </c>
      <c r="C10683" t="s">
        <v>30603</v>
      </c>
      <c r="D10683" t="s">
        <v>30604</v>
      </c>
      <c r="E10683" t="s">
        <v>30605</v>
      </c>
      <c r="F10683" t="s">
        <v>30606</v>
      </c>
    </row>
    <row r="10684" spans="1:12">
      <c r="A10684" t="s">
        <v>30601</v>
      </c>
      <c r="B10684" t="s">
        <v>30602</v>
      </c>
      <c r="C10684" t="s">
        <v>30607</v>
      </c>
      <c r="D10684" t="s">
        <v>30604</v>
      </c>
      <c r="E10684" t="s">
        <v>30608</v>
      </c>
      <c r="F10684" t="s">
        <v>30609</v>
      </c>
      <c r="J10684" t="s">
        <v>30608</v>
      </c>
      <c r="K10684" t="s">
        <v>30610</v>
      </c>
      <c r="L10684" t="s">
        <v>863</v>
      </c>
    </row>
    <row r="10685" spans="1:12">
      <c r="A10685" t="s">
        <v>30601</v>
      </c>
      <c r="B10685" t="s">
        <v>30602</v>
      </c>
      <c r="C10685" t="s">
        <v>30611</v>
      </c>
      <c r="D10685" t="s">
        <v>30604</v>
      </c>
      <c r="E10685" t="s">
        <v>30612</v>
      </c>
      <c r="F10685" t="s">
        <v>30613</v>
      </c>
    </row>
    <row r="10686" spans="1:12">
      <c r="A10686" t="s">
        <v>30601</v>
      </c>
      <c r="B10686" t="s">
        <v>30602</v>
      </c>
      <c r="C10686" t="s">
        <v>30614</v>
      </c>
      <c r="D10686" t="s">
        <v>30604</v>
      </c>
      <c r="E10686" t="s">
        <v>30615</v>
      </c>
      <c r="F10686" t="s">
        <v>30616</v>
      </c>
    </row>
    <row r="10687" spans="1:12">
      <c r="A10687" t="s">
        <v>30601</v>
      </c>
      <c r="B10687" t="s">
        <v>30602</v>
      </c>
      <c r="C10687" t="s">
        <v>30617</v>
      </c>
      <c r="D10687" t="s">
        <v>30604</v>
      </c>
      <c r="E10687" t="s">
        <v>17313</v>
      </c>
      <c r="F10687" t="s">
        <v>30618</v>
      </c>
      <c r="J10687" t="s">
        <v>17313</v>
      </c>
      <c r="K10687" t="s">
        <v>30610</v>
      </c>
      <c r="L10687" t="s">
        <v>863</v>
      </c>
    </row>
    <row r="10688" spans="1:12">
      <c r="A10688" t="s">
        <v>30601</v>
      </c>
      <c r="B10688" t="s">
        <v>30602</v>
      </c>
      <c r="C10688" t="s">
        <v>30619</v>
      </c>
      <c r="D10688" t="s">
        <v>30604</v>
      </c>
      <c r="E10688" t="s">
        <v>30620</v>
      </c>
      <c r="F10688" t="s">
        <v>30621</v>
      </c>
      <c r="J10688" t="s">
        <v>30620</v>
      </c>
      <c r="K10688" t="s">
        <v>30610</v>
      </c>
      <c r="L10688" t="s">
        <v>863</v>
      </c>
    </row>
    <row r="10689" spans="1:12">
      <c r="A10689" t="s">
        <v>30601</v>
      </c>
      <c r="B10689" t="s">
        <v>30602</v>
      </c>
      <c r="C10689" t="s">
        <v>30622</v>
      </c>
      <c r="D10689" t="s">
        <v>30604</v>
      </c>
      <c r="E10689" t="s">
        <v>23320</v>
      </c>
      <c r="F10689" t="s">
        <v>30623</v>
      </c>
    </row>
    <row r="10690" spans="1:12">
      <c r="A10690" t="s">
        <v>30601</v>
      </c>
      <c r="B10690" t="s">
        <v>30602</v>
      </c>
      <c r="C10690" t="s">
        <v>30624</v>
      </c>
      <c r="D10690" t="s">
        <v>30604</v>
      </c>
      <c r="E10690" t="s">
        <v>17785</v>
      </c>
      <c r="F10690" t="s">
        <v>30625</v>
      </c>
    </row>
    <row r="10691" spans="1:12">
      <c r="A10691" t="s">
        <v>30601</v>
      </c>
      <c r="B10691" t="s">
        <v>30602</v>
      </c>
      <c r="C10691" t="s">
        <v>30626</v>
      </c>
      <c r="D10691" t="s">
        <v>30604</v>
      </c>
      <c r="E10691" t="s">
        <v>30627</v>
      </c>
      <c r="F10691" t="s">
        <v>30628</v>
      </c>
      <c r="J10691" t="s">
        <v>30627</v>
      </c>
      <c r="K10691" t="s">
        <v>30610</v>
      </c>
      <c r="L10691" t="s">
        <v>863</v>
      </c>
    </row>
    <row r="10692" spans="1:12">
      <c r="A10692" t="s">
        <v>30601</v>
      </c>
      <c r="B10692" t="s">
        <v>30602</v>
      </c>
      <c r="C10692" t="s">
        <v>30629</v>
      </c>
      <c r="D10692" t="s">
        <v>30604</v>
      </c>
      <c r="E10692" t="s">
        <v>9272</v>
      </c>
      <c r="F10692" t="s">
        <v>30630</v>
      </c>
    </row>
    <row r="10693" spans="1:12">
      <c r="A10693" t="s">
        <v>30601</v>
      </c>
      <c r="B10693" t="s">
        <v>30602</v>
      </c>
      <c r="C10693" t="s">
        <v>30631</v>
      </c>
      <c r="D10693" t="s">
        <v>30604</v>
      </c>
      <c r="E10693" t="s">
        <v>30632</v>
      </c>
      <c r="F10693" t="s">
        <v>30633</v>
      </c>
      <c r="J10693" t="s">
        <v>30632</v>
      </c>
      <c r="K10693" t="s">
        <v>30610</v>
      </c>
      <c r="L10693" t="s">
        <v>863</v>
      </c>
    </row>
    <row r="10694" spans="1:12">
      <c r="A10694" t="s">
        <v>30601</v>
      </c>
      <c r="B10694" t="s">
        <v>30602</v>
      </c>
      <c r="C10694" t="s">
        <v>30634</v>
      </c>
      <c r="D10694" t="s">
        <v>30604</v>
      </c>
      <c r="E10694" t="s">
        <v>30635</v>
      </c>
      <c r="F10694" t="s">
        <v>30636</v>
      </c>
      <c r="J10694" t="s">
        <v>30635</v>
      </c>
      <c r="K10694" t="s">
        <v>30610</v>
      </c>
      <c r="L10694" t="s">
        <v>863</v>
      </c>
    </row>
    <row r="10695" spans="1:12">
      <c r="A10695" t="s">
        <v>30601</v>
      </c>
      <c r="B10695" t="s">
        <v>30602</v>
      </c>
      <c r="C10695" t="s">
        <v>30637</v>
      </c>
      <c r="D10695" t="s">
        <v>30604</v>
      </c>
      <c r="E10695" t="s">
        <v>8342</v>
      </c>
      <c r="F10695" t="s">
        <v>30638</v>
      </c>
    </row>
    <row r="10696" spans="1:12">
      <c r="A10696" t="s">
        <v>30601</v>
      </c>
      <c r="B10696" t="s">
        <v>30602</v>
      </c>
      <c r="C10696" t="s">
        <v>30639</v>
      </c>
      <c r="D10696" t="s">
        <v>30604</v>
      </c>
      <c r="E10696" t="s">
        <v>30640</v>
      </c>
      <c r="F10696" t="s">
        <v>30641</v>
      </c>
      <c r="J10696" t="s">
        <v>30640</v>
      </c>
      <c r="K10696" t="s">
        <v>30610</v>
      </c>
      <c r="L10696" t="s">
        <v>863</v>
      </c>
    </row>
    <row r="10697" spans="1:12">
      <c r="A10697" t="s">
        <v>30601</v>
      </c>
      <c r="B10697" t="s">
        <v>30602</v>
      </c>
      <c r="C10697" t="s">
        <v>30642</v>
      </c>
      <c r="D10697" t="s">
        <v>30604</v>
      </c>
      <c r="E10697" t="s">
        <v>29633</v>
      </c>
      <c r="F10697" t="s">
        <v>30643</v>
      </c>
    </row>
    <row r="10698" spans="1:12">
      <c r="A10698" t="s">
        <v>30601</v>
      </c>
      <c r="B10698" t="s">
        <v>30602</v>
      </c>
      <c r="C10698" t="s">
        <v>30644</v>
      </c>
      <c r="D10698" t="s">
        <v>30604</v>
      </c>
      <c r="E10698" t="s">
        <v>19738</v>
      </c>
      <c r="F10698" t="s">
        <v>30645</v>
      </c>
      <c r="J10698" t="s">
        <v>19738</v>
      </c>
      <c r="K10698" t="s">
        <v>30610</v>
      </c>
      <c r="L10698" t="s">
        <v>863</v>
      </c>
    </row>
    <row r="10699" spans="1:12">
      <c r="A10699" t="s">
        <v>30601</v>
      </c>
      <c r="B10699" t="s">
        <v>30602</v>
      </c>
      <c r="C10699" t="s">
        <v>30646</v>
      </c>
      <c r="D10699" t="s">
        <v>30604</v>
      </c>
      <c r="E10699" t="s">
        <v>30647</v>
      </c>
      <c r="F10699" t="s">
        <v>30648</v>
      </c>
      <c r="J10699" t="s">
        <v>30647</v>
      </c>
      <c r="K10699" t="s">
        <v>30610</v>
      </c>
      <c r="L10699" t="s">
        <v>863</v>
      </c>
    </row>
    <row r="10700" spans="1:12">
      <c r="A10700" t="s">
        <v>30601</v>
      </c>
      <c r="B10700" t="s">
        <v>30602</v>
      </c>
      <c r="C10700" t="s">
        <v>30649</v>
      </c>
      <c r="D10700" t="s">
        <v>30604</v>
      </c>
      <c r="E10700" t="s">
        <v>6873</v>
      </c>
      <c r="F10700" t="s">
        <v>30650</v>
      </c>
    </row>
    <row r="10701" spans="1:12">
      <c r="A10701" t="s">
        <v>30601</v>
      </c>
      <c r="B10701" t="s">
        <v>30602</v>
      </c>
      <c r="C10701" t="s">
        <v>30651</v>
      </c>
      <c r="D10701" t="s">
        <v>30604</v>
      </c>
      <c r="E10701" t="s">
        <v>24831</v>
      </c>
      <c r="F10701" t="s">
        <v>30652</v>
      </c>
    </row>
    <row r="10702" spans="1:12">
      <c r="A10702" t="s">
        <v>30601</v>
      </c>
      <c r="B10702" t="s">
        <v>30602</v>
      </c>
      <c r="C10702" t="s">
        <v>30653</v>
      </c>
      <c r="D10702" t="s">
        <v>30604</v>
      </c>
      <c r="E10702" t="s">
        <v>30654</v>
      </c>
      <c r="F10702" t="s">
        <v>30655</v>
      </c>
      <c r="J10702" t="s">
        <v>30654</v>
      </c>
      <c r="K10702" t="s">
        <v>30610</v>
      </c>
      <c r="L10702" t="s">
        <v>863</v>
      </c>
    </row>
    <row r="10703" spans="1:12">
      <c r="A10703" t="s">
        <v>30601</v>
      </c>
      <c r="B10703" t="s">
        <v>30602</v>
      </c>
      <c r="C10703" t="s">
        <v>30656</v>
      </c>
      <c r="D10703" t="s">
        <v>30604</v>
      </c>
      <c r="E10703" t="s">
        <v>28800</v>
      </c>
      <c r="F10703" t="s">
        <v>30657</v>
      </c>
    </row>
    <row r="10704" spans="1:12">
      <c r="A10704" t="s">
        <v>30601</v>
      </c>
      <c r="B10704" t="s">
        <v>30602</v>
      </c>
      <c r="C10704" t="s">
        <v>30658</v>
      </c>
      <c r="D10704" t="s">
        <v>30604</v>
      </c>
      <c r="E10704" t="s">
        <v>30659</v>
      </c>
      <c r="F10704" t="s">
        <v>30660</v>
      </c>
    </row>
    <row r="10705" spans="1:12">
      <c r="A10705" t="s">
        <v>30601</v>
      </c>
      <c r="B10705" t="s">
        <v>30602</v>
      </c>
      <c r="C10705" t="s">
        <v>30661</v>
      </c>
      <c r="D10705" t="s">
        <v>30604</v>
      </c>
      <c r="E10705" t="s">
        <v>22260</v>
      </c>
      <c r="F10705" t="s">
        <v>30662</v>
      </c>
    </row>
    <row r="10706" spans="1:12">
      <c r="A10706" t="s">
        <v>30601</v>
      </c>
      <c r="B10706" t="s">
        <v>30602</v>
      </c>
      <c r="C10706" t="s">
        <v>30663</v>
      </c>
      <c r="D10706" t="s">
        <v>30604</v>
      </c>
      <c r="E10706" t="s">
        <v>655</v>
      </c>
      <c r="F10706" t="s">
        <v>656</v>
      </c>
    </row>
    <row r="10707" spans="1:12">
      <c r="A10707" t="s">
        <v>30601</v>
      </c>
      <c r="B10707" t="s">
        <v>30602</v>
      </c>
      <c r="D10707" t="s">
        <v>30604</v>
      </c>
      <c r="F10707" t="s">
        <v>30664</v>
      </c>
      <c r="J10707" t="s">
        <v>30665</v>
      </c>
      <c r="K10707" t="s">
        <v>30610</v>
      </c>
      <c r="L10707" t="s">
        <v>863</v>
      </c>
    </row>
    <row r="10708" spans="1:12">
      <c r="A10708" t="s">
        <v>30666</v>
      </c>
      <c r="B10708" t="s">
        <v>30667</v>
      </c>
      <c r="C10708" t="s">
        <v>30668</v>
      </c>
      <c r="D10708" t="s">
        <v>30669</v>
      </c>
      <c r="E10708" t="s">
        <v>1645</v>
      </c>
      <c r="F10708" t="s">
        <v>30670</v>
      </c>
    </row>
    <row r="10709" spans="1:12">
      <c r="A10709" t="s">
        <v>30666</v>
      </c>
      <c r="B10709" t="s">
        <v>30667</v>
      </c>
      <c r="C10709" t="s">
        <v>30671</v>
      </c>
      <c r="D10709" t="s">
        <v>30669</v>
      </c>
      <c r="E10709" t="s">
        <v>8810</v>
      </c>
      <c r="F10709" t="s">
        <v>30672</v>
      </c>
      <c r="J10709" t="s">
        <v>8810</v>
      </c>
      <c r="K10709" t="s">
        <v>30673</v>
      </c>
      <c r="L10709" t="s">
        <v>916</v>
      </c>
    </row>
    <row r="10710" spans="1:12">
      <c r="A10710" t="s">
        <v>30666</v>
      </c>
      <c r="B10710" t="s">
        <v>30667</v>
      </c>
      <c r="C10710" t="s">
        <v>30674</v>
      </c>
      <c r="D10710" t="s">
        <v>30669</v>
      </c>
      <c r="E10710" t="s">
        <v>30675</v>
      </c>
      <c r="F10710" t="s">
        <v>30676</v>
      </c>
      <c r="J10710" t="s">
        <v>30675</v>
      </c>
      <c r="K10710" t="s">
        <v>30673</v>
      </c>
      <c r="L10710" t="s">
        <v>916</v>
      </c>
    </row>
    <row r="10711" spans="1:12">
      <c r="A10711" t="s">
        <v>30666</v>
      </c>
      <c r="B10711" t="s">
        <v>30667</v>
      </c>
      <c r="C10711" t="s">
        <v>30677</v>
      </c>
      <c r="D10711" t="s">
        <v>30669</v>
      </c>
      <c r="E10711" t="s">
        <v>30678</v>
      </c>
      <c r="F10711" t="s">
        <v>30679</v>
      </c>
      <c r="J10711" t="s">
        <v>30678</v>
      </c>
      <c r="K10711" t="s">
        <v>30673</v>
      </c>
      <c r="L10711" t="s">
        <v>916</v>
      </c>
    </row>
    <row r="10712" spans="1:12">
      <c r="A10712" t="s">
        <v>30666</v>
      </c>
      <c r="B10712" t="s">
        <v>30667</v>
      </c>
      <c r="C10712" t="s">
        <v>30680</v>
      </c>
      <c r="D10712" t="s">
        <v>30669</v>
      </c>
      <c r="E10712" t="s">
        <v>11319</v>
      </c>
      <c r="F10712" t="s">
        <v>30681</v>
      </c>
    </row>
    <row r="10713" spans="1:12">
      <c r="A10713" t="s">
        <v>30666</v>
      </c>
      <c r="B10713" t="s">
        <v>30667</v>
      </c>
      <c r="C10713" t="s">
        <v>30682</v>
      </c>
      <c r="D10713" t="s">
        <v>30669</v>
      </c>
      <c r="E10713" t="s">
        <v>18473</v>
      </c>
      <c r="F10713" t="s">
        <v>30683</v>
      </c>
      <c r="J10713" t="s">
        <v>18473</v>
      </c>
      <c r="K10713" t="s">
        <v>30673</v>
      </c>
      <c r="L10713" t="s">
        <v>916</v>
      </c>
    </row>
    <row r="10714" spans="1:12">
      <c r="A10714" t="s">
        <v>30666</v>
      </c>
      <c r="B10714" t="s">
        <v>30667</v>
      </c>
      <c r="C10714" t="s">
        <v>30684</v>
      </c>
      <c r="D10714" t="s">
        <v>30669</v>
      </c>
      <c r="E10714" t="s">
        <v>30685</v>
      </c>
      <c r="F10714" t="s">
        <v>30686</v>
      </c>
      <c r="J10714" t="s">
        <v>30685</v>
      </c>
      <c r="K10714" t="s">
        <v>30673</v>
      </c>
      <c r="L10714" t="s">
        <v>916</v>
      </c>
    </row>
    <row r="10715" spans="1:12">
      <c r="A10715" t="s">
        <v>30666</v>
      </c>
      <c r="B10715" t="s">
        <v>30667</v>
      </c>
      <c r="C10715" t="s">
        <v>30687</v>
      </c>
      <c r="D10715" t="s">
        <v>30669</v>
      </c>
      <c r="E10715" t="s">
        <v>30688</v>
      </c>
      <c r="F10715" t="s">
        <v>30689</v>
      </c>
      <c r="J10715" t="s">
        <v>30688</v>
      </c>
      <c r="K10715" t="s">
        <v>30673</v>
      </c>
      <c r="L10715" t="s">
        <v>916</v>
      </c>
    </row>
    <row r="10716" spans="1:12">
      <c r="A10716" t="s">
        <v>30666</v>
      </c>
      <c r="B10716" t="s">
        <v>30667</v>
      </c>
      <c r="C10716" t="s">
        <v>30690</v>
      </c>
      <c r="D10716" t="s">
        <v>30669</v>
      </c>
      <c r="E10716" t="s">
        <v>5165</v>
      </c>
      <c r="F10716" t="s">
        <v>30691</v>
      </c>
      <c r="J10716" t="s">
        <v>5165</v>
      </c>
      <c r="K10716" t="s">
        <v>30673</v>
      </c>
      <c r="L10716" t="s">
        <v>916</v>
      </c>
    </row>
    <row r="10717" spans="1:12">
      <c r="A10717" t="s">
        <v>30666</v>
      </c>
      <c r="B10717" t="s">
        <v>30667</v>
      </c>
      <c r="C10717" t="s">
        <v>30692</v>
      </c>
      <c r="D10717" t="s">
        <v>30669</v>
      </c>
      <c r="E10717" t="s">
        <v>8369</v>
      </c>
      <c r="F10717" t="s">
        <v>30693</v>
      </c>
      <c r="J10717" t="s">
        <v>8369</v>
      </c>
      <c r="K10717" t="s">
        <v>30673</v>
      </c>
      <c r="L10717" t="s">
        <v>916</v>
      </c>
    </row>
    <row r="10718" spans="1:12">
      <c r="A10718" t="s">
        <v>30666</v>
      </c>
      <c r="B10718" t="s">
        <v>30667</v>
      </c>
      <c r="C10718" t="s">
        <v>30694</v>
      </c>
      <c r="D10718" t="s">
        <v>30669</v>
      </c>
      <c r="E10718" t="s">
        <v>20685</v>
      </c>
      <c r="F10718" t="s">
        <v>30695</v>
      </c>
      <c r="J10718" t="s">
        <v>20685</v>
      </c>
      <c r="K10718" t="s">
        <v>30673</v>
      </c>
      <c r="L10718" t="s">
        <v>916</v>
      </c>
    </row>
    <row r="10719" spans="1:12">
      <c r="A10719" t="s">
        <v>30666</v>
      </c>
      <c r="B10719" t="s">
        <v>30667</v>
      </c>
      <c r="C10719" t="s">
        <v>30696</v>
      </c>
      <c r="D10719" t="s">
        <v>30669</v>
      </c>
      <c r="E10719" t="s">
        <v>30697</v>
      </c>
      <c r="F10719" t="s">
        <v>21284</v>
      </c>
      <c r="J10719" t="s">
        <v>30697</v>
      </c>
      <c r="K10719" t="s">
        <v>30673</v>
      </c>
      <c r="L10719" t="s">
        <v>916</v>
      </c>
    </row>
    <row r="10720" spans="1:12">
      <c r="A10720" t="s">
        <v>30666</v>
      </c>
      <c r="B10720" t="s">
        <v>30667</v>
      </c>
      <c r="C10720" t="s">
        <v>30698</v>
      </c>
      <c r="D10720" t="s">
        <v>30669</v>
      </c>
      <c r="E10720" t="s">
        <v>30699</v>
      </c>
      <c r="F10720" t="s">
        <v>30700</v>
      </c>
      <c r="J10720" t="s">
        <v>30699</v>
      </c>
      <c r="K10720" t="s">
        <v>30673</v>
      </c>
      <c r="L10720" t="s">
        <v>916</v>
      </c>
    </row>
    <row r="10721" spans="1:12">
      <c r="A10721" t="s">
        <v>30666</v>
      </c>
      <c r="B10721" t="s">
        <v>30667</v>
      </c>
      <c r="C10721" t="s">
        <v>30701</v>
      </c>
      <c r="D10721" t="s">
        <v>30669</v>
      </c>
      <c r="E10721" t="s">
        <v>655</v>
      </c>
      <c r="F10721" t="s">
        <v>656</v>
      </c>
    </row>
    <row r="10722" spans="1:12">
      <c r="A10722" t="s">
        <v>30702</v>
      </c>
      <c r="B10722" t="s">
        <v>30703</v>
      </c>
      <c r="C10722" t="s">
        <v>30704</v>
      </c>
      <c r="D10722" t="s">
        <v>30705</v>
      </c>
      <c r="E10722" t="s">
        <v>30706</v>
      </c>
      <c r="F10722" t="s">
        <v>30707</v>
      </c>
      <c r="J10722" t="s">
        <v>30706</v>
      </c>
      <c r="K10722" t="s">
        <v>30708</v>
      </c>
      <c r="L10722" t="s">
        <v>1389</v>
      </c>
    </row>
    <row r="10723" spans="1:12">
      <c r="A10723" t="s">
        <v>30702</v>
      </c>
      <c r="B10723" t="s">
        <v>30703</v>
      </c>
      <c r="C10723" t="s">
        <v>30709</v>
      </c>
      <c r="D10723" t="s">
        <v>30705</v>
      </c>
      <c r="E10723" t="s">
        <v>3245</v>
      </c>
      <c r="F10723" t="s">
        <v>30710</v>
      </c>
    </row>
    <row r="10724" spans="1:12">
      <c r="A10724" t="s">
        <v>30702</v>
      </c>
      <c r="B10724" t="s">
        <v>30703</v>
      </c>
      <c r="C10724" t="s">
        <v>30711</v>
      </c>
      <c r="D10724" t="s">
        <v>30705</v>
      </c>
      <c r="E10724" t="s">
        <v>3930</v>
      </c>
      <c r="F10724" t="s">
        <v>30712</v>
      </c>
    </row>
    <row r="10725" spans="1:12">
      <c r="A10725" t="s">
        <v>30702</v>
      </c>
      <c r="B10725" t="s">
        <v>30703</v>
      </c>
      <c r="C10725" t="s">
        <v>30713</v>
      </c>
      <c r="D10725" t="s">
        <v>30705</v>
      </c>
      <c r="E10725" t="s">
        <v>14816</v>
      </c>
      <c r="F10725" t="s">
        <v>30714</v>
      </c>
    </row>
    <row r="10726" spans="1:12">
      <c r="A10726" t="s">
        <v>30702</v>
      </c>
      <c r="B10726" t="s">
        <v>30703</v>
      </c>
      <c r="C10726" t="s">
        <v>30715</v>
      </c>
      <c r="D10726" t="s">
        <v>30705</v>
      </c>
      <c r="E10726" t="s">
        <v>25261</v>
      </c>
      <c r="F10726" t="s">
        <v>30716</v>
      </c>
    </row>
    <row r="10727" spans="1:12">
      <c r="A10727" t="s">
        <v>30702</v>
      </c>
      <c r="B10727" t="s">
        <v>30703</v>
      </c>
      <c r="C10727" t="s">
        <v>30717</v>
      </c>
      <c r="D10727" t="s">
        <v>30705</v>
      </c>
      <c r="E10727" t="s">
        <v>17811</v>
      </c>
      <c r="F10727" t="s">
        <v>30718</v>
      </c>
      <c r="J10727" t="s">
        <v>17811</v>
      </c>
      <c r="K10727" t="s">
        <v>30719</v>
      </c>
      <c r="L10727" t="s">
        <v>1389</v>
      </c>
    </row>
    <row r="10728" spans="1:12">
      <c r="A10728" t="s">
        <v>30702</v>
      </c>
      <c r="B10728" t="s">
        <v>30703</v>
      </c>
      <c r="C10728" t="s">
        <v>30720</v>
      </c>
      <c r="D10728" t="s">
        <v>30705</v>
      </c>
      <c r="E10728" t="s">
        <v>5060</v>
      </c>
      <c r="F10728" t="s">
        <v>30721</v>
      </c>
    </row>
    <row r="10729" spans="1:12">
      <c r="A10729" t="s">
        <v>30702</v>
      </c>
      <c r="B10729" t="s">
        <v>30703</v>
      </c>
      <c r="C10729" t="s">
        <v>30722</v>
      </c>
      <c r="D10729" t="s">
        <v>30705</v>
      </c>
      <c r="E10729" t="s">
        <v>30723</v>
      </c>
      <c r="F10729" t="s">
        <v>30724</v>
      </c>
      <c r="J10729" t="s">
        <v>30723</v>
      </c>
      <c r="K10729" t="s">
        <v>30725</v>
      </c>
      <c r="L10729" t="s">
        <v>1389</v>
      </c>
    </row>
    <row r="10730" spans="1:12">
      <c r="A10730" t="s">
        <v>30702</v>
      </c>
      <c r="B10730" t="s">
        <v>30703</v>
      </c>
      <c r="C10730" t="s">
        <v>30726</v>
      </c>
      <c r="D10730" t="s">
        <v>30705</v>
      </c>
      <c r="E10730" t="s">
        <v>10551</v>
      </c>
      <c r="F10730" t="s">
        <v>30727</v>
      </c>
    </row>
    <row r="10731" spans="1:12">
      <c r="A10731" t="s">
        <v>30702</v>
      </c>
      <c r="B10731" t="s">
        <v>30703</v>
      </c>
      <c r="C10731" t="s">
        <v>30728</v>
      </c>
      <c r="D10731" t="s">
        <v>30705</v>
      </c>
      <c r="E10731" t="s">
        <v>655</v>
      </c>
      <c r="F10731" t="s">
        <v>656</v>
      </c>
    </row>
    <row r="10732" spans="1:12">
      <c r="A10732" t="s">
        <v>30729</v>
      </c>
      <c r="B10732" t="s">
        <v>30730</v>
      </c>
      <c r="C10732" t="s">
        <v>30731</v>
      </c>
      <c r="D10732" t="s">
        <v>30732</v>
      </c>
      <c r="E10732" t="s">
        <v>10748</v>
      </c>
      <c r="F10732" t="s">
        <v>30733</v>
      </c>
    </row>
    <row r="10733" spans="1:12">
      <c r="A10733" t="s">
        <v>30729</v>
      </c>
      <c r="B10733" t="s">
        <v>30730</v>
      </c>
      <c r="C10733" t="s">
        <v>30734</v>
      </c>
      <c r="D10733" t="s">
        <v>30732</v>
      </c>
      <c r="E10733" t="s">
        <v>30735</v>
      </c>
      <c r="F10733" t="s">
        <v>30736</v>
      </c>
      <c r="J10733" t="s">
        <v>30735</v>
      </c>
      <c r="K10733" t="s">
        <v>21600</v>
      </c>
      <c r="L10733" t="s">
        <v>3616</v>
      </c>
    </row>
    <row r="10734" spans="1:12">
      <c r="A10734" t="s">
        <v>30729</v>
      </c>
      <c r="B10734" t="s">
        <v>30730</v>
      </c>
      <c r="C10734" t="s">
        <v>30737</v>
      </c>
      <c r="D10734" t="s">
        <v>30732</v>
      </c>
      <c r="E10734" t="s">
        <v>7606</v>
      </c>
      <c r="F10734" t="s">
        <v>30738</v>
      </c>
    </row>
    <row r="10735" spans="1:12">
      <c r="A10735" t="s">
        <v>30729</v>
      </c>
      <c r="B10735" t="s">
        <v>30730</v>
      </c>
      <c r="C10735" t="s">
        <v>30739</v>
      </c>
      <c r="D10735" t="s">
        <v>30732</v>
      </c>
      <c r="E10735" t="s">
        <v>16089</v>
      </c>
      <c r="F10735" t="s">
        <v>30740</v>
      </c>
    </row>
    <row r="10736" spans="1:12">
      <c r="A10736" t="s">
        <v>30729</v>
      </c>
      <c r="B10736" t="s">
        <v>30730</v>
      </c>
      <c r="C10736" t="s">
        <v>30741</v>
      </c>
      <c r="D10736" t="s">
        <v>30732</v>
      </c>
      <c r="E10736" t="s">
        <v>30742</v>
      </c>
      <c r="F10736" t="s">
        <v>30743</v>
      </c>
    </row>
    <row r="10737" spans="1:12">
      <c r="A10737" t="s">
        <v>30729</v>
      </c>
      <c r="B10737" t="s">
        <v>30730</v>
      </c>
      <c r="C10737" t="s">
        <v>30744</v>
      </c>
      <c r="D10737" t="s">
        <v>30732</v>
      </c>
      <c r="E10737" t="s">
        <v>30745</v>
      </c>
      <c r="F10737" t="s">
        <v>30746</v>
      </c>
      <c r="J10737" t="s">
        <v>30745</v>
      </c>
      <c r="K10737" t="s">
        <v>21600</v>
      </c>
      <c r="L10737" t="s">
        <v>3616</v>
      </c>
    </row>
    <row r="10738" spans="1:12">
      <c r="A10738" t="s">
        <v>30729</v>
      </c>
      <c r="B10738" t="s">
        <v>30730</v>
      </c>
      <c r="C10738" t="s">
        <v>30747</v>
      </c>
      <c r="D10738" t="s">
        <v>30732</v>
      </c>
      <c r="E10738" t="s">
        <v>30748</v>
      </c>
      <c r="F10738" t="s">
        <v>30749</v>
      </c>
      <c r="J10738" t="s">
        <v>30748</v>
      </c>
      <c r="K10738" t="s">
        <v>21600</v>
      </c>
      <c r="L10738" t="s">
        <v>3616</v>
      </c>
    </row>
    <row r="10739" spans="1:12">
      <c r="A10739" t="s">
        <v>30729</v>
      </c>
      <c r="B10739" t="s">
        <v>30730</v>
      </c>
      <c r="C10739" t="s">
        <v>30750</v>
      </c>
      <c r="D10739" t="s">
        <v>30732</v>
      </c>
      <c r="E10739" t="s">
        <v>30751</v>
      </c>
      <c r="F10739" t="s">
        <v>30752</v>
      </c>
      <c r="J10739" t="s">
        <v>30751</v>
      </c>
      <c r="K10739" t="s">
        <v>21600</v>
      </c>
      <c r="L10739" t="s">
        <v>3616</v>
      </c>
    </row>
    <row r="10740" spans="1:12">
      <c r="A10740" t="s">
        <v>30729</v>
      </c>
      <c r="B10740" t="s">
        <v>30730</v>
      </c>
      <c r="C10740" t="s">
        <v>30753</v>
      </c>
      <c r="D10740" t="s">
        <v>30732</v>
      </c>
      <c r="E10740" t="s">
        <v>30754</v>
      </c>
      <c r="F10740" t="s">
        <v>30755</v>
      </c>
      <c r="J10740" t="s">
        <v>30754</v>
      </c>
      <c r="K10740" t="s">
        <v>21600</v>
      </c>
      <c r="L10740" t="s">
        <v>3616</v>
      </c>
    </row>
    <row r="10741" spans="1:12">
      <c r="A10741" t="s">
        <v>30729</v>
      </c>
      <c r="B10741" t="s">
        <v>30730</v>
      </c>
      <c r="C10741" t="s">
        <v>30756</v>
      </c>
      <c r="D10741" t="s">
        <v>30732</v>
      </c>
      <c r="E10741" t="s">
        <v>30757</v>
      </c>
      <c r="F10741" t="s">
        <v>30758</v>
      </c>
      <c r="J10741" t="s">
        <v>30757</v>
      </c>
      <c r="K10741" t="s">
        <v>21600</v>
      </c>
      <c r="L10741" t="s">
        <v>3616</v>
      </c>
    </row>
    <row r="10742" spans="1:12">
      <c r="A10742" t="s">
        <v>30729</v>
      </c>
      <c r="B10742" t="s">
        <v>30730</v>
      </c>
      <c r="C10742" t="s">
        <v>30759</v>
      </c>
      <c r="D10742" t="s">
        <v>30732</v>
      </c>
      <c r="E10742" t="s">
        <v>30760</v>
      </c>
      <c r="F10742" t="s">
        <v>30761</v>
      </c>
      <c r="J10742" t="s">
        <v>30760</v>
      </c>
      <c r="K10742" t="s">
        <v>21600</v>
      </c>
      <c r="L10742" t="s">
        <v>3616</v>
      </c>
    </row>
    <row r="10743" spans="1:12">
      <c r="A10743" t="s">
        <v>30729</v>
      </c>
      <c r="B10743" t="s">
        <v>30730</v>
      </c>
      <c r="C10743" t="s">
        <v>30762</v>
      </c>
      <c r="D10743" t="s">
        <v>30732</v>
      </c>
      <c r="E10743" t="s">
        <v>30763</v>
      </c>
      <c r="F10743" t="s">
        <v>30764</v>
      </c>
      <c r="J10743" t="s">
        <v>30763</v>
      </c>
      <c r="K10743" t="s">
        <v>21600</v>
      </c>
      <c r="L10743" t="s">
        <v>3616</v>
      </c>
    </row>
    <row r="10744" spans="1:12">
      <c r="A10744" t="s">
        <v>30729</v>
      </c>
      <c r="B10744" t="s">
        <v>30730</v>
      </c>
      <c r="C10744" t="s">
        <v>30765</v>
      </c>
      <c r="D10744" t="s">
        <v>30732</v>
      </c>
      <c r="E10744" t="s">
        <v>13188</v>
      </c>
      <c r="F10744" t="s">
        <v>30766</v>
      </c>
    </row>
    <row r="10745" spans="1:12">
      <c r="A10745" t="s">
        <v>30729</v>
      </c>
      <c r="B10745" t="s">
        <v>30730</v>
      </c>
      <c r="C10745" t="s">
        <v>30767</v>
      </c>
      <c r="D10745" t="s">
        <v>30732</v>
      </c>
      <c r="E10745" t="s">
        <v>30768</v>
      </c>
      <c r="F10745" t="s">
        <v>30769</v>
      </c>
    </row>
    <row r="10746" spans="1:12">
      <c r="A10746" t="s">
        <v>30729</v>
      </c>
      <c r="B10746" t="s">
        <v>30730</v>
      </c>
      <c r="C10746" t="s">
        <v>30770</v>
      </c>
      <c r="D10746" t="s">
        <v>30732</v>
      </c>
      <c r="E10746" t="s">
        <v>30771</v>
      </c>
      <c r="F10746" t="s">
        <v>30772</v>
      </c>
    </row>
    <row r="10747" spans="1:12">
      <c r="A10747" t="s">
        <v>30729</v>
      </c>
      <c r="B10747" t="s">
        <v>30730</v>
      </c>
      <c r="C10747" t="s">
        <v>30773</v>
      </c>
      <c r="D10747" t="s">
        <v>30732</v>
      </c>
      <c r="E10747" t="s">
        <v>30774</v>
      </c>
      <c r="F10747" t="s">
        <v>30775</v>
      </c>
      <c r="J10747" t="s">
        <v>30774</v>
      </c>
      <c r="K10747" t="s">
        <v>21600</v>
      </c>
      <c r="L10747" t="s">
        <v>3616</v>
      </c>
    </row>
    <row r="10748" spans="1:12">
      <c r="A10748" t="s">
        <v>30729</v>
      </c>
      <c r="B10748" t="s">
        <v>30730</v>
      </c>
      <c r="C10748" t="s">
        <v>30776</v>
      </c>
      <c r="D10748" t="s">
        <v>30732</v>
      </c>
      <c r="E10748" t="s">
        <v>30777</v>
      </c>
      <c r="F10748" t="s">
        <v>30778</v>
      </c>
      <c r="J10748" t="s">
        <v>30777</v>
      </c>
      <c r="K10748" t="s">
        <v>21600</v>
      </c>
      <c r="L10748" t="s">
        <v>3616</v>
      </c>
    </row>
    <row r="10749" spans="1:12">
      <c r="A10749" t="s">
        <v>30729</v>
      </c>
      <c r="B10749" t="s">
        <v>30730</v>
      </c>
      <c r="C10749" t="s">
        <v>30779</v>
      </c>
      <c r="D10749" t="s">
        <v>30732</v>
      </c>
      <c r="E10749" t="s">
        <v>30780</v>
      </c>
      <c r="F10749" t="s">
        <v>30781</v>
      </c>
      <c r="J10749" t="s">
        <v>30780</v>
      </c>
      <c r="K10749" t="s">
        <v>21600</v>
      </c>
      <c r="L10749" t="s">
        <v>3616</v>
      </c>
    </row>
    <row r="10750" spans="1:12">
      <c r="A10750" t="s">
        <v>30729</v>
      </c>
      <c r="B10750" t="s">
        <v>30730</v>
      </c>
      <c r="C10750" t="s">
        <v>30782</v>
      </c>
      <c r="D10750" t="s">
        <v>30732</v>
      </c>
      <c r="E10750" t="s">
        <v>30783</v>
      </c>
      <c r="F10750" t="s">
        <v>30784</v>
      </c>
      <c r="J10750" t="s">
        <v>30783</v>
      </c>
      <c r="K10750" t="s">
        <v>21600</v>
      </c>
      <c r="L10750" t="s">
        <v>3616</v>
      </c>
    </row>
    <row r="10751" spans="1:12">
      <c r="A10751" t="s">
        <v>30729</v>
      </c>
      <c r="B10751" t="s">
        <v>30730</v>
      </c>
      <c r="C10751" t="s">
        <v>30785</v>
      </c>
      <c r="D10751" t="s">
        <v>30732</v>
      </c>
      <c r="E10751" t="s">
        <v>23272</v>
      </c>
      <c r="F10751" t="s">
        <v>30786</v>
      </c>
      <c r="J10751" t="s">
        <v>23272</v>
      </c>
      <c r="K10751" t="s">
        <v>21600</v>
      </c>
      <c r="L10751" t="s">
        <v>3616</v>
      </c>
    </row>
    <row r="10752" spans="1:12">
      <c r="A10752" t="s">
        <v>30729</v>
      </c>
      <c r="B10752" t="s">
        <v>30730</v>
      </c>
      <c r="C10752" t="s">
        <v>30787</v>
      </c>
      <c r="D10752" t="s">
        <v>30732</v>
      </c>
      <c r="E10752" t="s">
        <v>10506</v>
      </c>
      <c r="F10752" t="s">
        <v>30788</v>
      </c>
      <c r="J10752" t="s">
        <v>10506</v>
      </c>
      <c r="K10752" t="s">
        <v>21600</v>
      </c>
      <c r="L10752" t="s">
        <v>3616</v>
      </c>
    </row>
    <row r="10753" spans="1:12">
      <c r="A10753" t="s">
        <v>30729</v>
      </c>
      <c r="B10753" t="s">
        <v>30730</v>
      </c>
      <c r="C10753" t="s">
        <v>30789</v>
      </c>
      <c r="D10753" t="s">
        <v>30732</v>
      </c>
      <c r="E10753" t="s">
        <v>30790</v>
      </c>
      <c r="F10753" t="s">
        <v>30791</v>
      </c>
      <c r="J10753" t="s">
        <v>30790</v>
      </c>
      <c r="K10753" t="s">
        <v>21600</v>
      </c>
      <c r="L10753" t="s">
        <v>3616</v>
      </c>
    </row>
    <row r="10754" spans="1:12">
      <c r="A10754" t="s">
        <v>30729</v>
      </c>
      <c r="B10754" t="s">
        <v>30730</v>
      </c>
      <c r="C10754" t="s">
        <v>30792</v>
      </c>
      <c r="D10754" t="s">
        <v>30732</v>
      </c>
      <c r="E10754" t="s">
        <v>3782</v>
      </c>
      <c r="F10754" t="s">
        <v>30793</v>
      </c>
      <c r="J10754" t="s">
        <v>3782</v>
      </c>
      <c r="K10754" t="s">
        <v>21600</v>
      </c>
      <c r="L10754" t="s">
        <v>3616</v>
      </c>
    </row>
    <row r="10755" spans="1:12">
      <c r="A10755" t="s">
        <v>30729</v>
      </c>
      <c r="B10755" t="s">
        <v>30730</v>
      </c>
      <c r="C10755" t="s">
        <v>30794</v>
      </c>
      <c r="D10755" t="s">
        <v>30732</v>
      </c>
      <c r="E10755" t="s">
        <v>30795</v>
      </c>
      <c r="F10755" t="s">
        <v>30796</v>
      </c>
      <c r="J10755" t="s">
        <v>30795</v>
      </c>
      <c r="K10755" t="s">
        <v>21600</v>
      </c>
      <c r="L10755" t="s">
        <v>3616</v>
      </c>
    </row>
    <row r="10756" spans="1:12">
      <c r="A10756" t="s">
        <v>30729</v>
      </c>
      <c r="B10756" t="s">
        <v>30730</v>
      </c>
      <c r="C10756" t="s">
        <v>30797</v>
      </c>
      <c r="D10756" t="s">
        <v>30732</v>
      </c>
      <c r="E10756" t="s">
        <v>22544</v>
      </c>
      <c r="F10756" t="s">
        <v>30798</v>
      </c>
    </row>
    <row r="10757" spans="1:12">
      <c r="A10757" t="s">
        <v>30729</v>
      </c>
      <c r="B10757" t="s">
        <v>30730</v>
      </c>
      <c r="C10757" t="s">
        <v>30799</v>
      </c>
      <c r="D10757" t="s">
        <v>30732</v>
      </c>
      <c r="E10757" t="s">
        <v>30800</v>
      </c>
      <c r="F10757" t="s">
        <v>30801</v>
      </c>
    </row>
    <row r="10758" spans="1:12">
      <c r="A10758" t="s">
        <v>30729</v>
      </c>
      <c r="B10758" t="s">
        <v>30730</v>
      </c>
      <c r="C10758" t="s">
        <v>30802</v>
      </c>
      <c r="D10758" t="s">
        <v>30732</v>
      </c>
      <c r="E10758" t="s">
        <v>30803</v>
      </c>
      <c r="F10758" t="s">
        <v>30804</v>
      </c>
      <c r="J10758" t="s">
        <v>30803</v>
      </c>
      <c r="K10758" t="s">
        <v>21600</v>
      </c>
      <c r="L10758" t="s">
        <v>3616</v>
      </c>
    </row>
    <row r="10759" spans="1:12">
      <c r="A10759" t="s">
        <v>30729</v>
      </c>
      <c r="B10759" t="s">
        <v>30730</v>
      </c>
      <c r="C10759" t="s">
        <v>30805</v>
      </c>
      <c r="D10759" t="s">
        <v>30732</v>
      </c>
      <c r="E10759" t="s">
        <v>30806</v>
      </c>
      <c r="F10759" t="s">
        <v>30807</v>
      </c>
      <c r="J10759" t="s">
        <v>30806</v>
      </c>
      <c r="K10759" t="s">
        <v>21600</v>
      </c>
      <c r="L10759" t="s">
        <v>3616</v>
      </c>
    </row>
    <row r="10760" spans="1:12">
      <c r="A10760" t="s">
        <v>30729</v>
      </c>
      <c r="B10760" t="s">
        <v>30730</v>
      </c>
      <c r="C10760" t="s">
        <v>30808</v>
      </c>
      <c r="D10760" t="s">
        <v>30732</v>
      </c>
      <c r="E10760" t="s">
        <v>30809</v>
      </c>
      <c r="F10760" t="s">
        <v>30810</v>
      </c>
      <c r="J10760" t="s">
        <v>30809</v>
      </c>
      <c r="K10760" t="s">
        <v>21600</v>
      </c>
      <c r="L10760" t="s">
        <v>3616</v>
      </c>
    </row>
    <row r="10761" spans="1:12">
      <c r="A10761" t="s">
        <v>30729</v>
      </c>
      <c r="B10761" t="s">
        <v>30730</v>
      </c>
      <c r="C10761" t="s">
        <v>30811</v>
      </c>
      <c r="D10761" t="s">
        <v>30732</v>
      </c>
      <c r="E10761" t="s">
        <v>30812</v>
      </c>
      <c r="F10761" t="s">
        <v>30813</v>
      </c>
    </row>
    <row r="10762" spans="1:12">
      <c r="A10762" t="s">
        <v>30729</v>
      </c>
      <c r="B10762" t="s">
        <v>30730</v>
      </c>
      <c r="C10762" t="s">
        <v>30814</v>
      </c>
      <c r="D10762" t="s">
        <v>30732</v>
      </c>
      <c r="E10762" t="s">
        <v>30815</v>
      </c>
      <c r="F10762" t="s">
        <v>30816</v>
      </c>
      <c r="J10762" t="s">
        <v>30815</v>
      </c>
      <c r="K10762" t="s">
        <v>21600</v>
      </c>
      <c r="L10762" t="s">
        <v>3616</v>
      </c>
    </row>
    <row r="10763" spans="1:12">
      <c r="A10763" t="s">
        <v>30729</v>
      </c>
      <c r="B10763" t="s">
        <v>30730</v>
      </c>
      <c r="C10763" t="s">
        <v>30817</v>
      </c>
      <c r="D10763" t="s">
        <v>30732</v>
      </c>
      <c r="E10763" t="s">
        <v>30818</v>
      </c>
      <c r="F10763" t="s">
        <v>30819</v>
      </c>
      <c r="J10763" t="s">
        <v>30818</v>
      </c>
      <c r="K10763" t="s">
        <v>21600</v>
      </c>
      <c r="L10763" t="s">
        <v>3616</v>
      </c>
    </row>
    <row r="10764" spans="1:12">
      <c r="A10764" t="s">
        <v>30729</v>
      </c>
      <c r="B10764" t="s">
        <v>30730</v>
      </c>
      <c r="C10764" t="s">
        <v>30820</v>
      </c>
      <c r="D10764" t="s">
        <v>30732</v>
      </c>
      <c r="E10764" t="s">
        <v>12303</v>
      </c>
      <c r="F10764" t="s">
        <v>30821</v>
      </c>
      <c r="J10764" t="s">
        <v>12303</v>
      </c>
      <c r="K10764" t="s">
        <v>21600</v>
      </c>
      <c r="L10764" t="s">
        <v>3616</v>
      </c>
    </row>
    <row r="10765" spans="1:12">
      <c r="A10765" t="s">
        <v>30729</v>
      </c>
      <c r="B10765" t="s">
        <v>30730</v>
      </c>
      <c r="C10765" t="s">
        <v>30822</v>
      </c>
      <c r="D10765" t="s">
        <v>30732</v>
      </c>
      <c r="E10765" t="s">
        <v>25130</v>
      </c>
      <c r="F10765" t="s">
        <v>30823</v>
      </c>
      <c r="J10765" t="s">
        <v>25130</v>
      </c>
      <c r="K10765" t="s">
        <v>21600</v>
      </c>
      <c r="L10765" t="s">
        <v>3616</v>
      </c>
    </row>
    <row r="10766" spans="1:12">
      <c r="A10766" t="s">
        <v>30729</v>
      </c>
      <c r="B10766" t="s">
        <v>30730</v>
      </c>
      <c r="C10766" t="s">
        <v>30824</v>
      </c>
      <c r="D10766" t="s">
        <v>30732</v>
      </c>
      <c r="E10766" t="s">
        <v>16125</v>
      </c>
      <c r="F10766" t="s">
        <v>30825</v>
      </c>
      <c r="J10766" t="s">
        <v>16125</v>
      </c>
      <c r="K10766" t="s">
        <v>21600</v>
      </c>
      <c r="L10766" t="s">
        <v>3616</v>
      </c>
    </row>
    <row r="10767" spans="1:12">
      <c r="A10767" t="s">
        <v>30729</v>
      </c>
      <c r="B10767" t="s">
        <v>30730</v>
      </c>
      <c r="C10767" t="s">
        <v>30826</v>
      </c>
      <c r="D10767" t="s">
        <v>30732</v>
      </c>
      <c r="E10767" t="s">
        <v>30827</v>
      </c>
      <c r="F10767" t="s">
        <v>30828</v>
      </c>
      <c r="J10767" t="s">
        <v>30827</v>
      </c>
      <c r="K10767" t="s">
        <v>21600</v>
      </c>
      <c r="L10767" t="s">
        <v>3616</v>
      </c>
    </row>
    <row r="10768" spans="1:12">
      <c r="A10768" t="s">
        <v>30729</v>
      </c>
      <c r="B10768" t="s">
        <v>30730</v>
      </c>
      <c r="C10768" t="s">
        <v>30829</v>
      </c>
      <c r="D10768" t="s">
        <v>30732</v>
      </c>
      <c r="E10768" t="s">
        <v>30830</v>
      </c>
      <c r="F10768" t="s">
        <v>30831</v>
      </c>
      <c r="J10768" t="s">
        <v>30830</v>
      </c>
      <c r="K10768" t="s">
        <v>21600</v>
      </c>
      <c r="L10768" t="s">
        <v>3616</v>
      </c>
    </row>
    <row r="10769" spans="1:12">
      <c r="A10769" t="s">
        <v>30729</v>
      </c>
      <c r="B10769" t="s">
        <v>30730</v>
      </c>
      <c r="C10769" t="s">
        <v>30832</v>
      </c>
      <c r="D10769" t="s">
        <v>30732</v>
      </c>
      <c r="E10769" t="s">
        <v>30833</v>
      </c>
      <c r="F10769" t="s">
        <v>30834</v>
      </c>
      <c r="J10769" t="s">
        <v>30833</v>
      </c>
      <c r="K10769" t="s">
        <v>21600</v>
      </c>
      <c r="L10769" t="s">
        <v>3616</v>
      </c>
    </row>
    <row r="10770" spans="1:12">
      <c r="A10770" t="s">
        <v>30729</v>
      </c>
      <c r="B10770" t="s">
        <v>30730</v>
      </c>
      <c r="C10770" t="s">
        <v>30835</v>
      </c>
      <c r="D10770" t="s">
        <v>30732</v>
      </c>
      <c r="E10770" t="s">
        <v>30836</v>
      </c>
      <c r="F10770" t="s">
        <v>30837</v>
      </c>
      <c r="J10770" t="s">
        <v>30836</v>
      </c>
      <c r="K10770" t="s">
        <v>21600</v>
      </c>
      <c r="L10770" t="s">
        <v>3616</v>
      </c>
    </row>
    <row r="10771" spans="1:12">
      <c r="A10771" t="s">
        <v>30729</v>
      </c>
      <c r="B10771" t="s">
        <v>30730</v>
      </c>
      <c r="C10771" t="s">
        <v>30838</v>
      </c>
      <c r="D10771" t="s">
        <v>30732</v>
      </c>
      <c r="E10771" t="s">
        <v>857</v>
      </c>
      <c r="F10771" t="s">
        <v>30839</v>
      </c>
    </row>
    <row r="10772" spans="1:12">
      <c r="A10772" t="s">
        <v>30729</v>
      </c>
      <c r="B10772" t="s">
        <v>30730</v>
      </c>
      <c r="C10772" t="s">
        <v>30840</v>
      </c>
      <c r="D10772" t="s">
        <v>30732</v>
      </c>
      <c r="E10772" t="s">
        <v>16129</v>
      </c>
      <c r="F10772" t="s">
        <v>30841</v>
      </c>
      <c r="J10772" t="s">
        <v>16129</v>
      </c>
      <c r="K10772" t="s">
        <v>21600</v>
      </c>
      <c r="L10772" t="s">
        <v>3616</v>
      </c>
    </row>
    <row r="10773" spans="1:12">
      <c r="A10773" t="s">
        <v>30729</v>
      </c>
      <c r="B10773" t="s">
        <v>30730</v>
      </c>
      <c r="C10773" t="s">
        <v>30842</v>
      </c>
      <c r="D10773" t="s">
        <v>30732</v>
      </c>
      <c r="E10773" t="s">
        <v>30843</v>
      </c>
      <c r="F10773" t="s">
        <v>30844</v>
      </c>
      <c r="J10773" t="s">
        <v>30843</v>
      </c>
      <c r="K10773" t="s">
        <v>21600</v>
      </c>
      <c r="L10773" t="s">
        <v>3616</v>
      </c>
    </row>
    <row r="10774" spans="1:12">
      <c r="A10774" t="s">
        <v>30729</v>
      </c>
      <c r="B10774" t="s">
        <v>30730</v>
      </c>
      <c r="C10774" t="s">
        <v>30845</v>
      </c>
      <c r="D10774" t="s">
        <v>30732</v>
      </c>
      <c r="E10774" t="s">
        <v>16137</v>
      </c>
      <c r="F10774" t="s">
        <v>30846</v>
      </c>
      <c r="J10774" t="s">
        <v>16137</v>
      </c>
      <c r="K10774" t="s">
        <v>21600</v>
      </c>
      <c r="L10774" t="s">
        <v>3616</v>
      </c>
    </row>
    <row r="10775" spans="1:12">
      <c r="A10775" t="s">
        <v>30729</v>
      </c>
      <c r="B10775" t="s">
        <v>30730</v>
      </c>
      <c r="C10775" t="s">
        <v>30847</v>
      </c>
      <c r="D10775" t="s">
        <v>30732</v>
      </c>
      <c r="E10775" t="s">
        <v>16146</v>
      </c>
      <c r="F10775" t="s">
        <v>30848</v>
      </c>
      <c r="J10775" t="s">
        <v>16146</v>
      </c>
      <c r="K10775" t="s">
        <v>21600</v>
      </c>
      <c r="L10775" t="s">
        <v>3616</v>
      </c>
    </row>
    <row r="10776" spans="1:12">
      <c r="A10776" t="s">
        <v>30729</v>
      </c>
      <c r="B10776" t="s">
        <v>30730</v>
      </c>
      <c r="C10776" t="s">
        <v>30849</v>
      </c>
      <c r="D10776" t="s">
        <v>30732</v>
      </c>
      <c r="E10776" t="s">
        <v>16134</v>
      </c>
      <c r="F10776" t="s">
        <v>30850</v>
      </c>
      <c r="J10776" t="s">
        <v>16134</v>
      </c>
      <c r="K10776" t="s">
        <v>21600</v>
      </c>
      <c r="L10776" t="s">
        <v>3616</v>
      </c>
    </row>
    <row r="10777" spans="1:12">
      <c r="A10777" t="s">
        <v>30729</v>
      </c>
      <c r="B10777" t="s">
        <v>30730</v>
      </c>
      <c r="C10777" t="s">
        <v>30851</v>
      </c>
      <c r="D10777" t="s">
        <v>30732</v>
      </c>
      <c r="E10777" t="s">
        <v>30852</v>
      </c>
      <c r="F10777" t="s">
        <v>30853</v>
      </c>
      <c r="J10777" t="s">
        <v>30852</v>
      </c>
      <c r="K10777" t="s">
        <v>21600</v>
      </c>
      <c r="L10777" t="s">
        <v>3616</v>
      </c>
    </row>
    <row r="10778" spans="1:12">
      <c r="A10778" t="s">
        <v>30729</v>
      </c>
      <c r="B10778" t="s">
        <v>30730</v>
      </c>
      <c r="C10778" t="s">
        <v>30854</v>
      </c>
      <c r="D10778" t="s">
        <v>30732</v>
      </c>
      <c r="E10778" t="s">
        <v>30855</v>
      </c>
      <c r="F10778" t="s">
        <v>30856</v>
      </c>
      <c r="J10778" t="s">
        <v>30855</v>
      </c>
      <c r="K10778" t="s">
        <v>21600</v>
      </c>
      <c r="L10778" t="s">
        <v>3616</v>
      </c>
    </row>
    <row r="10779" spans="1:12">
      <c r="A10779" t="s">
        <v>30729</v>
      </c>
      <c r="B10779" t="s">
        <v>30730</v>
      </c>
      <c r="C10779" t="s">
        <v>30857</v>
      </c>
      <c r="D10779" t="s">
        <v>30732</v>
      </c>
      <c r="E10779" t="s">
        <v>16157</v>
      </c>
      <c r="F10779" t="s">
        <v>30858</v>
      </c>
      <c r="J10779" t="s">
        <v>16157</v>
      </c>
      <c r="K10779" t="s">
        <v>21600</v>
      </c>
      <c r="L10779" t="s">
        <v>3616</v>
      </c>
    </row>
    <row r="10780" spans="1:12">
      <c r="A10780" t="s">
        <v>30729</v>
      </c>
      <c r="B10780" t="s">
        <v>30730</v>
      </c>
      <c r="C10780" t="s">
        <v>30859</v>
      </c>
      <c r="D10780" t="s">
        <v>30732</v>
      </c>
      <c r="E10780" t="s">
        <v>16192</v>
      </c>
      <c r="F10780" t="s">
        <v>30860</v>
      </c>
      <c r="J10780" t="s">
        <v>16192</v>
      </c>
      <c r="K10780" t="s">
        <v>21600</v>
      </c>
      <c r="L10780" t="s">
        <v>3616</v>
      </c>
    </row>
    <row r="10781" spans="1:12">
      <c r="A10781" t="s">
        <v>30729</v>
      </c>
      <c r="B10781" t="s">
        <v>30730</v>
      </c>
      <c r="C10781" t="s">
        <v>30861</v>
      </c>
      <c r="D10781" t="s">
        <v>30732</v>
      </c>
      <c r="E10781" t="s">
        <v>3449</v>
      </c>
      <c r="F10781" t="s">
        <v>30862</v>
      </c>
      <c r="J10781" t="s">
        <v>30863</v>
      </c>
      <c r="K10781" t="s">
        <v>21600</v>
      </c>
      <c r="L10781" t="s">
        <v>3616</v>
      </c>
    </row>
    <row r="10782" spans="1:12">
      <c r="A10782" t="s">
        <v>30729</v>
      </c>
      <c r="B10782" t="s">
        <v>30730</v>
      </c>
      <c r="C10782" t="s">
        <v>30864</v>
      </c>
      <c r="D10782" t="s">
        <v>30732</v>
      </c>
      <c r="E10782" t="s">
        <v>16212</v>
      </c>
      <c r="F10782" t="s">
        <v>30865</v>
      </c>
      <c r="J10782" t="s">
        <v>16212</v>
      </c>
      <c r="K10782" t="s">
        <v>21600</v>
      </c>
      <c r="L10782" t="s">
        <v>3616</v>
      </c>
    </row>
    <row r="10783" spans="1:12">
      <c r="A10783" t="s">
        <v>30729</v>
      </c>
      <c r="B10783" t="s">
        <v>30730</v>
      </c>
      <c r="C10783" t="s">
        <v>30866</v>
      </c>
      <c r="D10783" t="s">
        <v>30732</v>
      </c>
      <c r="E10783" t="s">
        <v>16221</v>
      </c>
      <c r="F10783" t="s">
        <v>30867</v>
      </c>
      <c r="J10783" t="s">
        <v>16221</v>
      </c>
      <c r="K10783" t="s">
        <v>21600</v>
      </c>
      <c r="L10783" t="s">
        <v>3616</v>
      </c>
    </row>
    <row r="10784" spans="1:12">
      <c r="A10784" t="s">
        <v>30729</v>
      </c>
      <c r="B10784" t="s">
        <v>30730</v>
      </c>
      <c r="C10784" t="s">
        <v>30868</v>
      </c>
      <c r="D10784" t="s">
        <v>30732</v>
      </c>
      <c r="E10784" t="s">
        <v>16229</v>
      </c>
      <c r="F10784" t="s">
        <v>30869</v>
      </c>
      <c r="J10784" t="s">
        <v>16229</v>
      </c>
      <c r="K10784" t="s">
        <v>21600</v>
      </c>
      <c r="L10784" t="s">
        <v>3616</v>
      </c>
    </row>
    <row r="10785" spans="1:12">
      <c r="A10785" t="s">
        <v>30729</v>
      </c>
      <c r="B10785" t="s">
        <v>30730</v>
      </c>
      <c r="C10785" t="s">
        <v>30870</v>
      </c>
      <c r="D10785" t="s">
        <v>30732</v>
      </c>
      <c r="E10785" t="s">
        <v>16233</v>
      </c>
      <c r="F10785" t="s">
        <v>30871</v>
      </c>
      <c r="J10785" t="s">
        <v>16233</v>
      </c>
      <c r="K10785" t="s">
        <v>21600</v>
      </c>
      <c r="L10785" t="s">
        <v>3616</v>
      </c>
    </row>
    <row r="10786" spans="1:12">
      <c r="A10786" t="s">
        <v>30729</v>
      </c>
      <c r="B10786" t="s">
        <v>30730</v>
      </c>
      <c r="C10786" t="s">
        <v>30872</v>
      </c>
      <c r="D10786" t="s">
        <v>30732</v>
      </c>
      <c r="E10786" t="s">
        <v>16237</v>
      </c>
      <c r="F10786" t="s">
        <v>30873</v>
      </c>
      <c r="J10786" t="s">
        <v>16237</v>
      </c>
      <c r="K10786" t="s">
        <v>21600</v>
      </c>
      <c r="L10786" t="s">
        <v>3616</v>
      </c>
    </row>
    <row r="10787" spans="1:12">
      <c r="A10787" t="s">
        <v>30729</v>
      </c>
      <c r="B10787" t="s">
        <v>30730</v>
      </c>
      <c r="C10787" t="s">
        <v>30874</v>
      </c>
      <c r="D10787" t="s">
        <v>30732</v>
      </c>
      <c r="E10787" t="s">
        <v>850</v>
      </c>
      <c r="F10787" t="s">
        <v>30875</v>
      </c>
      <c r="J10787" t="s">
        <v>850</v>
      </c>
      <c r="K10787" t="s">
        <v>21600</v>
      </c>
      <c r="L10787" t="s">
        <v>3616</v>
      </c>
    </row>
    <row r="10788" spans="1:12">
      <c r="A10788" t="s">
        <v>30729</v>
      </c>
      <c r="B10788" t="s">
        <v>30730</v>
      </c>
      <c r="C10788" t="s">
        <v>30876</v>
      </c>
      <c r="D10788" t="s">
        <v>30732</v>
      </c>
      <c r="E10788" t="s">
        <v>10872</v>
      </c>
      <c r="F10788" t="s">
        <v>30877</v>
      </c>
    </row>
    <row r="10789" spans="1:12">
      <c r="A10789" t="s">
        <v>30729</v>
      </c>
      <c r="B10789" t="s">
        <v>30730</v>
      </c>
      <c r="C10789" t="s">
        <v>30878</v>
      </c>
      <c r="D10789" t="s">
        <v>30732</v>
      </c>
      <c r="E10789" t="s">
        <v>27055</v>
      </c>
      <c r="F10789" t="s">
        <v>30879</v>
      </c>
      <c r="J10789" t="s">
        <v>27055</v>
      </c>
      <c r="K10789" t="s">
        <v>21600</v>
      </c>
      <c r="L10789" t="s">
        <v>3616</v>
      </c>
    </row>
    <row r="10790" spans="1:12">
      <c r="A10790" t="s">
        <v>30729</v>
      </c>
      <c r="B10790" t="s">
        <v>30730</v>
      </c>
      <c r="C10790" t="s">
        <v>30880</v>
      </c>
      <c r="D10790" t="s">
        <v>30732</v>
      </c>
      <c r="E10790" t="s">
        <v>10590</v>
      </c>
      <c r="F10790" t="s">
        <v>30881</v>
      </c>
    </row>
    <row r="10791" spans="1:12">
      <c r="A10791" t="s">
        <v>30729</v>
      </c>
      <c r="B10791" t="s">
        <v>30730</v>
      </c>
      <c r="C10791" t="s">
        <v>30882</v>
      </c>
      <c r="D10791" t="s">
        <v>30732</v>
      </c>
      <c r="E10791" t="s">
        <v>30189</v>
      </c>
      <c r="F10791" t="s">
        <v>30883</v>
      </c>
      <c r="J10791" t="s">
        <v>30189</v>
      </c>
      <c r="K10791" t="s">
        <v>21600</v>
      </c>
      <c r="L10791" t="s">
        <v>3616</v>
      </c>
    </row>
    <row r="10792" spans="1:12">
      <c r="A10792" t="s">
        <v>30729</v>
      </c>
      <c r="B10792" t="s">
        <v>30730</v>
      </c>
      <c r="C10792" t="s">
        <v>30884</v>
      </c>
      <c r="D10792" t="s">
        <v>30732</v>
      </c>
      <c r="E10792" t="s">
        <v>24849</v>
      </c>
      <c r="F10792" t="s">
        <v>30885</v>
      </c>
      <c r="J10792" t="s">
        <v>24849</v>
      </c>
      <c r="K10792" t="s">
        <v>21600</v>
      </c>
      <c r="L10792" t="s">
        <v>3616</v>
      </c>
    </row>
    <row r="10793" spans="1:12">
      <c r="A10793" t="s">
        <v>30729</v>
      </c>
      <c r="B10793" t="s">
        <v>30730</v>
      </c>
      <c r="C10793" t="s">
        <v>30886</v>
      </c>
      <c r="D10793" t="s">
        <v>30732</v>
      </c>
      <c r="E10793" t="s">
        <v>10879</v>
      </c>
      <c r="F10793" t="s">
        <v>30887</v>
      </c>
      <c r="J10793" t="s">
        <v>10879</v>
      </c>
      <c r="K10793" t="s">
        <v>21600</v>
      </c>
      <c r="L10793" t="s">
        <v>3616</v>
      </c>
    </row>
    <row r="10794" spans="1:12">
      <c r="A10794" t="s">
        <v>30729</v>
      </c>
      <c r="B10794" t="s">
        <v>30730</v>
      </c>
      <c r="C10794" t="s">
        <v>30888</v>
      </c>
      <c r="D10794" t="s">
        <v>30732</v>
      </c>
      <c r="E10794" t="s">
        <v>30889</v>
      </c>
      <c r="F10794" t="s">
        <v>30890</v>
      </c>
      <c r="J10794" t="s">
        <v>30889</v>
      </c>
      <c r="K10794" t="s">
        <v>21600</v>
      </c>
      <c r="L10794" t="s">
        <v>3616</v>
      </c>
    </row>
    <row r="10795" spans="1:12">
      <c r="A10795" t="s">
        <v>30729</v>
      </c>
      <c r="B10795" t="s">
        <v>30730</v>
      </c>
      <c r="C10795" t="s">
        <v>30891</v>
      </c>
      <c r="D10795" t="s">
        <v>30732</v>
      </c>
      <c r="E10795" t="s">
        <v>25627</v>
      </c>
      <c r="F10795" t="s">
        <v>30892</v>
      </c>
    </row>
    <row r="10796" spans="1:12">
      <c r="A10796" t="s">
        <v>30729</v>
      </c>
      <c r="B10796" t="s">
        <v>30730</v>
      </c>
      <c r="C10796" t="s">
        <v>30893</v>
      </c>
      <c r="D10796" t="s">
        <v>30732</v>
      </c>
      <c r="E10796" t="s">
        <v>8430</v>
      </c>
      <c r="F10796" t="s">
        <v>30894</v>
      </c>
      <c r="J10796" t="s">
        <v>8430</v>
      </c>
      <c r="K10796" t="s">
        <v>21600</v>
      </c>
      <c r="L10796" t="s">
        <v>3616</v>
      </c>
    </row>
    <row r="10797" spans="1:12">
      <c r="A10797" t="s">
        <v>30729</v>
      </c>
      <c r="B10797" t="s">
        <v>30730</v>
      </c>
      <c r="C10797" t="s">
        <v>30895</v>
      </c>
      <c r="D10797" t="s">
        <v>30732</v>
      </c>
      <c r="E10797" t="s">
        <v>30896</v>
      </c>
      <c r="F10797" t="s">
        <v>30897</v>
      </c>
      <c r="J10797" t="s">
        <v>30896</v>
      </c>
      <c r="K10797" t="s">
        <v>21600</v>
      </c>
      <c r="L10797" t="s">
        <v>3616</v>
      </c>
    </row>
    <row r="10798" spans="1:12">
      <c r="A10798" t="s">
        <v>30729</v>
      </c>
      <c r="B10798" t="s">
        <v>30730</v>
      </c>
      <c r="C10798" t="s">
        <v>30898</v>
      </c>
      <c r="D10798" t="s">
        <v>30732</v>
      </c>
      <c r="E10798" t="s">
        <v>30899</v>
      </c>
      <c r="F10798" t="s">
        <v>30900</v>
      </c>
      <c r="J10798" t="s">
        <v>30899</v>
      </c>
      <c r="K10798" t="s">
        <v>21600</v>
      </c>
      <c r="L10798" t="s">
        <v>3616</v>
      </c>
    </row>
    <row r="10799" spans="1:12">
      <c r="A10799" t="s">
        <v>30729</v>
      </c>
      <c r="B10799" t="s">
        <v>30730</v>
      </c>
      <c r="C10799" t="s">
        <v>30901</v>
      </c>
      <c r="D10799" t="s">
        <v>30732</v>
      </c>
      <c r="E10799" t="s">
        <v>30902</v>
      </c>
      <c r="F10799" t="s">
        <v>30903</v>
      </c>
      <c r="J10799" t="s">
        <v>30902</v>
      </c>
      <c r="K10799" t="s">
        <v>21600</v>
      </c>
      <c r="L10799" t="s">
        <v>3616</v>
      </c>
    </row>
    <row r="10800" spans="1:12">
      <c r="A10800" t="s">
        <v>30729</v>
      </c>
      <c r="B10800" t="s">
        <v>30730</v>
      </c>
      <c r="C10800" t="s">
        <v>30904</v>
      </c>
      <c r="D10800" t="s">
        <v>30732</v>
      </c>
      <c r="E10800" t="s">
        <v>14152</v>
      </c>
      <c r="F10800" t="s">
        <v>30905</v>
      </c>
      <c r="J10800" t="s">
        <v>14152</v>
      </c>
      <c r="K10800" t="s">
        <v>21600</v>
      </c>
      <c r="L10800" t="s">
        <v>3616</v>
      </c>
    </row>
    <row r="10801" spans="1:12">
      <c r="A10801" t="s">
        <v>30729</v>
      </c>
      <c r="B10801" t="s">
        <v>30730</v>
      </c>
      <c r="C10801" t="s">
        <v>30906</v>
      </c>
      <c r="D10801" t="s">
        <v>30732</v>
      </c>
      <c r="E10801" t="s">
        <v>8436</v>
      </c>
      <c r="F10801" t="s">
        <v>30907</v>
      </c>
    </row>
    <row r="10802" spans="1:12">
      <c r="A10802" t="s">
        <v>30729</v>
      </c>
      <c r="B10802" t="s">
        <v>30730</v>
      </c>
      <c r="C10802" t="s">
        <v>30908</v>
      </c>
      <c r="D10802" t="s">
        <v>30732</v>
      </c>
      <c r="E10802" t="s">
        <v>30909</v>
      </c>
      <c r="F10802" t="s">
        <v>30910</v>
      </c>
      <c r="J10802" t="s">
        <v>30909</v>
      </c>
      <c r="K10802" t="s">
        <v>21600</v>
      </c>
      <c r="L10802" t="s">
        <v>3616</v>
      </c>
    </row>
    <row r="10803" spans="1:12">
      <c r="A10803" t="s">
        <v>30729</v>
      </c>
      <c r="B10803" t="s">
        <v>30730</v>
      </c>
      <c r="C10803" t="s">
        <v>30911</v>
      </c>
      <c r="D10803" t="s">
        <v>30732</v>
      </c>
      <c r="E10803" t="s">
        <v>30912</v>
      </c>
      <c r="F10803" t="s">
        <v>30913</v>
      </c>
      <c r="J10803" t="s">
        <v>30912</v>
      </c>
      <c r="K10803" t="s">
        <v>21600</v>
      </c>
      <c r="L10803" t="s">
        <v>3616</v>
      </c>
    </row>
    <row r="10804" spans="1:12">
      <c r="A10804" t="s">
        <v>30729</v>
      </c>
      <c r="B10804" t="s">
        <v>30730</v>
      </c>
      <c r="C10804" t="s">
        <v>30914</v>
      </c>
      <c r="D10804" t="s">
        <v>30732</v>
      </c>
      <c r="E10804" t="s">
        <v>16293</v>
      </c>
      <c r="F10804" t="s">
        <v>30915</v>
      </c>
      <c r="J10804" t="s">
        <v>16293</v>
      </c>
      <c r="K10804" t="s">
        <v>21600</v>
      </c>
      <c r="L10804" t="s">
        <v>3616</v>
      </c>
    </row>
    <row r="10805" spans="1:12">
      <c r="A10805" t="s">
        <v>30729</v>
      </c>
      <c r="B10805" t="s">
        <v>30730</v>
      </c>
      <c r="C10805" t="s">
        <v>30916</v>
      </c>
      <c r="D10805" t="s">
        <v>30732</v>
      </c>
      <c r="E10805" t="s">
        <v>16298</v>
      </c>
      <c r="F10805" t="s">
        <v>30917</v>
      </c>
      <c r="J10805" t="s">
        <v>16298</v>
      </c>
      <c r="K10805" t="s">
        <v>21600</v>
      </c>
      <c r="L10805" t="s">
        <v>3616</v>
      </c>
    </row>
    <row r="10806" spans="1:12">
      <c r="A10806" t="s">
        <v>30729</v>
      </c>
      <c r="B10806" t="s">
        <v>30730</v>
      </c>
      <c r="C10806" t="s">
        <v>30918</v>
      </c>
      <c r="D10806" t="s">
        <v>30732</v>
      </c>
      <c r="E10806" t="s">
        <v>11728</v>
      </c>
      <c r="F10806" t="s">
        <v>30919</v>
      </c>
      <c r="J10806" t="s">
        <v>11728</v>
      </c>
      <c r="K10806" t="s">
        <v>21600</v>
      </c>
      <c r="L10806" t="s">
        <v>3616</v>
      </c>
    </row>
    <row r="10807" spans="1:12">
      <c r="A10807" t="s">
        <v>30729</v>
      </c>
      <c r="B10807" t="s">
        <v>30730</v>
      </c>
      <c r="C10807" t="s">
        <v>30920</v>
      </c>
      <c r="D10807" t="s">
        <v>30732</v>
      </c>
      <c r="E10807" t="s">
        <v>8442</v>
      </c>
      <c r="F10807" t="s">
        <v>30921</v>
      </c>
      <c r="J10807" t="s">
        <v>8442</v>
      </c>
      <c r="K10807" t="s">
        <v>21600</v>
      </c>
      <c r="L10807" t="s">
        <v>3616</v>
      </c>
    </row>
    <row r="10808" spans="1:12">
      <c r="A10808" t="s">
        <v>30729</v>
      </c>
      <c r="B10808" t="s">
        <v>30730</v>
      </c>
      <c r="C10808" t="s">
        <v>30922</v>
      </c>
      <c r="D10808" t="s">
        <v>30732</v>
      </c>
      <c r="E10808" t="s">
        <v>13414</v>
      </c>
      <c r="F10808" t="s">
        <v>30923</v>
      </c>
      <c r="J10808" t="s">
        <v>13414</v>
      </c>
      <c r="K10808" t="s">
        <v>21600</v>
      </c>
      <c r="L10808" t="s">
        <v>3616</v>
      </c>
    </row>
    <row r="10809" spans="1:12">
      <c r="A10809" t="s">
        <v>30729</v>
      </c>
      <c r="B10809" t="s">
        <v>30730</v>
      </c>
      <c r="C10809" t="s">
        <v>30924</v>
      </c>
      <c r="D10809" t="s">
        <v>30732</v>
      </c>
      <c r="E10809" t="s">
        <v>30925</v>
      </c>
      <c r="F10809" t="s">
        <v>30926</v>
      </c>
      <c r="J10809" t="s">
        <v>30925</v>
      </c>
      <c r="K10809" t="s">
        <v>21600</v>
      </c>
      <c r="L10809" t="s">
        <v>3616</v>
      </c>
    </row>
    <row r="10810" spans="1:12">
      <c r="A10810" t="s">
        <v>30729</v>
      </c>
      <c r="B10810" t="s">
        <v>30730</v>
      </c>
      <c r="C10810" t="s">
        <v>30927</v>
      </c>
      <c r="D10810" t="s">
        <v>30732</v>
      </c>
      <c r="E10810" t="s">
        <v>30928</v>
      </c>
      <c r="F10810" t="s">
        <v>30929</v>
      </c>
      <c r="J10810" t="s">
        <v>30928</v>
      </c>
      <c r="K10810" t="s">
        <v>21600</v>
      </c>
      <c r="L10810" t="s">
        <v>3616</v>
      </c>
    </row>
    <row r="10811" spans="1:12">
      <c r="A10811" t="s">
        <v>30729</v>
      </c>
      <c r="B10811" t="s">
        <v>30730</v>
      </c>
      <c r="C10811" t="s">
        <v>30930</v>
      </c>
      <c r="D10811" t="s">
        <v>30732</v>
      </c>
      <c r="E10811" t="s">
        <v>30931</v>
      </c>
      <c r="F10811" t="s">
        <v>30932</v>
      </c>
      <c r="J10811" t="s">
        <v>30931</v>
      </c>
      <c r="K10811" t="s">
        <v>21600</v>
      </c>
      <c r="L10811" t="s">
        <v>3616</v>
      </c>
    </row>
    <row r="10812" spans="1:12">
      <c r="A10812" t="s">
        <v>30729</v>
      </c>
      <c r="B10812" t="s">
        <v>30730</v>
      </c>
      <c r="C10812" t="s">
        <v>30933</v>
      </c>
      <c r="D10812" t="s">
        <v>30732</v>
      </c>
      <c r="E10812" t="s">
        <v>1403</v>
      </c>
      <c r="F10812" t="s">
        <v>30934</v>
      </c>
    </row>
    <row r="10813" spans="1:12">
      <c r="A10813" t="s">
        <v>30729</v>
      </c>
      <c r="B10813" t="s">
        <v>30730</v>
      </c>
      <c r="C10813" t="s">
        <v>30935</v>
      </c>
      <c r="D10813" t="s">
        <v>30732</v>
      </c>
      <c r="E10813" t="s">
        <v>811</v>
      </c>
      <c r="F10813" t="s">
        <v>30936</v>
      </c>
    </row>
    <row r="10814" spans="1:12">
      <c r="A10814" t="s">
        <v>30729</v>
      </c>
      <c r="B10814" t="s">
        <v>30730</v>
      </c>
      <c r="C10814" t="s">
        <v>30937</v>
      </c>
      <c r="D10814" t="s">
        <v>30732</v>
      </c>
      <c r="E10814" t="s">
        <v>30938</v>
      </c>
      <c r="F10814" t="s">
        <v>30939</v>
      </c>
      <c r="J10814" t="s">
        <v>30938</v>
      </c>
      <c r="K10814" t="s">
        <v>21600</v>
      </c>
      <c r="L10814" t="s">
        <v>3616</v>
      </c>
    </row>
    <row r="10815" spans="1:12">
      <c r="A10815" t="s">
        <v>30729</v>
      </c>
      <c r="B10815" t="s">
        <v>30730</v>
      </c>
      <c r="C10815" t="s">
        <v>30940</v>
      </c>
      <c r="D10815" t="s">
        <v>30732</v>
      </c>
      <c r="E10815" t="s">
        <v>30941</v>
      </c>
      <c r="F10815" t="s">
        <v>30942</v>
      </c>
      <c r="J10815" t="s">
        <v>30941</v>
      </c>
      <c r="K10815" t="s">
        <v>21600</v>
      </c>
      <c r="L10815" t="s">
        <v>3616</v>
      </c>
    </row>
    <row r="10816" spans="1:12">
      <c r="A10816" t="s">
        <v>30729</v>
      </c>
      <c r="B10816" t="s">
        <v>30730</v>
      </c>
      <c r="C10816" t="s">
        <v>30943</v>
      </c>
      <c r="D10816" t="s">
        <v>30732</v>
      </c>
      <c r="E10816" t="s">
        <v>30944</v>
      </c>
      <c r="F10816" t="s">
        <v>30945</v>
      </c>
      <c r="J10816" t="s">
        <v>30944</v>
      </c>
      <c r="K10816" t="s">
        <v>21600</v>
      </c>
      <c r="L10816" t="s">
        <v>3616</v>
      </c>
    </row>
    <row r="10817" spans="1:12">
      <c r="A10817" t="s">
        <v>30729</v>
      </c>
      <c r="B10817" t="s">
        <v>30730</v>
      </c>
      <c r="C10817" t="s">
        <v>30946</v>
      </c>
      <c r="D10817" t="s">
        <v>30732</v>
      </c>
      <c r="E10817" t="s">
        <v>30947</v>
      </c>
      <c r="F10817" t="s">
        <v>30948</v>
      </c>
      <c r="J10817" t="s">
        <v>30947</v>
      </c>
      <c r="K10817" t="s">
        <v>21600</v>
      </c>
      <c r="L10817" t="s">
        <v>3616</v>
      </c>
    </row>
    <row r="10818" spans="1:12">
      <c r="A10818" t="s">
        <v>30729</v>
      </c>
      <c r="B10818" t="s">
        <v>30730</v>
      </c>
      <c r="C10818" t="s">
        <v>30949</v>
      </c>
      <c r="D10818" t="s">
        <v>30732</v>
      </c>
      <c r="E10818" t="s">
        <v>16341</v>
      </c>
      <c r="F10818" t="s">
        <v>30950</v>
      </c>
      <c r="J10818" t="s">
        <v>16341</v>
      </c>
      <c r="K10818" t="s">
        <v>21600</v>
      </c>
      <c r="L10818" t="s">
        <v>3616</v>
      </c>
    </row>
    <row r="10819" spans="1:12">
      <c r="A10819" t="s">
        <v>30729</v>
      </c>
      <c r="B10819" t="s">
        <v>30730</v>
      </c>
      <c r="C10819" t="s">
        <v>30951</v>
      </c>
      <c r="D10819" t="s">
        <v>30732</v>
      </c>
      <c r="E10819" t="s">
        <v>30952</v>
      </c>
      <c r="F10819" t="s">
        <v>30953</v>
      </c>
      <c r="J10819" t="s">
        <v>30952</v>
      </c>
      <c r="K10819" t="s">
        <v>21600</v>
      </c>
      <c r="L10819" t="s">
        <v>3616</v>
      </c>
    </row>
    <row r="10820" spans="1:12">
      <c r="A10820" t="s">
        <v>30729</v>
      </c>
      <c r="B10820" t="s">
        <v>30730</v>
      </c>
      <c r="C10820" t="s">
        <v>30954</v>
      </c>
      <c r="D10820" t="s">
        <v>30732</v>
      </c>
      <c r="E10820" t="s">
        <v>30955</v>
      </c>
      <c r="F10820" t="s">
        <v>30956</v>
      </c>
      <c r="J10820" t="s">
        <v>30955</v>
      </c>
      <c r="K10820" t="s">
        <v>21600</v>
      </c>
      <c r="L10820" t="s">
        <v>3616</v>
      </c>
    </row>
    <row r="10821" spans="1:12">
      <c r="A10821" t="s">
        <v>30729</v>
      </c>
      <c r="B10821" t="s">
        <v>30730</v>
      </c>
      <c r="C10821" t="s">
        <v>30957</v>
      </c>
      <c r="D10821" t="s">
        <v>30732</v>
      </c>
      <c r="E10821" t="s">
        <v>30460</v>
      </c>
      <c r="F10821" t="s">
        <v>30958</v>
      </c>
      <c r="J10821" t="s">
        <v>30460</v>
      </c>
      <c r="K10821" t="s">
        <v>21600</v>
      </c>
      <c r="L10821" t="s">
        <v>3616</v>
      </c>
    </row>
    <row r="10822" spans="1:12">
      <c r="A10822" t="s">
        <v>30729</v>
      </c>
      <c r="B10822" t="s">
        <v>30730</v>
      </c>
      <c r="C10822" t="s">
        <v>30959</v>
      </c>
      <c r="D10822" t="s">
        <v>30732</v>
      </c>
      <c r="E10822" t="s">
        <v>30960</v>
      </c>
      <c r="F10822" t="s">
        <v>30961</v>
      </c>
      <c r="J10822" t="s">
        <v>30960</v>
      </c>
      <c r="K10822" t="s">
        <v>21600</v>
      </c>
      <c r="L10822" t="s">
        <v>3616</v>
      </c>
    </row>
    <row r="10823" spans="1:12">
      <c r="A10823" t="s">
        <v>30729</v>
      </c>
      <c r="B10823" t="s">
        <v>30730</v>
      </c>
      <c r="C10823" t="s">
        <v>30962</v>
      </c>
      <c r="D10823" t="s">
        <v>30732</v>
      </c>
      <c r="E10823" t="s">
        <v>24859</v>
      </c>
      <c r="F10823" t="s">
        <v>30963</v>
      </c>
      <c r="J10823" t="s">
        <v>24859</v>
      </c>
      <c r="K10823" t="s">
        <v>21600</v>
      </c>
      <c r="L10823" t="s">
        <v>3616</v>
      </c>
    </row>
    <row r="10824" spans="1:12">
      <c r="A10824" t="s">
        <v>30729</v>
      </c>
      <c r="B10824" t="s">
        <v>30730</v>
      </c>
      <c r="C10824" t="s">
        <v>30964</v>
      </c>
      <c r="D10824" t="s">
        <v>30732</v>
      </c>
      <c r="E10824" t="s">
        <v>30965</v>
      </c>
      <c r="F10824" t="s">
        <v>30966</v>
      </c>
      <c r="J10824" t="s">
        <v>30965</v>
      </c>
      <c r="K10824" t="s">
        <v>21600</v>
      </c>
      <c r="L10824" t="s">
        <v>3616</v>
      </c>
    </row>
    <row r="10825" spans="1:12">
      <c r="A10825" t="s">
        <v>30729</v>
      </c>
      <c r="B10825" t="s">
        <v>30730</v>
      </c>
      <c r="C10825" t="s">
        <v>30967</v>
      </c>
      <c r="D10825" t="s">
        <v>30732</v>
      </c>
      <c r="E10825" t="s">
        <v>30968</v>
      </c>
      <c r="F10825" t="s">
        <v>30969</v>
      </c>
      <c r="J10825" t="s">
        <v>30968</v>
      </c>
      <c r="K10825" t="s">
        <v>21600</v>
      </c>
      <c r="L10825" t="s">
        <v>3616</v>
      </c>
    </row>
    <row r="10826" spans="1:12">
      <c r="A10826" t="s">
        <v>30729</v>
      </c>
      <c r="B10826" t="s">
        <v>30730</v>
      </c>
      <c r="C10826" t="s">
        <v>30970</v>
      </c>
      <c r="D10826" t="s">
        <v>30732</v>
      </c>
      <c r="E10826" t="s">
        <v>30971</v>
      </c>
      <c r="F10826" t="s">
        <v>30972</v>
      </c>
    </row>
    <row r="10827" spans="1:12">
      <c r="A10827" t="s">
        <v>30729</v>
      </c>
      <c r="B10827" t="s">
        <v>30730</v>
      </c>
      <c r="C10827" t="s">
        <v>30973</v>
      </c>
      <c r="D10827" t="s">
        <v>30732</v>
      </c>
      <c r="E10827" t="s">
        <v>30974</v>
      </c>
      <c r="F10827" t="s">
        <v>30975</v>
      </c>
      <c r="J10827" t="s">
        <v>30974</v>
      </c>
      <c r="K10827" t="s">
        <v>21600</v>
      </c>
      <c r="L10827" t="s">
        <v>3616</v>
      </c>
    </row>
    <row r="10828" spans="1:12">
      <c r="A10828" t="s">
        <v>30729</v>
      </c>
      <c r="B10828" t="s">
        <v>30730</v>
      </c>
      <c r="C10828" t="s">
        <v>30976</v>
      </c>
      <c r="D10828" t="s">
        <v>30732</v>
      </c>
      <c r="E10828" t="s">
        <v>16345</v>
      </c>
      <c r="F10828" t="s">
        <v>30977</v>
      </c>
      <c r="J10828" t="s">
        <v>16345</v>
      </c>
      <c r="K10828" t="s">
        <v>21600</v>
      </c>
      <c r="L10828" t="s">
        <v>3616</v>
      </c>
    </row>
    <row r="10829" spans="1:12">
      <c r="A10829" t="s">
        <v>30729</v>
      </c>
      <c r="B10829" t="s">
        <v>30730</v>
      </c>
      <c r="C10829" t="s">
        <v>30978</v>
      </c>
      <c r="D10829" t="s">
        <v>30732</v>
      </c>
      <c r="E10829" t="s">
        <v>3817</v>
      </c>
      <c r="F10829" t="s">
        <v>30979</v>
      </c>
      <c r="J10829" t="s">
        <v>3817</v>
      </c>
      <c r="K10829" t="s">
        <v>21600</v>
      </c>
      <c r="L10829" t="s">
        <v>3616</v>
      </c>
    </row>
    <row r="10830" spans="1:12">
      <c r="A10830" t="s">
        <v>30729</v>
      </c>
      <c r="B10830" t="s">
        <v>30730</v>
      </c>
      <c r="C10830" t="s">
        <v>30980</v>
      </c>
      <c r="D10830" t="s">
        <v>30732</v>
      </c>
      <c r="E10830" t="s">
        <v>11738</v>
      </c>
      <c r="F10830" t="s">
        <v>30981</v>
      </c>
      <c r="J10830" t="s">
        <v>11738</v>
      </c>
      <c r="K10830" t="s">
        <v>21600</v>
      </c>
      <c r="L10830" t="s">
        <v>3616</v>
      </c>
    </row>
    <row r="10831" spans="1:12">
      <c r="A10831" t="s">
        <v>30729</v>
      </c>
      <c r="B10831" t="s">
        <v>30730</v>
      </c>
      <c r="C10831" t="s">
        <v>30982</v>
      </c>
      <c r="D10831" t="s">
        <v>30732</v>
      </c>
      <c r="E10831" t="s">
        <v>1064</v>
      </c>
      <c r="F10831" t="s">
        <v>30983</v>
      </c>
      <c r="J10831" t="s">
        <v>1064</v>
      </c>
      <c r="K10831" t="s">
        <v>21600</v>
      </c>
      <c r="L10831" t="s">
        <v>3616</v>
      </c>
    </row>
    <row r="10832" spans="1:12">
      <c r="A10832" t="s">
        <v>30729</v>
      </c>
      <c r="B10832" t="s">
        <v>30730</v>
      </c>
      <c r="C10832" t="s">
        <v>30984</v>
      </c>
      <c r="D10832" t="s">
        <v>30732</v>
      </c>
      <c r="E10832" t="s">
        <v>14165</v>
      </c>
      <c r="F10832" t="s">
        <v>30985</v>
      </c>
    </row>
    <row r="10833" spans="1:12">
      <c r="A10833" t="s">
        <v>30729</v>
      </c>
      <c r="B10833" t="s">
        <v>30730</v>
      </c>
      <c r="C10833" t="s">
        <v>30986</v>
      </c>
      <c r="D10833" t="s">
        <v>30732</v>
      </c>
      <c r="E10833" t="s">
        <v>14007</v>
      </c>
      <c r="F10833" t="s">
        <v>30987</v>
      </c>
      <c r="J10833" t="s">
        <v>14007</v>
      </c>
      <c r="K10833" t="s">
        <v>21600</v>
      </c>
      <c r="L10833" t="s">
        <v>3616</v>
      </c>
    </row>
    <row r="10834" spans="1:12">
      <c r="A10834" t="s">
        <v>30729</v>
      </c>
      <c r="B10834" t="s">
        <v>30730</v>
      </c>
      <c r="C10834" t="s">
        <v>30988</v>
      </c>
      <c r="D10834" t="s">
        <v>30732</v>
      </c>
      <c r="E10834" t="s">
        <v>28996</v>
      </c>
      <c r="F10834" t="s">
        <v>30989</v>
      </c>
      <c r="J10834" t="s">
        <v>28996</v>
      </c>
      <c r="K10834" t="s">
        <v>21600</v>
      </c>
      <c r="L10834" t="s">
        <v>3616</v>
      </c>
    </row>
    <row r="10835" spans="1:12">
      <c r="A10835" t="s">
        <v>30729</v>
      </c>
      <c r="B10835" t="s">
        <v>30730</v>
      </c>
      <c r="C10835" t="s">
        <v>30990</v>
      </c>
      <c r="D10835" t="s">
        <v>30732</v>
      </c>
      <c r="E10835" t="s">
        <v>30991</v>
      </c>
      <c r="F10835" t="s">
        <v>30992</v>
      </c>
      <c r="J10835" t="s">
        <v>30991</v>
      </c>
      <c r="K10835" t="s">
        <v>21600</v>
      </c>
      <c r="L10835" t="s">
        <v>3616</v>
      </c>
    </row>
    <row r="10836" spans="1:12">
      <c r="A10836" t="s">
        <v>30729</v>
      </c>
      <c r="B10836" t="s">
        <v>30730</v>
      </c>
      <c r="C10836" t="s">
        <v>30993</v>
      </c>
      <c r="D10836" t="s">
        <v>30732</v>
      </c>
      <c r="E10836" t="s">
        <v>30994</v>
      </c>
      <c r="F10836" t="s">
        <v>30995</v>
      </c>
      <c r="J10836" t="s">
        <v>30994</v>
      </c>
      <c r="K10836" t="s">
        <v>21600</v>
      </c>
      <c r="L10836" t="s">
        <v>3616</v>
      </c>
    </row>
    <row r="10837" spans="1:12">
      <c r="A10837" t="s">
        <v>30729</v>
      </c>
      <c r="B10837" t="s">
        <v>30730</v>
      </c>
      <c r="C10837" t="s">
        <v>30996</v>
      </c>
      <c r="D10837" t="s">
        <v>30732</v>
      </c>
      <c r="E10837" t="s">
        <v>28393</v>
      </c>
      <c r="F10837" t="s">
        <v>30997</v>
      </c>
    </row>
    <row r="10838" spans="1:12">
      <c r="A10838" t="s">
        <v>30729</v>
      </c>
      <c r="B10838" t="s">
        <v>30730</v>
      </c>
      <c r="C10838" t="s">
        <v>30998</v>
      </c>
      <c r="D10838" t="s">
        <v>30732</v>
      </c>
      <c r="E10838" t="s">
        <v>14887</v>
      </c>
      <c r="F10838" t="s">
        <v>30999</v>
      </c>
      <c r="J10838" t="s">
        <v>14887</v>
      </c>
      <c r="K10838" t="s">
        <v>21600</v>
      </c>
      <c r="L10838" t="s">
        <v>3616</v>
      </c>
    </row>
    <row r="10839" spans="1:12">
      <c r="A10839" t="s">
        <v>30729</v>
      </c>
      <c r="B10839" t="s">
        <v>30730</v>
      </c>
      <c r="C10839" t="s">
        <v>31000</v>
      </c>
      <c r="D10839" t="s">
        <v>30732</v>
      </c>
      <c r="E10839" t="s">
        <v>31001</v>
      </c>
      <c r="F10839" t="s">
        <v>31002</v>
      </c>
      <c r="J10839" t="s">
        <v>31001</v>
      </c>
      <c r="K10839" t="s">
        <v>21600</v>
      </c>
      <c r="L10839" t="s">
        <v>3616</v>
      </c>
    </row>
    <row r="10840" spans="1:12">
      <c r="A10840" t="s">
        <v>30729</v>
      </c>
      <c r="B10840" t="s">
        <v>30730</v>
      </c>
      <c r="C10840" t="s">
        <v>31003</v>
      </c>
      <c r="D10840" t="s">
        <v>30732</v>
      </c>
      <c r="E10840" t="s">
        <v>10286</v>
      </c>
      <c r="F10840" t="s">
        <v>31004</v>
      </c>
      <c r="J10840" t="s">
        <v>10286</v>
      </c>
      <c r="K10840" t="s">
        <v>21600</v>
      </c>
      <c r="L10840" t="s">
        <v>3616</v>
      </c>
    </row>
    <row r="10841" spans="1:12">
      <c r="A10841" t="s">
        <v>30729</v>
      </c>
      <c r="B10841" t="s">
        <v>30730</v>
      </c>
      <c r="C10841" t="s">
        <v>31005</v>
      </c>
      <c r="D10841" t="s">
        <v>30732</v>
      </c>
      <c r="E10841" t="s">
        <v>31006</v>
      </c>
      <c r="F10841" t="s">
        <v>31007</v>
      </c>
      <c r="J10841" t="s">
        <v>31006</v>
      </c>
      <c r="K10841" t="s">
        <v>21600</v>
      </c>
      <c r="L10841" t="s">
        <v>3616</v>
      </c>
    </row>
    <row r="10842" spans="1:12">
      <c r="A10842" t="s">
        <v>30729</v>
      </c>
      <c r="B10842" t="s">
        <v>30730</v>
      </c>
      <c r="C10842" t="s">
        <v>31008</v>
      </c>
      <c r="D10842" t="s">
        <v>30732</v>
      </c>
      <c r="E10842" t="s">
        <v>10882</v>
      </c>
      <c r="F10842" t="s">
        <v>31009</v>
      </c>
      <c r="J10842" t="s">
        <v>10882</v>
      </c>
      <c r="K10842" t="s">
        <v>21600</v>
      </c>
      <c r="L10842" t="s">
        <v>3616</v>
      </c>
    </row>
    <row r="10843" spans="1:12">
      <c r="A10843" t="s">
        <v>30729</v>
      </c>
      <c r="B10843" t="s">
        <v>30730</v>
      </c>
      <c r="C10843" t="s">
        <v>31010</v>
      </c>
      <c r="D10843" t="s">
        <v>30732</v>
      </c>
      <c r="E10843" t="s">
        <v>31011</v>
      </c>
      <c r="F10843" t="s">
        <v>31012</v>
      </c>
      <c r="J10843" t="s">
        <v>31011</v>
      </c>
      <c r="K10843" t="s">
        <v>21600</v>
      </c>
      <c r="L10843" t="s">
        <v>3616</v>
      </c>
    </row>
    <row r="10844" spans="1:12">
      <c r="A10844" t="s">
        <v>30729</v>
      </c>
      <c r="B10844" t="s">
        <v>30730</v>
      </c>
      <c r="C10844" t="s">
        <v>31013</v>
      </c>
      <c r="D10844" t="s">
        <v>30732</v>
      </c>
      <c r="E10844" t="s">
        <v>31014</v>
      </c>
      <c r="F10844" t="s">
        <v>31015</v>
      </c>
      <c r="J10844" t="s">
        <v>31014</v>
      </c>
      <c r="K10844" t="s">
        <v>21600</v>
      </c>
      <c r="L10844" t="s">
        <v>3616</v>
      </c>
    </row>
    <row r="10845" spans="1:12">
      <c r="A10845" t="s">
        <v>30729</v>
      </c>
      <c r="B10845" t="s">
        <v>30730</v>
      </c>
      <c r="C10845" t="s">
        <v>31016</v>
      </c>
      <c r="D10845" t="s">
        <v>30732</v>
      </c>
      <c r="E10845" t="s">
        <v>16404</v>
      </c>
      <c r="F10845" t="s">
        <v>31017</v>
      </c>
      <c r="J10845" t="s">
        <v>16404</v>
      </c>
      <c r="K10845" t="s">
        <v>21600</v>
      </c>
      <c r="L10845" t="s">
        <v>3616</v>
      </c>
    </row>
    <row r="10846" spans="1:12">
      <c r="A10846" t="s">
        <v>30729</v>
      </c>
      <c r="B10846" t="s">
        <v>30730</v>
      </c>
      <c r="C10846" t="s">
        <v>31018</v>
      </c>
      <c r="D10846" t="s">
        <v>30732</v>
      </c>
      <c r="E10846" t="s">
        <v>31019</v>
      </c>
      <c r="F10846" t="s">
        <v>31020</v>
      </c>
      <c r="J10846" t="s">
        <v>31019</v>
      </c>
      <c r="K10846" t="s">
        <v>21600</v>
      </c>
      <c r="L10846" t="s">
        <v>3616</v>
      </c>
    </row>
    <row r="10847" spans="1:12">
      <c r="A10847" t="s">
        <v>30729</v>
      </c>
      <c r="B10847" t="s">
        <v>30730</v>
      </c>
      <c r="C10847" t="s">
        <v>31021</v>
      </c>
      <c r="D10847" t="s">
        <v>30732</v>
      </c>
      <c r="E10847" t="s">
        <v>31022</v>
      </c>
      <c r="F10847" t="s">
        <v>31023</v>
      </c>
      <c r="J10847" t="s">
        <v>31022</v>
      </c>
      <c r="K10847" t="s">
        <v>21600</v>
      </c>
      <c r="L10847" t="s">
        <v>3616</v>
      </c>
    </row>
    <row r="10848" spans="1:12">
      <c r="A10848" t="s">
        <v>30729</v>
      </c>
      <c r="B10848" t="s">
        <v>30730</v>
      </c>
      <c r="C10848" t="s">
        <v>31024</v>
      </c>
      <c r="D10848" t="s">
        <v>30732</v>
      </c>
      <c r="E10848" t="s">
        <v>13427</v>
      </c>
      <c r="F10848" t="s">
        <v>31025</v>
      </c>
    </row>
    <row r="10849" spans="1:12">
      <c r="A10849" t="s">
        <v>30729</v>
      </c>
      <c r="B10849" t="s">
        <v>30730</v>
      </c>
      <c r="C10849" t="s">
        <v>31026</v>
      </c>
      <c r="D10849" t="s">
        <v>30732</v>
      </c>
      <c r="E10849" t="s">
        <v>31027</v>
      </c>
      <c r="F10849" t="s">
        <v>31028</v>
      </c>
      <c r="J10849" t="s">
        <v>31027</v>
      </c>
      <c r="K10849" t="s">
        <v>21600</v>
      </c>
      <c r="L10849" t="s">
        <v>3616</v>
      </c>
    </row>
    <row r="10850" spans="1:12">
      <c r="A10850" t="s">
        <v>30729</v>
      </c>
      <c r="B10850" t="s">
        <v>30730</v>
      </c>
      <c r="C10850" t="s">
        <v>31029</v>
      </c>
      <c r="D10850" t="s">
        <v>30732</v>
      </c>
      <c r="E10850" t="s">
        <v>16411</v>
      </c>
      <c r="F10850" t="s">
        <v>31030</v>
      </c>
      <c r="J10850" t="s">
        <v>16411</v>
      </c>
      <c r="K10850" t="s">
        <v>21600</v>
      </c>
      <c r="L10850" t="s">
        <v>3616</v>
      </c>
    </row>
    <row r="10851" spans="1:12">
      <c r="A10851" t="s">
        <v>30729</v>
      </c>
      <c r="B10851" t="s">
        <v>30730</v>
      </c>
      <c r="C10851" t="s">
        <v>31031</v>
      </c>
      <c r="D10851" t="s">
        <v>30732</v>
      </c>
      <c r="E10851" t="s">
        <v>31032</v>
      </c>
      <c r="F10851" t="s">
        <v>31033</v>
      </c>
      <c r="J10851" t="s">
        <v>31032</v>
      </c>
      <c r="K10851" t="s">
        <v>21600</v>
      </c>
      <c r="L10851" t="s">
        <v>3616</v>
      </c>
    </row>
    <row r="10852" spans="1:12">
      <c r="A10852" t="s">
        <v>30729</v>
      </c>
      <c r="B10852" t="s">
        <v>30730</v>
      </c>
      <c r="C10852" t="s">
        <v>31034</v>
      </c>
      <c r="D10852" t="s">
        <v>30732</v>
      </c>
      <c r="E10852" t="s">
        <v>29867</v>
      </c>
      <c r="F10852" t="s">
        <v>31035</v>
      </c>
    </row>
    <row r="10853" spans="1:12">
      <c r="A10853" t="s">
        <v>30729</v>
      </c>
      <c r="B10853" t="s">
        <v>30730</v>
      </c>
      <c r="C10853" t="s">
        <v>31036</v>
      </c>
      <c r="D10853" t="s">
        <v>30732</v>
      </c>
      <c r="E10853" t="s">
        <v>31037</v>
      </c>
      <c r="F10853" t="s">
        <v>31038</v>
      </c>
      <c r="J10853" t="s">
        <v>31037</v>
      </c>
      <c r="K10853" t="s">
        <v>21600</v>
      </c>
      <c r="L10853" t="s">
        <v>3616</v>
      </c>
    </row>
    <row r="10854" spans="1:12">
      <c r="A10854" t="s">
        <v>30729</v>
      </c>
      <c r="B10854" t="s">
        <v>30730</v>
      </c>
      <c r="C10854" t="s">
        <v>31039</v>
      </c>
      <c r="D10854" t="s">
        <v>30732</v>
      </c>
      <c r="E10854" t="s">
        <v>31040</v>
      </c>
      <c r="F10854" t="s">
        <v>31041</v>
      </c>
      <c r="J10854" t="s">
        <v>31040</v>
      </c>
      <c r="K10854" t="s">
        <v>21600</v>
      </c>
      <c r="L10854" t="s">
        <v>3616</v>
      </c>
    </row>
    <row r="10855" spans="1:12">
      <c r="A10855" t="s">
        <v>30729</v>
      </c>
      <c r="B10855" t="s">
        <v>30730</v>
      </c>
      <c r="C10855" t="s">
        <v>31042</v>
      </c>
      <c r="D10855" t="s">
        <v>30732</v>
      </c>
      <c r="E10855" t="s">
        <v>8458</v>
      </c>
      <c r="F10855" t="s">
        <v>31043</v>
      </c>
      <c r="J10855" t="s">
        <v>8458</v>
      </c>
      <c r="K10855" t="s">
        <v>21600</v>
      </c>
      <c r="L10855" t="s">
        <v>3616</v>
      </c>
    </row>
    <row r="10856" spans="1:12">
      <c r="A10856" t="s">
        <v>30729</v>
      </c>
      <c r="B10856" t="s">
        <v>30730</v>
      </c>
      <c r="C10856" t="s">
        <v>31044</v>
      </c>
      <c r="D10856" t="s">
        <v>30732</v>
      </c>
      <c r="E10856" t="s">
        <v>26300</v>
      </c>
      <c r="F10856" t="s">
        <v>31045</v>
      </c>
    </row>
    <row r="10857" spans="1:12">
      <c r="A10857" t="s">
        <v>30729</v>
      </c>
      <c r="B10857" t="s">
        <v>30730</v>
      </c>
      <c r="C10857" t="s">
        <v>31046</v>
      </c>
      <c r="D10857" t="s">
        <v>30732</v>
      </c>
      <c r="E10857" t="s">
        <v>31047</v>
      </c>
      <c r="F10857" t="s">
        <v>31048</v>
      </c>
      <c r="J10857" t="s">
        <v>31047</v>
      </c>
      <c r="K10857" t="s">
        <v>21600</v>
      </c>
      <c r="L10857" t="s">
        <v>3616</v>
      </c>
    </row>
    <row r="10858" spans="1:12">
      <c r="A10858" t="s">
        <v>30729</v>
      </c>
      <c r="B10858" t="s">
        <v>30730</v>
      </c>
      <c r="C10858" t="s">
        <v>31049</v>
      </c>
      <c r="D10858" t="s">
        <v>30732</v>
      </c>
      <c r="E10858" t="s">
        <v>31050</v>
      </c>
      <c r="F10858" t="s">
        <v>31051</v>
      </c>
      <c r="J10858" t="s">
        <v>31050</v>
      </c>
      <c r="K10858" t="s">
        <v>21600</v>
      </c>
      <c r="L10858" t="s">
        <v>3616</v>
      </c>
    </row>
    <row r="10859" spans="1:12">
      <c r="A10859" t="s">
        <v>30729</v>
      </c>
      <c r="B10859" t="s">
        <v>30730</v>
      </c>
      <c r="C10859" t="s">
        <v>31052</v>
      </c>
      <c r="D10859" t="s">
        <v>30732</v>
      </c>
      <c r="E10859" t="s">
        <v>31053</v>
      </c>
      <c r="F10859" t="s">
        <v>31054</v>
      </c>
      <c r="J10859" t="s">
        <v>31053</v>
      </c>
      <c r="K10859" t="s">
        <v>21600</v>
      </c>
      <c r="L10859" t="s">
        <v>3616</v>
      </c>
    </row>
    <row r="10860" spans="1:12">
      <c r="A10860" t="s">
        <v>30729</v>
      </c>
      <c r="B10860" t="s">
        <v>30730</v>
      </c>
      <c r="C10860" t="s">
        <v>31055</v>
      </c>
      <c r="D10860" t="s">
        <v>30732</v>
      </c>
      <c r="E10860" t="s">
        <v>31056</v>
      </c>
      <c r="F10860" t="s">
        <v>31057</v>
      </c>
      <c r="J10860" t="s">
        <v>31056</v>
      </c>
      <c r="K10860" t="s">
        <v>21600</v>
      </c>
      <c r="L10860" t="s">
        <v>3616</v>
      </c>
    </row>
    <row r="10861" spans="1:12">
      <c r="A10861" t="s">
        <v>30729</v>
      </c>
      <c r="B10861" t="s">
        <v>30730</v>
      </c>
      <c r="C10861" t="s">
        <v>31058</v>
      </c>
      <c r="D10861" t="s">
        <v>30732</v>
      </c>
      <c r="E10861" t="s">
        <v>31059</v>
      </c>
      <c r="F10861" t="s">
        <v>31060</v>
      </c>
      <c r="J10861" t="s">
        <v>31059</v>
      </c>
      <c r="K10861" t="s">
        <v>21600</v>
      </c>
      <c r="L10861" t="s">
        <v>3616</v>
      </c>
    </row>
    <row r="10862" spans="1:12">
      <c r="A10862" t="s">
        <v>30729</v>
      </c>
      <c r="B10862" t="s">
        <v>30730</v>
      </c>
      <c r="C10862" t="s">
        <v>31061</v>
      </c>
      <c r="D10862" t="s">
        <v>30732</v>
      </c>
      <c r="E10862" t="s">
        <v>31062</v>
      </c>
      <c r="F10862" t="s">
        <v>31063</v>
      </c>
      <c r="J10862" t="s">
        <v>31062</v>
      </c>
      <c r="K10862" t="s">
        <v>21600</v>
      </c>
      <c r="L10862" t="s">
        <v>3616</v>
      </c>
    </row>
    <row r="10863" spans="1:12">
      <c r="A10863" t="s">
        <v>30729</v>
      </c>
      <c r="B10863" t="s">
        <v>30730</v>
      </c>
      <c r="C10863" t="s">
        <v>31064</v>
      </c>
      <c r="D10863" t="s">
        <v>30732</v>
      </c>
      <c r="E10863" t="s">
        <v>23853</v>
      </c>
      <c r="F10863" t="s">
        <v>31065</v>
      </c>
    </row>
    <row r="10864" spans="1:12">
      <c r="A10864" t="s">
        <v>30729</v>
      </c>
      <c r="B10864" t="s">
        <v>30730</v>
      </c>
      <c r="C10864" t="s">
        <v>31066</v>
      </c>
      <c r="D10864" t="s">
        <v>30732</v>
      </c>
      <c r="E10864" t="s">
        <v>31067</v>
      </c>
      <c r="F10864" t="s">
        <v>31068</v>
      </c>
      <c r="J10864" t="s">
        <v>31067</v>
      </c>
      <c r="K10864" t="s">
        <v>21600</v>
      </c>
      <c r="L10864" t="s">
        <v>3616</v>
      </c>
    </row>
    <row r="10865" spans="1:12">
      <c r="A10865" t="s">
        <v>30729</v>
      </c>
      <c r="B10865" t="s">
        <v>30730</v>
      </c>
      <c r="C10865" t="s">
        <v>31069</v>
      </c>
      <c r="D10865" t="s">
        <v>30732</v>
      </c>
      <c r="E10865" t="s">
        <v>4872</v>
      </c>
      <c r="F10865" t="s">
        <v>31070</v>
      </c>
      <c r="J10865" t="s">
        <v>4872</v>
      </c>
      <c r="K10865" t="s">
        <v>21600</v>
      </c>
      <c r="L10865" t="s">
        <v>3616</v>
      </c>
    </row>
    <row r="10866" spans="1:12">
      <c r="A10866" t="s">
        <v>30729</v>
      </c>
      <c r="B10866" t="s">
        <v>30730</v>
      </c>
      <c r="C10866" t="s">
        <v>31071</v>
      </c>
      <c r="D10866" t="s">
        <v>30732</v>
      </c>
      <c r="E10866" t="s">
        <v>31072</v>
      </c>
      <c r="F10866" t="s">
        <v>31073</v>
      </c>
      <c r="J10866" t="s">
        <v>31072</v>
      </c>
      <c r="K10866" t="s">
        <v>21600</v>
      </c>
      <c r="L10866" t="s">
        <v>3616</v>
      </c>
    </row>
    <row r="10867" spans="1:12">
      <c r="A10867" t="s">
        <v>30729</v>
      </c>
      <c r="B10867" t="s">
        <v>30730</v>
      </c>
      <c r="C10867" t="s">
        <v>31074</v>
      </c>
      <c r="D10867" t="s">
        <v>30732</v>
      </c>
      <c r="E10867" t="s">
        <v>31075</v>
      </c>
      <c r="F10867" t="s">
        <v>31076</v>
      </c>
      <c r="J10867" t="s">
        <v>31075</v>
      </c>
      <c r="K10867" t="s">
        <v>21600</v>
      </c>
      <c r="L10867" t="s">
        <v>3616</v>
      </c>
    </row>
    <row r="10868" spans="1:12">
      <c r="A10868" t="s">
        <v>30729</v>
      </c>
      <c r="B10868" t="s">
        <v>30730</v>
      </c>
      <c r="C10868" t="s">
        <v>31077</v>
      </c>
      <c r="D10868" t="s">
        <v>30732</v>
      </c>
      <c r="E10868" t="s">
        <v>16418</v>
      </c>
      <c r="F10868" t="s">
        <v>31078</v>
      </c>
      <c r="J10868" t="s">
        <v>16418</v>
      </c>
      <c r="K10868" t="s">
        <v>21600</v>
      </c>
      <c r="L10868" t="s">
        <v>3616</v>
      </c>
    </row>
    <row r="10869" spans="1:12">
      <c r="A10869" t="s">
        <v>30729</v>
      </c>
      <c r="B10869" t="s">
        <v>30730</v>
      </c>
      <c r="C10869" t="s">
        <v>31079</v>
      </c>
      <c r="D10869" t="s">
        <v>30732</v>
      </c>
      <c r="E10869" t="s">
        <v>31080</v>
      </c>
      <c r="F10869" t="s">
        <v>31081</v>
      </c>
    </row>
    <row r="10870" spans="1:12">
      <c r="A10870" t="s">
        <v>30729</v>
      </c>
      <c r="B10870" t="s">
        <v>30730</v>
      </c>
      <c r="C10870" t="s">
        <v>31082</v>
      </c>
      <c r="D10870" t="s">
        <v>30732</v>
      </c>
      <c r="E10870" t="s">
        <v>31083</v>
      </c>
      <c r="F10870" t="s">
        <v>31084</v>
      </c>
      <c r="J10870" t="s">
        <v>31083</v>
      </c>
      <c r="K10870" t="s">
        <v>21600</v>
      </c>
      <c r="L10870" t="s">
        <v>3616</v>
      </c>
    </row>
    <row r="10871" spans="1:12">
      <c r="A10871" t="s">
        <v>30729</v>
      </c>
      <c r="B10871" t="s">
        <v>30730</v>
      </c>
      <c r="C10871" t="s">
        <v>31085</v>
      </c>
      <c r="D10871" t="s">
        <v>30732</v>
      </c>
      <c r="E10871" t="s">
        <v>31086</v>
      </c>
      <c r="F10871" t="s">
        <v>31087</v>
      </c>
      <c r="J10871" t="s">
        <v>31086</v>
      </c>
      <c r="K10871" t="s">
        <v>21600</v>
      </c>
      <c r="L10871" t="s">
        <v>3616</v>
      </c>
    </row>
    <row r="10872" spans="1:12">
      <c r="A10872" t="s">
        <v>30729</v>
      </c>
      <c r="B10872" t="s">
        <v>30730</v>
      </c>
      <c r="C10872" t="s">
        <v>31088</v>
      </c>
      <c r="D10872" t="s">
        <v>30732</v>
      </c>
      <c r="E10872" t="s">
        <v>31089</v>
      </c>
      <c r="F10872" t="s">
        <v>31090</v>
      </c>
      <c r="J10872" t="s">
        <v>31089</v>
      </c>
      <c r="K10872" t="s">
        <v>21600</v>
      </c>
      <c r="L10872" t="s">
        <v>3616</v>
      </c>
    </row>
    <row r="10873" spans="1:12">
      <c r="A10873" t="s">
        <v>30729</v>
      </c>
      <c r="B10873" t="s">
        <v>30730</v>
      </c>
      <c r="C10873" t="s">
        <v>31091</v>
      </c>
      <c r="D10873" t="s">
        <v>30732</v>
      </c>
      <c r="E10873" t="s">
        <v>31092</v>
      </c>
      <c r="F10873" t="s">
        <v>31093</v>
      </c>
      <c r="J10873" t="s">
        <v>31092</v>
      </c>
      <c r="K10873" t="s">
        <v>21600</v>
      </c>
      <c r="L10873" t="s">
        <v>3616</v>
      </c>
    </row>
    <row r="10874" spans="1:12">
      <c r="A10874" t="s">
        <v>30729</v>
      </c>
      <c r="B10874" t="s">
        <v>30730</v>
      </c>
      <c r="C10874" t="s">
        <v>31094</v>
      </c>
      <c r="D10874" t="s">
        <v>30732</v>
      </c>
      <c r="E10874" t="s">
        <v>16432</v>
      </c>
      <c r="F10874" t="s">
        <v>31095</v>
      </c>
      <c r="J10874" t="s">
        <v>16432</v>
      </c>
      <c r="K10874" t="s">
        <v>21600</v>
      </c>
      <c r="L10874" t="s">
        <v>3616</v>
      </c>
    </row>
    <row r="10875" spans="1:12">
      <c r="A10875" t="s">
        <v>30729</v>
      </c>
      <c r="B10875" t="s">
        <v>30730</v>
      </c>
      <c r="C10875" t="s">
        <v>31096</v>
      </c>
      <c r="D10875" t="s">
        <v>30732</v>
      </c>
      <c r="E10875" t="s">
        <v>31097</v>
      </c>
      <c r="F10875" t="s">
        <v>31098</v>
      </c>
      <c r="J10875" t="s">
        <v>31097</v>
      </c>
      <c r="K10875" t="s">
        <v>21600</v>
      </c>
      <c r="L10875" t="s">
        <v>3616</v>
      </c>
    </row>
    <row r="10876" spans="1:12">
      <c r="A10876" t="s">
        <v>30729</v>
      </c>
      <c r="B10876" t="s">
        <v>30730</v>
      </c>
      <c r="C10876" t="s">
        <v>31099</v>
      </c>
      <c r="D10876" t="s">
        <v>30732</v>
      </c>
      <c r="E10876" t="s">
        <v>28396</v>
      </c>
      <c r="F10876" t="s">
        <v>31100</v>
      </c>
      <c r="J10876" t="s">
        <v>28396</v>
      </c>
      <c r="K10876" t="s">
        <v>21600</v>
      </c>
      <c r="L10876" t="s">
        <v>3616</v>
      </c>
    </row>
    <row r="10877" spans="1:12">
      <c r="A10877" t="s">
        <v>30729</v>
      </c>
      <c r="B10877" t="s">
        <v>30730</v>
      </c>
      <c r="C10877" t="s">
        <v>31101</v>
      </c>
      <c r="D10877" t="s">
        <v>30732</v>
      </c>
      <c r="E10877" t="s">
        <v>31102</v>
      </c>
      <c r="F10877" t="s">
        <v>31103</v>
      </c>
      <c r="J10877" t="s">
        <v>31102</v>
      </c>
      <c r="K10877" t="s">
        <v>21600</v>
      </c>
      <c r="L10877" t="s">
        <v>3616</v>
      </c>
    </row>
    <row r="10878" spans="1:12">
      <c r="A10878" t="s">
        <v>30729</v>
      </c>
      <c r="B10878" t="s">
        <v>30730</v>
      </c>
      <c r="C10878" t="s">
        <v>31104</v>
      </c>
      <c r="D10878" t="s">
        <v>30732</v>
      </c>
      <c r="E10878" t="s">
        <v>3452</v>
      </c>
      <c r="F10878" t="s">
        <v>31105</v>
      </c>
    </row>
    <row r="10879" spans="1:12">
      <c r="A10879" t="s">
        <v>30729</v>
      </c>
      <c r="B10879" t="s">
        <v>30730</v>
      </c>
      <c r="C10879" t="s">
        <v>31106</v>
      </c>
      <c r="D10879" t="s">
        <v>30732</v>
      </c>
      <c r="E10879" t="s">
        <v>8477</v>
      </c>
      <c r="F10879" t="s">
        <v>31107</v>
      </c>
      <c r="J10879" t="s">
        <v>8477</v>
      </c>
      <c r="K10879" t="s">
        <v>21600</v>
      </c>
      <c r="L10879" t="s">
        <v>3616</v>
      </c>
    </row>
    <row r="10880" spans="1:12">
      <c r="A10880" t="s">
        <v>30729</v>
      </c>
      <c r="B10880" t="s">
        <v>30730</v>
      </c>
      <c r="C10880" t="s">
        <v>31108</v>
      </c>
      <c r="D10880" t="s">
        <v>30732</v>
      </c>
      <c r="E10880" t="s">
        <v>3227</v>
      </c>
      <c r="F10880" t="s">
        <v>31109</v>
      </c>
      <c r="J10880" t="s">
        <v>3227</v>
      </c>
      <c r="K10880" t="s">
        <v>21600</v>
      </c>
      <c r="L10880" t="s">
        <v>3616</v>
      </c>
    </row>
    <row r="10881" spans="1:12">
      <c r="A10881" t="s">
        <v>30729</v>
      </c>
      <c r="B10881" t="s">
        <v>30730</v>
      </c>
      <c r="C10881" t="s">
        <v>31110</v>
      </c>
      <c r="D10881" t="s">
        <v>30732</v>
      </c>
      <c r="E10881" t="s">
        <v>3838</v>
      </c>
      <c r="F10881" t="s">
        <v>31111</v>
      </c>
    </row>
    <row r="10882" spans="1:12">
      <c r="A10882" t="s">
        <v>30729</v>
      </c>
      <c r="B10882" t="s">
        <v>30730</v>
      </c>
      <c r="C10882" t="s">
        <v>31112</v>
      </c>
      <c r="D10882" t="s">
        <v>30732</v>
      </c>
      <c r="E10882" t="s">
        <v>7142</v>
      </c>
      <c r="F10882" t="s">
        <v>31113</v>
      </c>
    </row>
    <row r="10883" spans="1:12">
      <c r="A10883" t="s">
        <v>30729</v>
      </c>
      <c r="B10883" t="s">
        <v>30730</v>
      </c>
      <c r="C10883" t="s">
        <v>31114</v>
      </c>
      <c r="D10883" t="s">
        <v>30732</v>
      </c>
      <c r="E10883" t="s">
        <v>31115</v>
      </c>
      <c r="F10883" t="s">
        <v>31116</v>
      </c>
      <c r="J10883" t="s">
        <v>31115</v>
      </c>
      <c r="K10883" t="s">
        <v>21600</v>
      </c>
      <c r="L10883" t="s">
        <v>3616</v>
      </c>
    </row>
    <row r="10884" spans="1:12">
      <c r="A10884" t="s">
        <v>30729</v>
      </c>
      <c r="B10884" t="s">
        <v>30730</v>
      </c>
      <c r="C10884" t="s">
        <v>31117</v>
      </c>
      <c r="D10884" t="s">
        <v>30732</v>
      </c>
      <c r="E10884" t="s">
        <v>31118</v>
      </c>
      <c r="F10884" t="s">
        <v>31119</v>
      </c>
      <c r="J10884" t="s">
        <v>31118</v>
      </c>
      <c r="K10884" t="s">
        <v>21600</v>
      </c>
      <c r="L10884" t="s">
        <v>3616</v>
      </c>
    </row>
    <row r="10885" spans="1:12">
      <c r="A10885" t="s">
        <v>30729</v>
      </c>
      <c r="B10885" t="s">
        <v>30730</v>
      </c>
      <c r="C10885" t="s">
        <v>31120</v>
      </c>
      <c r="D10885" t="s">
        <v>30732</v>
      </c>
      <c r="E10885" t="s">
        <v>31121</v>
      </c>
      <c r="F10885" t="s">
        <v>31122</v>
      </c>
      <c r="J10885" t="s">
        <v>31121</v>
      </c>
      <c r="K10885" t="s">
        <v>21600</v>
      </c>
      <c r="L10885" t="s">
        <v>3616</v>
      </c>
    </row>
    <row r="10886" spans="1:12">
      <c r="A10886" t="s">
        <v>30729</v>
      </c>
      <c r="B10886" t="s">
        <v>30730</v>
      </c>
      <c r="C10886" t="s">
        <v>31123</v>
      </c>
      <c r="D10886" t="s">
        <v>30732</v>
      </c>
      <c r="E10886" t="s">
        <v>8484</v>
      </c>
      <c r="F10886" t="s">
        <v>31124</v>
      </c>
    </row>
    <row r="10887" spans="1:12">
      <c r="A10887" t="s">
        <v>30729</v>
      </c>
      <c r="B10887" t="s">
        <v>30730</v>
      </c>
      <c r="C10887" t="s">
        <v>31125</v>
      </c>
      <c r="D10887" t="s">
        <v>30732</v>
      </c>
      <c r="E10887" t="s">
        <v>31126</v>
      </c>
      <c r="F10887" t="s">
        <v>31127</v>
      </c>
      <c r="J10887" t="s">
        <v>31126</v>
      </c>
      <c r="K10887" t="s">
        <v>21600</v>
      </c>
      <c r="L10887" t="s">
        <v>3616</v>
      </c>
    </row>
    <row r="10888" spans="1:12">
      <c r="A10888" t="s">
        <v>30729</v>
      </c>
      <c r="B10888" t="s">
        <v>30730</v>
      </c>
      <c r="C10888" t="s">
        <v>31128</v>
      </c>
      <c r="D10888" t="s">
        <v>30732</v>
      </c>
      <c r="E10888" t="s">
        <v>31129</v>
      </c>
      <c r="F10888" t="s">
        <v>31130</v>
      </c>
      <c r="J10888" t="s">
        <v>31129</v>
      </c>
      <c r="K10888" t="s">
        <v>21600</v>
      </c>
      <c r="L10888" t="s">
        <v>3616</v>
      </c>
    </row>
    <row r="10889" spans="1:12">
      <c r="A10889" t="s">
        <v>30729</v>
      </c>
      <c r="B10889" t="s">
        <v>30730</v>
      </c>
      <c r="C10889" t="s">
        <v>31131</v>
      </c>
      <c r="D10889" t="s">
        <v>30732</v>
      </c>
      <c r="E10889" t="s">
        <v>31132</v>
      </c>
      <c r="F10889" t="s">
        <v>31133</v>
      </c>
      <c r="J10889" t="s">
        <v>31132</v>
      </c>
      <c r="K10889" t="s">
        <v>21600</v>
      </c>
      <c r="L10889" t="s">
        <v>3616</v>
      </c>
    </row>
    <row r="10890" spans="1:12">
      <c r="A10890" t="s">
        <v>30729</v>
      </c>
      <c r="B10890" t="s">
        <v>30730</v>
      </c>
      <c r="C10890" t="s">
        <v>31134</v>
      </c>
      <c r="D10890" t="s">
        <v>30732</v>
      </c>
      <c r="E10890" t="s">
        <v>10526</v>
      </c>
      <c r="F10890" t="s">
        <v>31135</v>
      </c>
      <c r="J10890" t="s">
        <v>10526</v>
      </c>
      <c r="K10890" t="s">
        <v>21600</v>
      </c>
      <c r="L10890" t="s">
        <v>3616</v>
      </c>
    </row>
    <row r="10891" spans="1:12">
      <c r="A10891" t="s">
        <v>30729</v>
      </c>
      <c r="B10891" t="s">
        <v>30730</v>
      </c>
      <c r="C10891" t="s">
        <v>31136</v>
      </c>
      <c r="D10891" t="s">
        <v>30732</v>
      </c>
      <c r="E10891" t="s">
        <v>31137</v>
      </c>
      <c r="F10891" t="s">
        <v>31138</v>
      </c>
      <c r="J10891" t="s">
        <v>31137</v>
      </c>
      <c r="K10891" t="s">
        <v>21600</v>
      </c>
      <c r="L10891" t="s">
        <v>3616</v>
      </c>
    </row>
    <row r="10892" spans="1:12">
      <c r="A10892" t="s">
        <v>30729</v>
      </c>
      <c r="B10892" t="s">
        <v>30730</v>
      </c>
      <c r="C10892" t="s">
        <v>31139</v>
      </c>
      <c r="D10892" t="s">
        <v>30732</v>
      </c>
      <c r="E10892" t="s">
        <v>13727</v>
      </c>
      <c r="F10892" t="s">
        <v>31140</v>
      </c>
    </row>
    <row r="10893" spans="1:12">
      <c r="A10893" t="s">
        <v>30729</v>
      </c>
      <c r="B10893" t="s">
        <v>30730</v>
      </c>
      <c r="C10893" t="s">
        <v>31141</v>
      </c>
      <c r="D10893" t="s">
        <v>30732</v>
      </c>
      <c r="E10893" t="s">
        <v>31142</v>
      </c>
      <c r="F10893" t="s">
        <v>31143</v>
      </c>
      <c r="J10893" t="s">
        <v>31142</v>
      </c>
      <c r="K10893" t="s">
        <v>21600</v>
      </c>
      <c r="L10893" t="s">
        <v>3616</v>
      </c>
    </row>
    <row r="10894" spans="1:12">
      <c r="A10894" t="s">
        <v>30729</v>
      </c>
      <c r="B10894" t="s">
        <v>30730</v>
      </c>
      <c r="C10894" t="s">
        <v>31144</v>
      </c>
      <c r="D10894" t="s">
        <v>30732</v>
      </c>
      <c r="E10894" t="s">
        <v>27083</v>
      </c>
      <c r="F10894" t="s">
        <v>31145</v>
      </c>
      <c r="J10894" t="s">
        <v>27083</v>
      </c>
      <c r="K10894" t="s">
        <v>21600</v>
      </c>
      <c r="L10894" t="s">
        <v>3616</v>
      </c>
    </row>
    <row r="10895" spans="1:12">
      <c r="A10895" t="s">
        <v>30729</v>
      </c>
      <c r="B10895" t="s">
        <v>30730</v>
      </c>
      <c r="C10895" t="s">
        <v>31146</v>
      </c>
      <c r="D10895" t="s">
        <v>30732</v>
      </c>
      <c r="E10895" t="s">
        <v>31147</v>
      </c>
      <c r="F10895" t="s">
        <v>31148</v>
      </c>
    </row>
    <row r="10896" spans="1:12">
      <c r="A10896" t="s">
        <v>30729</v>
      </c>
      <c r="B10896" t="s">
        <v>30730</v>
      </c>
      <c r="C10896" t="s">
        <v>31149</v>
      </c>
      <c r="D10896" t="s">
        <v>30732</v>
      </c>
      <c r="E10896" t="s">
        <v>31150</v>
      </c>
      <c r="F10896" t="s">
        <v>31151</v>
      </c>
      <c r="J10896" t="s">
        <v>31150</v>
      </c>
      <c r="K10896" t="s">
        <v>21600</v>
      </c>
      <c r="L10896" t="s">
        <v>3616</v>
      </c>
    </row>
    <row r="10897" spans="1:12">
      <c r="A10897" t="s">
        <v>30729</v>
      </c>
      <c r="B10897" t="s">
        <v>30730</v>
      </c>
      <c r="C10897" t="s">
        <v>31152</v>
      </c>
      <c r="D10897" t="s">
        <v>30732</v>
      </c>
      <c r="E10897" t="s">
        <v>31153</v>
      </c>
      <c r="F10897" t="s">
        <v>31154</v>
      </c>
      <c r="J10897" t="s">
        <v>31153</v>
      </c>
      <c r="K10897" t="s">
        <v>21600</v>
      </c>
      <c r="L10897" t="s">
        <v>3616</v>
      </c>
    </row>
    <row r="10898" spans="1:12">
      <c r="A10898" t="s">
        <v>30729</v>
      </c>
      <c r="B10898" t="s">
        <v>30730</v>
      </c>
      <c r="C10898" t="s">
        <v>31155</v>
      </c>
      <c r="D10898" t="s">
        <v>30732</v>
      </c>
      <c r="E10898" t="s">
        <v>31156</v>
      </c>
      <c r="F10898" t="s">
        <v>31157</v>
      </c>
      <c r="J10898" t="s">
        <v>31156</v>
      </c>
      <c r="K10898" t="s">
        <v>21600</v>
      </c>
      <c r="L10898" t="s">
        <v>3616</v>
      </c>
    </row>
    <row r="10899" spans="1:12">
      <c r="A10899" t="s">
        <v>30729</v>
      </c>
      <c r="B10899" t="s">
        <v>30730</v>
      </c>
      <c r="C10899" t="s">
        <v>31158</v>
      </c>
      <c r="D10899" t="s">
        <v>30732</v>
      </c>
      <c r="E10899" t="s">
        <v>31159</v>
      </c>
      <c r="F10899" t="s">
        <v>31160</v>
      </c>
      <c r="J10899" t="s">
        <v>31159</v>
      </c>
      <c r="K10899" t="s">
        <v>21600</v>
      </c>
      <c r="L10899" t="s">
        <v>3616</v>
      </c>
    </row>
    <row r="10900" spans="1:12">
      <c r="A10900" t="s">
        <v>30729</v>
      </c>
      <c r="B10900" t="s">
        <v>30730</v>
      </c>
      <c r="C10900" t="s">
        <v>31161</v>
      </c>
      <c r="D10900" t="s">
        <v>30732</v>
      </c>
      <c r="E10900" t="s">
        <v>8492</v>
      </c>
      <c r="F10900" t="s">
        <v>31162</v>
      </c>
      <c r="J10900" t="s">
        <v>8492</v>
      </c>
      <c r="K10900" t="s">
        <v>21600</v>
      </c>
      <c r="L10900" t="s">
        <v>3616</v>
      </c>
    </row>
    <row r="10901" spans="1:12">
      <c r="A10901" t="s">
        <v>30729</v>
      </c>
      <c r="B10901" t="s">
        <v>30730</v>
      </c>
      <c r="C10901" t="s">
        <v>31163</v>
      </c>
      <c r="D10901" t="s">
        <v>30732</v>
      </c>
      <c r="E10901" t="s">
        <v>927</v>
      </c>
      <c r="F10901" t="s">
        <v>31164</v>
      </c>
    </row>
    <row r="10902" spans="1:12">
      <c r="A10902" t="s">
        <v>30729</v>
      </c>
      <c r="B10902" t="s">
        <v>30730</v>
      </c>
      <c r="C10902" t="s">
        <v>31165</v>
      </c>
      <c r="D10902" t="s">
        <v>30732</v>
      </c>
      <c r="E10902" t="s">
        <v>10291</v>
      </c>
      <c r="F10902" t="s">
        <v>31166</v>
      </c>
      <c r="J10902" t="s">
        <v>10291</v>
      </c>
      <c r="K10902" t="s">
        <v>21600</v>
      </c>
      <c r="L10902" t="s">
        <v>3616</v>
      </c>
    </row>
    <row r="10903" spans="1:12">
      <c r="A10903" t="s">
        <v>30729</v>
      </c>
      <c r="B10903" t="s">
        <v>30730</v>
      </c>
      <c r="C10903" t="s">
        <v>31167</v>
      </c>
      <c r="D10903" t="s">
        <v>30732</v>
      </c>
      <c r="E10903" t="s">
        <v>31168</v>
      </c>
      <c r="F10903" t="s">
        <v>31169</v>
      </c>
      <c r="J10903" t="s">
        <v>31168</v>
      </c>
      <c r="K10903" t="s">
        <v>21600</v>
      </c>
      <c r="L10903" t="s">
        <v>3616</v>
      </c>
    </row>
    <row r="10904" spans="1:12">
      <c r="A10904" t="s">
        <v>30729</v>
      </c>
      <c r="B10904" t="s">
        <v>30730</v>
      </c>
      <c r="C10904" t="s">
        <v>31170</v>
      </c>
      <c r="D10904" t="s">
        <v>30732</v>
      </c>
      <c r="E10904" t="s">
        <v>14950</v>
      </c>
      <c r="F10904" t="s">
        <v>31171</v>
      </c>
      <c r="J10904" t="s">
        <v>14950</v>
      </c>
      <c r="K10904" t="s">
        <v>21600</v>
      </c>
      <c r="L10904" t="s">
        <v>3616</v>
      </c>
    </row>
    <row r="10905" spans="1:12">
      <c r="A10905" t="s">
        <v>30729</v>
      </c>
      <c r="B10905" t="s">
        <v>30730</v>
      </c>
      <c r="C10905" t="s">
        <v>31172</v>
      </c>
      <c r="D10905" t="s">
        <v>30732</v>
      </c>
      <c r="E10905" t="s">
        <v>24812</v>
      </c>
      <c r="F10905" t="s">
        <v>31173</v>
      </c>
    </row>
    <row r="10906" spans="1:12">
      <c r="A10906" t="s">
        <v>30729</v>
      </c>
      <c r="B10906" t="s">
        <v>30730</v>
      </c>
      <c r="C10906" t="s">
        <v>31174</v>
      </c>
      <c r="D10906" t="s">
        <v>30732</v>
      </c>
      <c r="E10906" t="s">
        <v>8507</v>
      </c>
      <c r="F10906" t="s">
        <v>31175</v>
      </c>
      <c r="J10906" t="s">
        <v>8507</v>
      </c>
      <c r="K10906" t="s">
        <v>21600</v>
      </c>
      <c r="L10906" t="s">
        <v>3616</v>
      </c>
    </row>
    <row r="10907" spans="1:12">
      <c r="A10907" t="s">
        <v>30729</v>
      </c>
      <c r="B10907" t="s">
        <v>30730</v>
      </c>
      <c r="C10907" t="s">
        <v>31176</v>
      </c>
      <c r="D10907" t="s">
        <v>30732</v>
      </c>
      <c r="E10907" t="s">
        <v>1564</v>
      </c>
      <c r="F10907" t="s">
        <v>31177</v>
      </c>
    </row>
    <row r="10908" spans="1:12">
      <c r="A10908" t="s">
        <v>30729</v>
      </c>
      <c r="B10908" t="s">
        <v>30730</v>
      </c>
      <c r="C10908" t="s">
        <v>31178</v>
      </c>
      <c r="D10908" t="s">
        <v>30732</v>
      </c>
      <c r="E10908" t="s">
        <v>31179</v>
      </c>
      <c r="F10908" t="s">
        <v>31180</v>
      </c>
    </row>
    <row r="10909" spans="1:12">
      <c r="A10909" t="s">
        <v>30729</v>
      </c>
      <c r="B10909" t="s">
        <v>30730</v>
      </c>
      <c r="C10909" t="s">
        <v>31181</v>
      </c>
      <c r="D10909" t="s">
        <v>30732</v>
      </c>
      <c r="E10909" t="s">
        <v>3615</v>
      </c>
      <c r="F10909" t="s">
        <v>31182</v>
      </c>
    </row>
    <row r="10910" spans="1:12">
      <c r="A10910" t="s">
        <v>30729</v>
      </c>
      <c r="B10910" t="s">
        <v>30730</v>
      </c>
      <c r="C10910" t="s">
        <v>31183</v>
      </c>
      <c r="D10910" t="s">
        <v>30732</v>
      </c>
      <c r="E10910" t="s">
        <v>8524</v>
      </c>
      <c r="F10910" t="s">
        <v>31184</v>
      </c>
      <c r="J10910" t="s">
        <v>8524</v>
      </c>
      <c r="K10910" t="s">
        <v>21600</v>
      </c>
      <c r="L10910" t="s">
        <v>3616</v>
      </c>
    </row>
    <row r="10911" spans="1:12">
      <c r="A10911" t="s">
        <v>30729</v>
      </c>
      <c r="B10911" t="s">
        <v>30730</v>
      </c>
      <c r="C10911" t="s">
        <v>31185</v>
      </c>
      <c r="D10911" t="s">
        <v>30732</v>
      </c>
      <c r="E10911" t="s">
        <v>31186</v>
      </c>
      <c r="F10911" t="s">
        <v>31187</v>
      </c>
    </row>
    <row r="10912" spans="1:12">
      <c r="A10912" t="s">
        <v>30729</v>
      </c>
      <c r="B10912" t="s">
        <v>30730</v>
      </c>
      <c r="C10912" t="s">
        <v>31188</v>
      </c>
      <c r="D10912" t="s">
        <v>30732</v>
      </c>
      <c r="E10912" t="s">
        <v>31189</v>
      </c>
      <c r="F10912" t="s">
        <v>31190</v>
      </c>
    </row>
    <row r="10913" spans="1:12">
      <c r="A10913" t="s">
        <v>30729</v>
      </c>
      <c r="B10913" t="s">
        <v>30730</v>
      </c>
      <c r="C10913" t="s">
        <v>31191</v>
      </c>
      <c r="D10913" t="s">
        <v>30732</v>
      </c>
      <c r="E10913" t="s">
        <v>31192</v>
      </c>
      <c r="F10913" t="s">
        <v>31193</v>
      </c>
      <c r="J10913" t="s">
        <v>31192</v>
      </c>
      <c r="K10913" t="s">
        <v>21600</v>
      </c>
      <c r="L10913" t="s">
        <v>3616</v>
      </c>
    </row>
    <row r="10914" spans="1:12">
      <c r="A10914" t="s">
        <v>30729</v>
      </c>
      <c r="B10914" t="s">
        <v>30730</v>
      </c>
      <c r="C10914" t="s">
        <v>31194</v>
      </c>
      <c r="D10914" t="s">
        <v>30732</v>
      </c>
      <c r="E10914" t="s">
        <v>31195</v>
      </c>
      <c r="F10914" t="s">
        <v>31196</v>
      </c>
      <c r="J10914" t="s">
        <v>31195</v>
      </c>
      <c r="K10914" t="s">
        <v>21600</v>
      </c>
      <c r="L10914" t="s">
        <v>3616</v>
      </c>
    </row>
    <row r="10915" spans="1:12">
      <c r="A10915" t="s">
        <v>30729</v>
      </c>
      <c r="B10915" t="s">
        <v>30730</v>
      </c>
      <c r="C10915" t="s">
        <v>31197</v>
      </c>
      <c r="D10915" t="s">
        <v>30732</v>
      </c>
      <c r="E10915" t="s">
        <v>31198</v>
      </c>
      <c r="F10915" t="s">
        <v>31199</v>
      </c>
      <c r="J10915" t="s">
        <v>31198</v>
      </c>
      <c r="K10915" t="s">
        <v>21600</v>
      </c>
      <c r="L10915" t="s">
        <v>3616</v>
      </c>
    </row>
    <row r="10916" spans="1:12">
      <c r="A10916" t="s">
        <v>30729</v>
      </c>
      <c r="B10916" t="s">
        <v>30730</v>
      </c>
      <c r="C10916" t="s">
        <v>31200</v>
      </c>
      <c r="D10916" t="s">
        <v>30732</v>
      </c>
      <c r="E10916" t="s">
        <v>31201</v>
      </c>
      <c r="F10916" t="s">
        <v>31202</v>
      </c>
      <c r="J10916" t="s">
        <v>31201</v>
      </c>
      <c r="K10916" t="s">
        <v>21600</v>
      </c>
      <c r="L10916" t="s">
        <v>3616</v>
      </c>
    </row>
    <row r="10917" spans="1:12">
      <c r="A10917" t="s">
        <v>30729</v>
      </c>
      <c r="B10917" t="s">
        <v>30730</v>
      </c>
      <c r="C10917" t="s">
        <v>31203</v>
      </c>
      <c r="D10917" t="s">
        <v>30732</v>
      </c>
      <c r="E10917" t="s">
        <v>31204</v>
      </c>
      <c r="F10917" t="s">
        <v>31205</v>
      </c>
      <c r="J10917" t="s">
        <v>31204</v>
      </c>
      <c r="K10917" t="s">
        <v>21600</v>
      </c>
      <c r="L10917" t="s">
        <v>3616</v>
      </c>
    </row>
    <row r="10918" spans="1:12">
      <c r="A10918" t="s">
        <v>30729</v>
      </c>
      <c r="B10918" t="s">
        <v>30730</v>
      </c>
      <c r="C10918" t="s">
        <v>31206</v>
      </c>
      <c r="D10918" t="s">
        <v>30732</v>
      </c>
      <c r="E10918" t="s">
        <v>8530</v>
      </c>
      <c r="F10918" t="s">
        <v>31207</v>
      </c>
      <c r="J10918" t="s">
        <v>8530</v>
      </c>
      <c r="K10918" t="s">
        <v>21600</v>
      </c>
      <c r="L10918" t="s">
        <v>3616</v>
      </c>
    </row>
    <row r="10919" spans="1:12">
      <c r="A10919" t="s">
        <v>30729</v>
      </c>
      <c r="B10919" t="s">
        <v>30730</v>
      </c>
      <c r="C10919" t="s">
        <v>31208</v>
      </c>
      <c r="D10919" t="s">
        <v>30732</v>
      </c>
      <c r="E10919" t="s">
        <v>31209</v>
      </c>
      <c r="F10919" t="s">
        <v>31210</v>
      </c>
      <c r="J10919" t="s">
        <v>31209</v>
      </c>
      <c r="K10919" t="s">
        <v>21600</v>
      </c>
      <c r="L10919" t="s">
        <v>3616</v>
      </c>
    </row>
    <row r="10920" spans="1:12">
      <c r="A10920" t="s">
        <v>30729</v>
      </c>
      <c r="B10920" t="s">
        <v>30730</v>
      </c>
      <c r="C10920" t="s">
        <v>31211</v>
      </c>
      <c r="D10920" t="s">
        <v>30732</v>
      </c>
      <c r="E10920" t="s">
        <v>31212</v>
      </c>
      <c r="F10920" t="s">
        <v>31213</v>
      </c>
      <c r="J10920" t="s">
        <v>31212</v>
      </c>
      <c r="K10920" t="s">
        <v>21600</v>
      </c>
      <c r="L10920" t="s">
        <v>3616</v>
      </c>
    </row>
    <row r="10921" spans="1:12">
      <c r="A10921" t="s">
        <v>30729</v>
      </c>
      <c r="B10921" t="s">
        <v>30730</v>
      </c>
      <c r="C10921" t="s">
        <v>31214</v>
      </c>
      <c r="D10921" t="s">
        <v>30732</v>
      </c>
      <c r="E10921" t="s">
        <v>31215</v>
      </c>
      <c r="F10921" t="s">
        <v>31216</v>
      </c>
      <c r="J10921" t="s">
        <v>31215</v>
      </c>
      <c r="K10921" t="s">
        <v>21600</v>
      </c>
      <c r="L10921" t="s">
        <v>3616</v>
      </c>
    </row>
    <row r="10922" spans="1:12">
      <c r="A10922" t="s">
        <v>30729</v>
      </c>
      <c r="B10922" t="s">
        <v>30730</v>
      </c>
      <c r="C10922" t="s">
        <v>31217</v>
      </c>
      <c r="D10922" t="s">
        <v>30732</v>
      </c>
      <c r="E10922" t="s">
        <v>31218</v>
      </c>
      <c r="F10922" t="s">
        <v>31219</v>
      </c>
      <c r="J10922" t="s">
        <v>31218</v>
      </c>
      <c r="K10922" t="s">
        <v>21600</v>
      </c>
      <c r="L10922" t="s">
        <v>3616</v>
      </c>
    </row>
    <row r="10923" spans="1:12">
      <c r="A10923" t="s">
        <v>30729</v>
      </c>
      <c r="B10923" t="s">
        <v>30730</v>
      </c>
      <c r="C10923" t="s">
        <v>31220</v>
      </c>
      <c r="D10923" t="s">
        <v>30732</v>
      </c>
      <c r="E10923" t="s">
        <v>30605</v>
      </c>
      <c r="F10923" t="s">
        <v>31221</v>
      </c>
      <c r="J10923" t="s">
        <v>30605</v>
      </c>
      <c r="K10923" t="s">
        <v>21600</v>
      </c>
      <c r="L10923" t="s">
        <v>3616</v>
      </c>
    </row>
    <row r="10924" spans="1:12">
      <c r="A10924" t="s">
        <v>30729</v>
      </c>
      <c r="B10924" t="s">
        <v>30730</v>
      </c>
      <c r="C10924" t="s">
        <v>31222</v>
      </c>
      <c r="D10924" t="s">
        <v>30732</v>
      </c>
      <c r="E10924" t="s">
        <v>31223</v>
      </c>
      <c r="F10924" t="s">
        <v>31224</v>
      </c>
      <c r="J10924" t="s">
        <v>31223</v>
      </c>
      <c r="K10924" t="s">
        <v>21600</v>
      </c>
      <c r="L10924" t="s">
        <v>3616</v>
      </c>
    </row>
    <row r="10925" spans="1:12">
      <c r="A10925" t="s">
        <v>30729</v>
      </c>
      <c r="B10925" t="s">
        <v>30730</v>
      </c>
      <c r="C10925" t="s">
        <v>31225</v>
      </c>
      <c r="D10925" t="s">
        <v>30732</v>
      </c>
      <c r="E10925" t="s">
        <v>31226</v>
      </c>
      <c r="F10925" t="s">
        <v>31227</v>
      </c>
      <c r="J10925" t="s">
        <v>31226</v>
      </c>
      <c r="K10925" t="s">
        <v>21600</v>
      </c>
      <c r="L10925" t="s">
        <v>3616</v>
      </c>
    </row>
    <row r="10926" spans="1:12">
      <c r="A10926" t="s">
        <v>30729</v>
      </c>
      <c r="B10926" t="s">
        <v>30730</v>
      </c>
      <c r="C10926" t="s">
        <v>31228</v>
      </c>
      <c r="D10926" t="s">
        <v>30732</v>
      </c>
      <c r="E10926" t="s">
        <v>31229</v>
      </c>
      <c r="F10926" t="s">
        <v>31230</v>
      </c>
      <c r="J10926" t="s">
        <v>31229</v>
      </c>
      <c r="K10926" t="s">
        <v>21600</v>
      </c>
      <c r="L10926" t="s">
        <v>3616</v>
      </c>
    </row>
    <row r="10927" spans="1:12">
      <c r="A10927" t="s">
        <v>30729</v>
      </c>
      <c r="B10927" t="s">
        <v>30730</v>
      </c>
      <c r="C10927" t="s">
        <v>31231</v>
      </c>
      <c r="D10927" t="s">
        <v>30732</v>
      </c>
      <c r="E10927" t="s">
        <v>27091</v>
      </c>
      <c r="F10927" t="s">
        <v>31232</v>
      </c>
      <c r="J10927" t="s">
        <v>27091</v>
      </c>
      <c r="K10927" t="s">
        <v>21600</v>
      </c>
      <c r="L10927" t="s">
        <v>3616</v>
      </c>
    </row>
    <row r="10928" spans="1:12">
      <c r="A10928" t="s">
        <v>30729</v>
      </c>
      <c r="B10928" t="s">
        <v>30730</v>
      </c>
      <c r="C10928" t="s">
        <v>31233</v>
      </c>
      <c r="D10928" t="s">
        <v>30732</v>
      </c>
      <c r="E10928" t="s">
        <v>3342</v>
      </c>
      <c r="F10928" t="s">
        <v>31234</v>
      </c>
      <c r="J10928" t="s">
        <v>3342</v>
      </c>
      <c r="K10928" t="s">
        <v>21600</v>
      </c>
      <c r="L10928" t="s">
        <v>3616</v>
      </c>
    </row>
    <row r="10929" spans="1:12">
      <c r="A10929" t="s">
        <v>30729</v>
      </c>
      <c r="B10929" t="s">
        <v>30730</v>
      </c>
      <c r="C10929" t="s">
        <v>31235</v>
      </c>
      <c r="D10929" t="s">
        <v>30732</v>
      </c>
      <c r="E10929" t="s">
        <v>4888</v>
      </c>
      <c r="F10929" t="s">
        <v>31236</v>
      </c>
      <c r="J10929" t="s">
        <v>4888</v>
      </c>
      <c r="K10929" t="s">
        <v>21600</v>
      </c>
      <c r="L10929" t="s">
        <v>3616</v>
      </c>
    </row>
    <row r="10930" spans="1:12">
      <c r="A10930" t="s">
        <v>30729</v>
      </c>
      <c r="B10930" t="s">
        <v>30730</v>
      </c>
      <c r="C10930" t="s">
        <v>31237</v>
      </c>
      <c r="D10930" t="s">
        <v>30732</v>
      </c>
      <c r="E10930" t="s">
        <v>31238</v>
      </c>
      <c r="F10930" t="s">
        <v>31239</v>
      </c>
      <c r="J10930" t="s">
        <v>31238</v>
      </c>
      <c r="K10930" t="s">
        <v>21600</v>
      </c>
      <c r="L10930" t="s">
        <v>3616</v>
      </c>
    </row>
    <row r="10931" spans="1:12">
      <c r="A10931" t="s">
        <v>30729</v>
      </c>
      <c r="B10931" t="s">
        <v>30730</v>
      </c>
      <c r="C10931" t="s">
        <v>31240</v>
      </c>
      <c r="D10931" t="s">
        <v>30732</v>
      </c>
      <c r="E10931" t="s">
        <v>8548</v>
      </c>
      <c r="F10931" t="s">
        <v>31241</v>
      </c>
      <c r="J10931" t="s">
        <v>8548</v>
      </c>
      <c r="K10931" t="s">
        <v>21600</v>
      </c>
      <c r="L10931" t="s">
        <v>3616</v>
      </c>
    </row>
    <row r="10932" spans="1:12">
      <c r="A10932" t="s">
        <v>30729</v>
      </c>
      <c r="B10932" t="s">
        <v>30730</v>
      </c>
      <c r="C10932" t="s">
        <v>31242</v>
      </c>
      <c r="D10932" t="s">
        <v>30732</v>
      </c>
      <c r="E10932" t="s">
        <v>12344</v>
      </c>
      <c r="F10932" t="s">
        <v>31243</v>
      </c>
      <c r="J10932" t="s">
        <v>12344</v>
      </c>
      <c r="K10932" t="s">
        <v>21600</v>
      </c>
      <c r="L10932" t="s">
        <v>3616</v>
      </c>
    </row>
    <row r="10933" spans="1:12">
      <c r="A10933" t="s">
        <v>30729</v>
      </c>
      <c r="B10933" t="s">
        <v>30730</v>
      </c>
      <c r="C10933" t="s">
        <v>31244</v>
      </c>
      <c r="D10933" t="s">
        <v>30732</v>
      </c>
      <c r="E10933" t="s">
        <v>8561</v>
      </c>
      <c r="F10933" t="s">
        <v>31245</v>
      </c>
      <c r="J10933" t="s">
        <v>8561</v>
      </c>
      <c r="K10933" t="s">
        <v>21600</v>
      </c>
      <c r="L10933" t="s">
        <v>3616</v>
      </c>
    </row>
    <row r="10934" spans="1:12">
      <c r="A10934" t="s">
        <v>30729</v>
      </c>
      <c r="B10934" t="s">
        <v>30730</v>
      </c>
      <c r="C10934" t="s">
        <v>31246</v>
      </c>
      <c r="D10934" t="s">
        <v>30732</v>
      </c>
      <c r="E10934" t="s">
        <v>31247</v>
      </c>
      <c r="F10934" t="s">
        <v>31248</v>
      </c>
      <c r="J10934" t="s">
        <v>31247</v>
      </c>
      <c r="K10934" t="s">
        <v>21600</v>
      </c>
      <c r="L10934" t="s">
        <v>3616</v>
      </c>
    </row>
    <row r="10935" spans="1:12">
      <c r="A10935" t="s">
        <v>30729</v>
      </c>
      <c r="B10935" t="s">
        <v>30730</v>
      </c>
      <c r="C10935" t="s">
        <v>31249</v>
      </c>
      <c r="D10935" t="s">
        <v>30732</v>
      </c>
      <c r="E10935" t="s">
        <v>14017</v>
      </c>
      <c r="F10935" t="s">
        <v>31250</v>
      </c>
      <c r="J10935" t="s">
        <v>14017</v>
      </c>
      <c r="K10935" t="s">
        <v>21600</v>
      </c>
      <c r="L10935" t="s">
        <v>3616</v>
      </c>
    </row>
    <row r="10936" spans="1:12">
      <c r="A10936" t="s">
        <v>30729</v>
      </c>
      <c r="B10936" t="s">
        <v>30730</v>
      </c>
      <c r="C10936" t="s">
        <v>31251</v>
      </c>
      <c r="D10936" t="s">
        <v>30732</v>
      </c>
      <c r="E10936" t="s">
        <v>23533</v>
      </c>
      <c r="F10936" t="s">
        <v>31252</v>
      </c>
      <c r="J10936" t="s">
        <v>23533</v>
      </c>
      <c r="K10936" t="s">
        <v>21600</v>
      </c>
      <c r="L10936" t="s">
        <v>3616</v>
      </c>
    </row>
    <row r="10937" spans="1:12">
      <c r="A10937" t="s">
        <v>30729</v>
      </c>
      <c r="B10937" t="s">
        <v>30730</v>
      </c>
      <c r="C10937" t="s">
        <v>31253</v>
      </c>
      <c r="D10937" t="s">
        <v>30732</v>
      </c>
      <c r="E10937" t="s">
        <v>31254</v>
      </c>
      <c r="F10937" t="s">
        <v>31255</v>
      </c>
      <c r="J10937" t="s">
        <v>31254</v>
      </c>
      <c r="K10937" t="s">
        <v>21600</v>
      </c>
      <c r="L10937" t="s">
        <v>3616</v>
      </c>
    </row>
    <row r="10938" spans="1:12">
      <c r="A10938" t="s">
        <v>30729</v>
      </c>
      <c r="B10938" t="s">
        <v>30730</v>
      </c>
      <c r="C10938" t="s">
        <v>31256</v>
      </c>
      <c r="D10938" t="s">
        <v>30732</v>
      </c>
      <c r="E10938" t="s">
        <v>31257</v>
      </c>
      <c r="F10938" t="s">
        <v>31258</v>
      </c>
      <c r="J10938" t="s">
        <v>31257</v>
      </c>
      <c r="K10938" t="s">
        <v>21600</v>
      </c>
      <c r="L10938" t="s">
        <v>3616</v>
      </c>
    </row>
    <row r="10939" spans="1:12">
      <c r="A10939" t="s">
        <v>30729</v>
      </c>
      <c r="B10939" t="s">
        <v>30730</v>
      </c>
      <c r="C10939" t="s">
        <v>31259</v>
      </c>
      <c r="D10939" t="s">
        <v>30732</v>
      </c>
      <c r="E10939" t="s">
        <v>31260</v>
      </c>
      <c r="F10939" t="s">
        <v>31261</v>
      </c>
      <c r="J10939" t="s">
        <v>31260</v>
      </c>
      <c r="K10939" t="s">
        <v>21600</v>
      </c>
      <c r="L10939" t="s">
        <v>3616</v>
      </c>
    </row>
    <row r="10940" spans="1:12">
      <c r="A10940" t="s">
        <v>30729</v>
      </c>
      <c r="B10940" t="s">
        <v>30730</v>
      </c>
      <c r="C10940" t="s">
        <v>31262</v>
      </c>
      <c r="D10940" t="s">
        <v>30732</v>
      </c>
      <c r="E10940" t="s">
        <v>31263</v>
      </c>
      <c r="F10940" t="s">
        <v>31264</v>
      </c>
      <c r="J10940" t="s">
        <v>31263</v>
      </c>
      <c r="K10940" t="s">
        <v>21600</v>
      </c>
      <c r="L10940" t="s">
        <v>3616</v>
      </c>
    </row>
    <row r="10941" spans="1:12">
      <c r="A10941" t="s">
        <v>30729</v>
      </c>
      <c r="B10941" t="s">
        <v>30730</v>
      </c>
      <c r="C10941" t="s">
        <v>31265</v>
      </c>
      <c r="D10941" t="s">
        <v>30732</v>
      </c>
      <c r="E10941" t="s">
        <v>31266</v>
      </c>
      <c r="F10941" t="s">
        <v>31267</v>
      </c>
      <c r="J10941" t="s">
        <v>31266</v>
      </c>
      <c r="K10941" t="s">
        <v>21600</v>
      </c>
      <c r="L10941" t="s">
        <v>3616</v>
      </c>
    </row>
    <row r="10942" spans="1:12">
      <c r="A10942" t="s">
        <v>30729</v>
      </c>
      <c r="B10942" t="s">
        <v>30730</v>
      </c>
      <c r="C10942" t="s">
        <v>31268</v>
      </c>
      <c r="D10942" t="s">
        <v>30732</v>
      </c>
      <c r="E10942" t="s">
        <v>31269</v>
      </c>
      <c r="F10942" t="s">
        <v>31270</v>
      </c>
      <c r="J10942" t="s">
        <v>31269</v>
      </c>
      <c r="K10942" t="s">
        <v>21600</v>
      </c>
      <c r="L10942" t="s">
        <v>3616</v>
      </c>
    </row>
    <row r="10943" spans="1:12">
      <c r="A10943" t="s">
        <v>30729</v>
      </c>
      <c r="B10943" t="s">
        <v>30730</v>
      </c>
      <c r="C10943" t="s">
        <v>31271</v>
      </c>
      <c r="D10943" t="s">
        <v>30732</v>
      </c>
      <c r="E10943" t="s">
        <v>25153</v>
      </c>
      <c r="F10943" t="s">
        <v>31272</v>
      </c>
      <c r="J10943" t="s">
        <v>25153</v>
      </c>
      <c r="K10943" t="s">
        <v>21600</v>
      </c>
      <c r="L10943" t="s">
        <v>3616</v>
      </c>
    </row>
    <row r="10944" spans="1:12">
      <c r="A10944" t="s">
        <v>30729</v>
      </c>
      <c r="B10944" t="s">
        <v>30730</v>
      </c>
      <c r="C10944" t="s">
        <v>31273</v>
      </c>
      <c r="D10944" t="s">
        <v>30732</v>
      </c>
      <c r="E10944" t="s">
        <v>8569</v>
      </c>
      <c r="F10944" t="s">
        <v>31274</v>
      </c>
      <c r="J10944" t="s">
        <v>8569</v>
      </c>
      <c r="K10944" t="s">
        <v>21600</v>
      </c>
      <c r="L10944" t="s">
        <v>3616</v>
      </c>
    </row>
    <row r="10945" spans="1:12">
      <c r="A10945" t="s">
        <v>30729</v>
      </c>
      <c r="B10945" t="s">
        <v>30730</v>
      </c>
      <c r="C10945" t="s">
        <v>31275</v>
      </c>
      <c r="D10945" t="s">
        <v>30732</v>
      </c>
      <c r="E10945" t="s">
        <v>31276</v>
      </c>
      <c r="F10945" t="s">
        <v>31277</v>
      </c>
    </row>
    <row r="10946" spans="1:12">
      <c r="A10946" t="s">
        <v>30729</v>
      </c>
      <c r="B10946" t="s">
        <v>30730</v>
      </c>
      <c r="C10946" t="s">
        <v>31278</v>
      </c>
      <c r="D10946" t="s">
        <v>30732</v>
      </c>
      <c r="E10946" t="s">
        <v>31279</v>
      </c>
      <c r="F10946" t="s">
        <v>31280</v>
      </c>
      <c r="J10946" t="s">
        <v>31279</v>
      </c>
      <c r="K10946" t="s">
        <v>21600</v>
      </c>
      <c r="L10946" t="s">
        <v>3616</v>
      </c>
    </row>
    <row r="10947" spans="1:12">
      <c r="A10947" t="s">
        <v>30729</v>
      </c>
      <c r="B10947" t="s">
        <v>30730</v>
      </c>
      <c r="C10947" t="s">
        <v>31281</v>
      </c>
      <c r="D10947" t="s">
        <v>30732</v>
      </c>
      <c r="E10947" t="s">
        <v>31282</v>
      </c>
      <c r="F10947" t="s">
        <v>31283</v>
      </c>
    </row>
    <row r="10948" spans="1:12">
      <c r="A10948" t="s">
        <v>30729</v>
      </c>
      <c r="B10948" t="s">
        <v>30730</v>
      </c>
      <c r="C10948" t="s">
        <v>31284</v>
      </c>
      <c r="D10948" t="s">
        <v>30732</v>
      </c>
      <c r="E10948" t="s">
        <v>31285</v>
      </c>
      <c r="F10948" t="s">
        <v>31286</v>
      </c>
      <c r="J10948" t="s">
        <v>31285</v>
      </c>
      <c r="K10948" t="s">
        <v>21600</v>
      </c>
      <c r="L10948" t="s">
        <v>3616</v>
      </c>
    </row>
    <row r="10949" spans="1:12">
      <c r="A10949" t="s">
        <v>30729</v>
      </c>
      <c r="B10949" t="s">
        <v>30730</v>
      </c>
      <c r="C10949" t="s">
        <v>31287</v>
      </c>
      <c r="D10949" t="s">
        <v>30732</v>
      </c>
      <c r="E10949" t="s">
        <v>31288</v>
      </c>
      <c r="F10949" t="s">
        <v>31289</v>
      </c>
      <c r="J10949" t="s">
        <v>31288</v>
      </c>
      <c r="K10949" t="s">
        <v>21600</v>
      </c>
      <c r="L10949" t="s">
        <v>3616</v>
      </c>
    </row>
    <row r="10950" spans="1:12">
      <c r="A10950" t="s">
        <v>30729</v>
      </c>
      <c r="B10950" t="s">
        <v>30730</v>
      </c>
      <c r="C10950" t="s">
        <v>31290</v>
      </c>
      <c r="D10950" t="s">
        <v>30732</v>
      </c>
      <c r="E10950" t="s">
        <v>31291</v>
      </c>
      <c r="F10950" t="s">
        <v>31292</v>
      </c>
      <c r="J10950" t="s">
        <v>31291</v>
      </c>
      <c r="K10950" t="s">
        <v>21600</v>
      </c>
      <c r="L10950" t="s">
        <v>3616</v>
      </c>
    </row>
    <row r="10951" spans="1:12">
      <c r="A10951" t="s">
        <v>30729</v>
      </c>
      <c r="B10951" t="s">
        <v>30730</v>
      </c>
      <c r="C10951" t="s">
        <v>31293</v>
      </c>
      <c r="D10951" t="s">
        <v>30732</v>
      </c>
      <c r="E10951" t="s">
        <v>27099</v>
      </c>
      <c r="F10951" t="s">
        <v>31294</v>
      </c>
    </row>
    <row r="10952" spans="1:12">
      <c r="A10952" t="s">
        <v>30729</v>
      </c>
      <c r="B10952" t="s">
        <v>30730</v>
      </c>
      <c r="C10952" t="s">
        <v>31295</v>
      </c>
      <c r="D10952" t="s">
        <v>30732</v>
      </c>
      <c r="E10952" t="s">
        <v>31296</v>
      </c>
      <c r="F10952" t="s">
        <v>31297</v>
      </c>
      <c r="J10952" t="s">
        <v>31296</v>
      </c>
      <c r="K10952" t="s">
        <v>21600</v>
      </c>
      <c r="L10952" t="s">
        <v>3616</v>
      </c>
    </row>
    <row r="10953" spans="1:12">
      <c r="A10953" t="s">
        <v>30729</v>
      </c>
      <c r="B10953" t="s">
        <v>30730</v>
      </c>
      <c r="C10953" t="s">
        <v>31298</v>
      </c>
      <c r="D10953" t="s">
        <v>30732</v>
      </c>
      <c r="E10953" t="s">
        <v>31299</v>
      </c>
      <c r="F10953" t="s">
        <v>31300</v>
      </c>
      <c r="J10953" t="s">
        <v>31299</v>
      </c>
      <c r="K10953" t="s">
        <v>21600</v>
      </c>
      <c r="L10953" t="s">
        <v>3616</v>
      </c>
    </row>
    <row r="10954" spans="1:12">
      <c r="A10954" t="s">
        <v>30729</v>
      </c>
      <c r="B10954" t="s">
        <v>30730</v>
      </c>
      <c r="C10954" t="s">
        <v>31301</v>
      </c>
      <c r="D10954" t="s">
        <v>30732</v>
      </c>
      <c r="E10954" t="s">
        <v>24182</v>
      </c>
      <c r="F10954" t="s">
        <v>31302</v>
      </c>
      <c r="J10954" t="s">
        <v>24182</v>
      </c>
      <c r="K10954" t="s">
        <v>21600</v>
      </c>
      <c r="L10954" t="s">
        <v>3616</v>
      </c>
    </row>
    <row r="10955" spans="1:12">
      <c r="A10955" t="s">
        <v>30729</v>
      </c>
      <c r="B10955" t="s">
        <v>30730</v>
      </c>
      <c r="C10955" t="s">
        <v>31303</v>
      </c>
      <c r="D10955" t="s">
        <v>30732</v>
      </c>
      <c r="E10955" t="s">
        <v>31304</v>
      </c>
      <c r="F10955" t="s">
        <v>31305</v>
      </c>
      <c r="J10955" t="s">
        <v>31304</v>
      </c>
      <c r="K10955" t="s">
        <v>21600</v>
      </c>
      <c r="L10955" t="s">
        <v>3616</v>
      </c>
    </row>
    <row r="10956" spans="1:12">
      <c r="A10956" t="s">
        <v>30729</v>
      </c>
      <c r="B10956" t="s">
        <v>30730</v>
      </c>
      <c r="C10956" t="s">
        <v>31306</v>
      </c>
      <c r="D10956" t="s">
        <v>30732</v>
      </c>
      <c r="E10956" t="s">
        <v>25637</v>
      </c>
      <c r="F10956" t="s">
        <v>31307</v>
      </c>
      <c r="J10956" t="s">
        <v>25637</v>
      </c>
      <c r="K10956" t="s">
        <v>21600</v>
      </c>
      <c r="L10956" t="s">
        <v>3616</v>
      </c>
    </row>
    <row r="10957" spans="1:12">
      <c r="A10957" t="s">
        <v>30729</v>
      </c>
      <c r="B10957" t="s">
        <v>30730</v>
      </c>
      <c r="C10957" t="s">
        <v>31308</v>
      </c>
      <c r="D10957" t="s">
        <v>30732</v>
      </c>
      <c r="E10957" t="s">
        <v>14202</v>
      </c>
      <c r="F10957" t="s">
        <v>31309</v>
      </c>
      <c r="J10957" t="s">
        <v>14202</v>
      </c>
      <c r="K10957" t="s">
        <v>21600</v>
      </c>
      <c r="L10957" t="s">
        <v>3616</v>
      </c>
    </row>
    <row r="10958" spans="1:12">
      <c r="A10958" t="s">
        <v>30729</v>
      </c>
      <c r="B10958" t="s">
        <v>30730</v>
      </c>
      <c r="C10958" t="s">
        <v>31310</v>
      </c>
      <c r="D10958" t="s">
        <v>30732</v>
      </c>
      <c r="E10958" t="s">
        <v>14205</v>
      </c>
      <c r="F10958" t="s">
        <v>31311</v>
      </c>
      <c r="J10958" t="s">
        <v>14205</v>
      </c>
      <c r="K10958" t="s">
        <v>21600</v>
      </c>
      <c r="L10958" t="s">
        <v>3616</v>
      </c>
    </row>
    <row r="10959" spans="1:12">
      <c r="A10959" t="s">
        <v>30729</v>
      </c>
      <c r="B10959" t="s">
        <v>30730</v>
      </c>
      <c r="C10959" t="s">
        <v>31312</v>
      </c>
      <c r="D10959" t="s">
        <v>30732</v>
      </c>
      <c r="E10959" t="s">
        <v>31313</v>
      </c>
      <c r="F10959" t="s">
        <v>31314</v>
      </c>
      <c r="J10959" t="s">
        <v>31313</v>
      </c>
      <c r="K10959" t="s">
        <v>21600</v>
      </c>
      <c r="L10959" t="s">
        <v>3616</v>
      </c>
    </row>
    <row r="10960" spans="1:12">
      <c r="A10960" t="s">
        <v>30729</v>
      </c>
      <c r="B10960" t="s">
        <v>30730</v>
      </c>
      <c r="C10960" t="s">
        <v>31315</v>
      </c>
      <c r="D10960" t="s">
        <v>30732</v>
      </c>
      <c r="E10960" t="s">
        <v>31316</v>
      </c>
      <c r="F10960" t="s">
        <v>31317</v>
      </c>
      <c r="J10960" t="s">
        <v>31316</v>
      </c>
      <c r="K10960" t="s">
        <v>21600</v>
      </c>
      <c r="L10960" t="s">
        <v>3616</v>
      </c>
    </row>
    <row r="10961" spans="1:12">
      <c r="A10961" t="s">
        <v>30729</v>
      </c>
      <c r="B10961" t="s">
        <v>30730</v>
      </c>
      <c r="C10961" t="s">
        <v>31318</v>
      </c>
      <c r="D10961" t="s">
        <v>30732</v>
      </c>
      <c r="E10961" t="s">
        <v>31319</v>
      </c>
      <c r="F10961" t="s">
        <v>31320</v>
      </c>
      <c r="J10961" t="s">
        <v>31319</v>
      </c>
      <c r="K10961" t="s">
        <v>21600</v>
      </c>
      <c r="L10961" t="s">
        <v>3616</v>
      </c>
    </row>
    <row r="10962" spans="1:12">
      <c r="A10962" t="s">
        <v>30729</v>
      </c>
      <c r="B10962" t="s">
        <v>30730</v>
      </c>
      <c r="C10962" t="s">
        <v>31321</v>
      </c>
      <c r="D10962" t="s">
        <v>30732</v>
      </c>
      <c r="E10962" t="s">
        <v>31322</v>
      </c>
      <c r="F10962" t="s">
        <v>31323</v>
      </c>
      <c r="J10962" t="s">
        <v>31322</v>
      </c>
      <c r="K10962" t="s">
        <v>21600</v>
      </c>
      <c r="L10962" t="s">
        <v>3616</v>
      </c>
    </row>
    <row r="10963" spans="1:12">
      <c r="A10963" t="s">
        <v>30729</v>
      </c>
      <c r="B10963" t="s">
        <v>30730</v>
      </c>
      <c r="C10963" t="s">
        <v>31324</v>
      </c>
      <c r="D10963" t="s">
        <v>30732</v>
      </c>
      <c r="E10963" t="s">
        <v>31325</v>
      </c>
      <c r="F10963" t="s">
        <v>31326</v>
      </c>
    </row>
    <row r="10964" spans="1:12">
      <c r="A10964" t="s">
        <v>30729</v>
      </c>
      <c r="B10964" t="s">
        <v>30730</v>
      </c>
      <c r="C10964" t="s">
        <v>31327</v>
      </c>
      <c r="D10964" t="s">
        <v>30732</v>
      </c>
      <c r="E10964" t="s">
        <v>31328</v>
      </c>
      <c r="F10964" t="s">
        <v>31329</v>
      </c>
      <c r="J10964" t="s">
        <v>31328</v>
      </c>
      <c r="K10964" t="s">
        <v>21600</v>
      </c>
      <c r="L10964" t="s">
        <v>3616</v>
      </c>
    </row>
    <row r="10965" spans="1:12">
      <c r="A10965" t="s">
        <v>30729</v>
      </c>
      <c r="B10965" t="s">
        <v>30730</v>
      </c>
      <c r="C10965" t="s">
        <v>31330</v>
      </c>
      <c r="D10965" t="s">
        <v>30732</v>
      </c>
      <c r="E10965" t="s">
        <v>31331</v>
      </c>
      <c r="F10965" t="s">
        <v>31332</v>
      </c>
      <c r="J10965" t="s">
        <v>31331</v>
      </c>
      <c r="K10965" t="s">
        <v>21600</v>
      </c>
      <c r="L10965" t="s">
        <v>3616</v>
      </c>
    </row>
    <row r="10966" spans="1:12">
      <c r="A10966" t="s">
        <v>30729</v>
      </c>
      <c r="B10966" t="s">
        <v>30730</v>
      </c>
      <c r="C10966" t="s">
        <v>31333</v>
      </c>
      <c r="D10966" t="s">
        <v>30732</v>
      </c>
      <c r="E10966" t="s">
        <v>8594</v>
      </c>
      <c r="F10966" t="s">
        <v>31334</v>
      </c>
      <c r="J10966" t="s">
        <v>8594</v>
      </c>
      <c r="K10966" t="s">
        <v>21600</v>
      </c>
      <c r="L10966" t="s">
        <v>3616</v>
      </c>
    </row>
    <row r="10967" spans="1:12">
      <c r="A10967" t="s">
        <v>30729</v>
      </c>
      <c r="B10967" t="s">
        <v>30730</v>
      </c>
      <c r="C10967" t="s">
        <v>31335</v>
      </c>
      <c r="D10967" t="s">
        <v>30732</v>
      </c>
      <c r="E10967" t="s">
        <v>6366</v>
      </c>
      <c r="F10967" t="s">
        <v>31336</v>
      </c>
    </row>
    <row r="10968" spans="1:12">
      <c r="A10968" t="s">
        <v>30729</v>
      </c>
      <c r="B10968" t="s">
        <v>30730</v>
      </c>
      <c r="C10968" t="s">
        <v>31337</v>
      </c>
      <c r="D10968" t="s">
        <v>30732</v>
      </c>
      <c r="E10968" t="s">
        <v>31338</v>
      </c>
      <c r="F10968" t="s">
        <v>31339</v>
      </c>
      <c r="J10968" t="s">
        <v>31338</v>
      </c>
      <c r="K10968" t="s">
        <v>21600</v>
      </c>
      <c r="L10968" t="s">
        <v>3616</v>
      </c>
    </row>
    <row r="10969" spans="1:12">
      <c r="A10969" t="s">
        <v>30729</v>
      </c>
      <c r="B10969" t="s">
        <v>30730</v>
      </c>
      <c r="C10969" t="s">
        <v>31340</v>
      </c>
      <c r="D10969" t="s">
        <v>30732</v>
      </c>
      <c r="E10969" t="s">
        <v>12360</v>
      </c>
      <c r="F10969" t="s">
        <v>31341</v>
      </c>
      <c r="J10969" t="s">
        <v>12360</v>
      </c>
      <c r="K10969" t="s">
        <v>21600</v>
      </c>
      <c r="L10969" t="s">
        <v>3616</v>
      </c>
    </row>
    <row r="10970" spans="1:12">
      <c r="A10970" t="s">
        <v>30729</v>
      </c>
      <c r="B10970" t="s">
        <v>30730</v>
      </c>
      <c r="C10970" t="s">
        <v>31342</v>
      </c>
      <c r="D10970" t="s">
        <v>30732</v>
      </c>
      <c r="E10970" t="s">
        <v>12363</v>
      </c>
      <c r="F10970" t="s">
        <v>31343</v>
      </c>
      <c r="J10970" t="s">
        <v>12363</v>
      </c>
      <c r="K10970" t="s">
        <v>21600</v>
      </c>
      <c r="L10970" t="s">
        <v>3616</v>
      </c>
    </row>
    <row r="10971" spans="1:12">
      <c r="A10971" t="s">
        <v>30729</v>
      </c>
      <c r="B10971" t="s">
        <v>30730</v>
      </c>
      <c r="C10971" t="s">
        <v>31344</v>
      </c>
      <c r="D10971" t="s">
        <v>30732</v>
      </c>
      <c r="E10971" t="s">
        <v>29931</v>
      </c>
      <c r="F10971" t="s">
        <v>31345</v>
      </c>
      <c r="J10971" t="s">
        <v>29931</v>
      </c>
      <c r="K10971" t="s">
        <v>21600</v>
      </c>
      <c r="L10971" t="s">
        <v>3616</v>
      </c>
    </row>
    <row r="10972" spans="1:12">
      <c r="A10972" t="s">
        <v>30729</v>
      </c>
      <c r="B10972" t="s">
        <v>30730</v>
      </c>
      <c r="C10972" t="s">
        <v>31346</v>
      </c>
      <c r="D10972" t="s">
        <v>30732</v>
      </c>
      <c r="E10972" t="s">
        <v>31347</v>
      </c>
      <c r="F10972" t="s">
        <v>31348</v>
      </c>
      <c r="J10972" t="s">
        <v>31347</v>
      </c>
      <c r="K10972" t="s">
        <v>21600</v>
      </c>
      <c r="L10972" t="s">
        <v>3616</v>
      </c>
    </row>
    <row r="10973" spans="1:12">
      <c r="A10973" t="s">
        <v>30729</v>
      </c>
      <c r="B10973" t="s">
        <v>30730</v>
      </c>
      <c r="C10973" t="s">
        <v>31349</v>
      </c>
      <c r="D10973" t="s">
        <v>30732</v>
      </c>
      <c r="E10973" t="s">
        <v>6369</v>
      </c>
      <c r="F10973" t="s">
        <v>31350</v>
      </c>
      <c r="J10973" t="s">
        <v>6369</v>
      </c>
      <c r="K10973" t="s">
        <v>21600</v>
      </c>
      <c r="L10973" t="s">
        <v>3616</v>
      </c>
    </row>
    <row r="10974" spans="1:12">
      <c r="A10974" t="s">
        <v>30729</v>
      </c>
      <c r="B10974" t="s">
        <v>30730</v>
      </c>
      <c r="C10974" t="s">
        <v>31351</v>
      </c>
      <c r="D10974" t="s">
        <v>30732</v>
      </c>
      <c r="E10974" t="s">
        <v>31352</v>
      </c>
      <c r="F10974" t="s">
        <v>31353</v>
      </c>
      <c r="J10974" t="s">
        <v>31352</v>
      </c>
      <c r="K10974" t="s">
        <v>21600</v>
      </c>
      <c r="L10974" t="s">
        <v>3616</v>
      </c>
    </row>
    <row r="10975" spans="1:12">
      <c r="A10975" t="s">
        <v>30729</v>
      </c>
      <c r="B10975" t="s">
        <v>30730</v>
      </c>
      <c r="C10975" t="s">
        <v>31354</v>
      </c>
      <c r="D10975" t="s">
        <v>30732</v>
      </c>
      <c r="E10975" t="s">
        <v>31355</v>
      </c>
      <c r="F10975" t="s">
        <v>31356</v>
      </c>
      <c r="J10975" t="s">
        <v>31355</v>
      </c>
      <c r="K10975" t="s">
        <v>21600</v>
      </c>
      <c r="L10975" t="s">
        <v>3616</v>
      </c>
    </row>
    <row r="10976" spans="1:12">
      <c r="A10976" t="s">
        <v>30729</v>
      </c>
      <c r="B10976" t="s">
        <v>30730</v>
      </c>
      <c r="C10976" t="s">
        <v>31357</v>
      </c>
      <c r="D10976" t="s">
        <v>30732</v>
      </c>
      <c r="E10976" t="s">
        <v>8604</v>
      </c>
      <c r="F10976" t="s">
        <v>31358</v>
      </c>
      <c r="J10976" t="s">
        <v>8604</v>
      </c>
      <c r="K10976" t="s">
        <v>21600</v>
      </c>
      <c r="L10976" t="s">
        <v>3616</v>
      </c>
    </row>
    <row r="10977" spans="1:12">
      <c r="A10977" t="s">
        <v>30729</v>
      </c>
      <c r="B10977" t="s">
        <v>30730</v>
      </c>
      <c r="C10977" t="s">
        <v>31359</v>
      </c>
      <c r="D10977" t="s">
        <v>30732</v>
      </c>
      <c r="E10977" t="s">
        <v>10300</v>
      </c>
      <c r="F10977" t="s">
        <v>31360</v>
      </c>
      <c r="J10977" t="s">
        <v>10300</v>
      </c>
      <c r="K10977" t="s">
        <v>21600</v>
      </c>
      <c r="L10977" t="s">
        <v>3616</v>
      </c>
    </row>
    <row r="10978" spans="1:12">
      <c r="A10978" t="s">
        <v>30729</v>
      </c>
      <c r="B10978" t="s">
        <v>30730</v>
      </c>
      <c r="C10978" t="s">
        <v>31361</v>
      </c>
      <c r="D10978" t="s">
        <v>30732</v>
      </c>
      <c r="E10978" t="s">
        <v>12375</v>
      </c>
      <c r="F10978" t="s">
        <v>31362</v>
      </c>
      <c r="J10978" t="s">
        <v>12375</v>
      </c>
      <c r="K10978" t="s">
        <v>21600</v>
      </c>
      <c r="L10978" t="s">
        <v>3616</v>
      </c>
    </row>
    <row r="10979" spans="1:12">
      <c r="A10979" t="s">
        <v>30729</v>
      </c>
      <c r="B10979" t="s">
        <v>30730</v>
      </c>
      <c r="C10979" t="s">
        <v>31363</v>
      </c>
      <c r="D10979" t="s">
        <v>30732</v>
      </c>
      <c r="E10979" t="s">
        <v>3383</v>
      </c>
      <c r="F10979" t="s">
        <v>31364</v>
      </c>
    </row>
    <row r="10980" spans="1:12">
      <c r="A10980" t="s">
        <v>30729</v>
      </c>
      <c r="B10980" t="s">
        <v>30730</v>
      </c>
      <c r="C10980" t="s">
        <v>31365</v>
      </c>
      <c r="D10980" t="s">
        <v>30732</v>
      </c>
      <c r="E10980" t="s">
        <v>31366</v>
      </c>
      <c r="F10980" t="s">
        <v>31367</v>
      </c>
      <c r="J10980" t="s">
        <v>31366</v>
      </c>
      <c r="K10980" t="s">
        <v>21600</v>
      </c>
      <c r="L10980" t="s">
        <v>3616</v>
      </c>
    </row>
    <row r="10981" spans="1:12">
      <c r="A10981" t="s">
        <v>30729</v>
      </c>
      <c r="B10981" t="s">
        <v>30730</v>
      </c>
      <c r="C10981" t="s">
        <v>31368</v>
      </c>
      <c r="D10981" t="s">
        <v>30732</v>
      </c>
      <c r="E10981" t="s">
        <v>31369</v>
      </c>
      <c r="F10981" t="s">
        <v>31370</v>
      </c>
      <c r="J10981" t="s">
        <v>31369</v>
      </c>
      <c r="K10981" t="s">
        <v>21600</v>
      </c>
      <c r="L10981" t="s">
        <v>3616</v>
      </c>
    </row>
    <row r="10982" spans="1:12">
      <c r="A10982" t="s">
        <v>30729</v>
      </c>
      <c r="B10982" t="s">
        <v>30730</v>
      </c>
      <c r="C10982" t="s">
        <v>31371</v>
      </c>
      <c r="D10982" t="s">
        <v>30732</v>
      </c>
      <c r="E10982" t="s">
        <v>1618</v>
      </c>
      <c r="F10982" t="s">
        <v>31372</v>
      </c>
    </row>
    <row r="10983" spans="1:12">
      <c r="A10983" t="s">
        <v>30729</v>
      </c>
      <c r="B10983" t="s">
        <v>30730</v>
      </c>
      <c r="C10983" t="s">
        <v>31373</v>
      </c>
      <c r="D10983" t="s">
        <v>30732</v>
      </c>
      <c r="E10983" t="s">
        <v>3864</v>
      </c>
      <c r="F10983" t="s">
        <v>31374</v>
      </c>
    </row>
    <row r="10984" spans="1:12">
      <c r="A10984" t="s">
        <v>30729</v>
      </c>
      <c r="B10984" t="s">
        <v>30730</v>
      </c>
      <c r="C10984" t="s">
        <v>31375</v>
      </c>
      <c r="D10984" t="s">
        <v>30732</v>
      </c>
      <c r="E10984" t="s">
        <v>8629</v>
      </c>
      <c r="F10984" t="s">
        <v>31376</v>
      </c>
      <c r="J10984" t="s">
        <v>8629</v>
      </c>
      <c r="K10984" t="s">
        <v>21600</v>
      </c>
      <c r="L10984" t="s">
        <v>3616</v>
      </c>
    </row>
    <row r="10985" spans="1:12">
      <c r="A10985" t="s">
        <v>30729</v>
      </c>
      <c r="B10985" t="s">
        <v>30730</v>
      </c>
      <c r="C10985" t="s">
        <v>31377</v>
      </c>
      <c r="D10985" t="s">
        <v>30732</v>
      </c>
      <c r="E10985" t="s">
        <v>8634</v>
      </c>
      <c r="F10985" t="s">
        <v>31378</v>
      </c>
      <c r="J10985" t="s">
        <v>8634</v>
      </c>
      <c r="K10985" t="s">
        <v>21600</v>
      </c>
      <c r="L10985" t="s">
        <v>3616</v>
      </c>
    </row>
    <row r="10986" spans="1:12">
      <c r="A10986" t="s">
        <v>30729</v>
      </c>
      <c r="B10986" t="s">
        <v>30730</v>
      </c>
      <c r="C10986" t="s">
        <v>31379</v>
      </c>
      <c r="D10986" t="s">
        <v>30732</v>
      </c>
      <c r="E10986" t="s">
        <v>12378</v>
      </c>
      <c r="F10986" t="s">
        <v>31380</v>
      </c>
      <c r="J10986" t="s">
        <v>12378</v>
      </c>
      <c r="K10986" t="s">
        <v>21600</v>
      </c>
      <c r="L10986" t="s">
        <v>3616</v>
      </c>
    </row>
    <row r="10987" spans="1:12">
      <c r="A10987" t="s">
        <v>30729</v>
      </c>
      <c r="B10987" t="s">
        <v>30730</v>
      </c>
      <c r="C10987" t="s">
        <v>31381</v>
      </c>
      <c r="D10987" t="s">
        <v>30732</v>
      </c>
      <c r="E10987" t="s">
        <v>11236</v>
      </c>
      <c r="F10987" t="s">
        <v>31382</v>
      </c>
      <c r="J10987" t="s">
        <v>11236</v>
      </c>
      <c r="K10987" t="s">
        <v>21600</v>
      </c>
      <c r="L10987" t="s">
        <v>3616</v>
      </c>
    </row>
    <row r="10988" spans="1:12">
      <c r="A10988" t="s">
        <v>30729</v>
      </c>
      <c r="B10988" t="s">
        <v>30730</v>
      </c>
      <c r="C10988" t="s">
        <v>31383</v>
      </c>
      <c r="D10988" t="s">
        <v>30732</v>
      </c>
      <c r="E10988" t="s">
        <v>12384</v>
      </c>
      <c r="F10988" t="s">
        <v>31384</v>
      </c>
    </row>
    <row r="10989" spans="1:12">
      <c r="A10989" t="s">
        <v>30729</v>
      </c>
      <c r="B10989" t="s">
        <v>30730</v>
      </c>
      <c r="C10989" t="s">
        <v>31385</v>
      </c>
      <c r="D10989" t="s">
        <v>30732</v>
      </c>
      <c r="E10989" t="s">
        <v>12391</v>
      </c>
      <c r="F10989" t="s">
        <v>31386</v>
      </c>
      <c r="J10989" t="s">
        <v>12391</v>
      </c>
      <c r="K10989" t="s">
        <v>21600</v>
      </c>
      <c r="L10989" t="s">
        <v>3616</v>
      </c>
    </row>
    <row r="10990" spans="1:12">
      <c r="A10990" t="s">
        <v>30729</v>
      </c>
      <c r="B10990" t="s">
        <v>30730</v>
      </c>
      <c r="C10990" t="s">
        <v>31387</v>
      </c>
      <c r="D10990" t="s">
        <v>30732</v>
      </c>
      <c r="E10990" t="s">
        <v>31388</v>
      </c>
      <c r="F10990" t="s">
        <v>31389</v>
      </c>
      <c r="J10990" t="s">
        <v>31388</v>
      </c>
      <c r="K10990" t="s">
        <v>21600</v>
      </c>
      <c r="L10990" t="s">
        <v>3616</v>
      </c>
    </row>
    <row r="10991" spans="1:12">
      <c r="A10991" t="s">
        <v>30729</v>
      </c>
      <c r="B10991" t="s">
        <v>30730</v>
      </c>
      <c r="C10991" t="s">
        <v>31390</v>
      </c>
      <c r="D10991" t="s">
        <v>30732</v>
      </c>
      <c r="E10991" t="s">
        <v>10600</v>
      </c>
      <c r="F10991" t="s">
        <v>31391</v>
      </c>
      <c r="J10991" t="s">
        <v>10600</v>
      </c>
      <c r="K10991" t="s">
        <v>21600</v>
      </c>
      <c r="L10991" t="s">
        <v>3616</v>
      </c>
    </row>
    <row r="10992" spans="1:12">
      <c r="A10992" t="s">
        <v>30729</v>
      </c>
      <c r="B10992" t="s">
        <v>30730</v>
      </c>
      <c r="C10992" t="s">
        <v>31392</v>
      </c>
      <c r="D10992" t="s">
        <v>30732</v>
      </c>
      <c r="E10992" t="s">
        <v>31393</v>
      </c>
      <c r="F10992" t="s">
        <v>31394</v>
      </c>
      <c r="J10992" t="s">
        <v>31393</v>
      </c>
      <c r="K10992" t="s">
        <v>21600</v>
      </c>
      <c r="L10992" t="s">
        <v>3616</v>
      </c>
    </row>
    <row r="10993" spans="1:12">
      <c r="A10993" t="s">
        <v>30729</v>
      </c>
      <c r="B10993" t="s">
        <v>30730</v>
      </c>
      <c r="C10993" t="s">
        <v>31395</v>
      </c>
      <c r="D10993" t="s">
        <v>30732</v>
      </c>
      <c r="E10993" t="s">
        <v>26359</v>
      </c>
      <c r="F10993" t="s">
        <v>31396</v>
      </c>
    </row>
    <row r="10994" spans="1:12">
      <c r="A10994" t="s">
        <v>30729</v>
      </c>
      <c r="B10994" t="s">
        <v>30730</v>
      </c>
      <c r="C10994" t="s">
        <v>31397</v>
      </c>
      <c r="D10994" t="s">
        <v>30732</v>
      </c>
      <c r="E10994" t="s">
        <v>31398</v>
      </c>
      <c r="F10994" t="s">
        <v>31399</v>
      </c>
      <c r="J10994" t="s">
        <v>31398</v>
      </c>
      <c r="K10994" t="s">
        <v>21600</v>
      </c>
      <c r="L10994" t="s">
        <v>3616</v>
      </c>
    </row>
    <row r="10995" spans="1:12">
      <c r="A10995" t="s">
        <v>30729</v>
      </c>
      <c r="B10995" t="s">
        <v>30730</v>
      </c>
      <c r="C10995" t="s">
        <v>31400</v>
      </c>
      <c r="D10995" t="s">
        <v>30732</v>
      </c>
      <c r="E10995" t="s">
        <v>31401</v>
      </c>
      <c r="F10995" t="s">
        <v>31402</v>
      </c>
      <c r="J10995" t="s">
        <v>31401</v>
      </c>
      <c r="K10995" t="s">
        <v>21600</v>
      </c>
      <c r="L10995" t="s">
        <v>3616</v>
      </c>
    </row>
    <row r="10996" spans="1:12">
      <c r="A10996" t="s">
        <v>30729</v>
      </c>
      <c r="B10996" t="s">
        <v>30730</v>
      </c>
      <c r="C10996" t="s">
        <v>31403</v>
      </c>
      <c r="D10996" t="s">
        <v>30732</v>
      </c>
      <c r="E10996" t="s">
        <v>22900</v>
      </c>
      <c r="F10996" t="s">
        <v>31404</v>
      </c>
    </row>
    <row r="10997" spans="1:12">
      <c r="A10997" t="s">
        <v>30729</v>
      </c>
      <c r="B10997" t="s">
        <v>30730</v>
      </c>
      <c r="C10997" t="s">
        <v>31405</v>
      </c>
      <c r="D10997" t="s">
        <v>30732</v>
      </c>
      <c r="E10997" t="s">
        <v>3876</v>
      </c>
      <c r="F10997" t="s">
        <v>31406</v>
      </c>
      <c r="J10997" t="s">
        <v>3876</v>
      </c>
      <c r="K10997" t="s">
        <v>21600</v>
      </c>
      <c r="L10997" t="s">
        <v>3616</v>
      </c>
    </row>
    <row r="10998" spans="1:12">
      <c r="A10998" t="s">
        <v>30729</v>
      </c>
      <c r="B10998" t="s">
        <v>30730</v>
      </c>
      <c r="C10998" t="s">
        <v>31407</v>
      </c>
      <c r="D10998" t="s">
        <v>30732</v>
      </c>
      <c r="E10998" t="s">
        <v>14728</v>
      </c>
      <c r="F10998" t="s">
        <v>31408</v>
      </c>
    </row>
    <row r="10999" spans="1:12">
      <c r="A10999" t="s">
        <v>30729</v>
      </c>
      <c r="B10999" t="s">
        <v>30730</v>
      </c>
      <c r="C10999" t="s">
        <v>31409</v>
      </c>
      <c r="D10999" t="s">
        <v>30732</v>
      </c>
      <c r="E10999" t="s">
        <v>31410</v>
      </c>
      <c r="F10999" t="s">
        <v>31411</v>
      </c>
      <c r="J10999" t="s">
        <v>31410</v>
      </c>
      <c r="K10999" t="s">
        <v>21600</v>
      </c>
      <c r="L10999" t="s">
        <v>3616</v>
      </c>
    </row>
    <row r="11000" spans="1:12">
      <c r="A11000" t="s">
        <v>30729</v>
      </c>
      <c r="B11000" t="s">
        <v>30730</v>
      </c>
      <c r="C11000" t="s">
        <v>31412</v>
      </c>
      <c r="D11000" t="s">
        <v>30732</v>
      </c>
      <c r="E11000" t="s">
        <v>12399</v>
      </c>
      <c r="F11000" t="s">
        <v>31413</v>
      </c>
      <c r="J11000" t="s">
        <v>12399</v>
      </c>
      <c r="K11000" t="s">
        <v>21600</v>
      </c>
      <c r="L11000" t="s">
        <v>3616</v>
      </c>
    </row>
    <row r="11001" spans="1:12">
      <c r="A11001" t="s">
        <v>30729</v>
      </c>
      <c r="B11001" t="s">
        <v>30730</v>
      </c>
      <c r="C11001" t="s">
        <v>31414</v>
      </c>
      <c r="D11001" t="s">
        <v>30732</v>
      </c>
      <c r="E11001" t="s">
        <v>14219</v>
      </c>
      <c r="F11001" t="s">
        <v>31415</v>
      </c>
      <c r="J11001" t="s">
        <v>14219</v>
      </c>
      <c r="K11001" t="s">
        <v>21600</v>
      </c>
      <c r="L11001" t="s">
        <v>3616</v>
      </c>
    </row>
    <row r="11002" spans="1:12">
      <c r="A11002" t="s">
        <v>30729</v>
      </c>
      <c r="B11002" t="s">
        <v>30730</v>
      </c>
      <c r="C11002" t="s">
        <v>31416</v>
      </c>
      <c r="D11002" t="s">
        <v>30732</v>
      </c>
      <c r="E11002" t="s">
        <v>3632</v>
      </c>
      <c r="F11002" t="s">
        <v>31417</v>
      </c>
      <c r="J11002" t="s">
        <v>3632</v>
      </c>
      <c r="K11002" t="s">
        <v>21600</v>
      </c>
      <c r="L11002" t="s">
        <v>3616</v>
      </c>
    </row>
    <row r="11003" spans="1:12">
      <c r="A11003" t="s">
        <v>30729</v>
      </c>
      <c r="B11003" t="s">
        <v>30730</v>
      </c>
      <c r="C11003" t="s">
        <v>31418</v>
      </c>
      <c r="D11003" t="s">
        <v>30732</v>
      </c>
      <c r="E11003" t="s">
        <v>29934</v>
      </c>
      <c r="F11003" t="s">
        <v>31419</v>
      </c>
      <c r="J11003" t="s">
        <v>29934</v>
      </c>
      <c r="K11003" t="s">
        <v>21600</v>
      </c>
      <c r="L11003" t="s">
        <v>3616</v>
      </c>
    </row>
    <row r="11004" spans="1:12">
      <c r="A11004" t="s">
        <v>30729</v>
      </c>
      <c r="B11004" t="s">
        <v>30730</v>
      </c>
      <c r="C11004" t="s">
        <v>31420</v>
      </c>
      <c r="D11004" t="s">
        <v>30732</v>
      </c>
      <c r="E11004" t="s">
        <v>31421</v>
      </c>
      <c r="F11004" t="s">
        <v>31422</v>
      </c>
      <c r="J11004" t="s">
        <v>31421</v>
      </c>
      <c r="K11004" t="s">
        <v>21600</v>
      </c>
      <c r="L11004" t="s">
        <v>3616</v>
      </c>
    </row>
    <row r="11005" spans="1:12">
      <c r="A11005" t="s">
        <v>30729</v>
      </c>
      <c r="B11005" t="s">
        <v>30730</v>
      </c>
      <c r="C11005" t="s">
        <v>31423</v>
      </c>
      <c r="D11005" t="s">
        <v>30732</v>
      </c>
      <c r="E11005" t="s">
        <v>31424</v>
      </c>
      <c r="F11005" t="s">
        <v>31425</v>
      </c>
      <c r="J11005" t="s">
        <v>31424</v>
      </c>
      <c r="K11005" t="s">
        <v>21600</v>
      </c>
      <c r="L11005" t="s">
        <v>3616</v>
      </c>
    </row>
    <row r="11006" spans="1:12">
      <c r="A11006" t="s">
        <v>30729</v>
      </c>
      <c r="B11006" t="s">
        <v>30730</v>
      </c>
      <c r="C11006" t="s">
        <v>31426</v>
      </c>
      <c r="D11006" t="s">
        <v>30732</v>
      </c>
      <c r="E11006" t="s">
        <v>31427</v>
      </c>
      <c r="F11006" t="s">
        <v>31428</v>
      </c>
      <c r="J11006" t="s">
        <v>31427</v>
      </c>
      <c r="K11006" t="s">
        <v>21600</v>
      </c>
      <c r="L11006" t="s">
        <v>3616</v>
      </c>
    </row>
    <row r="11007" spans="1:12">
      <c r="A11007" t="s">
        <v>30729</v>
      </c>
      <c r="B11007" t="s">
        <v>30730</v>
      </c>
      <c r="C11007" t="s">
        <v>31429</v>
      </c>
      <c r="D11007" t="s">
        <v>30732</v>
      </c>
      <c r="E11007" t="s">
        <v>13327</v>
      </c>
      <c r="F11007" t="s">
        <v>31430</v>
      </c>
      <c r="J11007" t="s">
        <v>13327</v>
      </c>
      <c r="K11007" t="s">
        <v>21600</v>
      </c>
      <c r="L11007" t="s">
        <v>3616</v>
      </c>
    </row>
    <row r="11008" spans="1:12">
      <c r="A11008" t="s">
        <v>30729</v>
      </c>
      <c r="B11008" t="s">
        <v>30730</v>
      </c>
      <c r="C11008" t="s">
        <v>31431</v>
      </c>
      <c r="D11008" t="s">
        <v>30732</v>
      </c>
      <c r="E11008" t="s">
        <v>8097</v>
      </c>
      <c r="F11008" t="s">
        <v>31432</v>
      </c>
      <c r="J11008" t="s">
        <v>8097</v>
      </c>
      <c r="K11008" t="s">
        <v>21600</v>
      </c>
      <c r="L11008" t="s">
        <v>3616</v>
      </c>
    </row>
    <row r="11009" spans="1:12">
      <c r="A11009" t="s">
        <v>30729</v>
      </c>
      <c r="B11009" t="s">
        <v>30730</v>
      </c>
      <c r="C11009" t="s">
        <v>31433</v>
      </c>
      <c r="D11009" t="s">
        <v>30732</v>
      </c>
      <c r="E11009" t="s">
        <v>8681</v>
      </c>
      <c r="F11009" t="s">
        <v>31434</v>
      </c>
      <c r="J11009" t="s">
        <v>8681</v>
      </c>
      <c r="K11009" t="s">
        <v>21600</v>
      </c>
      <c r="L11009" t="s">
        <v>3616</v>
      </c>
    </row>
    <row r="11010" spans="1:12">
      <c r="A11010" t="s">
        <v>30729</v>
      </c>
      <c r="B11010" t="s">
        <v>30730</v>
      </c>
      <c r="C11010" t="s">
        <v>31435</v>
      </c>
      <c r="D11010" t="s">
        <v>30732</v>
      </c>
      <c r="E11010" t="s">
        <v>7714</v>
      </c>
      <c r="F11010" t="s">
        <v>31436</v>
      </c>
    </row>
    <row r="11011" spans="1:12">
      <c r="A11011" t="s">
        <v>30729</v>
      </c>
      <c r="B11011" t="s">
        <v>30730</v>
      </c>
      <c r="C11011" t="s">
        <v>31437</v>
      </c>
      <c r="D11011" t="s">
        <v>30732</v>
      </c>
      <c r="E11011" t="s">
        <v>31438</v>
      </c>
      <c r="F11011" t="s">
        <v>31439</v>
      </c>
    </row>
    <row r="11012" spans="1:12">
      <c r="A11012" t="s">
        <v>30729</v>
      </c>
      <c r="B11012" t="s">
        <v>30730</v>
      </c>
      <c r="C11012" t="s">
        <v>31440</v>
      </c>
      <c r="D11012" t="s">
        <v>30732</v>
      </c>
      <c r="E11012" t="s">
        <v>10904</v>
      </c>
      <c r="F11012" t="s">
        <v>31441</v>
      </c>
      <c r="J11012" t="s">
        <v>10904</v>
      </c>
      <c r="K11012" t="s">
        <v>21600</v>
      </c>
      <c r="L11012" t="s">
        <v>3616</v>
      </c>
    </row>
    <row r="11013" spans="1:12">
      <c r="A11013" t="s">
        <v>30729</v>
      </c>
      <c r="B11013" t="s">
        <v>30730</v>
      </c>
      <c r="C11013" t="s">
        <v>31442</v>
      </c>
      <c r="D11013" t="s">
        <v>30732</v>
      </c>
      <c r="E11013" t="s">
        <v>1645</v>
      </c>
      <c r="F11013" t="s">
        <v>31443</v>
      </c>
    </row>
    <row r="11014" spans="1:12">
      <c r="A11014" t="s">
        <v>30729</v>
      </c>
      <c r="B11014" t="s">
        <v>30730</v>
      </c>
      <c r="C11014" t="s">
        <v>31444</v>
      </c>
      <c r="D11014" t="s">
        <v>30732</v>
      </c>
      <c r="E11014" t="s">
        <v>8694</v>
      </c>
      <c r="F11014" t="s">
        <v>31445</v>
      </c>
    </row>
    <row r="11015" spans="1:12">
      <c r="A11015" t="s">
        <v>30729</v>
      </c>
      <c r="B11015" t="s">
        <v>30730</v>
      </c>
      <c r="C11015" t="s">
        <v>31446</v>
      </c>
      <c r="D11015" t="s">
        <v>30732</v>
      </c>
      <c r="E11015" t="s">
        <v>1651</v>
      </c>
      <c r="F11015" t="s">
        <v>31447</v>
      </c>
    </row>
    <row r="11016" spans="1:12">
      <c r="A11016" t="s">
        <v>30729</v>
      </c>
      <c r="B11016" t="s">
        <v>30730</v>
      </c>
      <c r="C11016" t="s">
        <v>31448</v>
      </c>
      <c r="D11016" t="s">
        <v>30732</v>
      </c>
      <c r="E11016" t="s">
        <v>31449</v>
      </c>
      <c r="F11016" t="s">
        <v>31450</v>
      </c>
      <c r="J11016" t="s">
        <v>31449</v>
      </c>
      <c r="K11016" t="s">
        <v>21600</v>
      </c>
      <c r="L11016" t="s">
        <v>3616</v>
      </c>
    </row>
    <row r="11017" spans="1:12">
      <c r="A11017" t="s">
        <v>30729</v>
      </c>
      <c r="B11017" t="s">
        <v>30730</v>
      </c>
      <c r="C11017" t="s">
        <v>31451</v>
      </c>
      <c r="D11017" t="s">
        <v>30732</v>
      </c>
      <c r="E11017" t="s">
        <v>31452</v>
      </c>
      <c r="F11017" t="s">
        <v>31453</v>
      </c>
      <c r="J11017" t="s">
        <v>31452</v>
      </c>
      <c r="K11017" t="s">
        <v>21600</v>
      </c>
      <c r="L11017" t="s">
        <v>3616</v>
      </c>
    </row>
    <row r="11018" spans="1:12">
      <c r="A11018" t="s">
        <v>30729</v>
      </c>
      <c r="B11018" t="s">
        <v>30730</v>
      </c>
      <c r="C11018" t="s">
        <v>31454</v>
      </c>
      <c r="D11018" t="s">
        <v>30732</v>
      </c>
      <c r="E11018" t="s">
        <v>31455</v>
      </c>
      <c r="F11018" t="s">
        <v>31456</v>
      </c>
      <c r="J11018" t="s">
        <v>31455</v>
      </c>
      <c r="K11018" t="s">
        <v>21600</v>
      </c>
      <c r="L11018" t="s">
        <v>3616</v>
      </c>
    </row>
    <row r="11019" spans="1:12">
      <c r="A11019" t="s">
        <v>30729</v>
      </c>
      <c r="B11019" t="s">
        <v>30730</v>
      </c>
      <c r="C11019" t="s">
        <v>31457</v>
      </c>
      <c r="D11019" t="s">
        <v>30732</v>
      </c>
      <c r="E11019" t="s">
        <v>31458</v>
      </c>
      <c r="F11019" t="s">
        <v>31459</v>
      </c>
      <c r="J11019" t="s">
        <v>31458</v>
      </c>
      <c r="K11019" t="s">
        <v>21600</v>
      </c>
      <c r="L11019" t="s">
        <v>3616</v>
      </c>
    </row>
    <row r="11020" spans="1:12">
      <c r="A11020" t="s">
        <v>30729</v>
      </c>
      <c r="B11020" t="s">
        <v>30730</v>
      </c>
      <c r="C11020" t="s">
        <v>31460</v>
      </c>
      <c r="D11020" t="s">
        <v>30732</v>
      </c>
      <c r="E11020" t="s">
        <v>31461</v>
      </c>
      <c r="F11020" t="s">
        <v>31462</v>
      </c>
      <c r="J11020" t="s">
        <v>31461</v>
      </c>
      <c r="K11020" t="s">
        <v>21600</v>
      </c>
      <c r="L11020" t="s">
        <v>3616</v>
      </c>
    </row>
    <row r="11021" spans="1:12">
      <c r="A11021" t="s">
        <v>30729</v>
      </c>
      <c r="B11021" t="s">
        <v>30730</v>
      </c>
      <c r="C11021" t="s">
        <v>31463</v>
      </c>
      <c r="D11021" t="s">
        <v>30732</v>
      </c>
      <c r="E11021" t="s">
        <v>4905</v>
      </c>
      <c r="F11021" t="s">
        <v>31464</v>
      </c>
      <c r="J11021" t="s">
        <v>4905</v>
      </c>
      <c r="K11021" t="s">
        <v>21600</v>
      </c>
      <c r="L11021" t="s">
        <v>3616</v>
      </c>
    </row>
    <row r="11022" spans="1:12">
      <c r="A11022" t="s">
        <v>30729</v>
      </c>
      <c r="B11022" t="s">
        <v>30730</v>
      </c>
      <c r="C11022" t="s">
        <v>31465</v>
      </c>
      <c r="D11022" t="s">
        <v>30732</v>
      </c>
      <c r="E11022" t="s">
        <v>8700</v>
      </c>
      <c r="F11022" t="s">
        <v>31466</v>
      </c>
      <c r="J11022" t="s">
        <v>8700</v>
      </c>
      <c r="K11022" t="s">
        <v>21600</v>
      </c>
      <c r="L11022" t="s">
        <v>3616</v>
      </c>
    </row>
    <row r="11023" spans="1:12">
      <c r="A11023" t="s">
        <v>30729</v>
      </c>
      <c r="B11023" t="s">
        <v>30730</v>
      </c>
      <c r="C11023" t="s">
        <v>31467</v>
      </c>
      <c r="D11023" t="s">
        <v>30732</v>
      </c>
      <c r="E11023" t="s">
        <v>8703</v>
      </c>
      <c r="F11023" t="s">
        <v>31468</v>
      </c>
      <c r="J11023" t="s">
        <v>8703</v>
      </c>
      <c r="K11023" t="s">
        <v>21600</v>
      </c>
      <c r="L11023" t="s">
        <v>3616</v>
      </c>
    </row>
    <row r="11024" spans="1:12">
      <c r="A11024" t="s">
        <v>30729</v>
      </c>
      <c r="B11024" t="s">
        <v>30730</v>
      </c>
      <c r="C11024" t="s">
        <v>31469</v>
      </c>
      <c r="D11024" t="s">
        <v>30732</v>
      </c>
      <c r="E11024" t="s">
        <v>31470</v>
      </c>
      <c r="F11024" t="s">
        <v>31471</v>
      </c>
      <c r="J11024" t="s">
        <v>31470</v>
      </c>
      <c r="K11024" t="s">
        <v>21600</v>
      </c>
      <c r="L11024" t="s">
        <v>3616</v>
      </c>
    </row>
    <row r="11025" spans="1:12">
      <c r="A11025" t="s">
        <v>30729</v>
      </c>
      <c r="B11025" t="s">
        <v>30730</v>
      </c>
      <c r="C11025" t="s">
        <v>31472</v>
      </c>
      <c r="D11025" t="s">
        <v>30732</v>
      </c>
      <c r="E11025" t="s">
        <v>31473</v>
      </c>
      <c r="F11025" t="s">
        <v>31474</v>
      </c>
      <c r="J11025" t="s">
        <v>31473</v>
      </c>
      <c r="K11025" t="s">
        <v>21600</v>
      </c>
      <c r="L11025" t="s">
        <v>3616</v>
      </c>
    </row>
    <row r="11026" spans="1:12">
      <c r="A11026" t="s">
        <v>30729</v>
      </c>
      <c r="B11026" t="s">
        <v>30730</v>
      </c>
      <c r="C11026" t="s">
        <v>31475</v>
      </c>
      <c r="D11026" t="s">
        <v>30732</v>
      </c>
      <c r="E11026" t="s">
        <v>31476</v>
      </c>
      <c r="F11026" t="s">
        <v>31477</v>
      </c>
      <c r="J11026" t="s">
        <v>31476</v>
      </c>
      <c r="K11026" t="s">
        <v>21600</v>
      </c>
      <c r="L11026" t="s">
        <v>3616</v>
      </c>
    </row>
    <row r="11027" spans="1:12">
      <c r="A11027" t="s">
        <v>30729</v>
      </c>
      <c r="B11027" t="s">
        <v>30730</v>
      </c>
      <c r="C11027" t="s">
        <v>31478</v>
      </c>
      <c r="D11027" t="s">
        <v>30732</v>
      </c>
      <c r="E11027" t="s">
        <v>31479</v>
      </c>
      <c r="F11027" t="s">
        <v>31480</v>
      </c>
      <c r="J11027" t="s">
        <v>31479</v>
      </c>
      <c r="K11027" t="s">
        <v>21600</v>
      </c>
      <c r="L11027" t="s">
        <v>3616</v>
      </c>
    </row>
    <row r="11028" spans="1:12">
      <c r="A11028" t="s">
        <v>30729</v>
      </c>
      <c r="B11028" t="s">
        <v>30730</v>
      </c>
      <c r="C11028" t="s">
        <v>31481</v>
      </c>
      <c r="D11028" t="s">
        <v>30732</v>
      </c>
      <c r="E11028" t="s">
        <v>31482</v>
      </c>
      <c r="F11028" t="s">
        <v>31483</v>
      </c>
      <c r="J11028" t="s">
        <v>31482</v>
      </c>
      <c r="K11028" t="s">
        <v>21600</v>
      </c>
      <c r="L11028" t="s">
        <v>3616</v>
      </c>
    </row>
    <row r="11029" spans="1:12">
      <c r="A11029" t="s">
        <v>30729</v>
      </c>
      <c r="B11029" t="s">
        <v>30730</v>
      </c>
      <c r="C11029" t="s">
        <v>31484</v>
      </c>
      <c r="D11029" t="s">
        <v>30732</v>
      </c>
      <c r="E11029" t="s">
        <v>31485</v>
      </c>
      <c r="F11029" t="s">
        <v>31486</v>
      </c>
    </row>
    <row r="11030" spans="1:12">
      <c r="A11030" t="s">
        <v>30729</v>
      </c>
      <c r="B11030" t="s">
        <v>30730</v>
      </c>
      <c r="C11030" t="s">
        <v>31487</v>
      </c>
      <c r="D11030" t="s">
        <v>30732</v>
      </c>
      <c r="E11030" t="s">
        <v>31488</v>
      </c>
      <c r="F11030" t="s">
        <v>31489</v>
      </c>
    </row>
    <row r="11031" spans="1:12">
      <c r="A11031" t="s">
        <v>30729</v>
      </c>
      <c r="B11031" t="s">
        <v>30730</v>
      </c>
      <c r="C11031" t="s">
        <v>31490</v>
      </c>
      <c r="D11031" t="s">
        <v>30732</v>
      </c>
      <c r="E11031" t="s">
        <v>31491</v>
      </c>
      <c r="F11031" t="s">
        <v>31492</v>
      </c>
      <c r="J11031" t="s">
        <v>31491</v>
      </c>
      <c r="K11031" t="s">
        <v>21600</v>
      </c>
      <c r="L11031" t="s">
        <v>3616</v>
      </c>
    </row>
    <row r="11032" spans="1:12">
      <c r="A11032" t="s">
        <v>30729</v>
      </c>
      <c r="B11032" t="s">
        <v>30730</v>
      </c>
      <c r="C11032" t="s">
        <v>31493</v>
      </c>
      <c r="D11032" t="s">
        <v>30732</v>
      </c>
      <c r="E11032" t="s">
        <v>31494</v>
      </c>
      <c r="F11032" t="s">
        <v>31495</v>
      </c>
      <c r="J11032" t="s">
        <v>31494</v>
      </c>
      <c r="K11032" t="s">
        <v>21600</v>
      </c>
      <c r="L11032" t="s">
        <v>3616</v>
      </c>
    </row>
    <row r="11033" spans="1:12">
      <c r="A11033" t="s">
        <v>30729</v>
      </c>
      <c r="B11033" t="s">
        <v>30730</v>
      </c>
      <c r="C11033" t="s">
        <v>31496</v>
      </c>
      <c r="D11033" t="s">
        <v>30732</v>
      </c>
      <c r="E11033" t="s">
        <v>31497</v>
      </c>
      <c r="F11033" t="s">
        <v>31498</v>
      </c>
      <c r="J11033" t="s">
        <v>31497</v>
      </c>
      <c r="K11033" t="s">
        <v>21600</v>
      </c>
      <c r="L11033" t="s">
        <v>3616</v>
      </c>
    </row>
    <row r="11034" spans="1:12">
      <c r="A11034" t="s">
        <v>30729</v>
      </c>
      <c r="B11034" t="s">
        <v>30730</v>
      </c>
      <c r="C11034" t="s">
        <v>31499</v>
      </c>
      <c r="D11034" t="s">
        <v>30732</v>
      </c>
      <c r="E11034" t="s">
        <v>27168</v>
      </c>
      <c r="F11034" t="s">
        <v>31500</v>
      </c>
      <c r="J11034" t="s">
        <v>27168</v>
      </c>
      <c r="K11034" t="s">
        <v>21600</v>
      </c>
      <c r="L11034" t="s">
        <v>3616</v>
      </c>
    </row>
    <row r="11035" spans="1:12">
      <c r="A11035" t="s">
        <v>30729</v>
      </c>
      <c r="B11035" t="s">
        <v>30730</v>
      </c>
      <c r="C11035" t="s">
        <v>31501</v>
      </c>
      <c r="D11035" t="s">
        <v>30732</v>
      </c>
      <c r="E11035" t="s">
        <v>27171</v>
      </c>
      <c r="F11035" t="s">
        <v>31502</v>
      </c>
      <c r="J11035" t="s">
        <v>27171</v>
      </c>
      <c r="K11035" t="s">
        <v>21600</v>
      </c>
      <c r="L11035" t="s">
        <v>3616</v>
      </c>
    </row>
    <row r="11036" spans="1:12">
      <c r="A11036" t="s">
        <v>30729</v>
      </c>
      <c r="B11036" t="s">
        <v>30730</v>
      </c>
      <c r="C11036" t="s">
        <v>31503</v>
      </c>
      <c r="D11036" t="s">
        <v>30732</v>
      </c>
      <c r="E11036" t="s">
        <v>31504</v>
      </c>
      <c r="F11036" t="s">
        <v>31505</v>
      </c>
      <c r="J11036" t="s">
        <v>31504</v>
      </c>
      <c r="K11036" t="s">
        <v>21600</v>
      </c>
      <c r="L11036" t="s">
        <v>3616</v>
      </c>
    </row>
    <row r="11037" spans="1:12">
      <c r="A11037" t="s">
        <v>30729</v>
      </c>
      <c r="B11037" t="s">
        <v>30730</v>
      </c>
      <c r="C11037" t="s">
        <v>31506</v>
      </c>
      <c r="D11037" t="s">
        <v>30732</v>
      </c>
      <c r="E11037" t="s">
        <v>31507</v>
      </c>
      <c r="F11037" t="s">
        <v>31508</v>
      </c>
      <c r="J11037" t="s">
        <v>31507</v>
      </c>
      <c r="K11037" t="s">
        <v>21600</v>
      </c>
      <c r="L11037" t="s">
        <v>3616</v>
      </c>
    </row>
    <row r="11038" spans="1:12">
      <c r="A11038" t="s">
        <v>30729</v>
      </c>
      <c r="B11038" t="s">
        <v>30730</v>
      </c>
      <c r="C11038" t="s">
        <v>31509</v>
      </c>
      <c r="D11038" t="s">
        <v>30732</v>
      </c>
      <c r="E11038" t="s">
        <v>10907</v>
      </c>
      <c r="F11038" t="s">
        <v>31510</v>
      </c>
      <c r="J11038" t="s">
        <v>10907</v>
      </c>
      <c r="K11038" t="s">
        <v>21600</v>
      </c>
      <c r="L11038" t="s">
        <v>3616</v>
      </c>
    </row>
    <row r="11039" spans="1:12">
      <c r="A11039" t="s">
        <v>30729</v>
      </c>
      <c r="B11039" t="s">
        <v>30730</v>
      </c>
      <c r="C11039" t="s">
        <v>31511</v>
      </c>
      <c r="D11039" t="s">
        <v>30732</v>
      </c>
      <c r="E11039" t="s">
        <v>6555</v>
      </c>
      <c r="F11039" t="s">
        <v>31512</v>
      </c>
      <c r="J11039" t="s">
        <v>6555</v>
      </c>
      <c r="K11039" t="s">
        <v>21600</v>
      </c>
      <c r="L11039" t="s">
        <v>3616</v>
      </c>
    </row>
    <row r="11040" spans="1:12">
      <c r="A11040" t="s">
        <v>30729</v>
      </c>
      <c r="B11040" t="s">
        <v>30730</v>
      </c>
      <c r="C11040" t="s">
        <v>31513</v>
      </c>
      <c r="D11040" t="s">
        <v>30732</v>
      </c>
      <c r="E11040" t="s">
        <v>8105</v>
      </c>
      <c r="F11040" t="s">
        <v>31514</v>
      </c>
    </row>
    <row r="11041" spans="1:12">
      <c r="A11041" t="s">
        <v>30729</v>
      </c>
      <c r="B11041" t="s">
        <v>30730</v>
      </c>
      <c r="C11041" t="s">
        <v>31515</v>
      </c>
      <c r="D11041" t="s">
        <v>30732</v>
      </c>
      <c r="E11041" t="s">
        <v>30863</v>
      </c>
      <c r="F11041" t="s">
        <v>31516</v>
      </c>
    </row>
    <row r="11042" spans="1:12">
      <c r="A11042" t="s">
        <v>30729</v>
      </c>
      <c r="B11042" t="s">
        <v>30730</v>
      </c>
      <c r="C11042" t="s">
        <v>31517</v>
      </c>
      <c r="D11042" t="s">
        <v>30732</v>
      </c>
      <c r="E11042" t="s">
        <v>4908</v>
      </c>
      <c r="F11042" t="s">
        <v>31518</v>
      </c>
    </row>
    <row r="11043" spans="1:12">
      <c r="A11043" t="s">
        <v>30729</v>
      </c>
      <c r="B11043" t="s">
        <v>30730</v>
      </c>
      <c r="C11043" t="s">
        <v>31519</v>
      </c>
      <c r="D11043" t="s">
        <v>30732</v>
      </c>
      <c r="E11043" t="s">
        <v>3669</v>
      </c>
      <c r="F11043" t="s">
        <v>31520</v>
      </c>
    </row>
    <row r="11044" spans="1:12">
      <c r="A11044" t="s">
        <v>30729</v>
      </c>
      <c r="B11044" t="s">
        <v>30730</v>
      </c>
      <c r="C11044" t="s">
        <v>31521</v>
      </c>
      <c r="D11044" t="s">
        <v>30732</v>
      </c>
      <c r="E11044" t="s">
        <v>31522</v>
      </c>
      <c r="F11044" t="s">
        <v>31523</v>
      </c>
      <c r="J11044" t="s">
        <v>31522</v>
      </c>
      <c r="K11044" t="s">
        <v>21600</v>
      </c>
      <c r="L11044" t="s">
        <v>3616</v>
      </c>
    </row>
    <row r="11045" spans="1:12">
      <c r="A11045" t="s">
        <v>30729</v>
      </c>
      <c r="B11045" t="s">
        <v>30730</v>
      </c>
      <c r="C11045" t="s">
        <v>31524</v>
      </c>
      <c r="D11045" t="s">
        <v>30732</v>
      </c>
      <c r="E11045" t="s">
        <v>13968</v>
      </c>
      <c r="F11045" t="s">
        <v>31525</v>
      </c>
    </row>
    <row r="11046" spans="1:12">
      <c r="A11046" t="s">
        <v>30729</v>
      </c>
      <c r="B11046" t="s">
        <v>30730</v>
      </c>
      <c r="C11046" t="s">
        <v>31526</v>
      </c>
      <c r="D11046" t="s">
        <v>30732</v>
      </c>
      <c r="E11046" t="s">
        <v>8108</v>
      </c>
      <c r="F11046" t="s">
        <v>31527</v>
      </c>
      <c r="J11046" t="s">
        <v>8108</v>
      </c>
      <c r="K11046" t="s">
        <v>21600</v>
      </c>
      <c r="L11046" t="s">
        <v>3616</v>
      </c>
    </row>
    <row r="11047" spans="1:12">
      <c r="A11047" t="s">
        <v>30729</v>
      </c>
      <c r="B11047" t="s">
        <v>30730</v>
      </c>
      <c r="C11047" t="s">
        <v>31528</v>
      </c>
      <c r="D11047" t="s">
        <v>30732</v>
      </c>
      <c r="E11047" t="s">
        <v>31529</v>
      </c>
      <c r="F11047" t="s">
        <v>31530</v>
      </c>
      <c r="J11047" t="s">
        <v>31529</v>
      </c>
      <c r="K11047" t="s">
        <v>21600</v>
      </c>
      <c r="L11047" t="s">
        <v>3616</v>
      </c>
    </row>
    <row r="11048" spans="1:12">
      <c r="A11048" t="s">
        <v>30729</v>
      </c>
      <c r="B11048" t="s">
        <v>30730</v>
      </c>
      <c r="C11048" t="s">
        <v>31531</v>
      </c>
      <c r="D11048" t="s">
        <v>30732</v>
      </c>
      <c r="E11048" t="s">
        <v>31532</v>
      </c>
      <c r="F11048" t="s">
        <v>31533</v>
      </c>
      <c r="J11048" t="s">
        <v>31532</v>
      </c>
      <c r="K11048" t="s">
        <v>21600</v>
      </c>
      <c r="L11048" t="s">
        <v>3616</v>
      </c>
    </row>
    <row r="11049" spans="1:12">
      <c r="A11049" t="s">
        <v>30729</v>
      </c>
      <c r="B11049" t="s">
        <v>30730</v>
      </c>
      <c r="C11049" t="s">
        <v>31534</v>
      </c>
      <c r="D11049" t="s">
        <v>30732</v>
      </c>
      <c r="E11049" t="s">
        <v>4918</v>
      </c>
      <c r="F11049" t="s">
        <v>31535</v>
      </c>
      <c r="J11049" t="s">
        <v>4918</v>
      </c>
      <c r="K11049" t="s">
        <v>21600</v>
      </c>
      <c r="L11049" t="s">
        <v>3616</v>
      </c>
    </row>
    <row r="11050" spans="1:12">
      <c r="A11050" t="s">
        <v>30729</v>
      </c>
      <c r="B11050" t="s">
        <v>30730</v>
      </c>
      <c r="C11050" t="s">
        <v>31536</v>
      </c>
      <c r="D11050" t="s">
        <v>30732</v>
      </c>
      <c r="E11050" t="s">
        <v>31537</v>
      </c>
      <c r="F11050" t="s">
        <v>31538</v>
      </c>
      <c r="J11050" t="s">
        <v>31537</v>
      </c>
      <c r="K11050" t="s">
        <v>21600</v>
      </c>
      <c r="L11050" t="s">
        <v>3616</v>
      </c>
    </row>
    <row r="11051" spans="1:12">
      <c r="A11051" t="s">
        <v>30729</v>
      </c>
      <c r="B11051" t="s">
        <v>30730</v>
      </c>
      <c r="C11051" t="s">
        <v>31539</v>
      </c>
      <c r="D11051" t="s">
        <v>30732</v>
      </c>
      <c r="E11051" t="s">
        <v>1693</v>
      </c>
      <c r="F11051" t="s">
        <v>31540</v>
      </c>
    </row>
    <row r="11052" spans="1:12">
      <c r="A11052" t="s">
        <v>30729</v>
      </c>
      <c r="B11052" t="s">
        <v>30730</v>
      </c>
      <c r="C11052" t="s">
        <v>31541</v>
      </c>
      <c r="D11052" t="s">
        <v>30732</v>
      </c>
      <c r="E11052" t="s">
        <v>8309</v>
      </c>
      <c r="F11052" t="s">
        <v>31542</v>
      </c>
      <c r="J11052" t="s">
        <v>8309</v>
      </c>
      <c r="K11052" t="s">
        <v>21600</v>
      </c>
      <c r="L11052" t="s">
        <v>3616</v>
      </c>
    </row>
    <row r="11053" spans="1:12">
      <c r="A11053" t="s">
        <v>30729</v>
      </c>
      <c r="B11053" t="s">
        <v>30730</v>
      </c>
      <c r="C11053" t="s">
        <v>31543</v>
      </c>
      <c r="D11053" t="s">
        <v>30732</v>
      </c>
      <c r="E11053" t="s">
        <v>4921</v>
      </c>
      <c r="F11053" t="s">
        <v>31544</v>
      </c>
      <c r="J11053" t="s">
        <v>4921</v>
      </c>
      <c r="K11053" t="s">
        <v>21600</v>
      </c>
      <c r="L11053" t="s">
        <v>3616</v>
      </c>
    </row>
    <row r="11054" spans="1:12">
      <c r="A11054" t="s">
        <v>30729</v>
      </c>
      <c r="B11054" t="s">
        <v>30730</v>
      </c>
      <c r="C11054" t="s">
        <v>31545</v>
      </c>
      <c r="D11054" t="s">
        <v>30732</v>
      </c>
      <c r="E11054" t="s">
        <v>31546</v>
      </c>
      <c r="F11054" t="s">
        <v>31547</v>
      </c>
    </row>
    <row r="11055" spans="1:12">
      <c r="A11055" t="s">
        <v>30729</v>
      </c>
      <c r="B11055" t="s">
        <v>30730</v>
      </c>
      <c r="C11055" t="s">
        <v>31548</v>
      </c>
      <c r="D11055" t="s">
        <v>30732</v>
      </c>
      <c r="E11055" t="s">
        <v>31549</v>
      </c>
      <c r="F11055" t="s">
        <v>25888</v>
      </c>
    </row>
    <row r="11056" spans="1:12">
      <c r="A11056" t="s">
        <v>30729</v>
      </c>
      <c r="B11056" t="s">
        <v>30730</v>
      </c>
      <c r="C11056" t="s">
        <v>31550</v>
      </c>
      <c r="D11056" t="s">
        <v>30732</v>
      </c>
      <c r="E11056" t="s">
        <v>31551</v>
      </c>
      <c r="F11056" t="s">
        <v>31552</v>
      </c>
      <c r="J11056" t="s">
        <v>31551</v>
      </c>
      <c r="K11056" t="s">
        <v>21600</v>
      </c>
      <c r="L11056" t="s">
        <v>3616</v>
      </c>
    </row>
    <row r="11057" spans="1:12">
      <c r="A11057" t="s">
        <v>30729</v>
      </c>
      <c r="B11057" t="s">
        <v>30730</v>
      </c>
      <c r="C11057" t="s">
        <v>31553</v>
      </c>
      <c r="D11057" t="s">
        <v>30732</v>
      </c>
      <c r="E11057" t="s">
        <v>13197</v>
      </c>
      <c r="F11057" t="s">
        <v>31554</v>
      </c>
    </row>
    <row r="11058" spans="1:12">
      <c r="A11058" t="s">
        <v>30729</v>
      </c>
      <c r="B11058" t="s">
        <v>30730</v>
      </c>
      <c r="C11058" t="s">
        <v>31555</v>
      </c>
      <c r="D11058" t="s">
        <v>30732</v>
      </c>
      <c r="E11058" t="s">
        <v>31556</v>
      </c>
      <c r="F11058" t="s">
        <v>31557</v>
      </c>
      <c r="J11058" t="s">
        <v>31556</v>
      </c>
      <c r="K11058" t="s">
        <v>21600</v>
      </c>
      <c r="L11058" t="s">
        <v>3616</v>
      </c>
    </row>
    <row r="11059" spans="1:12">
      <c r="A11059" t="s">
        <v>30729</v>
      </c>
      <c r="B11059" t="s">
        <v>30730</v>
      </c>
      <c r="C11059" t="s">
        <v>31558</v>
      </c>
      <c r="D11059" t="s">
        <v>30732</v>
      </c>
      <c r="E11059" t="s">
        <v>27187</v>
      </c>
      <c r="F11059" t="s">
        <v>31559</v>
      </c>
      <c r="J11059" t="s">
        <v>27187</v>
      </c>
      <c r="K11059" t="s">
        <v>21600</v>
      </c>
      <c r="L11059" t="s">
        <v>3616</v>
      </c>
    </row>
    <row r="11060" spans="1:12">
      <c r="A11060" t="s">
        <v>30729</v>
      </c>
      <c r="B11060" t="s">
        <v>30730</v>
      </c>
      <c r="C11060" t="s">
        <v>31560</v>
      </c>
      <c r="D11060" t="s">
        <v>30732</v>
      </c>
      <c r="E11060" t="s">
        <v>31561</v>
      </c>
      <c r="F11060" t="s">
        <v>31562</v>
      </c>
      <c r="J11060" t="s">
        <v>31561</v>
      </c>
      <c r="K11060" t="s">
        <v>21600</v>
      </c>
      <c r="L11060" t="s">
        <v>3616</v>
      </c>
    </row>
    <row r="11061" spans="1:12">
      <c r="A11061" t="s">
        <v>30729</v>
      </c>
      <c r="B11061" t="s">
        <v>30730</v>
      </c>
      <c r="C11061" t="s">
        <v>31563</v>
      </c>
      <c r="D11061" t="s">
        <v>30732</v>
      </c>
      <c r="E11061" t="s">
        <v>25887</v>
      </c>
      <c r="F11061" t="s">
        <v>31564</v>
      </c>
    </row>
    <row r="11062" spans="1:12">
      <c r="A11062" t="s">
        <v>30729</v>
      </c>
      <c r="B11062" t="s">
        <v>30730</v>
      </c>
      <c r="C11062" t="s">
        <v>31565</v>
      </c>
      <c r="D11062" t="s">
        <v>30732</v>
      </c>
      <c r="E11062" t="s">
        <v>31566</v>
      </c>
      <c r="F11062" t="s">
        <v>31567</v>
      </c>
      <c r="J11062" t="s">
        <v>31566</v>
      </c>
      <c r="K11062" t="s">
        <v>21600</v>
      </c>
      <c r="L11062" t="s">
        <v>3616</v>
      </c>
    </row>
    <row r="11063" spans="1:12">
      <c r="A11063" t="s">
        <v>30729</v>
      </c>
      <c r="B11063" t="s">
        <v>30730</v>
      </c>
      <c r="C11063" t="s">
        <v>31568</v>
      </c>
      <c r="D11063" t="s">
        <v>30732</v>
      </c>
      <c r="E11063" t="s">
        <v>31569</v>
      </c>
      <c r="F11063" t="s">
        <v>31570</v>
      </c>
      <c r="J11063" t="s">
        <v>31569</v>
      </c>
      <c r="K11063" t="s">
        <v>21600</v>
      </c>
      <c r="L11063" t="s">
        <v>3616</v>
      </c>
    </row>
    <row r="11064" spans="1:12">
      <c r="A11064" t="s">
        <v>30729</v>
      </c>
      <c r="B11064" t="s">
        <v>30730</v>
      </c>
      <c r="C11064" t="s">
        <v>31571</v>
      </c>
      <c r="D11064" t="s">
        <v>30732</v>
      </c>
      <c r="E11064" t="s">
        <v>14987</v>
      </c>
      <c r="F11064" t="s">
        <v>31572</v>
      </c>
      <c r="J11064" t="s">
        <v>14987</v>
      </c>
      <c r="K11064" t="s">
        <v>21600</v>
      </c>
      <c r="L11064" t="s">
        <v>3616</v>
      </c>
    </row>
    <row r="11065" spans="1:12">
      <c r="A11065" t="s">
        <v>30729</v>
      </c>
      <c r="B11065" t="s">
        <v>30730</v>
      </c>
      <c r="C11065" t="s">
        <v>31573</v>
      </c>
      <c r="D11065" t="s">
        <v>30732</v>
      </c>
      <c r="E11065" t="s">
        <v>31574</v>
      </c>
      <c r="F11065" t="s">
        <v>31575</v>
      </c>
      <c r="J11065" t="s">
        <v>31574</v>
      </c>
      <c r="K11065" t="s">
        <v>21600</v>
      </c>
      <c r="L11065" t="s">
        <v>3616</v>
      </c>
    </row>
    <row r="11066" spans="1:12">
      <c r="A11066" t="s">
        <v>30729</v>
      </c>
      <c r="B11066" t="s">
        <v>30730</v>
      </c>
      <c r="C11066" t="s">
        <v>31576</v>
      </c>
      <c r="D11066" t="s">
        <v>30732</v>
      </c>
      <c r="E11066" t="s">
        <v>31577</v>
      </c>
      <c r="F11066" t="s">
        <v>31578</v>
      </c>
      <c r="J11066" t="s">
        <v>31577</v>
      </c>
      <c r="K11066" t="s">
        <v>21600</v>
      </c>
      <c r="L11066" t="s">
        <v>3616</v>
      </c>
    </row>
    <row r="11067" spans="1:12">
      <c r="A11067" t="s">
        <v>30729</v>
      </c>
      <c r="B11067" t="s">
        <v>30730</v>
      </c>
      <c r="C11067" t="s">
        <v>31579</v>
      </c>
      <c r="D11067" t="s">
        <v>30732</v>
      </c>
      <c r="E11067" t="s">
        <v>31580</v>
      </c>
      <c r="F11067" t="s">
        <v>31581</v>
      </c>
      <c r="J11067" t="s">
        <v>31580</v>
      </c>
      <c r="K11067" t="s">
        <v>21600</v>
      </c>
      <c r="L11067" t="s">
        <v>3616</v>
      </c>
    </row>
    <row r="11068" spans="1:12">
      <c r="A11068" t="s">
        <v>30729</v>
      </c>
      <c r="B11068" t="s">
        <v>30730</v>
      </c>
      <c r="C11068" t="s">
        <v>31582</v>
      </c>
      <c r="D11068" t="s">
        <v>30732</v>
      </c>
      <c r="E11068" t="s">
        <v>31583</v>
      </c>
      <c r="F11068" t="s">
        <v>31584</v>
      </c>
      <c r="J11068" t="s">
        <v>31583</v>
      </c>
      <c r="K11068" t="s">
        <v>21600</v>
      </c>
      <c r="L11068" t="s">
        <v>3616</v>
      </c>
    </row>
    <row r="11069" spans="1:12">
      <c r="A11069" t="s">
        <v>30729</v>
      </c>
      <c r="B11069" t="s">
        <v>30730</v>
      </c>
      <c r="C11069" t="s">
        <v>31585</v>
      </c>
      <c r="D11069" t="s">
        <v>30732</v>
      </c>
      <c r="E11069" t="s">
        <v>31586</v>
      </c>
      <c r="F11069" t="s">
        <v>31587</v>
      </c>
      <c r="J11069" t="s">
        <v>31586</v>
      </c>
      <c r="K11069" t="s">
        <v>21600</v>
      </c>
      <c r="L11069" t="s">
        <v>3616</v>
      </c>
    </row>
    <row r="11070" spans="1:12">
      <c r="A11070" t="s">
        <v>30729</v>
      </c>
      <c r="B11070" t="s">
        <v>30730</v>
      </c>
      <c r="C11070" t="s">
        <v>31588</v>
      </c>
      <c r="D11070" t="s">
        <v>30732</v>
      </c>
      <c r="E11070" t="s">
        <v>27190</v>
      </c>
      <c r="F11070" t="s">
        <v>31589</v>
      </c>
    </row>
    <row r="11071" spans="1:12">
      <c r="A11071" t="s">
        <v>30729</v>
      </c>
      <c r="B11071" t="s">
        <v>30730</v>
      </c>
      <c r="C11071" t="s">
        <v>31590</v>
      </c>
      <c r="D11071" t="s">
        <v>30732</v>
      </c>
      <c r="E11071" t="s">
        <v>15728</v>
      </c>
      <c r="F11071" t="s">
        <v>31591</v>
      </c>
      <c r="J11071" t="s">
        <v>15728</v>
      </c>
      <c r="K11071" t="s">
        <v>21600</v>
      </c>
      <c r="L11071" t="s">
        <v>3616</v>
      </c>
    </row>
    <row r="11072" spans="1:12">
      <c r="A11072" t="s">
        <v>30729</v>
      </c>
      <c r="B11072" t="s">
        <v>30730</v>
      </c>
      <c r="C11072" t="s">
        <v>31592</v>
      </c>
      <c r="D11072" t="s">
        <v>30732</v>
      </c>
      <c r="E11072" t="s">
        <v>31593</v>
      </c>
      <c r="F11072" t="s">
        <v>31594</v>
      </c>
      <c r="J11072" t="s">
        <v>31593</v>
      </c>
      <c r="K11072" t="s">
        <v>21600</v>
      </c>
      <c r="L11072" t="s">
        <v>3616</v>
      </c>
    </row>
    <row r="11073" spans="1:12">
      <c r="A11073" t="s">
        <v>30729</v>
      </c>
      <c r="B11073" t="s">
        <v>30730</v>
      </c>
      <c r="C11073" t="s">
        <v>31595</v>
      </c>
      <c r="D11073" t="s">
        <v>30732</v>
      </c>
      <c r="E11073" t="s">
        <v>8312</v>
      </c>
      <c r="F11073" t="s">
        <v>31596</v>
      </c>
    </row>
    <row r="11074" spans="1:12">
      <c r="A11074" t="s">
        <v>30729</v>
      </c>
      <c r="B11074" t="s">
        <v>30730</v>
      </c>
      <c r="C11074" t="s">
        <v>31597</v>
      </c>
      <c r="D11074" t="s">
        <v>30732</v>
      </c>
      <c r="E11074" t="s">
        <v>31598</v>
      </c>
      <c r="F11074" t="s">
        <v>31599</v>
      </c>
      <c r="J11074" t="s">
        <v>31598</v>
      </c>
      <c r="K11074" t="s">
        <v>21600</v>
      </c>
      <c r="L11074" t="s">
        <v>3616</v>
      </c>
    </row>
    <row r="11075" spans="1:12">
      <c r="A11075" t="s">
        <v>30729</v>
      </c>
      <c r="B11075" t="s">
        <v>30730</v>
      </c>
      <c r="C11075" t="s">
        <v>31600</v>
      </c>
      <c r="D11075" t="s">
        <v>30732</v>
      </c>
      <c r="E11075" t="s">
        <v>6542</v>
      </c>
      <c r="F11075" t="s">
        <v>31601</v>
      </c>
      <c r="J11075" t="s">
        <v>6542</v>
      </c>
      <c r="K11075" t="s">
        <v>21600</v>
      </c>
      <c r="L11075" t="s">
        <v>3616</v>
      </c>
    </row>
    <row r="11076" spans="1:12">
      <c r="A11076" t="s">
        <v>30729</v>
      </c>
      <c r="B11076" t="s">
        <v>30730</v>
      </c>
      <c r="C11076" t="s">
        <v>31602</v>
      </c>
      <c r="D11076" t="s">
        <v>30732</v>
      </c>
      <c r="E11076" t="s">
        <v>28227</v>
      </c>
      <c r="F11076" t="s">
        <v>31603</v>
      </c>
      <c r="J11076" t="s">
        <v>28227</v>
      </c>
      <c r="K11076" t="s">
        <v>21600</v>
      </c>
      <c r="L11076" t="s">
        <v>3616</v>
      </c>
    </row>
    <row r="11077" spans="1:12">
      <c r="A11077" t="s">
        <v>30729</v>
      </c>
      <c r="B11077" t="s">
        <v>30730</v>
      </c>
      <c r="C11077" t="s">
        <v>31604</v>
      </c>
      <c r="D11077" t="s">
        <v>30732</v>
      </c>
      <c r="E11077" t="s">
        <v>31605</v>
      </c>
      <c r="F11077" t="s">
        <v>31606</v>
      </c>
      <c r="J11077" t="s">
        <v>31605</v>
      </c>
      <c r="K11077" t="s">
        <v>21600</v>
      </c>
      <c r="L11077" t="s">
        <v>3616</v>
      </c>
    </row>
    <row r="11078" spans="1:12">
      <c r="A11078" t="s">
        <v>30729</v>
      </c>
      <c r="B11078" t="s">
        <v>30730</v>
      </c>
      <c r="C11078" t="s">
        <v>31607</v>
      </c>
      <c r="D11078" t="s">
        <v>30732</v>
      </c>
      <c r="E11078" t="s">
        <v>31608</v>
      </c>
      <c r="F11078" t="s">
        <v>31609</v>
      </c>
      <c r="J11078" t="s">
        <v>31608</v>
      </c>
      <c r="K11078" t="s">
        <v>21600</v>
      </c>
      <c r="L11078" t="s">
        <v>3616</v>
      </c>
    </row>
    <row r="11079" spans="1:12">
      <c r="A11079" t="s">
        <v>30729</v>
      </c>
      <c r="B11079" t="s">
        <v>30730</v>
      </c>
      <c r="C11079" t="s">
        <v>31610</v>
      </c>
      <c r="D11079" t="s">
        <v>30732</v>
      </c>
      <c r="E11079" t="s">
        <v>31611</v>
      </c>
      <c r="F11079" t="s">
        <v>31612</v>
      </c>
      <c r="J11079" t="s">
        <v>31611</v>
      </c>
      <c r="K11079" t="s">
        <v>21600</v>
      </c>
      <c r="L11079" t="s">
        <v>3616</v>
      </c>
    </row>
    <row r="11080" spans="1:12">
      <c r="A11080" t="s">
        <v>30729</v>
      </c>
      <c r="B11080" t="s">
        <v>30730</v>
      </c>
      <c r="C11080" t="s">
        <v>31613</v>
      </c>
      <c r="D11080" t="s">
        <v>30732</v>
      </c>
      <c r="E11080" t="s">
        <v>31614</v>
      </c>
      <c r="F11080" t="s">
        <v>31615</v>
      </c>
      <c r="J11080" t="s">
        <v>31614</v>
      </c>
      <c r="K11080" t="s">
        <v>21600</v>
      </c>
      <c r="L11080" t="s">
        <v>3616</v>
      </c>
    </row>
    <row r="11081" spans="1:12">
      <c r="A11081" t="s">
        <v>30729</v>
      </c>
      <c r="B11081" t="s">
        <v>30730</v>
      </c>
      <c r="C11081" t="s">
        <v>31616</v>
      </c>
      <c r="D11081" t="s">
        <v>30732</v>
      </c>
      <c r="E11081" t="s">
        <v>7153</v>
      </c>
      <c r="F11081" t="s">
        <v>31617</v>
      </c>
      <c r="J11081" t="s">
        <v>7153</v>
      </c>
      <c r="K11081" t="s">
        <v>21600</v>
      </c>
      <c r="L11081" t="s">
        <v>3616</v>
      </c>
    </row>
    <row r="11082" spans="1:12">
      <c r="A11082" t="s">
        <v>30729</v>
      </c>
      <c r="B11082" t="s">
        <v>30730</v>
      </c>
      <c r="C11082" t="s">
        <v>31618</v>
      </c>
      <c r="D11082" t="s">
        <v>30732</v>
      </c>
      <c r="E11082" t="s">
        <v>31619</v>
      </c>
      <c r="F11082" t="s">
        <v>31620</v>
      </c>
      <c r="J11082" t="s">
        <v>31619</v>
      </c>
      <c r="K11082" t="s">
        <v>21600</v>
      </c>
      <c r="L11082" t="s">
        <v>3616</v>
      </c>
    </row>
    <row r="11083" spans="1:12">
      <c r="A11083" t="s">
        <v>30729</v>
      </c>
      <c r="B11083" t="s">
        <v>30730</v>
      </c>
      <c r="C11083" t="s">
        <v>31621</v>
      </c>
      <c r="D11083" t="s">
        <v>30732</v>
      </c>
      <c r="E11083" t="s">
        <v>13433</v>
      </c>
      <c r="F11083" t="s">
        <v>31622</v>
      </c>
    </row>
    <row r="11084" spans="1:12">
      <c r="A11084" t="s">
        <v>30729</v>
      </c>
      <c r="B11084" t="s">
        <v>30730</v>
      </c>
      <c r="C11084" t="s">
        <v>31623</v>
      </c>
      <c r="D11084" t="s">
        <v>30732</v>
      </c>
      <c r="E11084" t="s">
        <v>31624</v>
      </c>
      <c r="F11084" t="s">
        <v>31625</v>
      </c>
      <c r="J11084" t="s">
        <v>31624</v>
      </c>
      <c r="K11084" t="s">
        <v>21600</v>
      </c>
      <c r="L11084" t="s">
        <v>3616</v>
      </c>
    </row>
    <row r="11085" spans="1:12">
      <c r="A11085" t="s">
        <v>30729</v>
      </c>
      <c r="B11085" t="s">
        <v>30730</v>
      </c>
      <c r="C11085" t="s">
        <v>31626</v>
      </c>
      <c r="D11085" t="s">
        <v>30732</v>
      </c>
      <c r="E11085" t="s">
        <v>31627</v>
      </c>
      <c r="F11085" t="s">
        <v>31628</v>
      </c>
      <c r="J11085" t="s">
        <v>31627</v>
      </c>
      <c r="K11085" t="s">
        <v>21600</v>
      </c>
      <c r="L11085" t="s">
        <v>3616</v>
      </c>
    </row>
    <row r="11086" spans="1:12">
      <c r="A11086" t="s">
        <v>30729</v>
      </c>
      <c r="B11086" t="s">
        <v>30730</v>
      </c>
      <c r="C11086" t="s">
        <v>31629</v>
      </c>
      <c r="D11086" t="s">
        <v>30732</v>
      </c>
      <c r="E11086" t="s">
        <v>31630</v>
      </c>
      <c r="F11086" t="s">
        <v>31631</v>
      </c>
      <c r="J11086" t="s">
        <v>31630</v>
      </c>
      <c r="K11086" t="s">
        <v>21600</v>
      </c>
      <c r="L11086" t="s">
        <v>3616</v>
      </c>
    </row>
    <row r="11087" spans="1:12">
      <c r="A11087" t="s">
        <v>30729</v>
      </c>
      <c r="B11087" t="s">
        <v>30730</v>
      </c>
      <c r="C11087" t="s">
        <v>31632</v>
      </c>
      <c r="D11087" t="s">
        <v>30732</v>
      </c>
      <c r="E11087" t="s">
        <v>31633</v>
      </c>
      <c r="F11087" t="s">
        <v>31634</v>
      </c>
      <c r="J11087" t="s">
        <v>31633</v>
      </c>
      <c r="K11087" t="s">
        <v>21600</v>
      </c>
      <c r="L11087" t="s">
        <v>3616</v>
      </c>
    </row>
    <row r="11088" spans="1:12">
      <c r="A11088" t="s">
        <v>30729</v>
      </c>
      <c r="B11088" t="s">
        <v>30730</v>
      </c>
      <c r="C11088" t="s">
        <v>31635</v>
      </c>
      <c r="D11088" t="s">
        <v>30732</v>
      </c>
      <c r="E11088" t="s">
        <v>31636</v>
      </c>
      <c r="F11088" t="s">
        <v>31637</v>
      </c>
      <c r="J11088" t="s">
        <v>31636</v>
      </c>
      <c r="K11088" t="s">
        <v>21600</v>
      </c>
      <c r="L11088" t="s">
        <v>3616</v>
      </c>
    </row>
    <row r="11089" spans="1:12">
      <c r="A11089" t="s">
        <v>30729</v>
      </c>
      <c r="B11089" t="s">
        <v>30730</v>
      </c>
      <c r="C11089" t="s">
        <v>31638</v>
      </c>
      <c r="D11089" t="s">
        <v>30732</v>
      </c>
      <c r="E11089" t="s">
        <v>15379</v>
      </c>
      <c r="F11089" t="s">
        <v>31639</v>
      </c>
      <c r="J11089" t="s">
        <v>15379</v>
      </c>
      <c r="K11089" t="s">
        <v>21600</v>
      </c>
      <c r="L11089" t="s">
        <v>3616</v>
      </c>
    </row>
    <row r="11090" spans="1:12">
      <c r="A11090" t="s">
        <v>30729</v>
      </c>
      <c r="B11090" t="s">
        <v>30730</v>
      </c>
      <c r="C11090" t="s">
        <v>31640</v>
      </c>
      <c r="D11090" t="s">
        <v>30732</v>
      </c>
      <c r="E11090" t="s">
        <v>31641</v>
      </c>
      <c r="F11090" t="s">
        <v>31642</v>
      </c>
      <c r="J11090" t="s">
        <v>31641</v>
      </c>
      <c r="K11090" t="s">
        <v>21600</v>
      </c>
      <c r="L11090" t="s">
        <v>3616</v>
      </c>
    </row>
    <row r="11091" spans="1:12">
      <c r="A11091" t="s">
        <v>30729</v>
      </c>
      <c r="B11091" t="s">
        <v>30730</v>
      </c>
      <c r="C11091" t="s">
        <v>31643</v>
      </c>
      <c r="D11091" t="s">
        <v>30732</v>
      </c>
      <c r="E11091" t="s">
        <v>31644</v>
      </c>
      <c r="F11091" t="s">
        <v>31645</v>
      </c>
      <c r="J11091" t="s">
        <v>31644</v>
      </c>
      <c r="K11091" t="s">
        <v>21600</v>
      </c>
      <c r="L11091" t="s">
        <v>3616</v>
      </c>
    </row>
    <row r="11092" spans="1:12">
      <c r="A11092" t="s">
        <v>30729</v>
      </c>
      <c r="B11092" t="s">
        <v>30730</v>
      </c>
      <c r="C11092" t="s">
        <v>31646</v>
      </c>
      <c r="D11092" t="s">
        <v>30732</v>
      </c>
      <c r="E11092" t="s">
        <v>4924</v>
      </c>
      <c r="F11092" t="s">
        <v>31647</v>
      </c>
      <c r="J11092" t="s">
        <v>4924</v>
      </c>
      <c r="K11092" t="s">
        <v>21600</v>
      </c>
      <c r="L11092" t="s">
        <v>3616</v>
      </c>
    </row>
    <row r="11093" spans="1:12">
      <c r="A11093" t="s">
        <v>30729</v>
      </c>
      <c r="B11093" t="s">
        <v>30730</v>
      </c>
      <c r="C11093" t="s">
        <v>31648</v>
      </c>
      <c r="D11093" t="s">
        <v>30732</v>
      </c>
      <c r="E11093" t="s">
        <v>12437</v>
      </c>
      <c r="F11093" t="s">
        <v>31649</v>
      </c>
      <c r="J11093" t="s">
        <v>12437</v>
      </c>
      <c r="K11093" t="s">
        <v>21600</v>
      </c>
      <c r="L11093" t="s">
        <v>3616</v>
      </c>
    </row>
    <row r="11094" spans="1:12">
      <c r="A11094" t="s">
        <v>30729</v>
      </c>
      <c r="B11094" t="s">
        <v>30730</v>
      </c>
      <c r="C11094" t="s">
        <v>31650</v>
      </c>
      <c r="D11094" t="s">
        <v>30732</v>
      </c>
      <c r="E11094" t="s">
        <v>15731</v>
      </c>
      <c r="F11094" t="s">
        <v>31651</v>
      </c>
      <c r="J11094" t="s">
        <v>15731</v>
      </c>
      <c r="K11094" t="s">
        <v>21600</v>
      </c>
      <c r="L11094" t="s">
        <v>3616</v>
      </c>
    </row>
    <row r="11095" spans="1:12">
      <c r="A11095" t="s">
        <v>30729</v>
      </c>
      <c r="B11095" t="s">
        <v>30730</v>
      </c>
      <c r="C11095" t="s">
        <v>31652</v>
      </c>
      <c r="D11095" t="s">
        <v>30732</v>
      </c>
      <c r="E11095" t="s">
        <v>16493</v>
      </c>
      <c r="F11095" t="s">
        <v>31653</v>
      </c>
      <c r="J11095" t="s">
        <v>16493</v>
      </c>
      <c r="K11095" t="s">
        <v>21600</v>
      </c>
      <c r="L11095" t="s">
        <v>3616</v>
      </c>
    </row>
    <row r="11096" spans="1:12">
      <c r="A11096" t="s">
        <v>30729</v>
      </c>
      <c r="B11096" t="s">
        <v>30730</v>
      </c>
      <c r="C11096" t="s">
        <v>31654</v>
      </c>
      <c r="D11096" t="s">
        <v>30732</v>
      </c>
      <c r="E11096" t="s">
        <v>3281</v>
      </c>
      <c r="F11096" t="s">
        <v>31655</v>
      </c>
      <c r="J11096" t="s">
        <v>3281</v>
      </c>
      <c r="K11096" t="s">
        <v>21600</v>
      </c>
      <c r="L11096" t="s">
        <v>3616</v>
      </c>
    </row>
    <row r="11097" spans="1:12">
      <c r="A11097" t="s">
        <v>30729</v>
      </c>
      <c r="B11097" t="s">
        <v>30730</v>
      </c>
      <c r="C11097" t="s">
        <v>31656</v>
      </c>
      <c r="D11097" t="s">
        <v>30732</v>
      </c>
      <c r="E11097" t="s">
        <v>16498</v>
      </c>
      <c r="F11097" t="s">
        <v>31657</v>
      </c>
      <c r="J11097" t="s">
        <v>16498</v>
      </c>
      <c r="K11097" t="s">
        <v>21600</v>
      </c>
      <c r="L11097" t="s">
        <v>3616</v>
      </c>
    </row>
    <row r="11098" spans="1:12">
      <c r="A11098" t="s">
        <v>30729</v>
      </c>
      <c r="B11098" t="s">
        <v>30730</v>
      </c>
      <c r="C11098" t="s">
        <v>31658</v>
      </c>
      <c r="D11098" t="s">
        <v>30732</v>
      </c>
      <c r="E11098" t="s">
        <v>31659</v>
      </c>
      <c r="F11098" t="s">
        <v>31660</v>
      </c>
      <c r="J11098" t="s">
        <v>31659</v>
      </c>
      <c r="K11098" t="s">
        <v>21600</v>
      </c>
      <c r="L11098" t="s">
        <v>3616</v>
      </c>
    </row>
    <row r="11099" spans="1:12">
      <c r="A11099" t="s">
        <v>30729</v>
      </c>
      <c r="B11099" t="s">
        <v>30730</v>
      </c>
      <c r="C11099" t="s">
        <v>31661</v>
      </c>
      <c r="D11099" t="s">
        <v>30732</v>
      </c>
      <c r="E11099" t="s">
        <v>31662</v>
      </c>
      <c r="F11099" t="s">
        <v>31663</v>
      </c>
      <c r="J11099" t="s">
        <v>31662</v>
      </c>
      <c r="K11099" t="s">
        <v>21600</v>
      </c>
      <c r="L11099" t="s">
        <v>3616</v>
      </c>
    </row>
    <row r="11100" spans="1:12">
      <c r="A11100" t="s">
        <v>30729</v>
      </c>
      <c r="B11100" t="s">
        <v>30730</v>
      </c>
      <c r="C11100" t="s">
        <v>31664</v>
      </c>
      <c r="D11100" t="s">
        <v>30732</v>
      </c>
      <c r="E11100" t="s">
        <v>4930</v>
      </c>
      <c r="F11100" t="s">
        <v>31665</v>
      </c>
    </row>
    <row r="11101" spans="1:12">
      <c r="A11101" t="s">
        <v>30729</v>
      </c>
      <c r="B11101" t="s">
        <v>30730</v>
      </c>
      <c r="C11101" t="s">
        <v>31666</v>
      </c>
      <c r="D11101" t="s">
        <v>30732</v>
      </c>
      <c r="E11101" t="s">
        <v>25890</v>
      </c>
      <c r="F11101" t="s">
        <v>31667</v>
      </c>
    </row>
    <row r="11102" spans="1:12">
      <c r="A11102" t="s">
        <v>30729</v>
      </c>
      <c r="B11102" t="s">
        <v>30730</v>
      </c>
      <c r="C11102" t="s">
        <v>31668</v>
      </c>
      <c r="D11102" t="s">
        <v>30732</v>
      </c>
      <c r="E11102" t="s">
        <v>31669</v>
      </c>
      <c r="F11102" t="s">
        <v>31670</v>
      </c>
      <c r="J11102" t="s">
        <v>31669</v>
      </c>
      <c r="K11102" t="s">
        <v>21600</v>
      </c>
      <c r="L11102" t="s">
        <v>3616</v>
      </c>
    </row>
    <row r="11103" spans="1:12">
      <c r="A11103" t="s">
        <v>30729</v>
      </c>
      <c r="B11103" t="s">
        <v>30730</v>
      </c>
      <c r="C11103" t="s">
        <v>31671</v>
      </c>
      <c r="D11103" t="s">
        <v>30732</v>
      </c>
      <c r="E11103" t="s">
        <v>31672</v>
      </c>
      <c r="F11103" t="s">
        <v>31076</v>
      </c>
      <c r="J11103" t="s">
        <v>31672</v>
      </c>
      <c r="K11103" t="s">
        <v>21600</v>
      </c>
      <c r="L11103" t="s">
        <v>3616</v>
      </c>
    </row>
    <row r="11104" spans="1:12">
      <c r="A11104" t="s">
        <v>30729</v>
      </c>
      <c r="B11104" t="s">
        <v>30730</v>
      </c>
      <c r="C11104" t="s">
        <v>31673</v>
      </c>
      <c r="D11104" t="s">
        <v>30732</v>
      </c>
      <c r="E11104" t="s">
        <v>31674</v>
      </c>
      <c r="F11104" t="s">
        <v>31675</v>
      </c>
      <c r="J11104" t="s">
        <v>31674</v>
      </c>
      <c r="K11104" t="s">
        <v>21600</v>
      </c>
      <c r="L11104" t="s">
        <v>3616</v>
      </c>
    </row>
    <row r="11105" spans="1:12">
      <c r="A11105" t="s">
        <v>30729</v>
      </c>
      <c r="B11105" t="s">
        <v>30730</v>
      </c>
      <c r="C11105" t="s">
        <v>31676</v>
      </c>
      <c r="D11105" t="s">
        <v>30732</v>
      </c>
      <c r="E11105" t="s">
        <v>31677</v>
      </c>
      <c r="F11105" t="s">
        <v>31678</v>
      </c>
      <c r="J11105" t="s">
        <v>31677</v>
      </c>
      <c r="K11105" t="s">
        <v>21600</v>
      </c>
      <c r="L11105" t="s">
        <v>3616</v>
      </c>
    </row>
    <row r="11106" spans="1:12">
      <c r="A11106" t="s">
        <v>30729</v>
      </c>
      <c r="B11106" t="s">
        <v>30730</v>
      </c>
      <c r="C11106" t="s">
        <v>31679</v>
      </c>
      <c r="D11106" t="s">
        <v>30732</v>
      </c>
      <c r="E11106" t="s">
        <v>14239</v>
      </c>
      <c r="F11106" t="s">
        <v>31680</v>
      </c>
      <c r="J11106" t="s">
        <v>14239</v>
      </c>
      <c r="K11106" t="s">
        <v>21600</v>
      </c>
      <c r="L11106" t="s">
        <v>3616</v>
      </c>
    </row>
    <row r="11107" spans="1:12">
      <c r="A11107" t="s">
        <v>30729</v>
      </c>
      <c r="B11107" t="s">
        <v>30730</v>
      </c>
      <c r="C11107" t="s">
        <v>31681</v>
      </c>
      <c r="D11107" t="s">
        <v>30732</v>
      </c>
      <c r="E11107" t="s">
        <v>31682</v>
      </c>
      <c r="F11107" t="s">
        <v>31683</v>
      </c>
      <c r="J11107" t="s">
        <v>31682</v>
      </c>
      <c r="K11107" t="s">
        <v>21600</v>
      </c>
      <c r="L11107" t="s">
        <v>3616</v>
      </c>
    </row>
    <row r="11108" spans="1:12">
      <c r="A11108" t="s">
        <v>30729</v>
      </c>
      <c r="B11108" t="s">
        <v>30730</v>
      </c>
      <c r="C11108" t="s">
        <v>31684</v>
      </c>
      <c r="D11108" t="s">
        <v>30732</v>
      </c>
      <c r="E11108" t="s">
        <v>31685</v>
      </c>
      <c r="F11108" t="s">
        <v>31686</v>
      </c>
      <c r="J11108" t="s">
        <v>31685</v>
      </c>
      <c r="K11108" t="s">
        <v>21600</v>
      </c>
      <c r="L11108" t="s">
        <v>3616</v>
      </c>
    </row>
    <row r="11109" spans="1:12">
      <c r="A11109" t="s">
        <v>30729</v>
      </c>
      <c r="B11109" t="s">
        <v>30730</v>
      </c>
      <c r="C11109" t="s">
        <v>31687</v>
      </c>
      <c r="D11109" t="s">
        <v>30732</v>
      </c>
      <c r="E11109" t="s">
        <v>14242</v>
      </c>
      <c r="F11109" t="s">
        <v>31688</v>
      </c>
      <c r="J11109" t="s">
        <v>14242</v>
      </c>
      <c r="K11109" t="s">
        <v>21600</v>
      </c>
      <c r="L11109" t="s">
        <v>3616</v>
      </c>
    </row>
    <row r="11110" spans="1:12">
      <c r="A11110" t="s">
        <v>30729</v>
      </c>
      <c r="B11110" t="s">
        <v>30730</v>
      </c>
      <c r="C11110" t="s">
        <v>31689</v>
      </c>
      <c r="D11110" t="s">
        <v>30732</v>
      </c>
      <c r="E11110" t="s">
        <v>10917</v>
      </c>
      <c r="F11110" t="s">
        <v>31690</v>
      </c>
      <c r="J11110" t="s">
        <v>10917</v>
      </c>
      <c r="K11110" t="s">
        <v>21600</v>
      </c>
      <c r="L11110" t="s">
        <v>3616</v>
      </c>
    </row>
    <row r="11111" spans="1:12">
      <c r="A11111" t="s">
        <v>30729</v>
      </c>
      <c r="B11111" t="s">
        <v>30730</v>
      </c>
      <c r="C11111" t="s">
        <v>31691</v>
      </c>
      <c r="D11111" t="s">
        <v>30732</v>
      </c>
      <c r="E11111" t="s">
        <v>31692</v>
      </c>
      <c r="F11111" t="s">
        <v>31693</v>
      </c>
      <c r="J11111" t="s">
        <v>31692</v>
      </c>
      <c r="K11111" t="s">
        <v>21600</v>
      </c>
      <c r="L11111" t="s">
        <v>3616</v>
      </c>
    </row>
    <row r="11112" spans="1:12">
      <c r="A11112" t="s">
        <v>30729</v>
      </c>
      <c r="B11112" t="s">
        <v>30730</v>
      </c>
      <c r="C11112" t="s">
        <v>31694</v>
      </c>
      <c r="D11112" t="s">
        <v>30732</v>
      </c>
      <c r="E11112" t="s">
        <v>31695</v>
      </c>
      <c r="F11112" t="s">
        <v>31696</v>
      </c>
      <c r="J11112" t="s">
        <v>31695</v>
      </c>
      <c r="K11112" t="s">
        <v>21600</v>
      </c>
      <c r="L11112" t="s">
        <v>3616</v>
      </c>
    </row>
    <row r="11113" spans="1:12">
      <c r="A11113" t="s">
        <v>30729</v>
      </c>
      <c r="B11113" t="s">
        <v>30730</v>
      </c>
      <c r="C11113" t="s">
        <v>31697</v>
      </c>
      <c r="D11113" t="s">
        <v>30732</v>
      </c>
      <c r="E11113" t="s">
        <v>31698</v>
      </c>
      <c r="F11113" t="s">
        <v>31699</v>
      </c>
      <c r="J11113" t="s">
        <v>31698</v>
      </c>
      <c r="K11113" t="s">
        <v>21600</v>
      </c>
      <c r="L11113" t="s">
        <v>3616</v>
      </c>
    </row>
    <row r="11114" spans="1:12">
      <c r="A11114" t="s">
        <v>30729</v>
      </c>
      <c r="B11114" t="s">
        <v>30730</v>
      </c>
      <c r="C11114" t="s">
        <v>31700</v>
      </c>
      <c r="D11114" t="s">
        <v>30732</v>
      </c>
      <c r="E11114" t="s">
        <v>31701</v>
      </c>
      <c r="F11114" t="s">
        <v>31702</v>
      </c>
      <c r="J11114" t="s">
        <v>31701</v>
      </c>
      <c r="K11114" t="s">
        <v>21600</v>
      </c>
      <c r="L11114" t="s">
        <v>3616</v>
      </c>
    </row>
    <row r="11115" spans="1:12">
      <c r="A11115" t="s">
        <v>30729</v>
      </c>
      <c r="B11115" t="s">
        <v>30730</v>
      </c>
      <c r="C11115" t="s">
        <v>31703</v>
      </c>
      <c r="D11115" t="s">
        <v>30732</v>
      </c>
      <c r="E11115" t="s">
        <v>31704</v>
      </c>
      <c r="F11115" t="s">
        <v>31705</v>
      </c>
      <c r="J11115" t="s">
        <v>31704</v>
      </c>
      <c r="K11115" t="s">
        <v>21600</v>
      </c>
      <c r="L11115" t="s">
        <v>3616</v>
      </c>
    </row>
    <row r="11116" spans="1:12">
      <c r="A11116" t="s">
        <v>30729</v>
      </c>
      <c r="B11116" t="s">
        <v>30730</v>
      </c>
      <c r="C11116" t="s">
        <v>31706</v>
      </c>
      <c r="D11116" t="s">
        <v>30732</v>
      </c>
      <c r="E11116" t="s">
        <v>31707</v>
      </c>
      <c r="F11116" t="s">
        <v>31708</v>
      </c>
      <c r="J11116" t="s">
        <v>31707</v>
      </c>
      <c r="K11116" t="s">
        <v>21600</v>
      </c>
      <c r="L11116" t="s">
        <v>3616</v>
      </c>
    </row>
    <row r="11117" spans="1:12">
      <c r="A11117" t="s">
        <v>30729</v>
      </c>
      <c r="B11117" t="s">
        <v>30730</v>
      </c>
      <c r="C11117" t="s">
        <v>31709</v>
      </c>
      <c r="D11117" t="s">
        <v>30732</v>
      </c>
      <c r="E11117" t="s">
        <v>31710</v>
      </c>
      <c r="F11117" t="s">
        <v>31711</v>
      </c>
      <c r="J11117" t="s">
        <v>31710</v>
      </c>
      <c r="K11117" t="s">
        <v>21600</v>
      </c>
      <c r="L11117" t="s">
        <v>3616</v>
      </c>
    </row>
    <row r="11118" spans="1:12">
      <c r="A11118" t="s">
        <v>30729</v>
      </c>
      <c r="B11118" t="s">
        <v>30730</v>
      </c>
      <c r="C11118" t="s">
        <v>31712</v>
      </c>
      <c r="D11118" t="s">
        <v>30732</v>
      </c>
      <c r="E11118" t="s">
        <v>16522</v>
      </c>
      <c r="F11118" t="s">
        <v>31713</v>
      </c>
      <c r="J11118" t="s">
        <v>16522</v>
      </c>
      <c r="K11118" t="s">
        <v>21600</v>
      </c>
      <c r="L11118" t="s">
        <v>3616</v>
      </c>
    </row>
    <row r="11119" spans="1:12">
      <c r="A11119" t="s">
        <v>30729</v>
      </c>
      <c r="B11119" t="s">
        <v>30730</v>
      </c>
      <c r="C11119" t="s">
        <v>31714</v>
      </c>
      <c r="D11119" t="s">
        <v>30732</v>
      </c>
      <c r="E11119" t="s">
        <v>31715</v>
      </c>
      <c r="F11119" t="s">
        <v>31716</v>
      </c>
      <c r="J11119" t="s">
        <v>31715</v>
      </c>
      <c r="K11119" t="s">
        <v>21600</v>
      </c>
      <c r="L11119" t="s">
        <v>3616</v>
      </c>
    </row>
    <row r="11120" spans="1:12">
      <c r="A11120" t="s">
        <v>30729</v>
      </c>
      <c r="B11120" t="s">
        <v>30730</v>
      </c>
      <c r="C11120" t="s">
        <v>31717</v>
      </c>
      <c r="D11120" t="s">
        <v>30732</v>
      </c>
      <c r="E11120" t="s">
        <v>31718</v>
      </c>
      <c r="F11120" t="s">
        <v>31719</v>
      </c>
      <c r="J11120" t="s">
        <v>31718</v>
      </c>
      <c r="K11120" t="s">
        <v>21600</v>
      </c>
      <c r="L11120" t="s">
        <v>3616</v>
      </c>
    </row>
    <row r="11121" spans="1:12">
      <c r="A11121" t="s">
        <v>30729</v>
      </c>
      <c r="B11121" t="s">
        <v>30730</v>
      </c>
      <c r="C11121" t="s">
        <v>31720</v>
      </c>
      <c r="D11121" t="s">
        <v>30732</v>
      </c>
      <c r="E11121" t="s">
        <v>31721</v>
      </c>
      <c r="F11121" t="s">
        <v>31722</v>
      </c>
      <c r="J11121" t="s">
        <v>31721</v>
      </c>
      <c r="K11121" t="s">
        <v>21600</v>
      </c>
      <c r="L11121" t="s">
        <v>3616</v>
      </c>
    </row>
    <row r="11122" spans="1:12">
      <c r="A11122" t="s">
        <v>30729</v>
      </c>
      <c r="B11122" t="s">
        <v>30730</v>
      </c>
      <c r="C11122" t="s">
        <v>31723</v>
      </c>
      <c r="D11122" t="s">
        <v>30732</v>
      </c>
      <c r="E11122" t="s">
        <v>31724</v>
      </c>
      <c r="F11122" t="s">
        <v>31725</v>
      </c>
      <c r="J11122" t="s">
        <v>31724</v>
      </c>
      <c r="K11122" t="s">
        <v>21600</v>
      </c>
      <c r="L11122" t="s">
        <v>3616</v>
      </c>
    </row>
    <row r="11123" spans="1:12">
      <c r="A11123" t="s">
        <v>30729</v>
      </c>
      <c r="B11123" t="s">
        <v>30730</v>
      </c>
      <c r="C11123" t="s">
        <v>31726</v>
      </c>
      <c r="D11123" t="s">
        <v>30732</v>
      </c>
      <c r="E11123" t="s">
        <v>3284</v>
      </c>
      <c r="F11123" t="s">
        <v>31727</v>
      </c>
    </row>
    <row r="11124" spans="1:12">
      <c r="A11124" t="s">
        <v>30729</v>
      </c>
      <c r="B11124" t="s">
        <v>30730</v>
      </c>
      <c r="C11124" t="s">
        <v>31728</v>
      </c>
      <c r="D11124" t="s">
        <v>30732</v>
      </c>
      <c r="E11124" t="s">
        <v>1090</v>
      </c>
      <c r="F11124" t="s">
        <v>31729</v>
      </c>
      <c r="J11124" t="s">
        <v>1090</v>
      </c>
      <c r="K11124" t="s">
        <v>21600</v>
      </c>
      <c r="L11124" t="s">
        <v>3616</v>
      </c>
    </row>
    <row r="11125" spans="1:12">
      <c r="A11125" t="s">
        <v>30729</v>
      </c>
      <c r="B11125" t="s">
        <v>30730</v>
      </c>
      <c r="C11125" t="s">
        <v>31730</v>
      </c>
      <c r="D11125" t="s">
        <v>30732</v>
      </c>
      <c r="E11125" t="s">
        <v>6901</v>
      </c>
      <c r="F11125" t="s">
        <v>31731</v>
      </c>
      <c r="J11125" t="s">
        <v>6901</v>
      </c>
      <c r="K11125" t="s">
        <v>21600</v>
      </c>
      <c r="L11125" t="s">
        <v>3616</v>
      </c>
    </row>
    <row r="11126" spans="1:12">
      <c r="A11126" t="s">
        <v>30729</v>
      </c>
      <c r="B11126" t="s">
        <v>30730</v>
      </c>
      <c r="C11126" t="s">
        <v>31732</v>
      </c>
      <c r="D11126" t="s">
        <v>30732</v>
      </c>
      <c r="E11126" t="s">
        <v>31733</v>
      </c>
      <c r="F11126" t="s">
        <v>31734</v>
      </c>
      <c r="J11126" t="s">
        <v>31733</v>
      </c>
      <c r="K11126" t="s">
        <v>21600</v>
      </c>
      <c r="L11126" t="s">
        <v>3616</v>
      </c>
    </row>
    <row r="11127" spans="1:12">
      <c r="A11127" t="s">
        <v>30729</v>
      </c>
      <c r="B11127" t="s">
        <v>30730</v>
      </c>
      <c r="C11127" t="s">
        <v>31735</v>
      </c>
      <c r="D11127" t="s">
        <v>30732</v>
      </c>
      <c r="E11127" t="s">
        <v>31736</v>
      </c>
      <c r="F11127" t="s">
        <v>31737</v>
      </c>
      <c r="J11127" t="s">
        <v>31736</v>
      </c>
      <c r="K11127" t="s">
        <v>21600</v>
      </c>
      <c r="L11127" t="s">
        <v>3616</v>
      </c>
    </row>
    <row r="11128" spans="1:12">
      <c r="A11128" t="s">
        <v>30729</v>
      </c>
      <c r="B11128" t="s">
        <v>30730</v>
      </c>
      <c r="C11128" t="s">
        <v>31738</v>
      </c>
      <c r="D11128" t="s">
        <v>30732</v>
      </c>
      <c r="E11128" t="s">
        <v>14777</v>
      </c>
      <c r="F11128" t="s">
        <v>31739</v>
      </c>
      <c r="J11128" t="s">
        <v>14777</v>
      </c>
      <c r="K11128" t="s">
        <v>21600</v>
      </c>
      <c r="L11128" t="s">
        <v>3616</v>
      </c>
    </row>
    <row r="11129" spans="1:12">
      <c r="A11129" t="s">
        <v>30729</v>
      </c>
      <c r="B11129" t="s">
        <v>30730</v>
      </c>
      <c r="C11129" t="s">
        <v>31740</v>
      </c>
      <c r="D11129" t="s">
        <v>30732</v>
      </c>
      <c r="E11129" t="s">
        <v>1744</v>
      </c>
      <c r="F11129" t="s">
        <v>31741</v>
      </c>
      <c r="J11129" t="s">
        <v>1744</v>
      </c>
      <c r="K11129" t="s">
        <v>21600</v>
      </c>
      <c r="L11129" t="s">
        <v>3616</v>
      </c>
    </row>
    <row r="11130" spans="1:12">
      <c r="A11130" t="s">
        <v>30729</v>
      </c>
      <c r="B11130" t="s">
        <v>30730</v>
      </c>
      <c r="C11130" t="s">
        <v>31742</v>
      </c>
      <c r="D11130" t="s">
        <v>30732</v>
      </c>
      <c r="E11130" t="s">
        <v>31743</v>
      </c>
      <c r="F11130" t="s">
        <v>31744</v>
      </c>
      <c r="J11130" t="s">
        <v>31743</v>
      </c>
      <c r="K11130" t="s">
        <v>21600</v>
      </c>
      <c r="L11130" t="s">
        <v>3616</v>
      </c>
    </row>
    <row r="11131" spans="1:12">
      <c r="A11131" t="s">
        <v>30729</v>
      </c>
      <c r="B11131" t="s">
        <v>30730</v>
      </c>
      <c r="C11131" t="s">
        <v>31745</v>
      </c>
      <c r="D11131" t="s">
        <v>30732</v>
      </c>
      <c r="E11131" t="s">
        <v>27209</v>
      </c>
      <c r="F11131" t="s">
        <v>31746</v>
      </c>
      <c r="J11131" t="s">
        <v>27209</v>
      </c>
      <c r="K11131" t="s">
        <v>21600</v>
      </c>
      <c r="L11131" t="s">
        <v>3616</v>
      </c>
    </row>
    <row r="11132" spans="1:12">
      <c r="A11132" t="s">
        <v>30729</v>
      </c>
      <c r="B11132" t="s">
        <v>30730</v>
      </c>
      <c r="C11132" t="s">
        <v>31747</v>
      </c>
      <c r="D11132" t="s">
        <v>30732</v>
      </c>
      <c r="E11132" t="s">
        <v>23870</v>
      </c>
      <c r="F11132" t="s">
        <v>31748</v>
      </c>
    </row>
    <row r="11133" spans="1:12">
      <c r="A11133" t="s">
        <v>30729</v>
      </c>
      <c r="B11133" t="s">
        <v>30730</v>
      </c>
      <c r="C11133" t="s">
        <v>31749</v>
      </c>
      <c r="D11133" t="s">
        <v>30732</v>
      </c>
      <c r="E11133" t="s">
        <v>1747</v>
      </c>
      <c r="F11133" t="s">
        <v>31750</v>
      </c>
      <c r="J11133" t="s">
        <v>1747</v>
      </c>
      <c r="K11133" t="s">
        <v>21600</v>
      </c>
      <c r="L11133" t="s">
        <v>3616</v>
      </c>
    </row>
    <row r="11134" spans="1:12">
      <c r="A11134" t="s">
        <v>30729</v>
      </c>
      <c r="B11134" t="s">
        <v>30730</v>
      </c>
      <c r="C11134" t="s">
        <v>31751</v>
      </c>
      <c r="D11134" t="s">
        <v>30732</v>
      </c>
      <c r="E11134" t="s">
        <v>31752</v>
      </c>
      <c r="F11134" t="s">
        <v>31753</v>
      </c>
      <c r="J11134" t="s">
        <v>31752</v>
      </c>
      <c r="K11134" t="s">
        <v>21600</v>
      </c>
      <c r="L11134" t="s">
        <v>3616</v>
      </c>
    </row>
    <row r="11135" spans="1:12">
      <c r="A11135" t="s">
        <v>30729</v>
      </c>
      <c r="B11135" t="s">
        <v>30730</v>
      </c>
      <c r="C11135" t="s">
        <v>31754</v>
      </c>
      <c r="D11135" t="s">
        <v>30732</v>
      </c>
      <c r="E11135" t="s">
        <v>1750</v>
      </c>
      <c r="F11135" t="s">
        <v>31755</v>
      </c>
      <c r="J11135" t="s">
        <v>1750</v>
      </c>
      <c r="K11135" t="s">
        <v>21600</v>
      </c>
      <c r="L11135" t="s">
        <v>3616</v>
      </c>
    </row>
    <row r="11136" spans="1:12">
      <c r="A11136" t="s">
        <v>30729</v>
      </c>
      <c r="B11136" t="s">
        <v>30730</v>
      </c>
      <c r="C11136" t="s">
        <v>31756</v>
      </c>
      <c r="D11136" t="s">
        <v>30732</v>
      </c>
      <c r="E11136" t="s">
        <v>31757</v>
      </c>
      <c r="F11136" t="s">
        <v>31758</v>
      </c>
      <c r="J11136" t="s">
        <v>31757</v>
      </c>
      <c r="K11136" t="s">
        <v>21600</v>
      </c>
      <c r="L11136" t="s">
        <v>3616</v>
      </c>
    </row>
    <row r="11137" spans="1:12">
      <c r="A11137" t="s">
        <v>30729</v>
      </c>
      <c r="B11137" t="s">
        <v>30730</v>
      </c>
      <c r="C11137" t="s">
        <v>31759</v>
      </c>
      <c r="D11137" t="s">
        <v>30732</v>
      </c>
      <c r="E11137" t="s">
        <v>31760</v>
      </c>
      <c r="F11137" t="s">
        <v>31761</v>
      </c>
      <c r="J11137" t="s">
        <v>31760</v>
      </c>
      <c r="K11137" t="s">
        <v>21600</v>
      </c>
      <c r="L11137" t="s">
        <v>3616</v>
      </c>
    </row>
    <row r="11138" spans="1:12">
      <c r="A11138" t="s">
        <v>30729</v>
      </c>
      <c r="B11138" t="s">
        <v>30730</v>
      </c>
      <c r="C11138" t="s">
        <v>31762</v>
      </c>
      <c r="D11138" t="s">
        <v>30732</v>
      </c>
      <c r="E11138" t="s">
        <v>11819</v>
      </c>
      <c r="F11138" t="s">
        <v>31763</v>
      </c>
    </row>
    <row r="11139" spans="1:12">
      <c r="A11139" t="s">
        <v>30729</v>
      </c>
      <c r="B11139" t="s">
        <v>30730</v>
      </c>
      <c r="C11139" t="s">
        <v>31764</v>
      </c>
      <c r="D11139" t="s">
        <v>30732</v>
      </c>
      <c r="E11139" t="s">
        <v>31765</v>
      </c>
      <c r="F11139" t="s">
        <v>31766</v>
      </c>
      <c r="J11139" t="s">
        <v>31765</v>
      </c>
      <c r="K11139" t="s">
        <v>21600</v>
      </c>
      <c r="L11139" t="s">
        <v>3616</v>
      </c>
    </row>
    <row r="11140" spans="1:12">
      <c r="A11140" t="s">
        <v>30729</v>
      </c>
      <c r="B11140" t="s">
        <v>30730</v>
      </c>
      <c r="C11140" t="s">
        <v>31767</v>
      </c>
      <c r="D11140" t="s">
        <v>30732</v>
      </c>
      <c r="E11140" t="s">
        <v>31768</v>
      </c>
      <c r="F11140" t="s">
        <v>31769</v>
      </c>
      <c r="J11140" t="s">
        <v>31768</v>
      </c>
      <c r="K11140" t="s">
        <v>21600</v>
      </c>
      <c r="L11140" t="s">
        <v>3616</v>
      </c>
    </row>
    <row r="11141" spans="1:12">
      <c r="A11141" t="s">
        <v>30729</v>
      </c>
      <c r="B11141" t="s">
        <v>30730</v>
      </c>
      <c r="C11141" t="s">
        <v>31770</v>
      </c>
      <c r="D11141" t="s">
        <v>30732</v>
      </c>
      <c r="E11141" t="s">
        <v>13658</v>
      </c>
      <c r="F11141" t="s">
        <v>31771</v>
      </c>
    </row>
    <row r="11142" spans="1:12">
      <c r="A11142" t="s">
        <v>30729</v>
      </c>
      <c r="B11142" t="s">
        <v>30730</v>
      </c>
      <c r="C11142" t="s">
        <v>31772</v>
      </c>
      <c r="D11142" t="s">
        <v>30732</v>
      </c>
      <c r="E11142" t="s">
        <v>31773</v>
      </c>
      <c r="F11142" t="s">
        <v>31774</v>
      </c>
      <c r="J11142" t="s">
        <v>31773</v>
      </c>
      <c r="K11142" t="s">
        <v>21600</v>
      </c>
      <c r="L11142" t="s">
        <v>3616</v>
      </c>
    </row>
    <row r="11143" spans="1:12">
      <c r="A11143" t="s">
        <v>30729</v>
      </c>
      <c r="B11143" t="s">
        <v>30730</v>
      </c>
      <c r="C11143" t="s">
        <v>31775</v>
      </c>
      <c r="D11143" t="s">
        <v>30732</v>
      </c>
      <c r="E11143" t="s">
        <v>31776</v>
      </c>
      <c r="F11143" t="s">
        <v>31777</v>
      </c>
      <c r="J11143" t="s">
        <v>31776</v>
      </c>
      <c r="K11143" t="s">
        <v>21600</v>
      </c>
      <c r="L11143" t="s">
        <v>3616</v>
      </c>
    </row>
    <row r="11144" spans="1:12">
      <c r="A11144" t="s">
        <v>30729</v>
      </c>
      <c r="B11144" t="s">
        <v>30730</v>
      </c>
      <c r="C11144" t="s">
        <v>31778</v>
      </c>
      <c r="D11144" t="s">
        <v>30732</v>
      </c>
      <c r="E11144" t="s">
        <v>31779</v>
      </c>
      <c r="F11144" t="s">
        <v>31780</v>
      </c>
      <c r="J11144" t="s">
        <v>31779</v>
      </c>
      <c r="K11144" t="s">
        <v>21600</v>
      </c>
      <c r="L11144" t="s">
        <v>3616</v>
      </c>
    </row>
    <row r="11145" spans="1:12">
      <c r="A11145" t="s">
        <v>30729</v>
      </c>
      <c r="B11145" t="s">
        <v>30730</v>
      </c>
      <c r="C11145" t="s">
        <v>31781</v>
      </c>
      <c r="D11145" t="s">
        <v>30732</v>
      </c>
      <c r="E11145" t="s">
        <v>31782</v>
      </c>
      <c r="F11145" t="s">
        <v>31783</v>
      </c>
      <c r="J11145" t="s">
        <v>31782</v>
      </c>
      <c r="K11145" t="s">
        <v>21600</v>
      </c>
      <c r="L11145" t="s">
        <v>3616</v>
      </c>
    </row>
    <row r="11146" spans="1:12">
      <c r="A11146" t="s">
        <v>30729</v>
      </c>
      <c r="B11146" t="s">
        <v>30730</v>
      </c>
      <c r="C11146" t="s">
        <v>31784</v>
      </c>
      <c r="D11146" t="s">
        <v>30732</v>
      </c>
      <c r="E11146" t="s">
        <v>31785</v>
      </c>
      <c r="F11146" t="s">
        <v>31786</v>
      </c>
      <c r="J11146" t="s">
        <v>31785</v>
      </c>
      <c r="K11146" t="s">
        <v>21600</v>
      </c>
      <c r="L11146" t="s">
        <v>3616</v>
      </c>
    </row>
    <row r="11147" spans="1:12">
      <c r="A11147" t="s">
        <v>30729</v>
      </c>
      <c r="B11147" t="s">
        <v>30730</v>
      </c>
      <c r="C11147" t="s">
        <v>31787</v>
      </c>
      <c r="D11147" t="s">
        <v>30732</v>
      </c>
      <c r="E11147" t="s">
        <v>31788</v>
      </c>
      <c r="F11147" t="s">
        <v>31789</v>
      </c>
      <c r="J11147" t="s">
        <v>31788</v>
      </c>
      <c r="K11147" t="s">
        <v>21600</v>
      </c>
      <c r="L11147" t="s">
        <v>3616</v>
      </c>
    </row>
    <row r="11148" spans="1:12">
      <c r="A11148" t="s">
        <v>30729</v>
      </c>
      <c r="B11148" t="s">
        <v>30730</v>
      </c>
      <c r="C11148" t="s">
        <v>31790</v>
      </c>
      <c r="D11148" t="s">
        <v>30732</v>
      </c>
      <c r="E11148" t="s">
        <v>31791</v>
      </c>
      <c r="F11148" t="s">
        <v>31792</v>
      </c>
      <c r="J11148" t="s">
        <v>31791</v>
      </c>
      <c r="K11148" t="s">
        <v>21600</v>
      </c>
      <c r="L11148" t="s">
        <v>3616</v>
      </c>
    </row>
    <row r="11149" spans="1:12">
      <c r="A11149" t="s">
        <v>30729</v>
      </c>
      <c r="B11149" t="s">
        <v>30730</v>
      </c>
      <c r="C11149" t="s">
        <v>31793</v>
      </c>
      <c r="D11149" t="s">
        <v>30732</v>
      </c>
      <c r="E11149" t="s">
        <v>28137</v>
      </c>
      <c r="F11149" t="s">
        <v>31794</v>
      </c>
    </row>
    <row r="11150" spans="1:12">
      <c r="A11150" t="s">
        <v>30729</v>
      </c>
      <c r="B11150" t="s">
        <v>30730</v>
      </c>
      <c r="C11150" t="s">
        <v>31795</v>
      </c>
      <c r="D11150" t="s">
        <v>30732</v>
      </c>
      <c r="E11150" t="s">
        <v>1102</v>
      </c>
      <c r="F11150" t="s">
        <v>31796</v>
      </c>
    </row>
    <row r="11151" spans="1:12">
      <c r="A11151" t="s">
        <v>30729</v>
      </c>
      <c r="B11151" t="s">
        <v>30730</v>
      </c>
      <c r="C11151" t="s">
        <v>31797</v>
      </c>
      <c r="D11151" t="s">
        <v>30732</v>
      </c>
      <c r="E11151" t="s">
        <v>31798</v>
      </c>
      <c r="F11151" t="s">
        <v>31799</v>
      </c>
      <c r="J11151" t="s">
        <v>31798</v>
      </c>
      <c r="K11151" t="s">
        <v>21600</v>
      </c>
      <c r="L11151" t="s">
        <v>3616</v>
      </c>
    </row>
    <row r="11152" spans="1:12">
      <c r="A11152" t="s">
        <v>30729</v>
      </c>
      <c r="B11152" t="s">
        <v>30730</v>
      </c>
      <c r="C11152" t="s">
        <v>31800</v>
      </c>
      <c r="D11152" t="s">
        <v>30732</v>
      </c>
      <c r="E11152" t="s">
        <v>31801</v>
      </c>
      <c r="F11152" t="s">
        <v>31802</v>
      </c>
      <c r="J11152" t="s">
        <v>31803</v>
      </c>
      <c r="K11152" t="s">
        <v>520</v>
      </c>
      <c r="L11152" t="s">
        <v>31803</v>
      </c>
    </row>
    <row r="11153" spans="1:12">
      <c r="A11153" t="s">
        <v>30729</v>
      </c>
      <c r="B11153" t="s">
        <v>30730</v>
      </c>
      <c r="C11153" t="s">
        <v>31804</v>
      </c>
      <c r="D11153" t="s">
        <v>30732</v>
      </c>
      <c r="E11153" t="s">
        <v>27219</v>
      </c>
      <c r="F11153" t="s">
        <v>31805</v>
      </c>
      <c r="J11153" t="s">
        <v>27219</v>
      </c>
      <c r="K11153" t="s">
        <v>21600</v>
      </c>
      <c r="L11153" t="s">
        <v>3616</v>
      </c>
    </row>
    <row r="11154" spans="1:12">
      <c r="A11154" t="s">
        <v>30729</v>
      </c>
      <c r="B11154" t="s">
        <v>30730</v>
      </c>
      <c r="C11154" t="s">
        <v>31806</v>
      </c>
      <c r="D11154" t="s">
        <v>30732</v>
      </c>
      <c r="E11154" t="s">
        <v>23876</v>
      </c>
      <c r="F11154" t="s">
        <v>31807</v>
      </c>
      <c r="J11154" t="s">
        <v>23876</v>
      </c>
      <c r="K11154" t="s">
        <v>21600</v>
      </c>
      <c r="L11154" t="s">
        <v>3616</v>
      </c>
    </row>
    <row r="11155" spans="1:12">
      <c r="A11155" t="s">
        <v>30729</v>
      </c>
      <c r="B11155" t="s">
        <v>30730</v>
      </c>
      <c r="C11155" t="s">
        <v>31808</v>
      </c>
      <c r="D11155" t="s">
        <v>30732</v>
      </c>
      <c r="E11155" t="s">
        <v>3218</v>
      </c>
      <c r="F11155" t="s">
        <v>31809</v>
      </c>
    </row>
    <row r="11156" spans="1:12">
      <c r="A11156" t="s">
        <v>30729</v>
      </c>
      <c r="B11156" t="s">
        <v>30730</v>
      </c>
      <c r="C11156" t="s">
        <v>31810</v>
      </c>
      <c r="D11156" t="s">
        <v>30732</v>
      </c>
      <c r="E11156" t="s">
        <v>31811</v>
      </c>
      <c r="F11156" t="s">
        <v>31812</v>
      </c>
      <c r="J11156" t="s">
        <v>31811</v>
      </c>
      <c r="K11156" t="s">
        <v>21600</v>
      </c>
      <c r="L11156" t="s">
        <v>3616</v>
      </c>
    </row>
    <row r="11157" spans="1:12">
      <c r="A11157" t="s">
        <v>30729</v>
      </c>
      <c r="B11157" t="s">
        <v>30730</v>
      </c>
      <c r="C11157" t="s">
        <v>31813</v>
      </c>
      <c r="D11157" t="s">
        <v>30732</v>
      </c>
      <c r="E11157" t="s">
        <v>24883</v>
      </c>
      <c r="F11157" t="s">
        <v>31814</v>
      </c>
      <c r="J11157" t="s">
        <v>24883</v>
      </c>
      <c r="K11157" t="s">
        <v>21600</v>
      </c>
      <c r="L11157" t="s">
        <v>3616</v>
      </c>
    </row>
    <row r="11158" spans="1:12">
      <c r="A11158" t="s">
        <v>30729</v>
      </c>
      <c r="B11158" t="s">
        <v>30730</v>
      </c>
      <c r="C11158" t="s">
        <v>31815</v>
      </c>
      <c r="D11158" t="s">
        <v>30732</v>
      </c>
      <c r="E11158" t="s">
        <v>31816</v>
      </c>
      <c r="F11158" t="s">
        <v>31817</v>
      </c>
      <c r="J11158" t="s">
        <v>31816</v>
      </c>
      <c r="K11158" t="s">
        <v>21600</v>
      </c>
      <c r="L11158" t="s">
        <v>3616</v>
      </c>
    </row>
    <row r="11159" spans="1:12">
      <c r="A11159" t="s">
        <v>30729</v>
      </c>
      <c r="B11159" t="s">
        <v>30730</v>
      </c>
      <c r="C11159" t="s">
        <v>31818</v>
      </c>
      <c r="D11159" t="s">
        <v>30732</v>
      </c>
      <c r="E11159" t="s">
        <v>1777</v>
      </c>
      <c r="F11159" t="s">
        <v>31819</v>
      </c>
      <c r="J11159" t="s">
        <v>1777</v>
      </c>
      <c r="K11159" t="s">
        <v>21600</v>
      </c>
      <c r="L11159" t="s">
        <v>3616</v>
      </c>
    </row>
    <row r="11160" spans="1:12">
      <c r="A11160" t="s">
        <v>30729</v>
      </c>
      <c r="B11160" t="s">
        <v>30730</v>
      </c>
      <c r="C11160" t="s">
        <v>31820</v>
      </c>
      <c r="D11160" t="s">
        <v>30732</v>
      </c>
      <c r="E11160" t="s">
        <v>31821</v>
      </c>
      <c r="F11160" t="s">
        <v>31822</v>
      </c>
      <c r="J11160" t="s">
        <v>31821</v>
      </c>
      <c r="K11160" t="s">
        <v>21600</v>
      </c>
      <c r="L11160" t="s">
        <v>3616</v>
      </c>
    </row>
    <row r="11161" spans="1:12">
      <c r="A11161" t="s">
        <v>30729</v>
      </c>
      <c r="B11161" t="s">
        <v>30730</v>
      </c>
      <c r="C11161" t="s">
        <v>31823</v>
      </c>
      <c r="D11161" t="s">
        <v>30732</v>
      </c>
      <c r="E11161" t="s">
        <v>1780</v>
      </c>
      <c r="F11161" t="s">
        <v>31824</v>
      </c>
      <c r="J11161" t="s">
        <v>1780</v>
      </c>
      <c r="K11161" t="s">
        <v>21600</v>
      </c>
      <c r="L11161" t="s">
        <v>3616</v>
      </c>
    </row>
    <row r="11162" spans="1:12">
      <c r="A11162" t="s">
        <v>30729</v>
      </c>
      <c r="B11162" t="s">
        <v>30730</v>
      </c>
      <c r="C11162" t="s">
        <v>31825</v>
      </c>
      <c r="D11162" t="s">
        <v>30732</v>
      </c>
      <c r="E11162" t="s">
        <v>31826</v>
      </c>
      <c r="F11162" t="s">
        <v>31827</v>
      </c>
      <c r="J11162" t="s">
        <v>31826</v>
      </c>
      <c r="K11162" t="s">
        <v>21600</v>
      </c>
      <c r="L11162" t="s">
        <v>3616</v>
      </c>
    </row>
    <row r="11163" spans="1:12">
      <c r="A11163" t="s">
        <v>30729</v>
      </c>
      <c r="B11163" t="s">
        <v>30730</v>
      </c>
      <c r="C11163" t="s">
        <v>31828</v>
      </c>
      <c r="D11163" t="s">
        <v>30732</v>
      </c>
      <c r="E11163" t="s">
        <v>31829</v>
      </c>
      <c r="F11163" t="s">
        <v>31830</v>
      </c>
      <c r="J11163" t="s">
        <v>31829</v>
      </c>
      <c r="K11163" t="s">
        <v>21600</v>
      </c>
      <c r="L11163" t="s">
        <v>3616</v>
      </c>
    </row>
    <row r="11164" spans="1:12">
      <c r="A11164" t="s">
        <v>30729</v>
      </c>
      <c r="B11164" t="s">
        <v>30730</v>
      </c>
      <c r="C11164" t="s">
        <v>31831</v>
      </c>
      <c r="D11164" t="s">
        <v>30732</v>
      </c>
      <c r="E11164" t="s">
        <v>1114</v>
      </c>
      <c r="F11164" t="s">
        <v>31832</v>
      </c>
      <c r="J11164" t="s">
        <v>1114</v>
      </c>
      <c r="K11164" t="s">
        <v>21600</v>
      </c>
      <c r="L11164" t="s">
        <v>3616</v>
      </c>
    </row>
    <row r="11165" spans="1:12">
      <c r="A11165" t="s">
        <v>30729</v>
      </c>
      <c r="B11165" t="s">
        <v>30730</v>
      </c>
      <c r="C11165" t="s">
        <v>31833</v>
      </c>
      <c r="D11165" t="s">
        <v>30732</v>
      </c>
      <c r="E11165" t="s">
        <v>28073</v>
      </c>
      <c r="F11165" t="s">
        <v>31834</v>
      </c>
    </row>
    <row r="11166" spans="1:12">
      <c r="A11166" t="s">
        <v>30729</v>
      </c>
      <c r="B11166" t="s">
        <v>30730</v>
      </c>
      <c r="C11166" t="s">
        <v>31835</v>
      </c>
      <c r="D11166" t="s">
        <v>30732</v>
      </c>
      <c r="E11166" t="s">
        <v>1117</v>
      </c>
      <c r="F11166" t="s">
        <v>31836</v>
      </c>
    </row>
    <row r="11167" spans="1:12">
      <c r="A11167" t="s">
        <v>30729</v>
      </c>
      <c r="B11167" t="s">
        <v>30730</v>
      </c>
      <c r="C11167" t="s">
        <v>31837</v>
      </c>
      <c r="D11167" t="s">
        <v>30732</v>
      </c>
      <c r="E11167" t="s">
        <v>31838</v>
      </c>
      <c r="F11167" t="s">
        <v>31839</v>
      </c>
      <c r="J11167" t="s">
        <v>31838</v>
      </c>
      <c r="K11167" t="s">
        <v>21600</v>
      </c>
      <c r="L11167" t="s">
        <v>3616</v>
      </c>
    </row>
    <row r="11168" spans="1:12">
      <c r="A11168" t="s">
        <v>30729</v>
      </c>
      <c r="B11168" t="s">
        <v>30730</v>
      </c>
      <c r="C11168" t="s">
        <v>31840</v>
      </c>
      <c r="D11168" t="s">
        <v>30732</v>
      </c>
      <c r="E11168" t="s">
        <v>31841</v>
      </c>
      <c r="F11168" t="s">
        <v>31842</v>
      </c>
    </row>
    <row r="11169" spans="1:12">
      <c r="A11169" t="s">
        <v>30729</v>
      </c>
      <c r="B11169" t="s">
        <v>30730</v>
      </c>
      <c r="C11169" t="s">
        <v>31843</v>
      </c>
      <c r="D11169" t="s">
        <v>30732</v>
      </c>
      <c r="E11169" t="s">
        <v>31844</v>
      </c>
      <c r="F11169" t="s">
        <v>31845</v>
      </c>
    </row>
    <row r="11170" spans="1:12">
      <c r="A11170" t="s">
        <v>30729</v>
      </c>
      <c r="B11170" t="s">
        <v>30730</v>
      </c>
      <c r="C11170" t="s">
        <v>31846</v>
      </c>
      <c r="D11170" t="s">
        <v>30732</v>
      </c>
      <c r="E11170" t="s">
        <v>3951</v>
      </c>
      <c r="F11170" t="s">
        <v>31847</v>
      </c>
    </row>
    <row r="11171" spans="1:12">
      <c r="A11171" t="s">
        <v>30729</v>
      </c>
      <c r="B11171" t="s">
        <v>30730</v>
      </c>
      <c r="C11171" t="s">
        <v>31848</v>
      </c>
      <c r="D11171" t="s">
        <v>30732</v>
      </c>
      <c r="E11171" t="s">
        <v>31849</v>
      </c>
      <c r="F11171" t="s">
        <v>31850</v>
      </c>
    </row>
    <row r="11172" spans="1:12">
      <c r="A11172" t="s">
        <v>30729</v>
      </c>
      <c r="B11172" t="s">
        <v>30730</v>
      </c>
      <c r="C11172" t="s">
        <v>31851</v>
      </c>
      <c r="D11172" t="s">
        <v>30732</v>
      </c>
      <c r="E11172" t="s">
        <v>876</v>
      </c>
      <c r="F11172" t="s">
        <v>31852</v>
      </c>
    </row>
    <row r="11173" spans="1:12">
      <c r="A11173" t="s">
        <v>30729</v>
      </c>
      <c r="B11173" t="s">
        <v>30730</v>
      </c>
      <c r="C11173" t="s">
        <v>31853</v>
      </c>
      <c r="D11173" t="s">
        <v>30732</v>
      </c>
      <c r="E11173" t="s">
        <v>4678</v>
      </c>
      <c r="F11173" t="s">
        <v>31854</v>
      </c>
    </row>
    <row r="11174" spans="1:12">
      <c r="A11174" t="s">
        <v>30729</v>
      </c>
      <c r="B11174" t="s">
        <v>30730</v>
      </c>
      <c r="C11174" t="s">
        <v>31855</v>
      </c>
      <c r="D11174" t="s">
        <v>30732</v>
      </c>
      <c r="E11174" t="s">
        <v>27229</v>
      </c>
      <c r="F11174" t="s">
        <v>31856</v>
      </c>
    </row>
    <row r="11175" spans="1:12">
      <c r="A11175" t="s">
        <v>30729</v>
      </c>
      <c r="B11175" t="s">
        <v>30730</v>
      </c>
      <c r="C11175" t="s">
        <v>31857</v>
      </c>
      <c r="D11175" t="s">
        <v>30732</v>
      </c>
      <c r="E11175" t="s">
        <v>4946</v>
      </c>
      <c r="F11175" t="s">
        <v>31858</v>
      </c>
      <c r="J11175" t="s">
        <v>4946</v>
      </c>
      <c r="K11175" t="s">
        <v>21600</v>
      </c>
      <c r="L11175" t="s">
        <v>3616</v>
      </c>
    </row>
    <row r="11176" spans="1:12">
      <c r="A11176" t="s">
        <v>30729</v>
      </c>
      <c r="B11176" t="s">
        <v>30730</v>
      </c>
      <c r="C11176" t="s">
        <v>31859</v>
      </c>
      <c r="D11176" t="s">
        <v>30732</v>
      </c>
      <c r="E11176" t="s">
        <v>31860</v>
      </c>
      <c r="F11176" t="s">
        <v>31861</v>
      </c>
      <c r="J11176" t="s">
        <v>31860</v>
      </c>
      <c r="K11176" t="s">
        <v>21600</v>
      </c>
      <c r="L11176" t="s">
        <v>3616</v>
      </c>
    </row>
    <row r="11177" spans="1:12">
      <c r="A11177" t="s">
        <v>30729</v>
      </c>
      <c r="B11177" t="s">
        <v>30730</v>
      </c>
      <c r="C11177" t="s">
        <v>31862</v>
      </c>
      <c r="D11177" t="s">
        <v>30732</v>
      </c>
      <c r="E11177" t="s">
        <v>23786</v>
      </c>
      <c r="F11177" t="s">
        <v>31863</v>
      </c>
      <c r="J11177" t="s">
        <v>23786</v>
      </c>
      <c r="K11177" t="s">
        <v>21600</v>
      </c>
      <c r="L11177" t="s">
        <v>3616</v>
      </c>
    </row>
    <row r="11178" spans="1:12">
      <c r="A11178" t="s">
        <v>30729</v>
      </c>
      <c r="B11178" t="s">
        <v>30730</v>
      </c>
      <c r="C11178" t="s">
        <v>31864</v>
      </c>
      <c r="D11178" t="s">
        <v>30732</v>
      </c>
      <c r="E11178" t="s">
        <v>4949</v>
      </c>
      <c r="F11178" t="s">
        <v>31865</v>
      </c>
      <c r="J11178" t="s">
        <v>4949</v>
      </c>
      <c r="K11178" t="s">
        <v>21600</v>
      </c>
      <c r="L11178" t="s">
        <v>3616</v>
      </c>
    </row>
    <row r="11179" spans="1:12">
      <c r="A11179" t="s">
        <v>30729</v>
      </c>
      <c r="B11179" t="s">
        <v>30730</v>
      </c>
      <c r="C11179" t="s">
        <v>31866</v>
      </c>
      <c r="D11179" t="s">
        <v>30732</v>
      </c>
      <c r="E11179" t="s">
        <v>13161</v>
      </c>
      <c r="F11179" t="s">
        <v>31867</v>
      </c>
    </row>
    <row r="11180" spans="1:12">
      <c r="A11180" t="s">
        <v>30729</v>
      </c>
      <c r="B11180" t="s">
        <v>30730</v>
      </c>
      <c r="C11180" t="s">
        <v>31868</v>
      </c>
      <c r="D11180" t="s">
        <v>30732</v>
      </c>
      <c r="E11180" t="s">
        <v>31869</v>
      </c>
      <c r="F11180" t="s">
        <v>31870</v>
      </c>
      <c r="J11180" t="s">
        <v>31869</v>
      </c>
      <c r="K11180" t="s">
        <v>21600</v>
      </c>
      <c r="L11180" t="s">
        <v>3616</v>
      </c>
    </row>
    <row r="11181" spans="1:12">
      <c r="A11181" t="s">
        <v>30729</v>
      </c>
      <c r="B11181" t="s">
        <v>30730</v>
      </c>
      <c r="C11181" t="s">
        <v>31871</v>
      </c>
      <c r="D11181" t="s">
        <v>30732</v>
      </c>
      <c r="E11181" t="s">
        <v>31872</v>
      </c>
      <c r="F11181" t="s">
        <v>31873</v>
      </c>
      <c r="J11181" t="s">
        <v>31872</v>
      </c>
      <c r="K11181" t="s">
        <v>21600</v>
      </c>
      <c r="L11181" t="s">
        <v>3616</v>
      </c>
    </row>
    <row r="11182" spans="1:12">
      <c r="A11182" t="s">
        <v>30729</v>
      </c>
      <c r="B11182" t="s">
        <v>30730</v>
      </c>
      <c r="C11182" t="s">
        <v>31874</v>
      </c>
      <c r="D11182" t="s">
        <v>30732</v>
      </c>
      <c r="E11182" t="s">
        <v>14026</v>
      </c>
      <c r="F11182" t="s">
        <v>31875</v>
      </c>
      <c r="J11182" t="s">
        <v>14026</v>
      </c>
      <c r="K11182" t="s">
        <v>21600</v>
      </c>
      <c r="L11182" t="s">
        <v>3616</v>
      </c>
    </row>
    <row r="11183" spans="1:12">
      <c r="A11183" t="s">
        <v>30729</v>
      </c>
      <c r="B11183" t="s">
        <v>30730</v>
      </c>
      <c r="C11183" t="s">
        <v>31876</v>
      </c>
      <c r="D11183" t="s">
        <v>30732</v>
      </c>
      <c r="E11183" t="s">
        <v>31877</v>
      </c>
      <c r="F11183" t="s">
        <v>31878</v>
      </c>
    </row>
    <row r="11184" spans="1:12">
      <c r="A11184" t="s">
        <v>30729</v>
      </c>
      <c r="B11184" t="s">
        <v>30730</v>
      </c>
      <c r="C11184" t="s">
        <v>31879</v>
      </c>
      <c r="D11184" t="s">
        <v>30732</v>
      </c>
      <c r="E11184" t="s">
        <v>31880</v>
      </c>
      <c r="F11184" t="s">
        <v>31881</v>
      </c>
      <c r="J11184" t="s">
        <v>31880</v>
      </c>
      <c r="K11184" t="s">
        <v>21600</v>
      </c>
      <c r="L11184" t="s">
        <v>3616</v>
      </c>
    </row>
    <row r="11185" spans="1:12">
      <c r="A11185" t="s">
        <v>30729</v>
      </c>
      <c r="B11185" t="s">
        <v>30730</v>
      </c>
      <c r="C11185" t="s">
        <v>31882</v>
      </c>
      <c r="D11185" t="s">
        <v>30732</v>
      </c>
      <c r="E11185" t="s">
        <v>31883</v>
      </c>
      <c r="F11185" t="s">
        <v>31884</v>
      </c>
      <c r="J11185" t="s">
        <v>31883</v>
      </c>
      <c r="K11185" t="s">
        <v>21600</v>
      </c>
      <c r="L11185" t="s">
        <v>3616</v>
      </c>
    </row>
    <row r="11186" spans="1:12">
      <c r="A11186" t="s">
        <v>30729</v>
      </c>
      <c r="B11186" t="s">
        <v>30730</v>
      </c>
      <c r="C11186" t="s">
        <v>31885</v>
      </c>
      <c r="D11186" t="s">
        <v>30732</v>
      </c>
      <c r="E11186" t="s">
        <v>31886</v>
      </c>
      <c r="F11186" t="s">
        <v>31887</v>
      </c>
      <c r="J11186" t="s">
        <v>31886</v>
      </c>
      <c r="K11186" t="s">
        <v>21600</v>
      </c>
      <c r="L11186" t="s">
        <v>3616</v>
      </c>
    </row>
    <row r="11187" spans="1:12">
      <c r="A11187" t="s">
        <v>30729</v>
      </c>
      <c r="B11187" t="s">
        <v>30730</v>
      </c>
      <c r="C11187" t="s">
        <v>31888</v>
      </c>
      <c r="D11187" t="s">
        <v>30732</v>
      </c>
      <c r="E11187" t="s">
        <v>31889</v>
      </c>
      <c r="F11187" t="s">
        <v>31890</v>
      </c>
      <c r="J11187" t="s">
        <v>31889</v>
      </c>
      <c r="K11187" t="s">
        <v>21600</v>
      </c>
      <c r="L11187" t="s">
        <v>3616</v>
      </c>
    </row>
    <row r="11188" spans="1:12">
      <c r="A11188" t="s">
        <v>30729</v>
      </c>
      <c r="B11188" t="s">
        <v>30730</v>
      </c>
      <c r="C11188" t="s">
        <v>31891</v>
      </c>
      <c r="D11188" t="s">
        <v>30732</v>
      </c>
      <c r="E11188" t="s">
        <v>31892</v>
      </c>
      <c r="F11188" t="s">
        <v>31893</v>
      </c>
      <c r="J11188" t="s">
        <v>31892</v>
      </c>
      <c r="K11188" t="s">
        <v>21600</v>
      </c>
      <c r="L11188" t="s">
        <v>3616</v>
      </c>
    </row>
    <row r="11189" spans="1:12">
      <c r="A11189" t="s">
        <v>30729</v>
      </c>
      <c r="B11189" t="s">
        <v>30730</v>
      </c>
      <c r="C11189" t="s">
        <v>31894</v>
      </c>
      <c r="D11189" t="s">
        <v>30732</v>
      </c>
      <c r="E11189" t="s">
        <v>31895</v>
      </c>
      <c r="F11189" t="s">
        <v>31896</v>
      </c>
      <c r="J11189" t="s">
        <v>31895</v>
      </c>
      <c r="K11189" t="s">
        <v>21600</v>
      </c>
      <c r="L11189" t="s">
        <v>3616</v>
      </c>
    </row>
    <row r="11190" spans="1:12">
      <c r="A11190" t="s">
        <v>30729</v>
      </c>
      <c r="B11190" t="s">
        <v>30730</v>
      </c>
      <c r="C11190" t="s">
        <v>31897</v>
      </c>
      <c r="D11190" t="s">
        <v>30732</v>
      </c>
      <c r="E11190" t="s">
        <v>31898</v>
      </c>
      <c r="F11190" t="s">
        <v>31899</v>
      </c>
    </row>
    <row r="11191" spans="1:12">
      <c r="A11191" t="s">
        <v>30729</v>
      </c>
      <c r="B11191" t="s">
        <v>30730</v>
      </c>
      <c r="C11191" t="s">
        <v>31900</v>
      </c>
      <c r="D11191" t="s">
        <v>30732</v>
      </c>
      <c r="E11191" t="s">
        <v>31901</v>
      </c>
      <c r="F11191" t="s">
        <v>31902</v>
      </c>
      <c r="J11191" t="s">
        <v>31901</v>
      </c>
      <c r="K11191" t="s">
        <v>21600</v>
      </c>
      <c r="L11191" t="s">
        <v>3616</v>
      </c>
    </row>
    <row r="11192" spans="1:12">
      <c r="A11192" t="s">
        <v>30729</v>
      </c>
      <c r="B11192" t="s">
        <v>30730</v>
      </c>
      <c r="C11192" t="s">
        <v>31903</v>
      </c>
      <c r="D11192" t="s">
        <v>30732</v>
      </c>
      <c r="E11192" t="s">
        <v>31904</v>
      </c>
      <c r="F11192" t="s">
        <v>31905</v>
      </c>
      <c r="J11192" t="s">
        <v>31904</v>
      </c>
      <c r="K11192" t="s">
        <v>21600</v>
      </c>
      <c r="L11192" t="s">
        <v>3616</v>
      </c>
    </row>
    <row r="11193" spans="1:12">
      <c r="A11193" t="s">
        <v>30729</v>
      </c>
      <c r="B11193" t="s">
        <v>30730</v>
      </c>
      <c r="C11193" t="s">
        <v>31906</v>
      </c>
      <c r="D11193" t="s">
        <v>30732</v>
      </c>
      <c r="E11193" t="s">
        <v>31907</v>
      </c>
      <c r="F11193" t="s">
        <v>31908</v>
      </c>
      <c r="J11193" t="s">
        <v>31907</v>
      </c>
      <c r="K11193" t="s">
        <v>21600</v>
      </c>
      <c r="L11193" t="s">
        <v>3616</v>
      </c>
    </row>
    <row r="11194" spans="1:12">
      <c r="A11194" t="s">
        <v>30729</v>
      </c>
      <c r="B11194" t="s">
        <v>30730</v>
      </c>
      <c r="C11194" t="s">
        <v>31909</v>
      </c>
      <c r="D11194" t="s">
        <v>30732</v>
      </c>
      <c r="E11194" t="s">
        <v>31910</v>
      </c>
      <c r="F11194" t="s">
        <v>31911</v>
      </c>
      <c r="J11194" t="s">
        <v>31910</v>
      </c>
      <c r="K11194" t="s">
        <v>21600</v>
      </c>
      <c r="L11194" t="s">
        <v>3616</v>
      </c>
    </row>
    <row r="11195" spans="1:12">
      <c r="A11195" t="s">
        <v>30729</v>
      </c>
      <c r="B11195" t="s">
        <v>30730</v>
      </c>
      <c r="C11195" t="s">
        <v>31912</v>
      </c>
      <c r="D11195" t="s">
        <v>30732</v>
      </c>
      <c r="E11195" t="s">
        <v>31913</v>
      </c>
      <c r="F11195" t="s">
        <v>31914</v>
      </c>
      <c r="J11195" t="s">
        <v>31913</v>
      </c>
      <c r="K11195" t="s">
        <v>21600</v>
      </c>
      <c r="L11195" t="s">
        <v>3616</v>
      </c>
    </row>
    <row r="11196" spans="1:12">
      <c r="A11196" t="s">
        <v>30729</v>
      </c>
      <c r="B11196" t="s">
        <v>30730</v>
      </c>
      <c r="C11196" t="s">
        <v>31915</v>
      </c>
      <c r="D11196" t="s">
        <v>30732</v>
      </c>
      <c r="E11196" t="s">
        <v>31916</v>
      </c>
      <c r="F11196" t="s">
        <v>31917</v>
      </c>
    </row>
    <row r="11197" spans="1:12">
      <c r="A11197" t="s">
        <v>30729</v>
      </c>
      <c r="B11197" t="s">
        <v>30730</v>
      </c>
      <c r="C11197" t="s">
        <v>31918</v>
      </c>
      <c r="D11197" t="s">
        <v>30732</v>
      </c>
      <c r="E11197" t="s">
        <v>31919</v>
      </c>
      <c r="F11197" t="s">
        <v>31920</v>
      </c>
      <c r="J11197" t="s">
        <v>31919</v>
      </c>
      <c r="K11197" t="s">
        <v>21600</v>
      </c>
      <c r="L11197" t="s">
        <v>3616</v>
      </c>
    </row>
    <row r="11198" spans="1:12">
      <c r="A11198" t="s">
        <v>30729</v>
      </c>
      <c r="B11198" t="s">
        <v>30730</v>
      </c>
      <c r="C11198" t="s">
        <v>31921</v>
      </c>
      <c r="D11198" t="s">
        <v>30732</v>
      </c>
      <c r="E11198" t="s">
        <v>23888</v>
      </c>
      <c r="F11198" t="s">
        <v>31922</v>
      </c>
    </row>
    <row r="11199" spans="1:12">
      <c r="A11199" t="s">
        <v>30729</v>
      </c>
      <c r="B11199" t="s">
        <v>30730</v>
      </c>
      <c r="C11199" t="s">
        <v>31923</v>
      </c>
      <c r="D11199" t="s">
        <v>30732</v>
      </c>
      <c r="E11199" t="s">
        <v>31924</v>
      </c>
      <c r="F11199" t="s">
        <v>31925</v>
      </c>
      <c r="J11199" t="s">
        <v>31924</v>
      </c>
      <c r="K11199" t="s">
        <v>21600</v>
      </c>
      <c r="L11199" t="s">
        <v>3616</v>
      </c>
    </row>
    <row r="11200" spans="1:12">
      <c r="A11200" t="s">
        <v>30729</v>
      </c>
      <c r="B11200" t="s">
        <v>30730</v>
      </c>
      <c r="C11200" t="s">
        <v>31926</v>
      </c>
      <c r="D11200" t="s">
        <v>30732</v>
      </c>
      <c r="E11200" t="s">
        <v>8733</v>
      </c>
      <c r="F11200" t="s">
        <v>31927</v>
      </c>
    </row>
    <row r="11201" spans="1:12">
      <c r="A11201" t="s">
        <v>30729</v>
      </c>
      <c r="B11201" t="s">
        <v>30730</v>
      </c>
      <c r="C11201" t="s">
        <v>31928</v>
      </c>
      <c r="D11201" t="s">
        <v>30732</v>
      </c>
      <c r="E11201" t="s">
        <v>31929</v>
      </c>
      <c r="F11201" t="s">
        <v>31930</v>
      </c>
      <c r="J11201" t="s">
        <v>31929</v>
      </c>
      <c r="K11201" t="s">
        <v>21600</v>
      </c>
      <c r="L11201" t="s">
        <v>3616</v>
      </c>
    </row>
    <row r="11202" spans="1:12">
      <c r="A11202" t="s">
        <v>30729</v>
      </c>
      <c r="B11202" t="s">
        <v>30730</v>
      </c>
      <c r="C11202" t="s">
        <v>31931</v>
      </c>
      <c r="D11202" t="s">
        <v>30732</v>
      </c>
      <c r="E11202" t="s">
        <v>31932</v>
      </c>
      <c r="F11202" t="s">
        <v>31933</v>
      </c>
      <c r="J11202" t="s">
        <v>31932</v>
      </c>
      <c r="K11202" t="s">
        <v>21600</v>
      </c>
      <c r="L11202" t="s">
        <v>3616</v>
      </c>
    </row>
    <row r="11203" spans="1:12">
      <c r="A11203" t="s">
        <v>30729</v>
      </c>
      <c r="B11203" t="s">
        <v>30730</v>
      </c>
      <c r="C11203" t="s">
        <v>31934</v>
      </c>
      <c r="D11203" t="s">
        <v>30732</v>
      </c>
      <c r="E11203" t="s">
        <v>1135</v>
      </c>
      <c r="F11203" t="s">
        <v>31935</v>
      </c>
    </row>
    <row r="11204" spans="1:12">
      <c r="A11204" t="s">
        <v>30729</v>
      </c>
      <c r="B11204" t="s">
        <v>30730</v>
      </c>
      <c r="C11204" t="s">
        <v>31936</v>
      </c>
      <c r="D11204" t="s">
        <v>30732</v>
      </c>
      <c r="E11204" t="s">
        <v>31937</v>
      </c>
      <c r="F11204" t="s">
        <v>31938</v>
      </c>
      <c r="J11204" t="s">
        <v>31937</v>
      </c>
      <c r="K11204" t="s">
        <v>21600</v>
      </c>
      <c r="L11204" t="s">
        <v>3616</v>
      </c>
    </row>
    <row r="11205" spans="1:12">
      <c r="A11205" t="s">
        <v>30729</v>
      </c>
      <c r="B11205" t="s">
        <v>30730</v>
      </c>
      <c r="C11205" t="s">
        <v>31939</v>
      </c>
      <c r="D11205" t="s">
        <v>30732</v>
      </c>
      <c r="E11205" t="s">
        <v>31940</v>
      </c>
      <c r="F11205" t="s">
        <v>31941</v>
      </c>
      <c r="J11205" t="s">
        <v>31940</v>
      </c>
      <c r="K11205" t="s">
        <v>21600</v>
      </c>
      <c r="L11205" t="s">
        <v>3616</v>
      </c>
    </row>
    <row r="11206" spans="1:12">
      <c r="A11206" t="s">
        <v>30729</v>
      </c>
      <c r="B11206" t="s">
        <v>30730</v>
      </c>
      <c r="C11206" t="s">
        <v>31942</v>
      </c>
      <c r="D11206" t="s">
        <v>30732</v>
      </c>
      <c r="E11206" t="s">
        <v>31943</v>
      </c>
      <c r="F11206" t="s">
        <v>31944</v>
      </c>
      <c r="J11206" t="s">
        <v>31943</v>
      </c>
      <c r="K11206" t="s">
        <v>21600</v>
      </c>
      <c r="L11206" t="s">
        <v>3616</v>
      </c>
    </row>
    <row r="11207" spans="1:12">
      <c r="A11207" t="s">
        <v>30729</v>
      </c>
      <c r="B11207" t="s">
        <v>30730</v>
      </c>
      <c r="C11207" t="s">
        <v>31945</v>
      </c>
      <c r="D11207" t="s">
        <v>30732</v>
      </c>
      <c r="E11207" t="s">
        <v>31946</v>
      </c>
      <c r="F11207" t="s">
        <v>31938</v>
      </c>
      <c r="J11207" t="s">
        <v>31946</v>
      </c>
      <c r="K11207" t="s">
        <v>21600</v>
      </c>
      <c r="L11207" t="s">
        <v>3616</v>
      </c>
    </row>
    <row r="11208" spans="1:12">
      <c r="A11208" t="s">
        <v>30729</v>
      </c>
      <c r="B11208" t="s">
        <v>30730</v>
      </c>
      <c r="C11208" t="s">
        <v>31947</v>
      </c>
      <c r="D11208" t="s">
        <v>30732</v>
      </c>
      <c r="E11208" t="s">
        <v>31948</v>
      </c>
      <c r="F11208" t="s">
        <v>31949</v>
      </c>
      <c r="J11208" t="s">
        <v>31948</v>
      </c>
      <c r="K11208" t="s">
        <v>21600</v>
      </c>
      <c r="L11208" t="s">
        <v>3616</v>
      </c>
    </row>
    <row r="11209" spans="1:12">
      <c r="A11209" t="s">
        <v>30729</v>
      </c>
      <c r="B11209" t="s">
        <v>30730</v>
      </c>
      <c r="C11209" t="s">
        <v>31950</v>
      </c>
      <c r="D11209" t="s">
        <v>30732</v>
      </c>
      <c r="E11209" t="s">
        <v>31951</v>
      </c>
      <c r="F11209" t="s">
        <v>31952</v>
      </c>
      <c r="J11209" t="s">
        <v>31951</v>
      </c>
      <c r="K11209" t="s">
        <v>21600</v>
      </c>
      <c r="L11209" t="s">
        <v>3616</v>
      </c>
    </row>
    <row r="11210" spans="1:12">
      <c r="A11210" t="s">
        <v>30729</v>
      </c>
      <c r="B11210" t="s">
        <v>30730</v>
      </c>
      <c r="C11210" t="s">
        <v>31953</v>
      </c>
      <c r="D11210" t="s">
        <v>30732</v>
      </c>
      <c r="E11210" t="s">
        <v>31954</v>
      </c>
      <c r="F11210" t="s">
        <v>31955</v>
      </c>
      <c r="J11210" t="s">
        <v>31954</v>
      </c>
      <c r="K11210" t="s">
        <v>21600</v>
      </c>
      <c r="L11210" t="s">
        <v>3616</v>
      </c>
    </row>
    <row r="11211" spans="1:12">
      <c r="A11211" t="s">
        <v>30729</v>
      </c>
      <c r="B11211" t="s">
        <v>30730</v>
      </c>
      <c r="C11211" t="s">
        <v>31956</v>
      </c>
      <c r="D11211" t="s">
        <v>30732</v>
      </c>
      <c r="E11211" t="s">
        <v>31957</v>
      </c>
      <c r="F11211" t="s">
        <v>31958</v>
      </c>
    </row>
    <row r="11212" spans="1:12">
      <c r="A11212" t="s">
        <v>30729</v>
      </c>
      <c r="B11212" t="s">
        <v>30730</v>
      </c>
      <c r="C11212" t="s">
        <v>31959</v>
      </c>
      <c r="D11212" t="s">
        <v>30732</v>
      </c>
      <c r="E11212" t="s">
        <v>31960</v>
      </c>
      <c r="F11212" t="s">
        <v>31961</v>
      </c>
      <c r="J11212" t="s">
        <v>31960</v>
      </c>
      <c r="K11212" t="s">
        <v>21600</v>
      </c>
      <c r="L11212" t="s">
        <v>3616</v>
      </c>
    </row>
    <row r="11213" spans="1:12">
      <c r="A11213" t="s">
        <v>30729</v>
      </c>
      <c r="B11213" t="s">
        <v>30730</v>
      </c>
      <c r="C11213" t="s">
        <v>31962</v>
      </c>
      <c r="D11213" t="s">
        <v>30732</v>
      </c>
      <c r="E11213" t="s">
        <v>31963</v>
      </c>
      <c r="F11213" t="s">
        <v>31964</v>
      </c>
      <c r="J11213" t="s">
        <v>31963</v>
      </c>
      <c r="K11213" t="s">
        <v>21600</v>
      </c>
      <c r="L11213" t="s">
        <v>3616</v>
      </c>
    </row>
    <row r="11214" spans="1:12">
      <c r="A11214" t="s">
        <v>30729</v>
      </c>
      <c r="B11214" t="s">
        <v>30730</v>
      </c>
      <c r="C11214" t="s">
        <v>31965</v>
      </c>
      <c r="D11214" t="s">
        <v>30732</v>
      </c>
      <c r="E11214" t="s">
        <v>31966</v>
      </c>
      <c r="F11214" t="s">
        <v>31967</v>
      </c>
      <c r="J11214" t="s">
        <v>31966</v>
      </c>
      <c r="K11214" t="s">
        <v>21600</v>
      </c>
      <c r="L11214" t="s">
        <v>3616</v>
      </c>
    </row>
    <row r="11215" spans="1:12">
      <c r="A11215" t="s">
        <v>30729</v>
      </c>
      <c r="B11215" t="s">
        <v>30730</v>
      </c>
      <c r="C11215" t="s">
        <v>31968</v>
      </c>
      <c r="D11215" t="s">
        <v>30732</v>
      </c>
      <c r="E11215" t="s">
        <v>31969</v>
      </c>
      <c r="F11215" t="s">
        <v>31970</v>
      </c>
      <c r="J11215" t="s">
        <v>31969</v>
      </c>
      <c r="K11215" t="s">
        <v>21600</v>
      </c>
      <c r="L11215" t="s">
        <v>3616</v>
      </c>
    </row>
    <row r="11216" spans="1:12">
      <c r="A11216" t="s">
        <v>30729</v>
      </c>
      <c r="B11216" t="s">
        <v>30730</v>
      </c>
      <c r="C11216" t="s">
        <v>31971</v>
      </c>
      <c r="D11216" t="s">
        <v>30732</v>
      </c>
      <c r="E11216" t="s">
        <v>31972</v>
      </c>
      <c r="F11216" t="s">
        <v>31973</v>
      </c>
      <c r="J11216" t="s">
        <v>31972</v>
      </c>
      <c r="K11216" t="s">
        <v>21600</v>
      </c>
      <c r="L11216" t="s">
        <v>3616</v>
      </c>
    </row>
    <row r="11217" spans="1:12">
      <c r="A11217" t="s">
        <v>30729</v>
      </c>
      <c r="B11217" t="s">
        <v>30730</v>
      </c>
      <c r="C11217" t="s">
        <v>31974</v>
      </c>
      <c r="D11217" t="s">
        <v>30732</v>
      </c>
      <c r="E11217" t="s">
        <v>31975</v>
      </c>
      <c r="F11217" t="s">
        <v>31976</v>
      </c>
      <c r="J11217" t="s">
        <v>31975</v>
      </c>
      <c r="K11217" t="s">
        <v>21600</v>
      </c>
      <c r="L11217" t="s">
        <v>3616</v>
      </c>
    </row>
    <row r="11218" spans="1:12">
      <c r="A11218" t="s">
        <v>30729</v>
      </c>
      <c r="B11218" t="s">
        <v>30730</v>
      </c>
      <c r="C11218" t="s">
        <v>31977</v>
      </c>
      <c r="D11218" t="s">
        <v>30732</v>
      </c>
      <c r="E11218" t="s">
        <v>31978</v>
      </c>
      <c r="F11218" t="s">
        <v>31979</v>
      </c>
      <c r="J11218" t="s">
        <v>31978</v>
      </c>
      <c r="K11218" t="s">
        <v>21600</v>
      </c>
      <c r="L11218" t="s">
        <v>3616</v>
      </c>
    </row>
    <row r="11219" spans="1:12">
      <c r="A11219" t="s">
        <v>30729</v>
      </c>
      <c r="B11219" t="s">
        <v>30730</v>
      </c>
      <c r="C11219" t="s">
        <v>31980</v>
      </c>
      <c r="D11219" t="s">
        <v>30732</v>
      </c>
      <c r="E11219" t="s">
        <v>31981</v>
      </c>
      <c r="F11219" t="s">
        <v>31982</v>
      </c>
      <c r="J11219" t="s">
        <v>31981</v>
      </c>
      <c r="K11219" t="s">
        <v>21600</v>
      </c>
      <c r="L11219" t="s">
        <v>3616</v>
      </c>
    </row>
    <row r="11220" spans="1:12">
      <c r="A11220" t="s">
        <v>30729</v>
      </c>
      <c r="B11220" t="s">
        <v>30730</v>
      </c>
      <c r="C11220" t="s">
        <v>31983</v>
      </c>
      <c r="D11220" t="s">
        <v>30732</v>
      </c>
      <c r="E11220" t="s">
        <v>31984</v>
      </c>
      <c r="F11220" t="s">
        <v>31985</v>
      </c>
      <c r="J11220" t="s">
        <v>31984</v>
      </c>
      <c r="K11220" t="s">
        <v>21600</v>
      </c>
      <c r="L11220" t="s">
        <v>3616</v>
      </c>
    </row>
    <row r="11221" spans="1:12">
      <c r="A11221" t="s">
        <v>30729</v>
      </c>
      <c r="B11221" t="s">
        <v>30730</v>
      </c>
      <c r="C11221" t="s">
        <v>31986</v>
      </c>
      <c r="D11221" t="s">
        <v>30732</v>
      </c>
      <c r="E11221" t="s">
        <v>31987</v>
      </c>
      <c r="F11221" t="s">
        <v>31988</v>
      </c>
      <c r="J11221" t="s">
        <v>31987</v>
      </c>
      <c r="K11221" t="s">
        <v>21600</v>
      </c>
      <c r="L11221" t="s">
        <v>3616</v>
      </c>
    </row>
    <row r="11222" spans="1:12">
      <c r="A11222" t="s">
        <v>30729</v>
      </c>
      <c r="B11222" t="s">
        <v>30730</v>
      </c>
      <c r="C11222" t="s">
        <v>31989</v>
      </c>
      <c r="D11222" t="s">
        <v>30732</v>
      </c>
      <c r="E11222" t="s">
        <v>31990</v>
      </c>
      <c r="F11222" t="s">
        <v>31991</v>
      </c>
      <c r="J11222" t="s">
        <v>31990</v>
      </c>
      <c r="K11222" t="s">
        <v>21600</v>
      </c>
      <c r="L11222" t="s">
        <v>3616</v>
      </c>
    </row>
    <row r="11223" spans="1:12">
      <c r="A11223" t="s">
        <v>30729</v>
      </c>
      <c r="B11223" t="s">
        <v>30730</v>
      </c>
      <c r="C11223" t="s">
        <v>31992</v>
      </c>
      <c r="D11223" t="s">
        <v>30732</v>
      </c>
      <c r="E11223" t="s">
        <v>31993</v>
      </c>
      <c r="F11223" t="s">
        <v>31994</v>
      </c>
      <c r="J11223" t="s">
        <v>31993</v>
      </c>
      <c r="K11223" t="s">
        <v>21600</v>
      </c>
      <c r="L11223" t="s">
        <v>3616</v>
      </c>
    </row>
    <row r="11224" spans="1:12">
      <c r="A11224" t="s">
        <v>30729</v>
      </c>
      <c r="B11224" t="s">
        <v>30730</v>
      </c>
      <c r="C11224" t="s">
        <v>31995</v>
      </c>
      <c r="D11224" t="s">
        <v>30732</v>
      </c>
      <c r="E11224" t="s">
        <v>31996</v>
      </c>
      <c r="F11224" t="s">
        <v>31997</v>
      </c>
      <c r="J11224" t="s">
        <v>31996</v>
      </c>
      <c r="K11224" t="s">
        <v>21600</v>
      </c>
      <c r="L11224" t="s">
        <v>3616</v>
      </c>
    </row>
    <row r="11225" spans="1:12">
      <c r="A11225" t="s">
        <v>30729</v>
      </c>
      <c r="B11225" t="s">
        <v>30730</v>
      </c>
      <c r="C11225" t="s">
        <v>31998</v>
      </c>
      <c r="D11225" t="s">
        <v>30732</v>
      </c>
      <c r="E11225" t="s">
        <v>31999</v>
      </c>
      <c r="F11225" t="s">
        <v>32000</v>
      </c>
      <c r="J11225" t="s">
        <v>31999</v>
      </c>
      <c r="K11225" t="s">
        <v>21600</v>
      </c>
      <c r="L11225" t="s">
        <v>3616</v>
      </c>
    </row>
    <row r="11226" spans="1:12">
      <c r="A11226" t="s">
        <v>30729</v>
      </c>
      <c r="B11226" t="s">
        <v>30730</v>
      </c>
      <c r="C11226" t="s">
        <v>32001</v>
      </c>
      <c r="D11226" t="s">
        <v>30732</v>
      </c>
      <c r="E11226" t="s">
        <v>32002</v>
      </c>
      <c r="F11226" t="s">
        <v>32003</v>
      </c>
      <c r="J11226" t="s">
        <v>32002</v>
      </c>
      <c r="K11226" t="s">
        <v>21600</v>
      </c>
      <c r="L11226" t="s">
        <v>3616</v>
      </c>
    </row>
    <row r="11227" spans="1:12">
      <c r="A11227" t="s">
        <v>30729</v>
      </c>
      <c r="B11227" t="s">
        <v>30730</v>
      </c>
      <c r="C11227" t="s">
        <v>32004</v>
      </c>
      <c r="D11227" t="s">
        <v>30732</v>
      </c>
      <c r="E11227" t="s">
        <v>32005</v>
      </c>
      <c r="F11227" t="s">
        <v>32006</v>
      </c>
      <c r="J11227" t="s">
        <v>32005</v>
      </c>
      <c r="K11227" t="s">
        <v>21600</v>
      </c>
      <c r="L11227" t="s">
        <v>3616</v>
      </c>
    </row>
    <row r="11228" spans="1:12">
      <c r="A11228" t="s">
        <v>30729</v>
      </c>
      <c r="B11228" t="s">
        <v>30730</v>
      </c>
      <c r="C11228" t="s">
        <v>32007</v>
      </c>
      <c r="D11228" t="s">
        <v>30732</v>
      </c>
      <c r="E11228" t="s">
        <v>1851</v>
      </c>
      <c r="F11228" t="s">
        <v>32008</v>
      </c>
      <c r="J11228" t="s">
        <v>1851</v>
      </c>
      <c r="K11228" t="s">
        <v>21600</v>
      </c>
      <c r="L11228" t="s">
        <v>3616</v>
      </c>
    </row>
    <row r="11229" spans="1:12">
      <c r="A11229" t="s">
        <v>30729</v>
      </c>
      <c r="B11229" t="s">
        <v>30730</v>
      </c>
      <c r="C11229" t="s">
        <v>32009</v>
      </c>
      <c r="D11229" t="s">
        <v>30732</v>
      </c>
      <c r="E11229" t="s">
        <v>32010</v>
      </c>
      <c r="F11229" t="s">
        <v>32011</v>
      </c>
      <c r="J11229" t="s">
        <v>32010</v>
      </c>
      <c r="K11229" t="s">
        <v>21600</v>
      </c>
      <c r="L11229" t="s">
        <v>3616</v>
      </c>
    </row>
    <row r="11230" spans="1:12">
      <c r="A11230" t="s">
        <v>30729</v>
      </c>
      <c r="B11230" t="s">
        <v>30730</v>
      </c>
      <c r="C11230" t="s">
        <v>32012</v>
      </c>
      <c r="D11230" t="s">
        <v>30732</v>
      </c>
      <c r="E11230" t="s">
        <v>8738</v>
      </c>
      <c r="F11230" t="s">
        <v>32013</v>
      </c>
      <c r="J11230" t="s">
        <v>8738</v>
      </c>
      <c r="K11230" t="s">
        <v>21600</v>
      </c>
      <c r="L11230" t="s">
        <v>3616</v>
      </c>
    </row>
    <row r="11231" spans="1:12">
      <c r="A11231" t="s">
        <v>30729</v>
      </c>
      <c r="B11231" t="s">
        <v>30730</v>
      </c>
      <c r="C11231" t="s">
        <v>32014</v>
      </c>
      <c r="D11231" t="s">
        <v>30732</v>
      </c>
      <c r="E11231" t="s">
        <v>32015</v>
      </c>
      <c r="F11231" t="s">
        <v>32016</v>
      </c>
      <c r="J11231" t="s">
        <v>32015</v>
      </c>
      <c r="K11231" t="s">
        <v>21600</v>
      </c>
      <c r="L11231" t="s">
        <v>3616</v>
      </c>
    </row>
    <row r="11232" spans="1:12">
      <c r="A11232" t="s">
        <v>30729</v>
      </c>
      <c r="B11232" t="s">
        <v>30730</v>
      </c>
      <c r="C11232" t="s">
        <v>32017</v>
      </c>
      <c r="D11232" t="s">
        <v>30732</v>
      </c>
      <c r="E11232" t="s">
        <v>8741</v>
      </c>
      <c r="F11232" t="s">
        <v>32018</v>
      </c>
      <c r="J11232" t="s">
        <v>8741</v>
      </c>
      <c r="K11232" t="s">
        <v>21600</v>
      </c>
      <c r="L11232" t="s">
        <v>3616</v>
      </c>
    </row>
    <row r="11233" spans="1:12">
      <c r="A11233" t="s">
        <v>30729</v>
      </c>
      <c r="B11233" t="s">
        <v>30730</v>
      </c>
      <c r="C11233" t="s">
        <v>32019</v>
      </c>
      <c r="D11233" t="s">
        <v>30732</v>
      </c>
      <c r="E11233" t="s">
        <v>25904</v>
      </c>
      <c r="F11233" t="s">
        <v>32020</v>
      </c>
    </row>
    <row r="11234" spans="1:12">
      <c r="A11234" t="s">
        <v>30729</v>
      </c>
      <c r="B11234" t="s">
        <v>30730</v>
      </c>
      <c r="C11234" t="s">
        <v>32021</v>
      </c>
      <c r="D11234" t="s">
        <v>30732</v>
      </c>
      <c r="E11234" t="s">
        <v>32022</v>
      </c>
      <c r="F11234" t="s">
        <v>32023</v>
      </c>
      <c r="J11234" t="s">
        <v>32022</v>
      </c>
      <c r="K11234" t="s">
        <v>21600</v>
      </c>
      <c r="L11234" t="s">
        <v>3616</v>
      </c>
    </row>
    <row r="11235" spans="1:12">
      <c r="A11235" t="s">
        <v>30729</v>
      </c>
      <c r="B11235" t="s">
        <v>30730</v>
      </c>
      <c r="C11235" t="s">
        <v>32024</v>
      </c>
      <c r="D11235" t="s">
        <v>30732</v>
      </c>
      <c r="E11235" t="s">
        <v>32025</v>
      </c>
      <c r="F11235" t="s">
        <v>32026</v>
      </c>
    </row>
    <row r="11236" spans="1:12">
      <c r="A11236" t="s">
        <v>30729</v>
      </c>
      <c r="B11236" t="s">
        <v>30730</v>
      </c>
      <c r="C11236" t="s">
        <v>32027</v>
      </c>
      <c r="D11236" t="s">
        <v>30732</v>
      </c>
      <c r="E11236" t="s">
        <v>32028</v>
      </c>
      <c r="F11236" t="s">
        <v>32029</v>
      </c>
      <c r="J11236" t="s">
        <v>32028</v>
      </c>
      <c r="K11236" t="s">
        <v>21600</v>
      </c>
      <c r="L11236" t="s">
        <v>3616</v>
      </c>
    </row>
    <row r="11237" spans="1:12">
      <c r="A11237" t="s">
        <v>30729</v>
      </c>
      <c r="B11237" t="s">
        <v>30730</v>
      </c>
      <c r="C11237" t="s">
        <v>32030</v>
      </c>
      <c r="D11237" t="s">
        <v>30732</v>
      </c>
      <c r="E11237" t="s">
        <v>32031</v>
      </c>
      <c r="F11237" t="s">
        <v>32032</v>
      </c>
      <c r="J11237" t="s">
        <v>32031</v>
      </c>
      <c r="K11237" t="s">
        <v>21600</v>
      </c>
      <c r="L11237" t="s">
        <v>3616</v>
      </c>
    </row>
    <row r="11238" spans="1:12">
      <c r="A11238" t="s">
        <v>30729</v>
      </c>
      <c r="B11238" t="s">
        <v>30730</v>
      </c>
      <c r="C11238" t="s">
        <v>32033</v>
      </c>
      <c r="D11238" t="s">
        <v>30732</v>
      </c>
      <c r="E11238" t="s">
        <v>32034</v>
      </c>
      <c r="F11238" t="s">
        <v>32035</v>
      </c>
      <c r="J11238" t="s">
        <v>32034</v>
      </c>
      <c r="K11238" t="s">
        <v>21600</v>
      </c>
      <c r="L11238" t="s">
        <v>3616</v>
      </c>
    </row>
    <row r="11239" spans="1:12">
      <c r="A11239" t="s">
        <v>30729</v>
      </c>
      <c r="B11239" t="s">
        <v>30730</v>
      </c>
      <c r="C11239" t="s">
        <v>32036</v>
      </c>
      <c r="D11239" t="s">
        <v>30732</v>
      </c>
      <c r="E11239" t="s">
        <v>1860</v>
      </c>
      <c r="F11239" t="s">
        <v>32037</v>
      </c>
    </row>
    <row r="11240" spans="1:12">
      <c r="A11240" t="s">
        <v>30729</v>
      </c>
      <c r="B11240" t="s">
        <v>30730</v>
      </c>
      <c r="C11240" t="s">
        <v>32038</v>
      </c>
      <c r="D11240" t="s">
        <v>30732</v>
      </c>
      <c r="E11240" t="s">
        <v>32039</v>
      </c>
      <c r="F11240" t="s">
        <v>32040</v>
      </c>
      <c r="J11240" t="s">
        <v>32039</v>
      </c>
      <c r="K11240" t="s">
        <v>21600</v>
      </c>
      <c r="L11240" t="s">
        <v>3616</v>
      </c>
    </row>
    <row r="11241" spans="1:12">
      <c r="A11241" t="s">
        <v>30729</v>
      </c>
      <c r="B11241" t="s">
        <v>30730</v>
      </c>
      <c r="C11241" t="s">
        <v>32041</v>
      </c>
      <c r="D11241" t="s">
        <v>30732</v>
      </c>
      <c r="E11241" t="s">
        <v>32042</v>
      </c>
      <c r="F11241" t="s">
        <v>32043</v>
      </c>
      <c r="J11241" t="s">
        <v>32042</v>
      </c>
      <c r="K11241" t="s">
        <v>21600</v>
      </c>
      <c r="L11241" t="s">
        <v>3616</v>
      </c>
    </row>
    <row r="11242" spans="1:12">
      <c r="A11242" t="s">
        <v>30729</v>
      </c>
      <c r="B11242" t="s">
        <v>30730</v>
      </c>
      <c r="C11242" t="s">
        <v>32044</v>
      </c>
      <c r="D11242" t="s">
        <v>30732</v>
      </c>
      <c r="E11242" t="s">
        <v>32045</v>
      </c>
      <c r="F11242" t="s">
        <v>32046</v>
      </c>
      <c r="J11242" t="s">
        <v>32045</v>
      </c>
      <c r="K11242" t="s">
        <v>21600</v>
      </c>
      <c r="L11242" t="s">
        <v>3616</v>
      </c>
    </row>
    <row r="11243" spans="1:12">
      <c r="A11243" t="s">
        <v>30729</v>
      </c>
      <c r="B11243" t="s">
        <v>30730</v>
      </c>
      <c r="C11243" t="s">
        <v>32047</v>
      </c>
      <c r="D11243" t="s">
        <v>30732</v>
      </c>
      <c r="E11243" t="s">
        <v>32048</v>
      </c>
      <c r="F11243" t="s">
        <v>32049</v>
      </c>
      <c r="J11243" t="s">
        <v>32048</v>
      </c>
      <c r="K11243" t="s">
        <v>21600</v>
      </c>
      <c r="L11243" t="s">
        <v>3616</v>
      </c>
    </row>
    <row r="11244" spans="1:12">
      <c r="A11244" t="s">
        <v>30729</v>
      </c>
      <c r="B11244" t="s">
        <v>30730</v>
      </c>
      <c r="C11244" t="s">
        <v>32050</v>
      </c>
      <c r="D11244" t="s">
        <v>30732</v>
      </c>
      <c r="E11244" t="s">
        <v>32051</v>
      </c>
      <c r="F11244" t="s">
        <v>32052</v>
      </c>
      <c r="J11244" t="s">
        <v>32051</v>
      </c>
      <c r="K11244" t="s">
        <v>21600</v>
      </c>
      <c r="L11244" t="s">
        <v>3616</v>
      </c>
    </row>
    <row r="11245" spans="1:12">
      <c r="A11245" t="s">
        <v>30729</v>
      </c>
      <c r="B11245" t="s">
        <v>30730</v>
      </c>
      <c r="C11245" t="s">
        <v>32053</v>
      </c>
      <c r="D11245" t="s">
        <v>30732</v>
      </c>
      <c r="E11245" t="s">
        <v>32054</v>
      </c>
      <c r="F11245" t="s">
        <v>32055</v>
      </c>
      <c r="J11245" t="s">
        <v>32054</v>
      </c>
      <c r="K11245" t="s">
        <v>21600</v>
      </c>
      <c r="L11245" t="s">
        <v>3616</v>
      </c>
    </row>
    <row r="11246" spans="1:12">
      <c r="A11246" t="s">
        <v>30729</v>
      </c>
      <c r="B11246" t="s">
        <v>30730</v>
      </c>
      <c r="C11246" t="s">
        <v>32056</v>
      </c>
      <c r="D11246" t="s">
        <v>30732</v>
      </c>
      <c r="E11246" t="s">
        <v>32057</v>
      </c>
      <c r="F11246" t="s">
        <v>32058</v>
      </c>
      <c r="J11246" t="s">
        <v>32057</v>
      </c>
      <c r="K11246" t="s">
        <v>21600</v>
      </c>
      <c r="L11246" t="s">
        <v>3616</v>
      </c>
    </row>
    <row r="11247" spans="1:12">
      <c r="A11247" t="s">
        <v>30729</v>
      </c>
      <c r="B11247" t="s">
        <v>30730</v>
      </c>
      <c r="C11247" t="s">
        <v>32059</v>
      </c>
      <c r="D11247" t="s">
        <v>30732</v>
      </c>
      <c r="E11247" t="s">
        <v>8753</v>
      </c>
      <c r="F11247" t="s">
        <v>32060</v>
      </c>
      <c r="J11247" t="s">
        <v>8753</v>
      </c>
      <c r="K11247" t="s">
        <v>21600</v>
      </c>
      <c r="L11247" t="s">
        <v>3616</v>
      </c>
    </row>
    <row r="11248" spans="1:12">
      <c r="A11248" t="s">
        <v>30729</v>
      </c>
      <c r="B11248" t="s">
        <v>30730</v>
      </c>
      <c r="C11248" t="s">
        <v>32061</v>
      </c>
      <c r="D11248" t="s">
        <v>30732</v>
      </c>
      <c r="E11248" t="s">
        <v>32062</v>
      </c>
      <c r="F11248" t="s">
        <v>32063</v>
      </c>
      <c r="J11248" t="s">
        <v>32062</v>
      </c>
      <c r="K11248" t="s">
        <v>21600</v>
      </c>
      <c r="L11248" t="s">
        <v>3616</v>
      </c>
    </row>
    <row r="11249" spans="1:12">
      <c r="A11249" t="s">
        <v>30729</v>
      </c>
      <c r="B11249" t="s">
        <v>30730</v>
      </c>
      <c r="C11249" t="s">
        <v>32064</v>
      </c>
      <c r="D11249" t="s">
        <v>30732</v>
      </c>
      <c r="E11249" t="s">
        <v>8756</v>
      </c>
      <c r="F11249" t="s">
        <v>32065</v>
      </c>
      <c r="J11249" t="s">
        <v>8756</v>
      </c>
      <c r="K11249" t="s">
        <v>21600</v>
      </c>
      <c r="L11249" t="s">
        <v>3616</v>
      </c>
    </row>
    <row r="11250" spans="1:12">
      <c r="A11250" t="s">
        <v>30729</v>
      </c>
      <c r="B11250" t="s">
        <v>30730</v>
      </c>
      <c r="C11250" t="s">
        <v>32066</v>
      </c>
      <c r="D11250" t="s">
        <v>30732</v>
      </c>
      <c r="E11250" t="s">
        <v>32067</v>
      </c>
      <c r="F11250" t="s">
        <v>32068</v>
      </c>
      <c r="J11250" t="s">
        <v>32067</v>
      </c>
      <c r="K11250" t="s">
        <v>21600</v>
      </c>
      <c r="L11250" t="s">
        <v>3616</v>
      </c>
    </row>
    <row r="11251" spans="1:12">
      <c r="A11251" t="s">
        <v>30729</v>
      </c>
      <c r="B11251" t="s">
        <v>30730</v>
      </c>
      <c r="C11251" t="s">
        <v>32069</v>
      </c>
      <c r="D11251" t="s">
        <v>30732</v>
      </c>
      <c r="E11251" t="s">
        <v>32070</v>
      </c>
      <c r="F11251" t="s">
        <v>32071</v>
      </c>
    </row>
    <row r="11252" spans="1:12">
      <c r="A11252" t="s">
        <v>30729</v>
      </c>
      <c r="B11252" t="s">
        <v>30730</v>
      </c>
      <c r="C11252" t="s">
        <v>32072</v>
      </c>
      <c r="D11252" t="s">
        <v>30732</v>
      </c>
      <c r="E11252" t="s">
        <v>32073</v>
      </c>
      <c r="F11252" t="s">
        <v>32074</v>
      </c>
      <c r="J11252" t="s">
        <v>32073</v>
      </c>
      <c r="K11252" t="s">
        <v>21600</v>
      </c>
      <c r="L11252" t="s">
        <v>3616</v>
      </c>
    </row>
    <row r="11253" spans="1:12">
      <c r="A11253" t="s">
        <v>30729</v>
      </c>
      <c r="B11253" t="s">
        <v>30730</v>
      </c>
      <c r="C11253" t="s">
        <v>32075</v>
      </c>
      <c r="D11253" t="s">
        <v>30732</v>
      </c>
      <c r="E11253" t="s">
        <v>4857</v>
      </c>
      <c r="F11253" t="s">
        <v>32076</v>
      </c>
    </row>
    <row r="11254" spans="1:12">
      <c r="A11254" t="s">
        <v>30729</v>
      </c>
      <c r="B11254" t="s">
        <v>30730</v>
      </c>
      <c r="C11254" t="s">
        <v>32077</v>
      </c>
      <c r="D11254" t="s">
        <v>30732</v>
      </c>
      <c r="E11254" t="s">
        <v>32078</v>
      </c>
      <c r="F11254" t="s">
        <v>32079</v>
      </c>
      <c r="J11254" t="s">
        <v>32078</v>
      </c>
      <c r="K11254" t="s">
        <v>21600</v>
      </c>
      <c r="L11254" t="s">
        <v>3616</v>
      </c>
    </row>
    <row r="11255" spans="1:12">
      <c r="A11255" t="s">
        <v>30729</v>
      </c>
      <c r="B11255" t="s">
        <v>30730</v>
      </c>
      <c r="C11255" t="s">
        <v>32080</v>
      </c>
      <c r="D11255" t="s">
        <v>30732</v>
      </c>
      <c r="E11255" t="s">
        <v>27268</v>
      </c>
      <c r="F11255" t="s">
        <v>32081</v>
      </c>
      <c r="J11255" t="s">
        <v>27268</v>
      </c>
      <c r="K11255" t="s">
        <v>21600</v>
      </c>
      <c r="L11255" t="s">
        <v>3616</v>
      </c>
    </row>
    <row r="11256" spans="1:12">
      <c r="A11256" t="s">
        <v>30729</v>
      </c>
      <c r="B11256" t="s">
        <v>30730</v>
      </c>
      <c r="C11256" t="s">
        <v>32082</v>
      </c>
      <c r="D11256" t="s">
        <v>30732</v>
      </c>
      <c r="E11256" t="s">
        <v>24208</v>
      </c>
      <c r="F11256" t="s">
        <v>32083</v>
      </c>
      <c r="J11256" t="s">
        <v>24208</v>
      </c>
      <c r="K11256" t="s">
        <v>21600</v>
      </c>
      <c r="L11256" t="s">
        <v>3616</v>
      </c>
    </row>
    <row r="11257" spans="1:12">
      <c r="A11257" t="s">
        <v>30729</v>
      </c>
      <c r="B11257" t="s">
        <v>30730</v>
      </c>
      <c r="C11257" t="s">
        <v>32084</v>
      </c>
      <c r="D11257" t="s">
        <v>30732</v>
      </c>
      <c r="E11257" t="s">
        <v>32085</v>
      </c>
      <c r="F11257" t="s">
        <v>32086</v>
      </c>
      <c r="J11257" t="s">
        <v>32085</v>
      </c>
      <c r="K11257" t="s">
        <v>21600</v>
      </c>
      <c r="L11257" t="s">
        <v>3616</v>
      </c>
    </row>
    <row r="11258" spans="1:12">
      <c r="A11258" t="s">
        <v>30729</v>
      </c>
      <c r="B11258" t="s">
        <v>30730</v>
      </c>
      <c r="C11258" t="s">
        <v>32087</v>
      </c>
      <c r="D11258" t="s">
        <v>30732</v>
      </c>
      <c r="E11258" t="s">
        <v>32088</v>
      </c>
      <c r="F11258" t="s">
        <v>32089</v>
      </c>
      <c r="J11258" t="s">
        <v>32088</v>
      </c>
      <c r="K11258" t="s">
        <v>21600</v>
      </c>
      <c r="L11258" t="s">
        <v>3616</v>
      </c>
    </row>
    <row r="11259" spans="1:12">
      <c r="A11259" t="s">
        <v>30729</v>
      </c>
      <c r="B11259" t="s">
        <v>30730</v>
      </c>
      <c r="C11259" t="s">
        <v>32090</v>
      </c>
      <c r="D11259" t="s">
        <v>30732</v>
      </c>
      <c r="E11259" t="s">
        <v>32091</v>
      </c>
      <c r="F11259" t="s">
        <v>32092</v>
      </c>
      <c r="J11259" t="s">
        <v>32091</v>
      </c>
      <c r="K11259" t="s">
        <v>21600</v>
      </c>
      <c r="L11259" t="s">
        <v>3616</v>
      </c>
    </row>
    <row r="11260" spans="1:12">
      <c r="A11260" t="s">
        <v>30729</v>
      </c>
      <c r="B11260" t="s">
        <v>30730</v>
      </c>
      <c r="C11260" t="s">
        <v>32093</v>
      </c>
      <c r="D11260" t="s">
        <v>30732</v>
      </c>
      <c r="E11260" t="s">
        <v>30242</v>
      </c>
      <c r="F11260" t="s">
        <v>32094</v>
      </c>
      <c r="J11260" t="s">
        <v>30242</v>
      </c>
      <c r="K11260" t="s">
        <v>21600</v>
      </c>
      <c r="L11260" t="s">
        <v>3616</v>
      </c>
    </row>
    <row r="11261" spans="1:12">
      <c r="A11261" t="s">
        <v>30729</v>
      </c>
      <c r="B11261" t="s">
        <v>30730</v>
      </c>
      <c r="C11261" t="s">
        <v>32095</v>
      </c>
      <c r="D11261" t="s">
        <v>30732</v>
      </c>
      <c r="E11261" t="s">
        <v>27279</v>
      </c>
      <c r="F11261" t="s">
        <v>32096</v>
      </c>
      <c r="J11261" t="s">
        <v>27279</v>
      </c>
      <c r="K11261" t="s">
        <v>21600</v>
      </c>
      <c r="L11261" t="s">
        <v>3616</v>
      </c>
    </row>
    <row r="11262" spans="1:12">
      <c r="A11262" t="s">
        <v>30729</v>
      </c>
      <c r="B11262" t="s">
        <v>30730</v>
      </c>
      <c r="C11262" t="s">
        <v>32097</v>
      </c>
      <c r="D11262" t="s">
        <v>30732</v>
      </c>
      <c r="E11262" t="s">
        <v>11848</v>
      </c>
      <c r="F11262" t="s">
        <v>32098</v>
      </c>
      <c r="J11262" t="s">
        <v>11848</v>
      </c>
      <c r="K11262" t="s">
        <v>21600</v>
      </c>
      <c r="L11262" t="s">
        <v>3616</v>
      </c>
    </row>
    <row r="11263" spans="1:12">
      <c r="A11263" t="s">
        <v>30729</v>
      </c>
      <c r="B11263" t="s">
        <v>30730</v>
      </c>
      <c r="C11263" t="s">
        <v>32099</v>
      </c>
      <c r="D11263" t="s">
        <v>30732</v>
      </c>
      <c r="E11263" t="s">
        <v>7210</v>
      </c>
      <c r="F11263" t="s">
        <v>32100</v>
      </c>
    </row>
    <row r="11264" spans="1:12">
      <c r="A11264" t="s">
        <v>30729</v>
      </c>
      <c r="B11264" t="s">
        <v>30730</v>
      </c>
      <c r="C11264" t="s">
        <v>32101</v>
      </c>
      <c r="D11264" t="s">
        <v>30732</v>
      </c>
      <c r="E11264" t="s">
        <v>14793</v>
      </c>
      <c r="F11264" t="s">
        <v>32102</v>
      </c>
      <c r="J11264" t="s">
        <v>14793</v>
      </c>
      <c r="K11264" t="s">
        <v>21600</v>
      </c>
      <c r="L11264" t="s">
        <v>3616</v>
      </c>
    </row>
    <row r="11265" spans="1:12">
      <c r="A11265" t="s">
        <v>30729</v>
      </c>
      <c r="B11265" t="s">
        <v>30730</v>
      </c>
      <c r="C11265" t="s">
        <v>32103</v>
      </c>
      <c r="D11265" t="s">
        <v>30732</v>
      </c>
      <c r="E11265" t="s">
        <v>32104</v>
      </c>
      <c r="F11265" t="s">
        <v>32105</v>
      </c>
      <c r="J11265" t="s">
        <v>32104</v>
      </c>
      <c r="K11265" t="s">
        <v>21600</v>
      </c>
      <c r="L11265" t="s">
        <v>3616</v>
      </c>
    </row>
    <row r="11266" spans="1:12">
      <c r="A11266" t="s">
        <v>30729</v>
      </c>
      <c r="B11266" t="s">
        <v>30730</v>
      </c>
      <c r="C11266" t="s">
        <v>32106</v>
      </c>
      <c r="D11266" t="s">
        <v>30732</v>
      </c>
      <c r="E11266" t="s">
        <v>32107</v>
      </c>
      <c r="F11266" t="s">
        <v>32108</v>
      </c>
    </row>
    <row r="11267" spans="1:12">
      <c r="A11267" t="s">
        <v>30729</v>
      </c>
      <c r="B11267" t="s">
        <v>30730</v>
      </c>
      <c r="C11267" t="s">
        <v>32109</v>
      </c>
      <c r="D11267" t="s">
        <v>30732</v>
      </c>
      <c r="E11267" t="s">
        <v>32110</v>
      </c>
      <c r="F11267" t="s">
        <v>32111</v>
      </c>
      <c r="J11267" t="s">
        <v>32110</v>
      </c>
      <c r="K11267" t="s">
        <v>21600</v>
      </c>
      <c r="L11267" t="s">
        <v>3616</v>
      </c>
    </row>
    <row r="11268" spans="1:12">
      <c r="A11268" t="s">
        <v>30729</v>
      </c>
      <c r="B11268" t="s">
        <v>30730</v>
      </c>
      <c r="C11268" t="s">
        <v>32112</v>
      </c>
      <c r="D11268" t="s">
        <v>30732</v>
      </c>
      <c r="E11268" t="s">
        <v>32113</v>
      </c>
      <c r="F11268" t="s">
        <v>32114</v>
      </c>
      <c r="J11268" t="s">
        <v>32113</v>
      </c>
      <c r="K11268" t="s">
        <v>21600</v>
      </c>
      <c r="L11268" t="s">
        <v>3616</v>
      </c>
    </row>
    <row r="11269" spans="1:12">
      <c r="A11269" t="s">
        <v>30729</v>
      </c>
      <c r="B11269" t="s">
        <v>30730</v>
      </c>
      <c r="C11269" t="s">
        <v>32115</v>
      </c>
      <c r="D11269" t="s">
        <v>30732</v>
      </c>
      <c r="E11269" t="s">
        <v>11241</v>
      </c>
      <c r="F11269" t="s">
        <v>32116</v>
      </c>
      <c r="J11269" t="s">
        <v>11241</v>
      </c>
      <c r="K11269" t="s">
        <v>21600</v>
      </c>
      <c r="L11269" t="s">
        <v>3616</v>
      </c>
    </row>
    <row r="11270" spans="1:12">
      <c r="A11270" t="s">
        <v>30729</v>
      </c>
      <c r="B11270" t="s">
        <v>30730</v>
      </c>
      <c r="C11270" t="s">
        <v>32117</v>
      </c>
      <c r="D11270" t="s">
        <v>30732</v>
      </c>
      <c r="E11270" t="s">
        <v>32118</v>
      </c>
      <c r="F11270" t="s">
        <v>32119</v>
      </c>
      <c r="J11270" t="s">
        <v>32118</v>
      </c>
      <c r="K11270" t="s">
        <v>21600</v>
      </c>
      <c r="L11270" t="s">
        <v>3616</v>
      </c>
    </row>
    <row r="11271" spans="1:12">
      <c r="A11271" t="s">
        <v>30729</v>
      </c>
      <c r="B11271" t="s">
        <v>30730</v>
      </c>
      <c r="C11271" t="s">
        <v>32120</v>
      </c>
      <c r="D11271" t="s">
        <v>30732</v>
      </c>
      <c r="E11271" t="s">
        <v>32121</v>
      </c>
      <c r="F11271" t="s">
        <v>32122</v>
      </c>
      <c r="J11271" t="s">
        <v>32121</v>
      </c>
      <c r="K11271" t="s">
        <v>21600</v>
      </c>
      <c r="L11271" t="s">
        <v>3616</v>
      </c>
    </row>
    <row r="11272" spans="1:12">
      <c r="A11272" t="s">
        <v>30729</v>
      </c>
      <c r="B11272" t="s">
        <v>30730</v>
      </c>
      <c r="C11272" t="s">
        <v>32123</v>
      </c>
      <c r="D11272" t="s">
        <v>30732</v>
      </c>
      <c r="E11272" t="s">
        <v>32124</v>
      </c>
      <c r="F11272" t="s">
        <v>32125</v>
      </c>
      <c r="J11272" t="s">
        <v>32124</v>
      </c>
      <c r="K11272" t="s">
        <v>21600</v>
      </c>
      <c r="L11272" t="s">
        <v>3616</v>
      </c>
    </row>
    <row r="11273" spans="1:12">
      <c r="A11273" t="s">
        <v>30729</v>
      </c>
      <c r="B11273" t="s">
        <v>30730</v>
      </c>
      <c r="C11273" t="s">
        <v>32126</v>
      </c>
      <c r="D11273" t="s">
        <v>30732</v>
      </c>
      <c r="E11273" t="s">
        <v>32127</v>
      </c>
      <c r="F11273" t="s">
        <v>32128</v>
      </c>
      <c r="J11273" t="s">
        <v>32127</v>
      </c>
      <c r="K11273" t="s">
        <v>21600</v>
      </c>
      <c r="L11273" t="s">
        <v>3616</v>
      </c>
    </row>
    <row r="11274" spans="1:12">
      <c r="A11274" t="s">
        <v>30729</v>
      </c>
      <c r="B11274" t="s">
        <v>30730</v>
      </c>
      <c r="C11274" t="s">
        <v>32129</v>
      </c>
      <c r="D11274" t="s">
        <v>30732</v>
      </c>
      <c r="E11274" t="s">
        <v>32130</v>
      </c>
      <c r="F11274" t="s">
        <v>32131</v>
      </c>
      <c r="J11274" t="s">
        <v>32130</v>
      </c>
      <c r="K11274" t="s">
        <v>21600</v>
      </c>
      <c r="L11274" t="s">
        <v>3616</v>
      </c>
    </row>
    <row r="11275" spans="1:12">
      <c r="A11275" t="s">
        <v>30729</v>
      </c>
      <c r="B11275" t="s">
        <v>30730</v>
      </c>
      <c r="C11275" t="s">
        <v>32132</v>
      </c>
      <c r="D11275" t="s">
        <v>30732</v>
      </c>
      <c r="E11275" t="s">
        <v>32133</v>
      </c>
      <c r="F11275" t="s">
        <v>32134</v>
      </c>
    </row>
    <row r="11276" spans="1:12">
      <c r="A11276" t="s">
        <v>30729</v>
      </c>
      <c r="B11276" t="s">
        <v>30730</v>
      </c>
      <c r="C11276" t="s">
        <v>32135</v>
      </c>
      <c r="D11276" t="s">
        <v>30732</v>
      </c>
      <c r="E11276" t="s">
        <v>32136</v>
      </c>
      <c r="F11276" t="s">
        <v>32137</v>
      </c>
      <c r="J11276" t="s">
        <v>32136</v>
      </c>
      <c r="K11276" t="s">
        <v>21600</v>
      </c>
      <c r="L11276" t="s">
        <v>3616</v>
      </c>
    </row>
    <row r="11277" spans="1:12">
      <c r="A11277" t="s">
        <v>30729</v>
      </c>
      <c r="B11277" t="s">
        <v>30730</v>
      </c>
      <c r="C11277" t="s">
        <v>32138</v>
      </c>
      <c r="D11277" t="s">
        <v>30732</v>
      </c>
      <c r="E11277" t="s">
        <v>13448</v>
      </c>
      <c r="F11277" t="s">
        <v>31642</v>
      </c>
      <c r="J11277" t="s">
        <v>13448</v>
      </c>
      <c r="K11277" t="s">
        <v>21600</v>
      </c>
      <c r="L11277" t="s">
        <v>3616</v>
      </c>
    </row>
    <row r="11278" spans="1:12">
      <c r="A11278" t="s">
        <v>30729</v>
      </c>
      <c r="B11278" t="s">
        <v>30730</v>
      </c>
      <c r="C11278" t="s">
        <v>32139</v>
      </c>
      <c r="D11278" t="s">
        <v>30732</v>
      </c>
      <c r="E11278" t="s">
        <v>32140</v>
      </c>
      <c r="F11278" t="s">
        <v>32141</v>
      </c>
      <c r="J11278" t="s">
        <v>32140</v>
      </c>
      <c r="K11278" t="s">
        <v>21600</v>
      </c>
      <c r="L11278" t="s">
        <v>3616</v>
      </c>
    </row>
    <row r="11279" spans="1:12">
      <c r="A11279" t="s">
        <v>30729</v>
      </c>
      <c r="B11279" t="s">
        <v>30730</v>
      </c>
      <c r="C11279" t="s">
        <v>32142</v>
      </c>
      <c r="D11279" t="s">
        <v>30732</v>
      </c>
      <c r="E11279" t="s">
        <v>32143</v>
      </c>
      <c r="F11279" t="s">
        <v>32144</v>
      </c>
      <c r="J11279" t="s">
        <v>32143</v>
      </c>
      <c r="K11279" t="s">
        <v>21600</v>
      </c>
      <c r="L11279" t="s">
        <v>3616</v>
      </c>
    </row>
    <row r="11280" spans="1:12">
      <c r="A11280" t="s">
        <v>30729</v>
      </c>
      <c r="B11280" t="s">
        <v>30730</v>
      </c>
      <c r="C11280" t="s">
        <v>32145</v>
      </c>
      <c r="D11280" t="s">
        <v>30732</v>
      </c>
      <c r="E11280" t="s">
        <v>32146</v>
      </c>
      <c r="F11280" t="s">
        <v>32147</v>
      </c>
    </row>
    <row r="11281" spans="1:12">
      <c r="A11281" t="s">
        <v>30729</v>
      </c>
      <c r="B11281" t="s">
        <v>30730</v>
      </c>
      <c r="C11281" t="s">
        <v>32148</v>
      </c>
      <c r="D11281" t="s">
        <v>30732</v>
      </c>
      <c r="E11281" t="s">
        <v>10306</v>
      </c>
      <c r="F11281" t="s">
        <v>32149</v>
      </c>
      <c r="J11281" t="s">
        <v>10306</v>
      </c>
      <c r="K11281" t="s">
        <v>21600</v>
      </c>
      <c r="L11281" t="s">
        <v>3616</v>
      </c>
    </row>
    <row r="11282" spans="1:12">
      <c r="A11282" t="s">
        <v>30729</v>
      </c>
      <c r="B11282" t="s">
        <v>30730</v>
      </c>
      <c r="C11282" t="s">
        <v>32150</v>
      </c>
      <c r="D11282" t="s">
        <v>30732</v>
      </c>
      <c r="E11282" t="s">
        <v>32151</v>
      </c>
      <c r="F11282" t="s">
        <v>32152</v>
      </c>
      <c r="J11282" t="s">
        <v>32151</v>
      </c>
      <c r="K11282" t="s">
        <v>21600</v>
      </c>
      <c r="L11282" t="s">
        <v>3616</v>
      </c>
    </row>
    <row r="11283" spans="1:12">
      <c r="A11283" t="s">
        <v>30729</v>
      </c>
      <c r="B11283" t="s">
        <v>30730</v>
      </c>
      <c r="C11283" t="s">
        <v>32153</v>
      </c>
      <c r="D11283" t="s">
        <v>30732</v>
      </c>
      <c r="E11283" t="s">
        <v>32154</v>
      </c>
      <c r="F11283" t="s">
        <v>32155</v>
      </c>
      <c r="J11283" t="s">
        <v>32154</v>
      </c>
      <c r="K11283" t="s">
        <v>21600</v>
      </c>
      <c r="L11283" t="s">
        <v>3616</v>
      </c>
    </row>
    <row r="11284" spans="1:12">
      <c r="A11284" t="s">
        <v>30729</v>
      </c>
      <c r="B11284" t="s">
        <v>30730</v>
      </c>
      <c r="C11284" t="s">
        <v>32156</v>
      </c>
      <c r="D11284" t="s">
        <v>30732</v>
      </c>
      <c r="E11284" t="s">
        <v>32157</v>
      </c>
      <c r="F11284" t="s">
        <v>32158</v>
      </c>
      <c r="J11284" t="s">
        <v>32157</v>
      </c>
      <c r="K11284" t="s">
        <v>21600</v>
      </c>
      <c r="L11284" t="s">
        <v>3616</v>
      </c>
    </row>
    <row r="11285" spans="1:12">
      <c r="A11285" t="s">
        <v>30729</v>
      </c>
      <c r="B11285" t="s">
        <v>30730</v>
      </c>
      <c r="C11285" t="s">
        <v>32159</v>
      </c>
      <c r="D11285" t="s">
        <v>30732</v>
      </c>
      <c r="E11285" t="s">
        <v>14798</v>
      </c>
      <c r="F11285" t="s">
        <v>32160</v>
      </c>
      <c r="J11285" t="s">
        <v>14798</v>
      </c>
      <c r="K11285" t="s">
        <v>21600</v>
      </c>
      <c r="L11285" t="s">
        <v>3616</v>
      </c>
    </row>
    <row r="11286" spans="1:12">
      <c r="A11286" t="s">
        <v>30729</v>
      </c>
      <c r="B11286" t="s">
        <v>30730</v>
      </c>
      <c r="C11286" t="s">
        <v>32161</v>
      </c>
      <c r="D11286" t="s">
        <v>30732</v>
      </c>
      <c r="E11286" t="s">
        <v>32162</v>
      </c>
      <c r="F11286" t="s">
        <v>32163</v>
      </c>
      <c r="J11286" t="s">
        <v>32162</v>
      </c>
      <c r="K11286" t="s">
        <v>21600</v>
      </c>
      <c r="L11286" t="s">
        <v>3616</v>
      </c>
    </row>
    <row r="11287" spans="1:12">
      <c r="A11287" t="s">
        <v>30729</v>
      </c>
      <c r="B11287" t="s">
        <v>30730</v>
      </c>
      <c r="C11287" t="s">
        <v>32164</v>
      </c>
      <c r="D11287" t="s">
        <v>30732</v>
      </c>
      <c r="E11287" t="s">
        <v>32165</v>
      </c>
      <c r="F11287" t="s">
        <v>32166</v>
      </c>
      <c r="J11287" t="s">
        <v>32165</v>
      </c>
      <c r="K11287" t="s">
        <v>21600</v>
      </c>
      <c r="L11287" t="s">
        <v>3616</v>
      </c>
    </row>
    <row r="11288" spans="1:12">
      <c r="A11288" t="s">
        <v>30729</v>
      </c>
      <c r="B11288" t="s">
        <v>30730</v>
      </c>
      <c r="C11288" t="s">
        <v>32167</v>
      </c>
      <c r="D11288" t="s">
        <v>30732</v>
      </c>
      <c r="E11288" t="s">
        <v>32168</v>
      </c>
      <c r="F11288" t="s">
        <v>32169</v>
      </c>
      <c r="J11288" t="s">
        <v>32168</v>
      </c>
      <c r="K11288" t="s">
        <v>21600</v>
      </c>
      <c r="L11288" t="s">
        <v>3616</v>
      </c>
    </row>
    <row r="11289" spans="1:12">
      <c r="A11289" t="s">
        <v>30729</v>
      </c>
      <c r="B11289" t="s">
        <v>30730</v>
      </c>
      <c r="C11289" t="s">
        <v>32170</v>
      </c>
      <c r="D11289" t="s">
        <v>30732</v>
      </c>
      <c r="E11289" t="s">
        <v>32171</v>
      </c>
      <c r="F11289" t="s">
        <v>32172</v>
      </c>
      <c r="J11289" t="s">
        <v>32171</v>
      </c>
      <c r="K11289" t="s">
        <v>21600</v>
      </c>
      <c r="L11289" t="s">
        <v>3616</v>
      </c>
    </row>
    <row r="11290" spans="1:12">
      <c r="A11290" t="s">
        <v>30729</v>
      </c>
      <c r="B11290" t="s">
        <v>30730</v>
      </c>
      <c r="C11290" t="s">
        <v>32173</v>
      </c>
      <c r="D11290" t="s">
        <v>30732</v>
      </c>
      <c r="E11290" t="s">
        <v>32174</v>
      </c>
      <c r="F11290" t="s">
        <v>32175</v>
      </c>
      <c r="J11290" t="s">
        <v>32174</v>
      </c>
      <c r="K11290" t="s">
        <v>21600</v>
      </c>
      <c r="L11290" t="s">
        <v>3616</v>
      </c>
    </row>
    <row r="11291" spans="1:12">
      <c r="A11291" t="s">
        <v>30729</v>
      </c>
      <c r="B11291" t="s">
        <v>30730</v>
      </c>
      <c r="C11291" t="s">
        <v>32176</v>
      </c>
      <c r="D11291" t="s">
        <v>30732</v>
      </c>
      <c r="E11291" t="s">
        <v>32177</v>
      </c>
      <c r="F11291" t="s">
        <v>32178</v>
      </c>
      <c r="J11291" t="s">
        <v>32177</v>
      </c>
      <c r="K11291" t="s">
        <v>21600</v>
      </c>
      <c r="L11291" t="s">
        <v>3616</v>
      </c>
    </row>
    <row r="11292" spans="1:12">
      <c r="A11292" t="s">
        <v>30729</v>
      </c>
      <c r="B11292" t="s">
        <v>30730</v>
      </c>
      <c r="C11292" t="s">
        <v>32179</v>
      </c>
      <c r="D11292" t="s">
        <v>30732</v>
      </c>
      <c r="E11292" t="s">
        <v>32180</v>
      </c>
      <c r="F11292" t="s">
        <v>32181</v>
      </c>
      <c r="J11292" t="s">
        <v>32180</v>
      </c>
      <c r="K11292" t="s">
        <v>21600</v>
      </c>
      <c r="L11292" t="s">
        <v>3616</v>
      </c>
    </row>
    <row r="11293" spans="1:12">
      <c r="A11293" t="s">
        <v>30729</v>
      </c>
      <c r="B11293" t="s">
        <v>30730</v>
      </c>
      <c r="C11293" t="s">
        <v>32182</v>
      </c>
      <c r="D11293" t="s">
        <v>30732</v>
      </c>
      <c r="E11293" t="s">
        <v>32183</v>
      </c>
      <c r="F11293" t="s">
        <v>32184</v>
      </c>
      <c r="J11293" t="s">
        <v>32183</v>
      </c>
      <c r="K11293" t="s">
        <v>21600</v>
      </c>
      <c r="L11293" t="s">
        <v>3616</v>
      </c>
    </row>
    <row r="11294" spans="1:12">
      <c r="A11294" t="s">
        <v>30729</v>
      </c>
      <c r="B11294" t="s">
        <v>30730</v>
      </c>
      <c r="C11294" t="s">
        <v>32185</v>
      </c>
      <c r="D11294" t="s">
        <v>30732</v>
      </c>
      <c r="E11294" t="s">
        <v>32186</v>
      </c>
      <c r="F11294" t="s">
        <v>32187</v>
      </c>
    </row>
    <row r="11295" spans="1:12">
      <c r="A11295" t="s">
        <v>30729</v>
      </c>
      <c r="B11295" t="s">
        <v>30730</v>
      </c>
      <c r="C11295" t="s">
        <v>32188</v>
      </c>
      <c r="D11295" t="s">
        <v>30732</v>
      </c>
      <c r="E11295" t="s">
        <v>32189</v>
      </c>
      <c r="F11295" t="s">
        <v>32190</v>
      </c>
      <c r="J11295" t="s">
        <v>32189</v>
      </c>
      <c r="K11295" t="s">
        <v>21600</v>
      </c>
      <c r="L11295" t="s">
        <v>3616</v>
      </c>
    </row>
    <row r="11296" spans="1:12">
      <c r="A11296" t="s">
        <v>30729</v>
      </c>
      <c r="B11296" t="s">
        <v>30730</v>
      </c>
      <c r="C11296" t="s">
        <v>32191</v>
      </c>
      <c r="D11296" t="s">
        <v>30732</v>
      </c>
      <c r="E11296" t="s">
        <v>32192</v>
      </c>
      <c r="F11296" t="s">
        <v>32190</v>
      </c>
      <c r="J11296" t="s">
        <v>32192</v>
      </c>
      <c r="K11296" t="s">
        <v>21600</v>
      </c>
      <c r="L11296" t="s">
        <v>3616</v>
      </c>
    </row>
    <row r="11297" spans="1:12">
      <c r="A11297" t="s">
        <v>30729</v>
      </c>
      <c r="B11297" t="s">
        <v>30730</v>
      </c>
      <c r="C11297" t="s">
        <v>32193</v>
      </c>
      <c r="D11297" t="s">
        <v>30732</v>
      </c>
      <c r="E11297" t="s">
        <v>32194</v>
      </c>
      <c r="F11297" t="s">
        <v>32195</v>
      </c>
      <c r="J11297" t="s">
        <v>32194</v>
      </c>
      <c r="K11297" t="s">
        <v>21600</v>
      </c>
      <c r="L11297" t="s">
        <v>3616</v>
      </c>
    </row>
    <row r="11298" spans="1:12">
      <c r="A11298" t="s">
        <v>30729</v>
      </c>
      <c r="B11298" t="s">
        <v>30730</v>
      </c>
      <c r="C11298" t="s">
        <v>32196</v>
      </c>
      <c r="D11298" t="s">
        <v>30732</v>
      </c>
      <c r="E11298" t="s">
        <v>32197</v>
      </c>
      <c r="F11298" t="s">
        <v>32198</v>
      </c>
      <c r="J11298" t="s">
        <v>32197</v>
      </c>
      <c r="K11298" t="s">
        <v>21600</v>
      </c>
      <c r="L11298" t="s">
        <v>3616</v>
      </c>
    </row>
    <row r="11299" spans="1:12">
      <c r="A11299" t="s">
        <v>30729</v>
      </c>
      <c r="B11299" t="s">
        <v>30730</v>
      </c>
      <c r="C11299" t="s">
        <v>32199</v>
      </c>
      <c r="D11299" t="s">
        <v>30732</v>
      </c>
      <c r="E11299" t="s">
        <v>32200</v>
      </c>
      <c r="F11299" t="s">
        <v>32201</v>
      </c>
      <c r="J11299" t="s">
        <v>32200</v>
      </c>
      <c r="K11299" t="s">
        <v>21600</v>
      </c>
      <c r="L11299" t="s">
        <v>3616</v>
      </c>
    </row>
    <row r="11300" spans="1:12">
      <c r="A11300" t="s">
        <v>30729</v>
      </c>
      <c r="B11300" t="s">
        <v>30730</v>
      </c>
      <c r="C11300" t="s">
        <v>32202</v>
      </c>
      <c r="D11300" t="s">
        <v>30732</v>
      </c>
      <c r="E11300" t="s">
        <v>32203</v>
      </c>
      <c r="F11300" t="s">
        <v>32204</v>
      </c>
      <c r="J11300" t="s">
        <v>32203</v>
      </c>
      <c r="K11300" t="s">
        <v>21600</v>
      </c>
      <c r="L11300" t="s">
        <v>3616</v>
      </c>
    </row>
    <row r="11301" spans="1:12">
      <c r="A11301" t="s">
        <v>30729</v>
      </c>
      <c r="B11301" t="s">
        <v>30730</v>
      </c>
      <c r="C11301" t="s">
        <v>32205</v>
      </c>
      <c r="D11301" t="s">
        <v>30732</v>
      </c>
      <c r="E11301" t="s">
        <v>12484</v>
      </c>
      <c r="F11301" t="s">
        <v>32206</v>
      </c>
    </row>
    <row r="11302" spans="1:12">
      <c r="A11302" t="s">
        <v>30729</v>
      </c>
      <c r="B11302" t="s">
        <v>30730</v>
      </c>
      <c r="C11302" t="s">
        <v>32207</v>
      </c>
      <c r="D11302" t="s">
        <v>30732</v>
      </c>
      <c r="E11302" t="s">
        <v>15028</v>
      </c>
      <c r="F11302" t="s">
        <v>32208</v>
      </c>
    </row>
    <row r="11303" spans="1:12">
      <c r="A11303" t="s">
        <v>30729</v>
      </c>
      <c r="B11303" t="s">
        <v>30730</v>
      </c>
      <c r="C11303" t="s">
        <v>32209</v>
      </c>
      <c r="D11303" t="s">
        <v>30732</v>
      </c>
      <c r="E11303" t="s">
        <v>32210</v>
      </c>
      <c r="F11303" t="s">
        <v>32211</v>
      </c>
      <c r="J11303" t="s">
        <v>32210</v>
      </c>
      <c r="K11303" t="s">
        <v>21600</v>
      </c>
      <c r="L11303" t="s">
        <v>3616</v>
      </c>
    </row>
    <row r="11304" spans="1:12">
      <c r="A11304" t="s">
        <v>30729</v>
      </c>
      <c r="B11304" t="s">
        <v>30730</v>
      </c>
      <c r="C11304" t="s">
        <v>32212</v>
      </c>
      <c r="D11304" t="s">
        <v>30732</v>
      </c>
      <c r="E11304" t="s">
        <v>32213</v>
      </c>
      <c r="F11304" t="s">
        <v>32214</v>
      </c>
      <c r="J11304" t="s">
        <v>32133</v>
      </c>
      <c r="K11304" t="s">
        <v>21600</v>
      </c>
      <c r="L11304" t="s">
        <v>3616</v>
      </c>
    </row>
    <row r="11305" spans="1:12">
      <c r="A11305" t="s">
        <v>30729</v>
      </c>
      <c r="B11305" t="s">
        <v>30730</v>
      </c>
      <c r="C11305" t="s">
        <v>32215</v>
      </c>
      <c r="D11305" t="s">
        <v>30732</v>
      </c>
      <c r="E11305" t="s">
        <v>32216</v>
      </c>
      <c r="F11305" t="s">
        <v>32217</v>
      </c>
      <c r="J11305" t="s">
        <v>32216</v>
      </c>
      <c r="K11305" t="s">
        <v>21600</v>
      </c>
      <c r="L11305" t="s">
        <v>3616</v>
      </c>
    </row>
    <row r="11306" spans="1:12">
      <c r="A11306" t="s">
        <v>30729</v>
      </c>
      <c r="B11306" t="s">
        <v>30730</v>
      </c>
      <c r="C11306" t="s">
        <v>32218</v>
      </c>
      <c r="D11306" t="s">
        <v>30732</v>
      </c>
      <c r="E11306" t="s">
        <v>32219</v>
      </c>
      <c r="F11306" t="s">
        <v>32220</v>
      </c>
      <c r="J11306" t="s">
        <v>32219</v>
      </c>
      <c r="K11306" t="s">
        <v>21600</v>
      </c>
      <c r="L11306" t="s">
        <v>3616</v>
      </c>
    </row>
    <row r="11307" spans="1:12">
      <c r="A11307" t="s">
        <v>30729</v>
      </c>
      <c r="B11307" t="s">
        <v>30730</v>
      </c>
      <c r="C11307" t="s">
        <v>32221</v>
      </c>
      <c r="D11307" t="s">
        <v>30732</v>
      </c>
      <c r="E11307" t="s">
        <v>32222</v>
      </c>
      <c r="F11307" t="s">
        <v>32223</v>
      </c>
    </row>
    <row r="11308" spans="1:12">
      <c r="A11308" t="s">
        <v>30729</v>
      </c>
      <c r="B11308" t="s">
        <v>30730</v>
      </c>
      <c r="C11308" t="s">
        <v>32224</v>
      </c>
      <c r="D11308" t="s">
        <v>30732</v>
      </c>
      <c r="E11308" t="s">
        <v>32225</v>
      </c>
      <c r="F11308" t="s">
        <v>32226</v>
      </c>
    </row>
    <row r="11309" spans="1:12">
      <c r="A11309" t="s">
        <v>30729</v>
      </c>
      <c r="B11309" t="s">
        <v>30730</v>
      </c>
      <c r="C11309" t="s">
        <v>32227</v>
      </c>
      <c r="D11309" t="s">
        <v>30732</v>
      </c>
      <c r="E11309" t="s">
        <v>32228</v>
      </c>
      <c r="F11309" t="s">
        <v>32229</v>
      </c>
      <c r="J11309" t="s">
        <v>32228</v>
      </c>
      <c r="K11309" t="s">
        <v>21600</v>
      </c>
      <c r="L11309" t="s">
        <v>3616</v>
      </c>
    </row>
    <row r="11310" spans="1:12">
      <c r="A11310" t="s">
        <v>30729</v>
      </c>
      <c r="B11310" t="s">
        <v>30730</v>
      </c>
      <c r="C11310" t="s">
        <v>32230</v>
      </c>
      <c r="D11310" t="s">
        <v>30732</v>
      </c>
      <c r="E11310" t="s">
        <v>32231</v>
      </c>
      <c r="F11310" t="s">
        <v>32232</v>
      </c>
      <c r="J11310" t="s">
        <v>32231</v>
      </c>
      <c r="K11310" t="s">
        <v>21600</v>
      </c>
      <c r="L11310" t="s">
        <v>3616</v>
      </c>
    </row>
    <row r="11311" spans="1:12">
      <c r="A11311" t="s">
        <v>30729</v>
      </c>
      <c r="B11311" t="s">
        <v>30730</v>
      </c>
      <c r="C11311" t="s">
        <v>32233</v>
      </c>
      <c r="D11311" t="s">
        <v>30732</v>
      </c>
      <c r="E11311" t="s">
        <v>32234</v>
      </c>
      <c r="F11311" t="s">
        <v>32235</v>
      </c>
      <c r="J11311" t="s">
        <v>32234</v>
      </c>
      <c r="K11311" t="s">
        <v>21600</v>
      </c>
      <c r="L11311" t="s">
        <v>3616</v>
      </c>
    </row>
    <row r="11312" spans="1:12">
      <c r="A11312" t="s">
        <v>30729</v>
      </c>
      <c r="B11312" t="s">
        <v>30730</v>
      </c>
      <c r="C11312" t="s">
        <v>32236</v>
      </c>
      <c r="D11312" t="s">
        <v>30732</v>
      </c>
      <c r="E11312" t="s">
        <v>32237</v>
      </c>
      <c r="F11312" t="s">
        <v>32238</v>
      </c>
      <c r="J11312" t="s">
        <v>32237</v>
      </c>
      <c r="K11312" t="s">
        <v>21600</v>
      </c>
      <c r="L11312" t="s">
        <v>3616</v>
      </c>
    </row>
    <row r="11313" spans="1:12">
      <c r="A11313" t="s">
        <v>30729</v>
      </c>
      <c r="B11313" t="s">
        <v>30730</v>
      </c>
      <c r="C11313" t="s">
        <v>32239</v>
      </c>
      <c r="D11313" t="s">
        <v>30732</v>
      </c>
      <c r="E11313" t="s">
        <v>32240</v>
      </c>
      <c r="F11313" t="s">
        <v>32241</v>
      </c>
    </row>
    <row r="11314" spans="1:12">
      <c r="A11314" t="s">
        <v>30729</v>
      </c>
      <c r="B11314" t="s">
        <v>30730</v>
      </c>
      <c r="C11314" t="s">
        <v>32242</v>
      </c>
      <c r="D11314" t="s">
        <v>30732</v>
      </c>
      <c r="E11314" t="s">
        <v>32243</v>
      </c>
      <c r="F11314" t="s">
        <v>32244</v>
      </c>
      <c r="J11314" t="s">
        <v>32243</v>
      </c>
      <c r="K11314" t="s">
        <v>21600</v>
      </c>
      <c r="L11314" t="s">
        <v>3616</v>
      </c>
    </row>
    <row r="11315" spans="1:12">
      <c r="A11315" t="s">
        <v>30729</v>
      </c>
      <c r="B11315" t="s">
        <v>30730</v>
      </c>
      <c r="C11315" t="s">
        <v>32245</v>
      </c>
      <c r="D11315" t="s">
        <v>30732</v>
      </c>
      <c r="E11315" t="s">
        <v>28725</v>
      </c>
      <c r="F11315" t="s">
        <v>32246</v>
      </c>
    </row>
    <row r="11316" spans="1:12">
      <c r="A11316" t="s">
        <v>30729</v>
      </c>
      <c r="B11316" t="s">
        <v>30730</v>
      </c>
      <c r="C11316" t="s">
        <v>32247</v>
      </c>
      <c r="D11316" t="s">
        <v>30732</v>
      </c>
      <c r="E11316" t="s">
        <v>32248</v>
      </c>
      <c r="F11316" t="s">
        <v>32249</v>
      </c>
      <c r="J11316" t="s">
        <v>32248</v>
      </c>
      <c r="K11316" t="s">
        <v>21600</v>
      </c>
      <c r="L11316" t="s">
        <v>3616</v>
      </c>
    </row>
    <row r="11317" spans="1:12">
      <c r="A11317" t="s">
        <v>30729</v>
      </c>
      <c r="B11317" t="s">
        <v>30730</v>
      </c>
      <c r="C11317" t="s">
        <v>32250</v>
      </c>
      <c r="D11317" t="s">
        <v>30732</v>
      </c>
      <c r="E11317" t="s">
        <v>32251</v>
      </c>
      <c r="F11317" t="s">
        <v>32252</v>
      </c>
      <c r="J11317" t="s">
        <v>32251</v>
      </c>
      <c r="K11317" t="s">
        <v>21600</v>
      </c>
      <c r="L11317" t="s">
        <v>3616</v>
      </c>
    </row>
    <row r="11318" spans="1:12">
      <c r="A11318" t="s">
        <v>30729</v>
      </c>
      <c r="B11318" t="s">
        <v>30730</v>
      </c>
      <c r="C11318" t="s">
        <v>32253</v>
      </c>
      <c r="D11318" t="s">
        <v>30732</v>
      </c>
      <c r="E11318" t="s">
        <v>32254</v>
      </c>
      <c r="F11318" t="s">
        <v>32255</v>
      </c>
      <c r="J11318" t="s">
        <v>32254</v>
      </c>
      <c r="K11318" t="s">
        <v>21600</v>
      </c>
      <c r="L11318" t="s">
        <v>3616</v>
      </c>
    </row>
    <row r="11319" spans="1:12">
      <c r="A11319" t="s">
        <v>30729</v>
      </c>
      <c r="B11319" t="s">
        <v>30730</v>
      </c>
      <c r="C11319" t="s">
        <v>32256</v>
      </c>
      <c r="D11319" t="s">
        <v>30732</v>
      </c>
      <c r="E11319" t="s">
        <v>32257</v>
      </c>
      <c r="F11319" t="s">
        <v>32258</v>
      </c>
      <c r="J11319" t="s">
        <v>32257</v>
      </c>
      <c r="K11319" t="s">
        <v>21600</v>
      </c>
      <c r="L11319" t="s">
        <v>3616</v>
      </c>
    </row>
    <row r="11320" spans="1:12">
      <c r="A11320" t="s">
        <v>30729</v>
      </c>
      <c r="B11320" t="s">
        <v>30730</v>
      </c>
      <c r="C11320" t="s">
        <v>32259</v>
      </c>
      <c r="D11320" t="s">
        <v>30732</v>
      </c>
      <c r="E11320" t="s">
        <v>32260</v>
      </c>
      <c r="F11320" t="s">
        <v>32261</v>
      </c>
      <c r="J11320" t="s">
        <v>32260</v>
      </c>
      <c r="K11320" t="s">
        <v>21600</v>
      </c>
      <c r="L11320" t="s">
        <v>3616</v>
      </c>
    </row>
    <row r="11321" spans="1:12">
      <c r="A11321" t="s">
        <v>30729</v>
      </c>
      <c r="B11321" t="s">
        <v>30730</v>
      </c>
      <c r="C11321" t="s">
        <v>32262</v>
      </c>
      <c r="D11321" t="s">
        <v>30732</v>
      </c>
      <c r="E11321" t="s">
        <v>32263</v>
      </c>
      <c r="F11321" t="s">
        <v>32264</v>
      </c>
      <c r="J11321" t="s">
        <v>32263</v>
      </c>
      <c r="K11321" t="s">
        <v>21600</v>
      </c>
      <c r="L11321" t="s">
        <v>3616</v>
      </c>
    </row>
    <row r="11322" spans="1:12">
      <c r="A11322" t="s">
        <v>30729</v>
      </c>
      <c r="B11322" t="s">
        <v>30730</v>
      </c>
      <c r="C11322" t="s">
        <v>32265</v>
      </c>
      <c r="D11322" t="s">
        <v>30732</v>
      </c>
      <c r="E11322" t="s">
        <v>32266</v>
      </c>
      <c r="F11322" t="s">
        <v>32267</v>
      </c>
      <c r="J11322" t="s">
        <v>32266</v>
      </c>
      <c r="K11322" t="s">
        <v>21600</v>
      </c>
      <c r="L11322" t="s">
        <v>3616</v>
      </c>
    </row>
    <row r="11323" spans="1:12">
      <c r="A11323" t="s">
        <v>30729</v>
      </c>
      <c r="B11323" t="s">
        <v>30730</v>
      </c>
      <c r="C11323" t="s">
        <v>32268</v>
      </c>
      <c r="D11323" t="s">
        <v>30732</v>
      </c>
      <c r="E11323" t="s">
        <v>32269</v>
      </c>
      <c r="F11323" t="s">
        <v>32270</v>
      </c>
      <c r="J11323" t="s">
        <v>32269</v>
      </c>
      <c r="K11323" t="s">
        <v>21600</v>
      </c>
      <c r="L11323" t="s">
        <v>3616</v>
      </c>
    </row>
    <row r="11324" spans="1:12">
      <c r="A11324" t="s">
        <v>30729</v>
      </c>
      <c r="B11324" t="s">
        <v>30730</v>
      </c>
      <c r="C11324" t="s">
        <v>32271</v>
      </c>
      <c r="D11324" t="s">
        <v>30732</v>
      </c>
      <c r="E11324" t="s">
        <v>24914</v>
      </c>
      <c r="F11324" t="s">
        <v>32272</v>
      </c>
      <c r="J11324" t="s">
        <v>24914</v>
      </c>
      <c r="K11324" t="s">
        <v>21600</v>
      </c>
      <c r="L11324" t="s">
        <v>3616</v>
      </c>
    </row>
    <row r="11325" spans="1:12">
      <c r="A11325" t="s">
        <v>30729</v>
      </c>
      <c r="B11325" t="s">
        <v>30730</v>
      </c>
      <c r="C11325" t="s">
        <v>32273</v>
      </c>
      <c r="D11325" t="s">
        <v>30732</v>
      </c>
      <c r="E11325" t="s">
        <v>32274</v>
      </c>
      <c r="F11325" t="s">
        <v>32275</v>
      </c>
      <c r="J11325" t="s">
        <v>32274</v>
      </c>
      <c r="K11325" t="s">
        <v>21600</v>
      </c>
      <c r="L11325" t="s">
        <v>3616</v>
      </c>
    </row>
    <row r="11326" spans="1:12">
      <c r="A11326" t="s">
        <v>30729</v>
      </c>
      <c r="B11326" t="s">
        <v>30730</v>
      </c>
      <c r="C11326" t="s">
        <v>32276</v>
      </c>
      <c r="D11326" t="s">
        <v>30732</v>
      </c>
      <c r="E11326" t="s">
        <v>32277</v>
      </c>
      <c r="F11326" t="s">
        <v>32278</v>
      </c>
      <c r="J11326" t="s">
        <v>32277</v>
      </c>
      <c r="K11326" t="s">
        <v>21600</v>
      </c>
      <c r="L11326" t="s">
        <v>3616</v>
      </c>
    </row>
    <row r="11327" spans="1:12">
      <c r="A11327" t="s">
        <v>30729</v>
      </c>
      <c r="B11327" t="s">
        <v>30730</v>
      </c>
      <c r="C11327" t="s">
        <v>32279</v>
      </c>
      <c r="D11327" t="s">
        <v>30732</v>
      </c>
      <c r="E11327" t="s">
        <v>11873</v>
      </c>
      <c r="F11327" t="s">
        <v>32280</v>
      </c>
    </row>
    <row r="11328" spans="1:12">
      <c r="A11328" t="s">
        <v>30729</v>
      </c>
      <c r="B11328" t="s">
        <v>30730</v>
      </c>
      <c r="C11328" t="s">
        <v>32281</v>
      </c>
      <c r="D11328" t="s">
        <v>30732</v>
      </c>
      <c r="E11328" t="s">
        <v>32282</v>
      </c>
      <c r="F11328" t="s">
        <v>32283</v>
      </c>
    </row>
    <row r="11329" spans="1:12">
      <c r="A11329" t="s">
        <v>30729</v>
      </c>
      <c r="B11329" t="s">
        <v>30730</v>
      </c>
      <c r="C11329" t="s">
        <v>32284</v>
      </c>
      <c r="D11329" t="s">
        <v>30732</v>
      </c>
      <c r="E11329" t="s">
        <v>32285</v>
      </c>
      <c r="F11329" t="s">
        <v>32286</v>
      </c>
    </row>
    <row r="11330" spans="1:12">
      <c r="A11330" t="s">
        <v>30729</v>
      </c>
      <c r="B11330" t="s">
        <v>30730</v>
      </c>
      <c r="C11330" t="s">
        <v>32287</v>
      </c>
      <c r="D11330" t="s">
        <v>30732</v>
      </c>
      <c r="E11330" t="s">
        <v>24916</v>
      </c>
      <c r="F11330" t="s">
        <v>32288</v>
      </c>
      <c r="J11330" t="s">
        <v>24916</v>
      </c>
      <c r="K11330" t="s">
        <v>21600</v>
      </c>
      <c r="L11330" t="s">
        <v>3616</v>
      </c>
    </row>
    <row r="11331" spans="1:12">
      <c r="A11331" t="s">
        <v>30729</v>
      </c>
      <c r="B11331" t="s">
        <v>30730</v>
      </c>
      <c r="C11331" t="s">
        <v>32289</v>
      </c>
      <c r="D11331" t="s">
        <v>30732</v>
      </c>
      <c r="E11331" t="s">
        <v>32290</v>
      </c>
      <c r="F11331" t="s">
        <v>32291</v>
      </c>
      <c r="J11331" t="s">
        <v>32290</v>
      </c>
      <c r="K11331" t="s">
        <v>21600</v>
      </c>
      <c r="L11331" t="s">
        <v>3616</v>
      </c>
    </row>
    <row r="11332" spans="1:12">
      <c r="A11332" t="s">
        <v>30729</v>
      </c>
      <c r="B11332" t="s">
        <v>30730</v>
      </c>
      <c r="C11332" t="s">
        <v>32292</v>
      </c>
      <c r="D11332" t="s">
        <v>30732</v>
      </c>
      <c r="E11332" t="s">
        <v>26035</v>
      </c>
      <c r="F11332" t="s">
        <v>32293</v>
      </c>
      <c r="J11332" t="s">
        <v>26035</v>
      </c>
      <c r="K11332" t="s">
        <v>21600</v>
      </c>
      <c r="L11332" t="s">
        <v>3616</v>
      </c>
    </row>
    <row r="11333" spans="1:12">
      <c r="A11333" t="s">
        <v>30729</v>
      </c>
      <c r="B11333" t="s">
        <v>30730</v>
      </c>
      <c r="C11333" t="s">
        <v>32294</v>
      </c>
      <c r="D11333" t="s">
        <v>30732</v>
      </c>
      <c r="E11333" t="s">
        <v>32295</v>
      </c>
      <c r="F11333" t="s">
        <v>32232</v>
      </c>
      <c r="J11333" t="s">
        <v>32295</v>
      </c>
      <c r="K11333" t="s">
        <v>21600</v>
      </c>
      <c r="L11333" t="s">
        <v>3616</v>
      </c>
    </row>
    <row r="11334" spans="1:12">
      <c r="A11334" t="s">
        <v>30729</v>
      </c>
      <c r="B11334" t="s">
        <v>30730</v>
      </c>
      <c r="C11334" t="s">
        <v>32296</v>
      </c>
      <c r="D11334" t="s">
        <v>30732</v>
      </c>
      <c r="E11334" t="s">
        <v>32297</v>
      </c>
      <c r="F11334" t="s">
        <v>32298</v>
      </c>
    </row>
    <row r="11335" spans="1:12">
      <c r="A11335" t="s">
        <v>30729</v>
      </c>
      <c r="B11335" t="s">
        <v>30730</v>
      </c>
      <c r="C11335" t="s">
        <v>32299</v>
      </c>
      <c r="D11335" t="s">
        <v>30732</v>
      </c>
      <c r="E11335" t="s">
        <v>32300</v>
      </c>
      <c r="F11335" t="s">
        <v>32301</v>
      </c>
    </row>
    <row r="11336" spans="1:12">
      <c r="A11336" t="s">
        <v>30729</v>
      </c>
      <c r="B11336" t="s">
        <v>30730</v>
      </c>
      <c r="C11336" t="s">
        <v>32302</v>
      </c>
      <c r="D11336" t="s">
        <v>30732</v>
      </c>
      <c r="E11336" t="s">
        <v>32303</v>
      </c>
      <c r="F11336" t="s">
        <v>32304</v>
      </c>
      <c r="J11336" t="s">
        <v>32303</v>
      </c>
      <c r="K11336" t="s">
        <v>21600</v>
      </c>
      <c r="L11336" t="s">
        <v>3616</v>
      </c>
    </row>
    <row r="11337" spans="1:12">
      <c r="A11337" t="s">
        <v>30729</v>
      </c>
      <c r="B11337" t="s">
        <v>30730</v>
      </c>
      <c r="C11337" t="s">
        <v>32305</v>
      </c>
      <c r="D11337" t="s">
        <v>30732</v>
      </c>
      <c r="E11337" t="s">
        <v>32306</v>
      </c>
      <c r="F11337" t="s">
        <v>32307</v>
      </c>
      <c r="J11337" t="s">
        <v>32306</v>
      </c>
      <c r="K11337" t="s">
        <v>21600</v>
      </c>
      <c r="L11337" t="s">
        <v>3616</v>
      </c>
    </row>
    <row r="11338" spans="1:12">
      <c r="A11338" t="s">
        <v>30729</v>
      </c>
      <c r="B11338" t="s">
        <v>30730</v>
      </c>
      <c r="C11338" t="s">
        <v>32308</v>
      </c>
      <c r="D11338" t="s">
        <v>30732</v>
      </c>
      <c r="E11338" t="s">
        <v>32309</v>
      </c>
      <c r="F11338" t="s">
        <v>32310</v>
      </c>
      <c r="J11338" t="s">
        <v>32309</v>
      </c>
      <c r="K11338" t="s">
        <v>21600</v>
      </c>
      <c r="L11338" t="s">
        <v>3616</v>
      </c>
    </row>
    <row r="11339" spans="1:12">
      <c r="A11339" t="s">
        <v>30729</v>
      </c>
      <c r="B11339" t="s">
        <v>30730</v>
      </c>
      <c r="C11339" t="s">
        <v>32311</v>
      </c>
      <c r="D11339" t="s">
        <v>30732</v>
      </c>
      <c r="E11339" t="s">
        <v>25175</v>
      </c>
      <c r="F11339" t="s">
        <v>32312</v>
      </c>
      <c r="J11339" t="s">
        <v>25175</v>
      </c>
      <c r="K11339" t="s">
        <v>21600</v>
      </c>
      <c r="L11339" t="s">
        <v>3616</v>
      </c>
    </row>
    <row r="11340" spans="1:12">
      <c r="A11340" t="s">
        <v>30729</v>
      </c>
      <c r="B11340" t="s">
        <v>30730</v>
      </c>
      <c r="C11340" t="s">
        <v>32313</v>
      </c>
      <c r="D11340" t="s">
        <v>30732</v>
      </c>
      <c r="E11340" t="s">
        <v>28931</v>
      </c>
      <c r="F11340" t="s">
        <v>32314</v>
      </c>
    </row>
    <row r="11341" spans="1:12">
      <c r="A11341" t="s">
        <v>30729</v>
      </c>
      <c r="B11341" t="s">
        <v>30730</v>
      </c>
      <c r="C11341" t="s">
        <v>32315</v>
      </c>
      <c r="D11341" t="s">
        <v>30732</v>
      </c>
      <c r="E11341" t="s">
        <v>32316</v>
      </c>
      <c r="F11341" t="s">
        <v>32317</v>
      </c>
      <c r="J11341" t="s">
        <v>32316</v>
      </c>
      <c r="K11341" t="s">
        <v>21600</v>
      </c>
      <c r="L11341" t="s">
        <v>3616</v>
      </c>
    </row>
    <row r="11342" spans="1:12">
      <c r="A11342" t="s">
        <v>30729</v>
      </c>
      <c r="B11342" t="s">
        <v>30730</v>
      </c>
      <c r="C11342" t="s">
        <v>32318</v>
      </c>
      <c r="D11342" t="s">
        <v>30732</v>
      </c>
      <c r="E11342" t="s">
        <v>32319</v>
      </c>
      <c r="F11342" t="s">
        <v>32320</v>
      </c>
      <c r="J11342" t="s">
        <v>32319</v>
      </c>
      <c r="K11342" t="s">
        <v>21600</v>
      </c>
      <c r="L11342" t="s">
        <v>3616</v>
      </c>
    </row>
    <row r="11343" spans="1:12">
      <c r="A11343" t="s">
        <v>30729</v>
      </c>
      <c r="B11343" t="s">
        <v>30730</v>
      </c>
      <c r="C11343" t="s">
        <v>32321</v>
      </c>
      <c r="D11343" t="s">
        <v>30732</v>
      </c>
      <c r="E11343" t="s">
        <v>32322</v>
      </c>
      <c r="F11343" t="s">
        <v>32323</v>
      </c>
      <c r="J11343" t="s">
        <v>32322</v>
      </c>
      <c r="K11343" t="s">
        <v>21600</v>
      </c>
      <c r="L11343" t="s">
        <v>3616</v>
      </c>
    </row>
    <row r="11344" spans="1:12">
      <c r="A11344" t="s">
        <v>30729</v>
      </c>
      <c r="B11344" t="s">
        <v>30730</v>
      </c>
      <c r="C11344" t="s">
        <v>32324</v>
      </c>
      <c r="D11344" t="s">
        <v>30732</v>
      </c>
      <c r="E11344" t="s">
        <v>32325</v>
      </c>
      <c r="F11344" t="s">
        <v>32326</v>
      </c>
      <c r="J11344" t="s">
        <v>32325</v>
      </c>
      <c r="K11344" t="s">
        <v>21600</v>
      </c>
      <c r="L11344" t="s">
        <v>3616</v>
      </c>
    </row>
    <row r="11345" spans="1:12">
      <c r="A11345" t="s">
        <v>30729</v>
      </c>
      <c r="B11345" t="s">
        <v>30730</v>
      </c>
      <c r="C11345" t="s">
        <v>32327</v>
      </c>
      <c r="D11345" t="s">
        <v>30732</v>
      </c>
      <c r="E11345" t="s">
        <v>32328</v>
      </c>
      <c r="F11345" t="s">
        <v>32329</v>
      </c>
      <c r="J11345" t="s">
        <v>32328</v>
      </c>
      <c r="K11345" t="s">
        <v>21600</v>
      </c>
      <c r="L11345" t="s">
        <v>3616</v>
      </c>
    </row>
    <row r="11346" spans="1:12">
      <c r="A11346" t="s">
        <v>30729</v>
      </c>
      <c r="B11346" t="s">
        <v>30730</v>
      </c>
      <c r="C11346" t="s">
        <v>32330</v>
      </c>
      <c r="D11346" t="s">
        <v>30732</v>
      </c>
      <c r="E11346" t="s">
        <v>8825</v>
      </c>
      <c r="F11346" t="s">
        <v>32331</v>
      </c>
      <c r="J11346" t="s">
        <v>8825</v>
      </c>
      <c r="K11346" t="s">
        <v>21600</v>
      </c>
      <c r="L11346" t="s">
        <v>3616</v>
      </c>
    </row>
    <row r="11347" spans="1:12">
      <c r="A11347" t="s">
        <v>30729</v>
      </c>
      <c r="B11347" t="s">
        <v>30730</v>
      </c>
      <c r="C11347" t="s">
        <v>32332</v>
      </c>
      <c r="D11347" t="s">
        <v>30732</v>
      </c>
      <c r="E11347" t="s">
        <v>32333</v>
      </c>
      <c r="F11347" t="s">
        <v>32334</v>
      </c>
      <c r="J11347" t="s">
        <v>32333</v>
      </c>
      <c r="K11347" t="s">
        <v>21600</v>
      </c>
      <c r="L11347" t="s">
        <v>3616</v>
      </c>
    </row>
    <row r="11348" spans="1:12">
      <c r="A11348" t="s">
        <v>30729</v>
      </c>
      <c r="B11348" t="s">
        <v>30730</v>
      </c>
      <c r="C11348" t="s">
        <v>32335</v>
      </c>
      <c r="D11348" t="s">
        <v>30732</v>
      </c>
      <c r="E11348" t="s">
        <v>32336</v>
      </c>
      <c r="F11348" t="s">
        <v>32337</v>
      </c>
      <c r="J11348" t="s">
        <v>32336</v>
      </c>
      <c r="K11348" t="s">
        <v>21600</v>
      </c>
      <c r="L11348" t="s">
        <v>3616</v>
      </c>
    </row>
    <row r="11349" spans="1:12">
      <c r="A11349" t="s">
        <v>30729</v>
      </c>
      <c r="B11349" t="s">
        <v>30730</v>
      </c>
      <c r="C11349" t="s">
        <v>32338</v>
      </c>
      <c r="D11349" t="s">
        <v>30732</v>
      </c>
      <c r="E11349" t="s">
        <v>32339</v>
      </c>
      <c r="F11349" t="s">
        <v>32340</v>
      </c>
    </row>
    <row r="11350" spans="1:12">
      <c r="A11350" t="s">
        <v>30729</v>
      </c>
      <c r="B11350" t="s">
        <v>30730</v>
      </c>
      <c r="C11350" t="s">
        <v>32341</v>
      </c>
      <c r="D11350" t="s">
        <v>30732</v>
      </c>
      <c r="E11350" t="s">
        <v>32342</v>
      </c>
      <c r="F11350" t="s">
        <v>32343</v>
      </c>
      <c r="J11350" t="s">
        <v>32342</v>
      </c>
      <c r="K11350" t="s">
        <v>21600</v>
      </c>
      <c r="L11350" t="s">
        <v>3616</v>
      </c>
    </row>
    <row r="11351" spans="1:12">
      <c r="A11351" t="s">
        <v>30729</v>
      </c>
      <c r="B11351" t="s">
        <v>30730</v>
      </c>
      <c r="C11351" t="s">
        <v>32344</v>
      </c>
      <c r="D11351" t="s">
        <v>30732</v>
      </c>
      <c r="E11351" t="s">
        <v>32345</v>
      </c>
      <c r="F11351" t="s">
        <v>32346</v>
      </c>
      <c r="J11351" t="s">
        <v>32345</v>
      </c>
      <c r="K11351" t="s">
        <v>21600</v>
      </c>
      <c r="L11351" t="s">
        <v>3616</v>
      </c>
    </row>
    <row r="11352" spans="1:12">
      <c r="A11352" t="s">
        <v>30729</v>
      </c>
      <c r="B11352" t="s">
        <v>30730</v>
      </c>
      <c r="C11352" t="s">
        <v>32347</v>
      </c>
      <c r="D11352" t="s">
        <v>30732</v>
      </c>
      <c r="E11352" t="s">
        <v>10923</v>
      </c>
      <c r="F11352" t="s">
        <v>32348</v>
      </c>
      <c r="J11352" t="s">
        <v>10923</v>
      </c>
      <c r="K11352" t="s">
        <v>21600</v>
      </c>
      <c r="L11352" t="s">
        <v>3616</v>
      </c>
    </row>
    <row r="11353" spans="1:12">
      <c r="A11353" t="s">
        <v>30729</v>
      </c>
      <c r="B11353" t="s">
        <v>30730</v>
      </c>
      <c r="C11353" t="s">
        <v>32349</v>
      </c>
      <c r="D11353" t="s">
        <v>30732</v>
      </c>
      <c r="E11353" t="s">
        <v>32350</v>
      </c>
      <c r="F11353" t="s">
        <v>32351</v>
      </c>
      <c r="J11353" t="s">
        <v>32350</v>
      </c>
      <c r="K11353" t="s">
        <v>21600</v>
      </c>
      <c r="L11353" t="s">
        <v>3616</v>
      </c>
    </row>
    <row r="11354" spans="1:12">
      <c r="A11354" t="s">
        <v>30729</v>
      </c>
      <c r="B11354" t="s">
        <v>30730</v>
      </c>
      <c r="C11354" t="s">
        <v>32352</v>
      </c>
      <c r="D11354" t="s">
        <v>30732</v>
      </c>
      <c r="E11354" t="s">
        <v>8828</v>
      </c>
      <c r="F11354" t="s">
        <v>32353</v>
      </c>
      <c r="J11354" t="s">
        <v>8828</v>
      </c>
      <c r="K11354" t="s">
        <v>21600</v>
      </c>
      <c r="L11354" t="s">
        <v>3616</v>
      </c>
    </row>
    <row r="11355" spans="1:12">
      <c r="A11355" t="s">
        <v>30729</v>
      </c>
      <c r="B11355" t="s">
        <v>30730</v>
      </c>
      <c r="C11355" t="s">
        <v>32354</v>
      </c>
      <c r="D11355" t="s">
        <v>30732</v>
      </c>
      <c r="E11355" t="s">
        <v>32355</v>
      </c>
      <c r="F11355" t="s">
        <v>32356</v>
      </c>
      <c r="J11355" t="s">
        <v>32355</v>
      </c>
      <c r="K11355" t="s">
        <v>21600</v>
      </c>
      <c r="L11355" t="s">
        <v>3616</v>
      </c>
    </row>
    <row r="11356" spans="1:12">
      <c r="A11356" t="s">
        <v>30729</v>
      </c>
      <c r="B11356" t="s">
        <v>30730</v>
      </c>
      <c r="C11356" t="s">
        <v>32357</v>
      </c>
      <c r="D11356" t="s">
        <v>30732</v>
      </c>
      <c r="E11356" t="s">
        <v>32358</v>
      </c>
      <c r="F11356" t="s">
        <v>32359</v>
      </c>
      <c r="J11356" t="s">
        <v>32358</v>
      </c>
      <c r="K11356" t="s">
        <v>21600</v>
      </c>
      <c r="L11356" t="s">
        <v>3616</v>
      </c>
    </row>
    <row r="11357" spans="1:12">
      <c r="A11357" t="s">
        <v>30729</v>
      </c>
      <c r="B11357" t="s">
        <v>30730</v>
      </c>
      <c r="C11357" t="s">
        <v>32360</v>
      </c>
      <c r="D11357" t="s">
        <v>30732</v>
      </c>
      <c r="E11357" t="s">
        <v>8831</v>
      </c>
      <c r="F11357" t="s">
        <v>32361</v>
      </c>
    </row>
    <row r="11358" spans="1:12">
      <c r="A11358" t="s">
        <v>30729</v>
      </c>
      <c r="B11358" t="s">
        <v>30730</v>
      </c>
      <c r="C11358" t="s">
        <v>32362</v>
      </c>
      <c r="D11358" t="s">
        <v>30732</v>
      </c>
      <c r="E11358" t="s">
        <v>25178</v>
      </c>
      <c r="F11358" t="s">
        <v>32363</v>
      </c>
      <c r="J11358" t="s">
        <v>25178</v>
      </c>
      <c r="K11358" t="s">
        <v>21600</v>
      </c>
      <c r="L11358" t="s">
        <v>3616</v>
      </c>
    </row>
    <row r="11359" spans="1:12">
      <c r="A11359" t="s">
        <v>30729</v>
      </c>
      <c r="B11359" t="s">
        <v>30730</v>
      </c>
      <c r="C11359" t="s">
        <v>32364</v>
      </c>
      <c r="D11359" t="s">
        <v>30732</v>
      </c>
      <c r="E11359" t="s">
        <v>32365</v>
      </c>
      <c r="F11359" t="s">
        <v>32366</v>
      </c>
      <c r="J11359" t="s">
        <v>32365</v>
      </c>
      <c r="K11359" t="s">
        <v>21600</v>
      </c>
      <c r="L11359" t="s">
        <v>3616</v>
      </c>
    </row>
    <row r="11360" spans="1:12">
      <c r="A11360" t="s">
        <v>30729</v>
      </c>
      <c r="B11360" t="s">
        <v>30730</v>
      </c>
      <c r="C11360" t="s">
        <v>32367</v>
      </c>
      <c r="D11360" t="s">
        <v>30732</v>
      </c>
      <c r="E11360" t="s">
        <v>8837</v>
      </c>
      <c r="F11360" t="s">
        <v>32368</v>
      </c>
      <c r="J11360" t="s">
        <v>8837</v>
      </c>
      <c r="K11360" t="s">
        <v>21600</v>
      </c>
      <c r="L11360" t="s">
        <v>3616</v>
      </c>
    </row>
    <row r="11361" spans="1:12">
      <c r="A11361" t="s">
        <v>30729</v>
      </c>
      <c r="B11361" t="s">
        <v>30730</v>
      </c>
      <c r="C11361" t="s">
        <v>32369</v>
      </c>
      <c r="D11361" t="s">
        <v>30732</v>
      </c>
      <c r="E11361" t="s">
        <v>32370</v>
      </c>
      <c r="F11361" t="s">
        <v>32371</v>
      </c>
      <c r="J11361" t="s">
        <v>32370</v>
      </c>
      <c r="K11361" t="s">
        <v>21600</v>
      </c>
      <c r="L11361" t="s">
        <v>3616</v>
      </c>
    </row>
    <row r="11362" spans="1:12">
      <c r="A11362" t="s">
        <v>30729</v>
      </c>
      <c r="B11362" t="s">
        <v>30730</v>
      </c>
      <c r="C11362" t="s">
        <v>32372</v>
      </c>
      <c r="D11362" t="s">
        <v>30732</v>
      </c>
      <c r="E11362" t="s">
        <v>32373</v>
      </c>
      <c r="F11362" t="s">
        <v>32374</v>
      </c>
      <c r="J11362" t="s">
        <v>32373</v>
      </c>
      <c r="K11362" t="s">
        <v>21600</v>
      </c>
      <c r="L11362" t="s">
        <v>3616</v>
      </c>
    </row>
    <row r="11363" spans="1:12">
      <c r="A11363" t="s">
        <v>30729</v>
      </c>
      <c r="B11363" t="s">
        <v>30730</v>
      </c>
      <c r="C11363" t="s">
        <v>32375</v>
      </c>
      <c r="D11363" t="s">
        <v>30732</v>
      </c>
      <c r="E11363" t="s">
        <v>882</v>
      </c>
      <c r="F11363" t="s">
        <v>32376</v>
      </c>
      <c r="J11363" t="s">
        <v>882</v>
      </c>
      <c r="K11363" t="s">
        <v>21600</v>
      </c>
      <c r="L11363" t="s">
        <v>3616</v>
      </c>
    </row>
    <row r="11364" spans="1:12">
      <c r="A11364" t="s">
        <v>30729</v>
      </c>
      <c r="B11364" t="s">
        <v>30730</v>
      </c>
      <c r="C11364" t="s">
        <v>32377</v>
      </c>
      <c r="D11364" t="s">
        <v>30732</v>
      </c>
      <c r="E11364" t="s">
        <v>32378</v>
      </c>
      <c r="F11364" t="s">
        <v>32379</v>
      </c>
      <c r="J11364" t="s">
        <v>32378</v>
      </c>
      <c r="K11364" t="s">
        <v>21600</v>
      </c>
      <c r="L11364" t="s">
        <v>3616</v>
      </c>
    </row>
    <row r="11365" spans="1:12">
      <c r="A11365" t="s">
        <v>30729</v>
      </c>
      <c r="B11365" t="s">
        <v>30730</v>
      </c>
      <c r="C11365" t="s">
        <v>32380</v>
      </c>
      <c r="D11365" t="s">
        <v>30732</v>
      </c>
      <c r="E11365" t="s">
        <v>32381</v>
      </c>
      <c r="F11365" t="s">
        <v>32382</v>
      </c>
      <c r="J11365" t="s">
        <v>32381</v>
      </c>
      <c r="K11365" t="s">
        <v>21600</v>
      </c>
      <c r="L11365" t="s">
        <v>3616</v>
      </c>
    </row>
    <row r="11366" spans="1:12">
      <c r="A11366" t="s">
        <v>30729</v>
      </c>
      <c r="B11366" t="s">
        <v>30730</v>
      </c>
      <c r="C11366" t="s">
        <v>32383</v>
      </c>
      <c r="D11366" t="s">
        <v>30732</v>
      </c>
      <c r="E11366" t="s">
        <v>16592</v>
      </c>
      <c r="F11366" t="s">
        <v>32384</v>
      </c>
      <c r="J11366" t="s">
        <v>16592</v>
      </c>
      <c r="K11366" t="s">
        <v>21600</v>
      </c>
      <c r="L11366" t="s">
        <v>3616</v>
      </c>
    </row>
    <row r="11367" spans="1:12">
      <c r="A11367" t="s">
        <v>30729</v>
      </c>
      <c r="B11367" t="s">
        <v>30730</v>
      </c>
      <c r="C11367" t="s">
        <v>32385</v>
      </c>
      <c r="D11367" t="s">
        <v>30732</v>
      </c>
      <c r="E11367" t="s">
        <v>32386</v>
      </c>
      <c r="F11367" t="s">
        <v>32387</v>
      </c>
    </row>
    <row r="11368" spans="1:12">
      <c r="A11368" t="s">
        <v>30729</v>
      </c>
      <c r="B11368" t="s">
        <v>30730</v>
      </c>
      <c r="C11368" t="s">
        <v>32388</v>
      </c>
      <c r="D11368" t="s">
        <v>30732</v>
      </c>
      <c r="E11368" t="s">
        <v>32389</v>
      </c>
      <c r="F11368" t="s">
        <v>32390</v>
      </c>
      <c r="J11368" t="s">
        <v>32389</v>
      </c>
      <c r="K11368" t="s">
        <v>21600</v>
      </c>
      <c r="L11368" t="s">
        <v>3616</v>
      </c>
    </row>
    <row r="11369" spans="1:12">
      <c r="A11369" t="s">
        <v>30729</v>
      </c>
      <c r="B11369" t="s">
        <v>30730</v>
      </c>
      <c r="C11369" t="s">
        <v>32391</v>
      </c>
      <c r="D11369" t="s">
        <v>30732</v>
      </c>
      <c r="E11369" t="s">
        <v>16599</v>
      </c>
      <c r="F11369" t="s">
        <v>32392</v>
      </c>
      <c r="J11369" t="s">
        <v>16599</v>
      </c>
      <c r="K11369" t="s">
        <v>21600</v>
      </c>
      <c r="L11369" t="s">
        <v>3616</v>
      </c>
    </row>
    <row r="11370" spans="1:12">
      <c r="A11370" t="s">
        <v>30729</v>
      </c>
      <c r="B11370" t="s">
        <v>30730</v>
      </c>
      <c r="C11370" t="s">
        <v>32393</v>
      </c>
      <c r="D11370" t="s">
        <v>30732</v>
      </c>
      <c r="E11370" t="s">
        <v>32394</v>
      </c>
      <c r="F11370" t="s">
        <v>32395</v>
      </c>
      <c r="J11370" t="s">
        <v>32394</v>
      </c>
      <c r="K11370" t="s">
        <v>21600</v>
      </c>
      <c r="L11370" t="s">
        <v>3616</v>
      </c>
    </row>
    <row r="11371" spans="1:12">
      <c r="A11371" t="s">
        <v>30729</v>
      </c>
      <c r="B11371" t="s">
        <v>30730</v>
      </c>
      <c r="C11371" t="s">
        <v>32396</v>
      </c>
      <c r="D11371" t="s">
        <v>30732</v>
      </c>
      <c r="E11371" t="s">
        <v>32397</v>
      </c>
      <c r="F11371" t="s">
        <v>32398</v>
      </c>
      <c r="J11371" t="s">
        <v>32397</v>
      </c>
      <c r="K11371" t="s">
        <v>21600</v>
      </c>
      <c r="L11371" t="s">
        <v>3616</v>
      </c>
    </row>
    <row r="11372" spans="1:12">
      <c r="A11372" t="s">
        <v>30729</v>
      </c>
      <c r="B11372" t="s">
        <v>30730</v>
      </c>
      <c r="C11372" t="s">
        <v>32399</v>
      </c>
      <c r="D11372" t="s">
        <v>30732</v>
      </c>
      <c r="E11372" t="s">
        <v>32400</v>
      </c>
      <c r="F11372" t="s">
        <v>32401</v>
      </c>
      <c r="J11372" t="s">
        <v>32400</v>
      </c>
      <c r="K11372" t="s">
        <v>21600</v>
      </c>
      <c r="L11372" t="s">
        <v>3616</v>
      </c>
    </row>
    <row r="11373" spans="1:12">
      <c r="A11373" t="s">
        <v>30729</v>
      </c>
      <c r="B11373" t="s">
        <v>30730</v>
      </c>
      <c r="C11373" t="s">
        <v>32402</v>
      </c>
      <c r="D11373" t="s">
        <v>30732</v>
      </c>
      <c r="E11373" t="s">
        <v>32403</v>
      </c>
      <c r="F11373" t="s">
        <v>32404</v>
      </c>
    </row>
    <row r="11374" spans="1:12">
      <c r="A11374" t="s">
        <v>30729</v>
      </c>
      <c r="B11374" t="s">
        <v>30730</v>
      </c>
      <c r="C11374" t="s">
        <v>32405</v>
      </c>
      <c r="D11374" t="s">
        <v>30732</v>
      </c>
      <c r="E11374" t="s">
        <v>32406</v>
      </c>
      <c r="F11374" t="s">
        <v>32407</v>
      </c>
      <c r="J11374" t="s">
        <v>32406</v>
      </c>
      <c r="K11374" t="s">
        <v>21600</v>
      </c>
      <c r="L11374" t="s">
        <v>3616</v>
      </c>
    </row>
    <row r="11375" spans="1:12">
      <c r="A11375" t="s">
        <v>30729</v>
      </c>
      <c r="B11375" t="s">
        <v>30730</v>
      </c>
      <c r="C11375" t="s">
        <v>32408</v>
      </c>
      <c r="D11375" t="s">
        <v>30732</v>
      </c>
      <c r="E11375" t="s">
        <v>32409</v>
      </c>
      <c r="F11375" t="s">
        <v>32410</v>
      </c>
      <c r="J11375" t="s">
        <v>32409</v>
      </c>
      <c r="K11375" t="s">
        <v>21600</v>
      </c>
      <c r="L11375" t="s">
        <v>3616</v>
      </c>
    </row>
    <row r="11376" spans="1:12">
      <c r="A11376" t="s">
        <v>30729</v>
      </c>
      <c r="B11376" t="s">
        <v>30730</v>
      </c>
      <c r="C11376" t="s">
        <v>32411</v>
      </c>
      <c r="D11376" t="s">
        <v>30732</v>
      </c>
      <c r="E11376" t="s">
        <v>32412</v>
      </c>
      <c r="F11376" t="s">
        <v>32413</v>
      </c>
    </row>
    <row r="11377" spans="1:12">
      <c r="A11377" t="s">
        <v>30729</v>
      </c>
      <c r="B11377" t="s">
        <v>30730</v>
      </c>
      <c r="C11377" t="s">
        <v>32414</v>
      </c>
      <c r="D11377" t="s">
        <v>30732</v>
      </c>
      <c r="E11377" t="s">
        <v>32415</v>
      </c>
      <c r="F11377" t="s">
        <v>32416</v>
      </c>
    </row>
    <row r="11378" spans="1:12">
      <c r="A11378" t="s">
        <v>30729</v>
      </c>
      <c r="B11378" t="s">
        <v>30730</v>
      </c>
      <c r="C11378" t="s">
        <v>32417</v>
      </c>
      <c r="D11378" t="s">
        <v>30732</v>
      </c>
      <c r="E11378" t="s">
        <v>32418</v>
      </c>
      <c r="F11378" t="s">
        <v>32419</v>
      </c>
      <c r="J11378" t="s">
        <v>32418</v>
      </c>
      <c r="K11378" t="s">
        <v>21600</v>
      </c>
      <c r="L11378" t="s">
        <v>3616</v>
      </c>
    </row>
    <row r="11379" spans="1:12">
      <c r="A11379" t="s">
        <v>30729</v>
      </c>
      <c r="B11379" t="s">
        <v>30730</v>
      </c>
      <c r="C11379" t="s">
        <v>32420</v>
      </c>
      <c r="D11379" t="s">
        <v>30732</v>
      </c>
      <c r="E11379" t="s">
        <v>32421</v>
      </c>
      <c r="F11379" t="s">
        <v>32422</v>
      </c>
      <c r="J11379" t="s">
        <v>32421</v>
      </c>
      <c r="K11379" t="s">
        <v>21600</v>
      </c>
      <c r="L11379" t="s">
        <v>3616</v>
      </c>
    </row>
    <row r="11380" spans="1:12">
      <c r="A11380" t="s">
        <v>30729</v>
      </c>
      <c r="B11380" t="s">
        <v>30730</v>
      </c>
      <c r="C11380" t="s">
        <v>32423</v>
      </c>
      <c r="D11380" t="s">
        <v>30732</v>
      </c>
      <c r="E11380" t="s">
        <v>32424</v>
      </c>
      <c r="F11380" t="s">
        <v>32425</v>
      </c>
      <c r="J11380" t="s">
        <v>32424</v>
      </c>
      <c r="K11380" t="s">
        <v>21600</v>
      </c>
      <c r="L11380" t="s">
        <v>3616</v>
      </c>
    </row>
    <row r="11381" spans="1:12">
      <c r="A11381" t="s">
        <v>30729</v>
      </c>
      <c r="B11381" t="s">
        <v>30730</v>
      </c>
      <c r="C11381" t="s">
        <v>32426</v>
      </c>
      <c r="D11381" t="s">
        <v>30732</v>
      </c>
      <c r="E11381" t="s">
        <v>11246</v>
      </c>
      <c r="F11381" t="s">
        <v>32427</v>
      </c>
      <c r="J11381" t="s">
        <v>11246</v>
      </c>
      <c r="K11381" t="s">
        <v>21600</v>
      </c>
      <c r="L11381" t="s">
        <v>3616</v>
      </c>
    </row>
    <row r="11382" spans="1:12">
      <c r="A11382" t="s">
        <v>30729</v>
      </c>
      <c r="B11382" t="s">
        <v>30730</v>
      </c>
      <c r="C11382" t="s">
        <v>32428</v>
      </c>
      <c r="D11382" t="s">
        <v>30732</v>
      </c>
      <c r="E11382" t="s">
        <v>24751</v>
      </c>
      <c r="F11382" t="s">
        <v>32429</v>
      </c>
      <c r="J11382" t="s">
        <v>24751</v>
      </c>
      <c r="K11382" t="s">
        <v>21600</v>
      </c>
      <c r="L11382" t="s">
        <v>3616</v>
      </c>
    </row>
    <row r="11383" spans="1:12">
      <c r="A11383" t="s">
        <v>30729</v>
      </c>
      <c r="B11383" t="s">
        <v>30730</v>
      </c>
      <c r="C11383" t="s">
        <v>32430</v>
      </c>
      <c r="D11383" t="s">
        <v>30732</v>
      </c>
      <c r="E11383" t="s">
        <v>32431</v>
      </c>
      <c r="F11383" t="s">
        <v>32432</v>
      </c>
      <c r="J11383" t="s">
        <v>32431</v>
      </c>
      <c r="K11383" t="s">
        <v>21600</v>
      </c>
      <c r="L11383" t="s">
        <v>3616</v>
      </c>
    </row>
    <row r="11384" spans="1:12">
      <c r="A11384" t="s">
        <v>30729</v>
      </c>
      <c r="B11384" t="s">
        <v>30730</v>
      </c>
      <c r="C11384" t="s">
        <v>32433</v>
      </c>
      <c r="D11384" t="s">
        <v>30732</v>
      </c>
      <c r="E11384" t="s">
        <v>23908</v>
      </c>
      <c r="F11384" t="s">
        <v>32434</v>
      </c>
    </row>
    <row r="11385" spans="1:12">
      <c r="A11385" t="s">
        <v>30729</v>
      </c>
      <c r="B11385" t="s">
        <v>30730</v>
      </c>
      <c r="C11385" t="s">
        <v>32435</v>
      </c>
      <c r="D11385" t="s">
        <v>30732</v>
      </c>
      <c r="E11385" t="s">
        <v>32436</v>
      </c>
      <c r="F11385" t="s">
        <v>32437</v>
      </c>
      <c r="J11385" t="s">
        <v>32436</v>
      </c>
      <c r="K11385" t="s">
        <v>21600</v>
      </c>
      <c r="L11385" t="s">
        <v>3616</v>
      </c>
    </row>
    <row r="11386" spans="1:12">
      <c r="A11386" t="s">
        <v>30729</v>
      </c>
      <c r="B11386" t="s">
        <v>30730</v>
      </c>
      <c r="C11386" t="s">
        <v>32438</v>
      </c>
      <c r="D11386" t="s">
        <v>30732</v>
      </c>
      <c r="E11386" t="s">
        <v>32439</v>
      </c>
      <c r="F11386" t="s">
        <v>32440</v>
      </c>
      <c r="J11386" t="s">
        <v>32439</v>
      </c>
      <c r="K11386" t="s">
        <v>21600</v>
      </c>
      <c r="L11386" t="s">
        <v>3616</v>
      </c>
    </row>
    <row r="11387" spans="1:12">
      <c r="A11387" t="s">
        <v>30729</v>
      </c>
      <c r="B11387" t="s">
        <v>30730</v>
      </c>
      <c r="C11387" t="s">
        <v>32441</v>
      </c>
      <c r="D11387" t="s">
        <v>30732</v>
      </c>
      <c r="E11387" t="s">
        <v>32442</v>
      </c>
      <c r="F11387" t="s">
        <v>32443</v>
      </c>
      <c r="J11387" t="s">
        <v>32442</v>
      </c>
      <c r="K11387" t="s">
        <v>21600</v>
      </c>
      <c r="L11387" t="s">
        <v>3616</v>
      </c>
    </row>
    <row r="11388" spans="1:12">
      <c r="A11388" t="s">
        <v>30729</v>
      </c>
      <c r="B11388" t="s">
        <v>30730</v>
      </c>
      <c r="C11388" t="s">
        <v>32444</v>
      </c>
      <c r="D11388" t="s">
        <v>30732</v>
      </c>
      <c r="E11388" t="s">
        <v>11249</v>
      </c>
      <c r="F11388" t="s">
        <v>32445</v>
      </c>
      <c r="J11388" t="s">
        <v>11249</v>
      </c>
      <c r="K11388" t="s">
        <v>21600</v>
      </c>
      <c r="L11388" t="s">
        <v>3616</v>
      </c>
    </row>
    <row r="11389" spans="1:12">
      <c r="A11389" t="s">
        <v>30729</v>
      </c>
      <c r="B11389" t="s">
        <v>30730</v>
      </c>
      <c r="C11389" t="s">
        <v>32446</v>
      </c>
      <c r="D11389" t="s">
        <v>30732</v>
      </c>
      <c r="E11389" t="s">
        <v>14037</v>
      </c>
      <c r="F11389" t="s">
        <v>32447</v>
      </c>
      <c r="J11389" t="s">
        <v>14037</v>
      </c>
      <c r="K11389" t="s">
        <v>21600</v>
      </c>
      <c r="L11389" t="s">
        <v>3616</v>
      </c>
    </row>
    <row r="11390" spans="1:12">
      <c r="A11390" t="s">
        <v>30729</v>
      </c>
      <c r="B11390" t="s">
        <v>30730</v>
      </c>
      <c r="C11390" t="s">
        <v>32448</v>
      </c>
      <c r="D11390" t="s">
        <v>30732</v>
      </c>
      <c r="E11390" t="s">
        <v>8869</v>
      </c>
      <c r="F11390" t="s">
        <v>32449</v>
      </c>
      <c r="J11390" t="s">
        <v>8869</v>
      </c>
      <c r="K11390" t="s">
        <v>21600</v>
      </c>
      <c r="L11390" t="s">
        <v>3616</v>
      </c>
    </row>
    <row r="11391" spans="1:12">
      <c r="A11391" t="s">
        <v>30729</v>
      </c>
      <c r="B11391" t="s">
        <v>30730</v>
      </c>
      <c r="C11391" t="s">
        <v>32450</v>
      </c>
      <c r="D11391" t="s">
        <v>30732</v>
      </c>
      <c r="E11391" t="s">
        <v>32451</v>
      </c>
      <c r="F11391" t="s">
        <v>32452</v>
      </c>
      <c r="J11391" t="s">
        <v>32451</v>
      </c>
      <c r="K11391" t="s">
        <v>21600</v>
      </c>
      <c r="L11391" t="s">
        <v>3616</v>
      </c>
    </row>
    <row r="11392" spans="1:12">
      <c r="A11392" t="s">
        <v>30729</v>
      </c>
      <c r="B11392" t="s">
        <v>30730</v>
      </c>
      <c r="C11392" t="s">
        <v>32453</v>
      </c>
      <c r="D11392" t="s">
        <v>30732</v>
      </c>
      <c r="E11392" t="s">
        <v>32454</v>
      </c>
      <c r="F11392" t="s">
        <v>32455</v>
      </c>
      <c r="J11392" t="s">
        <v>32454</v>
      </c>
      <c r="K11392" t="s">
        <v>21600</v>
      </c>
      <c r="L11392" t="s">
        <v>3616</v>
      </c>
    </row>
    <row r="11393" spans="1:12">
      <c r="A11393" t="s">
        <v>30729</v>
      </c>
      <c r="B11393" t="s">
        <v>30730</v>
      </c>
      <c r="C11393" t="s">
        <v>32456</v>
      </c>
      <c r="D11393" t="s">
        <v>30732</v>
      </c>
      <c r="E11393" t="s">
        <v>32457</v>
      </c>
      <c r="F11393" t="s">
        <v>32458</v>
      </c>
      <c r="J11393" t="s">
        <v>32457</v>
      </c>
      <c r="K11393" t="s">
        <v>21600</v>
      </c>
      <c r="L11393" t="s">
        <v>3616</v>
      </c>
    </row>
    <row r="11394" spans="1:12">
      <c r="A11394" t="s">
        <v>30729</v>
      </c>
      <c r="B11394" t="s">
        <v>30730</v>
      </c>
      <c r="C11394" t="s">
        <v>32459</v>
      </c>
      <c r="D11394" t="s">
        <v>30732</v>
      </c>
      <c r="E11394" t="s">
        <v>32460</v>
      </c>
      <c r="F11394" t="s">
        <v>32461</v>
      </c>
      <c r="J11394" t="s">
        <v>32460</v>
      </c>
      <c r="K11394" t="s">
        <v>21600</v>
      </c>
      <c r="L11394" t="s">
        <v>3616</v>
      </c>
    </row>
    <row r="11395" spans="1:12">
      <c r="A11395" t="s">
        <v>30729</v>
      </c>
      <c r="B11395" t="s">
        <v>30730</v>
      </c>
      <c r="C11395" t="s">
        <v>32462</v>
      </c>
      <c r="D11395" t="s">
        <v>30732</v>
      </c>
      <c r="E11395" t="s">
        <v>32463</v>
      </c>
      <c r="F11395" t="s">
        <v>32464</v>
      </c>
      <c r="J11395" t="s">
        <v>32463</v>
      </c>
      <c r="K11395" t="s">
        <v>21600</v>
      </c>
      <c r="L11395" t="s">
        <v>3616</v>
      </c>
    </row>
    <row r="11396" spans="1:12">
      <c r="A11396" t="s">
        <v>30729</v>
      </c>
      <c r="B11396" t="s">
        <v>30730</v>
      </c>
      <c r="C11396" t="s">
        <v>32465</v>
      </c>
      <c r="D11396" t="s">
        <v>30732</v>
      </c>
      <c r="E11396" t="s">
        <v>32466</v>
      </c>
      <c r="F11396" t="s">
        <v>32467</v>
      </c>
      <c r="J11396" t="s">
        <v>32466</v>
      </c>
      <c r="K11396" t="s">
        <v>21600</v>
      </c>
      <c r="L11396" t="s">
        <v>3616</v>
      </c>
    </row>
    <row r="11397" spans="1:12">
      <c r="A11397" t="s">
        <v>30729</v>
      </c>
      <c r="B11397" t="s">
        <v>30730</v>
      </c>
      <c r="C11397" t="s">
        <v>32468</v>
      </c>
      <c r="D11397" t="s">
        <v>30732</v>
      </c>
      <c r="E11397" t="s">
        <v>32469</v>
      </c>
      <c r="F11397" t="s">
        <v>32470</v>
      </c>
    </row>
    <row r="11398" spans="1:12">
      <c r="A11398" t="s">
        <v>30729</v>
      </c>
      <c r="B11398" t="s">
        <v>30730</v>
      </c>
      <c r="C11398" t="s">
        <v>32471</v>
      </c>
      <c r="D11398" t="s">
        <v>30732</v>
      </c>
      <c r="E11398" t="s">
        <v>32472</v>
      </c>
      <c r="F11398" t="s">
        <v>32473</v>
      </c>
      <c r="J11398" t="s">
        <v>32472</v>
      </c>
      <c r="K11398" t="s">
        <v>21600</v>
      </c>
      <c r="L11398" t="s">
        <v>3616</v>
      </c>
    </row>
    <row r="11399" spans="1:12">
      <c r="A11399" t="s">
        <v>30729</v>
      </c>
      <c r="B11399" t="s">
        <v>30730</v>
      </c>
      <c r="C11399" t="s">
        <v>32474</v>
      </c>
      <c r="D11399" t="s">
        <v>30732</v>
      </c>
      <c r="E11399" t="s">
        <v>25181</v>
      </c>
      <c r="F11399" t="s">
        <v>32475</v>
      </c>
    </row>
    <row r="11400" spans="1:12">
      <c r="A11400" t="s">
        <v>30729</v>
      </c>
      <c r="B11400" t="s">
        <v>30730</v>
      </c>
      <c r="C11400" t="s">
        <v>32476</v>
      </c>
      <c r="D11400" t="s">
        <v>30732</v>
      </c>
      <c r="E11400" t="s">
        <v>32477</v>
      </c>
      <c r="F11400" t="s">
        <v>32478</v>
      </c>
      <c r="J11400" t="s">
        <v>32477</v>
      </c>
      <c r="K11400" t="s">
        <v>21600</v>
      </c>
      <c r="L11400" t="s">
        <v>3616</v>
      </c>
    </row>
    <row r="11401" spans="1:12">
      <c r="A11401" t="s">
        <v>30729</v>
      </c>
      <c r="B11401" t="s">
        <v>30730</v>
      </c>
      <c r="C11401" t="s">
        <v>32479</v>
      </c>
      <c r="D11401" t="s">
        <v>30732</v>
      </c>
      <c r="E11401" t="s">
        <v>32480</v>
      </c>
      <c r="F11401" t="s">
        <v>32481</v>
      </c>
      <c r="J11401" t="s">
        <v>32480</v>
      </c>
      <c r="K11401" t="s">
        <v>21600</v>
      </c>
      <c r="L11401" t="s">
        <v>3616</v>
      </c>
    </row>
    <row r="11402" spans="1:12">
      <c r="A11402" t="s">
        <v>30729</v>
      </c>
      <c r="B11402" t="s">
        <v>30730</v>
      </c>
      <c r="C11402" t="s">
        <v>32482</v>
      </c>
      <c r="D11402" t="s">
        <v>30732</v>
      </c>
      <c r="E11402" t="s">
        <v>32483</v>
      </c>
      <c r="F11402" t="s">
        <v>32484</v>
      </c>
      <c r="J11402" t="s">
        <v>32483</v>
      </c>
      <c r="K11402" t="s">
        <v>21600</v>
      </c>
      <c r="L11402" t="s">
        <v>3616</v>
      </c>
    </row>
    <row r="11403" spans="1:12">
      <c r="A11403" t="s">
        <v>30729</v>
      </c>
      <c r="B11403" t="s">
        <v>30730</v>
      </c>
      <c r="C11403" t="s">
        <v>32485</v>
      </c>
      <c r="D11403" t="s">
        <v>30732</v>
      </c>
      <c r="E11403" t="s">
        <v>32486</v>
      </c>
      <c r="F11403" t="s">
        <v>32487</v>
      </c>
      <c r="J11403" t="s">
        <v>32486</v>
      </c>
      <c r="K11403" t="s">
        <v>21600</v>
      </c>
      <c r="L11403" t="s">
        <v>3616</v>
      </c>
    </row>
    <row r="11404" spans="1:12">
      <c r="A11404" t="s">
        <v>30729</v>
      </c>
      <c r="B11404" t="s">
        <v>30730</v>
      </c>
      <c r="C11404" t="s">
        <v>32488</v>
      </c>
      <c r="D11404" t="s">
        <v>30732</v>
      </c>
      <c r="E11404" t="s">
        <v>8881</v>
      </c>
      <c r="F11404" t="s">
        <v>32489</v>
      </c>
    </row>
    <row r="11405" spans="1:12">
      <c r="A11405" t="s">
        <v>30729</v>
      </c>
      <c r="B11405" t="s">
        <v>30730</v>
      </c>
      <c r="C11405" t="s">
        <v>32490</v>
      </c>
      <c r="D11405" t="s">
        <v>30732</v>
      </c>
      <c r="E11405" t="s">
        <v>32491</v>
      </c>
      <c r="F11405" t="s">
        <v>32492</v>
      </c>
      <c r="J11405" t="s">
        <v>32491</v>
      </c>
      <c r="K11405" t="s">
        <v>21600</v>
      </c>
      <c r="L11405" t="s">
        <v>3616</v>
      </c>
    </row>
    <row r="11406" spans="1:12">
      <c r="A11406" t="s">
        <v>30729</v>
      </c>
      <c r="B11406" t="s">
        <v>30730</v>
      </c>
      <c r="C11406" t="s">
        <v>32493</v>
      </c>
      <c r="D11406" t="s">
        <v>30732</v>
      </c>
      <c r="E11406" t="s">
        <v>32494</v>
      </c>
      <c r="F11406" t="s">
        <v>32495</v>
      </c>
      <c r="J11406" t="s">
        <v>32494</v>
      </c>
      <c r="K11406" t="s">
        <v>21600</v>
      </c>
      <c r="L11406" t="s">
        <v>3616</v>
      </c>
    </row>
    <row r="11407" spans="1:12">
      <c r="A11407" t="s">
        <v>30729</v>
      </c>
      <c r="B11407" t="s">
        <v>30730</v>
      </c>
      <c r="C11407" t="s">
        <v>32496</v>
      </c>
      <c r="D11407" t="s">
        <v>30732</v>
      </c>
      <c r="E11407" t="s">
        <v>32497</v>
      </c>
      <c r="F11407" t="s">
        <v>32498</v>
      </c>
      <c r="J11407" t="s">
        <v>32497</v>
      </c>
      <c r="K11407" t="s">
        <v>21600</v>
      </c>
      <c r="L11407" t="s">
        <v>3616</v>
      </c>
    </row>
    <row r="11408" spans="1:12">
      <c r="A11408" t="s">
        <v>30729</v>
      </c>
      <c r="B11408" t="s">
        <v>30730</v>
      </c>
      <c r="C11408" t="s">
        <v>32499</v>
      </c>
      <c r="D11408" t="s">
        <v>30732</v>
      </c>
      <c r="E11408" t="s">
        <v>32500</v>
      </c>
      <c r="F11408" t="s">
        <v>32501</v>
      </c>
      <c r="J11408" t="s">
        <v>32500</v>
      </c>
      <c r="K11408" t="s">
        <v>21600</v>
      </c>
      <c r="L11408" t="s">
        <v>3616</v>
      </c>
    </row>
    <row r="11409" spans="1:12">
      <c r="A11409" t="s">
        <v>30729</v>
      </c>
      <c r="B11409" t="s">
        <v>30730</v>
      </c>
      <c r="C11409" t="s">
        <v>32502</v>
      </c>
      <c r="D11409" t="s">
        <v>30732</v>
      </c>
      <c r="E11409" t="s">
        <v>32503</v>
      </c>
      <c r="F11409" t="s">
        <v>32504</v>
      </c>
      <c r="J11409" t="s">
        <v>32503</v>
      </c>
      <c r="K11409" t="s">
        <v>21600</v>
      </c>
      <c r="L11409" t="s">
        <v>3616</v>
      </c>
    </row>
    <row r="11410" spans="1:12">
      <c r="A11410" t="s">
        <v>30729</v>
      </c>
      <c r="B11410" t="s">
        <v>30730</v>
      </c>
      <c r="C11410" t="s">
        <v>32505</v>
      </c>
      <c r="D11410" t="s">
        <v>30732</v>
      </c>
      <c r="E11410" t="s">
        <v>32506</v>
      </c>
      <c r="F11410" t="s">
        <v>32507</v>
      </c>
      <c r="J11410" t="s">
        <v>32506</v>
      </c>
      <c r="K11410" t="s">
        <v>21600</v>
      </c>
      <c r="L11410" t="s">
        <v>3616</v>
      </c>
    </row>
    <row r="11411" spans="1:12">
      <c r="A11411" t="s">
        <v>30729</v>
      </c>
      <c r="B11411" t="s">
        <v>30730</v>
      </c>
      <c r="C11411" t="s">
        <v>32508</v>
      </c>
      <c r="D11411" t="s">
        <v>30732</v>
      </c>
      <c r="E11411" t="s">
        <v>16630</v>
      </c>
      <c r="F11411" t="s">
        <v>32509</v>
      </c>
    </row>
    <row r="11412" spans="1:12">
      <c r="A11412" t="s">
        <v>30729</v>
      </c>
      <c r="B11412" t="s">
        <v>30730</v>
      </c>
      <c r="C11412" t="s">
        <v>32510</v>
      </c>
      <c r="D11412" t="s">
        <v>30732</v>
      </c>
      <c r="E11412" t="s">
        <v>32511</v>
      </c>
      <c r="F11412" t="s">
        <v>32512</v>
      </c>
    </row>
    <row r="11413" spans="1:12">
      <c r="A11413" t="s">
        <v>30729</v>
      </c>
      <c r="B11413" t="s">
        <v>30730</v>
      </c>
      <c r="C11413" t="s">
        <v>32513</v>
      </c>
      <c r="D11413" t="s">
        <v>30732</v>
      </c>
      <c r="E11413" t="s">
        <v>32514</v>
      </c>
      <c r="F11413" t="s">
        <v>32515</v>
      </c>
      <c r="J11413" t="s">
        <v>32514</v>
      </c>
      <c r="K11413" t="s">
        <v>21600</v>
      </c>
      <c r="L11413" t="s">
        <v>3616</v>
      </c>
    </row>
    <row r="11414" spans="1:12">
      <c r="A11414" t="s">
        <v>30729</v>
      </c>
      <c r="B11414" t="s">
        <v>30730</v>
      </c>
      <c r="C11414" t="s">
        <v>32516</v>
      </c>
      <c r="D11414" t="s">
        <v>30732</v>
      </c>
      <c r="E11414" t="s">
        <v>736</v>
      </c>
      <c r="F11414" t="s">
        <v>32517</v>
      </c>
    </row>
    <row r="11415" spans="1:12">
      <c r="A11415" t="s">
        <v>30729</v>
      </c>
      <c r="B11415" t="s">
        <v>30730</v>
      </c>
      <c r="C11415" t="s">
        <v>32518</v>
      </c>
      <c r="D11415" t="s">
        <v>30732</v>
      </c>
      <c r="E11415" t="s">
        <v>32519</v>
      </c>
      <c r="F11415" t="s">
        <v>32520</v>
      </c>
      <c r="J11415" t="s">
        <v>32519</v>
      </c>
      <c r="K11415" t="s">
        <v>21600</v>
      </c>
      <c r="L11415" t="s">
        <v>3616</v>
      </c>
    </row>
    <row r="11416" spans="1:12">
      <c r="A11416" t="s">
        <v>30729</v>
      </c>
      <c r="B11416" t="s">
        <v>30730</v>
      </c>
      <c r="C11416" t="s">
        <v>32521</v>
      </c>
      <c r="D11416" t="s">
        <v>30732</v>
      </c>
      <c r="E11416" t="s">
        <v>4975</v>
      </c>
      <c r="F11416" t="s">
        <v>32522</v>
      </c>
      <c r="J11416" t="s">
        <v>4975</v>
      </c>
      <c r="K11416" t="s">
        <v>21600</v>
      </c>
      <c r="L11416" t="s">
        <v>3616</v>
      </c>
    </row>
    <row r="11417" spans="1:12">
      <c r="A11417" t="s">
        <v>30729</v>
      </c>
      <c r="B11417" t="s">
        <v>30730</v>
      </c>
      <c r="C11417" t="s">
        <v>32523</v>
      </c>
      <c r="D11417" t="s">
        <v>30732</v>
      </c>
      <c r="E11417" t="s">
        <v>32524</v>
      </c>
      <c r="F11417" t="s">
        <v>32525</v>
      </c>
      <c r="J11417" t="s">
        <v>32524</v>
      </c>
      <c r="K11417" t="s">
        <v>21600</v>
      </c>
      <c r="L11417" t="s">
        <v>3616</v>
      </c>
    </row>
    <row r="11418" spans="1:12">
      <c r="A11418" t="s">
        <v>30729</v>
      </c>
      <c r="B11418" t="s">
        <v>30730</v>
      </c>
      <c r="C11418" t="s">
        <v>32526</v>
      </c>
      <c r="D11418" t="s">
        <v>30732</v>
      </c>
      <c r="E11418" t="s">
        <v>11252</v>
      </c>
      <c r="F11418" t="s">
        <v>32527</v>
      </c>
      <c r="J11418" t="s">
        <v>11252</v>
      </c>
      <c r="K11418" t="s">
        <v>21600</v>
      </c>
      <c r="L11418" t="s">
        <v>3616</v>
      </c>
    </row>
    <row r="11419" spans="1:12">
      <c r="A11419" t="s">
        <v>30729</v>
      </c>
      <c r="B11419" t="s">
        <v>30730</v>
      </c>
      <c r="C11419" t="s">
        <v>32528</v>
      </c>
      <c r="D11419" t="s">
        <v>30732</v>
      </c>
      <c r="E11419" t="s">
        <v>685</v>
      </c>
      <c r="F11419" t="s">
        <v>32529</v>
      </c>
      <c r="J11419" t="s">
        <v>685</v>
      </c>
      <c r="K11419" t="s">
        <v>21600</v>
      </c>
      <c r="L11419" t="s">
        <v>3616</v>
      </c>
    </row>
    <row r="11420" spans="1:12">
      <c r="A11420" t="s">
        <v>30729</v>
      </c>
      <c r="B11420" t="s">
        <v>30730</v>
      </c>
      <c r="C11420" t="s">
        <v>32530</v>
      </c>
      <c r="D11420" t="s">
        <v>30732</v>
      </c>
      <c r="E11420" t="s">
        <v>32531</v>
      </c>
      <c r="F11420" t="s">
        <v>32532</v>
      </c>
      <c r="J11420" t="s">
        <v>32531</v>
      </c>
      <c r="K11420" t="s">
        <v>21600</v>
      </c>
      <c r="L11420" t="s">
        <v>3616</v>
      </c>
    </row>
    <row r="11421" spans="1:12">
      <c r="A11421" t="s">
        <v>30729</v>
      </c>
      <c r="B11421" t="s">
        <v>30730</v>
      </c>
      <c r="C11421" t="s">
        <v>32533</v>
      </c>
      <c r="D11421" t="s">
        <v>30732</v>
      </c>
      <c r="E11421" t="s">
        <v>8887</v>
      </c>
      <c r="F11421" t="s">
        <v>32534</v>
      </c>
      <c r="J11421" t="s">
        <v>8887</v>
      </c>
      <c r="K11421" t="s">
        <v>21600</v>
      </c>
      <c r="L11421" t="s">
        <v>3616</v>
      </c>
    </row>
    <row r="11422" spans="1:12">
      <c r="A11422" t="s">
        <v>30729</v>
      </c>
      <c r="B11422" t="s">
        <v>30730</v>
      </c>
      <c r="C11422" t="s">
        <v>32535</v>
      </c>
      <c r="D11422" t="s">
        <v>30732</v>
      </c>
      <c r="E11422" t="s">
        <v>32536</v>
      </c>
      <c r="F11422" t="s">
        <v>32537</v>
      </c>
      <c r="J11422" t="s">
        <v>32536</v>
      </c>
      <c r="K11422" t="s">
        <v>21600</v>
      </c>
      <c r="L11422" t="s">
        <v>3616</v>
      </c>
    </row>
    <row r="11423" spans="1:12">
      <c r="A11423" t="s">
        <v>30729</v>
      </c>
      <c r="B11423" t="s">
        <v>30730</v>
      </c>
      <c r="C11423" t="s">
        <v>32538</v>
      </c>
      <c r="D11423" t="s">
        <v>30732</v>
      </c>
      <c r="E11423" t="s">
        <v>32539</v>
      </c>
      <c r="F11423" t="s">
        <v>32540</v>
      </c>
      <c r="J11423" t="s">
        <v>32539</v>
      </c>
      <c r="K11423" t="s">
        <v>21600</v>
      </c>
      <c r="L11423" t="s">
        <v>3616</v>
      </c>
    </row>
    <row r="11424" spans="1:12">
      <c r="A11424" t="s">
        <v>30729</v>
      </c>
      <c r="B11424" t="s">
        <v>30730</v>
      </c>
      <c r="C11424" t="s">
        <v>32541</v>
      </c>
      <c r="D11424" t="s">
        <v>30732</v>
      </c>
      <c r="E11424" t="s">
        <v>32542</v>
      </c>
      <c r="F11424" t="s">
        <v>32543</v>
      </c>
      <c r="J11424" t="s">
        <v>32542</v>
      </c>
      <c r="K11424" t="s">
        <v>21600</v>
      </c>
      <c r="L11424" t="s">
        <v>3616</v>
      </c>
    </row>
    <row r="11425" spans="1:12">
      <c r="A11425" t="s">
        <v>30729</v>
      </c>
      <c r="B11425" t="s">
        <v>30730</v>
      </c>
      <c r="C11425" t="s">
        <v>32544</v>
      </c>
      <c r="D11425" t="s">
        <v>30732</v>
      </c>
      <c r="E11425" t="s">
        <v>32545</v>
      </c>
      <c r="F11425" t="s">
        <v>32546</v>
      </c>
      <c r="J11425" t="s">
        <v>32545</v>
      </c>
      <c r="K11425" t="s">
        <v>21600</v>
      </c>
      <c r="L11425" t="s">
        <v>3616</v>
      </c>
    </row>
    <row r="11426" spans="1:12">
      <c r="A11426" t="s">
        <v>30729</v>
      </c>
      <c r="B11426" t="s">
        <v>30730</v>
      </c>
      <c r="C11426" t="s">
        <v>32547</v>
      </c>
      <c r="D11426" t="s">
        <v>30732</v>
      </c>
      <c r="E11426" t="s">
        <v>4981</v>
      </c>
      <c r="F11426" t="s">
        <v>32548</v>
      </c>
      <c r="J11426" t="s">
        <v>4981</v>
      </c>
      <c r="K11426" t="s">
        <v>21600</v>
      </c>
      <c r="L11426" t="s">
        <v>3616</v>
      </c>
    </row>
    <row r="11427" spans="1:12">
      <c r="A11427" t="s">
        <v>30729</v>
      </c>
      <c r="B11427" t="s">
        <v>30730</v>
      </c>
      <c r="C11427" t="s">
        <v>32549</v>
      </c>
      <c r="D11427" t="s">
        <v>30732</v>
      </c>
      <c r="E11427" t="s">
        <v>15764</v>
      </c>
      <c r="F11427" t="s">
        <v>32550</v>
      </c>
    </row>
    <row r="11428" spans="1:12">
      <c r="A11428" t="s">
        <v>30729</v>
      </c>
      <c r="B11428" t="s">
        <v>30730</v>
      </c>
      <c r="C11428" t="s">
        <v>32551</v>
      </c>
      <c r="D11428" t="s">
        <v>30732</v>
      </c>
      <c r="E11428" t="s">
        <v>32552</v>
      </c>
      <c r="F11428" t="s">
        <v>32553</v>
      </c>
    </row>
    <row r="11429" spans="1:12">
      <c r="A11429" t="s">
        <v>30729</v>
      </c>
      <c r="B11429" t="s">
        <v>30730</v>
      </c>
      <c r="C11429" t="s">
        <v>32554</v>
      </c>
      <c r="D11429" t="s">
        <v>30732</v>
      </c>
      <c r="E11429" t="s">
        <v>32555</v>
      </c>
      <c r="F11429" t="s">
        <v>32556</v>
      </c>
      <c r="J11429" t="s">
        <v>32555</v>
      </c>
      <c r="K11429" t="s">
        <v>21600</v>
      </c>
      <c r="L11429" t="s">
        <v>3616</v>
      </c>
    </row>
    <row r="11430" spans="1:12">
      <c r="A11430" t="s">
        <v>30729</v>
      </c>
      <c r="B11430" t="s">
        <v>30730</v>
      </c>
      <c r="C11430" t="s">
        <v>32557</v>
      </c>
      <c r="D11430" t="s">
        <v>30732</v>
      </c>
      <c r="E11430" t="s">
        <v>32558</v>
      </c>
      <c r="F11430" t="s">
        <v>32559</v>
      </c>
    </row>
    <row r="11431" spans="1:12">
      <c r="A11431" t="s">
        <v>30729</v>
      </c>
      <c r="B11431" t="s">
        <v>30730</v>
      </c>
      <c r="C11431" t="s">
        <v>32560</v>
      </c>
      <c r="D11431" t="s">
        <v>30732</v>
      </c>
      <c r="E11431" t="s">
        <v>32561</v>
      </c>
      <c r="F11431" t="s">
        <v>32562</v>
      </c>
      <c r="J11431" t="s">
        <v>32561</v>
      </c>
      <c r="K11431" t="s">
        <v>21600</v>
      </c>
      <c r="L11431" t="s">
        <v>3616</v>
      </c>
    </row>
    <row r="11432" spans="1:12">
      <c r="A11432" t="s">
        <v>30729</v>
      </c>
      <c r="B11432" t="s">
        <v>30730</v>
      </c>
      <c r="C11432" t="s">
        <v>32563</v>
      </c>
      <c r="D11432" t="s">
        <v>30732</v>
      </c>
      <c r="E11432" t="s">
        <v>32564</v>
      </c>
      <c r="F11432" t="s">
        <v>32565</v>
      </c>
      <c r="J11432" t="s">
        <v>32564</v>
      </c>
      <c r="K11432" t="s">
        <v>21600</v>
      </c>
      <c r="L11432" t="s">
        <v>3616</v>
      </c>
    </row>
    <row r="11433" spans="1:12">
      <c r="A11433" t="s">
        <v>30729</v>
      </c>
      <c r="B11433" t="s">
        <v>30730</v>
      </c>
      <c r="C11433" t="s">
        <v>32566</v>
      </c>
      <c r="D11433" t="s">
        <v>30732</v>
      </c>
      <c r="E11433" t="s">
        <v>32567</v>
      </c>
      <c r="F11433" t="s">
        <v>32568</v>
      </c>
    </row>
    <row r="11434" spans="1:12">
      <c r="A11434" t="s">
        <v>30729</v>
      </c>
      <c r="B11434" t="s">
        <v>30730</v>
      </c>
      <c r="C11434" t="s">
        <v>32569</v>
      </c>
      <c r="D11434" t="s">
        <v>30732</v>
      </c>
      <c r="E11434" t="s">
        <v>32570</v>
      </c>
      <c r="F11434" t="s">
        <v>32571</v>
      </c>
      <c r="J11434" t="s">
        <v>32570</v>
      </c>
      <c r="K11434" t="s">
        <v>21600</v>
      </c>
      <c r="L11434" t="s">
        <v>3616</v>
      </c>
    </row>
    <row r="11435" spans="1:12">
      <c r="A11435" t="s">
        <v>30729</v>
      </c>
      <c r="B11435" t="s">
        <v>30730</v>
      </c>
      <c r="C11435" t="s">
        <v>32572</v>
      </c>
      <c r="D11435" t="s">
        <v>30732</v>
      </c>
      <c r="E11435" t="s">
        <v>25518</v>
      </c>
      <c r="F11435" t="s">
        <v>32573</v>
      </c>
    </row>
    <row r="11436" spans="1:12">
      <c r="A11436" t="s">
        <v>30729</v>
      </c>
      <c r="B11436" t="s">
        <v>30730</v>
      </c>
      <c r="C11436" t="s">
        <v>32574</v>
      </c>
      <c r="D11436" t="s">
        <v>30732</v>
      </c>
      <c r="E11436" t="s">
        <v>32575</v>
      </c>
      <c r="F11436" t="s">
        <v>32576</v>
      </c>
      <c r="J11436" t="s">
        <v>32575</v>
      </c>
      <c r="K11436" t="s">
        <v>21600</v>
      </c>
      <c r="L11436" t="s">
        <v>3616</v>
      </c>
    </row>
    <row r="11437" spans="1:12">
      <c r="A11437" t="s">
        <v>30729</v>
      </c>
      <c r="B11437" t="s">
        <v>30730</v>
      </c>
      <c r="C11437" t="s">
        <v>32577</v>
      </c>
      <c r="D11437" t="s">
        <v>30732</v>
      </c>
      <c r="E11437" t="s">
        <v>10926</v>
      </c>
      <c r="F11437" t="s">
        <v>32578</v>
      </c>
    </row>
    <row r="11438" spans="1:12">
      <c r="A11438" t="s">
        <v>30729</v>
      </c>
      <c r="B11438" t="s">
        <v>30730</v>
      </c>
      <c r="C11438" t="s">
        <v>32579</v>
      </c>
      <c r="D11438" t="s">
        <v>30732</v>
      </c>
      <c r="E11438" t="s">
        <v>30275</v>
      </c>
      <c r="F11438" t="s">
        <v>32580</v>
      </c>
      <c r="J11438" t="s">
        <v>30275</v>
      </c>
      <c r="K11438" t="s">
        <v>21600</v>
      </c>
      <c r="L11438" t="s">
        <v>3616</v>
      </c>
    </row>
    <row r="11439" spans="1:12">
      <c r="A11439" t="s">
        <v>30729</v>
      </c>
      <c r="B11439" t="s">
        <v>30730</v>
      </c>
      <c r="C11439" t="s">
        <v>32581</v>
      </c>
      <c r="D11439" t="s">
        <v>30732</v>
      </c>
      <c r="E11439" t="s">
        <v>32582</v>
      </c>
      <c r="F11439" t="s">
        <v>32583</v>
      </c>
      <c r="J11439" t="s">
        <v>32582</v>
      </c>
      <c r="K11439" t="s">
        <v>21600</v>
      </c>
      <c r="L11439" t="s">
        <v>3616</v>
      </c>
    </row>
    <row r="11440" spans="1:12">
      <c r="A11440" t="s">
        <v>30729</v>
      </c>
      <c r="B11440" t="s">
        <v>30730</v>
      </c>
      <c r="C11440" t="s">
        <v>32584</v>
      </c>
      <c r="D11440" t="s">
        <v>30732</v>
      </c>
      <c r="E11440" t="s">
        <v>32585</v>
      </c>
      <c r="F11440" t="s">
        <v>32586</v>
      </c>
    </row>
    <row r="11441" spans="1:12">
      <c r="A11441" t="s">
        <v>30729</v>
      </c>
      <c r="B11441" t="s">
        <v>30730</v>
      </c>
      <c r="C11441" t="s">
        <v>32587</v>
      </c>
      <c r="D11441" t="s">
        <v>30732</v>
      </c>
      <c r="E11441" t="s">
        <v>32588</v>
      </c>
      <c r="F11441" t="s">
        <v>32589</v>
      </c>
      <c r="J11441" t="s">
        <v>32588</v>
      </c>
      <c r="K11441" t="s">
        <v>21600</v>
      </c>
      <c r="L11441" t="s">
        <v>3616</v>
      </c>
    </row>
    <row r="11442" spans="1:12">
      <c r="A11442" t="s">
        <v>30729</v>
      </c>
      <c r="B11442" t="s">
        <v>30730</v>
      </c>
      <c r="C11442" t="s">
        <v>32590</v>
      </c>
      <c r="D11442" t="s">
        <v>30732</v>
      </c>
      <c r="E11442" t="s">
        <v>32591</v>
      </c>
      <c r="F11442" t="s">
        <v>32592</v>
      </c>
      <c r="J11442" t="s">
        <v>32591</v>
      </c>
      <c r="K11442" t="s">
        <v>21600</v>
      </c>
      <c r="L11442" t="s">
        <v>3616</v>
      </c>
    </row>
    <row r="11443" spans="1:12">
      <c r="A11443" t="s">
        <v>30729</v>
      </c>
      <c r="B11443" t="s">
        <v>30730</v>
      </c>
      <c r="C11443" t="s">
        <v>32593</v>
      </c>
      <c r="D11443" t="s">
        <v>30732</v>
      </c>
      <c r="E11443" t="s">
        <v>8905</v>
      </c>
      <c r="F11443" t="s">
        <v>32229</v>
      </c>
      <c r="J11443" t="s">
        <v>8905</v>
      </c>
      <c r="K11443" t="s">
        <v>21600</v>
      </c>
      <c r="L11443" t="s">
        <v>3616</v>
      </c>
    </row>
    <row r="11444" spans="1:12">
      <c r="A11444" t="s">
        <v>30729</v>
      </c>
      <c r="B11444" t="s">
        <v>30730</v>
      </c>
      <c r="C11444" t="s">
        <v>32594</v>
      </c>
      <c r="D11444" t="s">
        <v>30732</v>
      </c>
      <c r="E11444" t="s">
        <v>32595</v>
      </c>
      <c r="F11444" t="s">
        <v>32596</v>
      </c>
      <c r="J11444" t="s">
        <v>32595</v>
      </c>
      <c r="K11444" t="s">
        <v>21600</v>
      </c>
      <c r="L11444" t="s">
        <v>3616</v>
      </c>
    </row>
    <row r="11445" spans="1:12">
      <c r="A11445" t="s">
        <v>30729</v>
      </c>
      <c r="B11445" t="s">
        <v>30730</v>
      </c>
      <c r="C11445" t="s">
        <v>32597</v>
      </c>
      <c r="D11445" t="s">
        <v>30732</v>
      </c>
      <c r="E11445" t="s">
        <v>32598</v>
      </c>
      <c r="F11445" t="s">
        <v>32599</v>
      </c>
      <c r="J11445" t="s">
        <v>32598</v>
      </c>
      <c r="K11445" t="s">
        <v>21600</v>
      </c>
      <c r="L11445" t="s">
        <v>3616</v>
      </c>
    </row>
    <row r="11446" spans="1:12">
      <c r="A11446" t="s">
        <v>30729</v>
      </c>
      <c r="B11446" t="s">
        <v>30730</v>
      </c>
      <c r="C11446" t="s">
        <v>32600</v>
      </c>
      <c r="D11446" t="s">
        <v>30732</v>
      </c>
      <c r="E11446" t="s">
        <v>32601</v>
      </c>
      <c r="F11446" t="s">
        <v>32602</v>
      </c>
      <c r="J11446" t="s">
        <v>32601</v>
      </c>
      <c r="K11446" t="s">
        <v>21600</v>
      </c>
      <c r="L11446" t="s">
        <v>3616</v>
      </c>
    </row>
    <row r="11447" spans="1:12">
      <c r="A11447" t="s">
        <v>30729</v>
      </c>
      <c r="B11447" t="s">
        <v>30730</v>
      </c>
      <c r="C11447" t="s">
        <v>32603</v>
      </c>
      <c r="D11447" t="s">
        <v>30732</v>
      </c>
      <c r="E11447" t="s">
        <v>32604</v>
      </c>
      <c r="F11447" t="s">
        <v>32605</v>
      </c>
      <c r="J11447" t="s">
        <v>32604</v>
      </c>
      <c r="K11447" t="s">
        <v>21600</v>
      </c>
      <c r="L11447" t="s">
        <v>3616</v>
      </c>
    </row>
    <row r="11448" spans="1:12">
      <c r="A11448" t="s">
        <v>30729</v>
      </c>
      <c r="B11448" t="s">
        <v>30730</v>
      </c>
      <c r="C11448" t="s">
        <v>32606</v>
      </c>
      <c r="D11448" t="s">
        <v>30732</v>
      </c>
      <c r="E11448" t="s">
        <v>32607</v>
      </c>
      <c r="F11448" t="s">
        <v>32608</v>
      </c>
      <c r="J11448" t="s">
        <v>32607</v>
      </c>
      <c r="K11448" t="s">
        <v>21600</v>
      </c>
      <c r="L11448" t="s">
        <v>3616</v>
      </c>
    </row>
    <row r="11449" spans="1:12">
      <c r="A11449" t="s">
        <v>30729</v>
      </c>
      <c r="B11449" t="s">
        <v>30730</v>
      </c>
      <c r="C11449" t="s">
        <v>32609</v>
      </c>
      <c r="D11449" t="s">
        <v>30732</v>
      </c>
      <c r="E11449" t="s">
        <v>32610</v>
      </c>
      <c r="F11449" t="s">
        <v>32611</v>
      </c>
      <c r="J11449" t="s">
        <v>32610</v>
      </c>
      <c r="K11449" t="s">
        <v>21600</v>
      </c>
      <c r="L11449" t="s">
        <v>3616</v>
      </c>
    </row>
    <row r="11450" spans="1:12">
      <c r="A11450" t="s">
        <v>30729</v>
      </c>
      <c r="B11450" t="s">
        <v>30730</v>
      </c>
      <c r="C11450" t="s">
        <v>32612</v>
      </c>
      <c r="D11450" t="s">
        <v>30732</v>
      </c>
      <c r="E11450" t="s">
        <v>16694</v>
      </c>
      <c r="F11450" t="s">
        <v>32613</v>
      </c>
      <c r="J11450" t="s">
        <v>16694</v>
      </c>
      <c r="K11450" t="s">
        <v>21600</v>
      </c>
      <c r="L11450" t="s">
        <v>3616</v>
      </c>
    </row>
    <row r="11451" spans="1:12">
      <c r="A11451" t="s">
        <v>30729</v>
      </c>
      <c r="B11451" t="s">
        <v>30730</v>
      </c>
      <c r="C11451" t="s">
        <v>32614</v>
      </c>
      <c r="D11451" t="s">
        <v>30732</v>
      </c>
      <c r="E11451" t="s">
        <v>32615</v>
      </c>
      <c r="F11451" t="s">
        <v>32616</v>
      </c>
    </row>
    <row r="11452" spans="1:12">
      <c r="A11452" t="s">
        <v>30729</v>
      </c>
      <c r="B11452" t="s">
        <v>30730</v>
      </c>
      <c r="C11452" t="s">
        <v>32617</v>
      </c>
      <c r="D11452" t="s">
        <v>30732</v>
      </c>
      <c r="E11452" t="s">
        <v>32618</v>
      </c>
      <c r="F11452" t="s">
        <v>32619</v>
      </c>
      <c r="J11452" t="s">
        <v>32618</v>
      </c>
      <c r="K11452" t="s">
        <v>21600</v>
      </c>
      <c r="L11452" t="s">
        <v>3616</v>
      </c>
    </row>
    <row r="11453" spans="1:12">
      <c r="A11453" t="s">
        <v>30729</v>
      </c>
      <c r="B11453" t="s">
        <v>30730</v>
      </c>
      <c r="C11453" t="s">
        <v>32620</v>
      </c>
      <c r="D11453" t="s">
        <v>30732</v>
      </c>
      <c r="E11453" t="s">
        <v>32621</v>
      </c>
      <c r="F11453" t="s">
        <v>32622</v>
      </c>
      <c r="J11453" t="s">
        <v>32621</v>
      </c>
      <c r="K11453" t="s">
        <v>21600</v>
      </c>
      <c r="L11453" t="s">
        <v>3616</v>
      </c>
    </row>
    <row r="11454" spans="1:12">
      <c r="A11454" t="s">
        <v>30729</v>
      </c>
      <c r="B11454" t="s">
        <v>30730</v>
      </c>
      <c r="C11454" t="s">
        <v>32623</v>
      </c>
      <c r="D11454" t="s">
        <v>30732</v>
      </c>
      <c r="E11454" t="s">
        <v>32624</v>
      </c>
      <c r="F11454" t="s">
        <v>32625</v>
      </c>
      <c r="J11454" t="s">
        <v>32624</v>
      </c>
      <c r="K11454" t="s">
        <v>21600</v>
      </c>
      <c r="L11454" t="s">
        <v>3616</v>
      </c>
    </row>
    <row r="11455" spans="1:12">
      <c r="A11455" t="s">
        <v>30729</v>
      </c>
      <c r="B11455" t="s">
        <v>30730</v>
      </c>
      <c r="C11455" t="s">
        <v>32626</v>
      </c>
      <c r="D11455" t="s">
        <v>30732</v>
      </c>
      <c r="E11455" t="s">
        <v>32627</v>
      </c>
      <c r="F11455" t="s">
        <v>32628</v>
      </c>
      <c r="J11455" t="s">
        <v>32627</v>
      </c>
      <c r="K11455" t="s">
        <v>21600</v>
      </c>
      <c r="L11455" t="s">
        <v>3616</v>
      </c>
    </row>
    <row r="11456" spans="1:12">
      <c r="A11456" t="s">
        <v>30729</v>
      </c>
      <c r="B11456" t="s">
        <v>30730</v>
      </c>
      <c r="C11456" t="s">
        <v>32629</v>
      </c>
      <c r="D11456" t="s">
        <v>30732</v>
      </c>
      <c r="E11456" t="s">
        <v>32630</v>
      </c>
      <c r="F11456" t="s">
        <v>32631</v>
      </c>
      <c r="J11456" t="s">
        <v>32630</v>
      </c>
      <c r="K11456" t="s">
        <v>21600</v>
      </c>
      <c r="L11456" t="s">
        <v>3616</v>
      </c>
    </row>
    <row r="11457" spans="1:12">
      <c r="A11457" t="s">
        <v>30729</v>
      </c>
      <c r="B11457" t="s">
        <v>30730</v>
      </c>
      <c r="C11457" t="s">
        <v>32632</v>
      </c>
      <c r="D11457" t="s">
        <v>30732</v>
      </c>
      <c r="E11457" t="s">
        <v>32633</v>
      </c>
      <c r="F11457" t="s">
        <v>32634</v>
      </c>
      <c r="J11457" t="s">
        <v>32633</v>
      </c>
      <c r="K11457" t="s">
        <v>21600</v>
      </c>
      <c r="L11457" t="s">
        <v>3616</v>
      </c>
    </row>
    <row r="11458" spans="1:12">
      <c r="A11458" t="s">
        <v>30729</v>
      </c>
      <c r="B11458" t="s">
        <v>30730</v>
      </c>
      <c r="C11458" t="s">
        <v>32635</v>
      </c>
      <c r="D11458" t="s">
        <v>30732</v>
      </c>
      <c r="E11458" t="s">
        <v>32636</v>
      </c>
      <c r="F11458" t="s">
        <v>32637</v>
      </c>
      <c r="J11458" t="s">
        <v>32636</v>
      </c>
      <c r="K11458" t="s">
        <v>21600</v>
      </c>
      <c r="L11458" t="s">
        <v>3616</v>
      </c>
    </row>
    <row r="11459" spans="1:12">
      <c r="A11459" t="s">
        <v>30729</v>
      </c>
      <c r="B11459" t="s">
        <v>30730</v>
      </c>
      <c r="C11459" t="s">
        <v>32638</v>
      </c>
      <c r="D11459" t="s">
        <v>30732</v>
      </c>
      <c r="E11459" t="s">
        <v>32639</v>
      </c>
      <c r="F11459" t="s">
        <v>32640</v>
      </c>
      <c r="J11459" t="s">
        <v>32639</v>
      </c>
      <c r="K11459" t="s">
        <v>21600</v>
      </c>
      <c r="L11459" t="s">
        <v>3616</v>
      </c>
    </row>
    <row r="11460" spans="1:12">
      <c r="A11460" t="s">
        <v>30729</v>
      </c>
      <c r="B11460" t="s">
        <v>30730</v>
      </c>
      <c r="C11460" t="s">
        <v>32641</v>
      </c>
      <c r="D11460" t="s">
        <v>30732</v>
      </c>
      <c r="E11460" t="s">
        <v>32642</v>
      </c>
      <c r="F11460" t="s">
        <v>32643</v>
      </c>
      <c r="J11460" t="s">
        <v>32642</v>
      </c>
      <c r="K11460" t="s">
        <v>21600</v>
      </c>
      <c r="L11460" t="s">
        <v>3616</v>
      </c>
    </row>
    <row r="11461" spans="1:12">
      <c r="A11461" t="s">
        <v>30729</v>
      </c>
      <c r="B11461" t="s">
        <v>30730</v>
      </c>
      <c r="C11461" t="s">
        <v>32644</v>
      </c>
      <c r="D11461" t="s">
        <v>30732</v>
      </c>
      <c r="E11461" t="s">
        <v>16017</v>
      </c>
      <c r="F11461" t="s">
        <v>32645</v>
      </c>
      <c r="J11461" t="s">
        <v>16017</v>
      </c>
      <c r="K11461" t="s">
        <v>21600</v>
      </c>
      <c r="L11461" t="s">
        <v>3616</v>
      </c>
    </row>
    <row r="11462" spans="1:12">
      <c r="A11462" t="s">
        <v>30729</v>
      </c>
      <c r="B11462" t="s">
        <v>30730</v>
      </c>
      <c r="C11462" t="s">
        <v>32646</v>
      </c>
      <c r="D11462" t="s">
        <v>30732</v>
      </c>
      <c r="E11462" t="s">
        <v>32647</v>
      </c>
      <c r="F11462" t="s">
        <v>32648</v>
      </c>
      <c r="J11462" t="s">
        <v>32647</v>
      </c>
      <c r="K11462" t="s">
        <v>21600</v>
      </c>
      <c r="L11462" t="s">
        <v>3616</v>
      </c>
    </row>
    <row r="11463" spans="1:12">
      <c r="A11463" t="s">
        <v>30729</v>
      </c>
      <c r="B11463" t="s">
        <v>30730</v>
      </c>
      <c r="C11463" t="s">
        <v>32649</v>
      </c>
      <c r="D11463" t="s">
        <v>30732</v>
      </c>
      <c r="E11463" t="s">
        <v>16720</v>
      </c>
      <c r="F11463" t="s">
        <v>32650</v>
      </c>
      <c r="J11463" t="s">
        <v>16720</v>
      </c>
      <c r="K11463" t="s">
        <v>21600</v>
      </c>
      <c r="L11463" t="s">
        <v>3616</v>
      </c>
    </row>
    <row r="11464" spans="1:12">
      <c r="A11464" t="s">
        <v>30729</v>
      </c>
      <c r="B11464" t="s">
        <v>30730</v>
      </c>
      <c r="C11464" t="s">
        <v>32651</v>
      </c>
      <c r="D11464" t="s">
        <v>30732</v>
      </c>
      <c r="E11464" t="s">
        <v>32652</v>
      </c>
      <c r="F11464" t="s">
        <v>32653</v>
      </c>
      <c r="J11464" t="s">
        <v>32652</v>
      </c>
      <c r="K11464" t="s">
        <v>21600</v>
      </c>
      <c r="L11464" t="s">
        <v>3616</v>
      </c>
    </row>
    <row r="11465" spans="1:12">
      <c r="A11465" t="s">
        <v>30729</v>
      </c>
      <c r="B11465" t="s">
        <v>30730</v>
      </c>
      <c r="C11465" t="s">
        <v>32654</v>
      </c>
      <c r="D11465" t="s">
        <v>30732</v>
      </c>
      <c r="E11465" t="s">
        <v>28085</v>
      </c>
      <c r="F11465" t="s">
        <v>32655</v>
      </c>
    </row>
    <row r="11466" spans="1:12">
      <c r="A11466" t="s">
        <v>30729</v>
      </c>
      <c r="B11466" t="s">
        <v>30730</v>
      </c>
      <c r="C11466" t="s">
        <v>32656</v>
      </c>
      <c r="D11466" t="s">
        <v>30732</v>
      </c>
      <c r="E11466" t="s">
        <v>16739</v>
      </c>
      <c r="F11466" t="s">
        <v>32657</v>
      </c>
      <c r="J11466" t="s">
        <v>16739</v>
      </c>
      <c r="K11466" t="s">
        <v>21600</v>
      </c>
      <c r="L11466" t="s">
        <v>3616</v>
      </c>
    </row>
    <row r="11467" spans="1:12">
      <c r="A11467" t="s">
        <v>30729</v>
      </c>
      <c r="B11467" t="s">
        <v>30730</v>
      </c>
      <c r="C11467" t="s">
        <v>32658</v>
      </c>
      <c r="D11467" t="s">
        <v>30732</v>
      </c>
      <c r="E11467" t="s">
        <v>32659</v>
      </c>
      <c r="F11467" t="s">
        <v>32660</v>
      </c>
      <c r="J11467" t="s">
        <v>32659</v>
      </c>
      <c r="K11467" t="s">
        <v>21600</v>
      </c>
      <c r="L11467" t="s">
        <v>3616</v>
      </c>
    </row>
    <row r="11468" spans="1:12">
      <c r="A11468" t="s">
        <v>30729</v>
      </c>
      <c r="B11468" t="s">
        <v>30730</v>
      </c>
      <c r="C11468" t="s">
        <v>32661</v>
      </c>
      <c r="D11468" t="s">
        <v>30732</v>
      </c>
      <c r="E11468" t="s">
        <v>16743</v>
      </c>
      <c r="F11468" t="s">
        <v>32662</v>
      </c>
      <c r="J11468" t="s">
        <v>16743</v>
      </c>
      <c r="K11468" t="s">
        <v>21600</v>
      </c>
      <c r="L11468" t="s">
        <v>3616</v>
      </c>
    </row>
    <row r="11469" spans="1:12">
      <c r="A11469" t="s">
        <v>30729</v>
      </c>
      <c r="B11469" t="s">
        <v>30730</v>
      </c>
      <c r="C11469" t="s">
        <v>32663</v>
      </c>
      <c r="D11469" t="s">
        <v>30732</v>
      </c>
      <c r="E11469" t="s">
        <v>12542</v>
      </c>
      <c r="F11469" t="s">
        <v>32664</v>
      </c>
      <c r="J11469" t="s">
        <v>12542</v>
      </c>
      <c r="K11469" t="s">
        <v>21600</v>
      </c>
      <c r="L11469" t="s">
        <v>3616</v>
      </c>
    </row>
    <row r="11470" spans="1:12">
      <c r="A11470" t="s">
        <v>30729</v>
      </c>
      <c r="B11470" t="s">
        <v>30730</v>
      </c>
      <c r="C11470" t="s">
        <v>32665</v>
      </c>
      <c r="D11470" t="s">
        <v>30732</v>
      </c>
      <c r="E11470" t="s">
        <v>32666</v>
      </c>
      <c r="F11470" t="s">
        <v>32667</v>
      </c>
      <c r="J11470" t="s">
        <v>32666</v>
      </c>
      <c r="K11470" t="s">
        <v>21600</v>
      </c>
      <c r="L11470" t="s">
        <v>3616</v>
      </c>
    </row>
    <row r="11471" spans="1:12">
      <c r="A11471" t="s">
        <v>30729</v>
      </c>
      <c r="B11471" t="s">
        <v>30730</v>
      </c>
      <c r="C11471" t="s">
        <v>32668</v>
      </c>
      <c r="D11471" t="s">
        <v>30732</v>
      </c>
      <c r="E11471" t="s">
        <v>32669</v>
      </c>
      <c r="F11471" t="s">
        <v>32670</v>
      </c>
      <c r="J11471" t="s">
        <v>32669</v>
      </c>
      <c r="K11471" t="s">
        <v>21600</v>
      </c>
      <c r="L11471" t="s">
        <v>3616</v>
      </c>
    </row>
    <row r="11472" spans="1:12">
      <c r="A11472" t="s">
        <v>30729</v>
      </c>
      <c r="B11472" t="s">
        <v>30730</v>
      </c>
      <c r="C11472" t="s">
        <v>32671</v>
      </c>
      <c r="D11472" t="s">
        <v>30732</v>
      </c>
      <c r="E11472" t="s">
        <v>32672</v>
      </c>
      <c r="F11472" t="s">
        <v>32673</v>
      </c>
      <c r="J11472" t="s">
        <v>32672</v>
      </c>
      <c r="K11472" t="s">
        <v>21600</v>
      </c>
      <c r="L11472" t="s">
        <v>3616</v>
      </c>
    </row>
    <row r="11473" spans="1:12">
      <c r="A11473" t="s">
        <v>30729</v>
      </c>
      <c r="B11473" t="s">
        <v>30730</v>
      </c>
      <c r="C11473" t="s">
        <v>32674</v>
      </c>
      <c r="D11473" t="s">
        <v>30732</v>
      </c>
      <c r="E11473" t="s">
        <v>32675</v>
      </c>
      <c r="F11473" t="s">
        <v>32676</v>
      </c>
      <c r="J11473" t="s">
        <v>32675</v>
      </c>
      <c r="K11473" t="s">
        <v>21600</v>
      </c>
      <c r="L11473" t="s">
        <v>3616</v>
      </c>
    </row>
    <row r="11474" spans="1:12">
      <c r="A11474" t="s">
        <v>30729</v>
      </c>
      <c r="B11474" t="s">
        <v>30730</v>
      </c>
      <c r="C11474" t="s">
        <v>32677</v>
      </c>
      <c r="D11474" t="s">
        <v>30732</v>
      </c>
      <c r="E11474" t="s">
        <v>25668</v>
      </c>
      <c r="F11474" t="s">
        <v>32678</v>
      </c>
      <c r="J11474" t="s">
        <v>25668</v>
      </c>
      <c r="K11474" t="s">
        <v>21600</v>
      </c>
      <c r="L11474" t="s">
        <v>3616</v>
      </c>
    </row>
    <row r="11475" spans="1:12">
      <c r="A11475" t="s">
        <v>30729</v>
      </c>
      <c r="B11475" t="s">
        <v>30730</v>
      </c>
      <c r="C11475" t="s">
        <v>32679</v>
      </c>
      <c r="D11475" t="s">
        <v>30732</v>
      </c>
      <c r="E11475" t="s">
        <v>4687</v>
      </c>
      <c r="F11475" t="s">
        <v>32680</v>
      </c>
    </row>
    <row r="11476" spans="1:12">
      <c r="A11476" t="s">
        <v>30729</v>
      </c>
      <c r="B11476" t="s">
        <v>30730</v>
      </c>
      <c r="C11476" t="s">
        <v>32681</v>
      </c>
      <c r="D11476" t="s">
        <v>30732</v>
      </c>
      <c r="E11476" t="s">
        <v>32682</v>
      </c>
      <c r="F11476" t="s">
        <v>32683</v>
      </c>
      <c r="J11476" t="s">
        <v>32682</v>
      </c>
      <c r="K11476" t="s">
        <v>21600</v>
      </c>
      <c r="L11476" t="s">
        <v>3616</v>
      </c>
    </row>
    <row r="11477" spans="1:12">
      <c r="A11477" t="s">
        <v>30729</v>
      </c>
      <c r="B11477" t="s">
        <v>30730</v>
      </c>
      <c r="C11477" t="s">
        <v>32684</v>
      </c>
      <c r="D11477" t="s">
        <v>30732</v>
      </c>
      <c r="E11477" t="s">
        <v>3618</v>
      </c>
      <c r="F11477" t="s">
        <v>32685</v>
      </c>
    </row>
    <row r="11478" spans="1:12">
      <c r="A11478" t="s">
        <v>30729</v>
      </c>
      <c r="B11478" t="s">
        <v>30730</v>
      </c>
      <c r="C11478" t="s">
        <v>32686</v>
      </c>
      <c r="D11478" t="s">
        <v>30732</v>
      </c>
      <c r="E11478" t="s">
        <v>32687</v>
      </c>
      <c r="F11478" t="s">
        <v>32688</v>
      </c>
      <c r="J11478" t="s">
        <v>32687</v>
      </c>
      <c r="K11478" t="s">
        <v>21600</v>
      </c>
      <c r="L11478" t="s">
        <v>3616</v>
      </c>
    </row>
    <row r="11479" spans="1:12">
      <c r="A11479" t="s">
        <v>30729</v>
      </c>
      <c r="B11479" t="s">
        <v>30730</v>
      </c>
      <c r="C11479" t="s">
        <v>32689</v>
      </c>
      <c r="D11479" t="s">
        <v>30732</v>
      </c>
      <c r="E11479" t="s">
        <v>8933</v>
      </c>
      <c r="F11479" t="s">
        <v>32690</v>
      </c>
      <c r="J11479" t="s">
        <v>8933</v>
      </c>
      <c r="K11479" t="s">
        <v>21600</v>
      </c>
      <c r="L11479" t="s">
        <v>3616</v>
      </c>
    </row>
    <row r="11480" spans="1:12">
      <c r="A11480" t="s">
        <v>30729</v>
      </c>
      <c r="B11480" t="s">
        <v>30730</v>
      </c>
      <c r="C11480" t="s">
        <v>32691</v>
      </c>
      <c r="D11480" t="s">
        <v>30732</v>
      </c>
      <c r="E11480" t="s">
        <v>12553</v>
      </c>
      <c r="F11480" t="s">
        <v>32692</v>
      </c>
      <c r="J11480" t="s">
        <v>12553</v>
      </c>
      <c r="K11480" t="s">
        <v>21600</v>
      </c>
      <c r="L11480" t="s">
        <v>3616</v>
      </c>
    </row>
    <row r="11481" spans="1:12">
      <c r="A11481" t="s">
        <v>30729</v>
      </c>
      <c r="B11481" t="s">
        <v>30730</v>
      </c>
      <c r="C11481" t="s">
        <v>32693</v>
      </c>
      <c r="D11481" t="s">
        <v>30732</v>
      </c>
      <c r="E11481" t="s">
        <v>8936</v>
      </c>
      <c r="F11481" t="s">
        <v>32694</v>
      </c>
      <c r="J11481" t="s">
        <v>8936</v>
      </c>
      <c r="K11481" t="s">
        <v>21600</v>
      </c>
      <c r="L11481" t="s">
        <v>3616</v>
      </c>
    </row>
    <row r="11482" spans="1:12">
      <c r="A11482" t="s">
        <v>30729</v>
      </c>
      <c r="B11482" t="s">
        <v>30730</v>
      </c>
      <c r="C11482" t="s">
        <v>32695</v>
      </c>
      <c r="D11482" t="s">
        <v>30732</v>
      </c>
      <c r="E11482" t="s">
        <v>4991</v>
      </c>
      <c r="F11482" t="s">
        <v>32696</v>
      </c>
      <c r="J11482" t="s">
        <v>4991</v>
      </c>
      <c r="K11482" t="s">
        <v>21600</v>
      </c>
      <c r="L11482" t="s">
        <v>3616</v>
      </c>
    </row>
    <row r="11483" spans="1:12">
      <c r="A11483" t="s">
        <v>30729</v>
      </c>
      <c r="B11483" t="s">
        <v>30730</v>
      </c>
      <c r="C11483" t="s">
        <v>32697</v>
      </c>
      <c r="D11483" t="s">
        <v>30732</v>
      </c>
      <c r="E11483" t="s">
        <v>8939</v>
      </c>
      <c r="F11483" t="s">
        <v>32698</v>
      </c>
      <c r="J11483" t="s">
        <v>8939</v>
      </c>
      <c r="K11483" t="s">
        <v>21600</v>
      </c>
      <c r="L11483" t="s">
        <v>3616</v>
      </c>
    </row>
    <row r="11484" spans="1:12">
      <c r="A11484" t="s">
        <v>30729</v>
      </c>
      <c r="B11484" t="s">
        <v>30730</v>
      </c>
      <c r="C11484" t="s">
        <v>32699</v>
      </c>
      <c r="D11484" t="s">
        <v>30732</v>
      </c>
      <c r="E11484" t="s">
        <v>25210</v>
      </c>
      <c r="F11484" t="s">
        <v>32700</v>
      </c>
    </row>
    <row r="11485" spans="1:12">
      <c r="A11485" t="s">
        <v>30729</v>
      </c>
      <c r="B11485" t="s">
        <v>30730</v>
      </c>
      <c r="C11485" t="s">
        <v>32701</v>
      </c>
      <c r="D11485" t="s">
        <v>30732</v>
      </c>
      <c r="E11485" t="s">
        <v>32702</v>
      </c>
      <c r="F11485" t="s">
        <v>32703</v>
      </c>
    </row>
    <row r="11486" spans="1:12">
      <c r="A11486" t="s">
        <v>30729</v>
      </c>
      <c r="B11486" t="s">
        <v>30730</v>
      </c>
      <c r="C11486" t="s">
        <v>32704</v>
      </c>
      <c r="D11486" t="s">
        <v>30732</v>
      </c>
      <c r="E11486" t="s">
        <v>32705</v>
      </c>
      <c r="F11486" t="s">
        <v>32706</v>
      </c>
      <c r="J11486" t="s">
        <v>32705</v>
      </c>
      <c r="K11486" t="s">
        <v>21600</v>
      </c>
      <c r="L11486" t="s">
        <v>3616</v>
      </c>
    </row>
    <row r="11487" spans="1:12">
      <c r="A11487" t="s">
        <v>30729</v>
      </c>
      <c r="B11487" t="s">
        <v>30730</v>
      </c>
      <c r="C11487" t="s">
        <v>32707</v>
      </c>
      <c r="D11487" t="s">
        <v>30732</v>
      </c>
      <c r="E11487" t="s">
        <v>32708</v>
      </c>
      <c r="F11487" t="s">
        <v>32709</v>
      </c>
    </row>
    <row r="11488" spans="1:12">
      <c r="A11488" t="s">
        <v>30729</v>
      </c>
      <c r="B11488" t="s">
        <v>30730</v>
      </c>
      <c r="C11488" t="s">
        <v>32710</v>
      </c>
      <c r="D11488" t="s">
        <v>30732</v>
      </c>
      <c r="E11488" t="s">
        <v>4782</v>
      </c>
      <c r="F11488" t="s">
        <v>32711</v>
      </c>
    </row>
    <row r="11489" spans="1:12">
      <c r="A11489" t="s">
        <v>30729</v>
      </c>
      <c r="B11489" t="s">
        <v>30730</v>
      </c>
      <c r="C11489" t="s">
        <v>32712</v>
      </c>
      <c r="D11489" t="s">
        <v>30732</v>
      </c>
      <c r="E11489" t="s">
        <v>32713</v>
      </c>
      <c r="F11489" t="s">
        <v>32714</v>
      </c>
      <c r="J11489" t="s">
        <v>32713</v>
      </c>
      <c r="K11489" t="s">
        <v>21600</v>
      </c>
      <c r="L11489" t="s">
        <v>3616</v>
      </c>
    </row>
    <row r="11490" spans="1:12">
      <c r="A11490" t="s">
        <v>30729</v>
      </c>
      <c r="B11490" t="s">
        <v>30730</v>
      </c>
      <c r="C11490" t="s">
        <v>32715</v>
      </c>
      <c r="D11490" t="s">
        <v>30732</v>
      </c>
      <c r="E11490" t="s">
        <v>16787</v>
      </c>
      <c r="F11490" t="s">
        <v>32716</v>
      </c>
    </row>
    <row r="11491" spans="1:12">
      <c r="A11491" t="s">
        <v>30729</v>
      </c>
      <c r="B11491" t="s">
        <v>30730</v>
      </c>
      <c r="C11491" t="s">
        <v>32717</v>
      </c>
      <c r="D11491" t="s">
        <v>30732</v>
      </c>
      <c r="E11491" t="s">
        <v>4994</v>
      </c>
      <c r="F11491" t="s">
        <v>32718</v>
      </c>
      <c r="J11491" t="s">
        <v>4994</v>
      </c>
      <c r="K11491" t="s">
        <v>21600</v>
      </c>
      <c r="L11491" t="s">
        <v>3616</v>
      </c>
    </row>
    <row r="11492" spans="1:12">
      <c r="A11492" t="s">
        <v>30729</v>
      </c>
      <c r="B11492" t="s">
        <v>30730</v>
      </c>
      <c r="C11492" t="s">
        <v>32719</v>
      </c>
      <c r="D11492" t="s">
        <v>30732</v>
      </c>
      <c r="E11492" t="s">
        <v>16791</v>
      </c>
      <c r="F11492" t="s">
        <v>32720</v>
      </c>
      <c r="J11492" t="s">
        <v>16791</v>
      </c>
      <c r="K11492" t="s">
        <v>21600</v>
      </c>
      <c r="L11492" t="s">
        <v>3616</v>
      </c>
    </row>
    <row r="11493" spans="1:12">
      <c r="A11493" t="s">
        <v>30729</v>
      </c>
      <c r="B11493" t="s">
        <v>30730</v>
      </c>
      <c r="C11493" t="s">
        <v>32721</v>
      </c>
      <c r="D11493" t="s">
        <v>30732</v>
      </c>
      <c r="E11493" t="s">
        <v>5000</v>
      </c>
      <c r="F11493" t="s">
        <v>32722</v>
      </c>
      <c r="J11493" t="s">
        <v>5000</v>
      </c>
      <c r="K11493" t="s">
        <v>21600</v>
      </c>
      <c r="L11493" t="s">
        <v>3616</v>
      </c>
    </row>
    <row r="11494" spans="1:12">
      <c r="A11494" t="s">
        <v>30729</v>
      </c>
      <c r="B11494" t="s">
        <v>30730</v>
      </c>
      <c r="C11494" t="s">
        <v>32723</v>
      </c>
      <c r="D11494" t="s">
        <v>30732</v>
      </c>
      <c r="E11494" t="s">
        <v>32724</v>
      </c>
      <c r="F11494" t="s">
        <v>32725</v>
      </c>
      <c r="J11494" t="s">
        <v>32724</v>
      </c>
      <c r="K11494" t="s">
        <v>21600</v>
      </c>
      <c r="L11494" t="s">
        <v>3616</v>
      </c>
    </row>
    <row r="11495" spans="1:12">
      <c r="A11495" t="s">
        <v>30729</v>
      </c>
      <c r="B11495" t="s">
        <v>30730</v>
      </c>
      <c r="C11495" t="s">
        <v>32726</v>
      </c>
      <c r="D11495" t="s">
        <v>30732</v>
      </c>
      <c r="E11495" t="s">
        <v>8948</v>
      </c>
      <c r="F11495" t="s">
        <v>32727</v>
      </c>
      <c r="J11495" t="s">
        <v>8948</v>
      </c>
      <c r="K11495" t="s">
        <v>21600</v>
      </c>
      <c r="L11495" t="s">
        <v>3616</v>
      </c>
    </row>
    <row r="11496" spans="1:12">
      <c r="A11496" t="s">
        <v>30729</v>
      </c>
      <c r="B11496" t="s">
        <v>30730</v>
      </c>
      <c r="C11496" t="s">
        <v>32728</v>
      </c>
      <c r="D11496" t="s">
        <v>30732</v>
      </c>
      <c r="E11496" t="s">
        <v>32729</v>
      </c>
      <c r="F11496" t="s">
        <v>32730</v>
      </c>
      <c r="J11496" t="s">
        <v>32729</v>
      </c>
      <c r="K11496" t="s">
        <v>21600</v>
      </c>
      <c r="L11496" t="s">
        <v>3616</v>
      </c>
    </row>
    <row r="11497" spans="1:12">
      <c r="A11497" t="s">
        <v>30729</v>
      </c>
      <c r="B11497" t="s">
        <v>30730</v>
      </c>
      <c r="C11497" t="s">
        <v>32731</v>
      </c>
      <c r="D11497" t="s">
        <v>30732</v>
      </c>
      <c r="E11497" t="s">
        <v>32732</v>
      </c>
      <c r="F11497" t="s">
        <v>32733</v>
      </c>
      <c r="J11497" t="s">
        <v>32732</v>
      </c>
      <c r="K11497" t="s">
        <v>21600</v>
      </c>
      <c r="L11497" t="s">
        <v>3616</v>
      </c>
    </row>
    <row r="11498" spans="1:12">
      <c r="A11498" t="s">
        <v>30729</v>
      </c>
      <c r="B11498" t="s">
        <v>30730</v>
      </c>
      <c r="C11498" t="s">
        <v>32734</v>
      </c>
      <c r="D11498" t="s">
        <v>30732</v>
      </c>
      <c r="E11498" t="s">
        <v>8952</v>
      </c>
      <c r="F11498" t="s">
        <v>32735</v>
      </c>
      <c r="J11498" t="s">
        <v>8952</v>
      </c>
      <c r="K11498" t="s">
        <v>21600</v>
      </c>
      <c r="L11498" t="s">
        <v>3616</v>
      </c>
    </row>
    <row r="11499" spans="1:12">
      <c r="A11499" t="s">
        <v>30729</v>
      </c>
      <c r="B11499" t="s">
        <v>30730</v>
      </c>
      <c r="C11499" t="s">
        <v>32736</v>
      </c>
      <c r="D11499" t="s">
        <v>30732</v>
      </c>
      <c r="E11499" t="s">
        <v>32737</v>
      </c>
      <c r="F11499" t="s">
        <v>32738</v>
      </c>
      <c r="J11499" t="s">
        <v>32737</v>
      </c>
      <c r="K11499" t="s">
        <v>21600</v>
      </c>
      <c r="L11499" t="s">
        <v>3616</v>
      </c>
    </row>
    <row r="11500" spans="1:12">
      <c r="A11500" t="s">
        <v>30729</v>
      </c>
      <c r="B11500" t="s">
        <v>30730</v>
      </c>
      <c r="C11500" t="s">
        <v>32739</v>
      </c>
      <c r="D11500" t="s">
        <v>30732</v>
      </c>
      <c r="E11500" t="s">
        <v>32740</v>
      </c>
      <c r="F11500" t="s">
        <v>32741</v>
      </c>
      <c r="J11500" t="s">
        <v>32740</v>
      </c>
      <c r="K11500" t="s">
        <v>21600</v>
      </c>
      <c r="L11500" t="s">
        <v>3616</v>
      </c>
    </row>
    <row r="11501" spans="1:12">
      <c r="A11501" t="s">
        <v>30729</v>
      </c>
      <c r="B11501" t="s">
        <v>30730</v>
      </c>
      <c r="C11501" t="s">
        <v>32742</v>
      </c>
      <c r="D11501" t="s">
        <v>30732</v>
      </c>
      <c r="E11501" t="s">
        <v>8957</v>
      </c>
      <c r="F11501" t="s">
        <v>32743</v>
      </c>
      <c r="J11501" t="s">
        <v>8957</v>
      </c>
      <c r="K11501" t="s">
        <v>21600</v>
      </c>
      <c r="L11501" t="s">
        <v>3616</v>
      </c>
    </row>
    <row r="11502" spans="1:12">
      <c r="A11502" t="s">
        <v>30729</v>
      </c>
      <c r="B11502" t="s">
        <v>30730</v>
      </c>
      <c r="C11502" t="s">
        <v>32744</v>
      </c>
      <c r="D11502" t="s">
        <v>30732</v>
      </c>
      <c r="E11502" t="s">
        <v>32745</v>
      </c>
      <c r="F11502" t="s">
        <v>32746</v>
      </c>
      <c r="J11502" t="s">
        <v>32745</v>
      </c>
      <c r="K11502" t="s">
        <v>21600</v>
      </c>
      <c r="L11502" t="s">
        <v>3616</v>
      </c>
    </row>
    <row r="11503" spans="1:12">
      <c r="A11503" t="s">
        <v>30729</v>
      </c>
      <c r="B11503" t="s">
        <v>30730</v>
      </c>
      <c r="C11503" t="s">
        <v>32747</v>
      </c>
      <c r="D11503" t="s">
        <v>30732</v>
      </c>
      <c r="E11503" t="s">
        <v>32748</v>
      </c>
      <c r="F11503" t="s">
        <v>32738</v>
      </c>
      <c r="J11503" t="s">
        <v>32748</v>
      </c>
      <c r="K11503" t="s">
        <v>21600</v>
      </c>
      <c r="L11503" t="s">
        <v>3616</v>
      </c>
    </row>
    <row r="11504" spans="1:12">
      <c r="A11504" t="s">
        <v>30729</v>
      </c>
      <c r="B11504" t="s">
        <v>30730</v>
      </c>
      <c r="C11504" t="s">
        <v>32749</v>
      </c>
      <c r="D11504" t="s">
        <v>30732</v>
      </c>
      <c r="E11504" t="s">
        <v>32750</v>
      </c>
      <c r="F11504" t="s">
        <v>32751</v>
      </c>
      <c r="J11504" t="s">
        <v>32750</v>
      </c>
      <c r="K11504" t="s">
        <v>21600</v>
      </c>
      <c r="L11504" t="s">
        <v>3616</v>
      </c>
    </row>
    <row r="11505" spans="1:12">
      <c r="A11505" t="s">
        <v>30729</v>
      </c>
      <c r="B11505" t="s">
        <v>30730</v>
      </c>
      <c r="C11505" t="s">
        <v>32752</v>
      </c>
      <c r="D11505" t="s">
        <v>30732</v>
      </c>
      <c r="E11505" t="s">
        <v>32753</v>
      </c>
      <c r="F11505" t="s">
        <v>32754</v>
      </c>
    </row>
    <row r="11506" spans="1:12">
      <c r="A11506" t="s">
        <v>30729</v>
      </c>
      <c r="B11506" t="s">
        <v>30730</v>
      </c>
      <c r="C11506" t="s">
        <v>32755</v>
      </c>
      <c r="D11506" t="s">
        <v>30732</v>
      </c>
      <c r="E11506" t="s">
        <v>32756</v>
      </c>
      <c r="F11506" t="s">
        <v>32757</v>
      </c>
      <c r="J11506" t="s">
        <v>32756</v>
      </c>
      <c r="K11506" t="s">
        <v>21600</v>
      </c>
      <c r="L11506" t="s">
        <v>3616</v>
      </c>
    </row>
    <row r="11507" spans="1:12">
      <c r="A11507" t="s">
        <v>30729</v>
      </c>
      <c r="B11507" t="s">
        <v>30730</v>
      </c>
      <c r="C11507" t="s">
        <v>32758</v>
      </c>
      <c r="D11507" t="s">
        <v>30732</v>
      </c>
      <c r="E11507" t="s">
        <v>32759</v>
      </c>
      <c r="F11507" t="s">
        <v>32760</v>
      </c>
      <c r="J11507" t="s">
        <v>32759</v>
      </c>
      <c r="K11507" t="s">
        <v>21600</v>
      </c>
      <c r="L11507" t="s">
        <v>3616</v>
      </c>
    </row>
    <row r="11508" spans="1:12">
      <c r="A11508" t="s">
        <v>30729</v>
      </c>
      <c r="B11508" t="s">
        <v>30730</v>
      </c>
      <c r="C11508" t="s">
        <v>32761</v>
      </c>
      <c r="D11508" t="s">
        <v>30732</v>
      </c>
      <c r="E11508" t="s">
        <v>32762</v>
      </c>
      <c r="F11508" t="s">
        <v>32763</v>
      </c>
      <c r="J11508" t="s">
        <v>32762</v>
      </c>
      <c r="K11508" t="s">
        <v>21600</v>
      </c>
      <c r="L11508" t="s">
        <v>3616</v>
      </c>
    </row>
    <row r="11509" spans="1:12">
      <c r="A11509" t="s">
        <v>30729</v>
      </c>
      <c r="B11509" t="s">
        <v>30730</v>
      </c>
      <c r="C11509" t="s">
        <v>32764</v>
      </c>
      <c r="D11509" t="s">
        <v>30732</v>
      </c>
      <c r="E11509" t="s">
        <v>16864</v>
      </c>
      <c r="F11509" t="s">
        <v>32765</v>
      </c>
      <c r="J11509" t="s">
        <v>16864</v>
      </c>
      <c r="K11509" t="s">
        <v>21600</v>
      </c>
      <c r="L11509" t="s">
        <v>3616</v>
      </c>
    </row>
    <row r="11510" spans="1:12">
      <c r="A11510" t="s">
        <v>30729</v>
      </c>
      <c r="B11510" t="s">
        <v>30730</v>
      </c>
      <c r="C11510" t="s">
        <v>32766</v>
      </c>
      <c r="D11510" t="s">
        <v>30732</v>
      </c>
      <c r="E11510" t="s">
        <v>32767</v>
      </c>
      <c r="F11510" t="s">
        <v>32768</v>
      </c>
      <c r="J11510" t="s">
        <v>32767</v>
      </c>
      <c r="K11510" t="s">
        <v>21600</v>
      </c>
      <c r="L11510" t="s">
        <v>3616</v>
      </c>
    </row>
    <row r="11511" spans="1:12">
      <c r="A11511" t="s">
        <v>30729</v>
      </c>
      <c r="B11511" t="s">
        <v>30730</v>
      </c>
      <c r="C11511" t="s">
        <v>32769</v>
      </c>
      <c r="D11511" t="s">
        <v>30732</v>
      </c>
      <c r="E11511" t="s">
        <v>32770</v>
      </c>
      <c r="F11511" t="s">
        <v>32771</v>
      </c>
      <c r="J11511" t="s">
        <v>32770</v>
      </c>
      <c r="K11511" t="s">
        <v>21600</v>
      </c>
      <c r="L11511" t="s">
        <v>3616</v>
      </c>
    </row>
    <row r="11512" spans="1:12">
      <c r="A11512" t="s">
        <v>30729</v>
      </c>
      <c r="B11512" t="s">
        <v>30730</v>
      </c>
      <c r="C11512" t="s">
        <v>32772</v>
      </c>
      <c r="D11512" t="s">
        <v>30732</v>
      </c>
      <c r="E11512" t="s">
        <v>32773</v>
      </c>
      <c r="F11512" t="s">
        <v>12580</v>
      </c>
    </row>
    <row r="11513" spans="1:12">
      <c r="A11513" t="s">
        <v>30729</v>
      </c>
      <c r="B11513" t="s">
        <v>30730</v>
      </c>
      <c r="C11513" t="s">
        <v>32774</v>
      </c>
      <c r="D11513" t="s">
        <v>30732</v>
      </c>
      <c r="E11513" t="s">
        <v>32775</v>
      </c>
      <c r="F11513" t="s">
        <v>32776</v>
      </c>
      <c r="J11513" t="s">
        <v>32775</v>
      </c>
      <c r="K11513" t="s">
        <v>21600</v>
      </c>
      <c r="L11513" t="s">
        <v>3616</v>
      </c>
    </row>
    <row r="11514" spans="1:12">
      <c r="A11514" t="s">
        <v>30729</v>
      </c>
      <c r="B11514" t="s">
        <v>30730</v>
      </c>
      <c r="C11514" t="s">
        <v>32777</v>
      </c>
      <c r="D11514" t="s">
        <v>30732</v>
      </c>
      <c r="E11514" t="s">
        <v>32778</v>
      </c>
      <c r="F11514" t="s">
        <v>32779</v>
      </c>
      <c r="J11514" t="s">
        <v>32778</v>
      </c>
      <c r="K11514" t="s">
        <v>21600</v>
      </c>
      <c r="L11514" t="s">
        <v>3616</v>
      </c>
    </row>
    <row r="11515" spans="1:12">
      <c r="A11515" t="s">
        <v>30729</v>
      </c>
      <c r="B11515" t="s">
        <v>30730</v>
      </c>
      <c r="C11515" t="s">
        <v>32780</v>
      </c>
      <c r="D11515" t="s">
        <v>30732</v>
      </c>
      <c r="E11515" t="s">
        <v>8960</v>
      </c>
      <c r="F11515" t="s">
        <v>32781</v>
      </c>
      <c r="J11515" t="s">
        <v>8960</v>
      </c>
      <c r="K11515" t="s">
        <v>21600</v>
      </c>
      <c r="L11515" t="s">
        <v>3616</v>
      </c>
    </row>
    <row r="11516" spans="1:12">
      <c r="A11516" t="s">
        <v>30729</v>
      </c>
      <c r="B11516" t="s">
        <v>30730</v>
      </c>
      <c r="C11516" t="s">
        <v>32782</v>
      </c>
      <c r="D11516" t="s">
        <v>30732</v>
      </c>
      <c r="E11516" t="s">
        <v>8963</v>
      </c>
      <c r="F11516" t="s">
        <v>32783</v>
      </c>
      <c r="J11516" t="s">
        <v>8963</v>
      </c>
      <c r="K11516" t="s">
        <v>21600</v>
      </c>
      <c r="L11516" t="s">
        <v>3616</v>
      </c>
    </row>
    <row r="11517" spans="1:12">
      <c r="A11517" t="s">
        <v>30729</v>
      </c>
      <c r="B11517" t="s">
        <v>30730</v>
      </c>
      <c r="C11517" t="s">
        <v>32784</v>
      </c>
      <c r="D11517" t="s">
        <v>30732</v>
      </c>
      <c r="E11517" t="s">
        <v>32785</v>
      </c>
      <c r="F11517" t="s">
        <v>32786</v>
      </c>
      <c r="J11517" t="s">
        <v>32785</v>
      </c>
      <c r="K11517" t="s">
        <v>21600</v>
      </c>
      <c r="L11517" t="s">
        <v>3616</v>
      </c>
    </row>
    <row r="11518" spans="1:12">
      <c r="A11518" t="s">
        <v>30729</v>
      </c>
      <c r="B11518" t="s">
        <v>30730</v>
      </c>
      <c r="C11518" t="s">
        <v>32787</v>
      </c>
      <c r="D11518" t="s">
        <v>30732</v>
      </c>
      <c r="E11518" t="s">
        <v>5003</v>
      </c>
      <c r="F11518" t="s">
        <v>32788</v>
      </c>
      <c r="J11518" t="s">
        <v>5003</v>
      </c>
      <c r="K11518" t="s">
        <v>21600</v>
      </c>
      <c r="L11518" t="s">
        <v>3616</v>
      </c>
    </row>
    <row r="11519" spans="1:12">
      <c r="A11519" t="s">
        <v>30729</v>
      </c>
      <c r="B11519" t="s">
        <v>30730</v>
      </c>
      <c r="C11519" t="s">
        <v>32789</v>
      </c>
      <c r="D11519" t="s">
        <v>30732</v>
      </c>
      <c r="E11519" t="s">
        <v>11257</v>
      </c>
      <c r="F11519" t="s">
        <v>32790</v>
      </c>
      <c r="J11519" t="s">
        <v>11257</v>
      </c>
      <c r="K11519" t="s">
        <v>21600</v>
      </c>
      <c r="L11519" t="s">
        <v>3616</v>
      </c>
    </row>
    <row r="11520" spans="1:12">
      <c r="A11520" t="s">
        <v>30729</v>
      </c>
      <c r="B11520" t="s">
        <v>30730</v>
      </c>
      <c r="C11520" t="s">
        <v>32791</v>
      </c>
      <c r="D11520" t="s">
        <v>30732</v>
      </c>
      <c r="E11520" t="s">
        <v>32792</v>
      </c>
      <c r="F11520" t="s">
        <v>32793</v>
      </c>
      <c r="J11520" t="s">
        <v>32792</v>
      </c>
      <c r="K11520" t="s">
        <v>21600</v>
      </c>
      <c r="L11520" t="s">
        <v>3616</v>
      </c>
    </row>
    <row r="11521" spans="1:12">
      <c r="A11521" t="s">
        <v>30729</v>
      </c>
      <c r="B11521" t="s">
        <v>30730</v>
      </c>
      <c r="C11521" t="s">
        <v>32794</v>
      </c>
      <c r="D11521" t="s">
        <v>30732</v>
      </c>
      <c r="E11521" t="s">
        <v>32795</v>
      </c>
      <c r="F11521" t="s">
        <v>32796</v>
      </c>
      <c r="J11521" t="s">
        <v>32795</v>
      </c>
      <c r="K11521" t="s">
        <v>21600</v>
      </c>
      <c r="L11521" t="s">
        <v>3616</v>
      </c>
    </row>
    <row r="11522" spans="1:12">
      <c r="A11522" t="s">
        <v>30729</v>
      </c>
      <c r="B11522" t="s">
        <v>30730</v>
      </c>
      <c r="C11522" t="s">
        <v>32797</v>
      </c>
      <c r="D11522" t="s">
        <v>30732</v>
      </c>
      <c r="E11522" t="s">
        <v>32798</v>
      </c>
      <c r="F11522" t="s">
        <v>32799</v>
      </c>
      <c r="J11522" t="s">
        <v>32798</v>
      </c>
      <c r="K11522" t="s">
        <v>21600</v>
      </c>
      <c r="L11522" t="s">
        <v>3616</v>
      </c>
    </row>
    <row r="11523" spans="1:12">
      <c r="A11523" t="s">
        <v>30729</v>
      </c>
      <c r="B11523" t="s">
        <v>30730</v>
      </c>
      <c r="C11523" t="s">
        <v>32800</v>
      </c>
      <c r="D11523" t="s">
        <v>30732</v>
      </c>
      <c r="E11523" t="s">
        <v>32801</v>
      </c>
      <c r="F11523" t="s">
        <v>32802</v>
      </c>
    </row>
    <row r="11524" spans="1:12">
      <c r="A11524" t="s">
        <v>30729</v>
      </c>
      <c r="B11524" t="s">
        <v>30730</v>
      </c>
      <c r="C11524" t="s">
        <v>32803</v>
      </c>
      <c r="D11524" t="s">
        <v>30732</v>
      </c>
      <c r="E11524" t="s">
        <v>32804</v>
      </c>
      <c r="F11524" t="s">
        <v>32805</v>
      </c>
      <c r="J11524" t="s">
        <v>32804</v>
      </c>
      <c r="K11524" t="s">
        <v>21600</v>
      </c>
      <c r="L11524" t="s">
        <v>3616</v>
      </c>
    </row>
    <row r="11525" spans="1:12">
      <c r="A11525" t="s">
        <v>30729</v>
      </c>
      <c r="B11525" t="s">
        <v>30730</v>
      </c>
      <c r="C11525" t="s">
        <v>32806</v>
      </c>
      <c r="D11525" t="s">
        <v>30732</v>
      </c>
      <c r="E11525" t="s">
        <v>32807</v>
      </c>
      <c r="F11525" t="s">
        <v>32808</v>
      </c>
      <c r="J11525" t="s">
        <v>32807</v>
      </c>
      <c r="K11525" t="s">
        <v>21600</v>
      </c>
      <c r="L11525" t="s">
        <v>3616</v>
      </c>
    </row>
    <row r="11526" spans="1:12">
      <c r="A11526" t="s">
        <v>30729</v>
      </c>
      <c r="B11526" t="s">
        <v>30730</v>
      </c>
      <c r="C11526" t="s">
        <v>32809</v>
      </c>
      <c r="D11526" t="s">
        <v>30732</v>
      </c>
      <c r="E11526" t="s">
        <v>30284</v>
      </c>
      <c r="F11526" t="s">
        <v>32810</v>
      </c>
      <c r="J11526" t="s">
        <v>30284</v>
      </c>
      <c r="K11526" t="s">
        <v>21600</v>
      </c>
      <c r="L11526" t="s">
        <v>3616</v>
      </c>
    </row>
    <row r="11527" spans="1:12">
      <c r="A11527" t="s">
        <v>30729</v>
      </c>
      <c r="B11527" t="s">
        <v>30730</v>
      </c>
      <c r="C11527" t="s">
        <v>32811</v>
      </c>
      <c r="D11527" t="s">
        <v>30732</v>
      </c>
      <c r="E11527" t="s">
        <v>32812</v>
      </c>
      <c r="F11527" t="s">
        <v>32813</v>
      </c>
      <c r="J11527" t="s">
        <v>32812</v>
      </c>
      <c r="K11527" t="s">
        <v>21600</v>
      </c>
      <c r="L11527" t="s">
        <v>3616</v>
      </c>
    </row>
    <row r="11528" spans="1:12">
      <c r="A11528" t="s">
        <v>30729</v>
      </c>
      <c r="B11528" t="s">
        <v>30730</v>
      </c>
      <c r="C11528" t="s">
        <v>32814</v>
      </c>
      <c r="D11528" t="s">
        <v>30732</v>
      </c>
      <c r="E11528" t="s">
        <v>32815</v>
      </c>
      <c r="F11528" t="s">
        <v>32816</v>
      </c>
      <c r="J11528" t="s">
        <v>32815</v>
      </c>
      <c r="K11528" t="s">
        <v>21600</v>
      </c>
      <c r="L11528" t="s">
        <v>3616</v>
      </c>
    </row>
    <row r="11529" spans="1:12">
      <c r="A11529" t="s">
        <v>30729</v>
      </c>
      <c r="B11529" t="s">
        <v>30730</v>
      </c>
      <c r="C11529" t="s">
        <v>32817</v>
      </c>
      <c r="D11529" t="s">
        <v>30732</v>
      </c>
      <c r="E11529" t="s">
        <v>10327</v>
      </c>
      <c r="F11529" t="s">
        <v>32818</v>
      </c>
      <c r="J11529" t="s">
        <v>10327</v>
      </c>
      <c r="K11529" t="s">
        <v>21600</v>
      </c>
      <c r="L11529" t="s">
        <v>3616</v>
      </c>
    </row>
    <row r="11530" spans="1:12">
      <c r="A11530" t="s">
        <v>30729</v>
      </c>
      <c r="B11530" t="s">
        <v>30730</v>
      </c>
      <c r="C11530" t="s">
        <v>32819</v>
      </c>
      <c r="D11530" t="s">
        <v>30732</v>
      </c>
      <c r="E11530" t="s">
        <v>32820</v>
      </c>
      <c r="F11530" t="s">
        <v>32821</v>
      </c>
    </row>
    <row r="11531" spans="1:12">
      <c r="A11531" t="s">
        <v>30729</v>
      </c>
      <c r="B11531" t="s">
        <v>30730</v>
      </c>
      <c r="C11531" t="s">
        <v>32822</v>
      </c>
      <c r="D11531" t="s">
        <v>30732</v>
      </c>
      <c r="E11531" t="s">
        <v>32823</v>
      </c>
      <c r="F11531" t="s">
        <v>32824</v>
      </c>
      <c r="J11531" t="s">
        <v>32823</v>
      </c>
      <c r="K11531" t="s">
        <v>21600</v>
      </c>
      <c r="L11531" t="s">
        <v>3616</v>
      </c>
    </row>
    <row r="11532" spans="1:12">
      <c r="A11532" t="s">
        <v>30729</v>
      </c>
      <c r="B11532" t="s">
        <v>30730</v>
      </c>
      <c r="C11532" t="s">
        <v>32825</v>
      </c>
      <c r="D11532" t="s">
        <v>30732</v>
      </c>
      <c r="E11532" t="s">
        <v>32826</v>
      </c>
      <c r="F11532" t="s">
        <v>32827</v>
      </c>
      <c r="J11532" t="s">
        <v>32826</v>
      </c>
      <c r="K11532" t="s">
        <v>21600</v>
      </c>
      <c r="L11532" t="s">
        <v>3616</v>
      </c>
    </row>
    <row r="11533" spans="1:12">
      <c r="A11533" t="s">
        <v>30729</v>
      </c>
      <c r="B11533" t="s">
        <v>30730</v>
      </c>
      <c r="C11533" t="s">
        <v>32828</v>
      </c>
      <c r="D11533" t="s">
        <v>30732</v>
      </c>
      <c r="E11533" t="s">
        <v>10330</v>
      </c>
      <c r="F11533" t="s">
        <v>32829</v>
      </c>
      <c r="J11533" t="s">
        <v>10330</v>
      </c>
      <c r="K11533" t="s">
        <v>21600</v>
      </c>
      <c r="L11533" t="s">
        <v>3616</v>
      </c>
    </row>
    <row r="11534" spans="1:12">
      <c r="A11534" t="s">
        <v>30729</v>
      </c>
      <c r="B11534" t="s">
        <v>30730</v>
      </c>
      <c r="C11534" t="s">
        <v>32830</v>
      </c>
      <c r="D11534" t="s">
        <v>30732</v>
      </c>
      <c r="E11534" t="s">
        <v>32831</v>
      </c>
      <c r="F11534" t="s">
        <v>32832</v>
      </c>
      <c r="J11534" t="s">
        <v>32831</v>
      </c>
      <c r="K11534" t="s">
        <v>21600</v>
      </c>
      <c r="L11534" t="s">
        <v>3616</v>
      </c>
    </row>
    <row r="11535" spans="1:12">
      <c r="A11535" t="s">
        <v>30729</v>
      </c>
      <c r="B11535" t="s">
        <v>30730</v>
      </c>
      <c r="C11535" t="s">
        <v>32833</v>
      </c>
      <c r="D11535" t="s">
        <v>30732</v>
      </c>
      <c r="E11535" t="s">
        <v>8981</v>
      </c>
      <c r="F11535" t="s">
        <v>32834</v>
      </c>
      <c r="J11535" t="s">
        <v>8981</v>
      </c>
      <c r="K11535" t="s">
        <v>21600</v>
      </c>
      <c r="L11535" t="s">
        <v>3616</v>
      </c>
    </row>
    <row r="11536" spans="1:12">
      <c r="A11536" t="s">
        <v>30729</v>
      </c>
      <c r="B11536" t="s">
        <v>30730</v>
      </c>
      <c r="C11536" t="s">
        <v>32835</v>
      </c>
      <c r="D11536" t="s">
        <v>30732</v>
      </c>
      <c r="E11536" t="s">
        <v>13736</v>
      </c>
      <c r="F11536" t="s">
        <v>32836</v>
      </c>
    </row>
    <row r="11537" spans="1:12">
      <c r="A11537" t="s">
        <v>30729</v>
      </c>
      <c r="B11537" t="s">
        <v>30730</v>
      </c>
      <c r="C11537" t="s">
        <v>32837</v>
      </c>
      <c r="D11537" t="s">
        <v>30732</v>
      </c>
      <c r="E11537" t="s">
        <v>32838</v>
      </c>
      <c r="F11537" t="s">
        <v>32839</v>
      </c>
      <c r="J11537" t="s">
        <v>32838</v>
      </c>
      <c r="K11537" t="s">
        <v>21600</v>
      </c>
      <c r="L11537" t="s">
        <v>3616</v>
      </c>
    </row>
    <row r="11538" spans="1:12">
      <c r="A11538" t="s">
        <v>30729</v>
      </c>
      <c r="B11538" t="s">
        <v>30730</v>
      </c>
      <c r="C11538" t="s">
        <v>32840</v>
      </c>
      <c r="D11538" t="s">
        <v>30732</v>
      </c>
      <c r="E11538" t="s">
        <v>32841</v>
      </c>
      <c r="F11538" t="s">
        <v>32842</v>
      </c>
      <c r="J11538" t="s">
        <v>32841</v>
      </c>
      <c r="K11538" t="s">
        <v>21600</v>
      </c>
      <c r="L11538" t="s">
        <v>3616</v>
      </c>
    </row>
    <row r="11539" spans="1:12">
      <c r="A11539" t="s">
        <v>30729</v>
      </c>
      <c r="B11539" t="s">
        <v>30730</v>
      </c>
      <c r="C11539" t="s">
        <v>32843</v>
      </c>
      <c r="D11539" t="s">
        <v>30732</v>
      </c>
      <c r="E11539" t="s">
        <v>32844</v>
      </c>
      <c r="F11539" t="s">
        <v>32845</v>
      </c>
      <c r="J11539" t="s">
        <v>32844</v>
      </c>
      <c r="K11539" t="s">
        <v>21600</v>
      </c>
      <c r="L11539" t="s">
        <v>3616</v>
      </c>
    </row>
    <row r="11540" spans="1:12">
      <c r="A11540" t="s">
        <v>30729</v>
      </c>
      <c r="B11540" t="s">
        <v>30730</v>
      </c>
      <c r="C11540" t="s">
        <v>32846</v>
      </c>
      <c r="D11540" t="s">
        <v>30732</v>
      </c>
      <c r="E11540" t="s">
        <v>32847</v>
      </c>
      <c r="F11540" t="s">
        <v>32848</v>
      </c>
      <c r="J11540" t="s">
        <v>32847</v>
      </c>
      <c r="K11540" t="s">
        <v>21600</v>
      </c>
      <c r="L11540" t="s">
        <v>3616</v>
      </c>
    </row>
    <row r="11541" spans="1:12">
      <c r="A11541" t="s">
        <v>30729</v>
      </c>
      <c r="B11541" t="s">
        <v>30730</v>
      </c>
      <c r="C11541" t="s">
        <v>32849</v>
      </c>
      <c r="D11541" t="s">
        <v>30732</v>
      </c>
      <c r="E11541" t="s">
        <v>32850</v>
      </c>
      <c r="F11541" t="s">
        <v>32851</v>
      </c>
      <c r="J11541" t="s">
        <v>32850</v>
      </c>
      <c r="K11541" t="s">
        <v>21600</v>
      </c>
      <c r="L11541" t="s">
        <v>3616</v>
      </c>
    </row>
    <row r="11542" spans="1:12">
      <c r="A11542" t="s">
        <v>30729</v>
      </c>
      <c r="B11542" t="s">
        <v>30730</v>
      </c>
      <c r="C11542" t="s">
        <v>32852</v>
      </c>
      <c r="D11542" t="s">
        <v>30732</v>
      </c>
      <c r="E11542" t="s">
        <v>27312</v>
      </c>
      <c r="F11542" t="s">
        <v>32853</v>
      </c>
      <c r="J11542" t="s">
        <v>27312</v>
      </c>
      <c r="K11542" t="s">
        <v>21600</v>
      </c>
      <c r="L11542" t="s">
        <v>3616</v>
      </c>
    </row>
    <row r="11543" spans="1:12">
      <c r="A11543" t="s">
        <v>30729</v>
      </c>
      <c r="B11543" t="s">
        <v>30730</v>
      </c>
      <c r="C11543" t="s">
        <v>32854</v>
      </c>
      <c r="D11543" t="s">
        <v>30732</v>
      </c>
      <c r="E11543" t="s">
        <v>4699</v>
      </c>
      <c r="F11543" t="s">
        <v>32855</v>
      </c>
    </row>
    <row r="11544" spans="1:12">
      <c r="A11544" t="s">
        <v>30729</v>
      </c>
      <c r="B11544" t="s">
        <v>30730</v>
      </c>
      <c r="C11544" t="s">
        <v>32856</v>
      </c>
      <c r="D11544" t="s">
        <v>30732</v>
      </c>
      <c r="E11544" t="s">
        <v>32857</v>
      </c>
      <c r="F11544" t="s">
        <v>32858</v>
      </c>
      <c r="J11544" t="s">
        <v>32857</v>
      </c>
      <c r="K11544" t="s">
        <v>21600</v>
      </c>
      <c r="L11544" t="s">
        <v>3616</v>
      </c>
    </row>
    <row r="11545" spans="1:12">
      <c r="A11545" t="s">
        <v>30729</v>
      </c>
      <c r="B11545" t="s">
        <v>30730</v>
      </c>
      <c r="C11545" t="s">
        <v>32859</v>
      </c>
      <c r="D11545" t="s">
        <v>30732</v>
      </c>
      <c r="E11545" t="s">
        <v>7632</v>
      </c>
      <c r="F11545" t="s">
        <v>32860</v>
      </c>
    </row>
    <row r="11546" spans="1:12">
      <c r="A11546" t="s">
        <v>30729</v>
      </c>
      <c r="B11546" t="s">
        <v>30730</v>
      </c>
      <c r="C11546" t="s">
        <v>32861</v>
      </c>
      <c r="D11546" t="s">
        <v>30732</v>
      </c>
      <c r="E11546" t="s">
        <v>32862</v>
      </c>
      <c r="F11546" t="s">
        <v>32863</v>
      </c>
    </row>
    <row r="11547" spans="1:12">
      <c r="A11547" t="s">
        <v>30729</v>
      </c>
      <c r="B11547" t="s">
        <v>30730</v>
      </c>
      <c r="C11547" t="s">
        <v>32864</v>
      </c>
      <c r="D11547" t="s">
        <v>30732</v>
      </c>
      <c r="E11547" t="s">
        <v>13228</v>
      </c>
      <c r="F11547" t="s">
        <v>32865</v>
      </c>
    </row>
    <row r="11548" spans="1:12">
      <c r="A11548" t="s">
        <v>30729</v>
      </c>
      <c r="B11548" t="s">
        <v>30730</v>
      </c>
      <c r="C11548" t="s">
        <v>32866</v>
      </c>
      <c r="D11548" t="s">
        <v>30732</v>
      </c>
      <c r="E11548" t="s">
        <v>8998</v>
      </c>
      <c r="F11548" t="s">
        <v>32867</v>
      </c>
      <c r="J11548" t="s">
        <v>8998</v>
      </c>
      <c r="K11548" t="s">
        <v>21600</v>
      </c>
      <c r="L11548" t="s">
        <v>3616</v>
      </c>
    </row>
    <row r="11549" spans="1:12">
      <c r="A11549" t="s">
        <v>30729</v>
      </c>
      <c r="B11549" t="s">
        <v>30730</v>
      </c>
      <c r="C11549" t="s">
        <v>32868</v>
      </c>
      <c r="D11549" t="s">
        <v>30732</v>
      </c>
      <c r="E11549" t="s">
        <v>32869</v>
      </c>
      <c r="F11549" t="s">
        <v>32870</v>
      </c>
      <c r="J11549" t="s">
        <v>32869</v>
      </c>
      <c r="K11549" t="s">
        <v>21600</v>
      </c>
      <c r="L11549" t="s">
        <v>3616</v>
      </c>
    </row>
    <row r="11550" spans="1:12">
      <c r="A11550" t="s">
        <v>30729</v>
      </c>
      <c r="B11550" t="s">
        <v>30730</v>
      </c>
      <c r="C11550" t="s">
        <v>32871</v>
      </c>
      <c r="D11550" t="s">
        <v>30732</v>
      </c>
      <c r="E11550" t="s">
        <v>16886</v>
      </c>
      <c r="F11550" t="s">
        <v>32872</v>
      </c>
      <c r="J11550" t="s">
        <v>16886</v>
      </c>
      <c r="K11550" t="s">
        <v>21600</v>
      </c>
      <c r="L11550" t="s">
        <v>3616</v>
      </c>
    </row>
    <row r="11551" spans="1:12">
      <c r="A11551" t="s">
        <v>30729</v>
      </c>
      <c r="B11551" t="s">
        <v>30730</v>
      </c>
      <c r="C11551" t="s">
        <v>32873</v>
      </c>
      <c r="D11551" t="s">
        <v>30732</v>
      </c>
      <c r="E11551" t="s">
        <v>32874</v>
      </c>
      <c r="F11551" t="s">
        <v>32875</v>
      </c>
    </row>
    <row r="11552" spans="1:12">
      <c r="A11552" t="s">
        <v>30729</v>
      </c>
      <c r="B11552" t="s">
        <v>30730</v>
      </c>
      <c r="C11552" t="s">
        <v>32876</v>
      </c>
      <c r="D11552" t="s">
        <v>30732</v>
      </c>
      <c r="E11552" t="s">
        <v>3762</v>
      </c>
      <c r="F11552" t="s">
        <v>32877</v>
      </c>
      <c r="J11552" t="s">
        <v>3762</v>
      </c>
      <c r="K11552" t="s">
        <v>21600</v>
      </c>
      <c r="L11552" t="s">
        <v>3616</v>
      </c>
    </row>
    <row r="11553" spans="1:12">
      <c r="A11553" t="s">
        <v>30729</v>
      </c>
      <c r="B11553" t="s">
        <v>30730</v>
      </c>
      <c r="C11553" t="s">
        <v>32878</v>
      </c>
      <c r="D11553" t="s">
        <v>30732</v>
      </c>
      <c r="E11553" t="s">
        <v>32879</v>
      </c>
      <c r="F11553" t="s">
        <v>32880</v>
      </c>
      <c r="J11553" t="s">
        <v>32879</v>
      </c>
      <c r="K11553" t="s">
        <v>21600</v>
      </c>
      <c r="L11553" t="s">
        <v>3616</v>
      </c>
    </row>
    <row r="11554" spans="1:12">
      <c r="A11554" t="s">
        <v>30729</v>
      </c>
      <c r="B11554" t="s">
        <v>30730</v>
      </c>
      <c r="C11554" t="s">
        <v>32881</v>
      </c>
      <c r="D11554" t="s">
        <v>30732</v>
      </c>
      <c r="E11554" t="s">
        <v>32882</v>
      </c>
      <c r="F11554" t="s">
        <v>32883</v>
      </c>
      <c r="J11554" t="s">
        <v>32882</v>
      </c>
      <c r="K11554" t="s">
        <v>21600</v>
      </c>
      <c r="L11554" t="s">
        <v>3616</v>
      </c>
    </row>
    <row r="11555" spans="1:12">
      <c r="A11555" t="s">
        <v>30729</v>
      </c>
      <c r="B11555" t="s">
        <v>30730</v>
      </c>
      <c r="C11555" t="s">
        <v>32884</v>
      </c>
      <c r="D11555" t="s">
        <v>30732</v>
      </c>
      <c r="E11555" t="s">
        <v>12579</v>
      </c>
      <c r="F11555" t="s">
        <v>32885</v>
      </c>
    </row>
    <row r="11556" spans="1:12">
      <c r="A11556" t="s">
        <v>30729</v>
      </c>
      <c r="B11556" t="s">
        <v>30730</v>
      </c>
      <c r="C11556" t="s">
        <v>32886</v>
      </c>
      <c r="D11556" t="s">
        <v>30732</v>
      </c>
      <c r="E11556" t="s">
        <v>32887</v>
      </c>
      <c r="F11556" t="s">
        <v>32888</v>
      </c>
      <c r="J11556" t="s">
        <v>32887</v>
      </c>
      <c r="K11556" t="s">
        <v>21600</v>
      </c>
      <c r="L11556" t="s">
        <v>3616</v>
      </c>
    </row>
    <row r="11557" spans="1:12">
      <c r="A11557" t="s">
        <v>30729</v>
      </c>
      <c r="B11557" t="s">
        <v>30730</v>
      </c>
      <c r="C11557" t="s">
        <v>32889</v>
      </c>
      <c r="D11557" t="s">
        <v>30732</v>
      </c>
      <c r="E11557" t="s">
        <v>32890</v>
      </c>
      <c r="F11557" t="s">
        <v>32891</v>
      </c>
      <c r="J11557" t="s">
        <v>32890</v>
      </c>
      <c r="K11557" t="s">
        <v>21600</v>
      </c>
      <c r="L11557" t="s">
        <v>3616</v>
      </c>
    </row>
    <row r="11558" spans="1:12">
      <c r="A11558" t="s">
        <v>30729</v>
      </c>
      <c r="B11558" t="s">
        <v>30730</v>
      </c>
      <c r="C11558" t="s">
        <v>32892</v>
      </c>
      <c r="D11558" t="s">
        <v>30732</v>
      </c>
      <c r="E11558" t="s">
        <v>32893</v>
      </c>
      <c r="F11558" t="s">
        <v>32894</v>
      </c>
      <c r="J11558" t="s">
        <v>32893</v>
      </c>
      <c r="K11558" t="s">
        <v>21600</v>
      </c>
      <c r="L11558" t="s">
        <v>3616</v>
      </c>
    </row>
    <row r="11559" spans="1:12">
      <c r="A11559" t="s">
        <v>30729</v>
      </c>
      <c r="B11559" t="s">
        <v>30730</v>
      </c>
      <c r="C11559" t="s">
        <v>32895</v>
      </c>
      <c r="D11559" t="s">
        <v>30732</v>
      </c>
      <c r="E11559" t="s">
        <v>12582</v>
      </c>
      <c r="F11559" t="s">
        <v>32896</v>
      </c>
      <c r="J11559" t="s">
        <v>12582</v>
      </c>
      <c r="K11559" t="s">
        <v>21600</v>
      </c>
      <c r="L11559" t="s">
        <v>3616</v>
      </c>
    </row>
    <row r="11560" spans="1:12">
      <c r="A11560" t="s">
        <v>30729</v>
      </c>
      <c r="B11560" t="s">
        <v>30730</v>
      </c>
      <c r="C11560" t="s">
        <v>32897</v>
      </c>
      <c r="D11560" t="s">
        <v>30732</v>
      </c>
      <c r="E11560" t="s">
        <v>32898</v>
      </c>
      <c r="F11560" t="s">
        <v>32899</v>
      </c>
      <c r="J11560" t="s">
        <v>32898</v>
      </c>
      <c r="K11560" t="s">
        <v>21600</v>
      </c>
      <c r="L11560" t="s">
        <v>3616</v>
      </c>
    </row>
    <row r="11561" spans="1:12">
      <c r="A11561" t="s">
        <v>30729</v>
      </c>
      <c r="B11561" t="s">
        <v>30730</v>
      </c>
      <c r="C11561" t="s">
        <v>32900</v>
      </c>
      <c r="D11561" t="s">
        <v>30732</v>
      </c>
      <c r="E11561" t="s">
        <v>16894</v>
      </c>
      <c r="F11561" t="s">
        <v>32901</v>
      </c>
      <c r="J11561" t="s">
        <v>16894</v>
      </c>
      <c r="K11561" t="s">
        <v>21600</v>
      </c>
      <c r="L11561" t="s">
        <v>3616</v>
      </c>
    </row>
    <row r="11562" spans="1:12">
      <c r="A11562" t="s">
        <v>30729</v>
      </c>
      <c r="B11562" t="s">
        <v>30730</v>
      </c>
      <c r="C11562" t="s">
        <v>32902</v>
      </c>
      <c r="D11562" t="s">
        <v>30732</v>
      </c>
      <c r="E11562" t="s">
        <v>32903</v>
      </c>
      <c r="F11562" t="s">
        <v>32904</v>
      </c>
      <c r="J11562" t="s">
        <v>32903</v>
      </c>
      <c r="K11562" t="s">
        <v>21600</v>
      </c>
      <c r="L11562" t="s">
        <v>3616</v>
      </c>
    </row>
    <row r="11563" spans="1:12">
      <c r="A11563" t="s">
        <v>30729</v>
      </c>
      <c r="B11563" t="s">
        <v>30730</v>
      </c>
      <c r="C11563" t="s">
        <v>32905</v>
      </c>
      <c r="D11563" t="s">
        <v>30732</v>
      </c>
      <c r="E11563" t="s">
        <v>32906</v>
      </c>
      <c r="F11563" t="s">
        <v>32907</v>
      </c>
      <c r="J11563" t="s">
        <v>32906</v>
      </c>
      <c r="K11563" t="s">
        <v>21600</v>
      </c>
      <c r="L11563" t="s">
        <v>3616</v>
      </c>
    </row>
    <row r="11564" spans="1:12">
      <c r="A11564" t="s">
        <v>30729</v>
      </c>
      <c r="B11564" t="s">
        <v>30730</v>
      </c>
      <c r="C11564" t="s">
        <v>32908</v>
      </c>
      <c r="D11564" t="s">
        <v>30732</v>
      </c>
      <c r="E11564" t="s">
        <v>32909</v>
      </c>
      <c r="F11564" t="s">
        <v>32910</v>
      </c>
      <c r="J11564" t="s">
        <v>32909</v>
      </c>
      <c r="K11564" t="s">
        <v>21600</v>
      </c>
      <c r="L11564" t="s">
        <v>3616</v>
      </c>
    </row>
    <row r="11565" spans="1:12">
      <c r="A11565" t="s">
        <v>30729</v>
      </c>
      <c r="B11565" t="s">
        <v>30730</v>
      </c>
      <c r="C11565" t="s">
        <v>32911</v>
      </c>
      <c r="D11565" t="s">
        <v>30732</v>
      </c>
      <c r="E11565" t="s">
        <v>32912</v>
      </c>
      <c r="F11565" t="s">
        <v>32913</v>
      </c>
      <c r="J11565" t="s">
        <v>32912</v>
      </c>
      <c r="K11565" t="s">
        <v>21600</v>
      </c>
      <c r="L11565" t="s">
        <v>3616</v>
      </c>
    </row>
    <row r="11566" spans="1:12">
      <c r="A11566" t="s">
        <v>30729</v>
      </c>
      <c r="B11566" t="s">
        <v>30730</v>
      </c>
      <c r="C11566" t="s">
        <v>32914</v>
      </c>
      <c r="D11566" t="s">
        <v>30732</v>
      </c>
      <c r="E11566" t="s">
        <v>5015</v>
      </c>
      <c r="F11566" t="s">
        <v>32915</v>
      </c>
      <c r="J11566" t="s">
        <v>5015</v>
      </c>
      <c r="K11566" t="s">
        <v>21600</v>
      </c>
      <c r="L11566" t="s">
        <v>3616</v>
      </c>
    </row>
    <row r="11567" spans="1:12">
      <c r="A11567" t="s">
        <v>30729</v>
      </c>
      <c r="B11567" t="s">
        <v>30730</v>
      </c>
      <c r="C11567" t="s">
        <v>32916</v>
      </c>
      <c r="D11567" t="s">
        <v>30732</v>
      </c>
      <c r="E11567" t="s">
        <v>9017</v>
      </c>
      <c r="F11567" t="s">
        <v>32917</v>
      </c>
      <c r="J11567" t="s">
        <v>9017</v>
      </c>
      <c r="K11567" t="s">
        <v>21600</v>
      </c>
      <c r="L11567" t="s">
        <v>3616</v>
      </c>
    </row>
    <row r="11568" spans="1:12">
      <c r="A11568" t="s">
        <v>30729</v>
      </c>
      <c r="B11568" t="s">
        <v>30730</v>
      </c>
      <c r="C11568" t="s">
        <v>32918</v>
      </c>
      <c r="D11568" t="s">
        <v>30732</v>
      </c>
      <c r="E11568" t="s">
        <v>16912</v>
      </c>
      <c r="F11568" t="s">
        <v>32919</v>
      </c>
      <c r="J11568" t="s">
        <v>16912</v>
      </c>
      <c r="K11568" t="s">
        <v>21600</v>
      </c>
      <c r="L11568" t="s">
        <v>3616</v>
      </c>
    </row>
    <row r="11569" spans="1:12">
      <c r="A11569" t="s">
        <v>30729</v>
      </c>
      <c r="B11569" t="s">
        <v>30730</v>
      </c>
      <c r="C11569" t="s">
        <v>32920</v>
      </c>
      <c r="D11569" t="s">
        <v>30732</v>
      </c>
      <c r="E11569" t="s">
        <v>32921</v>
      </c>
      <c r="F11569" t="s">
        <v>32922</v>
      </c>
      <c r="J11569" t="s">
        <v>32921</v>
      </c>
      <c r="K11569" t="s">
        <v>21600</v>
      </c>
      <c r="L11569" t="s">
        <v>3616</v>
      </c>
    </row>
    <row r="11570" spans="1:12">
      <c r="A11570" t="s">
        <v>30729</v>
      </c>
      <c r="B11570" t="s">
        <v>30730</v>
      </c>
      <c r="C11570" t="s">
        <v>32923</v>
      </c>
      <c r="D11570" t="s">
        <v>30732</v>
      </c>
      <c r="E11570" t="s">
        <v>32924</v>
      </c>
      <c r="F11570" t="s">
        <v>32925</v>
      </c>
      <c r="J11570" t="s">
        <v>32924</v>
      </c>
      <c r="K11570" t="s">
        <v>21600</v>
      </c>
      <c r="L11570" t="s">
        <v>3616</v>
      </c>
    </row>
    <row r="11571" spans="1:12">
      <c r="A11571" t="s">
        <v>30729</v>
      </c>
      <c r="B11571" t="s">
        <v>30730</v>
      </c>
      <c r="C11571" t="s">
        <v>32926</v>
      </c>
      <c r="D11571" t="s">
        <v>30732</v>
      </c>
      <c r="E11571" t="s">
        <v>7741</v>
      </c>
      <c r="F11571" t="s">
        <v>32927</v>
      </c>
    </row>
    <row r="11572" spans="1:12">
      <c r="A11572" t="s">
        <v>30729</v>
      </c>
      <c r="B11572" t="s">
        <v>30730</v>
      </c>
      <c r="C11572" t="s">
        <v>32928</v>
      </c>
      <c r="D11572" t="s">
        <v>30732</v>
      </c>
      <c r="E11572" t="s">
        <v>32929</v>
      </c>
      <c r="F11572" t="s">
        <v>32930</v>
      </c>
      <c r="J11572" t="s">
        <v>32929</v>
      </c>
      <c r="K11572" t="s">
        <v>21600</v>
      </c>
      <c r="L11572" t="s">
        <v>3616</v>
      </c>
    </row>
    <row r="11573" spans="1:12">
      <c r="A11573" t="s">
        <v>30729</v>
      </c>
      <c r="B11573" t="s">
        <v>30730</v>
      </c>
      <c r="C11573" t="s">
        <v>32931</v>
      </c>
      <c r="D11573" t="s">
        <v>30732</v>
      </c>
      <c r="E11573" t="s">
        <v>32932</v>
      </c>
      <c r="F11573" t="s">
        <v>32933</v>
      </c>
      <c r="J11573" t="s">
        <v>32932</v>
      </c>
      <c r="K11573" t="s">
        <v>21600</v>
      </c>
      <c r="L11573" t="s">
        <v>3616</v>
      </c>
    </row>
    <row r="11574" spans="1:12">
      <c r="A11574" t="s">
        <v>30729</v>
      </c>
      <c r="B11574" t="s">
        <v>30730</v>
      </c>
      <c r="C11574" t="s">
        <v>32934</v>
      </c>
      <c r="D11574" t="s">
        <v>30732</v>
      </c>
      <c r="E11574" t="s">
        <v>9027</v>
      </c>
      <c r="F11574" t="s">
        <v>32935</v>
      </c>
      <c r="J11574" t="s">
        <v>9027</v>
      </c>
      <c r="K11574" t="s">
        <v>21600</v>
      </c>
      <c r="L11574" t="s">
        <v>3616</v>
      </c>
    </row>
    <row r="11575" spans="1:12">
      <c r="A11575" t="s">
        <v>30729</v>
      </c>
      <c r="B11575" t="s">
        <v>30730</v>
      </c>
      <c r="C11575" t="s">
        <v>32936</v>
      </c>
      <c r="D11575" t="s">
        <v>30732</v>
      </c>
      <c r="E11575" t="s">
        <v>32937</v>
      </c>
      <c r="F11575" t="s">
        <v>32938</v>
      </c>
      <c r="J11575" t="s">
        <v>32937</v>
      </c>
      <c r="K11575" t="s">
        <v>21600</v>
      </c>
      <c r="L11575" t="s">
        <v>3616</v>
      </c>
    </row>
    <row r="11576" spans="1:12">
      <c r="A11576" t="s">
        <v>30729</v>
      </c>
      <c r="B11576" t="s">
        <v>30730</v>
      </c>
      <c r="C11576" t="s">
        <v>32939</v>
      </c>
      <c r="D11576" t="s">
        <v>30732</v>
      </c>
      <c r="E11576" t="s">
        <v>32940</v>
      </c>
      <c r="F11576" t="s">
        <v>32941</v>
      </c>
      <c r="J11576" t="s">
        <v>32940</v>
      </c>
      <c r="K11576" t="s">
        <v>21600</v>
      </c>
      <c r="L11576" t="s">
        <v>3616</v>
      </c>
    </row>
    <row r="11577" spans="1:12">
      <c r="A11577" t="s">
        <v>30729</v>
      </c>
      <c r="B11577" t="s">
        <v>30730</v>
      </c>
      <c r="C11577" t="s">
        <v>32942</v>
      </c>
      <c r="D11577" t="s">
        <v>30732</v>
      </c>
      <c r="E11577" t="s">
        <v>32943</v>
      </c>
      <c r="F11577" t="s">
        <v>32944</v>
      </c>
      <c r="J11577" t="s">
        <v>32943</v>
      </c>
      <c r="K11577" t="s">
        <v>21600</v>
      </c>
      <c r="L11577" t="s">
        <v>3616</v>
      </c>
    </row>
    <row r="11578" spans="1:12">
      <c r="A11578" t="s">
        <v>30729</v>
      </c>
      <c r="B11578" t="s">
        <v>30730</v>
      </c>
      <c r="C11578" t="s">
        <v>32945</v>
      </c>
      <c r="D11578" t="s">
        <v>30732</v>
      </c>
      <c r="E11578" t="s">
        <v>15793</v>
      </c>
      <c r="F11578" t="s">
        <v>32946</v>
      </c>
    </row>
    <row r="11579" spans="1:12">
      <c r="A11579" t="s">
        <v>30729</v>
      </c>
      <c r="B11579" t="s">
        <v>30730</v>
      </c>
      <c r="C11579" t="s">
        <v>32947</v>
      </c>
      <c r="D11579" t="s">
        <v>30732</v>
      </c>
      <c r="E11579" t="s">
        <v>11907</v>
      </c>
      <c r="F11579" t="s">
        <v>32948</v>
      </c>
    </row>
    <row r="11580" spans="1:12">
      <c r="A11580" t="s">
        <v>30729</v>
      </c>
      <c r="B11580" t="s">
        <v>30730</v>
      </c>
      <c r="C11580" t="s">
        <v>32949</v>
      </c>
      <c r="D11580" t="s">
        <v>30732</v>
      </c>
      <c r="E11580" t="s">
        <v>1042</v>
      </c>
      <c r="F11580" t="s">
        <v>32950</v>
      </c>
    </row>
    <row r="11581" spans="1:12">
      <c r="A11581" t="s">
        <v>30729</v>
      </c>
      <c r="B11581" t="s">
        <v>30730</v>
      </c>
      <c r="C11581" t="s">
        <v>32951</v>
      </c>
      <c r="D11581" t="s">
        <v>30732</v>
      </c>
      <c r="E11581" t="s">
        <v>10942</v>
      </c>
      <c r="F11581" t="s">
        <v>32952</v>
      </c>
    </row>
    <row r="11582" spans="1:12">
      <c r="A11582" t="s">
        <v>30729</v>
      </c>
      <c r="B11582" t="s">
        <v>30730</v>
      </c>
      <c r="C11582" t="s">
        <v>32953</v>
      </c>
      <c r="D11582" t="s">
        <v>30732</v>
      </c>
      <c r="E11582" t="s">
        <v>1410</v>
      </c>
      <c r="F11582" t="s">
        <v>32954</v>
      </c>
    </row>
    <row r="11583" spans="1:12">
      <c r="A11583" t="s">
        <v>30729</v>
      </c>
      <c r="B11583" t="s">
        <v>30730</v>
      </c>
      <c r="C11583" t="s">
        <v>32955</v>
      </c>
      <c r="D11583" t="s">
        <v>30732</v>
      </c>
      <c r="E11583" t="s">
        <v>32956</v>
      </c>
      <c r="F11583" t="s">
        <v>32957</v>
      </c>
      <c r="J11583" t="s">
        <v>32956</v>
      </c>
      <c r="K11583" t="s">
        <v>21600</v>
      </c>
      <c r="L11583" t="s">
        <v>3616</v>
      </c>
    </row>
    <row r="11584" spans="1:12">
      <c r="A11584" t="s">
        <v>30729</v>
      </c>
      <c r="B11584" t="s">
        <v>30730</v>
      </c>
      <c r="C11584" t="s">
        <v>32958</v>
      </c>
      <c r="D11584" t="s">
        <v>30732</v>
      </c>
      <c r="E11584" t="s">
        <v>32959</v>
      </c>
      <c r="F11584" t="s">
        <v>32960</v>
      </c>
      <c r="J11584" t="s">
        <v>32959</v>
      </c>
      <c r="K11584" t="s">
        <v>21600</v>
      </c>
      <c r="L11584" t="s">
        <v>3616</v>
      </c>
    </row>
    <row r="11585" spans="1:12">
      <c r="A11585" t="s">
        <v>30729</v>
      </c>
      <c r="B11585" t="s">
        <v>30730</v>
      </c>
      <c r="C11585" t="s">
        <v>32961</v>
      </c>
      <c r="D11585" t="s">
        <v>30732</v>
      </c>
      <c r="E11585" t="s">
        <v>32962</v>
      </c>
      <c r="F11585" t="s">
        <v>32963</v>
      </c>
      <c r="J11585" t="s">
        <v>32962</v>
      </c>
      <c r="K11585" t="s">
        <v>21600</v>
      </c>
      <c r="L11585" t="s">
        <v>3616</v>
      </c>
    </row>
    <row r="11586" spans="1:12">
      <c r="A11586" t="s">
        <v>30729</v>
      </c>
      <c r="B11586" t="s">
        <v>30730</v>
      </c>
      <c r="C11586" t="s">
        <v>32964</v>
      </c>
      <c r="D11586" t="s">
        <v>30732</v>
      </c>
      <c r="E11586" t="s">
        <v>32965</v>
      </c>
      <c r="F11586" t="s">
        <v>32966</v>
      </c>
      <c r="J11586" t="s">
        <v>32965</v>
      </c>
      <c r="K11586" t="s">
        <v>21600</v>
      </c>
      <c r="L11586" t="s">
        <v>3616</v>
      </c>
    </row>
    <row r="11587" spans="1:12">
      <c r="A11587" t="s">
        <v>30729</v>
      </c>
      <c r="B11587" t="s">
        <v>30730</v>
      </c>
      <c r="C11587" t="s">
        <v>32967</v>
      </c>
      <c r="D11587" t="s">
        <v>30732</v>
      </c>
      <c r="E11587" t="s">
        <v>32968</v>
      </c>
      <c r="F11587" t="s">
        <v>32969</v>
      </c>
      <c r="J11587" t="s">
        <v>32968</v>
      </c>
      <c r="K11587" t="s">
        <v>21600</v>
      </c>
      <c r="L11587" t="s">
        <v>3616</v>
      </c>
    </row>
    <row r="11588" spans="1:12">
      <c r="A11588" t="s">
        <v>30729</v>
      </c>
      <c r="B11588" t="s">
        <v>30730</v>
      </c>
      <c r="C11588" t="s">
        <v>32970</v>
      </c>
      <c r="D11588" t="s">
        <v>30732</v>
      </c>
      <c r="E11588" t="s">
        <v>32971</v>
      </c>
      <c r="F11588" t="s">
        <v>32972</v>
      </c>
      <c r="J11588" t="s">
        <v>32971</v>
      </c>
      <c r="K11588" t="s">
        <v>21600</v>
      </c>
      <c r="L11588" t="s">
        <v>3616</v>
      </c>
    </row>
    <row r="11589" spans="1:12">
      <c r="A11589" t="s">
        <v>30729</v>
      </c>
      <c r="B11589" t="s">
        <v>30730</v>
      </c>
      <c r="C11589" t="s">
        <v>32973</v>
      </c>
      <c r="D11589" t="s">
        <v>30732</v>
      </c>
      <c r="E11589" t="s">
        <v>32974</v>
      </c>
      <c r="F11589" t="s">
        <v>31538</v>
      </c>
      <c r="J11589" t="s">
        <v>32974</v>
      </c>
      <c r="K11589" t="s">
        <v>21600</v>
      </c>
      <c r="L11589" t="s">
        <v>3616</v>
      </c>
    </row>
    <row r="11590" spans="1:12">
      <c r="A11590" t="s">
        <v>30729</v>
      </c>
      <c r="B11590" t="s">
        <v>30730</v>
      </c>
      <c r="C11590" t="s">
        <v>32975</v>
      </c>
      <c r="D11590" t="s">
        <v>30732</v>
      </c>
      <c r="E11590" t="s">
        <v>12603</v>
      </c>
      <c r="F11590" t="s">
        <v>32976</v>
      </c>
      <c r="J11590" t="s">
        <v>12603</v>
      </c>
      <c r="K11590" t="s">
        <v>21600</v>
      </c>
      <c r="L11590" t="s">
        <v>3616</v>
      </c>
    </row>
    <row r="11591" spans="1:12">
      <c r="A11591" t="s">
        <v>30729</v>
      </c>
      <c r="B11591" t="s">
        <v>30730</v>
      </c>
      <c r="C11591" t="s">
        <v>32977</v>
      </c>
      <c r="D11591" t="s">
        <v>30732</v>
      </c>
      <c r="E11591" t="s">
        <v>32978</v>
      </c>
      <c r="F11591" t="s">
        <v>32979</v>
      </c>
      <c r="J11591" t="s">
        <v>32978</v>
      </c>
      <c r="K11591" t="s">
        <v>21600</v>
      </c>
      <c r="L11591" t="s">
        <v>3616</v>
      </c>
    </row>
    <row r="11592" spans="1:12">
      <c r="A11592" t="s">
        <v>30729</v>
      </c>
      <c r="B11592" t="s">
        <v>30730</v>
      </c>
      <c r="C11592" t="s">
        <v>32980</v>
      </c>
      <c r="D11592" t="s">
        <v>30732</v>
      </c>
      <c r="E11592" t="s">
        <v>32981</v>
      </c>
      <c r="F11592" t="s">
        <v>32982</v>
      </c>
      <c r="J11592" t="s">
        <v>32981</v>
      </c>
      <c r="K11592" t="s">
        <v>21600</v>
      </c>
      <c r="L11592" t="s">
        <v>3616</v>
      </c>
    </row>
    <row r="11593" spans="1:12">
      <c r="A11593" t="s">
        <v>30729</v>
      </c>
      <c r="B11593" t="s">
        <v>30730</v>
      </c>
      <c r="C11593" t="s">
        <v>32983</v>
      </c>
      <c r="D11593" t="s">
        <v>30732</v>
      </c>
      <c r="E11593" t="s">
        <v>1413</v>
      </c>
      <c r="F11593" t="s">
        <v>32984</v>
      </c>
      <c r="J11593" t="s">
        <v>1413</v>
      </c>
      <c r="K11593" t="s">
        <v>21600</v>
      </c>
      <c r="L11593" t="s">
        <v>3616</v>
      </c>
    </row>
    <row r="11594" spans="1:12">
      <c r="A11594" t="s">
        <v>30729</v>
      </c>
      <c r="B11594" t="s">
        <v>30730</v>
      </c>
      <c r="C11594" t="s">
        <v>32985</v>
      </c>
      <c r="D11594" t="s">
        <v>30732</v>
      </c>
      <c r="E11594" t="s">
        <v>32986</v>
      </c>
      <c r="F11594" t="s">
        <v>32987</v>
      </c>
      <c r="J11594" t="s">
        <v>32986</v>
      </c>
      <c r="K11594" t="s">
        <v>21600</v>
      </c>
      <c r="L11594" t="s">
        <v>3616</v>
      </c>
    </row>
    <row r="11595" spans="1:12">
      <c r="A11595" t="s">
        <v>30729</v>
      </c>
      <c r="B11595" t="s">
        <v>30730</v>
      </c>
      <c r="C11595" t="s">
        <v>32988</v>
      </c>
      <c r="D11595" t="s">
        <v>30732</v>
      </c>
      <c r="E11595" t="s">
        <v>29078</v>
      </c>
      <c r="F11595" t="s">
        <v>32989</v>
      </c>
      <c r="J11595" t="s">
        <v>29078</v>
      </c>
      <c r="K11595" t="s">
        <v>21600</v>
      </c>
      <c r="L11595" t="s">
        <v>3616</v>
      </c>
    </row>
    <row r="11596" spans="1:12">
      <c r="A11596" t="s">
        <v>30729</v>
      </c>
      <c r="B11596" t="s">
        <v>30730</v>
      </c>
      <c r="C11596" t="s">
        <v>32990</v>
      </c>
      <c r="D11596" t="s">
        <v>30732</v>
      </c>
      <c r="E11596" t="s">
        <v>28032</v>
      </c>
      <c r="F11596" t="s">
        <v>32991</v>
      </c>
      <c r="J11596" t="s">
        <v>28032</v>
      </c>
      <c r="K11596" t="s">
        <v>21600</v>
      </c>
      <c r="L11596" t="s">
        <v>3616</v>
      </c>
    </row>
    <row r="11597" spans="1:12">
      <c r="A11597" t="s">
        <v>30729</v>
      </c>
      <c r="B11597" t="s">
        <v>30730</v>
      </c>
      <c r="C11597" t="s">
        <v>32992</v>
      </c>
      <c r="D11597" t="s">
        <v>30732</v>
      </c>
      <c r="E11597" t="s">
        <v>32993</v>
      </c>
      <c r="F11597" t="s">
        <v>32994</v>
      </c>
      <c r="J11597" t="s">
        <v>32993</v>
      </c>
      <c r="K11597" t="s">
        <v>21600</v>
      </c>
      <c r="L11597" t="s">
        <v>3616</v>
      </c>
    </row>
    <row r="11598" spans="1:12">
      <c r="A11598" t="s">
        <v>30729</v>
      </c>
      <c r="B11598" t="s">
        <v>30730</v>
      </c>
      <c r="C11598" t="s">
        <v>32995</v>
      </c>
      <c r="D11598" t="s">
        <v>30732</v>
      </c>
      <c r="E11598" t="s">
        <v>32996</v>
      </c>
      <c r="F11598" t="s">
        <v>32997</v>
      </c>
      <c r="J11598" t="s">
        <v>32996</v>
      </c>
      <c r="K11598" t="s">
        <v>21600</v>
      </c>
      <c r="L11598" t="s">
        <v>3616</v>
      </c>
    </row>
    <row r="11599" spans="1:12">
      <c r="A11599" t="s">
        <v>30729</v>
      </c>
      <c r="B11599" t="s">
        <v>30730</v>
      </c>
      <c r="C11599" t="s">
        <v>32998</v>
      </c>
      <c r="D11599" t="s">
        <v>30732</v>
      </c>
      <c r="E11599" t="s">
        <v>2094</v>
      </c>
      <c r="F11599" t="s">
        <v>32999</v>
      </c>
    </row>
    <row r="11600" spans="1:12">
      <c r="A11600" t="s">
        <v>30729</v>
      </c>
      <c r="B11600" t="s">
        <v>30730</v>
      </c>
      <c r="C11600" t="s">
        <v>33000</v>
      </c>
      <c r="D11600" t="s">
        <v>30732</v>
      </c>
      <c r="E11600" t="s">
        <v>33001</v>
      </c>
      <c r="F11600" t="s">
        <v>33002</v>
      </c>
      <c r="J11600" t="s">
        <v>33001</v>
      </c>
      <c r="K11600" t="s">
        <v>21600</v>
      </c>
      <c r="L11600" t="s">
        <v>3616</v>
      </c>
    </row>
    <row r="11601" spans="1:12">
      <c r="A11601" t="s">
        <v>30729</v>
      </c>
      <c r="B11601" t="s">
        <v>30730</v>
      </c>
      <c r="C11601" t="s">
        <v>33003</v>
      </c>
      <c r="D11601" t="s">
        <v>30732</v>
      </c>
      <c r="E11601" t="s">
        <v>33004</v>
      </c>
      <c r="F11601" t="s">
        <v>33005</v>
      </c>
      <c r="J11601" t="s">
        <v>33004</v>
      </c>
      <c r="K11601" t="s">
        <v>21600</v>
      </c>
      <c r="L11601" t="s">
        <v>3616</v>
      </c>
    </row>
    <row r="11602" spans="1:12">
      <c r="A11602" t="s">
        <v>30729</v>
      </c>
      <c r="B11602" t="s">
        <v>30730</v>
      </c>
      <c r="C11602" t="s">
        <v>33006</v>
      </c>
      <c r="D11602" t="s">
        <v>30732</v>
      </c>
      <c r="E11602" t="s">
        <v>33007</v>
      </c>
      <c r="F11602" t="s">
        <v>33008</v>
      </c>
      <c r="J11602" t="s">
        <v>33007</v>
      </c>
      <c r="K11602" t="s">
        <v>21600</v>
      </c>
      <c r="L11602" t="s">
        <v>3616</v>
      </c>
    </row>
    <row r="11603" spans="1:12">
      <c r="A11603" t="s">
        <v>30729</v>
      </c>
      <c r="B11603" t="s">
        <v>30730</v>
      </c>
      <c r="C11603" t="s">
        <v>33009</v>
      </c>
      <c r="D11603" t="s">
        <v>30732</v>
      </c>
      <c r="E11603" t="s">
        <v>33010</v>
      </c>
      <c r="F11603" t="s">
        <v>33011</v>
      </c>
      <c r="J11603" t="s">
        <v>33010</v>
      </c>
      <c r="K11603" t="s">
        <v>21600</v>
      </c>
      <c r="L11603" t="s">
        <v>3616</v>
      </c>
    </row>
    <row r="11604" spans="1:12">
      <c r="A11604" t="s">
        <v>30729</v>
      </c>
      <c r="B11604" t="s">
        <v>30730</v>
      </c>
      <c r="C11604" t="s">
        <v>33012</v>
      </c>
      <c r="D11604" t="s">
        <v>30732</v>
      </c>
      <c r="E11604" t="s">
        <v>33013</v>
      </c>
      <c r="F11604" t="s">
        <v>33014</v>
      </c>
      <c r="J11604" t="s">
        <v>33013</v>
      </c>
      <c r="K11604" t="s">
        <v>21600</v>
      </c>
      <c r="L11604" t="s">
        <v>3616</v>
      </c>
    </row>
    <row r="11605" spans="1:12">
      <c r="A11605" t="s">
        <v>30729</v>
      </c>
      <c r="B11605" t="s">
        <v>30730</v>
      </c>
      <c r="C11605" t="s">
        <v>33015</v>
      </c>
      <c r="D11605" t="s">
        <v>30732</v>
      </c>
      <c r="E11605" t="s">
        <v>33016</v>
      </c>
      <c r="F11605" t="s">
        <v>33017</v>
      </c>
      <c r="J11605" t="s">
        <v>33016</v>
      </c>
      <c r="K11605" t="s">
        <v>21600</v>
      </c>
      <c r="L11605" t="s">
        <v>3616</v>
      </c>
    </row>
    <row r="11606" spans="1:12">
      <c r="A11606" t="s">
        <v>30729</v>
      </c>
      <c r="B11606" t="s">
        <v>30730</v>
      </c>
      <c r="C11606" t="s">
        <v>33018</v>
      </c>
      <c r="D11606" t="s">
        <v>30732</v>
      </c>
      <c r="E11606" t="s">
        <v>33019</v>
      </c>
      <c r="F11606" t="s">
        <v>33020</v>
      </c>
      <c r="J11606" t="s">
        <v>33019</v>
      </c>
      <c r="K11606" t="s">
        <v>21600</v>
      </c>
      <c r="L11606" t="s">
        <v>3616</v>
      </c>
    </row>
    <row r="11607" spans="1:12">
      <c r="A11607" t="s">
        <v>30729</v>
      </c>
      <c r="B11607" t="s">
        <v>30730</v>
      </c>
      <c r="C11607" t="s">
        <v>33021</v>
      </c>
      <c r="D11607" t="s">
        <v>30732</v>
      </c>
      <c r="E11607" t="s">
        <v>33022</v>
      </c>
      <c r="F11607" t="s">
        <v>33023</v>
      </c>
    </row>
    <row r="11608" spans="1:12">
      <c r="A11608" t="s">
        <v>30729</v>
      </c>
      <c r="B11608" t="s">
        <v>30730</v>
      </c>
      <c r="C11608" t="s">
        <v>33024</v>
      </c>
      <c r="D11608" t="s">
        <v>30732</v>
      </c>
      <c r="E11608" t="s">
        <v>33025</v>
      </c>
      <c r="F11608" t="s">
        <v>33026</v>
      </c>
      <c r="J11608" t="s">
        <v>33025</v>
      </c>
      <c r="K11608" t="s">
        <v>21600</v>
      </c>
      <c r="L11608" t="s">
        <v>3616</v>
      </c>
    </row>
    <row r="11609" spans="1:12">
      <c r="A11609" t="s">
        <v>30729</v>
      </c>
      <c r="B11609" t="s">
        <v>30730</v>
      </c>
      <c r="C11609" t="s">
        <v>33027</v>
      </c>
      <c r="D11609" t="s">
        <v>30732</v>
      </c>
      <c r="E11609" t="s">
        <v>745</v>
      </c>
      <c r="F11609" t="s">
        <v>33028</v>
      </c>
    </row>
    <row r="11610" spans="1:12">
      <c r="A11610" t="s">
        <v>30729</v>
      </c>
      <c r="B11610" t="s">
        <v>30730</v>
      </c>
      <c r="C11610" t="s">
        <v>33029</v>
      </c>
      <c r="D11610" t="s">
        <v>30732</v>
      </c>
      <c r="E11610" t="s">
        <v>16923</v>
      </c>
      <c r="F11610" t="s">
        <v>33030</v>
      </c>
      <c r="J11610" t="s">
        <v>16923</v>
      </c>
      <c r="K11610" t="s">
        <v>21600</v>
      </c>
      <c r="L11610" t="s">
        <v>3616</v>
      </c>
    </row>
    <row r="11611" spans="1:12">
      <c r="A11611" t="s">
        <v>30729</v>
      </c>
      <c r="B11611" t="s">
        <v>30730</v>
      </c>
      <c r="C11611" t="s">
        <v>33031</v>
      </c>
      <c r="D11611" t="s">
        <v>30732</v>
      </c>
      <c r="E11611" t="s">
        <v>16934</v>
      </c>
      <c r="F11611" t="s">
        <v>33032</v>
      </c>
      <c r="J11611" t="s">
        <v>16934</v>
      </c>
      <c r="K11611" t="s">
        <v>21600</v>
      </c>
      <c r="L11611" t="s">
        <v>3616</v>
      </c>
    </row>
    <row r="11612" spans="1:12">
      <c r="A11612" t="s">
        <v>30729</v>
      </c>
      <c r="B11612" t="s">
        <v>30730</v>
      </c>
      <c r="C11612" t="s">
        <v>33033</v>
      </c>
      <c r="D11612" t="s">
        <v>30732</v>
      </c>
      <c r="E11612" t="s">
        <v>15588</v>
      </c>
      <c r="F11612" t="s">
        <v>33034</v>
      </c>
      <c r="J11612" t="s">
        <v>15588</v>
      </c>
      <c r="K11612" t="s">
        <v>21600</v>
      </c>
      <c r="L11612" t="s">
        <v>3616</v>
      </c>
    </row>
    <row r="11613" spans="1:12">
      <c r="A11613" t="s">
        <v>30729</v>
      </c>
      <c r="B11613" t="s">
        <v>30730</v>
      </c>
      <c r="C11613" t="s">
        <v>33035</v>
      </c>
      <c r="D11613" t="s">
        <v>30732</v>
      </c>
      <c r="E11613" t="s">
        <v>16941</v>
      </c>
      <c r="F11613" t="s">
        <v>33036</v>
      </c>
    </row>
    <row r="11614" spans="1:12">
      <c r="A11614" t="s">
        <v>30729</v>
      </c>
      <c r="B11614" t="s">
        <v>30730</v>
      </c>
      <c r="C11614" t="s">
        <v>33037</v>
      </c>
      <c r="D11614" t="s">
        <v>30732</v>
      </c>
      <c r="E11614" t="s">
        <v>10541</v>
      </c>
      <c r="F11614" t="s">
        <v>33038</v>
      </c>
      <c r="J11614" t="s">
        <v>10541</v>
      </c>
      <c r="K11614" t="s">
        <v>21600</v>
      </c>
      <c r="L11614" t="s">
        <v>3616</v>
      </c>
    </row>
    <row r="11615" spans="1:12">
      <c r="A11615" t="s">
        <v>30729</v>
      </c>
      <c r="B11615" t="s">
        <v>30730</v>
      </c>
      <c r="C11615" t="s">
        <v>33039</v>
      </c>
      <c r="D11615" t="s">
        <v>30732</v>
      </c>
      <c r="E11615" t="s">
        <v>16954</v>
      </c>
      <c r="F11615" t="s">
        <v>33040</v>
      </c>
      <c r="J11615" t="s">
        <v>16954</v>
      </c>
      <c r="K11615" t="s">
        <v>21600</v>
      </c>
      <c r="L11615" t="s">
        <v>3616</v>
      </c>
    </row>
    <row r="11616" spans="1:12">
      <c r="A11616" t="s">
        <v>30729</v>
      </c>
      <c r="B11616" t="s">
        <v>30730</v>
      </c>
      <c r="C11616" t="s">
        <v>33041</v>
      </c>
      <c r="D11616" t="s">
        <v>30732</v>
      </c>
      <c r="E11616" t="s">
        <v>5029</v>
      </c>
      <c r="F11616" t="s">
        <v>33042</v>
      </c>
      <c r="J11616" t="s">
        <v>5029</v>
      </c>
      <c r="K11616" t="s">
        <v>21600</v>
      </c>
      <c r="L11616" t="s">
        <v>3616</v>
      </c>
    </row>
    <row r="11617" spans="1:12">
      <c r="A11617" t="s">
        <v>30729</v>
      </c>
      <c r="B11617" t="s">
        <v>30730</v>
      </c>
      <c r="C11617" t="s">
        <v>33043</v>
      </c>
      <c r="D11617" t="s">
        <v>30732</v>
      </c>
      <c r="E11617" t="s">
        <v>12615</v>
      </c>
      <c r="F11617" t="s">
        <v>33044</v>
      </c>
      <c r="J11617" t="s">
        <v>12615</v>
      </c>
      <c r="K11617" t="s">
        <v>21600</v>
      </c>
      <c r="L11617" t="s">
        <v>3616</v>
      </c>
    </row>
    <row r="11618" spans="1:12">
      <c r="A11618" t="s">
        <v>30729</v>
      </c>
      <c r="B11618" t="s">
        <v>30730</v>
      </c>
      <c r="C11618" t="s">
        <v>33045</v>
      </c>
      <c r="D11618" t="s">
        <v>30732</v>
      </c>
      <c r="E11618" t="s">
        <v>9077</v>
      </c>
      <c r="F11618" t="s">
        <v>33046</v>
      </c>
      <c r="J11618" t="s">
        <v>9077</v>
      </c>
      <c r="K11618" t="s">
        <v>21600</v>
      </c>
      <c r="L11618" t="s">
        <v>3616</v>
      </c>
    </row>
    <row r="11619" spans="1:12">
      <c r="A11619" t="s">
        <v>30729</v>
      </c>
      <c r="B11619" t="s">
        <v>30730</v>
      </c>
      <c r="C11619" t="s">
        <v>33047</v>
      </c>
      <c r="D11619" t="s">
        <v>30732</v>
      </c>
      <c r="E11619" t="s">
        <v>33048</v>
      </c>
      <c r="F11619" t="s">
        <v>33049</v>
      </c>
      <c r="J11619" t="s">
        <v>33048</v>
      </c>
      <c r="K11619" t="s">
        <v>21600</v>
      </c>
      <c r="L11619" t="s">
        <v>3616</v>
      </c>
    </row>
    <row r="11620" spans="1:12">
      <c r="A11620" t="s">
        <v>30729</v>
      </c>
      <c r="B11620" t="s">
        <v>30730</v>
      </c>
      <c r="C11620" t="s">
        <v>33050</v>
      </c>
      <c r="D11620" t="s">
        <v>30732</v>
      </c>
      <c r="E11620" t="s">
        <v>10340</v>
      </c>
      <c r="F11620" t="s">
        <v>33051</v>
      </c>
    </row>
    <row r="11621" spans="1:12">
      <c r="A11621" t="s">
        <v>30729</v>
      </c>
      <c r="B11621" t="s">
        <v>30730</v>
      </c>
      <c r="C11621" t="s">
        <v>33052</v>
      </c>
      <c r="D11621" t="s">
        <v>30732</v>
      </c>
      <c r="E11621" t="s">
        <v>33053</v>
      </c>
      <c r="F11621" t="s">
        <v>33054</v>
      </c>
    </row>
    <row r="11622" spans="1:12">
      <c r="A11622" t="s">
        <v>30729</v>
      </c>
      <c r="B11622" t="s">
        <v>30730</v>
      </c>
      <c r="C11622" t="s">
        <v>33055</v>
      </c>
      <c r="D11622" t="s">
        <v>30732</v>
      </c>
      <c r="E11622" t="s">
        <v>10343</v>
      </c>
      <c r="F11622" t="s">
        <v>33056</v>
      </c>
      <c r="J11622" t="s">
        <v>10343</v>
      </c>
      <c r="K11622" t="s">
        <v>21600</v>
      </c>
      <c r="L11622" t="s">
        <v>3616</v>
      </c>
    </row>
    <row r="11623" spans="1:12">
      <c r="A11623" t="s">
        <v>30729</v>
      </c>
      <c r="B11623" t="s">
        <v>30730</v>
      </c>
      <c r="C11623" t="s">
        <v>33057</v>
      </c>
      <c r="D11623" t="s">
        <v>30732</v>
      </c>
      <c r="E11623" t="s">
        <v>9080</v>
      </c>
      <c r="F11623" t="s">
        <v>33058</v>
      </c>
      <c r="J11623" t="s">
        <v>9080</v>
      </c>
      <c r="K11623" t="s">
        <v>21600</v>
      </c>
      <c r="L11623" t="s">
        <v>3616</v>
      </c>
    </row>
    <row r="11624" spans="1:12">
      <c r="A11624" t="s">
        <v>30729</v>
      </c>
      <c r="B11624" t="s">
        <v>30730</v>
      </c>
      <c r="C11624" t="s">
        <v>33059</v>
      </c>
      <c r="D11624" t="s">
        <v>30732</v>
      </c>
      <c r="E11624" t="s">
        <v>33060</v>
      </c>
      <c r="F11624" t="s">
        <v>33061</v>
      </c>
    </row>
    <row r="11625" spans="1:12">
      <c r="A11625" t="s">
        <v>30729</v>
      </c>
      <c r="B11625" t="s">
        <v>30730</v>
      </c>
      <c r="C11625" t="s">
        <v>33062</v>
      </c>
      <c r="D11625" t="s">
        <v>30732</v>
      </c>
      <c r="E11625" t="s">
        <v>33063</v>
      </c>
      <c r="F11625" t="s">
        <v>31234</v>
      </c>
      <c r="J11625" t="s">
        <v>33063</v>
      </c>
      <c r="K11625" t="s">
        <v>21600</v>
      </c>
      <c r="L11625" t="s">
        <v>3616</v>
      </c>
    </row>
    <row r="11626" spans="1:12">
      <c r="A11626" t="s">
        <v>30729</v>
      </c>
      <c r="B11626" t="s">
        <v>30730</v>
      </c>
      <c r="C11626" t="s">
        <v>33064</v>
      </c>
      <c r="D11626" t="s">
        <v>30732</v>
      </c>
      <c r="E11626" t="s">
        <v>33065</v>
      </c>
      <c r="F11626" t="s">
        <v>33066</v>
      </c>
      <c r="J11626" t="s">
        <v>33065</v>
      </c>
      <c r="K11626" t="s">
        <v>21600</v>
      </c>
      <c r="L11626" t="s">
        <v>3616</v>
      </c>
    </row>
    <row r="11627" spans="1:12">
      <c r="A11627" t="s">
        <v>30729</v>
      </c>
      <c r="B11627" t="s">
        <v>30730</v>
      </c>
      <c r="C11627" t="s">
        <v>33067</v>
      </c>
      <c r="D11627" t="s">
        <v>30732</v>
      </c>
      <c r="E11627" t="s">
        <v>33068</v>
      </c>
      <c r="F11627" t="s">
        <v>33069</v>
      </c>
      <c r="J11627" t="s">
        <v>33068</v>
      </c>
      <c r="K11627" t="s">
        <v>21600</v>
      </c>
      <c r="L11627" t="s">
        <v>3616</v>
      </c>
    </row>
    <row r="11628" spans="1:12">
      <c r="A11628" t="s">
        <v>30729</v>
      </c>
      <c r="B11628" t="s">
        <v>30730</v>
      </c>
      <c r="C11628" t="s">
        <v>33070</v>
      </c>
      <c r="D11628" t="s">
        <v>30732</v>
      </c>
      <c r="E11628" t="s">
        <v>9086</v>
      </c>
      <c r="F11628" t="s">
        <v>33071</v>
      </c>
      <c r="J11628" t="s">
        <v>9086</v>
      </c>
      <c r="K11628" t="s">
        <v>21600</v>
      </c>
      <c r="L11628" t="s">
        <v>3616</v>
      </c>
    </row>
    <row r="11629" spans="1:12">
      <c r="A11629" t="s">
        <v>30729</v>
      </c>
      <c r="B11629" t="s">
        <v>30730</v>
      </c>
      <c r="C11629" t="s">
        <v>33072</v>
      </c>
      <c r="D11629" t="s">
        <v>30732</v>
      </c>
      <c r="E11629" t="s">
        <v>12621</v>
      </c>
      <c r="F11629" t="s">
        <v>33073</v>
      </c>
      <c r="J11629" t="s">
        <v>12621</v>
      </c>
      <c r="K11629" t="s">
        <v>21600</v>
      </c>
      <c r="L11629" t="s">
        <v>3616</v>
      </c>
    </row>
    <row r="11630" spans="1:12">
      <c r="A11630" t="s">
        <v>30729</v>
      </c>
      <c r="B11630" t="s">
        <v>30730</v>
      </c>
      <c r="C11630" t="s">
        <v>33074</v>
      </c>
      <c r="D11630" t="s">
        <v>30732</v>
      </c>
      <c r="E11630" t="s">
        <v>33075</v>
      </c>
      <c r="F11630" t="s">
        <v>33076</v>
      </c>
    </row>
    <row r="11631" spans="1:12">
      <c r="A11631" t="s">
        <v>30729</v>
      </c>
      <c r="B11631" t="s">
        <v>30730</v>
      </c>
      <c r="C11631" t="s">
        <v>33077</v>
      </c>
      <c r="D11631" t="s">
        <v>30732</v>
      </c>
      <c r="E11631" t="s">
        <v>9098</v>
      </c>
      <c r="F11631" t="s">
        <v>33078</v>
      </c>
      <c r="J11631" t="s">
        <v>9098</v>
      </c>
      <c r="K11631" t="s">
        <v>21600</v>
      </c>
      <c r="L11631" t="s">
        <v>3616</v>
      </c>
    </row>
    <row r="11632" spans="1:12">
      <c r="A11632" t="s">
        <v>30729</v>
      </c>
      <c r="B11632" t="s">
        <v>30730</v>
      </c>
      <c r="C11632" t="s">
        <v>33079</v>
      </c>
      <c r="D11632" t="s">
        <v>30732</v>
      </c>
      <c r="E11632" t="s">
        <v>9101</v>
      </c>
      <c r="F11632" t="s">
        <v>33080</v>
      </c>
      <c r="J11632" t="s">
        <v>9101</v>
      </c>
      <c r="K11632" t="s">
        <v>21600</v>
      </c>
      <c r="L11632" t="s">
        <v>3616</v>
      </c>
    </row>
    <row r="11633" spans="1:12">
      <c r="A11633" t="s">
        <v>30729</v>
      </c>
      <c r="B11633" t="s">
        <v>30730</v>
      </c>
      <c r="C11633" t="s">
        <v>33081</v>
      </c>
      <c r="D11633" t="s">
        <v>30732</v>
      </c>
      <c r="E11633" t="s">
        <v>17002</v>
      </c>
      <c r="F11633" t="s">
        <v>33082</v>
      </c>
      <c r="J11633" t="s">
        <v>17002</v>
      </c>
      <c r="K11633" t="s">
        <v>21600</v>
      </c>
      <c r="L11633" t="s">
        <v>3616</v>
      </c>
    </row>
    <row r="11634" spans="1:12">
      <c r="A11634" t="s">
        <v>30729</v>
      </c>
      <c r="B11634" t="s">
        <v>30730</v>
      </c>
      <c r="C11634" t="s">
        <v>33083</v>
      </c>
      <c r="D11634" t="s">
        <v>30732</v>
      </c>
      <c r="E11634" t="s">
        <v>33084</v>
      </c>
      <c r="F11634" t="s">
        <v>33085</v>
      </c>
      <c r="J11634" t="s">
        <v>33084</v>
      </c>
      <c r="K11634" t="s">
        <v>21600</v>
      </c>
      <c r="L11634" t="s">
        <v>3616</v>
      </c>
    </row>
    <row r="11635" spans="1:12">
      <c r="A11635" t="s">
        <v>30729</v>
      </c>
      <c r="B11635" t="s">
        <v>30730</v>
      </c>
      <c r="C11635" t="s">
        <v>33086</v>
      </c>
      <c r="D11635" t="s">
        <v>30732</v>
      </c>
      <c r="E11635" t="s">
        <v>24957</v>
      </c>
      <c r="F11635" t="s">
        <v>31343</v>
      </c>
      <c r="J11635" t="s">
        <v>24957</v>
      </c>
      <c r="K11635" t="s">
        <v>21600</v>
      </c>
      <c r="L11635" t="s">
        <v>3616</v>
      </c>
    </row>
    <row r="11636" spans="1:12">
      <c r="A11636" t="s">
        <v>30729</v>
      </c>
      <c r="B11636" t="s">
        <v>30730</v>
      </c>
      <c r="C11636" t="s">
        <v>33087</v>
      </c>
      <c r="D11636" t="s">
        <v>30732</v>
      </c>
      <c r="E11636" t="s">
        <v>33088</v>
      </c>
      <c r="F11636" t="s">
        <v>33089</v>
      </c>
      <c r="J11636" t="s">
        <v>33088</v>
      </c>
      <c r="K11636" t="s">
        <v>21600</v>
      </c>
      <c r="L11636" t="s">
        <v>3616</v>
      </c>
    </row>
    <row r="11637" spans="1:12">
      <c r="A11637" t="s">
        <v>30729</v>
      </c>
      <c r="B11637" t="s">
        <v>30730</v>
      </c>
      <c r="C11637" t="s">
        <v>33090</v>
      </c>
      <c r="D11637" t="s">
        <v>30732</v>
      </c>
      <c r="E11637" t="s">
        <v>33091</v>
      </c>
      <c r="F11637" t="s">
        <v>33092</v>
      </c>
      <c r="J11637" t="s">
        <v>33091</v>
      </c>
      <c r="K11637" t="s">
        <v>21600</v>
      </c>
      <c r="L11637" t="s">
        <v>3616</v>
      </c>
    </row>
    <row r="11638" spans="1:12">
      <c r="A11638" t="s">
        <v>30729</v>
      </c>
      <c r="B11638" t="s">
        <v>30730</v>
      </c>
      <c r="C11638" t="s">
        <v>33093</v>
      </c>
      <c r="D11638" t="s">
        <v>30732</v>
      </c>
      <c r="E11638" t="s">
        <v>33094</v>
      </c>
      <c r="F11638" t="s">
        <v>33095</v>
      </c>
      <c r="J11638" t="s">
        <v>33094</v>
      </c>
      <c r="K11638" t="s">
        <v>21600</v>
      </c>
      <c r="L11638" t="s">
        <v>3616</v>
      </c>
    </row>
    <row r="11639" spans="1:12">
      <c r="A11639" t="s">
        <v>30729</v>
      </c>
      <c r="B11639" t="s">
        <v>30730</v>
      </c>
      <c r="C11639" t="s">
        <v>33096</v>
      </c>
      <c r="D11639" t="s">
        <v>30732</v>
      </c>
      <c r="E11639" t="s">
        <v>33097</v>
      </c>
      <c r="F11639" t="s">
        <v>33098</v>
      </c>
      <c r="J11639" t="s">
        <v>33097</v>
      </c>
      <c r="K11639" t="s">
        <v>21600</v>
      </c>
      <c r="L11639" t="s">
        <v>3616</v>
      </c>
    </row>
    <row r="11640" spans="1:12">
      <c r="A11640" t="s">
        <v>30729</v>
      </c>
      <c r="B11640" t="s">
        <v>30730</v>
      </c>
      <c r="C11640" t="s">
        <v>33099</v>
      </c>
      <c r="D11640" t="s">
        <v>30732</v>
      </c>
      <c r="E11640" t="s">
        <v>17027</v>
      </c>
      <c r="F11640" t="s">
        <v>33100</v>
      </c>
      <c r="J11640" t="s">
        <v>17027</v>
      </c>
      <c r="K11640" t="s">
        <v>21600</v>
      </c>
      <c r="L11640" t="s">
        <v>3616</v>
      </c>
    </row>
    <row r="11641" spans="1:12">
      <c r="A11641" t="s">
        <v>30729</v>
      </c>
      <c r="B11641" t="s">
        <v>30730</v>
      </c>
      <c r="C11641" t="s">
        <v>33101</v>
      </c>
      <c r="D11641" t="s">
        <v>30732</v>
      </c>
      <c r="E11641" t="s">
        <v>17035</v>
      </c>
      <c r="F11641" t="s">
        <v>33102</v>
      </c>
      <c r="J11641" t="s">
        <v>17035</v>
      </c>
      <c r="K11641" t="s">
        <v>21600</v>
      </c>
      <c r="L11641" t="s">
        <v>3616</v>
      </c>
    </row>
    <row r="11642" spans="1:12">
      <c r="A11642" t="s">
        <v>30729</v>
      </c>
      <c r="B11642" t="s">
        <v>30730</v>
      </c>
      <c r="C11642" t="s">
        <v>33103</v>
      </c>
      <c r="D11642" t="s">
        <v>30732</v>
      </c>
      <c r="E11642" t="s">
        <v>17042</v>
      </c>
      <c r="F11642" t="s">
        <v>33104</v>
      </c>
      <c r="J11642" t="s">
        <v>17042</v>
      </c>
      <c r="K11642" t="s">
        <v>21600</v>
      </c>
      <c r="L11642" t="s">
        <v>3616</v>
      </c>
    </row>
    <row r="11643" spans="1:12">
      <c r="A11643" t="s">
        <v>30729</v>
      </c>
      <c r="B11643" t="s">
        <v>30730</v>
      </c>
      <c r="C11643" t="s">
        <v>33105</v>
      </c>
      <c r="D11643" t="s">
        <v>30732</v>
      </c>
      <c r="E11643" t="s">
        <v>9140</v>
      </c>
      <c r="F11643" t="s">
        <v>33106</v>
      </c>
    </row>
    <row r="11644" spans="1:12">
      <c r="A11644" t="s">
        <v>30729</v>
      </c>
      <c r="B11644" t="s">
        <v>30730</v>
      </c>
      <c r="C11644" t="s">
        <v>33107</v>
      </c>
      <c r="D11644" t="s">
        <v>30732</v>
      </c>
      <c r="E11644" t="s">
        <v>10951</v>
      </c>
      <c r="F11644" t="s">
        <v>33108</v>
      </c>
      <c r="J11644" t="s">
        <v>10951</v>
      </c>
      <c r="K11644" t="s">
        <v>21600</v>
      </c>
      <c r="L11644" t="s">
        <v>3616</v>
      </c>
    </row>
    <row r="11645" spans="1:12">
      <c r="A11645" t="s">
        <v>30729</v>
      </c>
      <c r="B11645" t="s">
        <v>30730</v>
      </c>
      <c r="C11645" t="s">
        <v>33109</v>
      </c>
      <c r="D11645" t="s">
        <v>30732</v>
      </c>
      <c r="E11645" t="s">
        <v>17076</v>
      </c>
      <c r="F11645" t="s">
        <v>33110</v>
      </c>
      <c r="J11645" t="s">
        <v>17076</v>
      </c>
      <c r="K11645" t="s">
        <v>21600</v>
      </c>
      <c r="L11645" t="s">
        <v>3616</v>
      </c>
    </row>
    <row r="11646" spans="1:12">
      <c r="A11646" t="s">
        <v>30729</v>
      </c>
      <c r="B11646" t="s">
        <v>30730</v>
      </c>
      <c r="C11646" t="s">
        <v>33111</v>
      </c>
      <c r="D11646" t="s">
        <v>30732</v>
      </c>
      <c r="E11646" t="s">
        <v>2121</v>
      </c>
      <c r="F11646" t="s">
        <v>33112</v>
      </c>
    </row>
    <row r="11647" spans="1:12">
      <c r="A11647" t="s">
        <v>30729</v>
      </c>
      <c r="B11647" t="s">
        <v>30730</v>
      </c>
      <c r="C11647" t="s">
        <v>33113</v>
      </c>
      <c r="D11647" t="s">
        <v>30732</v>
      </c>
      <c r="E11647" t="s">
        <v>17121</v>
      </c>
      <c r="F11647" t="s">
        <v>31495</v>
      </c>
      <c r="J11647" t="s">
        <v>17121</v>
      </c>
      <c r="K11647" t="s">
        <v>21600</v>
      </c>
      <c r="L11647" t="s">
        <v>3616</v>
      </c>
    </row>
    <row r="11648" spans="1:12">
      <c r="A11648" t="s">
        <v>30729</v>
      </c>
      <c r="B11648" t="s">
        <v>30730</v>
      </c>
      <c r="C11648" t="s">
        <v>33114</v>
      </c>
      <c r="D11648" t="s">
        <v>30732</v>
      </c>
      <c r="E11648" t="s">
        <v>33115</v>
      </c>
      <c r="F11648" t="s">
        <v>33116</v>
      </c>
      <c r="J11648" t="s">
        <v>33115</v>
      </c>
      <c r="K11648" t="s">
        <v>21600</v>
      </c>
      <c r="L11648" t="s">
        <v>3616</v>
      </c>
    </row>
    <row r="11649" spans="1:12">
      <c r="A11649" t="s">
        <v>30729</v>
      </c>
      <c r="B11649" t="s">
        <v>30730</v>
      </c>
      <c r="C11649" t="s">
        <v>33117</v>
      </c>
      <c r="D11649" t="s">
        <v>30732</v>
      </c>
      <c r="E11649" t="s">
        <v>33118</v>
      </c>
      <c r="F11649" t="s">
        <v>33119</v>
      </c>
      <c r="J11649" t="s">
        <v>33118</v>
      </c>
      <c r="K11649" t="s">
        <v>21600</v>
      </c>
      <c r="L11649" t="s">
        <v>3616</v>
      </c>
    </row>
    <row r="11650" spans="1:12">
      <c r="A11650" t="s">
        <v>30729</v>
      </c>
      <c r="B11650" t="s">
        <v>30730</v>
      </c>
      <c r="C11650" t="s">
        <v>33120</v>
      </c>
      <c r="D11650" t="s">
        <v>30732</v>
      </c>
      <c r="E11650" t="s">
        <v>33121</v>
      </c>
      <c r="F11650" t="s">
        <v>33122</v>
      </c>
      <c r="J11650" t="s">
        <v>33121</v>
      </c>
      <c r="K11650" t="s">
        <v>21600</v>
      </c>
      <c r="L11650" t="s">
        <v>3616</v>
      </c>
    </row>
    <row r="11651" spans="1:12">
      <c r="A11651" t="s">
        <v>30729</v>
      </c>
      <c r="B11651" t="s">
        <v>30730</v>
      </c>
      <c r="C11651" t="s">
        <v>33123</v>
      </c>
      <c r="D11651" t="s">
        <v>30732</v>
      </c>
      <c r="E11651" t="s">
        <v>9149</v>
      </c>
      <c r="F11651" t="s">
        <v>33124</v>
      </c>
      <c r="J11651" t="s">
        <v>9149</v>
      </c>
      <c r="K11651" t="s">
        <v>21600</v>
      </c>
      <c r="L11651" t="s">
        <v>3616</v>
      </c>
    </row>
    <row r="11652" spans="1:12">
      <c r="A11652" t="s">
        <v>30729</v>
      </c>
      <c r="B11652" t="s">
        <v>30730</v>
      </c>
      <c r="C11652" t="s">
        <v>33125</v>
      </c>
      <c r="D11652" t="s">
        <v>30732</v>
      </c>
      <c r="E11652" t="s">
        <v>33126</v>
      </c>
      <c r="F11652" t="s">
        <v>33127</v>
      </c>
      <c r="J11652" t="s">
        <v>33126</v>
      </c>
      <c r="K11652" t="s">
        <v>21600</v>
      </c>
      <c r="L11652" t="s">
        <v>3616</v>
      </c>
    </row>
    <row r="11653" spans="1:12">
      <c r="A11653" t="s">
        <v>30729</v>
      </c>
      <c r="B11653" t="s">
        <v>30730</v>
      </c>
      <c r="C11653" t="s">
        <v>33128</v>
      </c>
      <c r="D11653" t="s">
        <v>30732</v>
      </c>
      <c r="E11653" t="s">
        <v>24962</v>
      </c>
      <c r="F11653" t="s">
        <v>33129</v>
      </c>
      <c r="J11653" t="s">
        <v>24962</v>
      </c>
      <c r="K11653" t="s">
        <v>21600</v>
      </c>
      <c r="L11653" t="s">
        <v>3616</v>
      </c>
    </row>
    <row r="11654" spans="1:12">
      <c r="A11654" t="s">
        <v>30729</v>
      </c>
      <c r="B11654" t="s">
        <v>30730</v>
      </c>
      <c r="C11654" t="s">
        <v>33130</v>
      </c>
      <c r="D11654" t="s">
        <v>30732</v>
      </c>
      <c r="E11654" t="s">
        <v>33131</v>
      </c>
      <c r="F11654" t="s">
        <v>33132</v>
      </c>
      <c r="J11654" t="s">
        <v>33131</v>
      </c>
      <c r="K11654" t="s">
        <v>21600</v>
      </c>
      <c r="L11654" t="s">
        <v>3616</v>
      </c>
    </row>
    <row r="11655" spans="1:12">
      <c r="A11655" t="s">
        <v>30729</v>
      </c>
      <c r="B11655" t="s">
        <v>30730</v>
      </c>
      <c r="C11655" t="s">
        <v>33133</v>
      </c>
      <c r="D11655" t="s">
        <v>30732</v>
      </c>
      <c r="E11655" t="s">
        <v>7247</v>
      </c>
      <c r="F11655" t="s">
        <v>33134</v>
      </c>
    </row>
    <row r="11656" spans="1:12">
      <c r="A11656" t="s">
        <v>30729</v>
      </c>
      <c r="B11656" t="s">
        <v>30730</v>
      </c>
      <c r="C11656" t="s">
        <v>33135</v>
      </c>
      <c r="D11656" t="s">
        <v>30732</v>
      </c>
      <c r="E11656" t="s">
        <v>11274</v>
      </c>
      <c r="F11656" t="s">
        <v>30885</v>
      </c>
      <c r="J11656" t="s">
        <v>11274</v>
      </c>
      <c r="K11656" t="s">
        <v>21600</v>
      </c>
      <c r="L11656" t="s">
        <v>3616</v>
      </c>
    </row>
    <row r="11657" spans="1:12">
      <c r="A11657" t="s">
        <v>30729</v>
      </c>
      <c r="B11657" t="s">
        <v>30730</v>
      </c>
      <c r="C11657" t="s">
        <v>33136</v>
      </c>
      <c r="D11657" t="s">
        <v>30732</v>
      </c>
      <c r="E11657" t="s">
        <v>17215</v>
      </c>
      <c r="F11657" t="s">
        <v>33137</v>
      </c>
      <c r="J11657" t="s">
        <v>17215</v>
      </c>
      <c r="K11657" t="s">
        <v>21600</v>
      </c>
      <c r="L11657" t="s">
        <v>3616</v>
      </c>
    </row>
    <row r="11658" spans="1:12">
      <c r="A11658" t="s">
        <v>30729</v>
      </c>
      <c r="B11658" t="s">
        <v>30730</v>
      </c>
      <c r="C11658" t="s">
        <v>33138</v>
      </c>
      <c r="D11658" t="s">
        <v>30732</v>
      </c>
      <c r="E11658" t="s">
        <v>33139</v>
      </c>
      <c r="F11658" t="s">
        <v>33140</v>
      </c>
    </row>
    <row r="11659" spans="1:12">
      <c r="A11659" t="s">
        <v>30729</v>
      </c>
      <c r="B11659" t="s">
        <v>30730</v>
      </c>
      <c r="C11659" t="s">
        <v>33141</v>
      </c>
      <c r="D11659" t="s">
        <v>30732</v>
      </c>
      <c r="E11659" t="s">
        <v>17227</v>
      </c>
      <c r="F11659" t="s">
        <v>33142</v>
      </c>
    </row>
    <row r="11660" spans="1:12">
      <c r="A11660" t="s">
        <v>30729</v>
      </c>
      <c r="B11660" t="s">
        <v>30730</v>
      </c>
      <c r="C11660" t="s">
        <v>33143</v>
      </c>
      <c r="D11660" t="s">
        <v>30732</v>
      </c>
      <c r="E11660" t="s">
        <v>27330</v>
      </c>
      <c r="F11660" t="s">
        <v>33144</v>
      </c>
      <c r="J11660" t="s">
        <v>27330</v>
      </c>
      <c r="K11660" t="s">
        <v>21600</v>
      </c>
      <c r="L11660" t="s">
        <v>3616</v>
      </c>
    </row>
    <row r="11661" spans="1:12">
      <c r="A11661" t="s">
        <v>30729</v>
      </c>
      <c r="B11661" t="s">
        <v>30730</v>
      </c>
      <c r="C11661" t="s">
        <v>33145</v>
      </c>
      <c r="D11661" t="s">
        <v>30732</v>
      </c>
      <c r="E11661" t="s">
        <v>33146</v>
      </c>
      <c r="F11661" t="s">
        <v>33147</v>
      </c>
      <c r="J11661" t="s">
        <v>33146</v>
      </c>
      <c r="K11661" t="s">
        <v>21600</v>
      </c>
      <c r="L11661" t="s">
        <v>3616</v>
      </c>
    </row>
    <row r="11662" spans="1:12">
      <c r="A11662" t="s">
        <v>30729</v>
      </c>
      <c r="B11662" t="s">
        <v>30730</v>
      </c>
      <c r="C11662" t="s">
        <v>33148</v>
      </c>
      <c r="D11662" t="s">
        <v>30732</v>
      </c>
      <c r="E11662" t="s">
        <v>17238</v>
      </c>
      <c r="F11662" t="s">
        <v>33149</v>
      </c>
      <c r="J11662" t="s">
        <v>17238</v>
      </c>
      <c r="K11662" t="s">
        <v>21600</v>
      </c>
      <c r="L11662" t="s">
        <v>3616</v>
      </c>
    </row>
    <row r="11663" spans="1:12">
      <c r="A11663" t="s">
        <v>30729</v>
      </c>
      <c r="B11663" t="s">
        <v>30730</v>
      </c>
      <c r="C11663" t="s">
        <v>33150</v>
      </c>
      <c r="D11663" t="s">
        <v>30732</v>
      </c>
      <c r="E11663" t="s">
        <v>9164</v>
      </c>
      <c r="F11663" t="s">
        <v>33151</v>
      </c>
    </row>
    <row r="11664" spans="1:12">
      <c r="A11664" t="s">
        <v>30729</v>
      </c>
      <c r="B11664" t="s">
        <v>30730</v>
      </c>
      <c r="C11664" t="s">
        <v>33152</v>
      </c>
      <c r="D11664" t="s">
        <v>30732</v>
      </c>
      <c r="E11664" t="s">
        <v>33153</v>
      </c>
      <c r="F11664" t="s">
        <v>33154</v>
      </c>
      <c r="J11664" t="s">
        <v>33153</v>
      </c>
      <c r="K11664" t="s">
        <v>21600</v>
      </c>
      <c r="L11664" t="s">
        <v>3616</v>
      </c>
    </row>
    <row r="11665" spans="1:12">
      <c r="A11665" t="s">
        <v>30729</v>
      </c>
      <c r="B11665" t="s">
        <v>30730</v>
      </c>
      <c r="C11665" t="s">
        <v>33155</v>
      </c>
      <c r="D11665" t="s">
        <v>30732</v>
      </c>
      <c r="E11665" t="s">
        <v>17264</v>
      </c>
      <c r="F11665" t="s">
        <v>33156</v>
      </c>
      <c r="J11665" t="s">
        <v>17264</v>
      </c>
      <c r="K11665" t="s">
        <v>21600</v>
      </c>
      <c r="L11665" t="s">
        <v>3616</v>
      </c>
    </row>
    <row r="11666" spans="1:12">
      <c r="A11666" t="s">
        <v>30729</v>
      </c>
      <c r="B11666" t="s">
        <v>30730</v>
      </c>
      <c r="C11666" t="s">
        <v>33157</v>
      </c>
      <c r="D11666" t="s">
        <v>30732</v>
      </c>
      <c r="E11666" t="s">
        <v>27335</v>
      </c>
      <c r="F11666" t="s">
        <v>33158</v>
      </c>
    </row>
    <row r="11667" spans="1:12">
      <c r="A11667" t="s">
        <v>30729</v>
      </c>
      <c r="B11667" t="s">
        <v>30730</v>
      </c>
      <c r="C11667" t="s">
        <v>33159</v>
      </c>
      <c r="D11667" t="s">
        <v>30732</v>
      </c>
      <c r="E11667" t="s">
        <v>33160</v>
      </c>
      <c r="F11667" t="s">
        <v>33161</v>
      </c>
    </row>
    <row r="11668" spans="1:12">
      <c r="A11668" t="s">
        <v>30729</v>
      </c>
      <c r="B11668" t="s">
        <v>30730</v>
      </c>
      <c r="C11668" t="s">
        <v>33162</v>
      </c>
      <c r="D11668" t="s">
        <v>30732</v>
      </c>
      <c r="E11668" t="s">
        <v>33163</v>
      </c>
      <c r="F11668" t="s">
        <v>33164</v>
      </c>
      <c r="J11668" t="s">
        <v>33163</v>
      </c>
      <c r="K11668" t="s">
        <v>21600</v>
      </c>
      <c r="L11668" t="s">
        <v>3616</v>
      </c>
    </row>
    <row r="11669" spans="1:12">
      <c r="A11669" t="s">
        <v>30729</v>
      </c>
      <c r="B11669" t="s">
        <v>30730</v>
      </c>
      <c r="C11669" t="s">
        <v>33165</v>
      </c>
      <c r="D11669" t="s">
        <v>30732</v>
      </c>
      <c r="E11669" t="s">
        <v>9167</v>
      </c>
      <c r="F11669" t="s">
        <v>33166</v>
      </c>
      <c r="J11669" t="s">
        <v>9167</v>
      </c>
      <c r="K11669" t="s">
        <v>21600</v>
      </c>
      <c r="L11669" t="s">
        <v>3616</v>
      </c>
    </row>
    <row r="11670" spans="1:12">
      <c r="A11670" t="s">
        <v>30729</v>
      </c>
      <c r="B11670" t="s">
        <v>30730</v>
      </c>
      <c r="C11670" t="s">
        <v>33167</v>
      </c>
      <c r="D11670" t="s">
        <v>30732</v>
      </c>
      <c r="E11670" t="s">
        <v>9173</v>
      </c>
      <c r="F11670" t="s">
        <v>33168</v>
      </c>
      <c r="J11670" t="s">
        <v>9173</v>
      </c>
      <c r="K11670" t="s">
        <v>21600</v>
      </c>
      <c r="L11670" t="s">
        <v>3616</v>
      </c>
    </row>
    <row r="11671" spans="1:12">
      <c r="A11671" t="s">
        <v>30729</v>
      </c>
      <c r="B11671" t="s">
        <v>30730</v>
      </c>
      <c r="C11671" t="s">
        <v>33169</v>
      </c>
      <c r="D11671" t="s">
        <v>30732</v>
      </c>
      <c r="E11671" t="s">
        <v>9176</v>
      </c>
      <c r="F11671" t="s">
        <v>33170</v>
      </c>
      <c r="J11671" t="s">
        <v>9176</v>
      </c>
      <c r="K11671" t="s">
        <v>21600</v>
      </c>
      <c r="L11671" t="s">
        <v>3616</v>
      </c>
    </row>
    <row r="11672" spans="1:12">
      <c r="A11672" t="s">
        <v>30729</v>
      </c>
      <c r="B11672" t="s">
        <v>30730</v>
      </c>
      <c r="C11672" t="s">
        <v>33171</v>
      </c>
      <c r="D11672" t="s">
        <v>30732</v>
      </c>
      <c r="E11672" t="s">
        <v>11910</v>
      </c>
      <c r="F11672" t="s">
        <v>33172</v>
      </c>
      <c r="J11672" t="s">
        <v>11910</v>
      </c>
      <c r="K11672" t="s">
        <v>21600</v>
      </c>
      <c r="L11672" t="s">
        <v>3616</v>
      </c>
    </row>
    <row r="11673" spans="1:12">
      <c r="A11673" t="s">
        <v>30729</v>
      </c>
      <c r="B11673" t="s">
        <v>30730</v>
      </c>
      <c r="C11673" t="s">
        <v>33173</v>
      </c>
      <c r="D11673" t="s">
        <v>30732</v>
      </c>
      <c r="E11673" t="s">
        <v>5037</v>
      </c>
      <c r="F11673" t="s">
        <v>33174</v>
      </c>
      <c r="J11673" t="s">
        <v>5037</v>
      </c>
      <c r="K11673" t="s">
        <v>21600</v>
      </c>
      <c r="L11673" t="s">
        <v>3616</v>
      </c>
    </row>
    <row r="11674" spans="1:12">
      <c r="A11674" t="s">
        <v>30729</v>
      </c>
      <c r="B11674" t="s">
        <v>30730</v>
      </c>
      <c r="C11674" t="s">
        <v>33175</v>
      </c>
      <c r="D11674" t="s">
        <v>30732</v>
      </c>
      <c r="E11674" t="s">
        <v>2142</v>
      </c>
      <c r="F11674" t="s">
        <v>33176</v>
      </c>
      <c r="J11674" t="s">
        <v>2142</v>
      </c>
      <c r="K11674" t="s">
        <v>21600</v>
      </c>
      <c r="L11674" t="s">
        <v>3616</v>
      </c>
    </row>
    <row r="11675" spans="1:12">
      <c r="A11675" t="s">
        <v>30729</v>
      </c>
      <c r="B11675" t="s">
        <v>30730</v>
      </c>
      <c r="C11675" t="s">
        <v>33177</v>
      </c>
      <c r="D11675" t="s">
        <v>30732</v>
      </c>
      <c r="E11675" t="s">
        <v>11277</v>
      </c>
      <c r="F11675" t="s">
        <v>33178</v>
      </c>
      <c r="J11675" t="s">
        <v>33179</v>
      </c>
      <c r="K11675" t="s">
        <v>21600</v>
      </c>
      <c r="L11675" t="s">
        <v>3616</v>
      </c>
    </row>
    <row r="11676" spans="1:12">
      <c r="A11676" t="s">
        <v>30729</v>
      </c>
      <c r="B11676" t="s">
        <v>30730</v>
      </c>
      <c r="C11676" t="s">
        <v>33180</v>
      </c>
      <c r="D11676" t="s">
        <v>30732</v>
      </c>
      <c r="E11676" t="s">
        <v>33181</v>
      </c>
      <c r="F11676" t="s">
        <v>33182</v>
      </c>
      <c r="J11676" t="s">
        <v>33181</v>
      </c>
      <c r="K11676" t="s">
        <v>21600</v>
      </c>
      <c r="L11676" t="s">
        <v>3616</v>
      </c>
    </row>
    <row r="11677" spans="1:12">
      <c r="A11677" t="s">
        <v>30729</v>
      </c>
      <c r="B11677" t="s">
        <v>30730</v>
      </c>
      <c r="C11677" t="s">
        <v>33183</v>
      </c>
      <c r="D11677" t="s">
        <v>30732</v>
      </c>
      <c r="E11677" t="s">
        <v>33184</v>
      </c>
      <c r="F11677" t="s">
        <v>33185</v>
      </c>
      <c r="J11677" t="s">
        <v>33184</v>
      </c>
      <c r="K11677" t="s">
        <v>21600</v>
      </c>
      <c r="L11677" t="s">
        <v>3616</v>
      </c>
    </row>
    <row r="11678" spans="1:12">
      <c r="A11678" t="s">
        <v>30729</v>
      </c>
      <c r="B11678" t="s">
        <v>30730</v>
      </c>
      <c r="C11678" t="s">
        <v>33186</v>
      </c>
      <c r="D11678" t="s">
        <v>30732</v>
      </c>
      <c r="E11678" t="s">
        <v>2145</v>
      </c>
      <c r="F11678" t="s">
        <v>33187</v>
      </c>
      <c r="J11678" t="s">
        <v>2145</v>
      </c>
      <c r="K11678" t="s">
        <v>21600</v>
      </c>
      <c r="L11678" t="s">
        <v>3616</v>
      </c>
    </row>
    <row r="11679" spans="1:12">
      <c r="A11679" t="s">
        <v>30729</v>
      </c>
      <c r="B11679" t="s">
        <v>30730</v>
      </c>
      <c r="C11679" t="s">
        <v>33188</v>
      </c>
      <c r="D11679" t="s">
        <v>30732</v>
      </c>
      <c r="E11679" t="s">
        <v>33189</v>
      </c>
      <c r="F11679" t="s">
        <v>33190</v>
      </c>
    </row>
    <row r="11680" spans="1:12">
      <c r="A11680" t="s">
        <v>30729</v>
      </c>
      <c r="B11680" t="s">
        <v>30730</v>
      </c>
      <c r="C11680" t="s">
        <v>33191</v>
      </c>
      <c r="D11680" t="s">
        <v>30732</v>
      </c>
      <c r="E11680" t="s">
        <v>33192</v>
      </c>
      <c r="F11680" t="s">
        <v>33193</v>
      </c>
      <c r="J11680" t="s">
        <v>33192</v>
      </c>
      <c r="K11680" t="s">
        <v>21600</v>
      </c>
      <c r="L11680" t="s">
        <v>3616</v>
      </c>
    </row>
    <row r="11681" spans="1:12">
      <c r="A11681" t="s">
        <v>30729</v>
      </c>
      <c r="B11681" t="s">
        <v>30730</v>
      </c>
      <c r="C11681" t="s">
        <v>33194</v>
      </c>
      <c r="D11681" t="s">
        <v>30732</v>
      </c>
      <c r="E11681" t="s">
        <v>33195</v>
      </c>
      <c r="F11681" t="s">
        <v>33196</v>
      </c>
    </row>
    <row r="11682" spans="1:12">
      <c r="A11682" t="s">
        <v>30729</v>
      </c>
      <c r="B11682" t="s">
        <v>30730</v>
      </c>
      <c r="C11682" t="s">
        <v>33197</v>
      </c>
      <c r="D11682" t="s">
        <v>30732</v>
      </c>
      <c r="E11682" t="s">
        <v>33198</v>
      </c>
      <c r="F11682" t="s">
        <v>33199</v>
      </c>
      <c r="J11682" t="s">
        <v>33198</v>
      </c>
      <c r="K11682" t="s">
        <v>21600</v>
      </c>
      <c r="L11682" t="s">
        <v>3616</v>
      </c>
    </row>
    <row r="11683" spans="1:12">
      <c r="A11683" t="s">
        <v>30729</v>
      </c>
      <c r="B11683" t="s">
        <v>30730</v>
      </c>
      <c r="C11683" t="s">
        <v>33200</v>
      </c>
      <c r="D11683" t="s">
        <v>30732</v>
      </c>
      <c r="E11683" t="s">
        <v>24967</v>
      </c>
      <c r="F11683" t="s">
        <v>33201</v>
      </c>
      <c r="J11683" t="s">
        <v>24967</v>
      </c>
      <c r="K11683" t="s">
        <v>21600</v>
      </c>
      <c r="L11683" t="s">
        <v>3616</v>
      </c>
    </row>
    <row r="11684" spans="1:12">
      <c r="A11684" t="s">
        <v>30729</v>
      </c>
      <c r="B11684" t="s">
        <v>30730</v>
      </c>
      <c r="C11684" t="s">
        <v>33202</v>
      </c>
      <c r="D11684" t="s">
        <v>30732</v>
      </c>
      <c r="E11684" t="s">
        <v>17319</v>
      </c>
      <c r="F11684" t="s">
        <v>33203</v>
      </c>
      <c r="J11684" t="s">
        <v>17319</v>
      </c>
      <c r="K11684" t="s">
        <v>21600</v>
      </c>
      <c r="L11684" t="s">
        <v>3616</v>
      </c>
    </row>
    <row r="11685" spans="1:12">
      <c r="A11685" t="s">
        <v>30729</v>
      </c>
      <c r="B11685" t="s">
        <v>30730</v>
      </c>
      <c r="C11685" t="s">
        <v>33204</v>
      </c>
      <c r="D11685" t="s">
        <v>30732</v>
      </c>
      <c r="E11685" t="s">
        <v>10355</v>
      </c>
      <c r="F11685" t="s">
        <v>33205</v>
      </c>
      <c r="J11685" t="s">
        <v>10355</v>
      </c>
      <c r="K11685" t="s">
        <v>21600</v>
      </c>
      <c r="L11685" t="s">
        <v>3616</v>
      </c>
    </row>
    <row r="11686" spans="1:12">
      <c r="A11686" t="s">
        <v>30729</v>
      </c>
      <c r="B11686" t="s">
        <v>30730</v>
      </c>
      <c r="C11686" t="s">
        <v>33206</v>
      </c>
      <c r="D11686" t="s">
        <v>30732</v>
      </c>
      <c r="E11686" t="s">
        <v>17341</v>
      </c>
      <c r="F11686" t="s">
        <v>33207</v>
      </c>
      <c r="J11686" t="s">
        <v>17341</v>
      </c>
      <c r="K11686" t="s">
        <v>21600</v>
      </c>
      <c r="L11686" t="s">
        <v>3616</v>
      </c>
    </row>
    <row r="11687" spans="1:12">
      <c r="A11687" t="s">
        <v>30729</v>
      </c>
      <c r="B11687" t="s">
        <v>30730</v>
      </c>
      <c r="C11687" t="s">
        <v>33208</v>
      </c>
      <c r="D11687" t="s">
        <v>30732</v>
      </c>
      <c r="E11687" t="s">
        <v>10358</v>
      </c>
      <c r="F11687" t="s">
        <v>33209</v>
      </c>
      <c r="J11687" t="s">
        <v>10358</v>
      </c>
      <c r="K11687" t="s">
        <v>21600</v>
      </c>
      <c r="L11687" t="s">
        <v>3616</v>
      </c>
    </row>
    <row r="11688" spans="1:12">
      <c r="A11688" t="s">
        <v>30729</v>
      </c>
      <c r="B11688" t="s">
        <v>30730</v>
      </c>
      <c r="C11688" t="s">
        <v>33210</v>
      </c>
      <c r="D11688" t="s">
        <v>30732</v>
      </c>
      <c r="E11688" t="s">
        <v>33211</v>
      </c>
      <c r="F11688" t="s">
        <v>33212</v>
      </c>
      <c r="J11688" t="s">
        <v>33211</v>
      </c>
      <c r="K11688" t="s">
        <v>21600</v>
      </c>
      <c r="L11688" t="s">
        <v>3616</v>
      </c>
    </row>
    <row r="11689" spans="1:12">
      <c r="A11689" t="s">
        <v>30729</v>
      </c>
      <c r="B11689" t="s">
        <v>30730</v>
      </c>
      <c r="C11689" t="s">
        <v>33213</v>
      </c>
      <c r="D11689" t="s">
        <v>30732</v>
      </c>
      <c r="E11689" t="s">
        <v>33214</v>
      </c>
      <c r="F11689" t="s">
        <v>33215</v>
      </c>
      <c r="J11689" t="s">
        <v>33214</v>
      </c>
      <c r="K11689" t="s">
        <v>21600</v>
      </c>
      <c r="L11689" t="s">
        <v>3616</v>
      </c>
    </row>
    <row r="11690" spans="1:12">
      <c r="A11690" t="s">
        <v>30729</v>
      </c>
      <c r="B11690" t="s">
        <v>30730</v>
      </c>
      <c r="C11690" t="s">
        <v>33216</v>
      </c>
      <c r="D11690" t="s">
        <v>30732</v>
      </c>
      <c r="E11690" t="s">
        <v>33217</v>
      </c>
      <c r="F11690" t="s">
        <v>33218</v>
      </c>
      <c r="J11690" t="s">
        <v>33217</v>
      </c>
      <c r="K11690" t="s">
        <v>21600</v>
      </c>
      <c r="L11690" t="s">
        <v>3616</v>
      </c>
    </row>
    <row r="11691" spans="1:12">
      <c r="A11691" t="s">
        <v>30729</v>
      </c>
      <c r="B11691" t="s">
        <v>30730</v>
      </c>
      <c r="C11691" t="s">
        <v>33219</v>
      </c>
      <c r="D11691" t="s">
        <v>30732</v>
      </c>
      <c r="E11691" t="s">
        <v>33220</v>
      </c>
      <c r="F11691" t="s">
        <v>33221</v>
      </c>
      <c r="J11691" t="s">
        <v>33220</v>
      </c>
      <c r="K11691" t="s">
        <v>21600</v>
      </c>
      <c r="L11691" t="s">
        <v>3616</v>
      </c>
    </row>
    <row r="11692" spans="1:12">
      <c r="A11692" t="s">
        <v>30729</v>
      </c>
      <c r="B11692" t="s">
        <v>30730</v>
      </c>
      <c r="C11692" t="s">
        <v>33222</v>
      </c>
      <c r="D11692" t="s">
        <v>30732</v>
      </c>
      <c r="E11692" t="s">
        <v>33223</v>
      </c>
      <c r="F11692" t="s">
        <v>33224</v>
      </c>
      <c r="J11692" t="s">
        <v>33223</v>
      </c>
      <c r="K11692" t="s">
        <v>21600</v>
      </c>
      <c r="L11692" t="s">
        <v>3616</v>
      </c>
    </row>
    <row r="11693" spans="1:12">
      <c r="A11693" t="s">
        <v>30729</v>
      </c>
      <c r="B11693" t="s">
        <v>30730</v>
      </c>
      <c r="C11693" t="s">
        <v>33225</v>
      </c>
      <c r="D11693" t="s">
        <v>30732</v>
      </c>
      <c r="E11693" t="s">
        <v>17390</v>
      </c>
      <c r="F11693" t="s">
        <v>33226</v>
      </c>
      <c r="J11693" t="s">
        <v>17390</v>
      </c>
      <c r="K11693" t="s">
        <v>21600</v>
      </c>
      <c r="L11693" t="s">
        <v>3616</v>
      </c>
    </row>
    <row r="11694" spans="1:12">
      <c r="A11694" t="s">
        <v>30729</v>
      </c>
      <c r="B11694" t="s">
        <v>30730</v>
      </c>
      <c r="C11694" t="s">
        <v>33227</v>
      </c>
      <c r="D11694" t="s">
        <v>30732</v>
      </c>
      <c r="E11694" t="s">
        <v>17398</v>
      </c>
      <c r="F11694" t="s">
        <v>33228</v>
      </c>
      <c r="J11694" t="s">
        <v>17398</v>
      </c>
      <c r="K11694" t="s">
        <v>21600</v>
      </c>
      <c r="L11694" t="s">
        <v>3616</v>
      </c>
    </row>
    <row r="11695" spans="1:12">
      <c r="A11695" t="s">
        <v>30729</v>
      </c>
      <c r="B11695" t="s">
        <v>30730</v>
      </c>
      <c r="C11695" t="s">
        <v>33229</v>
      </c>
      <c r="D11695" t="s">
        <v>30732</v>
      </c>
      <c r="E11695" t="s">
        <v>33230</v>
      </c>
      <c r="F11695" t="s">
        <v>33231</v>
      </c>
      <c r="J11695" t="s">
        <v>33230</v>
      </c>
      <c r="K11695" t="s">
        <v>21600</v>
      </c>
      <c r="L11695" t="s">
        <v>3616</v>
      </c>
    </row>
    <row r="11696" spans="1:12">
      <c r="A11696" t="s">
        <v>30729</v>
      </c>
      <c r="B11696" t="s">
        <v>30730</v>
      </c>
      <c r="C11696" t="s">
        <v>33232</v>
      </c>
      <c r="D11696" t="s">
        <v>30732</v>
      </c>
      <c r="E11696" t="s">
        <v>2154</v>
      </c>
      <c r="F11696" t="s">
        <v>33233</v>
      </c>
    </row>
    <row r="11697" spans="1:12">
      <c r="A11697" t="s">
        <v>30729</v>
      </c>
      <c r="B11697" t="s">
        <v>30730</v>
      </c>
      <c r="C11697" t="s">
        <v>33234</v>
      </c>
      <c r="D11697" t="s">
        <v>30732</v>
      </c>
      <c r="E11697" t="s">
        <v>10954</v>
      </c>
      <c r="F11697" t="s">
        <v>33235</v>
      </c>
    </row>
    <row r="11698" spans="1:12">
      <c r="A11698" t="s">
        <v>30729</v>
      </c>
      <c r="B11698" t="s">
        <v>30730</v>
      </c>
      <c r="C11698" t="s">
        <v>33236</v>
      </c>
      <c r="D11698" t="s">
        <v>30732</v>
      </c>
      <c r="E11698" t="s">
        <v>17406</v>
      </c>
      <c r="F11698" t="s">
        <v>33237</v>
      </c>
      <c r="J11698" t="s">
        <v>17406</v>
      </c>
      <c r="K11698" t="s">
        <v>21600</v>
      </c>
      <c r="L11698" t="s">
        <v>3616</v>
      </c>
    </row>
    <row r="11699" spans="1:12">
      <c r="A11699" t="s">
        <v>30729</v>
      </c>
      <c r="B11699" t="s">
        <v>30730</v>
      </c>
      <c r="C11699" t="s">
        <v>33238</v>
      </c>
      <c r="D11699" t="s">
        <v>30732</v>
      </c>
      <c r="E11699" t="s">
        <v>33239</v>
      </c>
      <c r="F11699" t="s">
        <v>33240</v>
      </c>
      <c r="J11699" t="s">
        <v>33239</v>
      </c>
      <c r="K11699" t="s">
        <v>21600</v>
      </c>
      <c r="L11699" t="s">
        <v>3616</v>
      </c>
    </row>
    <row r="11700" spans="1:12">
      <c r="A11700" t="s">
        <v>30729</v>
      </c>
      <c r="B11700" t="s">
        <v>30730</v>
      </c>
      <c r="C11700" t="s">
        <v>33241</v>
      </c>
      <c r="D11700" t="s">
        <v>30732</v>
      </c>
      <c r="E11700" t="s">
        <v>12640</v>
      </c>
      <c r="F11700" t="s">
        <v>33242</v>
      </c>
      <c r="J11700" t="s">
        <v>12640</v>
      </c>
      <c r="K11700" t="s">
        <v>21600</v>
      </c>
      <c r="L11700" t="s">
        <v>3616</v>
      </c>
    </row>
    <row r="11701" spans="1:12">
      <c r="A11701" t="s">
        <v>30729</v>
      </c>
      <c r="B11701" t="s">
        <v>30730</v>
      </c>
      <c r="C11701" t="s">
        <v>33243</v>
      </c>
      <c r="D11701" t="s">
        <v>30732</v>
      </c>
      <c r="E11701" t="s">
        <v>24216</v>
      </c>
      <c r="F11701" t="s">
        <v>33244</v>
      </c>
      <c r="J11701" t="s">
        <v>24216</v>
      </c>
      <c r="K11701" t="s">
        <v>21600</v>
      </c>
      <c r="L11701" t="s">
        <v>3616</v>
      </c>
    </row>
    <row r="11702" spans="1:12">
      <c r="A11702" t="s">
        <v>30729</v>
      </c>
      <c r="B11702" t="s">
        <v>30730</v>
      </c>
      <c r="C11702" t="s">
        <v>33245</v>
      </c>
      <c r="D11702" t="s">
        <v>30732</v>
      </c>
      <c r="E11702" t="s">
        <v>33246</v>
      </c>
      <c r="F11702" t="s">
        <v>33247</v>
      </c>
    </row>
    <row r="11703" spans="1:12">
      <c r="A11703" t="s">
        <v>30729</v>
      </c>
      <c r="B11703" t="s">
        <v>30730</v>
      </c>
      <c r="C11703" t="s">
        <v>33248</v>
      </c>
      <c r="D11703" t="s">
        <v>30732</v>
      </c>
      <c r="E11703" t="s">
        <v>9216</v>
      </c>
      <c r="F11703" t="s">
        <v>33249</v>
      </c>
      <c r="J11703" t="s">
        <v>9216</v>
      </c>
      <c r="K11703" t="s">
        <v>21600</v>
      </c>
      <c r="L11703" t="s">
        <v>3616</v>
      </c>
    </row>
    <row r="11704" spans="1:12">
      <c r="A11704" t="s">
        <v>30729</v>
      </c>
      <c r="B11704" t="s">
        <v>30730</v>
      </c>
      <c r="C11704" t="s">
        <v>33250</v>
      </c>
      <c r="D11704" t="s">
        <v>30732</v>
      </c>
      <c r="E11704" t="s">
        <v>33251</v>
      </c>
      <c r="F11704" t="s">
        <v>33252</v>
      </c>
      <c r="J11704" t="s">
        <v>33251</v>
      </c>
      <c r="K11704" t="s">
        <v>21600</v>
      </c>
      <c r="L11704" t="s">
        <v>3616</v>
      </c>
    </row>
    <row r="11705" spans="1:12">
      <c r="A11705" t="s">
        <v>30729</v>
      </c>
      <c r="B11705" t="s">
        <v>30730</v>
      </c>
      <c r="C11705" t="s">
        <v>33253</v>
      </c>
      <c r="D11705" t="s">
        <v>30732</v>
      </c>
      <c r="E11705" t="s">
        <v>33254</v>
      </c>
      <c r="F11705" t="s">
        <v>33255</v>
      </c>
      <c r="J11705" t="s">
        <v>33254</v>
      </c>
      <c r="K11705" t="s">
        <v>21600</v>
      </c>
      <c r="L11705" t="s">
        <v>3616</v>
      </c>
    </row>
    <row r="11706" spans="1:12">
      <c r="A11706" t="s">
        <v>30729</v>
      </c>
      <c r="B11706" t="s">
        <v>30730</v>
      </c>
      <c r="C11706" t="s">
        <v>33256</v>
      </c>
      <c r="D11706" t="s">
        <v>30732</v>
      </c>
      <c r="E11706" t="s">
        <v>33257</v>
      </c>
      <c r="F11706" t="s">
        <v>33258</v>
      </c>
      <c r="J11706" t="s">
        <v>33257</v>
      </c>
      <c r="K11706" t="s">
        <v>21600</v>
      </c>
      <c r="L11706" t="s">
        <v>3616</v>
      </c>
    </row>
    <row r="11707" spans="1:12">
      <c r="A11707" t="s">
        <v>30729</v>
      </c>
      <c r="B11707" t="s">
        <v>30730</v>
      </c>
      <c r="C11707" t="s">
        <v>33259</v>
      </c>
      <c r="D11707" t="s">
        <v>30732</v>
      </c>
      <c r="E11707" t="s">
        <v>24980</v>
      </c>
      <c r="F11707" t="s">
        <v>33260</v>
      </c>
      <c r="J11707" t="s">
        <v>24980</v>
      </c>
      <c r="K11707" t="s">
        <v>21600</v>
      </c>
      <c r="L11707" t="s">
        <v>3616</v>
      </c>
    </row>
    <row r="11708" spans="1:12">
      <c r="A11708" t="s">
        <v>30729</v>
      </c>
      <c r="B11708" t="s">
        <v>30730</v>
      </c>
      <c r="C11708" t="s">
        <v>33261</v>
      </c>
      <c r="D11708" t="s">
        <v>30732</v>
      </c>
      <c r="E11708" t="s">
        <v>33262</v>
      </c>
      <c r="F11708" t="s">
        <v>33263</v>
      </c>
      <c r="J11708" t="s">
        <v>33262</v>
      </c>
      <c r="K11708" t="s">
        <v>21600</v>
      </c>
      <c r="L11708" t="s">
        <v>3616</v>
      </c>
    </row>
    <row r="11709" spans="1:12">
      <c r="A11709" t="s">
        <v>30729</v>
      </c>
      <c r="B11709" t="s">
        <v>30730</v>
      </c>
      <c r="C11709" t="s">
        <v>33264</v>
      </c>
      <c r="D11709" t="s">
        <v>30732</v>
      </c>
      <c r="E11709" t="s">
        <v>33265</v>
      </c>
      <c r="F11709" t="s">
        <v>33266</v>
      </c>
      <c r="J11709" t="s">
        <v>33265</v>
      </c>
      <c r="K11709" t="s">
        <v>21600</v>
      </c>
      <c r="L11709" t="s">
        <v>3616</v>
      </c>
    </row>
    <row r="11710" spans="1:12">
      <c r="A11710" t="s">
        <v>30729</v>
      </c>
      <c r="B11710" t="s">
        <v>30730</v>
      </c>
      <c r="C11710" t="s">
        <v>33267</v>
      </c>
      <c r="D11710" t="s">
        <v>30732</v>
      </c>
      <c r="E11710" t="s">
        <v>33268</v>
      </c>
      <c r="F11710" t="s">
        <v>33269</v>
      </c>
      <c r="J11710" t="s">
        <v>33268</v>
      </c>
      <c r="K11710" t="s">
        <v>21600</v>
      </c>
      <c r="L11710" t="s">
        <v>3616</v>
      </c>
    </row>
    <row r="11711" spans="1:12">
      <c r="A11711" t="s">
        <v>30729</v>
      </c>
      <c r="B11711" t="s">
        <v>30730</v>
      </c>
      <c r="C11711" t="s">
        <v>33270</v>
      </c>
      <c r="D11711" t="s">
        <v>30732</v>
      </c>
      <c r="E11711" t="s">
        <v>33271</v>
      </c>
      <c r="F11711" t="s">
        <v>33272</v>
      </c>
      <c r="J11711" t="s">
        <v>33271</v>
      </c>
      <c r="K11711" t="s">
        <v>21600</v>
      </c>
      <c r="L11711" t="s">
        <v>3616</v>
      </c>
    </row>
    <row r="11712" spans="1:12">
      <c r="A11712" t="s">
        <v>30729</v>
      </c>
      <c r="B11712" t="s">
        <v>30730</v>
      </c>
      <c r="C11712" t="s">
        <v>33273</v>
      </c>
      <c r="D11712" t="s">
        <v>30732</v>
      </c>
      <c r="E11712" t="s">
        <v>17425</v>
      </c>
      <c r="F11712" t="s">
        <v>33274</v>
      </c>
      <c r="J11712" t="s">
        <v>17425</v>
      </c>
      <c r="K11712" t="s">
        <v>21600</v>
      </c>
      <c r="L11712" t="s">
        <v>3616</v>
      </c>
    </row>
    <row r="11713" spans="1:12">
      <c r="A11713" t="s">
        <v>30729</v>
      </c>
      <c r="B11713" t="s">
        <v>30730</v>
      </c>
      <c r="C11713" t="s">
        <v>33275</v>
      </c>
      <c r="D11713" t="s">
        <v>30732</v>
      </c>
      <c r="E11713" t="s">
        <v>33276</v>
      </c>
      <c r="F11713" t="s">
        <v>33277</v>
      </c>
      <c r="J11713" t="s">
        <v>33276</v>
      </c>
      <c r="K11713" t="s">
        <v>21600</v>
      </c>
      <c r="L11713" t="s">
        <v>3616</v>
      </c>
    </row>
    <row r="11714" spans="1:12">
      <c r="A11714" t="s">
        <v>30729</v>
      </c>
      <c r="B11714" t="s">
        <v>30730</v>
      </c>
      <c r="C11714" t="s">
        <v>33278</v>
      </c>
      <c r="D11714" t="s">
        <v>30732</v>
      </c>
      <c r="E11714" t="s">
        <v>17436</v>
      </c>
      <c r="F11714" t="s">
        <v>33279</v>
      </c>
      <c r="J11714" t="s">
        <v>17436</v>
      </c>
      <c r="K11714" t="s">
        <v>21600</v>
      </c>
      <c r="L11714" t="s">
        <v>3616</v>
      </c>
    </row>
    <row r="11715" spans="1:12">
      <c r="A11715" t="s">
        <v>30729</v>
      </c>
      <c r="B11715" t="s">
        <v>30730</v>
      </c>
      <c r="C11715" t="s">
        <v>33280</v>
      </c>
      <c r="D11715" t="s">
        <v>30732</v>
      </c>
      <c r="E11715" t="s">
        <v>17440</v>
      </c>
      <c r="F11715" t="s">
        <v>33281</v>
      </c>
      <c r="J11715" t="s">
        <v>17440</v>
      </c>
      <c r="K11715" t="s">
        <v>21600</v>
      </c>
      <c r="L11715" t="s">
        <v>3616</v>
      </c>
    </row>
    <row r="11716" spans="1:12">
      <c r="A11716" t="s">
        <v>30729</v>
      </c>
      <c r="B11716" t="s">
        <v>30730</v>
      </c>
      <c r="C11716" t="s">
        <v>33282</v>
      </c>
      <c r="D11716" t="s">
        <v>30732</v>
      </c>
      <c r="E11716" t="s">
        <v>33283</v>
      </c>
      <c r="F11716" t="s">
        <v>33284</v>
      </c>
      <c r="J11716" t="s">
        <v>33283</v>
      </c>
      <c r="K11716" t="s">
        <v>21600</v>
      </c>
      <c r="L11716" t="s">
        <v>3616</v>
      </c>
    </row>
    <row r="11717" spans="1:12">
      <c r="A11717" t="s">
        <v>30729</v>
      </c>
      <c r="B11717" t="s">
        <v>30730</v>
      </c>
      <c r="C11717" t="s">
        <v>33285</v>
      </c>
      <c r="D11717" t="s">
        <v>30732</v>
      </c>
      <c r="E11717" t="s">
        <v>33286</v>
      </c>
      <c r="F11717" t="s">
        <v>33287</v>
      </c>
      <c r="J11717" t="s">
        <v>33286</v>
      </c>
      <c r="K11717" t="s">
        <v>21600</v>
      </c>
      <c r="L11717" t="s">
        <v>3616</v>
      </c>
    </row>
    <row r="11718" spans="1:12">
      <c r="A11718" t="s">
        <v>30729</v>
      </c>
      <c r="B11718" t="s">
        <v>30730</v>
      </c>
      <c r="C11718" t="s">
        <v>33288</v>
      </c>
      <c r="D11718" t="s">
        <v>30732</v>
      </c>
      <c r="E11718" t="s">
        <v>33289</v>
      </c>
      <c r="F11718" t="s">
        <v>33290</v>
      </c>
      <c r="J11718" t="s">
        <v>33289</v>
      </c>
      <c r="K11718" t="s">
        <v>21600</v>
      </c>
      <c r="L11718" t="s">
        <v>3616</v>
      </c>
    </row>
    <row r="11719" spans="1:12">
      <c r="A11719" t="s">
        <v>30729</v>
      </c>
      <c r="B11719" t="s">
        <v>30730</v>
      </c>
      <c r="C11719" t="s">
        <v>33291</v>
      </c>
      <c r="D11719" t="s">
        <v>30732</v>
      </c>
      <c r="E11719" t="s">
        <v>33292</v>
      </c>
      <c r="F11719" t="s">
        <v>33293</v>
      </c>
      <c r="J11719" t="s">
        <v>33292</v>
      </c>
      <c r="K11719" t="s">
        <v>21600</v>
      </c>
      <c r="L11719" t="s">
        <v>3616</v>
      </c>
    </row>
    <row r="11720" spans="1:12">
      <c r="A11720" t="s">
        <v>30729</v>
      </c>
      <c r="B11720" t="s">
        <v>30730</v>
      </c>
      <c r="C11720" t="s">
        <v>33294</v>
      </c>
      <c r="D11720" t="s">
        <v>30732</v>
      </c>
      <c r="E11720" t="s">
        <v>33295</v>
      </c>
      <c r="F11720" t="s">
        <v>33296</v>
      </c>
      <c r="J11720" t="s">
        <v>33295</v>
      </c>
      <c r="K11720" t="s">
        <v>21600</v>
      </c>
      <c r="L11720" t="s">
        <v>3616</v>
      </c>
    </row>
    <row r="11721" spans="1:12">
      <c r="A11721" t="s">
        <v>30729</v>
      </c>
      <c r="B11721" t="s">
        <v>30730</v>
      </c>
      <c r="C11721" t="s">
        <v>33297</v>
      </c>
      <c r="D11721" t="s">
        <v>30732</v>
      </c>
      <c r="E11721" t="s">
        <v>33298</v>
      </c>
      <c r="F11721" t="s">
        <v>33299</v>
      </c>
      <c r="J11721" t="s">
        <v>33298</v>
      </c>
      <c r="K11721" t="s">
        <v>21600</v>
      </c>
      <c r="L11721" t="s">
        <v>3616</v>
      </c>
    </row>
    <row r="11722" spans="1:12">
      <c r="A11722" t="s">
        <v>30729</v>
      </c>
      <c r="B11722" t="s">
        <v>30730</v>
      </c>
      <c r="C11722" t="s">
        <v>33300</v>
      </c>
      <c r="D11722" t="s">
        <v>30732</v>
      </c>
      <c r="E11722" t="s">
        <v>33301</v>
      </c>
      <c r="F11722" t="s">
        <v>33302</v>
      </c>
      <c r="J11722" t="s">
        <v>33301</v>
      </c>
      <c r="K11722" t="s">
        <v>21600</v>
      </c>
      <c r="L11722" t="s">
        <v>3616</v>
      </c>
    </row>
    <row r="11723" spans="1:12">
      <c r="A11723" t="s">
        <v>30729</v>
      </c>
      <c r="B11723" t="s">
        <v>30730</v>
      </c>
      <c r="C11723" t="s">
        <v>33303</v>
      </c>
      <c r="D11723" t="s">
        <v>30732</v>
      </c>
      <c r="E11723" t="s">
        <v>17476</v>
      </c>
      <c r="F11723" t="s">
        <v>33304</v>
      </c>
      <c r="J11723" t="s">
        <v>17476</v>
      </c>
      <c r="K11723" t="s">
        <v>21600</v>
      </c>
      <c r="L11723" t="s">
        <v>3616</v>
      </c>
    </row>
    <row r="11724" spans="1:12">
      <c r="A11724" t="s">
        <v>30729</v>
      </c>
      <c r="B11724" t="s">
        <v>30730</v>
      </c>
      <c r="C11724" t="s">
        <v>33305</v>
      </c>
      <c r="D11724" t="s">
        <v>30732</v>
      </c>
      <c r="E11724" t="s">
        <v>33306</v>
      </c>
      <c r="F11724" t="s">
        <v>33307</v>
      </c>
      <c r="J11724" t="s">
        <v>33306</v>
      </c>
      <c r="K11724" t="s">
        <v>21600</v>
      </c>
      <c r="L11724" t="s">
        <v>3616</v>
      </c>
    </row>
    <row r="11725" spans="1:12">
      <c r="A11725" t="s">
        <v>30729</v>
      </c>
      <c r="B11725" t="s">
        <v>30730</v>
      </c>
      <c r="C11725" t="s">
        <v>33308</v>
      </c>
      <c r="D11725" t="s">
        <v>30732</v>
      </c>
      <c r="E11725" t="s">
        <v>33309</v>
      </c>
      <c r="F11725" t="s">
        <v>33310</v>
      </c>
      <c r="J11725" t="s">
        <v>33309</v>
      </c>
      <c r="K11725" t="s">
        <v>21600</v>
      </c>
      <c r="L11725" t="s">
        <v>3616</v>
      </c>
    </row>
    <row r="11726" spans="1:12">
      <c r="A11726" t="s">
        <v>30729</v>
      </c>
      <c r="B11726" t="s">
        <v>30730</v>
      </c>
      <c r="C11726" t="s">
        <v>33311</v>
      </c>
      <c r="D11726" t="s">
        <v>30732</v>
      </c>
      <c r="E11726" t="s">
        <v>33312</v>
      </c>
      <c r="F11726" t="s">
        <v>33313</v>
      </c>
      <c r="J11726" t="s">
        <v>33312</v>
      </c>
      <c r="K11726" t="s">
        <v>21600</v>
      </c>
      <c r="L11726" t="s">
        <v>3616</v>
      </c>
    </row>
    <row r="11727" spans="1:12">
      <c r="A11727" t="s">
        <v>30729</v>
      </c>
      <c r="B11727" t="s">
        <v>30730</v>
      </c>
      <c r="C11727" t="s">
        <v>33314</v>
      </c>
      <c r="D11727" t="s">
        <v>30732</v>
      </c>
      <c r="E11727" t="s">
        <v>33315</v>
      </c>
      <c r="F11727" t="s">
        <v>33316</v>
      </c>
      <c r="J11727" t="s">
        <v>33315</v>
      </c>
      <c r="K11727" t="s">
        <v>21600</v>
      </c>
      <c r="L11727" t="s">
        <v>3616</v>
      </c>
    </row>
    <row r="11728" spans="1:12">
      <c r="A11728" t="s">
        <v>30729</v>
      </c>
      <c r="B11728" t="s">
        <v>30730</v>
      </c>
      <c r="C11728" t="s">
        <v>33317</v>
      </c>
      <c r="D11728" t="s">
        <v>30732</v>
      </c>
      <c r="E11728" t="s">
        <v>33318</v>
      </c>
      <c r="F11728" t="s">
        <v>33319</v>
      </c>
    </row>
    <row r="11729" spans="1:12">
      <c r="A11729" t="s">
        <v>30729</v>
      </c>
      <c r="B11729" t="s">
        <v>30730</v>
      </c>
      <c r="C11729" t="s">
        <v>33320</v>
      </c>
      <c r="D11729" t="s">
        <v>30732</v>
      </c>
      <c r="E11729" t="s">
        <v>29117</v>
      </c>
      <c r="F11729" t="s">
        <v>33321</v>
      </c>
      <c r="J11729" t="s">
        <v>29117</v>
      </c>
      <c r="K11729" t="s">
        <v>21600</v>
      </c>
      <c r="L11729" t="s">
        <v>3616</v>
      </c>
    </row>
    <row r="11730" spans="1:12">
      <c r="A11730" t="s">
        <v>30729</v>
      </c>
      <c r="B11730" t="s">
        <v>30730</v>
      </c>
      <c r="C11730" t="s">
        <v>33322</v>
      </c>
      <c r="D11730" t="s">
        <v>30732</v>
      </c>
      <c r="E11730" t="s">
        <v>33323</v>
      </c>
      <c r="F11730" t="s">
        <v>33324</v>
      </c>
      <c r="J11730" t="s">
        <v>33323</v>
      </c>
      <c r="K11730" t="s">
        <v>21600</v>
      </c>
      <c r="L11730" t="s">
        <v>3616</v>
      </c>
    </row>
    <row r="11731" spans="1:12">
      <c r="A11731" t="s">
        <v>30729</v>
      </c>
      <c r="B11731" t="s">
        <v>30730</v>
      </c>
      <c r="C11731" t="s">
        <v>33325</v>
      </c>
      <c r="D11731" t="s">
        <v>30732</v>
      </c>
      <c r="E11731" t="s">
        <v>33326</v>
      </c>
      <c r="F11731" t="s">
        <v>33327</v>
      </c>
      <c r="J11731" t="s">
        <v>33326</v>
      </c>
      <c r="K11731" t="s">
        <v>21600</v>
      </c>
      <c r="L11731" t="s">
        <v>3616</v>
      </c>
    </row>
    <row r="11732" spans="1:12">
      <c r="A11732" t="s">
        <v>30729</v>
      </c>
      <c r="B11732" t="s">
        <v>30730</v>
      </c>
      <c r="C11732" t="s">
        <v>33328</v>
      </c>
      <c r="D11732" t="s">
        <v>30732</v>
      </c>
      <c r="E11732" t="s">
        <v>33329</v>
      </c>
      <c r="F11732" t="s">
        <v>33330</v>
      </c>
      <c r="J11732" t="s">
        <v>33329</v>
      </c>
      <c r="K11732" t="s">
        <v>21600</v>
      </c>
      <c r="L11732" t="s">
        <v>3616</v>
      </c>
    </row>
    <row r="11733" spans="1:12">
      <c r="A11733" t="s">
        <v>30729</v>
      </c>
      <c r="B11733" t="s">
        <v>30730</v>
      </c>
      <c r="C11733" t="s">
        <v>33331</v>
      </c>
      <c r="D11733" t="s">
        <v>30732</v>
      </c>
      <c r="E11733" t="s">
        <v>17553</v>
      </c>
      <c r="F11733" t="s">
        <v>33332</v>
      </c>
      <c r="J11733" t="s">
        <v>17553</v>
      </c>
      <c r="K11733" t="s">
        <v>21600</v>
      </c>
      <c r="L11733" t="s">
        <v>3616</v>
      </c>
    </row>
    <row r="11734" spans="1:12">
      <c r="A11734" t="s">
        <v>30729</v>
      </c>
      <c r="B11734" t="s">
        <v>30730</v>
      </c>
      <c r="C11734" t="s">
        <v>33333</v>
      </c>
      <c r="D11734" t="s">
        <v>30732</v>
      </c>
      <c r="E11734" t="s">
        <v>33334</v>
      </c>
      <c r="F11734" t="s">
        <v>33335</v>
      </c>
      <c r="J11734" t="s">
        <v>33334</v>
      </c>
      <c r="K11734" t="s">
        <v>21600</v>
      </c>
      <c r="L11734" t="s">
        <v>3616</v>
      </c>
    </row>
    <row r="11735" spans="1:12">
      <c r="A11735" t="s">
        <v>30729</v>
      </c>
      <c r="B11735" t="s">
        <v>30730</v>
      </c>
      <c r="C11735" t="s">
        <v>33336</v>
      </c>
      <c r="D11735" t="s">
        <v>30732</v>
      </c>
      <c r="E11735" t="s">
        <v>33337</v>
      </c>
      <c r="F11735" t="s">
        <v>33338</v>
      </c>
      <c r="J11735" t="s">
        <v>33337</v>
      </c>
      <c r="K11735" t="s">
        <v>21600</v>
      </c>
      <c r="L11735" t="s">
        <v>3616</v>
      </c>
    </row>
    <row r="11736" spans="1:12">
      <c r="A11736" t="s">
        <v>30729</v>
      </c>
      <c r="B11736" t="s">
        <v>30730</v>
      </c>
      <c r="C11736" t="s">
        <v>33339</v>
      </c>
      <c r="D11736" t="s">
        <v>30732</v>
      </c>
      <c r="E11736" t="s">
        <v>33340</v>
      </c>
      <c r="F11736" t="s">
        <v>33341</v>
      </c>
      <c r="J11736" t="s">
        <v>33340</v>
      </c>
      <c r="K11736" t="s">
        <v>21600</v>
      </c>
      <c r="L11736" t="s">
        <v>3616</v>
      </c>
    </row>
    <row r="11737" spans="1:12">
      <c r="A11737" t="s">
        <v>30729</v>
      </c>
      <c r="B11737" t="s">
        <v>30730</v>
      </c>
      <c r="C11737" t="s">
        <v>33342</v>
      </c>
      <c r="D11737" t="s">
        <v>30732</v>
      </c>
      <c r="E11737" t="s">
        <v>33343</v>
      </c>
      <c r="F11737" t="s">
        <v>33344</v>
      </c>
      <c r="J11737" t="s">
        <v>33343</v>
      </c>
      <c r="K11737" t="s">
        <v>21600</v>
      </c>
      <c r="L11737" t="s">
        <v>3616</v>
      </c>
    </row>
    <row r="11738" spans="1:12">
      <c r="A11738" t="s">
        <v>30729</v>
      </c>
      <c r="B11738" t="s">
        <v>30730</v>
      </c>
      <c r="C11738" t="s">
        <v>33345</v>
      </c>
      <c r="D11738" t="s">
        <v>30732</v>
      </c>
      <c r="E11738" t="s">
        <v>33346</v>
      </c>
      <c r="F11738" t="s">
        <v>33347</v>
      </c>
      <c r="J11738" t="s">
        <v>33346</v>
      </c>
      <c r="K11738" t="s">
        <v>21600</v>
      </c>
      <c r="L11738" t="s">
        <v>3616</v>
      </c>
    </row>
    <row r="11739" spans="1:12">
      <c r="A11739" t="s">
        <v>30729</v>
      </c>
      <c r="B11739" t="s">
        <v>30730</v>
      </c>
      <c r="C11739" t="s">
        <v>33348</v>
      </c>
      <c r="D11739" t="s">
        <v>30732</v>
      </c>
      <c r="E11739" t="s">
        <v>33349</v>
      </c>
      <c r="F11739" t="s">
        <v>33350</v>
      </c>
      <c r="J11739" t="s">
        <v>33349</v>
      </c>
      <c r="K11739" t="s">
        <v>21600</v>
      </c>
      <c r="L11739" t="s">
        <v>3616</v>
      </c>
    </row>
    <row r="11740" spans="1:12">
      <c r="A11740" t="s">
        <v>30729</v>
      </c>
      <c r="B11740" t="s">
        <v>30730</v>
      </c>
      <c r="C11740" t="s">
        <v>33351</v>
      </c>
      <c r="D11740" t="s">
        <v>30732</v>
      </c>
      <c r="E11740" t="s">
        <v>33352</v>
      </c>
      <c r="F11740" t="s">
        <v>33353</v>
      </c>
      <c r="J11740" t="s">
        <v>33352</v>
      </c>
      <c r="K11740" t="s">
        <v>21600</v>
      </c>
      <c r="L11740" t="s">
        <v>3616</v>
      </c>
    </row>
    <row r="11741" spans="1:12">
      <c r="A11741" t="s">
        <v>30729</v>
      </c>
      <c r="B11741" t="s">
        <v>30730</v>
      </c>
      <c r="C11741" t="s">
        <v>33354</v>
      </c>
      <c r="D11741" t="s">
        <v>30732</v>
      </c>
      <c r="E11741" t="s">
        <v>33355</v>
      </c>
      <c r="F11741" t="s">
        <v>33356</v>
      </c>
      <c r="J11741" t="s">
        <v>33355</v>
      </c>
      <c r="K11741" t="s">
        <v>21600</v>
      </c>
      <c r="L11741" t="s">
        <v>3616</v>
      </c>
    </row>
    <row r="11742" spans="1:12">
      <c r="A11742" t="s">
        <v>30729</v>
      </c>
      <c r="B11742" t="s">
        <v>30730</v>
      </c>
      <c r="C11742" t="s">
        <v>33357</v>
      </c>
      <c r="D11742" t="s">
        <v>30732</v>
      </c>
      <c r="E11742" t="s">
        <v>9230</v>
      </c>
      <c r="F11742" t="s">
        <v>33358</v>
      </c>
      <c r="J11742" t="s">
        <v>9230</v>
      </c>
      <c r="K11742" t="s">
        <v>21600</v>
      </c>
      <c r="L11742" t="s">
        <v>3616</v>
      </c>
    </row>
    <row r="11743" spans="1:12">
      <c r="A11743" t="s">
        <v>30729</v>
      </c>
      <c r="B11743" t="s">
        <v>30730</v>
      </c>
      <c r="C11743" t="s">
        <v>33359</v>
      </c>
      <c r="D11743" t="s">
        <v>30732</v>
      </c>
      <c r="E11743" t="s">
        <v>17593</v>
      </c>
      <c r="F11743" t="s">
        <v>33360</v>
      </c>
      <c r="J11743" t="s">
        <v>17593</v>
      </c>
      <c r="K11743" t="s">
        <v>21600</v>
      </c>
      <c r="L11743" t="s">
        <v>3616</v>
      </c>
    </row>
    <row r="11744" spans="1:12">
      <c r="A11744" t="s">
        <v>30729</v>
      </c>
      <c r="B11744" t="s">
        <v>30730</v>
      </c>
      <c r="C11744" t="s">
        <v>33361</v>
      </c>
      <c r="D11744" t="s">
        <v>30732</v>
      </c>
      <c r="E11744" t="s">
        <v>17604</v>
      </c>
      <c r="F11744" t="s">
        <v>33362</v>
      </c>
      <c r="J11744" t="s">
        <v>17604</v>
      </c>
      <c r="K11744" t="s">
        <v>21600</v>
      </c>
      <c r="L11744" t="s">
        <v>3616</v>
      </c>
    </row>
    <row r="11745" spans="1:12">
      <c r="A11745" t="s">
        <v>30729</v>
      </c>
      <c r="B11745" t="s">
        <v>30730</v>
      </c>
      <c r="C11745" t="s">
        <v>33363</v>
      </c>
      <c r="D11745" t="s">
        <v>30732</v>
      </c>
      <c r="E11745" t="s">
        <v>17614</v>
      </c>
      <c r="F11745" t="s">
        <v>33364</v>
      </c>
      <c r="J11745" t="s">
        <v>17614</v>
      </c>
      <c r="K11745" t="s">
        <v>21600</v>
      </c>
      <c r="L11745" t="s">
        <v>3616</v>
      </c>
    </row>
    <row r="11746" spans="1:12">
      <c r="A11746" t="s">
        <v>30729</v>
      </c>
      <c r="B11746" t="s">
        <v>30730</v>
      </c>
      <c r="C11746" t="s">
        <v>33365</v>
      </c>
      <c r="D11746" t="s">
        <v>30732</v>
      </c>
      <c r="E11746" t="s">
        <v>33366</v>
      </c>
      <c r="F11746" t="s">
        <v>33367</v>
      </c>
      <c r="J11746" t="s">
        <v>33366</v>
      </c>
      <c r="K11746" t="s">
        <v>21600</v>
      </c>
      <c r="L11746" t="s">
        <v>3616</v>
      </c>
    </row>
    <row r="11747" spans="1:12">
      <c r="A11747" t="s">
        <v>30729</v>
      </c>
      <c r="B11747" t="s">
        <v>30730</v>
      </c>
      <c r="C11747" t="s">
        <v>33368</v>
      </c>
      <c r="D11747" t="s">
        <v>30732</v>
      </c>
      <c r="E11747" t="s">
        <v>17621</v>
      </c>
      <c r="F11747" t="s">
        <v>33369</v>
      </c>
    </row>
    <row r="11748" spans="1:12">
      <c r="A11748" t="s">
        <v>30729</v>
      </c>
      <c r="B11748" t="s">
        <v>30730</v>
      </c>
      <c r="C11748" t="s">
        <v>33370</v>
      </c>
      <c r="D11748" t="s">
        <v>30732</v>
      </c>
      <c r="E11748" t="s">
        <v>17625</v>
      </c>
      <c r="F11748" t="s">
        <v>33371</v>
      </c>
      <c r="J11748" t="s">
        <v>17625</v>
      </c>
      <c r="K11748" t="s">
        <v>21600</v>
      </c>
      <c r="L11748" t="s">
        <v>3616</v>
      </c>
    </row>
    <row r="11749" spans="1:12">
      <c r="A11749" t="s">
        <v>30729</v>
      </c>
      <c r="B11749" t="s">
        <v>30730</v>
      </c>
      <c r="C11749" t="s">
        <v>33372</v>
      </c>
      <c r="D11749" t="s">
        <v>30732</v>
      </c>
      <c r="E11749" t="s">
        <v>17629</v>
      </c>
      <c r="F11749" t="s">
        <v>33373</v>
      </c>
      <c r="J11749" t="s">
        <v>17629</v>
      </c>
      <c r="K11749" t="s">
        <v>21600</v>
      </c>
      <c r="L11749" t="s">
        <v>3616</v>
      </c>
    </row>
    <row r="11750" spans="1:12">
      <c r="A11750" t="s">
        <v>30729</v>
      </c>
      <c r="B11750" t="s">
        <v>30730</v>
      </c>
      <c r="C11750" t="s">
        <v>33374</v>
      </c>
      <c r="D11750" t="s">
        <v>30732</v>
      </c>
      <c r="E11750" t="s">
        <v>33375</v>
      </c>
      <c r="F11750" t="s">
        <v>33376</v>
      </c>
      <c r="J11750" t="s">
        <v>33375</v>
      </c>
      <c r="K11750" t="s">
        <v>21600</v>
      </c>
      <c r="L11750" t="s">
        <v>3616</v>
      </c>
    </row>
    <row r="11751" spans="1:12">
      <c r="A11751" t="s">
        <v>30729</v>
      </c>
      <c r="B11751" t="s">
        <v>30730</v>
      </c>
      <c r="C11751" t="s">
        <v>33377</v>
      </c>
      <c r="D11751" t="s">
        <v>30732</v>
      </c>
      <c r="E11751" t="s">
        <v>33378</v>
      </c>
      <c r="F11751" t="s">
        <v>33379</v>
      </c>
      <c r="J11751" t="s">
        <v>33378</v>
      </c>
      <c r="K11751" t="s">
        <v>21600</v>
      </c>
      <c r="L11751" t="s">
        <v>3616</v>
      </c>
    </row>
    <row r="11752" spans="1:12">
      <c r="A11752" t="s">
        <v>30729</v>
      </c>
      <c r="B11752" t="s">
        <v>30730</v>
      </c>
      <c r="C11752" t="s">
        <v>33380</v>
      </c>
      <c r="D11752" t="s">
        <v>30732</v>
      </c>
      <c r="E11752" t="s">
        <v>33381</v>
      </c>
      <c r="F11752" t="s">
        <v>33382</v>
      </c>
    </row>
    <row r="11753" spans="1:12">
      <c r="A11753" t="s">
        <v>30729</v>
      </c>
      <c r="B11753" t="s">
        <v>30730</v>
      </c>
      <c r="C11753" t="s">
        <v>33383</v>
      </c>
      <c r="D11753" t="s">
        <v>30732</v>
      </c>
      <c r="E11753" t="s">
        <v>33384</v>
      </c>
      <c r="F11753" t="s">
        <v>33385</v>
      </c>
      <c r="J11753" t="s">
        <v>33384</v>
      </c>
      <c r="K11753" t="s">
        <v>21600</v>
      </c>
      <c r="L11753" t="s">
        <v>3616</v>
      </c>
    </row>
    <row r="11754" spans="1:12">
      <c r="A11754" t="s">
        <v>30729</v>
      </c>
      <c r="B11754" t="s">
        <v>30730</v>
      </c>
      <c r="C11754" t="s">
        <v>33386</v>
      </c>
      <c r="D11754" t="s">
        <v>30732</v>
      </c>
      <c r="E11754" t="s">
        <v>33387</v>
      </c>
      <c r="F11754" t="s">
        <v>33388</v>
      </c>
      <c r="J11754" t="s">
        <v>33387</v>
      </c>
      <c r="K11754" t="s">
        <v>21600</v>
      </c>
      <c r="L11754" t="s">
        <v>3616</v>
      </c>
    </row>
    <row r="11755" spans="1:12">
      <c r="A11755" t="s">
        <v>30729</v>
      </c>
      <c r="B11755" t="s">
        <v>30730</v>
      </c>
      <c r="C11755" t="s">
        <v>33389</v>
      </c>
      <c r="D11755" t="s">
        <v>30732</v>
      </c>
      <c r="E11755" t="s">
        <v>33390</v>
      </c>
      <c r="F11755" t="s">
        <v>33391</v>
      </c>
      <c r="J11755" t="s">
        <v>33390</v>
      </c>
      <c r="K11755" t="s">
        <v>21600</v>
      </c>
      <c r="L11755" t="s">
        <v>3616</v>
      </c>
    </row>
    <row r="11756" spans="1:12">
      <c r="A11756" t="s">
        <v>30729</v>
      </c>
      <c r="B11756" t="s">
        <v>30730</v>
      </c>
      <c r="C11756" t="s">
        <v>33392</v>
      </c>
      <c r="D11756" t="s">
        <v>30732</v>
      </c>
      <c r="E11756" t="s">
        <v>17644</v>
      </c>
      <c r="F11756" t="s">
        <v>33393</v>
      </c>
      <c r="J11756" t="s">
        <v>17644</v>
      </c>
      <c r="K11756" t="s">
        <v>21600</v>
      </c>
      <c r="L11756" t="s">
        <v>3616</v>
      </c>
    </row>
    <row r="11757" spans="1:12">
      <c r="A11757" t="s">
        <v>30729</v>
      </c>
      <c r="B11757" t="s">
        <v>30730</v>
      </c>
      <c r="C11757" t="s">
        <v>33394</v>
      </c>
      <c r="D11757" t="s">
        <v>30732</v>
      </c>
      <c r="E11757" t="s">
        <v>33395</v>
      </c>
      <c r="F11757" t="s">
        <v>33396</v>
      </c>
      <c r="J11757" t="s">
        <v>33395</v>
      </c>
      <c r="K11757" t="s">
        <v>21600</v>
      </c>
      <c r="L11757" t="s">
        <v>3616</v>
      </c>
    </row>
    <row r="11758" spans="1:12">
      <c r="A11758" t="s">
        <v>30729</v>
      </c>
      <c r="B11758" t="s">
        <v>30730</v>
      </c>
      <c r="C11758" t="s">
        <v>33397</v>
      </c>
      <c r="D11758" t="s">
        <v>30732</v>
      </c>
      <c r="E11758" t="s">
        <v>27355</v>
      </c>
      <c r="F11758" t="s">
        <v>33398</v>
      </c>
    </row>
    <row r="11759" spans="1:12">
      <c r="A11759" t="s">
        <v>30729</v>
      </c>
      <c r="B11759" t="s">
        <v>30730</v>
      </c>
      <c r="C11759" t="s">
        <v>33399</v>
      </c>
      <c r="D11759" t="s">
        <v>30732</v>
      </c>
      <c r="E11759" t="s">
        <v>10780</v>
      </c>
      <c r="F11759" t="s">
        <v>33400</v>
      </c>
      <c r="J11759" t="s">
        <v>10780</v>
      </c>
      <c r="K11759" t="s">
        <v>21600</v>
      </c>
      <c r="L11759" t="s">
        <v>3616</v>
      </c>
    </row>
    <row r="11760" spans="1:12">
      <c r="A11760" t="s">
        <v>30729</v>
      </c>
      <c r="B11760" t="s">
        <v>30730</v>
      </c>
      <c r="C11760" t="s">
        <v>33401</v>
      </c>
      <c r="D11760" t="s">
        <v>30732</v>
      </c>
      <c r="E11760" t="s">
        <v>11286</v>
      </c>
      <c r="F11760" t="s">
        <v>33402</v>
      </c>
      <c r="J11760" t="s">
        <v>11286</v>
      </c>
      <c r="K11760" t="s">
        <v>21600</v>
      </c>
      <c r="L11760" t="s">
        <v>3616</v>
      </c>
    </row>
    <row r="11761" spans="1:12">
      <c r="A11761" t="s">
        <v>30729</v>
      </c>
      <c r="B11761" t="s">
        <v>30730</v>
      </c>
      <c r="C11761" t="s">
        <v>33403</v>
      </c>
      <c r="D11761" t="s">
        <v>30732</v>
      </c>
      <c r="E11761" t="s">
        <v>33404</v>
      </c>
      <c r="F11761" t="s">
        <v>33405</v>
      </c>
      <c r="J11761" t="s">
        <v>33404</v>
      </c>
      <c r="K11761" t="s">
        <v>21600</v>
      </c>
      <c r="L11761" t="s">
        <v>3616</v>
      </c>
    </row>
    <row r="11762" spans="1:12">
      <c r="A11762" t="s">
        <v>30729</v>
      </c>
      <c r="B11762" t="s">
        <v>30730</v>
      </c>
      <c r="C11762" t="s">
        <v>33406</v>
      </c>
      <c r="D11762" t="s">
        <v>30732</v>
      </c>
      <c r="E11762" t="s">
        <v>33407</v>
      </c>
      <c r="F11762" t="s">
        <v>33408</v>
      </c>
      <c r="J11762" t="s">
        <v>33407</v>
      </c>
      <c r="K11762" t="s">
        <v>21600</v>
      </c>
      <c r="L11762" t="s">
        <v>3616</v>
      </c>
    </row>
    <row r="11763" spans="1:12">
      <c r="A11763" t="s">
        <v>30729</v>
      </c>
      <c r="B11763" t="s">
        <v>30730</v>
      </c>
      <c r="C11763" t="s">
        <v>33409</v>
      </c>
      <c r="D11763" t="s">
        <v>30732</v>
      </c>
      <c r="E11763" t="s">
        <v>33410</v>
      </c>
      <c r="F11763" t="s">
        <v>33411</v>
      </c>
      <c r="J11763" t="s">
        <v>33410</v>
      </c>
      <c r="K11763" t="s">
        <v>21600</v>
      </c>
      <c r="L11763" t="s">
        <v>3616</v>
      </c>
    </row>
    <row r="11764" spans="1:12">
      <c r="A11764" t="s">
        <v>30729</v>
      </c>
      <c r="B11764" t="s">
        <v>30730</v>
      </c>
      <c r="C11764" t="s">
        <v>33412</v>
      </c>
      <c r="D11764" t="s">
        <v>30732</v>
      </c>
      <c r="E11764" t="s">
        <v>17678</v>
      </c>
      <c r="F11764" t="s">
        <v>33413</v>
      </c>
      <c r="J11764" t="s">
        <v>17678</v>
      </c>
      <c r="K11764" t="s">
        <v>21600</v>
      </c>
      <c r="L11764" t="s">
        <v>3616</v>
      </c>
    </row>
    <row r="11765" spans="1:12">
      <c r="A11765" t="s">
        <v>30729</v>
      </c>
      <c r="B11765" t="s">
        <v>30730</v>
      </c>
      <c r="C11765" t="s">
        <v>33414</v>
      </c>
      <c r="D11765" t="s">
        <v>30732</v>
      </c>
      <c r="E11765" t="s">
        <v>17686</v>
      </c>
      <c r="F11765" t="s">
        <v>33415</v>
      </c>
      <c r="J11765" t="s">
        <v>17686</v>
      </c>
      <c r="K11765" t="s">
        <v>21600</v>
      </c>
      <c r="L11765" t="s">
        <v>3616</v>
      </c>
    </row>
    <row r="11766" spans="1:12">
      <c r="A11766" t="s">
        <v>30729</v>
      </c>
      <c r="B11766" t="s">
        <v>30730</v>
      </c>
      <c r="C11766" t="s">
        <v>33416</v>
      </c>
      <c r="D11766" t="s">
        <v>30732</v>
      </c>
      <c r="E11766" t="s">
        <v>13471</v>
      </c>
      <c r="F11766" t="s">
        <v>33417</v>
      </c>
      <c r="J11766" t="s">
        <v>13471</v>
      </c>
      <c r="K11766" t="s">
        <v>21600</v>
      </c>
      <c r="L11766" t="s">
        <v>3616</v>
      </c>
    </row>
    <row r="11767" spans="1:12">
      <c r="A11767" t="s">
        <v>30729</v>
      </c>
      <c r="B11767" t="s">
        <v>30730</v>
      </c>
      <c r="C11767" t="s">
        <v>33418</v>
      </c>
      <c r="D11767" t="s">
        <v>30732</v>
      </c>
      <c r="E11767" t="s">
        <v>4091</v>
      </c>
      <c r="F11767" t="s">
        <v>33419</v>
      </c>
    </row>
    <row r="11768" spans="1:12">
      <c r="A11768" t="s">
        <v>30729</v>
      </c>
      <c r="B11768" t="s">
        <v>30730</v>
      </c>
      <c r="C11768" t="s">
        <v>33420</v>
      </c>
      <c r="D11768" t="s">
        <v>30732</v>
      </c>
      <c r="E11768" t="s">
        <v>17716</v>
      </c>
      <c r="F11768" t="s">
        <v>33421</v>
      </c>
      <c r="J11768" t="s">
        <v>17716</v>
      </c>
      <c r="K11768" t="s">
        <v>21600</v>
      </c>
      <c r="L11768" t="s">
        <v>3616</v>
      </c>
    </row>
    <row r="11769" spans="1:12">
      <c r="A11769" t="s">
        <v>30729</v>
      </c>
      <c r="B11769" t="s">
        <v>30730</v>
      </c>
      <c r="C11769" t="s">
        <v>33422</v>
      </c>
      <c r="D11769" t="s">
        <v>30732</v>
      </c>
      <c r="E11769" t="s">
        <v>17720</v>
      </c>
      <c r="F11769" t="s">
        <v>33423</v>
      </c>
    </row>
    <row r="11770" spans="1:12">
      <c r="A11770" t="s">
        <v>30729</v>
      </c>
      <c r="B11770" t="s">
        <v>30730</v>
      </c>
      <c r="C11770" t="s">
        <v>33424</v>
      </c>
      <c r="D11770" t="s">
        <v>30732</v>
      </c>
      <c r="E11770" t="s">
        <v>33425</v>
      </c>
      <c r="F11770" t="s">
        <v>33426</v>
      </c>
      <c r="J11770" t="s">
        <v>33425</v>
      </c>
      <c r="K11770" t="s">
        <v>21600</v>
      </c>
      <c r="L11770" t="s">
        <v>3616</v>
      </c>
    </row>
    <row r="11771" spans="1:12">
      <c r="A11771" t="s">
        <v>30729</v>
      </c>
      <c r="B11771" t="s">
        <v>30730</v>
      </c>
      <c r="C11771" t="s">
        <v>33427</v>
      </c>
      <c r="D11771" t="s">
        <v>30732</v>
      </c>
      <c r="E11771" t="s">
        <v>33428</v>
      </c>
      <c r="F11771" t="s">
        <v>33429</v>
      </c>
      <c r="J11771" t="s">
        <v>33428</v>
      </c>
      <c r="K11771" t="s">
        <v>21600</v>
      </c>
      <c r="L11771" t="s">
        <v>3616</v>
      </c>
    </row>
    <row r="11772" spans="1:12">
      <c r="A11772" t="s">
        <v>30729</v>
      </c>
      <c r="B11772" t="s">
        <v>30730</v>
      </c>
      <c r="C11772" t="s">
        <v>33430</v>
      </c>
      <c r="D11772" t="s">
        <v>30732</v>
      </c>
      <c r="E11772" t="s">
        <v>33431</v>
      </c>
      <c r="F11772" t="s">
        <v>33432</v>
      </c>
      <c r="J11772" t="s">
        <v>33431</v>
      </c>
      <c r="K11772" t="s">
        <v>21600</v>
      </c>
      <c r="L11772" t="s">
        <v>3616</v>
      </c>
    </row>
    <row r="11773" spans="1:12">
      <c r="A11773" t="s">
        <v>30729</v>
      </c>
      <c r="B11773" t="s">
        <v>30730</v>
      </c>
      <c r="C11773" t="s">
        <v>33433</v>
      </c>
      <c r="D11773" t="s">
        <v>30732</v>
      </c>
      <c r="E11773" t="s">
        <v>6784</v>
      </c>
      <c r="F11773" t="s">
        <v>33434</v>
      </c>
      <c r="J11773" t="s">
        <v>6784</v>
      </c>
      <c r="K11773" t="s">
        <v>21600</v>
      </c>
      <c r="L11773" t="s">
        <v>3616</v>
      </c>
    </row>
    <row r="11774" spans="1:12">
      <c r="A11774" t="s">
        <v>30729</v>
      </c>
      <c r="B11774" t="s">
        <v>30730</v>
      </c>
      <c r="C11774" t="s">
        <v>33435</v>
      </c>
      <c r="D11774" t="s">
        <v>30732</v>
      </c>
      <c r="E11774" t="s">
        <v>3477</v>
      </c>
      <c r="F11774" t="s">
        <v>33436</v>
      </c>
    </row>
    <row r="11775" spans="1:12">
      <c r="A11775" t="s">
        <v>30729</v>
      </c>
      <c r="B11775" t="s">
        <v>30730</v>
      </c>
      <c r="C11775" t="s">
        <v>33437</v>
      </c>
      <c r="D11775" t="s">
        <v>30732</v>
      </c>
      <c r="E11775" t="s">
        <v>33438</v>
      </c>
      <c r="F11775" t="s">
        <v>33439</v>
      </c>
      <c r="J11775" t="s">
        <v>33438</v>
      </c>
      <c r="K11775" t="s">
        <v>21600</v>
      </c>
      <c r="L11775" t="s">
        <v>3616</v>
      </c>
    </row>
    <row r="11776" spans="1:12">
      <c r="A11776" t="s">
        <v>30729</v>
      </c>
      <c r="B11776" t="s">
        <v>30730</v>
      </c>
      <c r="C11776" t="s">
        <v>33440</v>
      </c>
      <c r="D11776" t="s">
        <v>30732</v>
      </c>
      <c r="E11776" t="s">
        <v>25261</v>
      </c>
      <c r="F11776" t="s">
        <v>33441</v>
      </c>
      <c r="J11776" t="s">
        <v>25261</v>
      </c>
      <c r="K11776" t="s">
        <v>21600</v>
      </c>
      <c r="L11776" t="s">
        <v>3616</v>
      </c>
    </row>
    <row r="11777" spans="1:12">
      <c r="A11777" t="s">
        <v>30729</v>
      </c>
      <c r="B11777" t="s">
        <v>30730</v>
      </c>
      <c r="C11777" t="s">
        <v>33442</v>
      </c>
      <c r="D11777" t="s">
        <v>30732</v>
      </c>
      <c r="E11777" t="s">
        <v>27358</v>
      </c>
      <c r="F11777" t="s">
        <v>33443</v>
      </c>
      <c r="J11777" t="s">
        <v>27358</v>
      </c>
      <c r="K11777" t="s">
        <v>21600</v>
      </c>
      <c r="L11777" t="s">
        <v>3616</v>
      </c>
    </row>
    <row r="11778" spans="1:12">
      <c r="A11778" t="s">
        <v>30729</v>
      </c>
      <c r="B11778" t="s">
        <v>30730</v>
      </c>
      <c r="C11778" t="s">
        <v>33444</v>
      </c>
      <c r="D11778" t="s">
        <v>30732</v>
      </c>
      <c r="E11778" t="s">
        <v>33445</v>
      </c>
      <c r="F11778" t="s">
        <v>33446</v>
      </c>
      <c r="J11778" t="s">
        <v>33445</v>
      </c>
      <c r="K11778" t="s">
        <v>21600</v>
      </c>
      <c r="L11778" t="s">
        <v>3616</v>
      </c>
    </row>
    <row r="11779" spans="1:12">
      <c r="A11779" t="s">
        <v>30729</v>
      </c>
      <c r="B11779" t="s">
        <v>30730</v>
      </c>
      <c r="C11779" t="s">
        <v>33447</v>
      </c>
      <c r="D11779" t="s">
        <v>30732</v>
      </c>
      <c r="E11779" t="s">
        <v>33448</v>
      </c>
      <c r="F11779" t="s">
        <v>33449</v>
      </c>
      <c r="J11779" t="s">
        <v>33448</v>
      </c>
      <c r="K11779" t="s">
        <v>21600</v>
      </c>
      <c r="L11779" t="s">
        <v>3616</v>
      </c>
    </row>
    <row r="11780" spans="1:12">
      <c r="A11780" t="s">
        <v>30729</v>
      </c>
      <c r="B11780" t="s">
        <v>30730</v>
      </c>
      <c r="C11780" t="s">
        <v>33450</v>
      </c>
      <c r="D11780" t="s">
        <v>30732</v>
      </c>
      <c r="E11780" t="s">
        <v>33451</v>
      </c>
      <c r="F11780" t="s">
        <v>33452</v>
      </c>
      <c r="J11780" t="s">
        <v>33451</v>
      </c>
      <c r="K11780" t="s">
        <v>21600</v>
      </c>
      <c r="L11780" t="s">
        <v>3616</v>
      </c>
    </row>
    <row r="11781" spans="1:12">
      <c r="A11781" t="s">
        <v>30729</v>
      </c>
      <c r="B11781" t="s">
        <v>30730</v>
      </c>
      <c r="C11781" t="s">
        <v>33453</v>
      </c>
      <c r="D11781" t="s">
        <v>30732</v>
      </c>
      <c r="E11781" t="s">
        <v>33454</v>
      </c>
      <c r="F11781" t="s">
        <v>33455</v>
      </c>
    </row>
    <row r="11782" spans="1:12">
      <c r="A11782" t="s">
        <v>30729</v>
      </c>
      <c r="B11782" t="s">
        <v>30730</v>
      </c>
      <c r="C11782" t="s">
        <v>33456</v>
      </c>
      <c r="D11782" t="s">
        <v>30732</v>
      </c>
      <c r="E11782" t="s">
        <v>33457</v>
      </c>
      <c r="F11782" t="s">
        <v>33458</v>
      </c>
    </row>
    <row r="11783" spans="1:12">
      <c r="A11783" t="s">
        <v>30729</v>
      </c>
      <c r="B11783" t="s">
        <v>30730</v>
      </c>
      <c r="C11783" t="s">
        <v>33459</v>
      </c>
      <c r="D11783" t="s">
        <v>30732</v>
      </c>
      <c r="E11783" t="s">
        <v>33460</v>
      </c>
      <c r="F11783" t="s">
        <v>33461</v>
      </c>
      <c r="J11783" t="s">
        <v>33460</v>
      </c>
      <c r="K11783" t="s">
        <v>21600</v>
      </c>
      <c r="L11783" t="s">
        <v>3616</v>
      </c>
    </row>
    <row r="11784" spans="1:12">
      <c r="A11784" t="s">
        <v>30729</v>
      </c>
      <c r="B11784" t="s">
        <v>30730</v>
      </c>
      <c r="C11784" t="s">
        <v>33462</v>
      </c>
      <c r="D11784" t="s">
        <v>30732</v>
      </c>
      <c r="E11784" t="s">
        <v>33463</v>
      </c>
      <c r="F11784" t="s">
        <v>33464</v>
      </c>
      <c r="J11784" t="s">
        <v>33463</v>
      </c>
      <c r="K11784" t="s">
        <v>21600</v>
      </c>
      <c r="L11784" t="s">
        <v>3616</v>
      </c>
    </row>
    <row r="11785" spans="1:12">
      <c r="A11785" t="s">
        <v>30729</v>
      </c>
      <c r="B11785" t="s">
        <v>30730</v>
      </c>
      <c r="C11785" t="s">
        <v>33465</v>
      </c>
      <c r="D11785" t="s">
        <v>30732</v>
      </c>
      <c r="E11785" t="s">
        <v>33466</v>
      </c>
      <c r="F11785" t="s">
        <v>33467</v>
      </c>
      <c r="J11785" t="s">
        <v>33466</v>
      </c>
      <c r="K11785" t="s">
        <v>21600</v>
      </c>
      <c r="L11785" t="s">
        <v>3616</v>
      </c>
    </row>
    <row r="11786" spans="1:12">
      <c r="A11786" t="s">
        <v>30729</v>
      </c>
      <c r="B11786" t="s">
        <v>30730</v>
      </c>
      <c r="C11786" t="s">
        <v>33468</v>
      </c>
      <c r="D11786" t="s">
        <v>30732</v>
      </c>
      <c r="E11786" t="s">
        <v>33469</v>
      </c>
      <c r="F11786" t="s">
        <v>33470</v>
      </c>
      <c r="J11786" t="s">
        <v>33469</v>
      </c>
      <c r="K11786" t="s">
        <v>21600</v>
      </c>
      <c r="L11786" t="s">
        <v>3616</v>
      </c>
    </row>
    <row r="11787" spans="1:12">
      <c r="A11787" t="s">
        <v>30729</v>
      </c>
      <c r="B11787" t="s">
        <v>30730</v>
      </c>
      <c r="C11787" t="s">
        <v>33471</v>
      </c>
      <c r="D11787" t="s">
        <v>30732</v>
      </c>
      <c r="E11787" t="s">
        <v>33472</v>
      </c>
      <c r="F11787" t="s">
        <v>33473</v>
      </c>
      <c r="J11787" t="s">
        <v>33472</v>
      </c>
      <c r="K11787" t="s">
        <v>21600</v>
      </c>
      <c r="L11787" t="s">
        <v>3616</v>
      </c>
    </row>
    <row r="11788" spans="1:12">
      <c r="A11788" t="s">
        <v>30729</v>
      </c>
      <c r="B11788" t="s">
        <v>30730</v>
      </c>
      <c r="C11788" t="s">
        <v>33474</v>
      </c>
      <c r="D11788" t="s">
        <v>30732</v>
      </c>
      <c r="E11788" t="s">
        <v>33475</v>
      </c>
      <c r="F11788" t="s">
        <v>33476</v>
      </c>
    </row>
    <row r="11789" spans="1:12">
      <c r="A11789" t="s">
        <v>30729</v>
      </c>
      <c r="B11789" t="s">
        <v>30730</v>
      </c>
      <c r="C11789" t="s">
        <v>33477</v>
      </c>
      <c r="D11789" t="s">
        <v>30732</v>
      </c>
      <c r="E11789" t="s">
        <v>33478</v>
      </c>
      <c r="F11789" t="s">
        <v>33479</v>
      </c>
      <c r="J11789" t="s">
        <v>33478</v>
      </c>
      <c r="K11789" t="s">
        <v>21600</v>
      </c>
      <c r="L11789" t="s">
        <v>3616</v>
      </c>
    </row>
    <row r="11790" spans="1:12">
      <c r="A11790" t="s">
        <v>30729</v>
      </c>
      <c r="B11790" t="s">
        <v>30730</v>
      </c>
      <c r="C11790" t="s">
        <v>33480</v>
      </c>
      <c r="D11790" t="s">
        <v>30732</v>
      </c>
      <c r="E11790" t="s">
        <v>9243</v>
      </c>
      <c r="F11790" t="s">
        <v>33481</v>
      </c>
      <c r="J11790" t="s">
        <v>9243</v>
      </c>
      <c r="K11790" t="s">
        <v>21600</v>
      </c>
      <c r="L11790" t="s">
        <v>3616</v>
      </c>
    </row>
    <row r="11791" spans="1:12">
      <c r="A11791" t="s">
        <v>30729</v>
      </c>
      <c r="B11791" t="s">
        <v>30730</v>
      </c>
      <c r="C11791" t="s">
        <v>33482</v>
      </c>
      <c r="D11791" t="s">
        <v>30732</v>
      </c>
      <c r="E11791" t="s">
        <v>33483</v>
      </c>
      <c r="F11791" t="s">
        <v>33484</v>
      </c>
      <c r="J11791" t="s">
        <v>33483</v>
      </c>
      <c r="K11791" t="s">
        <v>21600</v>
      </c>
      <c r="L11791" t="s">
        <v>3616</v>
      </c>
    </row>
    <row r="11792" spans="1:12">
      <c r="A11792" t="s">
        <v>30729</v>
      </c>
      <c r="B11792" t="s">
        <v>30730</v>
      </c>
      <c r="C11792" t="s">
        <v>33485</v>
      </c>
      <c r="D11792" t="s">
        <v>30732</v>
      </c>
      <c r="E11792" t="s">
        <v>33486</v>
      </c>
      <c r="F11792" t="s">
        <v>33487</v>
      </c>
      <c r="J11792" t="s">
        <v>33486</v>
      </c>
      <c r="K11792" t="s">
        <v>21600</v>
      </c>
      <c r="L11792" t="s">
        <v>3616</v>
      </c>
    </row>
    <row r="11793" spans="1:12">
      <c r="A11793" t="s">
        <v>30729</v>
      </c>
      <c r="B11793" t="s">
        <v>30730</v>
      </c>
      <c r="C11793" t="s">
        <v>33488</v>
      </c>
      <c r="D11793" t="s">
        <v>30732</v>
      </c>
      <c r="E11793" t="s">
        <v>33489</v>
      </c>
      <c r="F11793" t="s">
        <v>33490</v>
      </c>
    </row>
    <row r="11794" spans="1:12">
      <c r="A11794" t="s">
        <v>30729</v>
      </c>
      <c r="B11794" t="s">
        <v>30730</v>
      </c>
      <c r="C11794" t="s">
        <v>33491</v>
      </c>
      <c r="D11794" t="s">
        <v>30732</v>
      </c>
      <c r="E11794" t="s">
        <v>33492</v>
      </c>
      <c r="F11794" t="s">
        <v>32741</v>
      </c>
      <c r="J11794" t="s">
        <v>33492</v>
      </c>
      <c r="K11794" t="s">
        <v>21600</v>
      </c>
      <c r="L11794" t="s">
        <v>3616</v>
      </c>
    </row>
    <row r="11795" spans="1:12">
      <c r="A11795" t="s">
        <v>30729</v>
      </c>
      <c r="B11795" t="s">
        <v>30730</v>
      </c>
      <c r="C11795" t="s">
        <v>33493</v>
      </c>
      <c r="D11795" t="s">
        <v>30732</v>
      </c>
      <c r="E11795" t="s">
        <v>33494</v>
      </c>
      <c r="F11795" t="s">
        <v>33495</v>
      </c>
      <c r="J11795" t="s">
        <v>33494</v>
      </c>
      <c r="K11795" t="s">
        <v>21600</v>
      </c>
      <c r="L11795" t="s">
        <v>3616</v>
      </c>
    </row>
    <row r="11796" spans="1:12">
      <c r="A11796" t="s">
        <v>30729</v>
      </c>
      <c r="B11796" t="s">
        <v>30730</v>
      </c>
      <c r="C11796" t="s">
        <v>33496</v>
      </c>
      <c r="D11796" t="s">
        <v>30732</v>
      </c>
      <c r="E11796" t="s">
        <v>33497</v>
      </c>
      <c r="F11796" t="s">
        <v>33498</v>
      </c>
      <c r="J11796" t="s">
        <v>33497</v>
      </c>
      <c r="K11796" t="s">
        <v>21600</v>
      </c>
      <c r="L11796" t="s">
        <v>3616</v>
      </c>
    </row>
    <row r="11797" spans="1:12">
      <c r="A11797" t="s">
        <v>30729</v>
      </c>
      <c r="B11797" t="s">
        <v>30730</v>
      </c>
      <c r="C11797" t="s">
        <v>33499</v>
      </c>
      <c r="D11797" t="s">
        <v>30732</v>
      </c>
      <c r="E11797" t="s">
        <v>33500</v>
      </c>
      <c r="F11797" t="s">
        <v>33501</v>
      </c>
      <c r="J11797" t="s">
        <v>33500</v>
      </c>
      <c r="K11797" t="s">
        <v>21600</v>
      </c>
      <c r="L11797" t="s">
        <v>3616</v>
      </c>
    </row>
    <row r="11798" spans="1:12">
      <c r="A11798" t="s">
        <v>30729</v>
      </c>
      <c r="B11798" t="s">
        <v>30730</v>
      </c>
      <c r="C11798" t="s">
        <v>33502</v>
      </c>
      <c r="D11798" t="s">
        <v>30732</v>
      </c>
      <c r="E11798" t="s">
        <v>33503</v>
      </c>
      <c r="F11798" t="s">
        <v>33504</v>
      </c>
    </row>
    <row r="11799" spans="1:12">
      <c r="A11799" t="s">
        <v>30729</v>
      </c>
      <c r="B11799" t="s">
        <v>30730</v>
      </c>
      <c r="C11799" t="s">
        <v>33505</v>
      </c>
      <c r="D11799" t="s">
        <v>30732</v>
      </c>
      <c r="E11799" t="s">
        <v>33506</v>
      </c>
      <c r="F11799" t="s">
        <v>33507</v>
      </c>
      <c r="J11799" t="s">
        <v>33506</v>
      </c>
      <c r="K11799" t="s">
        <v>21600</v>
      </c>
      <c r="L11799" t="s">
        <v>3616</v>
      </c>
    </row>
    <row r="11800" spans="1:12">
      <c r="A11800" t="s">
        <v>30729</v>
      </c>
      <c r="B11800" t="s">
        <v>30730</v>
      </c>
      <c r="C11800" t="s">
        <v>33508</v>
      </c>
      <c r="D11800" t="s">
        <v>30732</v>
      </c>
      <c r="E11800" t="s">
        <v>33509</v>
      </c>
      <c r="F11800" t="s">
        <v>33510</v>
      </c>
      <c r="J11800" t="s">
        <v>33509</v>
      </c>
      <c r="K11800" t="s">
        <v>21600</v>
      </c>
      <c r="L11800" t="s">
        <v>3616</v>
      </c>
    </row>
    <row r="11801" spans="1:12">
      <c r="A11801" t="s">
        <v>30729</v>
      </c>
      <c r="B11801" t="s">
        <v>30730</v>
      </c>
      <c r="C11801" t="s">
        <v>33511</v>
      </c>
      <c r="D11801" t="s">
        <v>30732</v>
      </c>
      <c r="E11801" t="s">
        <v>33512</v>
      </c>
      <c r="F11801" t="s">
        <v>33513</v>
      </c>
      <c r="J11801" t="s">
        <v>33512</v>
      </c>
      <c r="K11801" t="s">
        <v>21600</v>
      </c>
      <c r="L11801" t="s">
        <v>3616</v>
      </c>
    </row>
    <row r="11802" spans="1:12">
      <c r="A11802" t="s">
        <v>30729</v>
      </c>
      <c r="B11802" t="s">
        <v>30730</v>
      </c>
      <c r="C11802" t="s">
        <v>33514</v>
      </c>
      <c r="D11802" t="s">
        <v>30732</v>
      </c>
      <c r="E11802" t="s">
        <v>33515</v>
      </c>
      <c r="F11802" t="s">
        <v>33516</v>
      </c>
      <c r="J11802" t="s">
        <v>33515</v>
      </c>
      <c r="K11802" t="s">
        <v>21600</v>
      </c>
      <c r="L11802" t="s">
        <v>3616</v>
      </c>
    </row>
    <row r="11803" spans="1:12">
      <c r="A11803" t="s">
        <v>30729</v>
      </c>
      <c r="B11803" t="s">
        <v>30730</v>
      </c>
      <c r="C11803" t="s">
        <v>33517</v>
      </c>
      <c r="D11803" t="s">
        <v>30732</v>
      </c>
      <c r="E11803" t="s">
        <v>33518</v>
      </c>
      <c r="F11803" t="s">
        <v>33519</v>
      </c>
      <c r="J11803" t="s">
        <v>33518</v>
      </c>
      <c r="K11803" t="s">
        <v>21600</v>
      </c>
      <c r="L11803" t="s">
        <v>3616</v>
      </c>
    </row>
    <row r="11804" spans="1:12">
      <c r="A11804" t="s">
        <v>30729</v>
      </c>
      <c r="B11804" t="s">
        <v>30730</v>
      </c>
      <c r="C11804" t="s">
        <v>33520</v>
      </c>
      <c r="D11804" t="s">
        <v>30732</v>
      </c>
      <c r="E11804" t="s">
        <v>33521</v>
      </c>
      <c r="F11804" t="s">
        <v>33522</v>
      </c>
      <c r="J11804" t="s">
        <v>33521</v>
      </c>
      <c r="K11804" t="s">
        <v>21600</v>
      </c>
      <c r="L11804" t="s">
        <v>3616</v>
      </c>
    </row>
    <row r="11805" spans="1:12">
      <c r="A11805" t="s">
        <v>30729</v>
      </c>
      <c r="B11805" t="s">
        <v>30730</v>
      </c>
      <c r="C11805" t="s">
        <v>33523</v>
      </c>
      <c r="D11805" t="s">
        <v>30732</v>
      </c>
      <c r="E11805" t="s">
        <v>33524</v>
      </c>
      <c r="F11805" t="s">
        <v>33525</v>
      </c>
      <c r="J11805" t="s">
        <v>33524</v>
      </c>
      <c r="K11805" t="s">
        <v>21600</v>
      </c>
      <c r="L11805" t="s">
        <v>3616</v>
      </c>
    </row>
    <row r="11806" spans="1:12">
      <c r="A11806" t="s">
        <v>30729</v>
      </c>
      <c r="B11806" t="s">
        <v>30730</v>
      </c>
      <c r="C11806" t="s">
        <v>33526</v>
      </c>
      <c r="D11806" t="s">
        <v>30732</v>
      </c>
      <c r="E11806" t="s">
        <v>33527</v>
      </c>
      <c r="F11806" t="s">
        <v>33528</v>
      </c>
      <c r="J11806" t="s">
        <v>33527</v>
      </c>
      <c r="K11806" t="s">
        <v>21600</v>
      </c>
      <c r="L11806" t="s">
        <v>3616</v>
      </c>
    </row>
    <row r="11807" spans="1:12">
      <c r="A11807" t="s">
        <v>30729</v>
      </c>
      <c r="B11807" t="s">
        <v>30730</v>
      </c>
      <c r="C11807" t="s">
        <v>33529</v>
      </c>
      <c r="D11807" t="s">
        <v>30732</v>
      </c>
      <c r="E11807" t="s">
        <v>33530</v>
      </c>
      <c r="F11807" t="s">
        <v>33531</v>
      </c>
      <c r="J11807" t="s">
        <v>33530</v>
      </c>
      <c r="K11807" t="s">
        <v>21600</v>
      </c>
      <c r="L11807" t="s">
        <v>3616</v>
      </c>
    </row>
    <row r="11808" spans="1:12">
      <c r="A11808" t="s">
        <v>30729</v>
      </c>
      <c r="B11808" t="s">
        <v>30730</v>
      </c>
      <c r="C11808" t="s">
        <v>33532</v>
      </c>
      <c r="D11808" t="s">
        <v>30732</v>
      </c>
      <c r="E11808" t="s">
        <v>17811</v>
      </c>
      <c r="F11808" t="s">
        <v>33533</v>
      </c>
    </row>
    <row r="11809" spans="1:12">
      <c r="A11809" t="s">
        <v>30729</v>
      </c>
      <c r="B11809" t="s">
        <v>30730</v>
      </c>
      <c r="C11809" t="s">
        <v>33534</v>
      </c>
      <c r="D11809" t="s">
        <v>30732</v>
      </c>
      <c r="E11809" t="s">
        <v>16061</v>
      </c>
      <c r="F11809" t="s">
        <v>33535</v>
      </c>
      <c r="J11809" t="s">
        <v>16061</v>
      </c>
      <c r="K11809" t="s">
        <v>21600</v>
      </c>
      <c r="L11809" t="s">
        <v>3616</v>
      </c>
    </row>
    <row r="11810" spans="1:12">
      <c r="A11810" t="s">
        <v>30729</v>
      </c>
      <c r="B11810" t="s">
        <v>30730</v>
      </c>
      <c r="C11810" t="s">
        <v>33536</v>
      </c>
      <c r="D11810" t="s">
        <v>30732</v>
      </c>
      <c r="E11810" t="s">
        <v>33537</v>
      </c>
      <c r="F11810" t="s">
        <v>33538</v>
      </c>
      <c r="J11810" t="s">
        <v>33537</v>
      </c>
      <c r="K11810" t="s">
        <v>21600</v>
      </c>
      <c r="L11810" t="s">
        <v>3616</v>
      </c>
    </row>
    <row r="11811" spans="1:12">
      <c r="A11811" t="s">
        <v>30729</v>
      </c>
      <c r="B11811" t="s">
        <v>30730</v>
      </c>
      <c r="C11811" t="s">
        <v>33539</v>
      </c>
      <c r="D11811" t="s">
        <v>30732</v>
      </c>
      <c r="E11811" t="s">
        <v>33540</v>
      </c>
      <c r="F11811" t="s">
        <v>31353</v>
      </c>
      <c r="J11811" t="s">
        <v>33540</v>
      </c>
      <c r="K11811" t="s">
        <v>21600</v>
      </c>
      <c r="L11811" t="s">
        <v>3616</v>
      </c>
    </row>
    <row r="11812" spans="1:12">
      <c r="A11812" t="s">
        <v>30729</v>
      </c>
      <c r="B11812" t="s">
        <v>30730</v>
      </c>
      <c r="C11812" t="s">
        <v>33541</v>
      </c>
      <c r="D11812" t="s">
        <v>30732</v>
      </c>
      <c r="E11812" t="s">
        <v>8330</v>
      </c>
      <c r="F11812" t="s">
        <v>33542</v>
      </c>
      <c r="J11812" t="s">
        <v>8330</v>
      </c>
      <c r="K11812" t="s">
        <v>21600</v>
      </c>
      <c r="L11812" t="s">
        <v>3616</v>
      </c>
    </row>
    <row r="11813" spans="1:12">
      <c r="A11813" t="s">
        <v>30729</v>
      </c>
      <c r="B11813" t="s">
        <v>30730</v>
      </c>
      <c r="C11813" t="s">
        <v>33543</v>
      </c>
      <c r="D11813" t="s">
        <v>30732</v>
      </c>
      <c r="E11813" t="s">
        <v>33544</v>
      </c>
      <c r="F11813" t="s">
        <v>33545</v>
      </c>
      <c r="J11813" t="s">
        <v>33544</v>
      </c>
      <c r="K11813" t="s">
        <v>21600</v>
      </c>
      <c r="L11813" t="s">
        <v>3616</v>
      </c>
    </row>
    <row r="11814" spans="1:12">
      <c r="A11814" t="s">
        <v>30729</v>
      </c>
      <c r="B11814" t="s">
        <v>30730</v>
      </c>
      <c r="C11814" t="s">
        <v>33546</v>
      </c>
      <c r="D11814" t="s">
        <v>30732</v>
      </c>
      <c r="E11814" t="s">
        <v>33547</v>
      </c>
      <c r="F11814" t="s">
        <v>33548</v>
      </c>
      <c r="J11814" t="s">
        <v>33547</v>
      </c>
      <c r="K11814" t="s">
        <v>21600</v>
      </c>
      <c r="L11814" t="s">
        <v>3616</v>
      </c>
    </row>
    <row r="11815" spans="1:12">
      <c r="A11815" t="s">
        <v>30729</v>
      </c>
      <c r="B11815" t="s">
        <v>30730</v>
      </c>
      <c r="C11815" t="s">
        <v>33549</v>
      </c>
      <c r="D11815" t="s">
        <v>30732</v>
      </c>
      <c r="E11815" t="s">
        <v>33550</v>
      </c>
      <c r="F11815" t="s">
        <v>33551</v>
      </c>
      <c r="J11815" t="s">
        <v>33550</v>
      </c>
      <c r="K11815" t="s">
        <v>21600</v>
      </c>
      <c r="L11815" t="s">
        <v>3616</v>
      </c>
    </row>
    <row r="11816" spans="1:12">
      <c r="A11816" t="s">
        <v>30729</v>
      </c>
      <c r="B11816" t="s">
        <v>30730</v>
      </c>
      <c r="C11816" t="s">
        <v>33552</v>
      </c>
      <c r="D11816" t="s">
        <v>30732</v>
      </c>
      <c r="E11816" t="s">
        <v>33553</v>
      </c>
      <c r="F11816" t="s">
        <v>33554</v>
      </c>
      <c r="J11816" t="s">
        <v>33553</v>
      </c>
      <c r="K11816" t="s">
        <v>21600</v>
      </c>
      <c r="L11816" t="s">
        <v>3616</v>
      </c>
    </row>
    <row r="11817" spans="1:12">
      <c r="A11817" t="s">
        <v>30729</v>
      </c>
      <c r="B11817" t="s">
        <v>30730</v>
      </c>
      <c r="C11817" t="s">
        <v>33555</v>
      </c>
      <c r="D11817" t="s">
        <v>30732</v>
      </c>
      <c r="E11817" t="s">
        <v>33556</v>
      </c>
      <c r="F11817" t="s">
        <v>33557</v>
      </c>
      <c r="J11817" t="s">
        <v>33556</v>
      </c>
      <c r="K11817" t="s">
        <v>21600</v>
      </c>
      <c r="L11817" t="s">
        <v>3616</v>
      </c>
    </row>
    <row r="11818" spans="1:12">
      <c r="A11818" t="s">
        <v>30729</v>
      </c>
      <c r="B11818" t="s">
        <v>30730</v>
      </c>
      <c r="C11818" t="s">
        <v>33558</v>
      </c>
      <c r="D11818" t="s">
        <v>30732</v>
      </c>
      <c r="E11818" t="s">
        <v>33559</v>
      </c>
      <c r="F11818" t="s">
        <v>33560</v>
      </c>
      <c r="J11818" t="s">
        <v>33559</v>
      </c>
      <c r="K11818" t="s">
        <v>21600</v>
      </c>
      <c r="L11818" t="s">
        <v>3616</v>
      </c>
    </row>
    <row r="11819" spans="1:12">
      <c r="A11819" t="s">
        <v>30729</v>
      </c>
      <c r="B11819" t="s">
        <v>30730</v>
      </c>
      <c r="C11819" t="s">
        <v>33561</v>
      </c>
      <c r="D11819" t="s">
        <v>30732</v>
      </c>
      <c r="E11819" t="s">
        <v>33562</v>
      </c>
      <c r="F11819" t="s">
        <v>33563</v>
      </c>
      <c r="J11819" t="s">
        <v>33562</v>
      </c>
      <c r="K11819" t="s">
        <v>21600</v>
      </c>
      <c r="L11819" t="s">
        <v>3616</v>
      </c>
    </row>
    <row r="11820" spans="1:12">
      <c r="A11820" t="s">
        <v>30729</v>
      </c>
      <c r="B11820" t="s">
        <v>30730</v>
      </c>
      <c r="C11820" t="s">
        <v>33564</v>
      </c>
      <c r="D11820" t="s">
        <v>30732</v>
      </c>
      <c r="E11820" t="s">
        <v>33565</v>
      </c>
      <c r="F11820" t="s">
        <v>33566</v>
      </c>
      <c r="J11820" t="s">
        <v>33565</v>
      </c>
      <c r="K11820" t="s">
        <v>21600</v>
      </c>
      <c r="L11820" t="s">
        <v>3616</v>
      </c>
    </row>
    <row r="11821" spans="1:12">
      <c r="A11821" t="s">
        <v>30729</v>
      </c>
      <c r="B11821" t="s">
        <v>30730</v>
      </c>
      <c r="C11821" t="s">
        <v>33567</v>
      </c>
      <c r="D11821" t="s">
        <v>30732</v>
      </c>
      <c r="E11821" t="s">
        <v>9252</v>
      </c>
      <c r="F11821" t="s">
        <v>33568</v>
      </c>
      <c r="J11821" t="s">
        <v>9252</v>
      </c>
      <c r="K11821" t="s">
        <v>21600</v>
      </c>
      <c r="L11821" t="s">
        <v>3616</v>
      </c>
    </row>
    <row r="11822" spans="1:12">
      <c r="A11822" t="s">
        <v>30729</v>
      </c>
      <c r="B11822" t="s">
        <v>30730</v>
      </c>
      <c r="C11822" t="s">
        <v>33569</v>
      </c>
      <c r="D11822" t="s">
        <v>30732</v>
      </c>
      <c r="E11822" t="s">
        <v>2220</v>
      </c>
      <c r="F11822" t="s">
        <v>33570</v>
      </c>
    </row>
    <row r="11823" spans="1:12">
      <c r="A11823" t="s">
        <v>30729</v>
      </c>
      <c r="B11823" t="s">
        <v>30730</v>
      </c>
      <c r="C11823" t="s">
        <v>33571</v>
      </c>
      <c r="D11823" t="s">
        <v>30732</v>
      </c>
      <c r="E11823" t="s">
        <v>3480</v>
      </c>
      <c r="F11823" t="s">
        <v>33572</v>
      </c>
      <c r="J11823" t="s">
        <v>3480</v>
      </c>
      <c r="K11823" t="s">
        <v>21600</v>
      </c>
      <c r="L11823" t="s">
        <v>3616</v>
      </c>
    </row>
    <row r="11824" spans="1:12">
      <c r="A11824" t="s">
        <v>30729</v>
      </c>
      <c r="B11824" t="s">
        <v>30730</v>
      </c>
      <c r="C11824" t="s">
        <v>33573</v>
      </c>
      <c r="D11824" t="s">
        <v>30732</v>
      </c>
      <c r="E11824" t="s">
        <v>17857</v>
      </c>
      <c r="F11824" t="s">
        <v>33574</v>
      </c>
    </row>
    <row r="11825" spans="1:12">
      <c r="A11825" t="s">
        <v>30729</v>
      </c>
      <c r="B11825" t="s">
        <v>30730</v>
      </c>
      <c r="C11825" t="s">
        <v>33575</v>
      </c>
      <c r="D11825" t="s">
        <v>30732</v>
      </c>
      <c r="E11825" t="s">
        <v>9266</v>
      </c>
      <c r="F11825" t="s">
        <v>33576</v>
      </c>
    </row>
    <row r="11826" spans="1:12">
      <c r="A11826" t="s">
        <v>30729</v>
      </c>
      <c r="B11826" t="s">
        <v>30730</v>
      </c>
      <c r="C11826" t="s">
        <v>33577</v>
      </c>
      <c r="D11826" t="s">
        <v>30732</v>
      </c>
      <c r="E11826" t="s">
        <v>17886</v>
      </c>
      <c r="F11826" t="s">
        <v>33578</v>
      </c>
    </row>
    <row r="11827" spans="1:12">
      <c r="A11827" t="s">
        <v>30729</v>
      </c>
      <c r="B11827" t="s">
        <v>30730</v>
      </c>
      <c r="C11827" t="s">
        <v>33579</v>
      </c>
      <c r="D11827" t="s">
        <v>30732</v>
      </c>
      <c r="E11827" t="s">
        <v>33580</v>
      </c>
      <c r="F11827" t="s">
        <v>33581</v>
      </c>
      <c r="J11827" t="s">
        <v>33580</v>
      </c>
      <c r="K11827" t="s">
        <v>21600</v>
      </c>
      <c r="L11827" t="s">
        <v>3616</v>
      </c>
    </row>
    <row r="11828" spans="1:12">
      <c r="A11828" t="s">
        <v>30729</v>
      </c>
      <c r="B11828" t="s">
        <v>30730</v>
      </c>
      <c r="C11828" t="s">
        <v>33582</v>
      </c>
      <c r="D11828" t="s">
        <v>30732</v>
      </c>
      <c r="E11828" t="s">
        <v>24233</v>
      </c>
      <c r="F11828" t="s">
        <v>33583</v>
      </c>
      <c r="J11828" t="s">
        <v>24233</v>
      </c>
      <c r="K11828" t="s">
        <v>21600</v>
      </c>
      <c r="L11828" t="s">
        <v>3616</v>
      </c>
    </row>
    <row r="11829" spans="1:12">
      <c r="A11829" t="s">
        <v>30729</v>
      </c>
      <c r="B11829" t="s">
        <v>30730</v>
      </c>
      <c r="C11829" t="s">
        <v>33584</v>
      </c>
      <c r="D11829" t="s">
        <v>30732</v>
      </c>
      <c r="E11829" t="s">
        <v>33585</v>
      </c>
      <c r="F11829" t="s">
        <v>33586</v>
      </c>
      <c r="J11829" t="s">
        <v>33585</v>
      </c>
      <c r="K11829" t="s">
        <v>21600</v>
      </c>
      <c r="L11829" t="s">
        <v>3616</v>
      </c>
    </row>
    <row r="11830" spans="1:12">
      <c r="A11830" t="s">
        <v>30729</v>
      </c>
      <c r="B11830" t="s">
        <v>30730</v>
      </c>
      <c r="C11830" t="s">
        <v>33587</v>
      </c>
      <c r="D11830" t="s">
        <v>30732</v>
      </c>
      <c r="E11830" t="s">
        <v>33588</v>
      </c>
      <c r="F11830" t="s">
        <v>33589</v>
      </c>
      <c r="J11830" t="s">
        <v>33588</v>
      </c>
      <c r="K11830" t="s">
        <v>21600</v>
      </c>
      <c r="L11830" t="s">
        <v>3616</v>
      </c>
    </row>
    <row r="11831" spans="1:12">
      <c r="A11831" t="s">
        <v>30729</v>
      </c>
      <c r="B11831" t="s">
        <v>30730</v>
      </c>
      <c r="C11831" t="s">
        <v>33590</v>
      </c>
      <c r="D11831" t="s">
        <v>30732</v>
      </c>
      <c r="E11831" t="s">
        <v>33591</v>
      </c>
      <c r="F11831" t="s">
        <v>33592</v>
      </c>
      <c r="J11831" t="s">
        <v>33591</v>
      </c>
      <c r="K11831" t="s">
        <v>21600</v>
      </c>
      <c r="L11831" t="s">
        <v>3616</v>
      </c>
    </row>
    <row r="11832" spans="1:12">
      <c r="A11832" t="s">
        <v>30729</v>
      </c>
      <c r="B11832" t="s">
        <v>30730</v>
      </c>
      <c r="C11832" t="s">
        <v>33593</v>
      </c>
      <c r="D11832" t="s">
        <v>30732</v>
      </c>
      <c r="E11832" t="s">
        <v>33594</v>
      </c>
      <c r="F11832" t="s">
        <v>33595</v>
      </c>
      <c r="J11832" t="s">
        <v>33594</v>
      </c>
      <c r="K11832" t="s">
        <v>21600</v>
      </c>
      <c r="L11832" t="s">
        <v>3616</v>
      </c>
    </row>
    <row r="11833" spans="1:12">
      <c r="A11833" t="s">
        <v>30729</v>
      </c>
      <c r="B11833" t="s">
        <v>30730</v>
      </c>
      <c r="C11833" t="s">
        <v>33596</v>
      </c>
      <c r="D11833" t="s">
        <v>30732</v>
      </c>
      <c r="E11833" t="s">
        <v>33597</v>
      </c>
      <c r="F11833" t="s">
        <v>33598</v>
      </c>
      <c r="J11833" t="s">
        <v>33597</v>
      </c>
      <c r="K11833" t="s">
        <v>21600</v>
      </c>
      <c r="L11833" t="s">
        <v>3616</v>
      </c>
    </row>
    <row r="11834" spans="1:12">
      <c r="A11834" t="s">
        <v>30729</v>
      </c>
      <c r="B11834" t="s">
        <v>30730</v>
      </c>
      <c r="C11834" t="s">
        <v>33599</v>
      </c>
      <c r="D11834" t="s">
        <v>30732</v>
      </c>
      <c r="E11834" t="s">
        <v>17960</v>
      </c>
      <c r="F11834" t="s">
        <v>33600</v>
      </c>
      <c r="J11834" t="s">
        <v>17960</v>
      </c>
      <c r="K11834" t="s">
        <v>21600</v>
      </c>
      <c r="L11834" t="s">
        <v>3616</v>
      </c>
    </row>
    <row r="11835" spans="1:12">
      <c r="A11835" t="s">
        <v>30729</v>
      </c>
      <c r="B11835" t="s">
        <v>30730</v>
      </c>
      <c r="C11835" t="s">
        <v>33601</v>
      </c>
      <c r="D11835" t="s">
        <v>30732</v>
      </c>
      <c r="E11835" t="s">
        <v>9272</v>
      </c>
      <c r="F11835" t="s">
        <v>33602</v>
      </c>
    </row>
    <row r="11836" spans="1:12">
      <c r="A11836" t="s">
        <v>30729</v>
      </c>
      <c r="B11836" t="s">
        <v>30730</v>
      </c>
      <c r="C11836" t="s">
        <v>33603</v>
      </c>
      <c r="D11836" t="s">
        <v>30732</v>
      </c>
      <c r="E11836" t="s">
        <v>33604</v>
      </c>
      <c r="F11836" t="s">
        <v>33605</v>
      </c>
      <c r="J11836" t="s">
        <v>33604</v>
      </c>
      <c r="K11836" t="s">
        <v>21600</v>
      </c>
      <c r="L11836" t="s">
        <v>3616</v>
      </c>
    </row>
    <row r="11837" spans="1:12">
      <c r="A11837" t="s">
        <v>30729</v>
      </c>
      <c r="B11837" t="s">
        <v>30730</v>
      </c>
      <c r="C11837" t="s">
        <v>33606</v>
      </c>
      <c r="D11837" t="s">
        <v>30732</v>
      </c>
      <c r="E11837" t="s">
        <v>23559</v>
      </c>
      <c r="F11837" t="s">
        <v>33607</v>
      </c>
    </row>
    <row r="11838" spans="1:12">
      <c r="A11838" t="s">
        <v>30729</v>
      </c>
      <c r="B11838" t="s">
        <v>30730</v>
      </c>
      <c r="C11838" t="s">
        <v>33608</v>
      </c>
      <c r="D11838" t="s">
        <v>30732</v>
      </c>
      <c r="E11838" t="s">
        <v>33609</v>
      </c>
      <c r="F11838" t="s">
        <v>33610</v>
      </c>
      <c r="J11838" t="s">
        <v>33609</v>
      </c>
      <c r="K11838" t="s">
        <v>21600</v>
      </c>
      <c r="L11838" t="s">
        <v>3616</v>
      </c>
    </row>
    <row r="11839" spans="1:12">
      <c r="A11839" t="s">
        <v>30729</v>
      </c>
      <c r="B11839" t="s">
        <v>30730</v>
      </c>
      <c r="C11839" t="s">
        <v>33611</v>
      </c>
      <c r="D11839" t="s">
        <v>30732</v>
      </c>
      <c r="E11839" t="s">
        <v>33612</v>
      </c>
      <c r="F11839" t="s">
        <v>33613</v>
      </c>
      <c r="J11839" t="s">
        <v>33612</v>
      </c>
      <c r="K11839" t="s">
        <v>21600</v>
      </c>
      <c r="L11839" t="s">
        <v>3616</v>
      </c>
    </row>
    <row r="11840" spans="1:12">
      <c r="A11840" t="s">
        <v>30729</v>
      </c>
      <c r="B11840" t="s">
        <v>30730</v>
      </c>
      <c r="C11840" t="s">
        <v>33614</v>
      </c>
      <c r="D11840" t="s">
        <v>30732</v>
      </c>
      <c r="E11840" t="s">
        <v>33615</v>
      </c>
      <c r="F11840" t="s">
        <v>33616</v>
      </c>
      <c r="J11840" t="s">
        <v>33615</v>
      </c>
      <c r="K11840" t="s">
        <v>21600</v>
      </c>
      <c r="L11840" t="s">
        <v>3616</v>
      </c>
    </row>
    <row r="11841" spans="1:12">
      <c r="A11841" t="s">
        <v>30729</v>
      </c>
      <c r="B11841" t="s">
        <v>30730</v>
      </c>
      <c r="C11841" t="s">
        <v>33617</v>
      </c>
      <c r="D11841" t="s">
        <v>30732</v>
      </c>
      <c r="E11841" t="s">
        <v>33618</v>
      </c>
      <c r="F11841" t="s">
        <v>33619</v>
      </c>
      <c r="J11841" t="s">
        <v>33618</v>
      </c>
      <c r="K11841" t="s">
        <v>21600</v>
      </c>
      <c r="L11841" t="s">
        <v>3616</v>
      </c>
    </row>
    <row r="11842" spans="1:12">
      <c r="A11842" t="s">
        <v>30729</v>
      </c>
      <c r="B11842" t="s">
        <v>30730</v>
      </c>
      <c r="C11842" t="s">
        <v>33620</v>
      </c>
      <c r="D11842" t="s">
        <v>30732</v>
      </c>
      <c r="E11842" t="s">
        <v>30474</v>
      </c>
      <c r="F11842" t="s">
        <v>33621</v>
      </c>
      <c r="J11842" t="s">
        <v>18340</v>
      </c>
      <c r="K11842" t="s">
        <v>21600</v>
      </c>
      <c r="L11842" t="s">
        <v>3616</v>
      </c>
    </row>
    <row r="11843" spans="1:12">
      <c r="A11843" t="s">
        <v>30729</v>
      </c>
      <c r="B11843" t="s">
        <v>30730</v>
      </c>
      <c r="C11843" t="s">
        <v>33622</v>
      </c>
      <c r="D11843" t="s">
        <v>30732</v>
      </c>
      <c r="E11843" t="s">
        <v>18055</v>
      </c>
      <c r="F11843" t="s">
        <v>33623</v>
      </c>
      <c r="J11843" t="s">
        <v>18055</v>
      </c>
      <c r="K11843" t="s">
        <v>21600</v>
      </c>
      <c r="L11843" t="s">
        <v>3616</v>
      </c>
    </row>
    <row r="11844" spans="1:12">
      <c r="A11844" t="s">
        <v>30729</v>
      </c>
      <c r="B11844" t="s">
        <v>30730</v>
      </c>
      <c r="C11844" t="s">
        <v>33624</v>
      </c>
      <c r="D11844" t="s">
        <v>30732</v>
      </c>
      <c r="E11844" t="s">
        <v>33625</v>
      </c>
      <c r="F11844" t="s">
        <v>33626</v>
      </c>
      <c r="J11844" t="s">
        <v>33625</v>
      </c>
      <c r="K11844" t="s">
        <v>21600</v>
      </c>
      <c r="L11844" t="s">
        <v>3616</v>
      </c>
    </row>
    <row r="11845" spans="1:12">
      <c r="A11845" t="s">
        <v>30729</v>
      </c>
      <c r="B11845" t="s">
        <v>30730</v>
      </c>
      <c r="C11845" t="s">
        <v>33627</v>
      </c>
      <c r="D11845" t="s">
        <v>30732</v>
      </c>
      <c r="E11845" t="s">
        <v>18149</v>
      </c>
      <c r="F11845" t="s">
        <v>33628</v>
      </c>
      <c r="J11845" t="s">
        <v>18149</v>
      </c>
      <c r="K11845" t="s">
        <v>21600</v>
      </c>
      <c r="L11845" t="s">
        <v>3616</v>
      </c>
    </row>
    <row r="11846" spans="1:12">
      <c r="A11846" t="s">
        <v>30729</v>
      </c>
      <c r="B11846" t="s">
        <v>30730</v>
      </c>
      <c r="C11846" t="s">
        <v>33629</v>
      </c>
      <c r="D11846" t="s">
        <v>30732</v>
      </c>
      <c r="E11846" t="s">
        <v>18153</v>
      </c>
      <c r="F11846" t="s">
        <v>33630</v>
      </c>
      <c r="J11846" t="s">
        <v>18153</v>
      </c>
      <c r="K11846" t="s">
        <v>21600</v>
      </c>
      <c r="L11846" t="s">
        <v>3616</v>
      </c>
    </row>
    <row r="11847" spans="1:12">
      <c r="A11847" t="s">
        <v>30729</v>
      </c>
      <c r="B11847" t="s">
        <v>30730</v>
      </c>
      <c r="C11847" t="s">
        <v>33631</v>
      </c>
      <c r="D11847" t="s">
        <v>30732</v>
      </c>
      <c r="E11847" t="s">
        <v>24252</v>
      </c>
      <c r="F11847" t="s">
        <v>33632</v>
      </c>
      <c r="J11847" t="s">
        <v>24252</v>
      </c>
      <c r="K11847" t="s">
        <v>21600</v>
      </c>
      <c r="L11847" t="s">
        <v>3616</v>
      </c>
    </row>
    <row r="11848" spans="1:12">
      <c r="A11848" t="s">
        <v>30729</v>
      </c>
      <c r="B11848" t="s">
        <v>30730</v>
      </c>
      <c r="C11848" t="s">
        <v>33633</v>
      </c>
      <c r="D11848" t="s">
        <v>30732</v>
      </c>
      <c r="E11848" t="s">
        <v>18161</v>
      </c>
      <c r="F11848" t="s">
        <v>33634</v>
      </c>
      <c r="J11848" t="s">
        <v>18161</v>
      </c>
      <c r="K11848" t="s">
        <v>21600</v>
      </c>
      <c r="L11848" t="s">
        <v>3616</v>
      </c>
    </row>
    <row r="11849" spans="1:12">
      <c r="A11849" t="s">
        <v>30729</v>
      </c>
      <c r="B11849" t="s">
        <v>30730</v>
      </c>
      <c r="C11849" t="s">
        <v>33635</v>
      </c>
      <c r="D11849" t="s">
        <v>30732</v>
      </c>
      <c r="E11849" t="s">
        <v>18169</v>
      </c>
      <c r="F11849" t="s">
        <v>33636</v>
      </c>
      <c r="J11849" t="s">
        <v>18169</v>
      </c>
      <c r="K11849" t="s">
        <v>21600</v>
      </c>
      <c r="L11849" t="s">
        <v>3616</v>
      </c>
    </row>
    <row r="11850" spans="1:12">
      <c r="A11850" t="s">
        <v>30729</v>
      </c>
      <c r="B11850" t="s">
        <v>30730</v>
      </c>
      <c r="C11850" t="s">
        <v>33637</v>
      </c>
      <c r="D11850" t="s">
        <v>30732</v>
      </c>
      <c r="E11850" t="s">
        <v>18173</v>
      </c>
      <c r="F11850" t="s">
        <v>33638</v>
      </c>
      <c r="J11850" t="s">
        <v>18173</v>
      </c>
      <c r="K11850" t="s">
        <v>21600</v>
      </c>
      <c r="L11850" t="s">
        <v>3616</v>
      </c>
    </row>
    <row r="11851" spans="1:12">
      <c r="A11851" t="s">
        <v>30729</v>
      </c>
      <c r="B11851" t="s">
        <v>30730</v>
      </c>
      <c r="C11851" t="s">
        <v>33639</v>
      </c>
      <c r="D11851" t="s">
        <v>30732</v>
      </c>
      <c r="E11851" t="s">
        <v>18188</v>
      </c>
      <c r="F11851" t="s">
        <v>33640</v>
      </c>
      <c r="J11851" t="s">
        <v>18188</v>
      </c>
      <c r="K11851" t="s">
        <v>21600</v>
      </c>
      <c r="L11851" t="s">
        <v>3616</v>
      </c>
    </row>
    <row r="11852" spans="1:12">
      <c r="A11852" t="s">
        <v>30729</v>
      </c>
      <c r="B11852" t="s">
        <v>30730</v>
      </c>
      <c r="C11852" t="s">
        <v>33641</v>
      </c>
      <c r="D11852" t="s">
        <v>30732</v>
      </c>
      <c r="E11852" t="s">
        <v>18192</v>
      </c>
      <c r="F11852" t="s">
        <v>33642</v>
      </c>
      <c r="J11852" t="s">
        <v>18192</v>
      </c>
      <c r="K11852" t="s">
        <v>21600</v>
      </c>
      <c r="L11852" t="s">
        <v>3616</v>
      </c>
    </row>
    <row r="11853" spans="1:12">
      <c r="A11853" t="s">
        <v>30729</v>
      </c>
      <c r="B11853" t="s">
        <v>30730</v>
      </c>
      <c r="C11853" t="s">
        <v>33643</v>
      </c>
      <c r="D11853" t="s">
        <v>30732</v>
      </c>
      <c r="E11853" t="s">
        <v>33644</v>
      </c>
      <c r="F11853" t="s">
        <v>33645</v>
      </c>
      <c r="J11853" t="s">
        <v>33644</v>
      </c>
      <c r="K11853" t="s">
        <v>21600</v>
      </c>
      <c r="L11853" t="s">
        <v>3616</v>
      </c>
    </row>
    <row r="11854" spans="1:12">
      <c r="A11854" t="s">
        <v>30729</v>
      </c>
      <c r="B11854" t="s">
        <v>30730</v>
      </c>
      <c r="C11854" t="s">
        <v>33646</v>
      </c>
      <c r="D11854" t="s">
        <v>30732</v>
      </c>
      <c r="E11854" t="s">
        <v>13506</v>
      </c>
      <c r="F11854" t="s">
        <v>33647</v>
      </c>
      <c r="J11854" t="s">
        <v>13506</v>
      </c>
      <c r="K11854" t="s">
        <v>21600</v>
      </c>
      <c r="L11854" t="s">
        <v>3616</v>
      </c>
    </row>
    <row r="11855" spans="1:12">
      <c r="A11855" t="s">
        <v>30729</v>
      </c>
      <c r="B11855" t="s">
        <v>30730</v>
      </c>
      <c r="C11855" t="s">
        <v>33648</v>
      </c>
      <c r="D11855" t="s">
        <v>30732</v>
      </c>
      <c r="E11855" t="s">
        <v>8333</v>
      </c>
      <c r="F11855" t="s">
        <v>33649</v>
      </c>
      <c r="J11855" t="s">
        <v>8333</v>
      </c>
      <c r="K11855" t="s">
        <v>21600</v>
      </c>
      <c r="L11855" t="s">
        <v>3616</v>
      </c>
    </row>
    <row r="11856" spans="1:12">
      <c r="A11856" t="s">
        <v>30729</v>
      </c>
      <c r="B11856" t="s">
        <v>30730</v>
      </c>
      <c r="C11856" t="s">
        <v>33650</v>
      </c>
      <c r="D11856" t="s">
        <v>30732</v>
      </c>
      <c r="E11856" t="s">
        <v>2256</v>
      </c>
      <c r="F11856" t="s">
        <v>33651</v>
      </c>
      <c r="J11856" t="s">
        <v>2256</v>
      </c>
      <c r="K11856" t="s">
        <v>21600</v>
      </c>
      <c r="L11856" t="s">
        <v>3616</v>
      </c>
    </row>
    <row r="11857" spans="1:12">
      <c r="A11857" t="s">
        <v>30729</v>
      </c>
      <c r="B11857" t="s">
        <v>30730</v>
      </c>
      <c r="C11857" t="s">
        <v>33652</v>
      </c>
      <c r="D11857" t="s">
        <v>30732</v>
      </c>
      <c r="E11857" t="s">
        <v>33653</v>
      </c>
      <c r="F11857" t="s">
        <v>33654</v>
      </c>
      <c r="J11857" t="s">
        <v>33653</v>
      </c>
      <c r="K11857" t="s">
        <v>21600</v>
      </c>
      <c r="L11857" t="s">
        <v>3616</v>
      </c>
    </row>
    <row r="11858" spans="1:12">
      <c r="A11858" t="s">
        <v>30729</v>
      </c>
      <c r="B11858" t="s">
        <v>30730</v>
      </c>
      <c r="C11858" t="s">
        <v>33655</v>
      </c>
      <c r="D11858" t="s">
        <v>30732</v>
      </c>
      <c r="E11858" t="s">
        <v>33656</v>
      </c>
      <c r="F11858" t="s">
        <v>33657</v>
      </c>
      <c r="J11858" t="s">
        <v>33656</v>
      </c>
      <c r="K11858" t="s">
        <v>21600</v>
      </c>
      <c r="L11858" t="s">
        <v>3616</v>
      </c>
    </row>
    <row r="11859" spans="1:12">
      <c r="A11859" t="s">
        <v>30729</v>
      </c>
      <c r="B11859" t="s">
        <v>30730</v>
      </c>
      <c r="C11859" t="s">
        <v>33658</v>
      </c>
      <c r="D11859" t="s">
        <v>30732</v>
      </c>
      <c r="E11859" t="s">
        <v>18242</v>
      </c>
      <c r="F11859" t="s">
        <v>33659</v>
      </c>
      <c r="J11859" t="s">
        <v>18242</v>
      </c>
      <c r="K11859" t="s">
        <v>21600</v>
      </c>
      <c r="L11859" t="s">
        <v>3616</v>
      </c>
    </row>
    <row r="11860" spans="1:12">
      <c r="A11860" t="s">
        <v>30729</v>
      </c>
      <c r="B11860" t="s">
        <v>30730</v>
      </c>
      <c r="C11860" t="s">
        <v>33660</v>
      </c>
      <c r="D11860" t="s">
        <v>30732</v>
      </c>
      <c r="E11860" t="s">
        <v>18275</v>
      </c>
      <c r="F11860" t="s">
        <v>33661</v>
      </c>
      <c r="J11860" t="s">
        <v>18275</v>
      </c>
      <c r="K11860" t="s">
        <v>21600</v>
      </c>
      <c r="L11860" t="s">
        <v>3616</v>
      </c>
    </row>
    <row r="11861" spans="1:12">
      <c r="A11861" t="s">
        <v>30729</v>
      </c>
      <c r="B11861" t="s">
        <v>30730</v>
      </c>
      <c r="C11861" t="s">
        <v>33662</v>
      </c>
      <c r="D11861" t="s">
        <v>30732</v>
      </c>
      <c r="E11861" t="s">
        <v>18282</v>
      </c>
      <c r="F11861" t="s">
        <v>33663</v>
      </c>
      <c r="J11861" t="s">
        <v>18282</v>
      </c>
      <c r="K11861" t="s">
        <v>21600</v>
      </c>
      <c r="L11861" t="s">
        <v>3616</v>
      </c>
    </row>
    <row r="11862" spans="1:12">
      <c r="A11862" t="s">
        <v>30729</v>
      </c>
      <c r="B11862" t="s">
        <v>30730</v>
      </c>
      <c r="C11862" t="s">
        <v>33664</v>
      </c>
      <c r="D11862" t="s">
        <v>30732</v>
      </c>
      <c r="E11862" t="s">
        <v>29547</v>
      </c>
      <c r="F11862" t="s">
        <v>33665</v>
      </c>
    </row>
    <row r="11863" spans="1:12">
      <c r="A11863" t="s">
        <v>30729</v>
      </c>
      <c r="B11863" t="s">
        <v>30730</v>
      </c>
      <c r="C11863" t="s">
        <v>33666</v>
      </c>
      <c r="D11863" t="s">
        <v>30732</v>
      </c>
      <c r="E11863" t="s">
        <v>18323</v>
      </c>
      <c r="F11863" t="s">
        <v>33667</v>
      </c>
      <c r="J11863" t="s">
        <v>18323</v>
      </c>
      <c r="K11863" t="s">
        <v>21600</v>
      </c>
      <c r="L11863" t="s">
        <v>3616</v>
      </c>
    </row>
    <row r="11864" spans="1:12">
      <c r="A11864" t="s">
        <v>30729</v>
      </c>
      <c r="B11864" t="s">
        <v>30730</v>
      </c>
      <c r="C11864" t="s">
        <v>33668</v>
      </c>
      <c r="D11864" t="s">
        <v>30732</v>
      </c>
      <c r="E11864" t="s">
        <v>33669</v>
      </c>
      <c r="F11864" t="s">
        <v>33670</v>
      </c>
      <c r="J11864" t="s">
        <v>33669</v>
      </c>
      <c r="K11864" t="s">
        <v>21600</v>
      </c>
      <c r="L11864" t="s">
        <v>3616</v>
      </c>
    </row>
    <row r="11865" spans="1:12">
      <c r="A11865" t="s">
        <v>30729</v>
      </c>
      <c r="B11865" t="s">
        <v>30730</v>
      </c>
      <c r="C11865" t="s">
        <v>33671</v>
      </c>
      <c r="D11865" t="s">
        <v>30732</v>
      </c>
      <c r="E11865" t="s">
        <v>18340</v>
      </c>
      <c r="F11865" t="s">
        <v>33672</v>
      </c>
    </row>
    <row r="11866" spans="1:12">
      <c r="A11866" t="s">
        <v>30729</v>
      </c>
      <c r="B11866" t="s">
        <v>30730</v>
      </c>
      <c r="C11866" t="s">
        <v>33673</v>
      </c>
      <c r="D11866" t="s">
        <v>30732</v>
      </c>
      <c r="E11866" t="s">
        <v>14066</v>
      </c>
      <c r="F11866" t="s">
        <v>33674</v>
      </c>
      <c r="J11866" t="s">
        <v>14066</v>
      </c>
      <c r="K11866" t="s">
        <v>21600</v>
      </c>
      <c r="L11866" t="s">
        <v>3616</v>
      </c>
    </row>
    <row r="11867" spans="1:12">
      <c r="A11867" t="s">
        <v>30729</v>
      </c>
      <c r="B11867" t="s">
        <v>30730</v>
      </c>
      <c r="C11867" t="s">
        <v>33675</v>
      </c>
      <c r="D11867" t="s">
        <v>30732</v>
      </c>
      <c r="E11867" t="s">
        <v>18392</v>
      </c>
      <c r="F11867" t="s">
        <v>33676</v>
      </c>
      <c r="J11867" t="s">
        <v>18392</v>
      </c>
      <c r="K11867" t="s">
        <v>21600</v>
      </c>
      <c r="L11867" t="s">
        <v>3616</v>
      </c>
    </row>
    <row r="11868" spans="1:12">
      <c r="A11868" t="s">
        <v>30729</v>
      </c>
      <c r="B11868" t="s">
        <v>30730</v>
      </c>
      <c r="C11868" t="s">
        <v>33677</v>
      </c>
      <c r="D11868" t="s">
        <v>30732</v>
      </c>
      <c r="E11868" t="s">
        <v>18396</v>
      </c>
      <c r="F11868" t="s">
        <v>33678</v>
      </c>
      <c r="J11868" t="s">
        <v>18396</v>
      </c>
      <c r="K11868" t="s">
        <v>21600</v>
      </c>
      <c r="L11868" t="s">
        <v>3616</v>
      </c>
    </row>
    <row r="11869" spans="1:12">
      <c r="A11869" t="s">
        <v>30729</v>
      </c>
      <c r="B11869" t="s">
        <v>30730</v>
      </c>
      <c r="C11869" t="s">
        <v>33679</v>
      </c>
      <c r="D11869" t="s">
        <v>30732</v>
      </c>
      <c r="E11869" t="s">
        <v>33680</v>
      </c>
      <c r="F11869" t="s">
        <v>33681</v>
      </c>
      <c r="J11869" t="s">
        <v>33680</v>
      </c>
      <c r="K11869" t="s">
        <v>21600</v>
      </c>
      <c r="L11869" t="s">
        <v>3616</v>
      </c>
    </row>
    <row r="11870" spans="1:12">
      <c r="A11870" t="s">
        <v>30729</v>
      </c>
      <c r="B11870" t="s">
        <v>30730</v>
      </c>
      <c r="C11870" t="s">
        <v>33682</v>
      </c>
      <c r="D11870" t="s">
        <v>30732</v>
      </c>
      <c r="E11870" t="s">
        <v>33683</v>
      </c>
      <c r="F11870" t="s">
        <v>33684</v>
      </c>
      <c r="J11870" t="s">
        <v>33683</v>
      </c>
      <c r="K11870" t="s">
        <v>21600</v>
      </c>
      <c r="L11870" t="s">
        <v>3616</v>
      </c>
    </row>
    <row r="11871" spans="1:12">
      <c r="A11871" t="s">
        <v>30729</v>
      </c>
      <c r="B11871" t="s">
        <v>30730</v>
      </c>
      <c r="C11871" t="s">
        <v>33685</v>
      </c>
      <c r="D11871" t="s">
        <v>30732</v>
      </c>
      <c r="E11871" t="s">
        <v>33686</v>
      </c>
      <c r="F11871" t="s">
        <v>33687</v>
      </c>
      <c r="J11871" t="s">
        <v>33686</v>
      </c>
      <c r="K11871" t="s">
        <v>21600</v>
      </c>
      <c r="L11871" t="s">
        <v>3616</v>
      </c>
    </row>
    <row r="11872" spans="1:12">
      <c r="A11872" t="s">
        <v>30729</v>
      </c>
      <c r="B11872" t="s">
        <v>30730</v>
      </c>
      <c r="C11872" t="s">
        <v>33688</v>
      </c>
      <c r="D11872" t="s">
        <v>30732</v>
      </c>
      <c r="E11872" t="s">
        <v>33689</v>
      </c>
      <c r="F11872" t="s">
        <v>33690</v>
      </c>
      <c r="J11872" t="s">
        <v>33689</v>
      </c>
      <c r="K11872" t="s">
        <v>21600</v>
      </c>
      <c r="L11872" t="s">
        <v>3616</v>
      </c>
    </row>
    <row r="11873" spans="1:12">
      <c r="A11873" t="s">
        <v>30729</v>
      </c>
      <c r="B11873" t="s">
        <v>30730</v>
      </c>
      <c r="C11873" t="s">
        <v>33691</v>
      </c>
      <c r="D11873" t="s">
        <v>30732</v>
      </c>
      <c r="E11873" t="s">
        <v>33692</v>
      </c>
      <c r="F11873" t="s">
        <v>33693</v>
      </c>
      <c r="J11873" t="s">
        <v>33692</v>
      </c>
      <c r="K11873" t="s">
        <v>21600</v>
      </c>
      <c r="L11873" t="s">
        <v>3616</v>
      </c>
    </row>
    <row r="11874" spans="1:12">
      <c r="A11874" t="s">
        <v>30729</v>
      </c>
      <c r="B11874" t="s">
        <v>30730</v>
      </c>
      <c r="C11874" t="s">
        <v>33694</v>
      </c>
      <c r="D11874" t="s">
        <v>30732</v>
      </c>
      <c r="E11874" t="s">
        <v>33695</v>
      </c>
      <c r="F11874" t="s">
        <v>33696</v>
      </c>
      <c r="J11874" t="s">
        <v>33695</v>
      </c>
      <c r="K11874" t="s">
        <v>21600</v>
      </c>
      <c r="L11874" t="s">
        <v>3616</v>
      </c>
    </row>
    <row r="11875" spans="1:12">
      <c r="A11875" t="s">
        <v>30729</v>
      </c>
      <c r="B11875" t="s">
        <v>30730</v>
      </c>
      <c r="C11875" t="s">
        <v>33697</v>
      </c>
      <c r="D11875" t="s">
        <v>30732</v>
      </c>
      <c r="E11875" t="s">
        <v>33698</v>
      </c>
      <c r="F11875" t="s">
        <v>33699</v>
      </c>
      <c r="J11875" t="s">
        <v>33698</v>
      </c>
      <c r="K11875" t="s">
        <v>21600</v>
      </c>
      <c r="L11875" t="s">
        <v>3616</v>
      </c>
    </row>
    <row r="11876" spans="1:12">
      <c r="A11876" t="s">
        <v>30729</v>
      </c>
      <c r="B11876" t="s">
        <v>30730</v>
      </c>
      <c r="C11876" t="s">
        <v>33700</v>
      </c>
      <c r="D11876" t="s">
        <v>30732</v>
      </c>
      <c r="E11876" t="s">
        <v>30340</v>
      </c>
      <c r="F11876" t="s">
        <v>33701</v>
      </c>
      <c r="J11876" t="s">
        <v>30340</v>
      </c>
      <c r="K11876" t="s">
        <v>21600</v>
      </c>
      <c r="L11876" t="s">
        <v>3616</v>
      </c>
    </row>
    <row r="11877" spans="1:12">
      <c r="A11877" t="s">
        <v>30729</v>
      </c>
      <c r="B11877" t="s">
        <v>30730</v>
      </c>
      <c r="C11877" t="s">
        <v>33702</v>
      </c>
      <c r="D11877" t="s">
        <v>30732</v>
      </c>
      <c r="E11877" t="s">
        <v>33703</v>
      </c>
      <c r="F11877" t="s">
        <v>33704</v>
      </c>
      <c r="J11877" t="s">
        <v>33703</v>
      </c>
      <c r="K11877" t="s">
        <v>21600</v>
      </c>
      <c r="L11877" t="s">
        <v>3616</v>
      </c>
    </row>
    <row r="11878" spans="1:12">
      <c r="A11878" t="s">
        <v>30729</v>
      </c>
      <c r="B11878" t="s">
        <v>30730</v>
      </c>
      <c r="C11878" t="s">
        <v>33705</v>
      </c>
      <c r="D11878" t="s">
        <v>30732</v>
      </c>
      <c r="E11878" t="s">
        <v>18488</v>
      </c>
      <c r="F11878" t="s">
        <v>33706</v>
      </c>
      <c r="J11878" t="s">
        <v>18488</v>
      </c>
      <c r="K11878" t="s">
        <v>21600</v>
      </c>
      <c r="L11878" t="s">
        <v>3616</v>
      </c>
    </row>
    <row r="11879" spans="1:12">
      <c r="A11879" t="s">
        <v>30729</v>
      </c>
      <c r="B11879" t="s">
        <v>30730</v>
      </c>
      <c r="C11879" t="s">
        <v>33707</v>
      </c>
      <c r="D11879" t="s">
        <v>30732</v>
      </c>
      <c r="E11879" t="s">
        <v>18498</v>
      </c>
      <c r="F11879" t="s">
        <v>33708</v>
      </c>
      <c r="J11879" t="s">
        <v>18498</v>
      </c>
      <c r="K11879" t="s">
        <v>21600</v>
      </c>
      <c r="L11879" t="s">
        <v>3616</v>
      </c>
    </row>
    <row r="11880" spans="1:12">
      <c r="A11880" t="s">
        <v>30729</v>
      </c>
      <c r="B11880" t="s">
        <v>30730</v>
      </c>
      <c r="C11880" t="s">
        <v>33709</v>
      </c>
      <c r="D11880" t="s">
        <v>30732</v>
      </c>
      <c r="E11880" t="s">
        <v>18514</v>
      </c>
      <c r="F11880" t="s">
        <v>33710</v>
      </c>
    </row>
    <row r="11881" spans="1:12">
      <c r="A11881" t="s">
        <v>30729</v>
      </c>
      <c r="B11881" t="s">
        <v>30730</v>
      </c>
      <c r="C11881" t="s">
        <v>33711</v>
      </c>
      <c r="D11881" t="s">
        <v>30732</v>
      </c>
      <c r="E11881" t="s">
        <v>33712</v>
      </c>
      <c r="F11881" t="s">
        <v>33713</v>
      </c>
      <c r="J11881" t="s">
        <v>33712</v>
      </c>
      <c r="K11881" t="s">
        <v>21600</v>
      </c>
      <c r="L11881" t="s">
        <v>3616</v>
      </c>
    </row>
    <row r="11882" spans="1:12">
      <c r="A11882" t="s">
        <v>30729</v>
      </c>
      <c r="B11882" t="s">
        <v>30730</v>
      </c>
      <c r="C11882" t="s">
        <v>33714</v>
      </c>
      <c r="D11882" t="s">
        <v>30732</v>
      </c>
      <c r="E11882" t="s">
        <v>33715</v>
      </c>
      <c r="F11882" t="s">
        <v>33716</v>
      </c>
      <c r="J11882" t="s">
        <v>33715</v>
      </c>
      <c r="K11882" t="s">
        <v>21600</v>
      </c>
      <c r="L11882" t="s">
        <v>3616</v>
      </c>
    </row>
    <row r="11883" spans="1:12">
      <c r="A11883" t="s">
        <v>30729</v>
      </c>
      <c r="B11883" t="s">
        <v>30730</v>
      </c>
      <c r="C11883" t="s">
        <v>33717</v>
      </c>
      <c r="D11883" t="s">
        <v>30732</v>
      </c>
      <c r="E11883" t="s">
        <v>18549</v>
      </c>
      <c r="F11883" t="s">
        <v>33718</v>
      </c>
      <c r="J11883" t="s">
        <v>18549</v>
      </c>
      <c r="K11883" t="s">
        <v>21600</v>
      </c>
      <c r="L11883" t="s">
        <v>3616</v>
      </c>
    </row>
    <row r="11884" spans="1:12">
      <c r="A11884" t="s">
        <v>30729</v>
      </c>
      <c r="B11884" t="s">
        <v>30730</v>
      </c>
      <c r="C11884" t="s">
        <v>33719</v>
      </c>
      <c r="D11884" t="s">
        <v>30732</v>
      </c>
      <c r="E11884" t="s">
        <v>18558</v>
      </c>
      <c r="F11884" t="s">
        <v>33720</v>
      </c>
      <c r="J11884" t="s">
        <v>18558</v>
      </c>
      <c r="K11884" t="s">
        <v>21600</v>
      </c>
      <c r="L11884" t="s">
        <v>3616</v>
      </c>
    </row>
    <row r="11885" spans="1:12">
      <c r="A11885" t="s">
        <v>30729</v>
      </c>
      <c r="B11885" t="s">
        <v>30730</v>
      </c>
      <c r="C11885" t="s">
        <v>33721</v>
      </c>
      <c r="D11885" t="s">
        <v>30732</v>
      </c>
      <c r="E11885" t="s">
        <v>18607</v>
      </c>
      <c r="F11885" t="s">
        <v>33722</v>
      </c>
      <c r="J11885" t="s">
        <v>18607</v>
      </c>
      <c r="K11885" t="s">
        <v>21600</v>
      </c>
      <c r="L11885" t="s">
        <v>3616</v>
      </c>
    </row>
    <row r="11886" spans="1:12">
      <c r="A11886" t="s">
        <v>30729</v>
      </c>
      <c r="B11886" t="s">
        <v>30730</v>
      </c>
      <c r="C11886" t="s">
        <v>33723</v>
      </c>
      <c r="D11886" t="s">
        <v>30732</v>
      </c>
      <c r="E11886" t="s">
        <v>18616</v>
      </c>
      <c r="F11886" t="s">
        <v>33724</v>
      </c>
    </row>
    <row r="11887" spans="1:12">
      <c r="A11887" t="s">
        <v>30729</v>
      </c>
      <c r="B11887" t="s">
        <v>30730</v>
      </c>
      <c r="C11887" t="s">
        <v>33725</v>
      </c>
      <c r="D11887" t="s">
        <v>30732</v>
      </c>
      <c r="E11887" t="s">
        <v>33726</v>
      </c>
      <c r="F11887" t="s">
        <v>33727</v>
      </c>
      <c r="J11887" t="s">
        <v>33726</v>
      </c>
      <c r="K11887" t="s">
        <v>21600</v>
      </c>
      <c r="L11887" t="s">
        <v>3616</v>
      </c>
    </row>
    <row r="11888" spans="1:12">
      <c r="A11888" t="s">
        <v>30729</v>
      </c>
      <c r="B11888" t="s">
        <v>30730</v>
      </c>
      <c r="C11888" t="s">
        <v>33728</v>
      </c>
      <c r="D11888" t="s">
        <v>30732</v>
      </c>
      <c r="E11888" t="s">
        <v>33729</v>
      </c>
      <c r="F11888" t="s">
        <v>33730</v>
      </c>
      <c r="J11888" t="s">
        <v>33729</v>
      </c>
      <c r="K11888" t="s">
        <v>21600</v>
      </c>
      <c r="L11888" t="s">
        <v>3616</v>
      </c>
    </row>
    <row r="11889" spans="1:12">
      <c r="A11889" t="s">
        <v>30729</v>
      </c>
      <c r="B11889" t="s">
        <v>30730</v>
      </c>
      <c r="C11889" t="s">
        <v>33731</v>
      </c>
      <c r="D11889" t="s">
        <v>30732</v>
      </c>
      <c r="E11889" t="s">
        <v>33732</v>
      </c>
      <c r="F11889" t="s">
        <v>33733</v>
      </c>
      <c r="J11889" t="s">
        <v>33732</v>
      </c>
      <c r="K11889" t="s">
        <v>21600</v>
      </c>
      <c r="L11889" t="s">
        <v>3616</v>
      </c>
    </row>
    <row r="11890" spans="1:12">
      <c r="A11890" t="s">
        <v>30729</v>
      </c>
      <c r="B11890" t="s">
        <v>30730</v>
      </c>
      <c r="C11890" t="s">
        <v>33734</v>
      </c>
      <c r="D11890" t="s">
        <v>30732</v>
      </c>
      <c r="E11890" t="s">
        <v>18639</v>
      </c>
      <c r="F11890" t="s">
        <v>33735</v>
      </c>
    </row>
    <row r="11891" spans="1:12">
      <c r="A11891" t="s">
        <v>30729</v>
      </c>
      <c r="B11891" t="s">
        <v>30730</v>
      </c>
      <c r="C11891" t="s">
        <v>33736</v>
      </c>
      <c r="D11891" t="s">
        <v>30732</v>
      </c>
      <c r="E11891" t="s">
        <v>33737</v>
      </c>
      <c r="F11891" t="s">
        <v>33738</v>
      </c>
      <c r="J11891" t="s">
        <v>33737</v>
      </c>
      <c r="K11891" t="s">
        <v>21600</v>
      </c>
      <c r="L11891" t="s">
        <v>3616</v>
      </c>
    </row>
    <row r="11892" spans="1:12">
      <c r="A11892" t="s">
        <v>30729</v>
      </c>
      <c r="B11892" t="s">
        <v>30730</v>
      </c>
      <c r="C11892" t="s">
        <v>33739</v>
      </c>
      <c r="D11892" t="s">
        <v>30732</v>
      </c>
      <c r="E11892" t="s">
        <v>769</v>
      </c>
      <c r="F11892" t="s">
        <v>33740</v>
      </c>
    </row>
    <row r="11893" spans="1:12">
      <c r="A11893" t="s">
        <v>30729</v>
      </c>
      <c r="B11893" t="s">
        <v>30730</v>
      </c>
      <c r="C11893" t="s">
        <v>33741</v>
      </c>
      <c r="D11893" t="s">
        <v>30732</v>
      </c>
      <c r="E11893" t="s">
        <v>33742</v>
      </c>
      <c r="F11893" t="s">
        <v>33743</v>
      </c>
      <c r="J11893" t="s">
        <v>33742</v>
      </c>
      <c r="K11893" t="s">
        <v>21600</v>
      </c>
      <c r="L11893" t="s">
        <v>3616</v>
      </c>
    </row>
    <row r="11894" spans="1:12">
      <c r="A11894" t="s">
        <v>30729</v>
      </c>
      <c r="B11894" t="s">
        <v>30730</v>
      </c>
      <c r="C11894" t="s">
        <v>33744</v>
      </c>
      <c r="D11894" t="s">
        <v>30732</v>
      </c>
      <c r="E11894" t="s">
        <v>13808</v>
      </c>
      <c r="F11894" t="s">
        <v>33745</v>
      </c>
      <c r="J11894" t="s">
        <v>13808</v>
      </c>
      <c r="K11894" t="s">
        <v>21600</v>
      </c>
      <c r="L11894" t="s">
        <v>3616</v>
      </c>
    </row>
    <row r="11895" spans="1:12">
      <c r="A11895" t="s">
        <v>30729</v>
      </c>
      <c r="B11895" t="s">
        <v>30730</v>
      </c>
      <c r="C11895" t="s">
        <v>33746</v>
      </c>
      <c r="D11895" t="s">
        <v>30732</v>
      </c>
      <c r="E11895" t="s">
        <v>33747</v>
      </c>
      <c r="F11895" t="s">
        <v>33748</v>
      </c>
      <c r="J11895" t="s">
        <v>33747</v>
      </c>
      <c r="K11895" t="s">
        <v>21600</v>
      </c>
      <c r="L11895" t="s">
        <v>3616</v>
      </c>
    </row>
    <row r="11896" spans="1:12">
      <c r="A11896" t="s">
        <v>30729</v>
      </c>
      <c r="B11896" t="s">
        <v>30730</v>
      </c>
      <c r="C11896" t="s">
        <v>33749</v>
      </c>
      <c r="D11896" t="s">
        <v>30732</v>
      </c>
      <c r="E11896" t="s">
        <v>18665</v>
      </c>
      <c r="F11896" t="s">
        <v>33750</v>
      </c>
      <c r="J11896" t="s">
        <v>18665</v>
      </c>
      <c r="K11896" t="s">
        <v>21600</v>
      </c>
      <c r="L11896" t="s">
        <v>3616</v>
      </c>
    </row>
    <row r="11897" spans="1:12">
      <c r="A11897" t="s">
        <v>30729</v>
      </c>
      <c r="B11897" t="s">
        <v>30730</v>
      </c>
      <c r="C11897" t="s">
        <v>33751</v>
      </c>
      <c r="D11897" t="s">
        <v>30732</v>
      </c>
      <c r="E11897" t="s">
        <v>33752</v>
      </c>
      <c r="F11897" t="s">
        <v>33753</v>
      </c>
      <c r="J11897" t="s">
        <v>33752</v>
      </c>
      <c r="K11897" t="s">
        <v>21600</v>
      </c>
      <c r="L11897" t="s">
        <v>3616</v>
      </c>
    </row>
    <row r="11898" spans="1:12">
      <c r="A11898" t="s">
        <v>30729</v>
      </c>
      <c r="B11898" t="s">
        <v>30730</v>
      </c>
      <c r="C11898" t="s">
        <v>33754</v>
      </c>
      <c r="D11898" t="s">
        <v>30732</v>
      </c>
      <c r="E11898" t="s">
        <v>18688</v>
      </c>
      <c r="F11898" t="s">
        <v>33755</v>
      </c>
      <c r="J11898" t="s">
        <v>18688</v>
      </c>
      <c r="K11898" t="s">
        <v>21600</v>
      </c>
      <c r="L11898" t="s">
        <v>3616</v>
      </c>
    </row>
    <row r="11899" spans="1:12">
      <c r="A11899" t="s">
        <v>30729</v>
      </c>
      <c r="B11899" t="s">
        <v>30730</v>
      </c>
      <c r="C11899" t="s">
        <v>33756</v>
      </c>
      <c r="D11899" t="s">
        <v>30732</v>
      </c>
      <c r="E11899" t="s">
        <v>33757</v>
      </c>
      <c r="F11899" t="s">
        <v>33758</v>
      </c>
      <c r="J11899" t="s">
        <v>33757</v>
      </c>
      <c r="K11899" t="s">
        <v>21600</v>
      </c>
      <c r="L11899" t="s">
        <v>3616</v>
      </c>
    </row>
    <row r="11900" spans="1:12">
      <c r="A11900" t="s">
        <v>30729</v>
      </c>
      <c r="B11900" t="s">
        <v>30730</v>
      </c>
      <c r="C11900" t="s">
        <v>33759</v>
      </c>
      <c r="D11900" t="s">
        <v>30732</v>
      </c>
      <c r="E11900" t="s">
        <v>33760</v>
      </c>
      <c r="F11900" t="s">
        <v>33761</v>
      </c>
      <c r="J11900" t="s">
        <v>33760</v>
      </c>
      <c r="K11900" t="s">
        <v>21600</v>
      </c>
      <c r="L11900" t="s">
        <v>3616</v>
      </c>
    </row>
    <row r="11901" spans="1:12">
      <c r="A11901" t="s">
        <v>30729</v>
      </c>
      <c r="B11901" t="s">
        <v>30730</v>
      </c>
      <c r="C11901" t="s">
        <v>33762</v>
      </c>
      <c r="D11901" t="s">
        <v>30732</v>
      </c>
      <c r="E11901" t="s">
        <v>33763</v>
      </c>
      <c r="F11901" t="s">
        <v>33764</v>
      </c>
      <c r="J11901" t="s">
        <v>33763</v>
      </c>
      <c r="K11901" t="s">
        <v>21600</v>
      </c>
      <c r="L11901" t="s">
        <v>3616</v>
      </c>
    </row>
    <row r="11902" spans="1:12">
      <c r="A11902" t="s">
        <v>30729</v>
      </c>
      <c r="B11902" t="s">
        <v>30730</v>
      </c>
      <c r="C11902" t="s">
        <v>33765</v>
      </c>
      <c r="D11902" t="s">
        <v>30732</v>
      </c>
      <c r="E11902" t="s">
        <v>966</v>
      </c>
      <c r="F11902" t="s">
        <v>33766</v>
      </c>
      <c r="J11902" t="s">
        <v>966</v>
      </c>
      <c r="K11902" t="s">
        <v>21600</v>
      </c>
      <c r="L11902" t="s">
        <v>3616</v>
      </c>
    </row>
    <row r="11903" spans="1:12">
      <c r="A11903" t="s">
        <v>30729</v>
      </c>
      <c r="B11903" t="s">
        <v>30730</v>
      </c>
      <c r="C11903" t="s">
        <v>33767</v>
      </c>
      <c r="D11903" t="s">
        <v>30732</v>
      </c>
      <c r="E11903" t="s">
        <v>9337</v>
      </c>
      <c r="F11903" t="s">
        <v>33768</v>
      </c>
      <c r="J11903" t="s">
        <v>9337</v>
      </c>
      <c r="K11903" t="s">
        <v>21600</v>
      </c>
      <c r="L11903" t="s">
        <v>3616</v>
      </c>
    </row>
    <row r="11904" spans="1:12">
      <c r="A11904" t="s">
        <v>30729</v>
      </c>
      <c r="B11904" t="s">
        <v>30730</v>
      </c>
      <c r="C11904" t="s">
        <v>33769</v>
      </c>
      <c r="D11904" t="s">
        <v>30732</v>
      </c>
      <c r="E11904" t="s">
        <v>33770</v>
      </c>
      <c r="F11904" t="s">
        <v>33771</v>
      </c>
      <c r="J11904" t="s">
        <v>33770</v>
      </c>
      <c r="K11904" t="s">
        <v>21600</v>
      </c>
      <c r="L11904" t="s">
        <v>3616</v>
      </c>
    </row>
    <row r="11905" spans="1:12">
      <c r="A11905" t="s">
        <v>30729</v>
      </c>
      <c r="B11905" t="s">
        <v>30730</v>
      </c>
      <c r="C11905" t="s">
        <v>33772</v>
      </c>
      <c r="D11905" t="s">
        <v>30732</v>
      </c>
      <c r="E11905" t="s">
        <v>9346</v>
      </c>
      <c r="F11905" t="s">
        <v>33773</v>
      </c>
      <c r="J11905" t="s">
        <v>9346</v>
      </c>
      <c r="K11905" t="s">
        <v>21600</v>
      </c>
      <c r="L11905" t="s">
        <v>3616</v>
      </c>
    </row>
    <row r="11906" spans="1:12">
      <c r="A11906" t="s">
        <v>30729</v>
      </c>
      <c r="B11906" t="s">
        <v>30730</v>
      </c>
      <c r="C11906" t="s">
        <v>33774</v>
      </c>
      <c r="D11906" t="s">
        <v>30732</v>
      </c>
      <c r="E11906" t="s">
        <v>9349</v>
      </c>
      <c r="F11906" t="s">
        <v>33775</v>
      </c>
      <c r="J11906" t="s">
        <v>9349</v>
      </c>
      <c r="K11906" t="s">
        <v>21600</v>
      </c>
      <c r="L11906" t="s">
        <v>3616</v>
      </c>
    </row>
    <row r="11907" spans="1:12">
      <c r="A11907" t="s">
        <v>30729</v>
      </c>
      <c r="B11907" t="s">
        <v>30730</v>
      </c>
      <c r="C11907" t="s">
        <v>33776</v>
      </c>
      <c r="D11907" t="s">
        <v>30732</v>
      </c>
      <c r="E11907" t="s">
        <v>9352</v>
      </c>
      <c r="F11907" t="s">
        <v>33777</v>
      </c>
      <c r="J11907" t="s">
        <v>9352</v>
      </c>
      <c r="K11907" t="s">
        <v>21600</v>
      </c>
      <c r="L11907" t="s">
        <v>3616</v>
      </c>
    </row>
    <row r="11908" spans="1:12">
      <c r="A11908" t="s">
        <v>30729</v>
      </c>
      <c r="B11908" t="s">
        <v>30730</v>
      </c>
      <c r="C11908" t="s">
        <v>33778</v>
      </c>
      <c r="D11908" t="s">
        <v>30732</v>
      </c>
      <c r="E11908" t="s">
        <v>14344</v>
      </c>
      <c r="F11908" t="s">
        <v>33779</v>
      </c>
      <c r="J11908" t="s">
        <v>14344</v>
      </c>
      <c r="K11908" t="s">
        <v>21600</v>
      </c>
      <c r="L11908" t="s">
        <v>3616</v>
      </c>
    </row>
    <row r="11909" spans="1:12">
      <c r="A11909" t="s">
        <v>30729</v>
      </c>
      <c r="B11909" t="s">
        <v>30730</v>
      </c>
      <c r="C11909" t="s">
        <v>33780</v>
      </c>
      <c r="D11909" t="s">
        <v>30732</v>
      </c>
      <c r="E11909" t="s">
        <v>9357</v>
      </c>
      <c r="F11909" t="s">
        <v>33781</v>
      </c>
    </row>
    <row r="11910" spans="1:12">
      <c r="A11910" t="s">
        <v>30729</v>
      </c>
      <c r="B11910" t="s">
        <v>30730</v>
      </c>
      <c r="C11910" t="s">
        <v>33782</v>
      </c>
      <c r="D11910" t="s">
        <v>30732</v>
      </c>
      <c r="E11910" t="s">
        <v>33783</v>
      </c>
      <c r="F11910" t="s">
        <v>33784</v>
      </c>
      <c r="J11910" t="s">
        <v>33783</v>
      </c>
      <c r="K11910" t="s">
        <v>21600</v>
      </c>
      <c r="L11910" t="s">
        <v>3616</v>
      </c>
    </row>
    <row r="11911" spans="1:12">
      <c r="A11911" t="s">
        <v>30729</v>
      </c>
      <c r="B11911" t="s">
        <v>30730</v>
      </c>
      <c r="C11911" t="s">
        <v>33785</v>
      </c>
      <c r="D11911" t="s">
        <v>30732</v>
      </c>
      <c r="E11911" t="s">
        <v>33786</v>
      </c>
      <c r="F11911" t="s">
        <v>33787</v>
      </c>
      <c r="J11911" t="s">
        <v>33786</v>
      </c>
      <c r="K11911" t="s">
        <v>21600</v>
      </c>
      <c r="L11911" t="s">
        <v>3616</v>
      </c>
    </row>
    <row r="11912" spans="1:12">
      <c r="A11912" t="s">
        <v>30729</v>
      </c>
      <c r="B11912" t="s">
        <v>30730</v>
      </c>
      <c r="C11912" t="s">
        <v>33788</v>
      </c>
      <c r="D11912" t="s">
        <v>30732</v>
      </c>
      <c r="E11912" t="s">
        <v>33789</v>
      </c>
      <c r="F11912" t="s">
        <v>33790</v>
      </c>
      <c r="J11912" t="s">
        <v>33789</v>
      </c>
      <c r="K11912" t="s">
        <v>21600</v>
      </c>
      <c r="L11912" t="s">
        <v>3616</v>
      </c>
    </row>
    <row r="11913" spans="1:12">
      <c r="A11913" t="s">
        <v>30729</v>
      </c>
      <c r="B11913" t="s">
        <v>30730</v>
      </c>
      <c r="C11913" t="s">
        <v>33791</v>
      </c>
      <c r="D11913" t="s">
        <v>30732</v>
      </c>
      <c r="E11913" t="s">
        <v>9363</v>
      </c>
      <c r="F11913" t="s">
        <v>33792</v>
      </c>
      <c r="J11913" t="s">
        <v>9363</v>
      </c>
      <c r="K11913" t="s">
        <v>21600</v>
      </c>
      <c r="L11913" t="s">
        <v>3616</v>
      </c>
    </row>
    <row r="11914" spans="1:12">
      <c r="A11914" t="s">
        <v>30729</v>
      </c>
      <c r="B11914" t="s">
        <v>30730</v>
      </c>
      <c r="C11914" t="s">
        <v>33793</v>
      </c>
      <c r="D11914" t="s">
        <v>30732</v>
      </c>
      <c r="E11914" t="s">
        <v>33794</v>
      </c>
      <c r="F11914" t="s">
        <v>33795</v>
      </c>
      <c r="J11914" t="s">
        <v>33794</v>
      </c>
      <c r="K11914" t="s">
        <v>21600</v>
      </c>
      <c r="L11914" t="s">
        <v>3616</v>
      </c>
    </row>
    <row r="11915" spans="1:12">
      <c r="A11915" t="s">
        <v>30729</v>
      </c>
      <c r="B11915" t="s">
        <v>30730</v>
      </c>
      <c r="C11915" t="s">
        <v>33796</v>
      </c>
      <c r="D11915" t="s">
        <v>30732</v>
      </c>
      <c r="E11915" t="s">
        <v>33797</v>
      </c>
      <c r="F11915" t="s">
        <v>33798</v>
      </c>
      <c r="J11915" t="s">
        <v>33797</v>
      </c>
      <c r="K11915" t="s">
        <v>21600</v>
      </c>
      <c r="L11915" t="s">
        <v>3616</v>
      </c>
    </row>
    <row r="11916" spans="1:12">
      <c r="A11916" t="s">
        <v>30729</v>
      </c>
      <c r="B11916" t="s">
        <v>30730</v>
      </c>
      <c r="C11916" t="s">
        <v>33799</v>
      </c>
      <c r="D11916" t="s">
        <v>30732</v>
      </c>
      <c r="E11916" t="s">
        <v>22446</v>
      </c>
      <c r="F11916" t="s">
        <v>33800</v>
      </c>
    </row>
    <row r="11917" spans="1:12">
      <c r="A11917" t="s">
        <v>30729</v>
      </c>
      <c r="B11917" t="s">
        <v>30730</v>
      </c>
      <c r="C11917" t="s">
        <v>33801</v>
      </c>
      <c r="D11917" t="s">
        <v>30732</v>
      </c>
      <c r="E11917" t="s">
        <v>33802</v>
      </c>
      <c r="F11917" t="s">
        <v>33803</v>
      </c>
      <c r="J11917" t="s">
        <v>33802</v>
      </c>
      <c r="K11917" t="s">
        <v>21600</v>
      </c>
      <c r="L11917" t="s">
        <v>3616</v>
      </c>
    </row>
    <row r="11918" spans="1:12">
      <c r="A11918" t="s">
        <v>30729</v>
      </c>
      <c r="B11918" t="s">
        <v>30730</v>
      </c>
      <c r="C11918" t="s">
        <v>33804</v>
      </c>
      <c r="D11918" t="s">
        <v>30732</v>
      </c>
      <c r="E11918" t="s">
        <v>33805</v>
      </c>
      <c r="F11918" t="s">
        <v>33806</v>
      </c>
    </row>
    <row r="11919" spans="1:12">
      <c r="A11919" t="s">
        <v>30729</v>
      </c>
      <c r="B11919" t="s">
        <v>30730</v>
      </c>
      <c r="C11919" t="s">
        <v>33807</v>
      </c>
      <c r="D11919" t="s">
        <v>30732</v>
      </c>
      <c r="E11919" t="s">
        <v>9369</v>
      </c>
      <c r="F11919" t="s">
        <v>33808</v>
      </c>
      <c r="J11919" t="s">
        <v>9369</v>
      </c>
      <c r="K11919" t="s">
        <v>21600</v>
      </c>
      <c r="L11919" t="s">
        <v>3616</v>
      </c>
    </row>
    <row r="11920" spans="1:12">
      <c r="A11920" t="s">
        <v>30729</v>
      </c>
      <c r="B11920" t="s">
        <v>30730</v>
      </c>
      <c r="C11920" t="s">
        <v>33809</v>
      </c>
      <c r="D11920" t="s">
        <v>30732</v>
      </c>
      <c r="E11920" t="s">
        <v>33810</v>
      </c>
      <c r="F11920" t="s">
        <v>33811</v>
      </c>
      <c r="J11920" t="s">
        <v>33810</v>
      </c>
      <c r="K11920" t="s">
        <v>21600</v>
      </c>
      <c r="L11920" t="s">
        <v>3616</v>
      </c>
    </row>
    <row r="11921" spans="1:12">
      <c r="A11921" t="s">
        <v>30729</v>
      </c>
      <c r="B11921" t="s">
        <v>30730</v>
      </c>
      <c r="C11921" t="s">
        <v>33812</v>
      </c>
      <c r="D11921" t="s">
        <v>30732</v>
      </c>
      <c r="E11921" t="s">
        <v>33813</v>
      </c>
      <c r="F11921" t="s">
        <v>33814</v>
      </c>
      <c r="J11921" t="s">
        <v>33813</v>
      </c>
      <c r="K11921" t="s">
        <v>21600</v>
      </c>
      <c r="L11921" t="s">
        <v>3616</v>
      </c>
    </row>
    <row r="11922" spans="1:12">
      <c r="A11922" t="s">
        <v>30729</v>
      </c>
      <c r="B11922" t="s">
        <v>30730</v>
      </c>
      <c r="C11922" t="s">
        <v>33815</v>
      </c>
      <c r="D11922" t="s">
        <v>30732</v>
      </c>
      <c r="E11922" t="s">
        <v>33816</v>
      </c>
      <c r="F11922" t="s">
        <v>33817</v>
      </c>
      <c r="J11922" t="s">
        <v>33816</v>
      </c>
      <c r="K11922" t="s">
        <v>21600</v>
      </c>
      <c r="L11922" t="s">
        <v>3616</v>
      </c>
    </row>
    <row r="11923" spans="1:12">
      <c r="A11923" t="s">
        <v>30729</v>
      </c>
      <c r="B11923" t="s">
        <v>30730</v>
      </c>
      <c r="C11923" t="s">
        <v>33818</v>
      </c>
      <c r="D11923" t="s">
        <v>30732</v>
      </c>
      <c r="E11923" t="s">
        <v>33819</v>
      </c>
      <c r="F11923" t="s">
        <v>33820</v>
      </c>
      <c r="J11923" t="s">
        <v>33819</v>
      </c>
      <c r="K11923" t="s">
        <v>21600</v>
      </c>
      <c r="L11923" t="s">
        <v>3616</v>
      </c>
    </row>
    <row r="11924" spans="1:12">
      <c r="A11924" t="s">
        <v>30729</v>
      </c>
      <c r="B11924" t="s">
        <v>30730</v>
      </c>
      <c r="C11924" t="s">
        <v>33821</v>
      </c>
      <c r="D11924" t="s">
        <v>30732</v>
      </c>
      <c r="E11924" t="s">
        <v>6946</v>
      </c>
      <c r="F11924" t="s">
        <v>33822</v>
      </c>
      <c r="J11924" t="s">
        <v>6946</v>
      </c>
      <c r="K11924" t="s">
        <v>21600</v>
      </c>
      <c r="L11924" t="s">
        <v>3616</v>
      </c>
    </row>
    <row r="11925" spans="1:12">
      <c r="A11925" t="s">
        <v>30729</v>
      </c>
      <c r="B11925" t="s">
        <v>30730</v>
      </c>
      <c r="C11925" t="s">
        <v>33823</v>
      </c>
      <c r="D11925" t="s">
        <v>30732</v>
      </c>
      <c r="E11925" t="s">
        <v>9376</v>
      </c>
      <c r="F11925" t="s">
        <v>33824</v>
      </c>
      <c r="J11925" t="s">
        <v>9376</v>
      </c>
      <c r="K11925" t="s">
        <v>21600</v>
      </c>
      <c r="L11925" t="s">
        <v>3616</v>
      </c>
    </row>
    <row r="11926" spans="1:12">
      <c r="A11926" t="s">
        <v>30729</v>
      </c>
      <c r="B11926" t="s">
        <v>30730</v>
      </c>
      <c r="C11926" t="s">
        <v>33825</v>
      </c>
      <c r="D11926" t="s">
        <v>30732</v>
      </c>
      <c r="E11926" t="s">
        <v>9385</v>
      </c>
      <c r="F11926" t="s">
        <v>33826</v>
      </c>
      <c r="J11926" t="s">
        <v>9385</v>
      </c>
      <c r="K11926" t="s">
        <v>21600</v>
      </c>
      <c r="L11926" t="s">
        <v>3616</v>
      </c>
    </row>
    <row r="11927" spans="1:12">
      <c r="A11927" t="s">
        <v>30729</v>
      </c>
      <c r="B11927" t="s">
        <v>30730</v>
      </c>
      <c r="C11927" t="s">
        <v>33827</v>
      </c>
      <c r="D11927" t="s">
        <v>30732</v>
      </c>
      <c r="E11927" t="s">
        <v>9395</v>
      </c>
      <c r="F11927" t="s">
        <v>33828</v>
      </c>
      <c r="J11927" t="s">
        <v>9395</v>
      </c>
      <c r="K11927" t="s">
        <v>21600</v>
      </c>
      <c r="L11927" t="s">
        <v>3616</v>
      </c>
    </row>
    <row r="11928" spans="1:12">
      <c r="A11928" t="s">
        <v>30729</v>
      </c>
      <c r="B11928" t="s">
        <v>30730</v>
      </c>
      <c r="C11928" t="s">
        <v>33829</v>
      </c>
      <c r="D11928" t="s">
        <v>30732</v>
      </c>
      <c r="E11928" t="s">
        <v>33830</v>
      </c>
      <c r="F11928" t="s">
        <v>33831</v>
      </c>
      <c r="J11928" t="s">
        <v>33830</v>
      </c>
      <c r="K11928" t="s">
        <v>21600</v>
      </c>
      <c r="L11928" t="s">
        <v>3616</v>
      </c>
    </row>
    <row r="11929" spans="1:12">
      <c r="A11929" t="s">
        <v>30729</v>
      </c>
      <c r="B11929" t="s">
        <v>30730</v>
      </c>
      <c r="C11929" t="s">
        <v>33832</v>
      </c>
      <c r="D11929" t="s">
        <v>30732</v>
      </c>
      <c r="E11929" t="s">
        <v>33833</v>
      </c>
      <c r="F11929" t="s">
        <v>33834</v>
      </c>
      <c r="J11929" t="s">
        <v>33833</v>
      </c>
      <c r="K11929" t="s">
        <v>21600</v>
      </c>
      <c r="L11929" t="s">
        <v>3616</v>
      </c>
    </row>
    <row r="11930" spans="1:12">
      <c r="A11930" t="s">
        <v>30729</v>
      </c>
      <c r="B11930" t="s">
        <v>30730</v>
      </c>
      <c r="C11930" t="s">
        <v>33835</v>
      </c>
      <c r="D11930" t="s">
        <v>30732</v>
      </c>
      <c r="E11930" t="s">
        <v>33836</v>
      </c>
      <c r="F11930" t="s">
        <v>33837</v>
      </c>
      <c r="J11930" t="s">
        <v>33836</v>
      </c>
      <c r="K11930" t="s">
        <v>21600</v>
      </c>
      <c r="L11930" t="s">
        <v>3616</v>
      </c>
    </row>
    <row r="11931" spans="1:12">
      <c r="A11931" t="s">
        <v>30729</v>
      </c>
      <c r="B11931" t="s">
        <v>30730</v>
      </c>
      <c r="C11931" t="s">
        <v>33838</v>
      </c>
      <c r="D11931" t="s">
        <v>30732</v>
      </c>
      <c r="E11931" t="s">
        <v>33839</v>
      </c>
      <c r="F11931" t="s">
        <v>33840</v>
      </c>
      <c r="J11931" t="s">
        <v>33839</v>
      </c>
      <c r="K11931" t="s">
        <v>21600</v>
      </c>
      <c r="L11931" t="s">
        <v>3616</v>
      </c>
    </row>
    <row r="11932" spans="1:12">
      <c r="A11932" t="s">
        <v>30729</v>
      </c>
      <c r="B11932" t="s">
        <v>30730</v>
      </c>
      <c r="C11932" t="s">
        <v>33841</v>
      </c>
      <c r="D11932" t="s">
        <v>30732</v>
      </c>
      <c r="E11932" t="s">
        <v>33842</v>
      </c>
      <c r="F11932" t="s">
        <v>33843</v>
      </c>
      <c r="J11932" t="s">
        <v>33842</v>
      </c>
      <c r="K11932" t="s">
        <v>21600</v>
      </c>
      <c r="L11932" t="s">
        <v>3616</v>
      </c>
    </row>
    <row r="11933" spans="1:12">
      <c r="A11933" t="s">
        <v>30729</v>
      </c>
      <c r="B11933" t="s">
        <v>30730</v>
      </c>
      <c r="C11933" t="s">
        <v>33844</v>
      </c>
      <c r="D11933" t="s">
        <v>30732</v>
      </c>
      <c r="E11933" t="s">
        <v>33845</v>
      </c>
      <c r="F11933" t="s">
        <v>33846</v>
      </c>
      <c r="J11933" t="s">
        <v>33845</v>
      </c>
      <c r="K11933" t="s">
        <v>21600</v>
      </c>
      <c r="L11933" t="s">
        <v>3616</v>
      </c>
    </row>
    <row r="11934" spans="1:12">
      <c r="A11934" t="s">
        <v>30729</v>
      </c>
      <c r="B11934" t="s">
        <v>30730</v>
      </c>
      <c r="C11934" t="s">
        <v>33847</v>
      </c>
      <c r="D11934" t="s">
        <v>30732</v>
      </c>
      <c r="E11934" t="s">
        <v>33848</v>
      </c>
      <c r="F11934" t="s">
        <v>33849</v>
      </c>
      <c r="J11934" t="s">
        <v>33848</v>
      </c>
      <c r="K11934" t="s">
        <v>21600</v>
      </c>
      <c r="L11934" t="s">
        <v>3616</v>
      </c>
    </row>
    <row r="11935" spans="1:12">
      <c r="A11935" t="s">
        <v>30729</v>
      </c>
      <c r="B11935" t="s">
        <v>30730</v>
      </c>
      <c r="C11935" t="s">
        <v>33850</v>
      </c>
      <c r="D11935" t="s">
        <v>30732</v>
      </c>
      <c r="E11935" t="s">
        <v>33851</v>
      </c>
      <c r="F11935" t="s">
        <v>33852</v>
      </c>
      <c r="J11935" t="s">
        <v>33851</v>
      </c>
      <c r="K11935" t="s">
        <v>21600</v>
      </c>
      <c r="L11935" t="s">
        <v>3616</v>
      </c>
    </row>
    <row r="11936" spans="1:12">
      <c r="A11936" t="s">
        <v>30729</v>
      </c>
      <c r="B11936" t="s">
        <v>30730</v>
      </c>
      <c r="C11936" t="s">
        <v>33853</v>
      </c>
      <c r="D11936" t="s">
        <v>30732</v>
      </c>
      <c r="E11936" t="s">
        <v>33854</v>
      </c>
      <c r="F11936" t="s">
        <v>33855</v>
      </c>
      <c r="J11936" t="s">
        <v>33854</v>
      </c>
      <c r="K11936" t="s">
        <v>21600</v>
      </c>
      <c r="L11936" t="s">
        <v>3616</v>
      </c>
    </row>
    <row r="11937" spans="1:12">
      <c r="A11937" t="s">
        <v>30729</v>
      </c>
      <c r="B11937" t="s">
        <v>30730</v>
      </c>
      <c r="C11937" t="s">
        <v>33856</v>
      </c>
      <c r="D11937" t="s">
        <v>30732</v>
      </c>
      <c r="E11937" t="s">
        <v>33857</v>
      </c>
      <c r="F11937" t="s">
        <v>33858</v>
      </c>
    </row>
    <row r="11938" spans="1:12">
      <c r="A11938" t="s">
        <v>30729</v>
      </c>
      <c r="B11938" t="s">
        <v>30730</v>
      </c>
      <c r="C11938" t="s">
        <v>33859</v>
      </c>
      <c r="D11938" t="s">
        <v>30732</v>
      </c>
      <c r="E11938" t="s">
        <v>33860</v>
      </c>
      <c r="F11938" t="s">
        <v>33861</v>
      </c>
    </row>
    <row r="11939" spans="1:12">
      <c r="A11939" t="s">
        <v>30729</v>
      </c>
      <c r="B11939" t="s">
        <v>30730</v>
      </c>
      <c r="C11939" t="s">
        <v>33862</v>
      </c>
      <c r="D11939" t="s">
        <v>30732</v>
      </c>
      <c r="E11939" t="s">
        <v>33863</v>
      </c>
      <c r="F11939" t="s">
        <v>33864</v>
      </c>
      <c r="J11939" t="s">
        <v>33863</v>
      </c>
      <c r="K11939" t="s">
        <v>21600</v>
      </c>
      <c r="L11939" t="s">
        <v>3616</v>
      </c>
    </row>
    <row r="11940" spans="1:12">
      <c r="A11940" t="s">
        <v>30729</v>
      </c>
      <c r="B11940" t="s">
        <v>30730</v>
      </c>
      <c r="C11940" t="s">
        <v>33865</v>
      </c>
      <c r="D11940" t="s">
        <v>30732</v>
      </c>
      <c r="E11940" t="s">
        <v>27410</v>
      </c>
      <c r="F11940" t="s">
        <v>33866</v>
      </c>
      <c r="J11940" t="s">
        <v>27410</v>
      </c>
      <c r="K11940" t="s">
        <v>21600</v>
      </c>
      <c r="L11940" t="s">
        <v>3616</v>
      </c>
    </row>
    <row r="11941" spans="1:12">
      <c r="A11941" t="s">
        <v>30729</v>
      </c>
      <c r="B11941" t="s">
        <v>30730</v>
      </c>
      <c r="C11941" t="s">
        <v>33867</v>
      </c>
      <c r="D11941" t="s">
        <v>30732</v>
      </c>
      <c r="E11941" t="s">
        <v>9401</v>
      </c>
      <c r="F11941" t="s">
        <v>33868</v>
      </c>
      <c r="J11941" t="s">
        <v>9401</v>
      </c>
      <c r="K11941" t="s">
        <v>21600</v>
      </c>
      <c r="L11941" t="s">
        <v>3616</v>
      </c>
    </row>
    <row r="11942" spans="1:12">
      <c r="A11942" t="s">
        <v>30729</v>
      </c>
      <c r="B11942" t="s">
        <v>30730</v>
      </c>
      <c r="C11942" t="s">
        <v>33869</v>
      </c>
      <c r="D11942" t="s">
        <v>30732</v>
      </c>
      <c r="E11942" t="s">
        <v>7315</v>
      </c>
      <c r="F11942" t="s">
        <v>33870</v>
      </c>
      <c r="J11942" t="s">
        <v>7315</v>
      </c>
      <c r="K11942" t="s">
        <v>21600</v>
      </c>
      <c r="L11942" t="s">
        <v>3616</v>
      </c>
    </row>
    <row r="11943" spans="1:12">
      <c r="A11943" t="s">
        <v>30729</v>
      </c>
      <c r="B11943" t="s">
        <v>30730</v>
      </c>
      <c r="C11943" t="s">
        <v>33871</v>
      </c>
      <c r="D11943" t="s">
        <v>30732</v>
      </c>
      <c r="E11943" t="s">
        <v>9419</v>
      </c>
      <c r="F11943" t="s">
        <v>33872</v>
      </c>
      <c r="J11943" t="s">
        <v>9419</v>
      </c>
      <c r="K11943" t="s">
        <v>21600</v>
      </c>
      <c r="L11943" t="s">
        <v>3616</v>
      </c>
    </row>
    <row r="11944" spans="1:12">
      <c r="A11944" t="s">
        <v>30729</v>
      </c>
      <c r="B11944" t="s">
        <v>30730</v>
      </c>
      <c r="C11944" t="s">
        <v>33873</v>
      </c>
      <c r="D11944" t="s">
        <v>30732</v>
      </c>
      <c r="E11944" t="s">
        <v>5087</v>
      </c>
      <c r="F11944" t="s">
        <v>33874</v>
      </c>
      <c r="J11944" t="s">
        <v>5087</v>
      </c>
      <c r="K11944" t="s">
        <v>21600</v>
      </c>
      <c r="L11944" t="s">
        <v>3616</v>
      </c>
    </row>
    <row r="11945" spans="1:12">
      <c r="A11945" t="s">
        <v>30729</v>
      </c>
      <c r="B11945" t="s">
        <v>30730</v>
      </c>
      <c r="C11945" t="s">
        <v>33875</v>
      </c>
      <c r="D11945" t="s">
        <v>30732</v>
      </c>
      <c r="E11945" t="s">
        <v>33876</v>
      </c>
      <c r="F11945" t="s">
        <v>33877</v>
      </c>
      <c r="J11945" t="s">
        <v>33876</v>
      </c>
      <c r="K11945" t="s">
        <v>21600</v>
      </c>
      <c r="L11945" t="s">
        <v>3616</v>
      </c>
    </row>
    <row r="11946" spans="1:12">
      <c r="A11946" t="s">
        <v>30729</v>
      </c>
      <c r="B11946" t="s">
        <v>30730</v>
      </c>
      <c r="C11946" t="s">
        <v>33878</v>
      </c>
      <c r="D11946" t="s">
        <v>30732</v>
      </c>
      <c r="E11946" t="s">
        <v>33879</v>
      </c>
      <c r="F11946" t="s">
        <v>33880</v>
      </c>
      <c r="J11946" t="s">
        <v>33879</v>
      </c>
      <c r="K11946" t="s">
        <v>21600</v>
      </c>
      <c r="L11946" t="s">
        <v>3616</v>
      </c>
    </row>
    <row r="11947" spans="1:12">
      <c r="A11947" t="s">
        <v>30729</v>
      </c>
      <c r="B11947" t="s">
        <v>30730</v>
      </c>
      <c r="C11947" t="s">
        <v>33881</v>
      </c>
      <c r="D11947" t="s">
        <v>30732</v>
      </c>
      <c r="E11947" t="s">
        <v>33882</v>
      </c>
      <c r="F11947" t="s">
        <v>33883</v>
      </c>
      <c r="J11947" t="s">
        <v>33882</v>
      </c>
      <c r="K11947" t="s">
        <v>21600</v>
      </c>
      <c r="L11947" t="s">
        <v>3616</v>
      </c>
    </row>
    <row r="11948" spans="1:12">
      <c r="A11948" t="s">
        <v>30729</v>
      </c>
      <c r="B11948" t="s">
        <v>30730</v>
      </c>
      <c r="C11948" t="s">
        <v>33884</v>
      </c>
      <c r="D11948" t="s">
        <v>30732</v>
      </c>
      <c r="E11948" t="s">
        <v>9425</v>
      </c>
      <c r="F11948" t="s">
        <v>33885</v>
      </c>
    </row>
    <row r="11949" spans="1:12">
      <c r="A11949" t="s">
        <v>30729</v>
      </c>
      <c r="B11949" t="s">
        <v>30730</v>
      </c>
      <c r="C11949" t="s">
        <v>33886</v>
      </c>
      <c r="D11949" t="s">
        <v>30732</v>
      </c>
      <c r="E11949" t="s">
        <v>33887</v>
      </c>
      <c r="F11949" t="s">
        <v>33888</v>
      </c>
      <c r="J11949" t="s">
        <v>33887</v>
      </c>
      <c r="K11949" t="s">
        <v>21600</v>
      </c>
      <c r="L11949" t="s">
        <v>3616</v>
      </c>
    </row>
    <row r="11950" spans="1:12">
      <c r="A11950" t="s">
        <v>30729</v>
      </c>
      <c r="B11950" t="s">
        <v>30730</v>
      </c>
      <c r="C11950" t="s">
        <v>33889</v>
      </c>
      <c r="D11950" t="s">
        <v>30732</v>
      </c>
      <c r="E11950" t="s">
        <v>33890</v>
      </c>
      <c r="F11950" t="s">
        <v>33891</v>
      </c>
      <c r="J11950" t="s">
        <v>33890</v>
      </c>
      <c r="K11950" t="s">
        <v>21600</v>
      </c>
      <c r="L11950" t="s">
        <v>3616</v>
      </c>
    </row>
    <row r="11951" spans="1:12">
      <c r="A11951" t="s">
        <v>30729</v>
      </c>
      <c r="B11951" t="s">
        <v>30730</v>
      </c>
      <c r="C11951" t="s">
        <v>33892</v>
      </c>
      <c r="D11951" t="s">
        <v>30732</v>
      </c>
      <c r="E11951" t="s">
        <v>14359</v>
      </c>
      <c r="F11951" t="s">
        <v>33893</v>
      </c>
      <c r="J11951" t="s">
        <v>14359</v>
      </c>
      <c r="K11951" t="s">
        <v>21600</v>
      </c>
      <c r="L11951" t="s">
        <v>3616</v>
      </c>
    </row>
    <row r="11952" spans="1:12">
      <c r="A11952" t="s">
        <v>30729</v>
      </c>
      <c r="B11952" t="s">
        <v>30730</v>
      </c>
      <c r="C11952" t="s">
        <v>33894</v>
      </c>
      <c r="D11952" t="s">
        <v>30732</v>
      </c>
      <c r="E11952" t="s">
        <v>33895</v>
      </c>
      <c r="F11952" t="s">
        <v>33896</v>
      </c>
      <c r="J11952" t="s">
        <v>33895</v>
      </c>
      <c r="K11952" t="s">
        <v>21600</v>
      </c>
      <c r="L11952" t="s">
        <v>3616</v>
      </c>
    </row>
    <row r="11953" spans="1:12">
      <c r="A11953" t="s">
        <v>30729</v>
      </c>
      <c r="B11953" t="s">
        <v>30730</v>
      </c>
      <c r="C11953" t="s">
        <v>33897</v>
      </c>
      <c r="D11953" t="s">
        <v>30732</v>
      </c>
      <c r="E11953" t="s">
        <v>10680</v>
      </c>
      <c r="F11953" t="s">
        <v>33898</v>
      </c>
    </row>
    <row r="11954" spans="1:12">
      <c r="A11954" t="s">
        <v>30729</v>
      </c>
      <c r="B11954" t="s">
        <v>30730</v>
      </c>
      <c r="C11954" t="s">
        <v>33899</v>
      </c>
      <c r="D11954" t="s">
        <v>30732</v>
      </c>
      <c r="E11954" t="s">
        <v>33900</v>
      </c>
      <c r="F11954" t="s">
        <v>33901</v>
      </c>
      <c r="J11954" t="s">
        <v>33900</v>
      </c>
      <c r="K11954" t="s">
        <v>21600</v>
      </c>
      <c r="L11954" t="s">
        <v>3616</v>
      </c>
    </row>
    <row r="11955" spans="1:12">
      <c r="A11955" t="s">
        <v>30729</v>
      </c>
      <c r="B11955" t="s">
        <v>30730</v>
      </c>
      <c r="C11955" t="s">
        <v>33902</v>
      </c>
      <c r="D11955" t="s">
        <v>30732</v>
      </c>
      <c r="E11955" t="s">
        <v>33903</v>
      </c>
      <c r="F11955" t="s">
        <v>33904</v>
      </c>
      <c r="J11955" t="s">
        <v>33903</v>
      </c>
      <c r="K11955" t="s">
        <v>21600</v>
      </c>
      <c r="L11955" t="s">
        <v>3616</v>
      </c>
    </row>
    <row r="11956" spans="1:12">
      <c r="A11956" t="s">
        <v>30729</v>
      </c>
      <c r="B11956" t="s">
        <v>30730</v>
      </c>
      <c r="C11956" t="s">
        <v>33905</v>
      </c>
      <c r="D11956" t="s">
        <v>30732</v>
      </c>
      <c r="E11956" t="s">
        <v>33906</v>
      </c>
      <c r="F11956" t="s">
        <v>33907</v>
      </c>
      <c r="J11956" t="s">
        <v>33906</v>
      </c>
      <c r="K11956" t="s">
        <v>21600</v>
      </c>
      <c r="L11956" t="s">
        <v>3616</v>
      </c>
    </row>
    <row r="11957" spans="1:12">
      <c r="A11957" t="s">
        <v>30729</v>
      </c>
      <c r="B11957" t="s">
        <v>30730</v>
      </c>
      <c r="C11957" t="s">
        <v>33908</v>
      </c>
      <c r="D11957" t="s">
        <v>30732</v>
      </c>
      <c r="E11957" t="s">
        <v>33909</v>
      </c>
      <c r="F11957" t="s">
        <v>33910</v>
      </c>
    </row>
    <row r="11958" spans="1:12">
      <c r="A11958" t="s">
        <v>30729</v>
      </c>
      <c r="B11958" t="s">
        <v>30730</v>
      </c>
      <c r="C11958" t="s">
        <v>33911</v>
      </c>
      <c r="D11958" t="s">
        <v>30732</v>
      </c>
      <c r="E11958" t="s">
        <v>8273</v>
      </c>
      <c r="F11958" t="s">
        <v>33912</v>
      </c>
      <c r="J11958" t="s">
        <v>8273</v>
      </c>
      <c r="K11958" t="s">
        <v>21600</v>
      </c>
      <c r="L11958" t="s">
        <v>3616</v>
      </c>
    </row>
    <row r="11959" spans="1:12">
      <c r="A11959" t="s">
        <v>30729</v>
      </c>
      <c r="B11959" t="s">
        <v>30730</v>
      </c>
      <c r="C11959" t="s">
        <v>33913</v>
      </c>
      <c r="D11959" t="s">
        <v>30732</v>
      </c>
      <c r="E11959" t="s">
        <v>33914</v>
      </c>
      <c r="F11959" t="s">
        <v>33915</v>
      </c>
      <c r="J11959" t="s">
        <v>33914</v>
      </c>
      <c r="K11959" t="s">
        <v>21600</v>
      </c>
      <c r="L11959" t="s">
        <v>3616</v>
      </c>
    </row>
    <row r="11960" spans="1:12">
      <c r="A11960" t="s">
        <v>30729</v>
      </c>
      <c r="B11960" t="s">
        <v>30730</v>
      </c>
      <c r="C11960" t="s">
        <v>33916</v>
      </c>
      <c r="D11960" t="s">
        <v>30732</v>
      </c>
      <c r="E11960" t="s">
        <v>25303</v>
      </c>
      <c r="F11960" t="s">
        <v>33917</v>
      </c>
      <c r="J11960" t="s">
        <v>25303</v>
      </c>
      <c r="K11960" t="s">
        <v>21600</v>
      </c>
      <c r="L11960" t="s">
        <v>3616</v>
      </c>
    </row>
    <row r="11961" spans="1:12">
      <c r="A11961" t="s">
        <v>30729</v>
      </c>
      <c r="B11961" t="s">
        <v>30730</v>
      </c>
      <c r="C11961" t="s">
        <v>33918</v>
      </c>
      <c r="D11961" t="s">
        <v>30732</v>
      </c>
      <c r="E11961" t="s">
        <v>33919</v>
      </c>
      <c r="F11961" t="s">
        <v>33920</v>
      </c>
      <c r="J11961" t="s">
        <v>33919</v>
      </c>
      <c r="K11961" t="s">
        <v>21600</v>
      </c>
      <c r="L11961" t="s">
        <v>3616</v>
      </c>
    </row>
    <row r="11962" spans="1:12">
      <c r="A11962" t="s">
        <v>30729</v>
      </c>
      <c r="B11962" t="s">
        <v>30730</v>
      </c>
      <c r="C11962" t="s">
        <v>33921</v>
      </c>
      <c r="D11962" t="s">
        <v>30732</v>
      </c>
      <c r="E11962" t="s">
        <v>27419</v>
      </c>
      <c r="F11962" t="s">
        <v>33922</v>
      </c>
      <c r="J11962" t="s">
        <v>27419</v>
      </c>
      <c r="K11962" t="s">
        <v>21600</v>
      </c>
      <c r="L11962" t="s">
        <v>3616</v>
      </c>
    </row>
    <row r="11963" spans="1:12">
      <c r="A11963" t="s">
        <v>30729</v>
      </c>
      <c r="B11963" t="s">
        <v>30730</v>
      </c>
      <c r="C11963" t="s">
        <v>33923</v>
      </c>
      <c r="D11963" t="s">
        <v>30732</v>
      </c>
      <c r="E11963" t="s">
        <v>9431</v>
      </c>
      <c r="F11963" t="s">
        <v>33924</v>
      </c>
      <c r="J11963" t="s">
        <v>9431</v>
      </c>
      <c r="K11963" t="s">
        <v>21600</v>
      </c>
      <c r="L11963" t="s">
        <v>3616</v>
      </c>
    </row>
    <row r="11964" spans="1:12">
      <c r="A11964" t="s">
        <v>30729</v>
      </c>
      <c r="B11964" t="s">
        <v>30730</v>
      </c>
      <c r="C11964" t="s">
        <v>33925</v>
      </c>
      <c r="D11964" t="s">
        <v>30732</v>
      </c>
      <c r="E11964" t="s">
        <v>33926</v>
      </c>
      <c r="F11964" t="s">
        <v>33927</v>
      </c>
      <c r="J11964" t="s">
        <v>33926</v>
      </c>
      <c r="K11964" t="s">
        <v>21600</v>
      </c>
      <c r="L11964" t="s">
        <v>3616</v>
      </c>
    </row>
    <row r="11965" spans="1:12">
      <c r="A11965" t="s">
        <v>30729</v>
      </c>
      <c r="B11965" t="s">
        <v>30730</v>
      </c>
      <c r="C11965" t="s">
        <v>33928</v>
      </c>
      <c r="D11965" t="s">
        <v>30732</v>
      </c>
      <c r="E11965" t="s">
        <v>33929</v>
      </c>
      <c r="F11965" t="s">
        <v>33930</v>
      </c>
      <c r="J11965" t="s">
        <v>33929</v>
      </c>
      <c r="K11965" t="s">
        <v>21600</v>
      </c>
      <c r="L11965" t="s">
        <v>3616</v>
      </c>
    </row>
    <row r="11966" spans="1:12">
      <c r="A11966" t="s">
        <v>30729</v>
      </c>
      <c r="B11966" t="s">
        <v>30730</v>
      </c>
      <c r="C11966" t="s">
        <v>33931</v>
      </c>
      <c r="D11966" t="s">
        <v>30732</v>
      </c>
      <c r="E11966" t="s">
        <v>33932</v>
      </c>
      <c r="F11966" t="s">
        <v>33933</v>
      </c>
      <c r="J11966" t="s">
        <v>33932</v>
      </c>
      <c r="K11966" t="s">
        <v>21600</v>
      </c>
      <c r="L11966" t="s">
        <v>3616</v>
      </c>
    </row>
    <row r="11967" spans="1:12">
      <c r="A11967" t="s">
        <v>30729</v>
      </c>
      <c r="B11967" t="s">
        <v>30730</v>
      </c>
      <c r="C11967" t="s">
        <v>33934</v>
      </c>
      <c r="D11967" t="s">
        <v>30732</v>
      </c>
      <c r="E11967" t="s">
        <v>33935</v>
      </c>
      <c r="F11967" t="s">
        <v>33936</v>
      </c>
      <c r="J11967" t="s">
        <v>33935</v>
      </c>
      <c r="K11967" t="s">
        <v>21600</v>
      </c>
      <c r="L11967" t="s">
        <v>3616</v>
      </c>
    </row>
    <row r="11968" spans="1:12">
      <c r="A11968" t="s">
        <v>30729</v>
      </c>
      <c r="B11968" t="s">
        <v>30730</v>
      </c>
      <c r="C11968" t="s">
        <v>33937</v>
      </c>
      <c r="D11968" t="s">
        <v>30732</v>
      </c>
      <c r="E11968" t="s">
        <v>33938</v>
      </c>
      <c r="F11968" t="s">
        <v>33939</v>
      </c>
      <c r="J11968" t="s">
        <v>33938</v>
      </c>
      <c r="K11968" t="s">
        <v>21600</v>
      </c>
      <c r="L11968" t="s">
        <v>3616</v>
      </c>
    </row>
    <row r="11969" spans="1:12">
      <c r="A11969" t="s">
        <v>30729</v>
      </c>
      <c r="B11969" t="s">
        <v>30730</v>
      </c>
      <c r="C11969" t="s">
        <v>33940</v>
      </c>
      <c r="D11969" t="s">
        <v>30732</v>
      </c>
      <c r="E11969" t="s">
        <v>33941</v>
      </c>
      <c r="F11969" t="s">
        <v>33942</v>
      </c>
    </row>
    <row r="11970" spans="1:12">
      <c r="A11970" t="s">
        <v>30729</v>
      </c>
      <c r="B11970" t="s">
        <v>30730</v>
      </c>
      <c r="C11970" t="s">
        <v>33943</v>
      </c>
      <c r="D11970" t="s">
        <v>30732</v>
      </c>
      <c r="E11970" t="s">
        <v>12743</v>
      </c>
      <c r="F11970" t="s">
        <v>33944</v>
      </c>
      <c r="J11970" t="s">
        <v>12743</v>
      </c>
      <c r="K11970" t="s">
        <v>21600</v>
      </c>
      <c r="L11970" t="s">
        <v>3616</v>
      </c>
    </row>
    <row r="11971" spans="1:12">
      <c r="A11971" t="s">
        <v>30729</v>
      </c>
      <c r="B11971" t="s">
        <v>30730</v>
      </c>
      <c r="C11971" t="s">
        <v>33945</v>
      </c>
      <c r="D11971" t="s">
        <v>30732</v>
      </c>
      <c r="E11971" t="s">
        <v>9437</v>
      </c>
      <c r="F11971" t="s">
        <v>33946</v>
      </c>
      <c r="J11971" t="s">
        <v>9437</v>
      </c>
      <c r="K11971" t="s">
        <v>21600</v>
      </c>
      <c r="L11971" t="s">
        <v>3616</v>
      </c>
    </row>
    <row r="11972" spans="1:12">
      <c r="A11972" t="s">
        <v>30729</v>
      </c>
      <c r="B11972" t="s">
        <v>30730</v>
      </c>
      <c r="C11972" t="s">
        <v>33947</v>
      </c>
      <c r="D11972" t="s">
        <v>30732</v>
      </c>
      <c r="E11972" t="s">
        <v>33948</v>
      </c>
      <c r="F11972" t="s">
        <v>33949</v>
      </c>
      <c r="J11972" t="s">
        <v>33948</v>
      </c>
      <c r="K11972" t="s">
        <v>21600</v>
      </c>
      <c r="L11972" t="s">
        <v>3616</v>
      </c>
    </row>
    <row r="11973" spans="1:12">
      <c r="A11973" t="s">
        <v>30729</v>
      </c>
      <c r="B11973" t="s">
        <v>30730</v>
      </c>
      <c r="C11973" t="s">
        <v>33950</v>
      </c>
      <c r="D11973" t="s">
        <v>30732</v>
      </c>
      <c r="E11973" t="s">
        <v>5093</v>
      </c>
      <c r="F11973" t="s">
        <v>33951</v>
      </c>
      <c r="J11973" t="s">
        <v>5093</v>
      </c>
      <c r="K11973" t="s">
        <v>21600</v>
      </c>
      <c r="L11973" t="s">
        <v>3616</v>
      </c>
    </row>
    <row r="11974" spans="1:12">
      <c r="A11974" t="s">
        <v>30729</v>
      </c>
      <c r="B11974" t="s">
        <v>30730</v>
      </c>
      <c r="C11974" t="s">
        <v>33952</v>
      </c>
      <c r="D11974" t="s">
        <v>30732</v>
      </c>
      <c r="E11974" t="s">
        <v>33953</v>
      </c>
      <c r="F11974" t="s">
        <v>33954</v>
      </c>
      <c r="J11974" t="s">
        <v>33953</v>
      </c>
      <c r="K11974" t="s">
        <v>21600</v>
      </c>
      <c r="L11974" t="s">
        <v>3616</v>
      </c>
    </row>
    <row r="11975" spans="1:12">
      <c r="A11975" t="s">
        <v>30729</v>
      </c>
      <c r="B11975" t="s">
        <v>30730</v>
      </c>
      <c r="C11975" t="s">
        <v>33955</v>
      </c>
      <c r="D11975" t="s">
        <v>30732</v>
      </c>
      <c r="E11975" t="s">
        <v>33956</v>
      </c>
      <c r="F11975" t="s">
        <v>33957</v>
      </c>
      <c r="J11975" t="s">
        <v>33956</v>
      </c>
      <c r="K11975" t="s">
        <v>21600</v>
      </c>
      <c r="L11975" t="s">
        <v>3616</v>
      </c>
    </row>
    <row r="11976" spans="1:12">
      <c r="A11976" t="s">
        <v>30729</v>
      </c>
      <c r="B11976" t="s">
        <v>30730</v>
      </c>
      <c r="C11976" t="s">
        <v>33958</v>
      </c>
      <c r="D11976" t="s">
        <v>30732</v>
      </c>
      <c r="E11976" t="s">
        <v>33959</v>
      </c>
      <c r="F11976" t="s">
        <v>33960</v>
      </c>
      <c r="J11976" t="s">
        <v>33959</v>
      </c>
      <c r="K11976" t="s">
        <v>21600</v>
      </c>
      <c r="L11976" t="s">
        <v>3616</v>
      </c>
    </row>
    <row r="11977" spans="1:12">
      <c r="A11977" t="s">
        <v>30729</v>
      </c>
      <c r="B11977" t="s">
        <v>30730</v>
      </c>
      <c r="C11977" t="s">
        <v>33961</v>
      </c>
      <c r="D11977" t="s">
        <v>30732</v>
      </c>
      <c r="E11977" t="s">
        <v>33962</v>
      </c>
      <c r="F11977" t="s">
        <v>33963</v>
      </c>
      <c r="J11977" t="s">
        <v>33962</v>
      </c>
      <c r="K11977" t="s">
        <v>21600</v>
      </c>
      <c r="L11977" t="s">
        <v>3616</v>
      </c>
    </row>
    <row r="11978" spans="1:12">
      <c r="A11978" t="s">
        <v>30729</v>
      </c>
      <c r="B11978" t="s">
        <v>30730</v>
      </c>
      <c r="C11978" t="s">
        <v>33964</v>
      </c>
      <c r="D11978" t="s">
        <v>30732</v>
      </c>
      <c r="E11978" t="s">
        <v>33965</v>
      </c>
      <c r="F11978" t="s">
        <v>33966</v>
      </c>
    </row>
    <row r="11979" spans="1:12">
      <c r="A11979" t="s">
        <v>30729</v>
      </c>
      <c r="B11979" t="s">
        <v>30730</v>
      </c>
      <c r="C11979" t="s">
        <v>33967</v>
      </c>
      <c r="D11979" t="s">
        <v>30732</v>
      </c>
      <c r="E11979" t="s">
        <v>33968</v>
      </c>
      <c r="F11979" t="s">
        <v>33969</v>
      </c>
      <c r="J11979" t="s">
        <v>33968</v>
      </c>
      <c r="K11979" t="s">
        <v>21600</v>
      </c>
      <c r="L11979" t="s">
        <v>3616</v>
      </c>
    </row>
    <row r="11980" spans="1:12">
      <c r="A11980" t="s">
        <v>30729</v>
      </c>
      <c r="B11980" t="s">
        <v>30730</v>
      </c>
      <c r="C11980" t="s">
        <v>33970</v>
      </c>
      <c r="D11980" t="s">
        <v>30732</v>
      </c>
      <c r="E11980" t="s">
        <v>33971</v>
      </c>
      <c r="F11980" t="s">
        <v>33972</v>
      </c>
      <c r="J11980" t="s">
        <v>33971</v>
      </c>
      <c r="K11980" t="s">
        <v>21600</v>
      </c>
      <c r="L11980" t="s">
        <v>3616</v>
      </c>
    </row>
    <row r="11981" spans="1:12">
      <c r="A11981" t="s">
        <v>30729</v>
      </c>
      <c r="B11981" t="s">
        <v>30730</v>
      </c>
      <c r="C11981" t="s">
        <v>33973</v>
      </c>
      <c r="D11981" t="s">
        <v>30732</v>
      </c>
      <c r="E11981" t="s">
        <v>33974</v>
      </c>
      <c r="F11981" t="s">
        <v>33975</v>
      </c>
      <c r="J11981" t="s">
        <v>33974</v>
      </c>
      <c r="K11981" t="s">
        <v>21600</v>
      </c>
      <c r="L11981" t="s">
        <v>3616</v>
      </c>
    </row>
    <row r="11982" spans="1:12">
      <c r="A11982" t="s">
        <v>30729</v>
      </c>
      <c r="B11982" t="s">
        <v>30730</v>
      </c>
      <c r="C11982" t="s">
        <v>33976</v>
      </c>
      <c r="D11982" t="s">
        <v>30732</v>
      </c>
      <c r="E11982" t="s">
        <v>33977</v>
      </c>
      <c r="F11982" t="s">
        <v>33978</v>
      </c>
      <c r="J11982" t="s">
        <v>33977</v>
      </c>
      <c r="K11982" t="s">
        <v>21600</v>
      </c>
      <c r="L11982" t="s">
        <v>3616</v>
      </c>
    </row>
    <row r="11983" spans="1:12">
      <c r="A11983" t="s">
        <v>30729</v>
      </c>
      <c r="B11983" t="s">
        <v>30730</v>
      </c>
      <c r="C11983" t="s">
        <v>33979</v>
      </c>
      <c r="D11983" t="s">
        <v>30732</v>
      </c>
      <c r="E11983" t="s">
        <v>33980</v>
      </c>
      <c r="F11983" t="s">
        <v>33981</v>
      </c>
      <c r="J11983" t="s">
        <v>33980</v>
      </c>
      <c r="K11983" t="s">
        <v>21600</v>
      </c>
      <c r="L11983" t="s">
        <v>3616</v>
      </c>
    </row>
    <row r="11984" spans="1:12">
      <c r="A11984" t="s">
        <v>30729</v>
      </c>
      <c r="B11984" t="s">
        <v>30730</v>
      </c>
      <c r="C11984" t="s">
        <v>33982</v>
      </c>
      <c r="D11984" t="s">
        <v>30732</v>
      </c>
      <c r="E11984" t="s">
        <v>9440</v>
      </c>
      <c r="F11984" t="s">
        <v>33983</v>
      </c>
    </row>
    <row r="11985" spans="1:12">
      <c r="A11985" t="s">
        <v>30729</v>
      </c>
      <c r="B11985" t="s">
        <v>30730</v>
      </c>
      <c r="C11985" t="s">
        <v>33984</v>
      </c>
      <c r="D11985" t="s">
        <v>30732</v>
      </c>
      <c r="E11985" t="s">
        <v>29778</v>
      </c>
      <c r="F11985" t="s">
        <v>33985</v>
      </c>
      <c r="J11985" t="s">
        <v>29778</v>
      </c>
      <c r="K11985" t="s">
        <v>21600</v>
      </c>
      <c r="L11985" t="s">
        <v>3616</v>
      </c>
    </row>
    <row r="11986" spans="1:12">
      <c r="A11986" t="s">
        <v>30729</v>
      </c>
      <c r="B11986" t="s">
        <v>30730</v>
      </c>
      <c r="C11986" t="s">
        <v>33986</v>
      </c>
      <c r="D11986" t="s">
        <v>30732</v>
      </c>
      <c r="E11986" t="s">
        <v>33987</v>
      </c>
      <c r="F11986" t="s">
        <v>33988</v>
      </c>
      <c r="J11986" t="s">
        <v>33987</v>
      </c>
      <c r="K11986" t="s">
        <v>21600</v>
      </c>
      <c r="L11986" t="s">
        <v>3616</v>
      </c>
    </row>
    <row r="11987" spans="1:12">
      <c r="A11987" t="s">
        <v>30729</v>
      </c>
      <c r="B11987" t="s">
        <v>30730</v>
      </c>
      <c r="C11987" t="s">
        <v>33989</v>
      </c>
      <c r="D11987" t="s">
        <v>30732</v>
      </c>
      <c r="E11987" t="s">
        <v>33990</v>
      </c>
      <c r="F11987" t="s">
        <v>33991</v>
      </c>
      <c r="J11987" t="s">
        <v>33990</v>
      </c>
      <c r="K11987" t="s">
        <v>21600</v>
      </c>
      <c r="L11987" t="s">
        <v>3616</v>
      </c>
    </row>
    <row r="11988" spans="1:12">
      <c r="A11988" t="s">
        <v>30729</v>
      </c>
      <c r="B11988" t="s">
        <v>30730</v>
      </c>
      <c r="C11988" t="s">
        <v>33992</v>
      </c>
      <c r="D11988" t="s">
        <v>30732</v>
      </c>
      <c r="E11988" t="s">
        <v>33993</v>
      </c>
      <c r="F11988" t="s">
        <v>33994</v>
      </c>
      <c r="J11988" t="s">
        <v>33993</v>
      </c>
      <c r="K11988" t="s">
        <v>21600</v>
      </c>
      <c r="L11988" t="s">
        <v>3616</v>
      </c>
    </row>
    <row r="11989" spans="1:12">
      <c r="A11989" t="s">
        <v>30729</v>
      </c>
      <c r="B11989" t="s">
        <v>30730</v>
      </c>
      <c r="C11989" t="s">
        <v>33995</v>
      </c>
      <c r="D11989" t="s">
        <v>30732</v>
      </c>
      <c r="E11989" t="s">
        <v>33996</v>
      </c>
      <c r="F11989" t="s">
        <v>33997</v>
      </c>
      <c r="J11989" t="s">
        <v>33996</v>
      </c>
      <c r="K11989" t="s">
        <v>21600</v>
      </c>
      <c r="L11989" t="s">
        <v>3616</v>
      </c>
    </row>
    <row r="11990" spans="1:12">
      <c r="A11990" t="s">
        <v>30729</v>
      </c>
      <c r="B11990" t="s">
        <v>30730</v>
      </c>
      <c r="C11990" t="s">
        <v>33998</v>
      </c>
      <c r="D11990" t="s">
        <v>30732</v>
      </c>
      <c r="E11990" t="s">
        <v>33999</v>
      </c>
      <c r="F11990" t="s">
        <v>34000</v>
      </c>
      <c r="J11990" t="s">
        <v>33999</v>
      </c>
      <c r="K11990" t="s">
        <v>21600</v>
      </c>
      <c r="L11990" t="s">
        <v>3616</v>
      </c>
    </row>
    <row r="11991" spans="1:12">
      <c r="A11991" t="s">
        <v>30729</v>
      </c>
      <c r="B11991" t="s">
        <v>30730</v>
      </c>
      <c r="C11991" t="s">
        <v>34001</v>
      </c>
      <c r="D11991" t="s">
        <v>30732</v>
      </c>
      <c r="E11991" t="s">
        <v>30120</v>
      </c>
      <c r="F11991" t="s">
        <v>34002</v>
      </c>
      <c r="J11991" t="s">
        <v>30120</v>
      </c>
      <c r="K11991" t="s">
        <v>21600</v>
      </c>
      <c r="L11991" t="s">
        <v>3616</v>
      </c>
    </row>
    <row r="11992" spans="1:12">
      <c r="A11992" t="s">
        <v>30729</v>
      </c>
      <c r="B11992" t="s">
        <v>30730</v>
      </c>
      <c r="C11992" t="s">
        <v>34003</v>
      </c>
      <c r="D11992" t="s">
        <v>30732</v>
      </c>
      <c r="E11992" t="s">
        <v>7321</v>
      </c>
      <c r="F11992" t="s">
        <v>34004</v>
      </c>
      <c r="J11992" t="s">
        <v>7321</v>
      </c>
      <c r="K11992" t="s">
        <v>21600</v>
      </c>
      <c r="L11992" t="s">
        <v>3616</v>
      </c>
    </row>
    <row r="11993" spans="1:12">
      <c r="A11993" t="s">
        <v>30729</v>
      </c>
      <c r="B11993" t="s">
        <v>30730</v>
      </c>
      <c r="C11993" t="s">
        <v>34005</v>
      </c>
      <c r="D11993" t="s">
        <v>30732</v>
      </c>
      <c r="E11993" t="s">
        <v>34006</v>
      </c>
      <c r="F11993" t="s">
        <v>34007</v>
      </c>
      <c r="J11993" t="s">
        <v>34006</v>
      </c>
      <c r="K11993" t="s">
        <v>21600</v>
      </c>
      <c r="L11993" t="s">
        <v>3616</v>
      </c>
    </row>
    <row r="11994" spans="1:12">
      <c r="A11994" t="s">
        <v>30729</v>
      </c>
      <c r="B11994" t="s">
        <v>30730</v>
      </c>
      <c r="C11994" t="s">
        <v>34008</v>
      </c>
      <c r="D11994" t="s">
        <v>30732</v>
      </c>
      <c r="E11994" t="s">
        <v>34009</v>
      </c>
      <c r="F11994" t="s">
        <v>34010</v>
      </c>
      <c r="J11994" t="s">
        <v>34009</v>
      </c>
      <c r="K11994" t="s">
        <v>21600</v>
      </c>
      <c r="L11994" t="s">
        <v>3616</v>
      </c>
    </row>
    <row r="11995" spans="1:12">
      <c r="A11995" t="s">
        <v>30729</v>
      </c>
      <c r="B11995" t="s">
        <v>30730</v>
      </c>
      <c r="C11995" t="s">
        <v>34011</v>
      </c>
      <c r="D11995" t="s">
        <v>30732</v>
      </c>
      <c r="E11995" t="s">
        <v>34012</v>
      </c>
      <c r="F11995" t="s">
        <v>34013</v>
      </c>
    </row>
    <row r="11996" spans="1:12">
      <c r="A11996" t="s">
        <v>30729</v>
      </c>
      <c r="B11996" t="s">
        <v>30730</v>
      </c>
      <c r="C11996" t="s">
        <v>34014</v>
      </c>
      <c r="D11996" t="s">
        <v>30732</v>
      </c>
      <c r="E11996" t="s">
        <v>34015</v>
      </c>
      <c r="F11996" t="s">
        <v>34016</v>
      </c>
      <c r="J11996" t="s">
        <v>34015</v>
      </c>
      <c r="K11996" t="s">
        <v>21600</v>
      </c>
      <c r="L11996" t="s">
        <v>3616</v>
      </c>
    </row>
    <row r="11997" spans="1:12">
      <c r="A11997" t="s">
        <v>30729</v>
      </c>
      <c r="B11997" t="s">
        <v>30730</v>
      </c>
      <c r="C11997" t="s">
        <v>34017</v>
      </c>
      <c r="D11997" t="s">
        <v>30732</v>
      </c>
      <c r="E11997" t="s">
        <v>5096</v>
      </c>
      <c r="F11997" t="s">
        <v>34018</v>
      </c>
      <c r="J11997" t="s">
        <v>5096</v>
      </c>
      <c r="K11997" t="s">
        <v>21600</v>
      </c>
      <c r="L11997" t="s">
        <v>3616</v>
      </c>
    </row>
    <row r="11998" spans="1:12">
      <c r="A11998" t="s">
        <v>30729</v>
      </c>
      <c r="B11998" t="s">
        <v>30730</v>
      </c>
      <c r="C11998" t="s">
        <v>34019</v>
      </c>
      <c r="D11998" t="s">
        <v>30732</v>
      </c>
      <c r="E11998" t="s">
        <v>9447</v>
      </c>
      <c r="F11998" t="s">
        <v>34020</v>
      </c>
    </row>
    <row r="11999" spans="1:12">
      <c r="A11999" t="s">
        <v>30729</v>
      </c>
      <c r="B11999" t="s">
        <v>30730</v>
      </c>
      <c r="C11999" t="s">
        <v>34021</v>
      </c>
      <c r="D11999" t="s">
        <v>30732</v>
      </c>
      <c r="E11999" t="s">
        <v>34022</v>
      </c>
      <c r="F11999" t="s">
        <v>34023</v>
      </c>
      <c r="J11999" t="s">
        <v>34022</v>
      </c>
      <c r="K11999" t="s">
        <v>21600</v>
      </c>
      <c r="L11999" t="s">
        <v>3616</v>
      </c>
    </row>
    <row r="12000" spans="1:12">
      <c r="A12000" t="s">
        <v>30729</v>
      </c>
      <c r="B12000" t="s">
        <v>30730</v>
      </c>
      <c r="C12000" t="s">
        <v>34024</v>
      </c>
      <c r="D12000" t="s">
        <v>30732</v>
      </c>
      <c r="E12000" t="s">
        <v>13868</v>
      </c>
      <c r="F12000" t="s">
        <v>34025</v>
      </c>
    </row>
    <row r="12001" spans="1:12">
      <c r="A12001" t="s">
        <v>30729</v>
      </c>
      <c r="B12001" t="s">
        <v>30730</v>
      </c>
      <c r="C12001" t="s">
        <v>34026</v>
      </c>
      <c r="D12001" t="s">
        <v>30732</v>
      </c>
      <c r="E12001" t="s">
        <v>34027</v>
      </c>
      <c r="F12001" t="s">
        <v>34028</v>
      </c>
      <c r="J12001" t="s">
        <v>34027</v>
      </c>
      <c r="K12001" t="s">
        <v>21600</v>
      </c>
      <c r="L12001" t="s">
        <v>3616</v>
      </c>
    </row>
    <row r="12002" spans="1:12">
      <c r="A12002" t="s">
        <v>30729</v>
      </c>
      <c r="B12002" t="s">
        <v>30730</v>
      </c>
      <c r="C12002" t="s">
        <v>34029</v>
      </c>
      <c r="D12002" t="s">
        <v>30732</v>
      </c>
      <c r="E12002" t="s">
        <v>34030</v>
      </c>
      <c r="F12002" t="s">
        <v>34031</v>
      </c>
      <c r="J12002" t="s">
        <v>34030</v>
      </c>
      <c r="K12002" t="s">
        <v>21600</v>
      </c>
      <c r="L12002" t="s">
        <v>3616</v>
      </c>
    </row>
    <row r="12003" spans="1:12">
      <c r="A12003" t="s">
        <v>30729</v>
      </c>
      <c r="B12003" t="s">
        <v>30730</v>
      </c>
      <c r="C12003" t="s">
        <v>34032</v>
      </c>
      <c r="D12003" t="s">
        <v>30732</v>
      </c>
      <c r="E12003" t="s">
        <v>3643</v>
      </c>
      <c r="F12003" t="s">
        <v>34033</v>
      </c>
    </row>
    <row r="12004" spans="1:12">
      <c r="A12004" t="s">
        <v>30729</v>
      </c>
      <c r="B12004" t="s">
        <v>30730</v>
      </c>
      <c r="C12004" t="s">
        <v>34034</v>
      </c>
      <c r="D12004" t="s">
        <v>30732</v>
      </c>
      <c r="E12004" t="s">
        <v>34035</v>
      </c>
      <c r="F12004" t="s">
        <v>34036</v>
      </c>
      <c r="J12004" t="s">
        <v>34035</v>
      </c>
      <c r="K12004" t="s">
        <v>21600</v>
      </c>
      <c r="L12004" t="s">
        <v>3616</v>
      </c>
    </row>
    <row r="12005" spans="1:12">
      <c r="A12005" t="s">
        <v>30729</v>
      </c>
      <c r="B12005" t="s">
        <v>30730</v>
      </c>
      <c r="C12005" t="s">
        <v>34037</v>
      </c>
      <c r="D12005" t="s">
        <v>30732</v>
      </c>
      <c r="E12005" t="s">
        <v>34038</v>
      </c>
      <c r="F12005" t="s">
        <v>34039</v>
      </c>
      <c r="J12005" t="s">
        <v>34038</v>
      </c>
      <c r="K12005" t="s">
        <v>21600</v>
      </c>
      <c r="L12005" t="s">
        <v>3616</v>
      </c>
    </row>
    <row r="12006" spans="1:12">
      <c r="A12006" t="s">
        <v>30729</v>
      </c>
      <c r="B12006" t="s">
        <v>30730</v>
      </c>
      <c r="C12006" t="s">
        <v>34040</v>
      </c>
      <c r="D12006" t="s">
        <v>30732</v>
      </c>
      <c r="E12006" t="s">
        <v>6482</v>
      </c>
      <c r="F12006" t="s">
        <v>34041</v>
      </c>
    </row>
    <row r="12007" spans="1:12">
      <c r="A12007" t="s">
        <v>30729</v>
      </c>
      <c r="B12007" t="s">
        <v>30730</v>
      </c>
      <c r="C12007" t="s">
        <v>34042</v>
      </c>
      <c r="D12007" t="s">
        <v>30732</v>
      </c>
      <c r="E12007" t="s">
        <v>34043</v>
      </c>
      <c r="F12007" t="s">
        <v>34044</v>
      </c>
      <c r="J12007" t="s">
        <v>34043</v>
      </c>
      <c r="K12007" t="s">
        <v>21600</v>
      </c>
      <c r="L12007" t="s">
        <v>3616</v>
      </c>
    </row>
    <row r="12008" spans="1:12">
      <c r="A12008" t="s">
        <v>30729</v>
      </c>
      <c r="B12008" t="s">
        <v>30730</v>
      </c>
      <c r="C12008" t="s">
        <v>34045</v>
      </c>
      <c r="D12008" t="s">
        <v>30732</v>
      </c>
      <c r="E12008" t="s">
        <v>34046</v>
      </c>
      <c r="F12008" t="s">
        <v>34047</v>
      </c>
      <c r="J12008" t="s">
        <v>34046</v>
      </c>
      <c r="K12008" t="s">
        <v>21600</v>
      </c>
      <c r="L12008" t="s">
        <v>3616</v>
      </c>
    </row>
    <row r="12009" spans="1:12">
      <c r="A12009" t="s">
        <v>30729</v>
      </c>
      <c r="B12009" t="s">
        <v>30730</v>
      </c>
      <c r="C12009" t="s">
        <v>34048</v>
      </c>
      <c r="D12009" t="s">
        <v>30732</v>
      </c>
      <c r="E12009" t="s">
        <v>34049</v>
      </c>
      <c r="F12009" t="s">
        <v>34050</v>
      </c>
      <c r="J12009" t="s">
        <v>34049</v>
      </c>
      <c r="K12009" t="s">
        <v>21600</v>
      </c>
      <c r="L12009" t="s">
        <v>3616</v>
      </c>
    </row>
    <row r="12010" spans="1:12">
      <c r="A12010" t="s">
        <v>30729</v>
      </c>
      <c r="B12010" t="s">
        <v>30730</v>
      </c>
      <c r="C12010" t="s">
        <v>34051</v>
      </c>
      <c r="D12010" t="s">
        <v>30732</v>
      </c>
      <c r="E12010" t="s">
        <v>34052</v>
      </c>
      <c r="F12010" t="s">
        <v>34053</v>
      </c>
      <c r="J12010" t="s">
        <v>34052</v>
      </c>
      <c r="K12010" t="s">
        <v>21600</v>
      </c>
      <c r="L12010" t="s">
        <v>3616</v>
      </c>
    </row>
    <row r="12011" spans="1:12">
      <c r="A12011" t="s">
        <v>30729</v>
      </c>
      <c r="B12011" t="s">
        <v>30730</v>
      </c>
      <c r="C12011" t="s">
        <v>34054</v>
      </c>
      <c r="D12011" t="s">
        <v>30732</v>
      </c>
      <c r="E12011" t="s">
        <v>34055</v>
      </c>
      <c r="F12011" t="s">
        <v>34056</v>
      </c>
    </row>
    <row r="12012" spans="1:12">
      <c r="A12012" t="s">
        <v>30729</v>
      </c>
      <c r="B12012" t="s">
        <v>30730</v>
      </c>
      <c r="C12012" t="s">
        <v>34057</v>
      </c>
      <c r="D12012" t="s">
        <v>30732</v>
      </c>
      <c r="E12012" t="s">
        <v>34058</v>
      </c>
      <c r="F12012" t="s">
        <v>34059</v>
      </c>
    </row>
    <row r="12013" spans="1:12">
      <c r="A12013" t="s">
        <v>30729</v>
      </c>
      <c r="B12013" t="s">
        <v>30730</v>
      </c>
      <c r="C12013" t="s">
        <v>34060</v>
      </c>
      <c r="D12013" t="s">
        <v>30732</v>
      </c>
      <c r="E12013" t="s">
        <v>34061</v>
      </c>
      <c r="F12013" t="s">
        <v>34062</v>
      </c>
      <c r="J12013" t="s">
        <v>34061</v>
      </c>
      <c r="K12013" t="s">
        <v>21600</v>
      </c>
      <c r="L12013" t="s">
        <v>3616</v>
      </c>
    </row>
    <row r="12014" spans="1:12">
      <c r="A12014" t="s">
        <v>30729</v>
      </c>
      <c r="B12014" t="s">
        <v>30730</v>
      </c>
      <c r="C12014" t="s">
        <v>34063</v>
      </c>
      <c r="D12014" t="s">
        <v>30732</v>
      </c>
      <c r="E12014" t="s">
        <v>34064</v>
      </c>
      <c r="F12014" t="s">
        <v>34065</v>
      </c>
      <c r="J12014" t="s">
        <v>34064</v>
      </c>
      <c r="K12014" t="s">
        <v>21600</v>
      </c>
      <c r="L12014" t="s">
        <v>3616</v>
      </c>
    </row>
    <row r="12015" spans="1:12">
      <c r="A12015" t="s">
        <v>30729</v>
      </c>
      <c r="B12015" t="s">
        <v>30730</v>
      </c>
      <c r="C12015" t="s">
        <v>34066</v>
      </c>
      <c r="D12015" t="s">
        <v>30732</v>
      </c>
      <c r="E12015" t="s">
        <v>34067</v>
      </c>
      <c r="F12015" t="s">
        <v>34068</v>
      </c>
    </row>
    <row r="12016" spans="1:12">
      <c r="A12016" t="s">
        <v>30729</v>
      </c>
      <c r="B12016" t="s">
        <v>30730</v>
      </c>
      <c r="C12016" t="s">
        <v>34069</v>
      </c>
      <c r="D12016" t="s">
        <v>30732</v>
      </c>
      <c r="E12016" t="s">
        <v>34070</v>
      </c>
      <c r="F12016" t="s">
        <v>34071</v>
      </c>
      <c r="J12016" t="s">
        <v>34070</v>
      </c>
      <c r="K12016" t="s">
        <v>21600</v>
      </c>
      <c r="L12016" t="s">
        <v>3616</v>
      </c>
    </row>
    <row r="12017" spans="1:12">
      <c r="A12017" t="s">
        <v>30729</v>
      </c>
      <c r="B12017" t="s">
        <v>30730</v>
      </c>
      <c r="C12017" t="s">
        <v>34072</v>
      </c>
      <c r="D12017" t="s">
        <v>30732</v>
      </c>
      <c r="E12017" t="s">
        <v>34073</v>
      </c>
      <c r="F12017" t="s">
        <v>34074</v>
      </c>
      <c r="J12017" t="s">
        <v>34073</v>
      </c>
      <c r="K12017" t="s">
        <v>21600</v>
      </c>
      <c r="L12017" t="s">
        <v>3616</v>
      </c>
    </row>
    <row r="12018" spans="1:12">
      <c r="A12018" t="s">
        <v>30729</v>
      </c>
      <c r="B12018" t="s">
        <v>30730</v>
      </c>
      <c r="C12018" t="s">
        <v>34075</v>
      </c>
      <c r="D12018" t="s">
        <v>30732</v>
      </c>
      <c r="E12018" t="s">
        <v>34076</v>
      </c>
      <c r="F12018" t="s">
        <v>34068</v>
      </c>
    </row>
    <row r="12019" spans="1:12">
      <c r="A12019" t="s">
        <v>30729</v>
      </c>
      <c r="B12019" t="s">
        <v>30730</v>
      </c>
      <c r="C12019" t="s">
        <v>34077</v>
      </c>
      <c r="D12019" t="s">
        <v>30732</v>
      </c>
      <c r="E12019" t="s">
        <v>34078</v>
      </c>
      <c r="F12019" t="s">
        <v>34079</v>
      </c>
      <c r="J12019" t="s">
        <v>34078</v>
      </c>
      <c r="K12019" t="s">
        <v>21600</v>
      </c>
      <c r="L12019" t="s">
        <v>3616</v>
      </c>
    </row>
    <row r="12020" spans="1:12">
      <c r="A12020" t="s">
        <v>30729</v>
      </c>
      <c r="B12020" t="s">
        <v>30730</v>
      </c>
      <c r="C12020" t="s">
        <v>34080</v>
      </c>
      <c r="D12020" t="s">
        <v>30732</v>
      </c>
      <c r="E12020" t="s">
        <v>34081</v>
      </c>
      <c r="F12020" t="s">
        <v>34082</v>
      </c>
      <c r="J12020" t="s">
        <v>34081</v>
      </c>
      <c r="K12020" t="s">
        <v>21600</v>
      </c>
      <c r="L12020" t="s">
        <v>3616</v>
      </c>
    </row>
    <row r="12021" spans="1:12">
      <c r="A12021" t="s">
        <v>30729</v>
      </c>
      <c r="B12021" t="s">
        <v>30730</v>
      </c>
      <c r="C12021" t="s">
        <v>34083</v>
      </c>
      <c r="D12021" t="s">
        <v>30732</v>
      </c>
      <c r="E12021" t="s">
        <v>34084</v>
      </c>
      <c r="F12021" t="s">
        <v>34085</v>
      </c>
      <c r="J12021" t="s">
        <v>34084</v>
      </c>
      <c r="K12021" t="s">
        <v>21600</v>
      </c>
      <c r="L12021" t="s">
        <v>3616</v>
      </c>
    </row>
    <row r="12022" spans="1:12">
      <c r="A12022" t="s">
        <v>30729</v>
      </c>
      <c r="B12022" t="s">
        <v>30730</v>
      </c>
      <c r="C12022" t="s">
        <v>34086</v>
      </c>
      <c r="D12022" t="s">
        <v>30732</v>
      </c>
      <c r="E12022" t="s">
        <v>34087</v>
      </c>
      <c r="F12022" t="s">
        <v>34088</v>
      </c>
    </row>
    <row r="12023" spans="1:12">
      <c r="A12023" t="s">
        <v>30729</v>
      </c>
      <c r="B12023" t="s">
        <v>30730</v>
      </c>
      <c r="C12023" t="s">
        <v>34089</v>
      </c>
      <c r="D12023" t="s">
        <v>30732</v>
      </c>
      <c r="E12023" t="s">
        <v>22823</v>
      </c>
      <c r="F12023" t="s">
        <v>34090</v>
      </c>
    </row>
    <row r="12024" spans="1:12">
      <c r="A12024" t="s">
        <v>30729</v>
      </c>
      <c r="B12024" t="s">
        <v>30730</v>
      </c>
      <c r="C12024" t="s">
        <v>34091</v>
      </c>
      <c r="D12024" t="s">
        <v>30732</v>
      </c>
      <c r="E12024" t="s">
        <v>34092</v>
      </c>
      <c r="F12024" t="s">
        <v>34093</v>
      </c>
      <c r="J12024" t="s">
        <v>34092</v>
      </c>
      <c r="K12024" t="s">
        <v>21600</v>
      </c>
      <c r="L12024" t="s">
        <v>3616</v>
      </c>
    </row>
    <row r="12025" spans="1:12">
      <c r="A12025" t="s">
        <v>30729</v>
      </c>
      <c r="B12025" t="s">
        <v>30730</v>
      </c>
      <c r="C12025" t="s">
        <v>34094</v>
      </c>
      <c r="D12025" t="s">
        <v>30732</v>
      </c>
      <c r="E12025" t="s">
        <v>34095</v>
      </c>
      <c r="F12025" t="s">
        <v>34096</v>
      </c>
    </row>
    <row r="12026" spans="1:12">
      <c r="A12026" t="s">
        <v>30729</v>
      </c>
      <c r="B12026" t="s">
        <v>30730</v>
      </c>
      <c r="C12026" t="s">
        <v>34097</v>
      </c>
      <c r="D12026" t="s">
        <v>30732</v>
      </c>
      <c r="E12026" t="s">
        <v>34098</v>
      </c>
      <c r="F12026" t="s">
        <v>34099</v>
      </c>
      <c r="J12026" t="s">
        <v>34098</v>
      </c>
      <c r="K12026" t="s">
        <v>21600</v>
      </c>
      <c r="L12026" t="s">
        <v>3616</v>
      </c>
    </row>
    <row r="12027" spans="1:12">
      <c r="A12027" t="s">
        <v>30729</v>
      </c>
      <c r="B12027" t="s">
        <v>30730</v>
      </c>
      <c r="C12027" t="s">
        <v>34100</v>
      </c>
      <c r="D12027" t="s">
        <v>30732</v>
      </c>
      <c r="E12027" t="s">
        <v>34101</v>
      </c>
      <c r="F12027" t="s">
        <v>34102</v>
      </c>
      <c r="J12027" t="s">
        <v>34101</v>
      </c>
      <c r="K12027" t="s">
        <v>21600</v>
      </c>
      <c r="L12027" t="s">
        <v>3616</v>
      </c>
    </row>
    <row r="12028" spans="1:12">
      <c r="A12028" t="s">
        <v>30729</v>
      </c>
      <c r="B12028" t="s">
        <v>30730</v>
      </c>
      <c r="C12028" t="s">
        <v>34103</v>
      </c>
      <c r="D12028" t="s">
        <v>30732</v>
      </c>
      <c r="E12028" t="s">
        <v>11973</v>
      </c>
      <c r="F12028" t="s">
        <v>34104</v>
      </c>
    </row>
    <row r="12029" spans="1:12">
      <c r="A12029" t="s">
        <v>30729</v>
      </c>
      <c r="B12029" t="s">
        <v>30730</v>
      </c>
      <c r="C12029" t="s">
        <v>34105</v>
      </c>
      <c r="D12029" t="s">
        <v>30732</v>
      </c>
      <c r="E12029" t="s">
        <v>34106</v>
      </c>
      <c r="F12029" t="s">
        <v>34107</v>
      </c>
      <c r="J12029" t="s">
        <v>34106</v>
      </c>
      <c r="K12029" t="s">
        <v>21600</v>
      </c>
      <c r="L12029" t="s">
        <v>3616</v>
      </c>
    </row>
    <row r="12030" spans="1:12">
      <c r="A12030" t="s">
        <v>30729</v>
      </c>
      <c r="B12030" t="s">
        <v>30730</v>
      </c>
      <c r="C12030" t="s">
        <v>34108</v>
      </c>
      <c r="D12030" t="s">
        <v>30732</v>
      </c>
      <c r="E12030" t="s">
        <v>34109</v>
      </c>
      <c r="F12030" t="s">
        <v>34110</v>
      </c>
      <c r="J12030" t="s">
        <v>34109</v>
      </c>
      <c r="K12030" t="s">
        <v>21600</v>
      </c>
      <c r="L12030" t="s">
        <v>3616</v>
      </c>
    </row>
    <row r="12031" spans="1:12">
      <c r="A12031" t="s">
        <v>30729</v>
      </c>
      <c r="B12031" t="s">
        <v>30730</v>
      </c>
      <c r="C12031" t="s">
        <v>34111</v>
      </c>
      <c r="D12031" t="s">
        <v>30732</v>
      </c>
      <c r="E12031" t="s">
        <v>10993</v>
      </c>
      <c r="F12031" t="s">
        <v>34112</v>
      </c>
    </row>
    <row r="12032" spans="1:12">
      <c r="A12032" t="s">
        <v>30729</v>
      </c>
      <c r="B12032" t="s">
        <v>30730</v>
      </c>
      <c r="C12032" t="s">
        <v>34113</v>
      </c>
      <c r="D12032" t="s">
        <v>30732</v>
      </c>
      <c r="E12032" t="s">
        <v>18751</v>
      </c>
      <c r="F12032" t="s">
        <v>34114</v>
      </c>
      <c r="J12032" t="s">
        <v>18751</v>
      </c>
      <c r="K12032" t="s">
        <v>21600</v>
      </c>
      <c r="L12032" t="s">
        <v>3616</v>
      </c>
    </row>
    <row r="12033" spans="1:12">
      <c r="A12033" t="s">
        <v>30729</v>
      </c>
      <c r="B12033" t="s">
        <v>30730</v>
      </c>
      <c r="C12033" t="s">
        <v>34115</v>
      </c>
      <c r="D12033" t="s">
        <v>30732</v>
      </c>
      <c r="E12033" t="s">
        <v>34116</v>
      </c>
      <c r="F12033" t="s">
        <v>34117</v>
      </c>
      <c r="J12033" t="s">
        <v>34116</v>
      </c>
      <c r="K12033" t="s">
        <v>21600</v>
      </c>
      <c r="L12033" t="s">
        <v>3616</v>
      </c>
    </row>
    <row r="12034" spans="1:12">
      <c r="A12034" t="s">
        <v>30729</v>
      </c>
      <c r="B12034" t="s">
        <v>30730</v>
      </c>
      <c r="C12034" t="s">
        <v>34118</v>
      </c>
      <c r="D12034" t="s">
        <v>30732</v>
      </c>
      <c r="E12034" t="s">
        <v>10996</v>
      </c>
      <c r="F12034" t="s">
        <v>34119</v>
      </c>
    </row>
    <row r="12035" spans="1:12">
      <c r="A12035" t="s">
        <v>30729</v>
      </c>
      <c r="B12035" t="s">
        <v>30730</v>
      </c>
      <c r="C12035" t="s">
        <v>34120</v>
      </c>
      <c r="D12035" t="s">
        <v>30732</v>
      </c>
      <c r="E12035" t="s">
        <v>9463</v>
      </c>
      <c r="F12035" t="s">
        <v>34121</v>
      </c>
    </row>
    <row r="12036" spans="1:12">
      <c r="A12036" t="s">
        <v>30729</v>
      </c>
      <c r="B12036" t="s">
        <v>30730</v>
      </c>
      <c r="C12036" t="s">
        <v>34122</v>
      </c>
      <c r="D12036" t="s">
        <v>30732</v>
      </c>
      <c r="E12036" t="s">
        <v>7339</v>
      </c>
      <c r="F12036" t="s">
        <v>34123</v>
      </c>
      <c r="J12036" t="s">
        <v>7339</v>
      </c>
      <c r="K12036" t="s">
        <v>21600</v>
      </c>
      <c r="L12036" t="s">
        <v>3616</v>
      </c>
    </row>
    <row r="12037" spans="1:12">
      <c r="A12037" t="s">
        <v>30729</v>
      </c>
      <c r="B12037" t="s">
        <v>30730</v>
      </c>
      <c r="C12037" t="s">
        <v>34124</v>
      </c>
      <c r="D12037" t="s">
        <v>30732</v>
      </c>
      <c r="E12037" t="s">
        <v>34125</v>
      </c>
      <c r="F12037" t="s">
        <v>34126</v>
      </c>
      <c r="J12037" t="s">
        <v>34125</v>
      </c>
      <c r="K12037" t="s">
        <v>21600</v>
      </c>
      <c r="L12037" t="s">
        <v>3616</v>
      </c>
    </row>
    <row r="12038" spans="1:12">
      <c r="A12038" t="s">
        <v>30729</v>
      </c>
      <c r="B12038" t="s">
        <v>30730</v>
      </c>
      <c r="C12038" t="s">
        <v>34127</v>
      </c>
      <c r="D12038" t="s">
        <v>30732</v>
      </c>
      <c r="E12038" t="s">
        <v>34128</v>
      </c>
      <c r="F12038" t="s">
        <v>34129</v>
      </c>
      <c r="J12038" t="s">
        <v>34128</v>
      </c>
      <c r="K12038" t="s">
        <v>21600</v>
      </c>
      <c r="L12038" t="s">
        <v>3616</v>
      </c>
    </row>
    <row r="12039" spans="1:12">
      <c r="A12039" t="s">
        <v>30729</v>
      </c>
      <c r="B12039" t="s">
        <v>30730</v>
      </c>
      <c r="C12039" t="s">
        <v>34130</v>
      </c>
      <c r="D12039" t="s">
        <v>30732</v>
      </c>
      <c r="E12039" t="s">
        <v>34131</v>
      </c>
      <c r="F12039" t="s">
        <v>34132</v>
      </c>
      <c r="J12039" t="s">
        <v>34131</v>
      </c>
      <c r="K12039" t="s">
        <v>21600</v>
      </c>
      <c r="L12039" t="s">
        <v>3616</v>
      </c>
    </row>
    <row r="12040" spans="1:12">
      <c r="A12040" t="s">
        <v>30729</v>
      </c>
      <c r="B12040" t="s">
        <v>30730</v>
      </c>
      <c r="C12040" t="s">
        <v>34133</v>
      </c>
      <c r="D12040" t="s">
        <v>30732</v>
      </c>
      <c r="E12040" t="s">
        <v>34134</v>
      </c>
      <c r="F12040" t="s">
        <v>34135</v>
      </c>
      <c r="J12040" t="s">
        <v>34134</v>
      </c>
      <c r="K12040" t="s">
        <v>21600</v>
      </c>
      <c r="L12040" t="s">
        <v>3616</v>
      </c>
    </row>
    <row r="12041" spans="1:12">
      <c r="A12041" t="s">
        <v>30729</v>
      </c>
      <c r="B12041" t="s">
        <v>30730</v>
      </c>
      <c r="C12041" t="s">
        <v>34136</v>
      </c>
      <c r="D12041" t="s">
        <v>30732</v>
      </c>
      <c r="E12041" t="s">
        <v>34137</v>
      </c>
      <c r="F12041" t="s">
        <v>34138</v>
      </c>
      <c r="J12041" t="s">
        <v>34137</v>
      </c>
      <c r="K12041" t="s">
        <v>21600</v>
      </c>
      <c r="L12041" t="s">
        <v>3616</v>
      </c>
    </row>
    <row r="12042" spans="1:12">
      <c r="A12042" t="s">
        <v>30729</v>
      </c>
      <c r="B12042" t="s">
        <v>30730</v>
      </c>
      <c r="C12042" t="s">
        <v>34139</v>
      </c>
      <c r="D12042" t="s">
        <v>30732</v>
      </c>
      <c r="E12042" t="s">
        <v>12779</v>
      </c>
      <c r="F12042" t="s">
        <v>34140</v>
      </c>
      <c r="J12042" t="s">
        <v>12779</v>
      </c>
      <c r="K12042" t="s">
        <v>21600</v>
      </c>
      <c r="L12042" t="s">
        <v>3616</v>
      </c>
    </row>
    <row r="12043" spans="1:12">
      <c r="A12043" t="s">
        <v>30729</v>
      </c>
      <c r="B12043" t="s">
        <v>30730</v>
      </c>
      <c r="C12043" t="s">
        <v>34141</v>
      </c>
      <c r="D12043" t="s">
        <v>30732</v>
      </c>
      <c r="E12043" t="s">
        <v>34142</v>
      </c>
      <c r="F12043" t="s">
        <v>34143</v>
      </c>
      <c r="J12043" t="s">
        <v>34142</v>
      </c>
      <c r="K12043" t="s">
        <v>21600</v>
      </c>
      <c r="L12043" t="s">
        <v>3616</v>
      </c>
    </row>
    <row r="12044" spans="1:12">
      <c r="A12044" t="s">
        <v>30729</v>
      </c>
      <c r="B12044" t="s">
        <v>30730</v>
      </c>
      <c r="C12044" t="s">
        <v>34144</v>
      </c>
      <c r="D12044" t="s">
        <v>30732</v>
      </c>
      <c r="E12044" t="s">
        <v>34145</v>
      </c>
      <c r="F12044" t="s">
        <v>34146</v>
      </c>
      <c r="J12044" t="s">
        <v>34145</v>
      </c>
      <c r="K12044" t="s">
        <v>21600</v>
      </c>
      <c r="L12044" t="s">
        <v>3616</v>
      </c>
    </row>
    <row r="12045" spans="1:12">
      <c r="A12045" t="s">
        <v>30729</v>
      </c>
      <c r="B12045" t="s">
        <v>30730</v>
      </c>
      <c r="C12045" t="s">
        <v>34147</v>
      </c>
      <c r="D12045" t="s">
        <v>30732</v>
      </c>
      <c r="E12045" t="s">
        <v>34148</v>
      </c>
      <c r="F12045" t="s">
        <v>34149</v>
      </c>
      <c r="J12045" t="s">
        <v>34148</v>
      </c>
      <c r="K12045" t="s">
        <v>21600</v>
      </c>
      <c r="L12045" t="s">
        <v>3616</v>
      </c>
    </row>
    <row r="12046" spans="1:12">
      <c r="A12046" t="s">
        <v>30729</v>
      </c>
      <c r="B12046" t="s">
        <v>30730</v>
      </c>
      <c r="C12046" t="s">
        <v>34150</v>
      </c>
      <c r="D12046" t="s">
        <v>30732</v>
      </c>
      <c r="E12046" t="s">
        <v>34151</v>
      </c>
      <c r="F12046" t="s">
        <v>34152</v>
      </c>
      <c r="J12046" t="s">
        <v>34151</v>
      </c>
      <c r="K12046" t="s">
        <v>21600</v>
      </c>
      <c r="L12046" t="s">
        <v>3616</v>
      </c>
    </row>
    <row r="12047" spans="1:12">
      <c r="A12047" t="s">
        <v>30729</v>
      </c>
      <c r="B12047" t="s">
        <v>30730</v>
      </c>
      <c r="C12047" t="s">
        <v>34153</v>
      </c>
      <c r="D12047" t="s">
        <v>30732</v>
      </c>
      <c r="E12047" t="s">
        <v>34154</v>
      </c>
      <c r="F12047" t="s">
        <v>34155</v>
      </c>
      <c r="J12047" t="s">
        <v>34154</v>
      </c>
      <c r="K12047" t="s">
        <v>21600</v>
      </c>
      <c r="L12047" t="s">
        <v>3616</v>
      </c>
    </row>
    <row r="12048" spans="1:12">
      <c r="A12048" t="s">
        <v>30729</v>
      </c>
      <c r="B12048" t="s">
        <v>30730</v>
      </c>
      <c r="C12048" t="s">
        <v>34156</v>
      </c>
      <c r="D12048" t="s">
        <v>30732</v>
      </c>
      <c r="E12048" t="s">
        <v>34157</v>
      </c>
      <c r="F12048" t="s">
        <v>34158</v>
      </c>
      <c r="J12048" t="s">
        <v>34157</v>
      </c>
      <c r="K12048" t="s">
        <v>21600</v>
      </c>
      <c r="L12048" t="s">
        <v>3616</v>
      </c>
    </row>
    <row r="12049" spans="1:12">
      <c r="A12049" t="s">
        <v>30729</v>
      </c>
      <c r="B12049" t="s">
        <v>30730</v>
      </c>
      <c r="C12049" t="s">
        <v>34159</v>
      </c>
      <c r="D12049" t="s">
        <v>30732</v>
      </c>
      <c r="E12049" t="s">
        <v>34160</v>
      </c>
      <c r="F12049" t="s">
        <v>34161</v>
      </c>
      <c r="J12049" t="s">
        <v>34160</v>
      </c>
      <c r="K12049" t="s">
        <v>21600</v>
      </c>
      <c r="L12049" t="s">
        <v>3616</v>
      </c>
    </row>
    <row r="12050" spans="1:12">
      <c r="A12050" t="s">
        <v>30729</v>
      </c>
      <c r="B12050" t="s">
        <v>30730</v>
      </c>
      <c r="C12050" t="s">
        <v>34162</v>
      </c>
      <c r="D12050" t="s">
        <v>30732</v>
      </c>
      <c r="E12050" t="s">
        <v>27465</v>
      </c>
      <c r="F12050" t="s">
        <v>34163</v>
      </c>
      <c r="J12050" t="s">
        <v>27465</v>
      </c>
      <c r="K12050" t="s">
        <v>21600</v>
      </c>
      <c r="L12050" t="s">
        <v>3616</v>
      </c>
    </row>
    <row r="12051" spans="1:12">
      <c r="A12051" t="s">
        <v>30729</v>
      </c>
      <c r="B12051" t="s">
        <v>30730</v>
      </c>
      <c r="C12051" t="s">
        <v>34164</v>
      </c>
      <c r="D12051" t="s">
        <v>30732</v>
      </c>
      <c r="E12051" t="s">
        <v>13673</v>
      </c>
      <c r="F12051" t="s">
        <v>34165</v>
      </c>
    </row>
    <row r="12052" spans="1:12">
      <c r="A12052" t="s">
        <v>30729</v>
      </c>
      <c r="B12052" t="s">
        <v>30730</v>
      </c>
      <c r="C12052" t="s">
        <v>34166</v>
      </c>
      <c r="D12052" t="s">
        <v>30732</v>
      </c>
      <c r="E12052" t="s">
        <v>34167</v>
      </c>
      <c r="F12052" t="s">
        <v>34168</v>
      </c>
      <c r="J12052" t="s">
        <v>34167</v>
      </c>
      <c r="K12052" t="s">
        <v>21600</v>
      </c>
      <c r="L12052" t="s">
        <v>3616</v>
      </c>
    </row>
    <row r="12053" spans="1:12">
      <c r="A12053" t="s">
        <v>30729</v>
      </c>
      <c r="B12053" t="s">
        <v>30730</v>
      </c>
      <c r="C12053" t="s">
        <v>34169</v>
      </c>
      <c r="D12053" t="s">
        <v>30732</v>
      </c>
      <c r="E12053" t="s">
        <v>34170</v>
      </c>
      <c r="F12053" t="s">
        <v>34171</v>
      </c>
    </row>
    <row r="12054" spans="1:12">
      <c r="A12054" t="s">
        <v>30729</v>
      </c>
      <c r="B12054" t="s">
        <v>30730</v>
      </c>
      <c r="C12054" t="s">
        <v>34172</v>
      </c>
      <c r="D12054" t="s">
        <v>30732</v>
      </c>
      <c r="E12054" t="s">
        <v>34173</v>
      </c>
      <c r="F12054" t="s">
        <v>34174</v>
      </c>
      <c r="J12054" t="s">
        <v>34173</v>
      </c>
      <c r="K12054" t="s">
        <v>21600</v>
      </c>
      <c r="L12054" t="s">
        <v>3616</v>
      </c>
    </row>
    <row r="12055" spans="1:12">
      <c r="A12055" t="s">
        <v>30729</v>
      </c>
      <c r="B12055" t="s">
        <v>30730</v>
      </c>
      <c r="C12055" t="s">
        <v>34175</v>
      </c>
      <c r="D12055" t="s">
        <v>30732</v>
      </c>
      <c r="E12055" t="s">
        <v>18814</v>
      </c>
      <c r="F12055" t="s">
        <v>34176</v>
      </c>
      <c r="J12055" t="s">
        <v>18814</v>
      </c>
      <c r="K12055" t="s">
        <v>21600</v>
      </c>
      <c r="L12055" t="s">
        <v>3616</v>
      </c>
    </row>
    <row r="12056" spans="1:12">
      <c r="A12056" t="s">
        <v>30729</v>
      </c>
      <c r="B12056" t="s">
        <v>30730</v>
      </c>
      <c r="C12056" t="s">
        <v>34177</v>
      </c>
      <c r="D12056" t="s">
        <v>30732</v>
      </c>
      <c r="E12056" t="s">
        <v>27468</v>
      </c>
      <c r="F12056" t="s">
        <v>34178</v>
      </c>
      <c r="J12056" t="s">
        <v>27468</v>
      </c>
      <c r="K12056" t="s">
        <v>21600</v>
      </c>
      <c r="L12056" t="s">
        <v>3616</v>
      </c>
    </row>
    <row r="12057" spans="1:12">
      <c r="A12057" t="s">
        <v>30729</v>
      </c>
      <c r="B12057" t="s">
        <v>30730</v>
      </c>
      <c r="C12057" t="s">
        <v>34179</v>
      </c>
      <c r="D12057" t="s">
        <v>30732</v>
      </c>
      <c r="E12057" t="s">
        <v>34180</v>
      </c>
      <c r="F12057" t="s">
        <v>34181</v>
      </c>
      <c r="J12057" t="s">
        <v>34180</v>
      </c>
      <c r="K12057" t="s">
        <v>21600</v>
      </c>
      <c r="L12057" t="s">
        <v>3616</v>
      </c>
    </row>
    <row r="12058" spans="1:12">
      <c r="A12058" t="s">
        <v>30729</v>
      </c>
      <c r="B12058" t="s">
        <v>30730</v>
      </c>
      <c r="C12058" t="s">
        <v>34182</v>
      </c>
      <c r="D12058" t="s">
        <v>30732</v>
      </c>
      <c r="E12058" t="s">
        <v>18818</v>
      </c>
      <c r="F12058" t="s">
        <v>34183</v>
      </c>
      <c r="J12058" t="s">
        <v>18818</v>
      </c>
      <c r="K12058" t="s">
        <v>21600</v>
      </c>
      <c r="L12058" t="s">
        <v>3616</v>
      </c>
    </row>
    <row r="12059" spans="1:12">
      <c r="A12059" t="s">
        <v>30729</v>
      </c>
      <c r="B12059" t="s">
        <v>30730</v>
      </c>
      <c r="C12059" t="s">
        <v>34184</v>
      </c>
      <c r="D12059" t="s">
        <v>30732</v>
      </c>
      <c r="E12059" t="s">
        <v>34185</v>
      </c>
      <c r="F12059" t="s">
        <v>34186</v>
      </c>
      <c r="J12059" t="s">
        <v>34185</v>
      </c>
      <c r="K12059" t="s">
        <v>21600</v>
      </c>
      <c r="L12059" t="s">
        <v>3616</v>
      </c>
    </row>
    <row r="12060" spans="1:12">
      <c r="A12060" t="s">
        <v>30729</v>
      </c>
      <c r="B12060" t="s">
        <v>30730</v>
      </c>
      <c r="C12060" t="s">
        <v>34187</v>
      </c>
      <c r="D12060" t="s">
        <v>30732</v>
      </c>
      <c r="E12060" t="s">
        <v>34188</v>
      </c>
      <c r="F12060" t="s">
        <v>31642</v>
      </c>
      <c r="J12060" t="s">
        <v>34188</v>
      </c>
      <c r="K12060" t="s">
        <v>21600</v>
      </c>
      <c r="L12060" t="s">
        <v>3616</v>
      </c>
    </row>
    <row r="12061" spans="1:12">
      <c r="A12061" t="s">
        <v>30729</v>
      </c>
      <c r="B12061" t="s">
        <v>30730</v>
      </c>
      <c r="C12061" t="s">
        <v>34189</v>
      </c>
      <c r="D12061" t="s">
        <v>30732</v>
      </c>
      <c r="E12061" t="s">
        <v>18825</v>
      </c>
      <c r="F12061" t="s">
        <v>34190</v>
      </c>
      <c r="J12061" t="s">
        <v>18825</v>
      </c>
      <c r="K12061" t="s">
        <v>21600</v>
      </c>
      <c r="L12061" t="s">
        <v>3616</v>
      </c>
    </row>
    <row r="12062" spans="1:12">
      <c r="A12062" t="s">
        <v>30729</v>
      </c>
      <c r="B12062" t="s">
        <v>30730</v>
      </c>
      <c r="C12062" t="s">
        <v>34191</v>
      </c>
      <c r="D12062" t="s">
        <v>30732</v>
      </c>
      <c r="E12062" t="s">
        <v>34192</v>
      </c>
      <c r="F12062" t="s">
        <v>34193</v>
      </c>
      <c r="J12062" t="s">
        <v>34192</v>
      </c>
      <c r="K12062" t="s">
        <v>21600</v>
      </c>
      <c r="L12062" t="s">
        <v>3616</v>
      </c>
    </row>
    <row r="12063" spans="1:12">
      <c r="A12063" t="s">
        <v>30729</v>
      </c>
      <c r="B12063" t="s">
        <v>30730</v>
      </c>
      <c r="C12063" t="s">
        <v>34194</v>
      </c>
      <c r="D12063" t="s">
        <v>30732</v>
      </c>
      <c r="E12063" t="s">
        <v>2436</v>
      </c>
      <c r="F12063" t="s">
        <v>34195</v>
      </c>
    </row>
    <row r="12064" spans="1:12">
      <c r="A12064" t="s">
        <v>30729</v>
      </c>
      <c r="B12064" t="s">
        <v>30730</v>
      </c>
      <c r="C12064" t="s">
        <v>34196</v>
      </c>
      <c r="D12064" t="s">
        <v>30732</v>
      </c>
      <c r="E12064" t="s">
        <v>9484</v>
      </c>
      <c r="F12064" t="s">
        <v>34197</v>
      </c>
      <c r="J12064" t="s">
        <v>9484</v>
      </c>
      <c r="K12064" t="s">
        <v>21600</v>
      </c>
      <c r="L12064" t="s">
        <v>3616</v>
      </c>
    </row>
    <row r="12065" spans="1:12">
      <c r="A12065" t="s">
        <v>30729</v>
      </c>
      <c r="B12065" t="s">
        <v>30730</v>
      </c>
      <c r="C12065" t="s">
        <v>34198</v>
      </c>
      <c r="D12065" t="s">
        <v>30732</v>
      </c>
      <c r="E12065" t="s">
        <v>34199</v>
      </c>
      <c r="F12065" t="s">
        <v>34200</v>
      </c>
      <c r="J12065" t="s">
        <v>34199</v>
      </c>
      <c r="K12065" t="s">
        <v>21600</v>
      </c>
      <c r="L12065" t="s">
        <v>3616</v>
      </c>
    </row>
    <row r="12066" spans="1:12">
      <c r="A12066" t="s">
        <v>30729</v>
      </c>
      <c r="B12066" t="s">
        <v>30730</v>
      </c>
      <c r="C12066" t="s">
        <v>34201</v>
      </c>
      <c r="D12066" t="s">
        <v>30732</v>
      </c>
      <c r="E12066" t="s">
        <v>34202</v>
      </c>
      <c r="F12066" t="s">
        <v>34203</v>
      </c>
      <c r="J12066" t="s">
        <v>34202</v>
      </c>
      <c r="K12066" t="s">
        <v>21600</v>
      </c>
      <c r="L12066" t="s">
        <v>3616</v>
      </c>
    </row>
    <row r="12067" spans="1:12">
      <c r="A12067" t="s">
        <v>30729</v>
      </c>
      <c r="B12067" t="s">
        <v>30730</v>
      </c>
      <c r="C12067" t="s">
        <v>34204</v>
      </c>
      <c r="D12067" t="s">
        <v>30732</v>
      </c>
      <c r="E12067" t="s">
        <v>34205</v>
      </c>
      <c r="F12067" t="s">
        <v>34206</v>
      </c>
      <c r="J12067" t="s">
        <v>34205</v>
      </c>
      <c r="K12067" t="s">
        <v>21600</v>
      </c>
      <c r="L12067" t="s">
        <v>3616</v>
      </c>
    </row>
    <row r="12068" spans="1:12">
      <c r="A12068" t="s">
        <v>30729</v>
      </c>
      <c r="B12068" t="s">
        <v>30730</v>
      </c>
      <c r="C12068" t="s">
        <v>34207</v>
      </c>
      <c r="D12068" t="s">
        <v>30732</v>
      </c>
      <c r="E12068" t="s">
        <v>34208</v>
      </c>
      <c r="F12068" t="s">
        <v>34209</v>
      </c>
      <c r="J12068" t="s">
        <v>34208</v>
      </c>
      <c r="K12068" t="s">
        <v>21600</v>
      </c>
      <c r="L12068" t="s">
        <v>3616</v>
      </c>
    </row>
    <row r="12069" spans="1:12">
      <c r="A12069" t="s">
        <v>30729</v>
      </c>
      <c r="B12069" t="s">
        <v>30730</v>
      </c>
      <c r="C12069" t="s">
        <v>34210</v>
      </c>
      <c r="D12069" t="s">
        <v>30732</v>
      </c>
      <c r="E12069" t="s">
        <v>34211</v>
      </c>
      <c r="F12069" t="s">
        <v>34212</v>
      </c>
      <c r="J12069" t="s">
        <v>34211</v>
      </c>
      <c r="K12069" t="s">
        <v>21600</v>
      </c>
      <c r="L12069" t="s">
        <v>3616</v>
      </c>
    </row>
    <row r="12070" spans="1:12">
      <c r="A12070" t="s">
        <v>30729</v>
      </c>
      <c r="B12070" t="s">
        <v>30730</v>
      </c>
      <c r="C12070" t="s">
        <v>34213</v>
      </c>
      <c r="D12070" t="s">
        <v>30732</v>
      </c>
      <c r="E12070" t="s">
        <v>34214</v>
      </c>
      <c r="F12070" t="s">
        <v>34215</v>
      </c>
      <c r="J12070" t="s">
        <v>34214</v>
      </c>
      <c r="K12070" t="s">
        <v>21600</v>
      </c>
      <c r="L12070" t="s">
        <v>3616</v>
      </c>
    </row>
    <row r="12071" spans="1:12">
      <c r="A12071" t="s">
        <v>30729</v>
      </c>
      <c r="B12071" t="s">
        <v>30730</v>
      </c>
      <c r="C12071" t="s">
        <v>34216</v>
      </c>
      <c r="D12071" t="s">
        <v>30732</v>
      </c>
      <c r="E12071" t="s">
        <v>34217</v>
      </c>
      <c r="F12071" t="s">
        <v>34218</v>
      </c>
      <c r="J12071" t="s">
        <v>34217</v>
      </c>
      <c r="K12071" t="s">
        <v>21600</v>
      </c>
      <c r="L12071" t="s">
        <v>3616</v>
      </c>
    </row>
    <row r="12072" spans="1:12">
      <c r="A12072" t="s">
        <v>30729</v>
      </c>
      <c r="B12072" t="s">
        <v>30730</v>
      </c>
      <c r="C12072" t="s">
        <v>34219</v>
      </c>
      <c r="D12072" t="s">
        <v>30732</v>
      </c>
      <c r="E12072" t="s">
        <v>18842</v>
      </c>
      <c r="F12072" t="s">
        <v>34220</v>
      </c>
      <c r="J12072" t="s">
        <v>18842</v>
      </c>
      <c r="K12072" t="s">
        <v>21600</v>
      </c>
      <c r="L12072" t="s">
        <v>3616</v>
      </c>
    </row>
    <row r="12073" spans="1:12">
      <c r="A12073" t="s">
        <v>30729</v>
      </c>
      <c r="B12073" t="s">
        <v>30730</v>
      </c>
      <c r="C12073" t="s">
        <v>34221</v>
      </c>
      <c r="D12073" t="s">
        <v>30732</v>
      </c>
      <c r="E12073" t="s">
        <v>34222</v>
      </c>
      <c r="F12073" t="s">
        <v>34223</v>
      </c>
      <c r="J12073" t="s">
        <v>34222</v>
      </c>
      <c r="K12073" t="s">
        <v>21600</v>
      </c>
      <c r="L12073" t="s">
        <v>3616</v>
      </c>
    </row>
    <row r="12074" spans="1:12">
      <c r="A12074" t="s">
        <v>30729</v>
      </c>
      <c r="B12074" t="s">
        <v>30730</v>
      </c>
      <c r="C12074" t="s">
        <v>34224</v>
      </c>
      <c r="D12074" t="s">
        <v>30732</v>
      </c>
      <c r="E12074" t="s">
        <v>34225</v>
      </c>
      <c r="F12074" t="s">
        <v>34226</v>
      </c>
      <c r="J12074" t="s">
        <v>34225</v>
      </c>
      <c r="K12074" t="s">
        <v>21600</v>
      </c>
      <c r="L12074" t="s">
        <v>3616</v>
      </c>
    </row>
    <row r="12075" spans="1:12">
      <c r="A12075" t="s">
        <v>30729</v>
      </c>
      <c r="B12075" t="s">
        <v>30730</v>
      </c>
      <c r="C12075" t="s">
        <v>34227</v>
      </c>
      <c r="D12075" t="s">
        <v>30732</v>
      </c>
      <c r="E12075" t="s">
        <v>34228</v>
      </c>
      <c r="F12075" t="s">
        <v>34229</v>
      </c>
      <c r="J12075" t="s">
        <v>34228</v>
      </c>
      <c r="K12075" t="s">
        <v>21600</v>
      </c>
      <c r="L12075" t="s">
        <v>3616</v>
      </c>
    </row>
    <row r="12076" spans="1:12">
      <c r="A12076" t="s">
        <v>30729</v>
      </c>
      <c r="B12076" t="s">
        <v>30730</v>
      </c>
      <c r="C12076" t="s">
        <v>34230</v>
      </c>
      <c r="D12076" t="s">
        <v>30732</v>
      </c>
      <c r="E12076" t="s">
        <v>18846</v>
      </c>
      <c r="F12076" t="s">
        <v>34231</v>
      </c>
      <c r="J12076" t="s">
        <v>18846</v>
      </c>
      <c r="K12076" t="s">
        <v>21600</v>
      </c>
      <c r="L12076" t="s">
        <v>3616</v>
      </c>
    </row>
    <row r="12077" spans="1:12">
      <c r="A12077" t="s">
        <v>30729</v>
      </c>
      <c r="B12077" t="s">
        <v>30730</v>
      </c>
      <c r="C12077" t="s">
        <v>34232</v>
      </c>
      <c r="D12077" t="s">
        <v>30732</v>
      </c>
      <c r="E12077" t="s">
        <v>15210</v>
      </c>
      <c r="F12077" t="s">
        <v>34233</v>
      </c>
      <c r="J12077" t="s">
        <v>15210</v>
      </c>
      <c r="K12077" t="s">
        <v>21600</v>
      </c>
      <c r="L12077" t="s">
        <v>3616</v>
      </c>
    </row>
    <row r="12078" spans="1:12">
      <c r="A12078" t="s">
        <v>30729</v>
      </c>
      <c r="B12078" t="s">
        <v>30730</v>
      </c>
      <c r="C12078" t="s">
        <v>34234</v>
      </c>
      <c r="D12078" t="s">
        <v>30732</v>
      </c>
      <c r="E12078" t="s">
        <v>34235</v>
      </c>
      <c r="F12078" t="s">
        <v>34236</v>
      </c>
      <c r="J12078" t="s">
        <v>34235</v>
      </c>
      <c r="K12078" t="s">
        <v>21600</v>
      </c>
      <c r="L12078" t="s">
        <v>3616</v>
      </c>
    </row>
    <row r="12079" spans="1:12">
      <c r="A12079" t="s">
        <v>30729</v>
      </c>
      <c r="B12079" t="s">
        <v>30730</v>
      </c>
      <c r="C12079" t="s">
        <v>34237</v>
      </c>
      <c r="D12079" t="s">
        <v>30732</v>
      </c>
      <c r="E12079" t="s">
        <v>34238</v>
      </c>
      <c r="F12079" t="s">
        <v>34239</v>
      </c>
      <c r="J12079" t="s">
        <v>34238</v>
      </c>
      <c r="K12079" t="s">
        <v>21600</v>
      </c>
      <c r="L12079" t="s">
        <v>3616</v>
      </c>
    </row>
    <row r="12080" spans="1:12">
      <c r="A12080" t="s">
        <v>30729</v>
      </c>
      <c r="B12080" t="s">
        <v>30730</v>
      </c>
      <c r="C12080" t="s">
        <v>34240</v>
      </c>
      <c r="D12080" t="s">
        <v>30732</v>
      </c>
      <c r="E12080" t="s">
        <v>34241</v>
      </c>
      <c r="F12080" t="s">
        <v>34242</v>
      </c>
      <c r="J12080" t="s">
        <v>34241</v>
      </c>
      <c r="K12080" t="s">
        <v>21600</v>
      </c>
      <c r="L12080" t="s">
        <v>3616</v>
      </c>
    </row>
    <row r="12081" spans="1:12">
      <c r="A12081" t="s">
        <v>30729</v>
      </c>
      <c r="B12081" t="s">
        <v>30730</v>
      </c>
      <c r="C12081" t="s">
        <v>34243</v>
      </c>
      <c r="D12081" t="s">
        <v>30732</v>
      </c>
      <c r="E12081" t="s">
        <v>34244</v>
      </c>
      <c r="F12081" t="s">
        <v>34245</v>
      </c>
      <c r="J12081" t="s">
        <v>34244</v>
      </c>
      <c r="K12081" t="s">
        <v>21600</v>
      </c>
      <c r="L12081" t="s">
        <v>3616</v>
      </c>
    </row>
    <row r="12082" spans="1:12">
      <c r="A12082" t="s">
        <v>30729</v>
      </c>
      <c r="B12082" t="s">
        <v>30730</v>
      </c>
      <c r="C12082" t="s">
        <v>34246</v>
      </c>
      <c r="D12082" t="s">
        <v>30732</v>
      </c>
      <c r="E12082" t="s">
        <v>18866</v>
      </c>
      <c r="F12082" t="s">
        <v>34247</v>
      </c>
      <c r="J12082" t="s">
        <v>18866</v>
      </c>
      <c r="K12082" t="s">
        <v>21600</v>
      </c>
      <c r="L12082" t="s">
        <v>3616</v>
      </c>
    </row>
    <row r="12083" spans="1:12">
      <c r="A12083" t="s">
        <v>30729</v>
      </c>
      <c r="B12083" t="s">
        <v>30730</v>
      </c>
      <c r="C12083" t="s">
        <v>34248</v>
      </c>
      <c r="D12083" t="s">
        <v>30732</v>
      </c>
      <c r="E12083" t="s">
        <v>18870</v>
      </c>
      <c r="F12083" t="s">
        <v>34249</v>
      </c>
      <c r="J12083" t="s">
        <v>18870</v>
      </c>
      <c r="K12083" t="s">
        <v>21600</v>
      </c>
      <c r="L12083" t="s">
        <v>3616</v>
      </c>
    </row>
    <row r="12084" spans="1:12">
      <c r="A12084" t="s">
        <v>30729</v>
      </c>
      <c r="B12084" t="s">
        <v>30730</v>
      </c>
      <c r="C12084" t="s">
        <v>34250</v>
      </c>
      <c r="D12084" t="s">
        <v>30732</v>
      </c>
      <c r="E12084" t="s">
        <v>18874</v>
      </c>
      <c r="F12084" t="s">
        <v>34251</v>
      </c>
    </row>
    <row r="12085" spans="1:12">
      <c r="A12085" t="s">
        <v>30729</v>
      </c>
      <c r="B12085" t="s">
        <v>30730</v>
      </c>
      <c r="C12085" t="s">
        <v>34252</v>
      </c>
      <c r="D12085" t="s">
        <v>30732</v>
      </c>
      <c r="E12085" t="s">
        <v>34253</v>
      </c>
      <c r="F12085" t="s">
        <v>34254</v>
      </c>
      <c r="J12085" t="s">
        <v>34253</v>
      </c>
      <c r="K12085" t="s">
        <v>21600</v>
      </c>
      <c r="L12085" t="s">
        <v>3616</v>
      </c>
    </row>
    <row r="12086" spans="1:12">
      <c r="A12086" t="s">
        <v>30729</v>
      </c>
      <c r="B12086" t="s">
        <v>30730</v>
      </c>
      <c r="C12086" t="s">
        <v>34255</v>
      </c>
      <c r="D12086" t="s">
        <v>30732</v>
      </c>
      <c r="E12086" t="s">
        <v>27477</v>
      </c>
      <c r="F12086" t="s">
        <v>34256</v>
      </c>
      <c r="J12086" t="s">
        <v>27477</v>
      </c>
      <c r="K12086" t="s">
        <v>21600</v>
      </c>
      <c r="L12086" t="s">
        <v>3616</v>
      </c>
    </row>
    <row r="12087" spans="1:12">
      <c r="A12087" t="s">
        <v>30729</v>
      </c>
      <c r="B12087" t="s">
        <v>30730</v>
      </c>
      <c r="C12087" t="s">
        <v>34257</v>
      </c>
      <c r="D12087" t="s">
        <v>30732</v>
      </c>
      <c r="E12087" t="s">
        <v>34258</v>
      </c>
      <c r="F12087" t="s">
        <v>34259</v>
      </c>
    </row>
    <row r="12088" spans="1:12">
      <c r="A12088" t="s">
        <v>30729</v>
      </c>
      <c r="B12088" t="s">
        <v>30730</v>
      </c>
      <c r="C12088" t="s">
        <v>34260</v>
      </c>
      <c r="D12088" t="s">
        <v>30732</v>
      </c>
      <c r="E12088" t="s">
        <v>34261</v>
      </c>
      <c r="F12088" t="s">
        <v>34262</v>
      </c>
      <c r="J12088" t="s">
        <v>34261</v>
      </c>
      <c r="K12088" t="s">
        <v>21600</v>
      </c>
      <c r="L12088" t="s">
        <v>3616</v>
      </c>
    </row>
    <row r="12089" spans="1:12">
      <c r="A12089" t="s">
        <v>30729</v>
      </c>
      <c r="B12089" t="s">
        <v>30730</v>
      </c>
      <c r="C12089" t="s">
        <v>34263</v>
      </c>
      <c r="D12089" t="s">
        <v>30732</v>
      </c>
      <c r="E12089" t="s">
        <v>22769</v>
      </c>
      <c r="F12089" t="s">
        <v>34264</v>
      </c>
      <c r="J12089" t="s">
        <v>22769</v>
      </c>
      <c r="K12089" t="s">
        <v>21600</v>
      </c>
      <c r="L12089" t="s">
        <v>3616</v>
      </c>
    </row>
    <row r="12090" spans="1:12">
      <c r="A12090" t="s">
        <v>30729</v>
      </c>
      <c r="B12090" t="s">
        <v>30730</v>
      </c>
      <c r="C12090" t="s">
        <v>34265</v>
      </c>
      <c r="D12090" t="s">
        <v>30732</v>
      </c>
      <c r="E12090" t="s">
        <v>27480</v>
      </c>
      <c r="F12090" t="s">
        <v>32548</v>
      </c>
      <c r="J12090" t="s">
        <v>27480</v>
      </c>
      <c r="K12090" t="s">
        <v>21600</v>
      </c>
      <c r="L12090" t="s">
        <v>3616</v>
      </c>
    </row>
    <row r="12091" spans="1:12">
      <c r="A12091" t="s">
        <v>30729</v>
      </c>
      <c r="B12091" t="s">
        <v>30730</v>
      </c>
      <c r="C12091" t="s">
        <v>34266</v>
      </c>
      <c r="D12091" t="s">
        <v>30732</v>
      </c>
      <c r="E12091" t="s">
        <v>9508</v>
      </c>
      <c r="F12091" t="s">
        <v>34267</v>
      </c>
    </row>
    <row r="12092" spans="1:12">
      <c r="A12092" t="s">
        <v>30729</v>
      </c>
      <c r="B12092" t="s">
        <v>30730</v>
      </c>
      <c r="C12092" t="s">
        <v>34268</v>
      </c>
      <c r="D12092" t="s">
        <v>30732</v>
      </c>
      <c r="E12092" t="s">
        <v>9511</v>
      </c>
      <c r="F12092" t="s">
        <v>34269</v>
      </c>
      <c r="J12092" t="s">
        <v>9511</v>
      </c>
      <c r="K12092" t="s">
        <v>21600</v>
      </c>
      <c r="L12092" t="s">
        <v>3616</v>
      </c>
    </row>
    <row r="12093" spans="1:12">
      <c r="A12093" t="s">
        <v>30729</v>
      </c>
      <c r="B12093" t="s">
        <v>30730</v>
      </c>
      <c r="C12093" t="s">
        <v>34270</v>
      </c>
      <c r="D12093" t="s">
        <v>30732</v>
      </c>
      <c r="E12093" t="s">
        <v>11369</v>
      </c>
      <c r="F12093" t="s">
        <v>34271</v>
      </c>
    </row>
    <row r="12094" spans="1:12">
      <c r="A12094" t="s">
        <v>30729</v>
      </c>
      <c r="B12094" t="s">
        <v>30730</v>
      </c>
      <c r="C12094" t="s">
        <v>34272</v>
      </c>
      <c r="D12094" t="s">
        <v>30732</v>
      </c>
      <c r="E12094" t="s">
        <v>27485</v>
      </c>
      <c r="F12094" t="s">
        <v>34273</v>
      </c>
      <c r="J12094" t="s">
        <v>27485</v>
      </c>
      <c r="K12094" t="s">
        <v>21600</v>
      </c>
      <c r="L12094" t="s">
        <v>3616</v>
      </c>
    </row>
    <row r="12095" spans="1:12">
      <c r="A12095" t="s">
        <v>30729</v>
      </c>
      <c r="B12095" t="s">
        <v>30730</v>
      </c>
      <c r="C12095" t="s">
        <v>34274</v>
      </c>
      <c r="D12095" t="s">
        <v>30732</v>
      </c>
      <c r="E12095" t="s">
        <v>34275</v>
      </c>
      <c r="F12095" t="s">
        <v>34276</v>
      </c>
      <c r="J12095" t="s">
        <v>34275</v>
      </c>
      <c r="K12095" t="s">
        <v>21600</v>
      </c>
      <c r="L12095" t="s">
        <v>3616</v>
      </c>
    </row>
    <row r="12096" spans="1:12">
      <c r="A12096" t="s">
        <v>30729</v>
      </c>
      <c r="B12096" t="s">
        <v>30730</v>
      </c>
      <c r="C12096" t="s">
        <v>34277</v>
      </c>
      <c r="D12096" t="s">
        <v>30732</v>
      </c>
      <c r="E12096" t="s">
        <v>18899</v>
      </c>
      <c r="F12096" t="s">
        <v>34278</v>
      </c>
      <c r="J12096" t="s">
        <v>18899</v>
      </c>
      <c r="K12096" t="s">
        <v>21600</v>
      </c>
      <c r="L12096" t="s">
        <v>3616</v>
      </c>
    </row>
    <row r="12097" spans="1:12">
      <c r="A12097" t="s">
        <v>30729</v>
      </c>
      <c r="B12097" t="s">
        <v>30730</v>
      </c>
      <c r="C12097" t="s">
        <v>34279</v>
      </c>
      <c r="D12097" t="s">
        <v>30732</v>
      </c>
      <c r="E12097" t="s">
        <v>34280</v>
      </c>
      <c r="F12097" t="s">
        <v>34281</v>
      </c>
      <c r="J12097" t="s">
        <v>34280</v>
      </c>
      <c r="K12097" t="s">
        <v>21600</v>
      </c>
      <c r="L12097" t="s">
        <v>3616</v>
      </c>
    </row>
    <row r="12098" spans="1:12">
      <c r="A12098" t="s">
        <v>30729</v>
      </c>
      <c r="B12098" t="s">
        <v>30730</v>
      </c>
      <c r="C12098" t="s">
        <v>34282</v>
      </c>
      <c r="D12098" t="s">
        <v>30732</v>
      </c>
      <c r="E12098" t="s">
        <v>34283</v>
      </c>
      <c r="F12098" t="s">
        <v>34284</v>
      </c>
      <c r="J12098" t="s">
        <v>34283</v>
      </c>
      <c r="K12098" t="s">
        <v>21600</v>
      </c>
      <c r="L12098" t="s">
        <v>3616</v>
      </c>
    </row>
    <row r="12099" spans="1:12">
      <c r="A12099" t="s">
        <v>30729</v>
      </c>
      <c r="B12099" t="s">
        <v>30730</v>
      </c>
      <c r="C12099" t="s">
        <v>34285</v>
      </c>
      <c r="D12099" t="s">
        <v>30732</v>
      </c>
      <c r="E12099" t="s">
        <v>34286</v>
      </c>
      <c r="F12099" t="s">
        <v>34287</v>
      </c>
      <c r="J12099" t="s">
        <v>34286</v>
      </c>
      <c r="K12099" t="s">
        <v>21600</v>
      </c>
      <c r="L12099" t="s">
        <v>3616</v>
      </c>
    </row>
    <row r="12100" spans="1:12">
      <c r="A12100" t="s">
        <v>30729</v>
      </c>
      <c r="B12100" t="s">
        <v>30730</v>
      </c>
      <c r="C12100" t="s">
        <v>34288</v>
      </c>
      <c r="D12100" t="s">
        <v>30732</v>
      </c>
      <c r="E12100" t="s">
        <v>34289</v>
      </c>
      <c r="F12100" t="s">
        <v>34290</v>
      </c>
    </row>
    <row r="12101" spans="1:12">
      <c r="A12101" t="s">
        <v>30729</v>
      </c>
      <c r="B12101" t="s">
        <v>30730</v>
      </c>
      <c r="C12101" t="s">
        <v>34291</v>
      </c>
      <c r="D12101" t="s">
        <v>30732</v>
      </c>
      <c r="E12101" t="s">
        <v>34292</v>
      </c>
      <c r="F12101" t="s">
        <v>34293</v>
      </c>
      <c r="J12101" t="s">
        <v>34292</v>
      </c>
      <c r="K12101" t="s">
        <v>21600</v>
      </c>
      <c r="L12101" t="s">
        <v>3616</v>
      </c>
    </row>
    <row r="12102" spans="1:12">
      <c r="A12102" t="s">
        <v>30729</v>
      </c>
      <c r="B12102" t="s">
        <v>30730</v>
      </c>
      <c r="C12102" t="s">
        <v>34294</v>
      </c>
      <c r="D12102" t="s">
        <v>30732</v>
      </c>
      <c r="E12102" t="s">
        <v>34295</v>
      </c>
      <c r="F12102" t="s">
        <v>34296</v>
      </c>
      <c r="J12102" t="s">
        <v>34295</v>
      </c>
      <c r="K12102" t="s">
        <v>21600</v>
      </c>
      <c r="L12102" t="s">
        <v>3616</v>
      </c>
    </row>
    <row r="12103" spans="1:12">
      <c r="A12103" t="s">
        <v>30729</v>
      </c>
      <c r="B12103" t="s">
        <v>30730</v>
      </c>
      <c r="C12103" t="s">
        <v>34297</v>
      </c>
      <c r="D12103" t="s">
        <v>30732</v>
      </c>
      <c r="E12103" t="s">
        <v>18912</v>
      </c>
      <c r="F12103" t="s">
        <v>34298</v>
      </c>
      <c r="J12103" t="s">
        <v>18912</v>
      </c>
      <c r="K12103" t="s">
        <v>21600</v>
      </c>
      <c r="L12103" t="s">
        <v>3616</v>
      </c>
    </row>
    <row r="12104" spans="1:12">
      <c r="A12104" t="s">
        <v>30729</v>
      </c>
      <c r="B12104" t="s">
        <v>30730</v>
      </c>
      <c r="C12104" t="s">
        <v>34299</v>
      </c>
      <c r="D12104" t="s">
        <v>30732</v>
      </c>
      <c r="E12104" t="s">
        <v>18921</v>
      </c>
      <c r="F12104" t="s">
        <v>34300</v>
      </c>
      <c r="J12104" t="s">
        <v>18921</v>
      </c>
      <c r="K12104" t="s">
        <v>21600</v>
      </c>
      <c r="L12104" t="s">
        <v>3616</v>
      </c>
    </row>
    <row r="12105" spans="1:12">
      <c r="A12105" t="s">
        <v>30729</v>
      </c>
      <c r="B12105" t="s">
        <v>30730</v>
      </c>
      <c r="C12105" t="s">
        <v>34301</v>
      </c>
      <c r="D12105" t="s">
        <v>30732</v>
      </c>
      <c r="E12105" t="s">
        <v>6503</v>
      </c>
      <c r="F12105" t="s">
        <v>34302</v>
      </c>
      <c r="J12105" t="s">
        <v>6503</v>
      </c>
      <c r="K12105" t="s">
        <v>21600</v>
      </c>
      <c r="L12105" t="s">
        <v>3616</v>
      </c>
    </row>
    <row r="12106" spans="1:12">
      <c r="A12106" t="s">
        <v>30729</v>
      </c>
      <c r="B12106" t="s">
        <v>30730</v>
      </c>
      <c r="C12106" t="s">
        <v>34303</v>
      </c>
      <c r="D12106" t="s">
        <v>30732</v>
      </c>
      <c r="E12106" t="s">
        <v>30553</v>
      </c>
      <c r="F12106" t="s">
        <v>34304</v>
      </c>
      <c r="J12106" t="s">
        <v>30553</v>
      </c>
      <c r="K12106" t="s">
        <v>21600</v>
      </c>
      <c r="L12106" t="s">
        <v>3616</v>
      </c>
    </row>
    <row r="12107" spans="1:12">
      <c r="A12107" t="s">
        <v>30729</v>
      </c>
      <c r="B12107" t="s">
        <v>30730</v>
      </c>
      <c r="C12107" t="s">
        <v>34305</v>
      </c>
      <c r="D12107" t="s">
        <v>30732</v>
      </c>
      <c r="E12107" t="s">
        <v>34306</v>
      </c>
      <c r="F12107" t="s">
        <v>34307</v>
      </c>
      <c r="J12107" t="s">
        <v>34306</v>
      </c>
      <c r="K12107" t="s">
        <v>21600</v>
      </c>
      <c r="L12107" t="s">
        <v>3616</v>
      </c>
    </row>
    <row r="12108" spans="1:12">
      <c r="A12108" t="s">
        <v>30729</v>
      </c>
      <c r="B12108" t="s">
        <v>30730</v>
      </c>
      <c r="C12108" t="s">
        <v>34308</v>
      </c>
      <c r="D12108" t="s">
        <v>30732</v>
      </c>
      <c r="E12108" t="s">
        <v>2490</v>
      </c>
      <c r="F12108" t="s">
        <v>34309</v>
      </c>
    </row>
    <row r="12109" spans="1:12">
      <c r="A12109" t="s">
        <v>30729</v>
      </c>
      <c r="B12109" t="s">
        <v>30730</v>
      </c>
      <c r="C12109" t="s">
        <v>34310</v>
      </c>
      <c r="D12109" t="s">
        <v>30732</v>
      </c>
      <c r="E12109" t="s">
        <v>27488</v>
      </c>
      <c r="F12109" t="s">
        <v>34311</v>
      </c>
      <c r="J12109" t="s">
        <v>27488</v>
      </c>
      <c r="K12109" t="s">
        <v>21600</v>
      </c>
      <c r="L12109" t="s">
        <v>3616</v>
      </c>
    </row>
    <row r="12110" spans="1:12">
      <c r="A12110" t="s">
        <v>30729</v>
      </c>
      <c r="B12110" t="s">
        <v>30730</v>
      </c>
      <c r="C12110" t="s">
        <v>34312</v>
      </c>
      <c r="D12110" t="s">
        <v>30732</v>
      </c>
      <c r="E12110" t="s">
        <v>34313</v>
      </c>
      <c r="F12110" t="s">
        <v>34314</v>
      </c>
      <c r="J12110" t="s">
        <v>34313</v>
      </c>
      <c r="K12110" t="s">
        <v>21600</v>
      </c>
      <c r="L12110" t="s">
        <v>3616</v>
      </c>
    </row>
    <row r="12111" spans="1:12">
      <c r="A12111" t="s">
        <v>30729</v>
      </c>
      <c r="B12111" t="s">
        <v>30730</v>
      </c>
      <c r="C12111" t="s">
        <v>34315</v>
      </c>
      <c r="D12111" t="s">
        <v>30732</v>
      </c>
      <c r="E12111" t="s">
        <v>34316</v>
      </c>
      <c r="F12111" t="s">
        <v>34317</v>
      </c>
      <c r="J12111" t="s">
        <v>34316</v>
      </c>
      <c r="K12111" t="s">
        <v>21600</v>
      </c>
      <c r="L12111" t="s">
        <v>3616</v>
      </c>
    </row>
    <row r="12112" spans="1:12">
      <c r="A12112" t="s">
        <v>30729</v>
      </c>
      <c r="B12112" t="s">
        <v>30730</v>
      </c>
      <c r="C12112" t="s">
        <v>34318</v>
      </c>
      <c r="D12112" t="s">
        <v>30732</v>
      </c>
      <c r="E12112" t="s">
        <v>12791</v>
      </c>
      <c r="F12112" t="s">
        <v>34319</v>
      </c>
      <c r="J12112" t="s">
        <v>12791</v>
      </c>
      <c r="K12112" t="s">
        <v>21600</v>
      </c>
      <c r="L12112" t="s">
        <v>3616</v>
      </c>
    </row>
    <row r="12113" spans="1:12">
      <c r="A12113" t="s">
        <v>30729</v>
      </c>
      <c r="B12113" t="s">
        <v>30730</v>
      </c>
      <c r="C12113" t="s">
        <v>34320</v>
      </c>
      <c r="D12113" t="s">
        <v>30732</v>
      </c>
      <c r="E12113" t="s">
        <v>14391</v>
      </c>
      <c r="F12113" t="s">
        <v>34321</v>
      </c>
    </row>
    <row r="12114" spans="1:12">
      <c r="A12114" t="s">
        <v>30729</v>
      </c>
      <c r="B12114" t="s">
        <v>30730</v>
      </c>
      <c r="C12114" t="s">
        <v>34322</v>
      </c>
      <c r="D12114" t="s">
        <v>30732</v>
      </c>
      <c r="E12114" t="s">
        <v>14394</v>
      </c>
      <c r="F12114" t="s">
        <v>34323</v>
      </c>
      <c r="J12114" t="s">
        <v>14394</v>
      </c>
      <c r="K12114" t="s">
        <v>21600</v>
      </c>
      <c r="L12114" t="s">
        <v>3616</v>
      </c>
    </row>
    <row r="12115" spans="1:12">
      <c r="A12115" t="s">
        <v>30729</v>
      </c>
      <c r="B12115" t="s">
        <v>30730</v>
      </c>
      <c r="C12115" t="s">
        <v>34324</v>
      </c>
      <c r="D12115" t="s">
        <v>30732</v>
      </c>
      <c r="E12115" t="s">
        <v>34325</v>
      </c>
      <c r="F12115" t="s">
        <v>34326</v>
      </c>
      <c r="J12115" t="s">
        <v>34325</v>
      </c>
      <c r="K12115" t="s">
        <v>21600</v>
      </c>
      <c r="L12115" t="s">
        <v>3616</v>
      </c>
    </row>
    <row r="12116" spans="1:12">
      <c r="A12116" t="s">
        <v>30729</v>
      </c>
      <c r="B12116" t="s">
        <v>30730</v>
      </c>
      <c r="C12116" t="s">
        <v>34327</v>
      </c>
      <c r="D12116" t="s">
        <v>30732</v>
      </c>
      <c r="E12116" t="s">
        <v>34328</v>
      </c>
      <c r="F12116" t="s">
        <v>34329</v>
      </c>
      <c r="J12116" t="s">
        <v>34328</v>
      </c>
      <c r="K12116" t="s">
        <v>21600</v>
      </c>
      <c r="L12116" t="s">
        <v>3616</v>
      </c>
    </row>
    <row r="12117" spans="1:12">
      <c r="A12117" t="s">
        <v>30729</v>
      </c>
      <c r="B12117" t="s">
        <v>30730</v>
      </c>
      <c r="C12117" t="s">
        <v>34330</v>
      </c>
      <c r="D12117" t="s">
        <v>30732</v>
      </c>
      <c r="E12117" t="s">
        <v>27491</v>
      </c>
      <c r="F12117" t="s">
        <v>34331</v>
      </c>
      <c r="J12117" t="s">
        <v>27491</v>
      </c>
      <c r="K12117" t="s">
        <v>21600</v>
      </c>
      <c r="L12117" t="s">
        <v>3616</v>
      </c>
    </row>
    <row r="12118" spans="1:12">
      <c r="A12118" t="s">
        <v>30729</v>
      </c>
      <c r="B12118" t="s">
        <v>30730</v>
      </c>
      <c r="C12118" t="s">
        <v>34332</v>
      </c>
      <c r="D12118" t="s">
        <v>30732</v>
      </c>
      <c r="E12118" t="s">
        <v>27497</v>
      </c>
      <c r="F12118" t="s">
        <v>34333</v>
      </c>
      <c r="J12118" t="s">
        <v>27497</v>
      </c>
      <c r="K12118" t="s">
        <v>21600</v>
      </c>
      <c r="L12118" t="s">
        <v>3616</v>
      </c>
    </row>
    <row r="12119" spans="1:12">
      <c r="A12119" t="s">
        <v>30729</v>
      </c>
      <c r="B12119" t="s">
        <v>30730</v>
      </c>
      <c r="C12119" t="s">
        <v>34334</v>
      </c>
      <c r="D12119" t="s">
        <v>30732</v>
      </c>
      <c r="E12119" t="s">
        <v>34335</v>
      </c>
      <c r="F12119" t="s">
        <v>34336</v>
      </c>
      <c r="J12119" t="s">
        <v>34335</v>
      </c>
      <c r="K12119" t="s">
        <v>21600</v>
      </c>
      <c r="L12119" t="s">
        <v>3616</v>
      </c>
    </row>
    <row r="12120" spans="1:12">
      <c r="A12120" t="s">
        <v>30729</v>
      </c>
      <c r="B12120" t="s">
        <v>30730</v>
      </c>
      <c r="C12120" t="s">
        <v>34337</v>
      </c>
      <c r="D12120" t="s">
        <v>30732</v>
      </c>
      <c r="E12120" t="s">
        <v>34338</v>
      </c>
      <c r="F12120" t="s">
        <v>34339</v>
      </c>
      <c r="J12120" t="s">
        <v>34338</v>
      </c>
      <c r="K12120" t="s">
        <v>21600</v>
      </c>
      <c r="L12120" t="s">
        <v>3616</v>
      </c>
    </row>
    <row r="12121" spans="1:12">
      <c r="A12121" t="s">
        <v>30729</v>
      </c>
      <c r="B12121" t="s">
        <v>30730</v>
      </c>
      <c r="C12121" t="s">
        <v>34340</v>
      </c>
      <c r="D12121" t="s">
        <v>30732</v>
      </c>
      <c r="E12121" t="s">
        <v>34341</v>
      </c>
      <c r="F12121" t="s">
        <v>34342</v>
      </c>
      <c r="J12121" t="s">
        <v>34341</v>
      </c>
      <c r="K12121" t="s">
        <v>21600</v>
      </c>
      <c r="L12121" t="s">
        <v>3616</v>
      </c>
    </row>
    <row r="12122" spans="1:12">
      <c r="A12122" t="s">
        <v>30729</v>
      </c>
      <c r="B12122" t="s">
        <v>30730</v>
      </c>
      <c r="C12122" t="s">
        <v>34343</v>
      </c>
      <c r="D12122" t="s">
        <v>30732</v>
      </c>
      <c r="E12122" t="s">
        <v>7099</v>
      </c>
      <c r="F12122" t="s">
        <v>34344</v>
      </c>
    </row>
    <row r="12123" spans="1:12">
      <c r="A12123" t="s">
        <v>30729</v>
      </c>
      <c r="B12123" t="s">
        <v>30730</v>
      </c>
      <c r="C12123" t="s">
        <v>34345</v>
      </c>
      <c r="D12123" t="s">
        <v>30732</v>
      </c>
      <c r="E12123" t="s">
        <v>34346</v>
      </c>
      <c r="F12123" t="s">
        <v>34347</v>
      </c>
      <c r="J12123" t="s">
        <v>34346</v>
      </c>
      <c r="K12123" t="s">
        <v>21600</v>
      </c>
      <c r="L12123" t="s">
        <v>3616</v>
      </c>
    </row>
    <row r="12124" spans="1:12">
      <c r="A12124" t="s">
        <v>30729</v>
      </c>
      <c r="B12124" t="s">
        <v>30730</v>
      </c>
      <c r="C12124" t="s">
        <v>34348</v>
      </c>
      <c r="D12124" t="s">
        <v>30732</v>
      </c>
      <c r="E12124" t="s">
        <v>18960</v>
      </c>
      <c r="F12124" t="s">
        <v>34349</v>
      </c>
      <c r="J12124" t="s">
        <v>18960</v>
      </c>
      <c r="K12124" t="s">
        <v>21600</v>
      </c>
      <c r="L12124" t="s">
        <v>3616</v>
      </c>
    </row>
    <row r="12125" spans="1:12">
      <c r="A12125" t="s">
        <v>30729</v>
      </c>
      <c r="B12125" t="s">
        <v>30730</v>
      </c>
      <c r="C12125" t="s">
        <v>34350</v>
      </c>
      <c r="D12125" t="s">
        <v>30732</v>
      </c>
      <c r="E12125" t="s">
        <v>34351</v>
      </c>
      <c r="F12125" t="s">
        <v>34352</v>
      </c>
      <c r="J12125" t="s">
        <v>34351</v>
      </c>
      <c r="K12125" t="s">
        <v>21600</v>
      </c>
      <c r="L12125" t="s">
        <v>3616</v>
      </c>
    </row>
    <row r="12126" spans="1:12">
      <c r="A12126" t="s">
        <v>30729</v>
      </c>
      <c r="B12126" t="s">
        <v>30730</v>
      </c>
      <c r="C12126" t="s">
        <v>34353</v>
      </c>
      <c r="D12126" t="s">
        <v>30732</v>
      </c>
      <c r="E12126" t="s">
        <v>34354</v>
      </c>
      <c r="F12126" t="s">
        <v>34355</v>
      </c>
      <c r="J12126" t="s">
        <v>34354</v>
      </c>
      <c r="K12126" t="s">
        <v>21600</v>
      </c>
      <c r="L12126" t="s">
        <v>3616</v>
      </c>
    </row>
    <row r="12127" spans="1:12">
      <c r="A12127" t="s">
        <v>30729</v>
      </c>
      <c r="B12127" t="s">
        <v>30730</v>
      </c>
      <c r="C12127" t="s">
        <v>34356</v>
      </c>
      <c r="D12127" t="s">
        <v>30732</v>
      </c>
      <c r="E12127" t="s">
        <v>34357</v>
      </c>
      <c r="F12127" t="s">
        <v>34358</v>
      </c>
      <c r="J12127" t="s">
        <v>34357</v>
      </c>
      <c r="K12127" t="s">
        <v>21600</v>
      </c>
      <c r="L12127" t="s">
        <v>3616</v>
      </c>
    </row>
    <row r="12128" spans="1:12">
      <c r="A12128" t="s">
        <v>30729</v>
      </c>
      <c r="B12128" t="s">
        <v>30730</v>
      </c>
      <c r="C12128" t="s">
        <v>34359</v>
      </c>
      <c r="D12128" t="s">
        <v>30732</v>
      </c>
      <c r="E12128" t="s">
        <v>25717</v>
      </c>
      <c r="F12128" t="s">
        <v>34360</v>
      </c>
      <c r="J12128" t="s">
        <v>25717</v>
      </c>
      <c r="K12128" t="s">
        <v>21600</v>
      </c>
      <c r="L12128" t="s">
        <v>3616</v>
      </c>
    </row>
    <row r="12129" spans="1:12">
      <c r="A12129" t="s">
        <v>30729</v>
      </c>
      <c r="B12129" t="s">
        <v>30730</v>
      </c>
      <c r="C12129" t="s">
        <v>34361</v>
      </c>
      <c r="D12129" t="s">
        <v>30732</v>
      </c>
      <c r="E12129" t="s">
        <v>2502</v>
      </c>
      <c r="F12129" t="s">
        <v>34362</v>
      </c>
    </row>
    <row r="12130" spans="1:12">
      <c r="A12130" t="s">
        <v>30729</v>
      </c>
      <c r="B12130" t="s">
        <v>30730</v>
      </c>
      <c r="C12130" t="s">
        <v>34363</v>
      </c>
      <c r="D12130" t="s">
        <v>30732</v>
      </c>
      <c r="E12130" t="s">
        <v>18994</v>
      </c>
      <c r="F12130" t="s">
        <v>34364</v>
      </c>
      <c r="J12130" t="s">
        <v>18994</v>
      </c>
      <c r="K12130" t="s">
        <v>21600</v>
      </c>
      <c r="L12130" t="s">
        <v>3616</v>
      </c>
    </row>
    <row r="12131" spans="1:12">
      <c r="A12131" t="s">
        <v>30729</v>
      </c>
      <c r="B12131" t="s">
        <v>30730</v>
      </c>
      <c r="C12131" t="s">
        <v>34365</v>
      </c>
      <c r="D12131" t="s">
        <v>30732</v>
      </c>
      <c r="E12131" t="s">
        <v>18998</v>
      </c>
      <c r="F12131" t="s">
        <v>34366</v>
      </c>
      <c r="J12131" t="s">
        <v>18998</v>
      </c>
      <c r="K12131" t="s">
        <v>21600</v>
      </c>
      <c r="L12131" t="s">
        <v>3616</v>
      </c>
    </row>
    <row r="12132" spans="1:12">
      <c r="A12132" t="s">
        <v>30729</v>
      </c>
      <c r="B12132" t="s">
        <v>30730</v>
      </c>
      <c r="C12132" t="s">
        <v>34367</v>
      </c>
      <c r="D12132" t="s">
        <v>30732</v>
      </c>
      <c r="E12132" t="s">
        <v>5108</v>
      </c>
      <c r="F12132" t="s">
        <v>34368</v>
      </c>
      <c r="J12132" t="s">
        <v>5108</v>
      </c>
      <c r="K12132" t="s">
        <v>21600</v>
      </c>
      <c r="L12132" t="s">
        <v>3616</v>
      </c>
    </row>
    <row r="12133" spans="1:12">
      <c r="A12133" t="s">
        <v>30729</v>
      </c>
      <c r="B12133" t="s">
        <v>30730</v>
      </c>
      <c r="C12133" t="s">
        <v>34369</v>
      </c>
      <c r="D12133" t="s">
        <v>30732</v>
      </c>
      <c r="E12133" t="s">
        <v>34370</v>
      </c>
      <c r="F12133" t="s">
        <v>34371</v>
      </c>
      <c r="J12133" t="s">
        <v>34370</v>
      </c>
      <c r="K12133" t="s">
        <v>21600</v>
      </c>
      <c r="L12133" t="s">
        <v>3616</v>
      </c>
    </row>
    <row r="12134" spans="1:12">
      <c r="A12134" t="s">
        <v>30729</v>
      </c>
      <c r="B12134" t="s">
        <v>30730</v>
      </c>
      <c r="C12134" t="s">
        <v>34372</v>
      </c>
      <c r="D12134" t="s">
        <v>30732</v>
      </c>
      <c r="E12134" t="s">
        <v>8011</v>
      </c>
      <c r="F12134" t="s">
        <v>34373</v>
      </c>
      <c r="J12134" t="s">
        <v>8011</v>
      </c>
      <c r="K12134" t="s">
        <v>21600</v>
      </c>
      <c r="L12134" t="s">
        <v>3616</v>
      </c>
    </row>
    <row r="12135" spans="1:12">
      <c r="A12135" t="s">
        <v>30729</v>
      </c>
      <c r="B12135" t="s">
        <v>30730</v>
      </c>
      <c r="C12135" t="s">
        <v>34374</v>
      </c>
      <c r="D12135" t="s">
        <v>30732</v>
      </c>
      <c r="E12135" t="s">
        <v>4181</v>
      </c>
      <c r="F12135" t="s">
        <v>34375</v>
      </c>
    </row>
    <row r="12136" spans="1:12">
      <c r="A12136" t="s">
        <v>30729</v>
      </c>
      <c r="B12136" t="s">
        <v>30730</v>
      </c>
      <c r="C12136" t="s">
        <v>34376</v>
      </c>
      <c r="D12136" t="s">
        <v>30732</v>
      </c>
      <c r="E12136" t="s">
        <v>34377</v>
      </c>
      <c r="F12136" t="s">
        <v>34378</v>
      </c>
      <c r="J12136" t="s">
        <v>34377</v>
      </c>
      <c r="K12136" t="s">
        <v>21600</v>
      </c>
      <c r="L12136" t="s">
        <v>3616</v>
      </c>
    </row>
    <row r="12137" spans="1:12">
      <c r="A12137" t="s">
        <v>30729</v>
      </c>
      <c r="B12137" t="s">
        <v>30730</v>
      </c>
      <c r="C12137" t="s">
        <v>34379</v>
      </c>
      <c r="D12137" t="s">
        <v>30732</v>
      </c>
      <c r="E12137" t="s">
        <v>29221</v>
      </c>
      <c r="F12137" t="s">
        <v>34380</v>
      </c>
      <c r="J12137" t="s">
        <v>29221</v>
      </c>
      <c r="K12137" t="s">
        <v>21600</v>
      </c>
      <c r="L12137" t="s">
        <v>3616</v>
      </c>
    </row>
    <row r="12138" spans="1:12">
      <c r="A12138" t="s">
        <v>30729</v>
      </c>
      <c r="B12138" t="s">
        <v>30730</v>
      </c>
      <c r="C12138" t="s">
        <v>34381</v>
      </c>
      <c r="D12138" t="s">
        <v>30732</v>
      </c>
      <c r="E12138" t="s">
        <v>9528</v>
      </c>
      <c r="F12138" t="s">
        <v>34382</v>
      </c>
      <c r="J12138" t="s">
        <v>9528</v>
      </c>
      <c r="K12138" t="s">
        <v>21600</v>
      </c>
      <c r="L12138" t="s">
        <v>3616</v>
      </c>
    </row>
    <row r="12139" spans="1:12">
      <c r="A12139" t="s">
        <v>30729</v>
      </c>
      <c r="B12139" t="s">
        <v>30730</v>
      </c>
      <c r="C12139" t="s">
        <v>34383</v>
      </c>
      <c r="D12139" t="s">
        <v>30732</v>
      </c>
      <c r="E12139" t="s">
        <v>6678</v>
      </c>
      <c r="F12139" t="s">
        <v>34384</v>
      </c>
      <c r="J12139" t="s">
        <v>6678</v>
      </c>
      <c r="K12139" t="s">
        <v>21600</v>
      </c>
      <c r="L12139" t="s">
        <v>3616</v>
      </c>
    </row>
    <row r="12140" spans="1:12">
      <c r="A12140" t="s">
        <v>30729</v>
      </c>
      <c r="B12140" t="s">
        <v>30730</v>
      </c>
      <c r="C12140" t="s">
        <v>34385</v>
      </c>
      <c r="D12140" t="s">
        <v>30732</v>
      </c>
      <c r="E12140" t="s">
        <v>11004</v>
      </c>
      <c r="F12140" t="s">
        <v>34264</v>
      </c>
      <c r="J12140" t="s">
        <v>11004</v>
      </c>
      <c r="K12140" t="s">
        <v>21600</v>
      </c>
      <c r="L12140" t="s">
        <v>3616</v>
      </c>
    </row>
    <row r="12141" spans="1:12">
      <c r="A12141" t="s">
        <v>30729</v>
      </c>
      <c r="B12141" t="s">
        <v>30730</v>
      </c>
      <c r="C12141" t="s">
        <v>34386</v>
      </c>
      <c r="D12141" t="s">
        <v>30732</v>
      </c>
      <c r="E12141" t="s">
        <v>5111</v>
      </c>
      <c r="F12141" t="s">
        <v>34387</v>
      </c>
      <c r="J12141" t="s">
        <v>5111</v>
      </c>
      <c r="K12141" t="s">
        <v>21600</v>
      </c>
      <c r="L12141" t="s">
        <v>3616</v>
      </c>
    </row>
    <row r="12142" spans="1:12">
      <c r="A12142" t="s">
        <v>30729</v>
      </c>
      <c r="B12142" t="s">
        <v>30730</v>
      </c>
      <c r="C12142" t="s">
        <v>34388</v>
      </c>
      <c r="D12142" t="s">
        <v>30732</v>
      </c>
      <c r="E12142" t="s">
        <v>19044</v>
      </c>
      <c r="F12142" t="s">
        <v>34389</v>
      </c>
      <c r="J12142" t="s">
        <v>19044</v>
      </c>
      <c r="K12142" t="s">
        <v>21600</v>
      </c>
      <c r="L12142" t="s">
        <v>3616</v>
      </c>
    </row>
    <row r="12143" spans="1:12">
      <c r="A12143" t="s">
        <v>30729</v>
      </c>
      <c r="B12143" t="s">
        <v>30730</v>
      </c>
      <c r="C12143" t="s">
        <v>34390</v>
      </c>
      <c r="D12143" t="s">
        <v>30732</v>
      </c>
      <c r="E12143" t="s">
        <v>7914</v>
      </c>
      <c r="F12143" t="s">
        <v>34391</v>
      </c>
    </row>
    <row r="12144" spans="1:12">
      <c r="A12144" t="s">
        <v>30729</v>
      </c>
      <c r="B12144" t="s">
        <v>30730</v>
      </c>
      <c r="C12144" t="s">
        <v>34392</v>
      </c>
      <c r="D12144" t="s">
        <v>30732</v>
      </c>
      <c r="E12144" t="s">
        <v>25923</v>
      </c>
      <c r="F12144" t="s">
        <v>34393</v>
      </c>
    </row>
    <row r="12145" spans="1:12">
      <c r="A12145" t="s">
        <v>30729</v>
      </c>
      <c r="B12145" t="s">
        <v>30730</v>
      </c>
      <c r="C12145" t="s">
        <v>34394</v>
      </c>
      <c r="D12145" t="s">
        <v>30732</v>
      </c>
      <c r="E12145" t="s">
        <v>34395</v>
      </c>
      <c r="F12145" t="s">
        <v>34396</v>
      </c>
      <c r="J12145" t="s">
        <v>34395</v>
      </c>
      <c r="K12145" t="s">
        <v>21600</v>
      </c>
      <c r="L12145" t="s">
        <v>3616</v>
      </c>
    </row>
    <row r="12146" spans="1:12">
      <c r="A12146" t="s">
        <v>30729</v>
      </c>
      <c r="B12146" t="s">
        <v>30730</v>
      </c>
      <c r="C12146" t="s">
        <v>34397</v>
      </c>
      <c r="D12146" t="s">
        <v>30732</v>
      </c>
      <c r="E12146" t="s">
        <v>34398</v>
      </c>
      <c r="F12146" t="s">
        <v>34399</v>
      </c>
      <c r="J12146" t="s">
        <v>34398</v>
      </c>
      <c r="K12146" t="s">
        <v>21600</v>
      </c>
      <c r="L12146" t="s">
        <v>3616</v>
      </c>
    </row>
    <row r="12147" spans="1:12">
      <c r="A12147" t="s">
        <v>30729</v>
      </c>
      <c r="B12147" t="s">
        <v>30730</v>
      </c>
      <c r="C12147" t="s">
        <v>34400</v>
      </c>
      <c r="D12147" t="s">
        <v>30732</v>
      </c>
      <c r="E12147" t="s">
        <v>34401</v>
      </c>
      <c r="F12147" t="s">
        <v>34402</v>
      </c>
      <c r="J12147" t="s">
        <v>34401</v>
      </c>
      <c r="K12147" t="s">
        <v>21600</v>
      </c>
      <c r="L12147" t="s">
        <v>3616</v>
      </c>
    </row>
    <row r="12148" spans="1:12">
      <c r="A12148" t="s">
        <v>30729</v>
      </c>
      <c r="B12148" t="s">
        <v>30730</v>
      </c>
      <c r="C12148" t="s">
        <v>34403</v>
      </c>
      <c r="D12148" t="s">
        <v>30732</v>
      </c>
      <c r="E12148" t="s">
        <v>34404</v>
      </c>
      <c r="F12148" t="s">
        <v>34405</v>
      </c>
      <c r="J12148" t="s">
        <v>34404</v>
      </c>
      <c r="K12148" t="s">
        <v>21600</v>
      </c>
      <c r="L12148" t="s">
        <v>3616</v>
      </c>
    </row>
    <row r="12149" spans="1:12">
      <c r="A12149" t="s">
        <v>30729</v>
      </c>
      <c r="B12149" t="s">
        <v>30730</v>
      </c>
      <c r="C12149" t="s">
        <v>34406</v>
      </c>
      <c r="D12149" t="s">
        <v>30732</v>
      </c>
      <c r="E12149" t="s">
        <v>14405</v>
      </c>
      <c r="F12149" t="s">
        <v>34407</v>
      </c>
    </row>
    <row r="12150" spans="1:12">
      <c r="A12150" t="s">
        <v>30729</v>
      </c>
      <c r="B12150" t="s">
        <v>30730</v>
      </c>
      <c r="C12150" t="s">
        <v>34408</v>
      </c>
      <c r="D12150" t="s">
        <v>30732</v>
      </c>
      <c r="E12150" t="s">
        <v>34409</v>
      </c>
      <c r="F12150" t="s">
        <v>34410</v>
      </c>
      <c r="J12150" t="s">
        <v>34409</v>
      </c>
      <c r="K12150" t="s">
        <v>21600</v>
      </c>
      <c r="L12150" t="s">
        <v>3616</v>
      </c>
    </row>
    <row r="12151" spans="1:12">
      <c r="A12151" t="s">
        <v>30729</v>
      </c>
      <c r="B12151" t="s">
        <v>30730</v>
      </c>
      <c r="C12151" t="s">
        <v>34411</v>
      </c>
      <c r="D12151" t="s">
        <v>30732</v>
      </c>
      <c r="E12151" t="s">
        <v>34412</v>
      </c>
      <c r="F12151" t="s">
        <v>34413</v>
      </c>
      <c r="J12151" t="s">
        <v>34412</v>
      </c>
      <c r="K12151" t="s">
        <v>21600</v>
      </c>
      <c r="L12151" t="s">
        <v>3616</v>
      </c>
    </row>
    <row r="12152" spans="1:12">
      <c r="A12152" t="s">
        <v>30729</v>
      </c>
      <c r="B12152" t="s">
        <v>30730</v>
      </c>
      <c r="C12152" t="s">
        <v>34414</v>
      </c>
      <c r="D12152" t="s">
        <v>30732</v>
      </c>
      <c r="E12152" t="s">
        <v>34415</v>
      </c>
      <c r="F12152" t="s">
        <v>34416</v>
      </c>
      <c r="J12152" t="s">
        <v>34415</v>
      </c>
      <c r="K12152" t="s">
        <v>21600</v>
      </c>
      <c r="L12152" t="s">
        <v>3616</v>
      </c>
    </row>
    <row r="12153" spans="1:12">
      <c r="A12153" t="s">
        <v>30729</v>
      </c>
      <c r="B12153" t="s">
        <v>30730</v>
      </c>
      <c r="C12153" t="s">
        <v>34417</v>
      </c>
      <c r="D12153" t="s">
        <v>30732</v>
      </c>
      <c r="E12153" t="s">
        <v>34418</v>
      </c>
      <c r="F12153" t="s">
        <v>34419</v>
      </c>
    </row>
    <row r="12154" spans="1:12">
      <c r="A12154" t="s">
        <v>30729</v>
      </c>
      <c r="B12154" t="s">
        <v>30730</v>
      </c>
      <c r="C12154" t="s">
        <v>34420</v>
      </c>
      <c r="D12154" t="s">
        <v>30732</v>
      </c>
      <c r="E12154" t="s">
        <v>34421</v>
      </c>
      <c r="F12154" t="s">
        <v>34422</v>
      </c>
    </row>
    <row r="12155" spans="1:12">
      <c r="A12155" t="s">
        <v>30729</v>
      </c>
      <c r="B12155" t="s">
        <v>30730</v>
      </c>
      <c r="C12155" t="s">
        <v>34423</v>
      </c>
      <c r="D12155" t="s">
        <v>30732</v>
      </c>
      <c r="E12155" t="s">
        <v>30418</v>
      </c>
      <c r="F12155" t="s">
        <v>34424</v>
      </c>
    </row>
    <row r="12156" spans="1:12">
      <c r="A12156" t="s">
        <v>30729</v>
      </c>
      <c r="B12156" t="s">
        <v>30730</v>
      </c>
      <c r="C12156" t="s">
        <v>34425</v>
      </c>
      <c r="D12156" t="s">
        <v>30732</v>
      </c>
      <c r="E12156" t="s">
        <v>7916</v>
      </c>
      <c r="F12156" t="s">
        <v>34426</v>
      </c>
    </row>
    <row r="12157" spans="1:12">
      <c r="A12157" t="s">
        <v>30729</v>
      </c>
      <c r="B12157" t="s">
        <v>30730</v>
      </c>
      <c r="C12157" t="s">
        <v>34427</v>
      </c>
      <c r="D12157" t="s">
        <v>30732</v>
      </c>
      <c r="E12157" t="s">
        <v>19048</v>
      </c>
      <c r="F12157" t="s">
        <v>34428</v>
      </c>
      <c r="J12157" t="s">
        <v>19048</v>
      </c>
      <c r="K12157" t="s">
        <v>21600</v>
      </c>
      <c r="L12157" t="s">
        <v>3616</v>
      </c>
    </row>
    <row r="12158" spans="1:12">
      <c r="A12158" t="s">
        <v>30729</v>
      </c>
      <c r="B12158" t="s">
        <v>30730</v>
      </c>
      <c r="C12158" t="s">
        <v>34429</v>
      </c>
      <c r="D12158" t="s">
        <v>30732</v>
      </c>
      <c r="E12158" t="s">
        <v>34430</v>
      </c>
      <c r="F12158" t="s">
        <v>34431</v>
      </c>
    </row>
    <row r="12159" spans="1:12">
      <c r="A12159" t="s">
        <v>30729</v>
      </c>
      <c r="B12159" t="s">
        <v>30730</v>
      </c>
      <c r="C12159" t="s">
        <v>34432</v>
      </c>
      <c r="D12159" t="s">
        <v>30732</v>
      </c>
      <c r="E12159" t="s">
        <v>34433</v>
      </c>
      <c r="F12159" t="s">
        <v>34434</v>
      </c>
      <c r="J12159" t="s">
        <v>34433</v>
      </c>
      <c r="K12159" t="s">
        <v>21600</v>
      </c>
      <c r="L12159" t="s">
        <v>3616</v>
      </c>
    </row>
    <row r="12160" spans="1:12">
      <c r="A12160" t="s">
        <v>30729</v>
      </c>
      <c r="B12160" t="s">
        <v>30730</v>
      </c>
      <c r="C12160" t="s">
        <v>34435</v>
      </c>
      <c r="D12160" t="s">
        <v>30732</v>
      </c>
      <c r="E12160" t="s">
        <v>34436</v>
      </c>
      <c r="F12160" t="s">
        <v>34437</v>
      </c>
    </row>
    <row r="12161" spans="1:12">
      <c r="A12161" t="s">
        <v>30729</v>
      </c>
      <c r="B12161" t="s">
        <v>30730</v>
      </c>
      <c r="C12161" t="s">
        <v>34438</v>
      </c>
      <c r="D12161" t="s">
        <v>30732</v>
      </c>
      <c r="E12161" t="s">
        <v>34439</v>
      </c>
      <c r="F12161" t="s">
        <v>34440</v>
      </c>
      <c r="J12161" t="s">
        <v>34439</v>
      </c>
      <c r="K12161" t="s">
        <v>21600</v>
      </c>
      <c r="L12161" t="s">
        <v>3616</v>
      </c>
    </row>
    <row r="12162" spans="1:12">
      <c r="A12162" t="s">
        <v>30729</v>
      </c>
      <c r="B12162" t="s">
        <v>30730</v>
      </c>
      <c r="C12162" t="s">
        <v>34441</v>
      </c>
      <c r="D12162" t="s">
        <v>30732</v>
      </c>
      <c r="E12162" t="s">
        <v>34442</v>
      </c>
      <c r="F12162" t="s">
        <v>34443</v>
      </c>
      <c r="J12162" t="s">
        <v>34442</v>
      </c>
      <c r="K12162" t="s">
        <v>21600</v>
      </c>
      <c r="L12162" t="s">
        <v>3616</v>
      </c>
    </row>
    <row r="12163" spans="1:12">
      <c r="A12163" t="s">
        <v>30729</v>
      </c>
      <c r="B12163" t="s">
        <v>30730</v>
      </c>
      <c r="C12163" t="s">
        <v>34444</v>
      </c>
      <c r="D12163" t="s">
        <v>30732</v>
      </c>
      <c r="E12163" t="s">
        <v>34445</v>
      </c>
      <c r="F12163" t="s">
        <v>34446</v>
      </c>
      <c r="J12163" t="s">
        <v>34445</v>
      </c>
      <c r="K12163" t="s">
        <v>21600</v>
      </c>
      <c r="L12163" t="s">
        <v>3616</v>
      </c>
    </row>
    <row r="12164" spans="1:12">
      <c r="A12164" t="s">
        <v>30729</v>
      </c>
      <c r="B12164" t="s">
        <v>30730</v>
      </c>
      <c r="C12164" t="s">
        <v>34447</v>
      </c>
      <c r="D12164" t="s">
        <v>30732</v>
      </c>
      <c r="E12164" t="s">
        <v>13289</v>
      </c>
      <c r="F12164" t="s">
        <v>34448</v>
      </c>
    </row>
    <row r="12165" spans="1:12">
      <c r="A12165" t="s">
        <v>30729</v>
      </c>
      <c r="B12165" t="s">
        <v>30730</v>
      </c>
      <c r="C12165" t="s">
        <v>34449</v>
      </c>
      <c r="D12165" t="s">
        <v>30732</v>
      </c>
      <c r="E12165" t="s">
        <v>19061</v>
      </c>
      <c r="F12165" t="s">
        <v>34450</v>
      </c>
    </row>
    <row r="12166" spans="1:12">
      <c r="A12166" t="s">
        <v>30729</v>
      </c>
      <c r="B12166" t="s">
        <v>30730</v>
      </c>
      <c r="C12166" t="s">
        <v>34451</v>
      </c>
      <c r="D12166" t="s">
        <v>30732</v>
      </c>
      <c r="E12166" t="s">
        <v>26075</v>
      </c>
      <c r="F12166" t="s">
        <v>34452</v>
      </c>
      <c r="J12166" t="s">
        <v>26075</v>
      </c>
      <c r="K12166" t="s">
        <v>21600</v>
      </c>
      <c r="L12166" t="s">
        <v>3616</v>
      </c>
    </row>
    <row r="12167" spans="1:12">
      <c r="A12167" t="s">
        <v>30729</v>
      </c>
      <c r="B12167" t="s">
        <v>30730</v>
      </c>
      <c r="C12167" t="s">
        <v>34453</v>
      </c>
      <c r="D12167" t="s">
        <v>30732</v>
      </c>
      <c r="E12167" t="s">
        <v>14408</v>
      </c>
      <c r="F12167" t="s">
        <v>34454</v>
      </c>
      <c r="J12167" t="s">
        <v>14408</v>
      </c>
      <c r="K12167" t="s">
        <v>21600</v>
      </c>
      <c r="L12167" t="s">
        <v>3616</v>
      </c>
    </row>
    <row r="12168" spans="1:12">
      <c r="A12168" t="s">
        <v>30729</v>
      </c>
      <c r="B12168" t="s">
        <v>30730</v>
      </c>
      <c r="C12168" t="s">
        <v>34455</v>
      </c>
      <c r="D12168" t="s">
        <v>30732</v>
      </c>
      <c r="E12168" t="s">
        <v>2529</v>
      </c>
      <c r="F12168" t="s">
        <v>34456</v>
      </c>
    </row>
    <row r="12169" spans="1:12">
      <c r="A12169" t="s">
        <v>30729</v>
      </c>
      <c r="B12169" t="s">
        <v>30730</v>
      </c>
      <c r="C12169" t="s">
        <v>34457</v>
      </c>
      <c r="D12169" t="s">
        <v>30732</v>
      </c>
      <c r="E12169" t="s">
        <v>34458</v>
      </c>
      <c r="F12169" t="s">
        <v>34459</v>
      </c>
      <c r="J12169" t="s">
        <v>34458</v>
      </c>
      <c r="K12169" t="s">
        <v>21600</v>
      </c>
      <c r="L12169" t="s">
        <v>3616</v>
      </c>
    </row>
    <row r="12170" spans="1:12">
      <c r="A12170" t="s">
        <v>30729</v>
      </c>
      <c r="B12170" t="s">
        <v>30730</v>
      </c>
      <c r="C12170" t="s">
        <v>34460</v>
      </c>
      <c r="D12170" t="s">
        <v>30732</v>
      </c>
      <c r="E12170" t="s">
        <v>19074</v>
      </c>
      <c r="F12170" t="s">
        <v>34461</v>
      </c>
    </row>
    <row r="12171" spans="1:12">
      <c r="A12171" t="s">
        <v>30729</v>
      </c>
      <c r="B12171" t="s">
        <v>30730</v>
      </c>
      <c r="C12171" t="s">
        <v>34462</v>
      </c>
      <c r="D12171" t="s">
        <v>30732</v>
      </c>
      <c r="E12171" t="s">
        <v>2532</v>
      </c>
      <c r="F12171" t="s">
        <v>34463</v>
      </c>
    </row>
    <row r="12172" spans="1:12">
      <c r="A12172" t="s">
        <v>30729</v>
      </c>
      <c r="B12172" t="s">
        <v>30730</v>
      </c>
      <c r="C12172" t="s">
        <v>34464</v>
      </c>
      <c r="D12172" t="s">
        <v>30732</v>
      </c>
      <c r="E12172" t="s">
        <v>2538</v>
      </c>
      <c r="F12172" t="s">
        <v>34465</v>
      </c>
    </row>
    <row r="12173" spans="1:12">
      <c r="A12173" t="s">
        <v>30729</v>
      </c>
      <c r="B12173" t="s">
        <v>30730</v>
      </c>
      <c r="C12173" t="s">
        <v>34466</v>
      </c>
      <c r="D12173" t="s">
        <v>30732</v>
      </c>
      <c r="E12173" t="s">
        <v>25333</v>
      </c>
      <c r="F12173" t="s">
        <v>34467</v>
      </c>
    </row>
    <row r="12174" spans="1:12">
      <c r="A12174" t="s">
        <v>30729</v>
      </c>
      <c r="B12174" t="s">
        <v>30730</v>
      </c>
      <c r="C12174" t="s">
        <v>34468</v>
      </c>
      <c r="D12174" t="s">
        <v>30732</v>
      </c>
      <c r="E12174" t="s">
        <v>19087</v>
      </c>
      <c r="F12174" t="s">
        <v>34469</v>
      </c>
    </row>
    <row r="12175" spans="1:12">
      <c r="A12175" t="s">
        <v>30729</v>
      </c>
      <c r="B12175" t="s">
        <v>30730</v>
      </c>
      <c r="C12175" t="s">
        <v>34470</v>
      </c>
      <c r="D12175" t="s">
        <v>30732</v>
      </c>
      <c r="E12175" t="s">
        <v>34471</v>
      </c>
      <c r="F12175" t="s">
        <v>34472</v>
      </c>
      <c r="J12175" t="s">
        <v>34471</v>
      </c>
      <c r="K12175" t="s">
        <v>21600</v>
      </c>
      <c r="L12175" t="s">
        <v>3616</v>
      </c>
    </row>
    <row r="12176" spans="1:12">
      <c r="A12176" t="s">
        <v>30729</v>
      </c>
      <c r="B12176" t="s">
        <v>30730</v>
      </c>
      <c r="C12176" t="s">
        <v>34473</v>
      </c>
      <c r="D12176" t="s">
        <v>30732</v>
      </c>
      <c r="E12176" t="s">
        <v>2541</v>
      </c>
      <c r="F12176" t="s">
        <v>34474</v>
      </c>
    </row>
    <row r="12177" spans="1:12">
      <c r="A12177" t="s">
        <v>30729</v>
      </c>
      <c r="B12177" t="s">
        <v>30730</v>
      </c>
      <c r="C12177" t="s">
        <v>34475</v>
      </c>
      <c r="D12177" t="s">
        <v>30732</v>
      </c>
      <c r="E12177" t="s">
        <v>27519</v>
      </c>
      <c r="F12177" t="s">
        <v>34476</v>
      </c>
      <c r="J12177" t="s">
        <v>27519</v>
      </c>
      <c r="K12177" t="s">
        <v>21600</v>
      </c>
      <c r="L12177" t="s">
        <v>3616</v>
      </c>
    </row>
    <row r="12178" spans="1:12">
      <c r="A12178" t="s">
        <v>30729</v>
      </c>
      <c r="B12178" t="s">
        <v>30730</v>
      </c>
      <c r="C12178" t="s">
        <v>34477</v>
      </c>
      <c r="D12178" t="s">
        <v>30732</v>
      </c>
      <c r="E12178" t="s">
        <v>25006</v>
      </c>
      <c r="F12178" t="s">
        <v>34478</v>
      </c>
      <c r="J12178" t="s">
        <v>25006</v>
      </c>
      <c r="K12178" t="s">
        <v>21600</v>
      </c>
      <c r="L12178" t="s">
        <v>3616</v>
      </c>
    </row>
    <row r="12179" spans="1:12">
      <c r="A12179" t="s">
        <v>30729</v>
      </c>
      <c r="B12179" t="s">
        <v>30730</v>
      </c>
      <c r="C12179" t="s">
        <v>34479</v>
      </c>
      <c r="D12179" t="s">
        <v>30732</v>
      </c>
      <c r="E12179" t="s">
        <v>15844</v>
      </c>
      <c r="F12179" t="s">
        <v>34480</v>
      </c>
      <c r="J12179" t="s">
        <v>15844</v>
      </c>
      <c r="K12179" t="s">
        <v>21600</v>
      </c>
      <c r="L12179" t="s">
        <v>3616</v>
      </c>
    </row>
    <row r="12180" spans="1:12">
      <c r="A12180" t="s">
        <v>30729</v>
      </c>
      <c r="B12180" t="s">
        <v>30730</v>
      </c>
      <c r="C12180" t="s">
        <v>34481</v>
      </c>
      <c r="D12180" t="s">
        <v>30732</v>
      </c>
      <c r="E12180" t="s">
        <v>19117</v>
      </c>
      <c r="F12180" t="s">
        <v>34482</v>
      </c>
      <c r="J12180" t="s">
        <v>19117</v>
      </c>
      <c r="K12180" t="s">
        <v>21600</v>
      </c>
      <c r="L12180" t="s">
        <v>3616</v>
      </c>
    </row>
    <row r="12181" spans="1:12">
      <c r="A12181" t="s">
        <v>30729</v>
      </c>
      <c r="B12181" t="s">
        <v>30730</v>
      </c>
      <c r="C12181" t="s">
        <v>34483</v>
      </c>
      <c r="D12181" t="s">
        <v>30732</v>
      </c>
      <c r="E12181" t="s">
        <v>34484</v>
      </c>
      <c r="F12181" t="s">
        <v>34485</v>
      </c>
      <c r="J12181" t="s">
        <v>34484</v>
      </c>
      <c r="K12181" t="s">
        <v>21600</v>
      </c>
      <c r="L12181" t="s">
        <v>3616</v>
      </c>
    </row>
    <row r="12182" spans="1:12">
      <c r="A12182" t="s">
        <v>30729</v>
      </c>
      <c r="B12182" t="s">
        <v>30730</v>
      </c>
      <c r="C12182" t="s">
        <v>34486</v>
      </c>
      <c r="D12182" t="s">
        <v>30732</v>
      </c>
      <c r="E12182" t="s">
        <v>19124</v>
      </c>
      <c r="F12182" t="s">
        <v>34487</v>
      </c>
      <c r="J12182" t="s">
        <v>19124</v>
      </c>
      <c r="K12182" t="s">
        <v>21600</v>
      </c>
      <c r="L12182" t="s">
        <v>3616</v>
      </c>
    </row>
    <row r="12183" spans="1:12">
      <c r="A12183" t="s">
        <v>30729</v>
      </c>
      <c r="B12183" t="s">
        <v>30730</v>
      </c>
      <c r="C12183" t="s">
        <v>34488</v>
      </c>
      <c r="D12183" t="s">
        <v>30732</v>
      </c>
      <c r="E12183" t="s">
        <v>19127</v>
      </c>
      <c r="F12183" t="s">
        <v>34489</v>
      </c>
    </row>
    <row r="12184" spans="1:12">
      <c r="A12184" t="s">
        <v>30729</v>
      </c>
      <c r="B12184" t="s">
        <v>30730</v>
      </c>
      <c r="C12184" t="s">
        <v>34490</v>
      </c>
      <c r="D12184" t="s">
        <v>30732</v>
      </c>
      <c r="E12184" t="s">
        <v>34491</v>
      </c>
      <c r="F12184" t="s">
        <v>34492</v>
      </c>
      <c r="J12184" t="s">
        <v>34491</v>
      </c>
      <c r="K12184" t="s">
        <v>21600</v>
      </c>
      <c r="L12184" t="s">
        <v>3616</v>
      </c>
    </row>
    <row r="12185" spans="1:12">
      <c r="A12185" t="s">
        <v>30729</v>
      </c>
      <c r="B12185" t="s">
        <v>30730</v>
      </c>
      <c r="C12185" t="s">
        <v>34493</v>
      </c>
      <c r="D12185" t="s">
        <v>30732</v>
      </c>
      <c r="E12185" t="s">
        <v>27524</v>
      </c>
      <c r="F12185" t="s">
        <v>34494</v>
      </c>
      <c r="J12185" t="s">
        <v>27524</v>
      </c>
      <c r="K12185" t="s">
        <v>21600</v>
      </c>
      <c r="L12185" t="s">
        <v>3616</v>
      </c>
    </row>
    <row r="12186" spans="1:12">
      <c r="A12186" t="s">
        <v>30729</v>
      </c>
      <c r="B12186" t="s">
        <v>30730</v>
      </c>
      <c r="C12186" t="s">
        <v>34495</v>
      </c>
      <c r="D12186" t="s">
        <v>30732</v>
      </c>
      <c r="E12186" t="s">
        <v>19137</v>
      </c>
      <c r="F12186" t="s">
        <v>34496</v>
      </c>
      <c r="J12186" t="s">
        <v>19137</v>
      </c>
      <c r="K12186" t="s">
        <v>21600</v>
      </c>
      <c r="L12186" t="s">
        <v>3616</v>
      </c>
    </row>
    <row r="12187" spans="1:12">
      <c r="A12187" t="s">
        <v>30729</v>
      </c>
      <c r="B12187" t="s">
        <v>30730</v>
      </c>
      <c r="C12187" t="s">
        <v>34497</v>
      </c>
      <c r="D12187" t="s">
        <v>30732</v>
      </c>
      <c r="E12187" t="s">
        <v>11191</v>
      </c>
      <c r="F12187" t="s">
        <v>34498</v>
      </c>
    </row>
    <row r="12188" spans="1:12">
      <c r="A12188" t="s">
        <v>30729</v>
      </c>
      <c r="B12188" t="s">
        <v>30730</v>
      </c>
      <c r="C12188" t="s">
        <v>34499</v>
      </c>
      <c r="D12188" t="s">
        <v>30732</v>
      </c>
      <c r="E12188" t="s">
        <v>12808</v>
      </c>
      <c r="F12188" t="s">
        <v>34500</v>
      </c>
      <c r="J12188" t="s">
        <v>12808</v>
      </c>
      <c r="K12188" t="s">
        <v>21600</v>
      </c>
      <c r="L12188" t="s">
        <v>3616</v>
      </c>
    </row>
    <row r="12189" spans="1:12">
      <c r="A12189" t="s">
        <v>30729</v>
      </c>
      <c r="B12189" t="s">
        <v>30730</v>
      </c>
      <c r="C12189" t="s">
        <v>34501</v>
      </c>
      <c r="D12189" t="s">
        <v>30732</v>
      </c>
      <c r="E12189" t="s">
        <v>34502</v>
      </c>
      <c r="F12189" t="s">
        <v>34503</v>
      </c>
      <c r="J12189" t="s">
        <v>34502</v>
      </c>
      <c r="K12189" t="s">
        <v>21600</v>
      </c>
      <c r="L12189" t="s">
        <v>3616</v>
      </c>
    </row>
    <row r="12190" spans="1:12">
      <c r="A12190" t="s">
        <v>30729</v>
      </c>
      <c r="B12190" t="s">
        <v>30730</v>
      </c>
      <c r="C12190" t="s">
        <v>34504</v>
      </c>
      <c r="D12190" t="s">
        <v>30732</v>
      </c>
      <c r="E12190" t="s">
        <v>19157</v>
      </c>
      <c r="F12190" t="s">
        <v>34505</v>
      </c>
      <c r="J12190" t="s">
        <v>19157</v>
      </c>
      <c r="K12190" t="s">
        <v>21600</v>
      </c>
      <c r="L12190" t="s">
        <v>3616</v>
      </c>
    </row>
    <row r="12191" spans="1:12">
      <c r="A12191" t="s">
        <v>30729</v>
      </c>
      <c r="B12191" t="s">
        <v>30730</v>
      </c>
      <c r="C12191" t="s">
        <v>34506</v>
      </c>
      <c r="D12191" t="s">
        <v>30732</v>
      </c>
      <c r="E12191" t="s">
        <v>34507</v>
      </c>
      <c r="F12191" t="s">
        <v>34508</v>
      </c>
      <c r="J12191" t="s">
        <v>34507</v>
      </c>
      <c r="K12191" t="s">
        <v>21600</v>
      </c>
      <c r="L12191" t="s">
        <v>3616</v>
      </c>
    </row>
    <row r="12192" spans="1:12">
      <c r="A12192" t="s">
        <v>30729</v>
      </c>
      <c r="B12192" t="s">
        <v>30730</v>
      </c>
      <c r="C12192" t="s">
        <v>34509</v>
      </c>
      <c r="D12192" t="s">
        <v>30732</v>
      </c>
      <c r="E12192" t="s">
        <v>19160</v>
      </c>
      <c r="F12192" t="s">
        <v>34510</v>
      </c>
      <c r="J12192" t="s">
        <v>19160</v>
      </c>
      <c r="K12192" t="s">
        <v>21600</v>
      </c>
      <c r="L12192" t="s">
        <v>3616</v>
      </c>
    </row>
    <row r="12193" spans="1:12">
      <c r="A12193" t="s">
        <v>30729</v>
      </c>
      <c r="B12193" t="s">
        <v>30730</v>
      </c>
      <c r="C12193" t="s">
        <v>34511</v>
      </c>
      <c r="D12193" t="s">
        <v>30732</v>
      </c>
      <c r="E12193" t="s">
        <v>34512</v>
      </c>
      <c r="F12193" t="s">
        <v>34513</v>
      </c>
      <c r="J12193" t="s">
        <v>34512</v>
      </c>
      <c r="K12193" t="s">
        <v>21600</v>
      </c>
      <c r="L12193" t="s">
        <v>3616</v>
      </c>
    </row>
    <row r="12194" spans="1:12">
      <c r="A12194" t="s">
        <v>30729</v>
      </c>
      <c r="B12194" t="s">
        <v>30730</v>
      </c>
      <c r="C12194" t="s">
        <v>34514</v>
      </c>
      <c r="D12194" t="s">
        <v>30732</v>
      </c>
      <c r="E12194" t="s">
        <v>34515</v>
      </c>
      <c r="F12194" t="s">
        <v>34516</v>
      </c>
    </row>
    <row r="12195" spans="1:12">
      <c r="A12195" t="s">
        <v>30729</v>
      </c>
      <c r="B12195" t="s">
        <v>30730</v>
      </c>
      <c r="C12195" t="s">
        <v>34517</v>
      </c>
      <c r="D12195" t="s">
        <v>30732</v>
      </c>
      <c r="E12195" t="s">
        <v>34518</v>
      </c>
      <c r="F12195" t="s">
        <v>34519</v>
      </c>
      <c r="J12195" t="s">
        <v>34518</v>
      </c>
      <c r="K12195" t="s">
        <v>21600</v>
      </c>
      <c r="L12195" t="s">
        <v>3616</v>
      </c>
    </row>
    <row r="12196" spans="1:12">
      <c r="A12196" t="s">
        <v>30729</v>
      </c>
      <c r="B12196" t="s">
        <v>30730</v>
      </c>
      <c r="C12196" t="s">
        <v>34520</v>
      </c>
      <c r="D12196" t="s">
        <v>30732</v>
      </c>
      <c r="E12196" t="s">
        <v>3646</v>
      </c>
      <c r="F12196" t="s">
        <v>34521</v>
      </c>
    </row>
    <row r="12197" spans="1:12">
      <c r="A12197" t="s">
        <v>30729</v>
      </c>
      <c r="B12197" t="s">
        <v>30730</v>
      </c>
      <c r="C12197" t="s">
        <v>34522</v>
      </c>
      <c r="D12197" t="s">
        <v>30732</v>
      </c>
      <c r="E12197" t="s">
        <v>34523</v>
      </c>
      <c r="F12197" t="s">
        <v>34524</v>
      </c>
      <c r="J12197" t="s">
        <v>34523</v>
      </c>
      <c r="K12197" t="s">
        <v>21600</v>
      </c>
      <c r="L12197" t="s">
        <v>3616</v>
      </c>
    </row>
    <row r="12198" spans="1:12">
      <c r="A12198" t="s">
        <v>30729</v>
      </c>
      <c r="B12198" t="s">
        <v>30730</v>
      </c>
      <c r="C12198" t="s">
        <v>34525</v>
      </c>
      <c r="D12198" t="s">
        <v>30732</v>
      </c>
      <c r="E12198" t="s">
        <v>11195</v>
      </c>
      <c r="F12198" t="s">
        <v>34526</v>
      </c>
      <c r="J12198" t="s">
        <v>11195</v>
      </c>
      <c r="K12198" t="s">
        <v>21600</v>
      </c>
      <c r="L12198" t="s">
        <v>3616</v>
      </c>
    </row>
    <row r="12199" spans="1:12">
      <c r="A12199" t="s">
        <v>30729</v>
      </c>
      <c r="B12199" t="s">
        <v>30730</v>
      </c>
      <c r="C12199" t="s">
        <v>34527</v>
      </c>
      <c r="D12199" t="s">
        <v>30732</v>
      </c>
      <c r="E12199" t="s">
        <v>9556</v>
      </c>
      <c r="F12199" t="s">
        <v>34233</v>
      </c>
      <c r="J12199" t="s">
        <v>9556</v>
      </c>
      <c r="K12199" t="s">
        <v>21600</v>
      </c>
      <c r="L12199" t="s">
        <v>3616</v>
      </c>
    </row>
    <row r="12200" spans="1:12">
      <c r="A12200" t="s">
        <v>30729</v>
      </c>
      <c r="B12200" t="s">
        <v>30730</v>
      </c>
      <c r="C12200" t="s">
        <v>34528</v>
      </c>
      <c r="D12200" t="s">
        <v>30732</v>
      </c>
      <c r="E12200" t="s">
        <v>14416</v>
      </c>
      <c r="F12200" t="s">
        <v>34529</v>
      </c>
      <c r="J12200" t="s">
        <v>14416</v>
      </c>
      <c r="K12200" t="s">
        <v>21600</v>
      </c>
      <c r="L12200" t="s">
        <v>3616</v>
      </c>
    </row>
    <row r="12201" spans="1:12">
      <c r="A12201" t="s">
        <v>30729</v>
      </c>
      <c r="B12201" t="s">
        <v>30730</v>
      </c>
      <c r="C12201" t="s">
        <v>34530</v>
      </c>
      <c r="D12201" t="s">
        <v>30732</v>
      </c>
      <c r="E12201" t="s">
        <v>19189</v>
      </c>
      <c r="F12201" t="s">
        <v>34531</v>
      </c>
      <c r="J12201" t="s">
        <v>19189</v>
      </c>
      <c r="K12201" t="s">
        <v>21600</v>
      </c>
      <c r="L12201" t="s">
        <v>3616</v>
      </c>
    </row>
    <row r="12202" spans="1:12">
      <c r="A12202" t="s">
        <v>30729</v>
      </c>
      <c r="B12202" t="s">
        <v>30730</v>
      </c>
      <c r="C12202" t="s">
        <v>34532</v>
      </c>
      <c r="D12202" t="s">
        <v>30732</v>
      </c>
      <c r="E12202" t="s">
        <v>10737</v>
      </c>
      <c r="F12202" t="s">
        <v>34533</v>
      </c>
      <c r="J12202" t="s">
        <v>10737</v>
      </c>
      <c r="K12202" t="s">
        <v>21600</v>
      </c>
      <c r="L12202" t="s">
        <v>3616</v>
      </c>
    </row>
    <row r="12203" spans="1:12">
      <c r="A12203" t="s">
        <v>30729</v>
      </c>
      <c r="B12203" t="s">
        <v>30730</v>
      </c>
      <c r="C12203" t="s">
        <v>34534</v>
      </c>
      <c r="D12203" t="s">
        <v>30732</v>
      </c>
      <c r="E12203" t="s">
        <v>34535</v>
      </c>
      <c r="F12203" t="s">
        <v>34536</v>
      </c>
      <c r="J12203" t="s">
        <v>34535</v>
      </c>
      <c r="K12203" t="s">
        <v>21600</v>
      </c>
      <c r="L12203" t="s">
        <v>3616</v>
      </c>
    </row>
    <row r="12204" spans="1:12">
      <c r="A12204" t="s">
        <v>30729</v>
      </c>
      <c r="B12204" t="s">
        <v>30730</v>
      </c>
      <c r="C12204" t="s">
        <v>34537</v>
      </c>
      <c r="D12204" t="s">
        <v>30732</v>
      </c>
      <c r="E12204" t="s">
        <v>34538</v>
      </c>
      <c r="F12204" t="s">
        <v>34539</v>
      </c>
      <c r="J12204" t="s">
        <v>34538</v>
      </c>
      <c r="K12204" t="s">
        <v>21600</v>
      </c>
      <c r="L12204" t="s">
        <v>3616</v>
      </c>
    </row>
    <row r="12205" spans="1:12">
      <c r="A12205" t="s">
        <v>30729</v>
      </c>
      <c r="B12205" t="s">
        <v>30730</v>
      </c>
      <c r="C12205" t="s">
        <v>34540</v>
      </c>
      <c r="D12205" t="s">
        <v>30732</v>
      </c>
      <c r="E12205" t="s">
        <v>12228</v>
      </c>
      <c r="F12205" t="s">
        <v>34541</v>
      </c>
      <c r="J12205" t="s">
        <v>12228</v>
      </c>
      <c r="K12205" t="s">
        <v>21600</v>
      </c>
      <c r="L12205" t="s">
        <v>3616</v>
      </c>
    </row>
    <row r="12206" spans="1:12">
      <c r="A12206" t="s">
        <v>30729</v>
      </c>
      <c r="B12206" t="s">
        <v>30730</v>
      </c>
      <c r="C12206" t="s">
        <v>34542</v>
      </c>
      <c r="D12206" t="s">
        <v>30732</v>
      </c>
      <c r="E12206" t="s">
        <v>26708</v>
      </c>
      <c r="F12206" t="s">
        <v>34543</v>
      </c>
    </row>
    <row r="12207" spans="1:12">
      <c r="A12207" t="s">
        <v>30729</v>
      </c>
      <c r="B12207" t="s">
        <v>30730</v>
      </c>
      <c r="C12207" t="s">
        <v>34544</v>
      </c>
      <c r="D12207" t="s">
        <v>30732</v>
      </c>
      <c r="E12207" t="s">
        <v>34545</v>
      </c>
      <c r="F12207" t="s">
        <v>34546</v>
      </c>
      <c r="J12207" t="s">
        <v>34545</v>
      </c>
      <c r="K12207" t="s">
        <v>21600</v>
      </c>
      <c r="L12207" t="s">
        <v>3616</v>
      </c>
    </row>
    <row r="12208" spans="1:12">
      <c r="A12208" t="s">
        <v>30729</v>
      </c>
      <c r="B12208" t="s">
        <v>30730</v>
      </c>
      <c r="C12208" t="s">
        <v>34547</v>
      </c>
      <c r="D12208" t="s">
        <v>30732</v>
      </c>
      <c r="E12208" t="s">
        <v>28510</v>
      </c>
      <c r="F12208" t="s">
        <v>34548</v>
      </c>
    </row>
    <row r="12209" spans="1:12">
      <c r="A12209" t="s">
        <v>30729</v>
      </c>
      <c r="B12209" t="s">
        <v>30730</v>
      </c>
      <c r="C12209" t="s">
        <v>34549</v>
      </c>
      <c r="D12209" t="s">
        <v>30732</v>
      </c>
      <c r="E12209" t="s">
        <v>7922</v>
      </c>
      <c r="F12209" t="s">
        <v>34550</v>
      </c>
    </row>
    <row r="12210" spans="1:12">
      <c r="A12210" t="s">
        <v>30729</v>
      </c>
      <c r="B12210" t="s">
        <v>30730</v>
      </c>
      <c r="C12210" t="s">
        <v>34551</v>
      </c>
      <c r="D12210" t="s">
        <v>30732</v>
      </c>
      <c r="E12210" t="s">
        <v>34552</v>
      </c>
      <c r="F12210" t="s">
        <v>34553</v>
      </c>
      <c r="J12210" t="s">
        <v>34552</v>
      </c>
      <c r="K12210" t="s">
        <v>21600</v>
      </c>
      <c r="L12210" t="s">
        <v>3616</v>
      </c>
    </row>
    <row r="12211" spans="1:12">
      <c r="A12211" t="s">
        <v>30729</v>
      </c>
      <c r="B12211" t="s">
        <v>30730</v>
      </c>
      <c r="C12211" t="s">
        <v>34554</v>
      </c>
      <c r="D12211" t="s">
        <v>30732</v>
      </c>
      <c r="E12211" t="s">
        <v>34555</v>
      </c>
      <c r="F12211" t="s">
        <v>34556</v>
      </c>
      <c r="J12211" t="s">
        <v>34555</v>
      </c>
      <c r="K12211" t="s">
        <v>21600</v>
      </c>
      <c r="L12211" t="s">
        <v>3616</v>
      </c>
    </row>
    <row r="12212" spans="1:12">
      <c r="A12212" t="s">
        <v>30729</v>
      </c>
      <c r="B12212" t="s">
        <v>30730</v>
      </c>
      <c r="C12212" t="s">
        <v>34557</v>
      </c>
      <c r="D12212" t="s">
        <v>30732</v>
      </c>
      <c r="E12212" t="s">
        <v>19198</v>
      </c>
      <c r="F12212" t="s">
        <v>34558</v>
      </c>
      <c r="J12212" t="s">
        <v>19198</v>
      </c>
      <c r="K12212" t="s">
        <v>21600</v>
      </c>
      <c r="L12212" t="s">
        <v>3616</v>
      </c>
    </row>
    <row r="12213" spans="1:12">
      <c r="A12213" t="s">
        <v>30729</v>
      </c>
      <c r="B12213" t="s">
        <v>30730</v>
      </c>
      <c r="C12213" t="s">
        <v>34559</v>
      </c>
      <c r="D12213" t="s">
        <v>30732</v>
      </c>
      <c r="E12213" t="s">
        <v>34560</v>
      </c>
      <c r="F12213" t="s">
        <v>34561</v>
      </c>
      <c r="J12213" t="s">
        <v>34560</v>
      </c>
      <c r="K12213" t="s">
        <v>21600</v>
      </c>
      <c r="L12213" t="s">
        <v>3616</v>
      </c>
    </row>
    <row r="12214" spans="1:12">
      <c r="A12214" t="s">
        <v>30729</v>
      </c>
      <c r="B12214" t="s">
        <v>30730</v>
      </c>
      <c r="C12214" t="s">
        <v>34562</v>
      </c>
      <c r="D12214" t="s">
        <v>30732</v>
      </c>
      <c r="E12214" t="s">
        <v>34563</v>
      </c>
      <c r="F12214" t="s">
        <v>34564</v>
      </c>
      <c r="J12214" t="s">
        <v>34563</v>
      </c>
      <c r="K12214" t="s">
        <v>21600</v>
      </c>
      <c r="L12214" t="s">
        <v>3616</v>
      </c>
    </row>
    <row r="12215" spans="1:12">
      <c r="A12215" t="s">
        <v>30729</v>
      </c>
      <c r="B12215" t="s">
        <v>30730</v>
      </c>
      <c r="C12215" t="s">
        <v>34565</v>
      </c>
      <c r="D12215" t="s">
        <v>30732</v>
      </c>
      <c r="E12215" t="s">
        <v>34566</v>
      </c>
      <c r="F12215" t="s">
        <v>34567</v>
      </c>
      <c r="J12215" t="s">
        <v>34566</v>
      </c>
      <c r="K12215" t="s">
        <v>21600</v>
      </c>
      <c r="L12215" t="s">
        <v>3616</v>
      </c>
    </row>
    <row r="12216" spans="1:12">
      <c r="A12216" t="s">
        <v>30729</v>
      </c>
      <c r="B12216" t="s">
        <v>30730</v>
      </c>
      <c r="C12216" t="s">
        <v>34568</v>
      </c>
      <c r="D12216" t="s">
        <v>30732</v>
      </c>
      <c r="E12216" t="s">
        <v>34569</v>
      </c>
      <c r="F12216" t="s">
        <v>34570</v>
      </c>
      <c r="J12216" t="s">
        <v>34569</v>
      </c>
      <c r="K12216" t="s">
        <v>21600</v>
      </c>
      <c r="L12216" t="s">
        <v>3616</v>
      </c>
    </row>
    <row r="12217" spans="1:12">
      <c r="A12217" t="s">
        <v>30729</v>
      </c>
      <c r="B12217" t="s">
        <v>30730</v>
      </c>
      <c r="C12217" t="s">
        <v>34571</v>
      </c>
      <c r="D12217" t="s">
        <v>30732</v>
      </c>
      <c r="E12217" t="s">
        <v>34572</v>
      </c>
      <c r="F12217" t="s">
        <v>34573</v>
      </c>
      <c r="J12217" t="s">
        <v>34572</v>
      </c>
      <c r="K12217" t="s">
        <v>21600</v>
      </c>
      <c r="L12217" t="s">
        <v>3616</v>
      </c>
    </row>
    <row r="12218" spans="1:12">
      <c r="A12218" t="s">
        <v>30729</v>
      </c>
      <c r="B12218" t="s">
        <v>30730</v>
      </c>
      <c r="C12218" t="s">
        <v>34574</v>
      </c>
      <c r="D12218" t="s">
        <v>30732</v>
      </c>
      <c r="E12218" t="s">
        <v>34575</v>
      </c>
      <c r="F12218" t="s">
        <v>34576</v>
      </c>
      <c r="J12218" t="s">
        <v>34575</v>
      </c>
      <c r="K12218" t="s">
        <v>21600</v>
      </c>
      <c r="L12218" t="s">
        <v>3616</v>
      </c>
    </row>
    <row r="12219" spans="1:12">
      <c r="A12219" t="s">
        <v>30729</v>
      </c>
      <c r="B12219" t="s">
        <v>30730</v>
      </c>
      <c r="C12219" t="s">
        <v>34577</v>
      </c>
      <c r="D12219" t="s">
        <v>30732</v>
      </c>
      <c r="E12219" t="s">
        <v>34578</v>
      </c>
      <c r="F12219" t="s">
        <v>34579</v>
      </c>
      <c r="J12219" t="s">
        <v>34578</v>
      </c>
      <c r="K12219" t="s">
        <v>21600</v>
      </c>
      <c r="L12219" t="s">
        <v>3616</v>
      </c>
    </row>
    <row r="12220" spans="1:12">
      <c r="A12220" t="s">
        <v>30729</v>
      </c>
      <c r="B12220" t="s">
        <v>30730</v>
      </c>
      <c r="C12220" t="s">
        <v>34580</v>
      </c>
      <c r="D12220" t="s">
        <v>30732</v>
      </c>
      <c r="E12220" t="s">
        <v>34581</v>
      </c>
      <c r="F12220" t="s">
        <v>34582</v>
      </c>
    </row>
    <row r="12221" spans="1:12">
      <c r="A12221" t="s">
        <v>30729</v>
      </c>
      <c r="B12221" t="s">
        <v>30730</v>
      </c>
      <c r="C12221" t="s">
        <v>34583</v>
      </c>
      <c r="D12221" t="s">
        <v>30732</v>
      </c>
      <c r="E12221" t="s">
        <v>34584</v>
      </c>
      <c r="F12221" t="s">
        <v>34585</v>
      </c>
      <c r="J12221" t="s">
        <v>34584</v>
      </c>
      <c r="K12221" t="s">
        <v>21600</v>
      </c>
      <c r="L12221" t="s">
        <v>3616</v>
      </c>
    </row>
    <row r="12222" spans="1:12">
      <c r="A12222" t="s">
        <v>30729</v>
      </c>
      <c r="B12222" t="s">
        <v>30730</v>
      </c>
      <c r="C12222" t="s">
        <v>34586</v>
      </c>
      <c r="D12222" t="s">
        <v>30732</v>
      </c>
      <c r="E12222" t="s">
        <v>34587</v>
      </c>
      <c r="F12222" t="s">
        <v>34588</v>
      </c>
      <c r="J12222" t="s">
        <v>34587</v>
      </c>
      <c r="K12222" t="s">
        <v>21600</v>
      </c>
      <c r="L12222" t="s">
        <v>3616</v>
      </c>
    </row>
    <row r="12223" spans="1:12">
      <c r="A12223" t="s">
        <v>30729</v>
      </c>
      <c r="B12223" t="s">
        <v>30730</v>
      </c>
      <c r="C12223" t="s">
        <v>34589</v>
      </c>
      <c r="D12223" t="s">
        <v>30732</v>
      </c>
      <c r="E12223" t="s">
        <v>34590</v>
      </c>
      <c r="F12223" t="s">
        <v>34591</v>
      </c>
      <c r="J12223" t="s">
        <v>34590</v>
      </c>
      <c r="K12223" t="s">
        <v>21600</v>
      </c>
      <c r="L12223" t="s">
        <v>3616</v>
      </c>
    </row>
    <row r="12224" spans="1:12">
      <c r="A12224" t="s">
        <v>30729</v>
      </c>
      <c r="B12224" t="s">
        <v>30730</v>
      </c>
      <c r="C12224" t="s">
        <v>34592</v>
      </c>
      <c r="D12224" t="s">
        <v>30732</v>
      </c>
      <c r="E12224" t="s">
        <v>4716</v>
      </c>
      <c r="F12224" t="s">
        <v>34593</v>
      </c>
    </row>
    <row r="12225" spans="1:12">
      <c r="A12225" t="s">
        <v>30729</v>
      </c>
      <c r="B12225" t="s">
        <v>30730</v>
      </c>
      <c r="C12225" t="s">
        <v>34594</v>
      </c>
      <c r="D12225" t="s">
        <v>30732</v>
      </c>
      <c r="E12225" t="s">
        <v>19222</v>
      </c>
      <c r="F12225" t="s">
        <v>34595</v>
      </c>
      <c r="J12225" t="s">
        <v>19222</v>
      </c>
      <c r="K12225" t="s">
        <v>21600</v>
      </c>
      <c r="L12225" t="s">
        <v>3616</v>
      </c>
    </row>
    <row r="12226" spans="1:12">
      <c r="A12226" t="s">
        <v>30729</v>
      </c>
      <c r="B12226" t="s">
        <v>30730</v>
      </c>
      <c r="C12226" t="s">
        <v>34596</v>
      </c>
      <c r="D12226" t="s">
        <v>30732</v>
      </c>
      <c r="E12226" t="s">
        <v>34597</v>
      </c>
      <c r="F12226" t="s">
        <v>34598</v>
      </c>
      <c r="J12226" t="s">
        <v>34597</v>
      </c>
      <c r="K12226" t="s">
        <v>21600</v>
      </c>
      <c r="L12226" t="s">
        <v>3616</v>
      </c>
    </row>
    <row r="12227" spans="1:12">
      <c r="A12227" t="s">
        <v>30729</v>
      </c>
      <c r="B12227" t="s">
        <v>30730</v>
      </c>
      <c r="C12227" t="s">
        <v>34599</v>
      </c>
      <c r="D12227" t="s">
        <v>30732</v>
      </c>
      <c r="E12227" t="s">
        <v>34600</v>
      </c>
      <c r="F12227" t="s">
        <v>34601</v>
      </c>
      <c r="J12227" t="s">
        <v>34600</v>
      </c>
      <c r="K12227" t="s">
        <v>21600</v>
      </c>
      <c r="L12227" t="s">
        <v>3616</v>
      </c>
    </row>
    <row r="12228" spans="1:12">
      <c r="A12228" t="s">
        <v>30729</v>
      </c>
      <c r="B12228" t="s">
        <v>30730</v>
      </c>
      <c r="C12228" t="s">
        <v>34602</v>
      </c>
      <c r="D12228" t="s">
        <v>30732</v>
      </c>
      <c r="E12228" t="s">
        <v>19230</v>
      </c>
      <c r="F12228" t="s">
        <v>34603</v>
      </c>
      <c r="J12228" t="s">
        <v>19230</v>
      </c>
      <c r="K12228" t="s">
        <v>21600</v>
      </c>
      <c r="L12228" t="s">
        <v>3616</v>
      </c>
    </row>
    <row r="12229" spans="1:12">
      <c r="A12229" t="s">
        <v>30729</v>
      </c>
      <c r="B12229" t="s">
        <v>30730</v>
      </c>
      <c r="C12229" t="s">
        <v>34604</v>
      </c>
      <c r="D12229" t="s">
        <v>30732</v>
      </c>
      <c r="E12229" t="s">
        <v>34605</v>
      </c>
      <c r="F12229" t="s">
        <v>34606</v>
      </c>
      <c r="J12229" t="s">
        <v>34605</v>
      </c>
      <c r="K12229" t="s">
        <v>21600</v>
      </c>
      <c r="L12229" t="s">
        <v>3616</v>
      </c>
    </row>
    <row r="12230" spans="1:12">
      <c r="A12230" t="s">
        <v>30729</v>
      </c>
      <c r="B12230" t="s">
        <v>30730</v>
      </c>
      <c r="C12230" t="s">
        <v>34607</v>
      </c>
      <c r="D12230" t="s">
        <v>30732</v>
      </c>
      <c r="E12230" t="s">
        <v>34608</v>
      </c>
      <c r="F12230" t="s">
        <v>34609</v>
      </c>
      <c r="J12230" t="s">
        <v>34608</v>
      </c>
      <c r="K12230" t="s">
        <v>21600</v>
      </c>
      <c r="L12230" t="s">
        <v>3616</v>
      </c>
    </row>
    <row r="12231" spans="1:12">
      <c r="A12231" t="s">
        <v>30729</v>
      </c>
      <c r="B12231" t="s">
        <v>30730</v>
      </c>
      <c r="C12231" t="s">
        <v>34610</v>
      </c>
      <c r="D12231" t="s">
        <v>30732</v>
      </c>
      <c r="E12231" t="s">
        <v>34611</v>
      </c>
      <c r="F12231" t="s">
        <v>34612</v>
      </c>
      <c r="J12231" t="s">
        <v>34611</v>
      </c>
      <c r="K12231" t="s">
        <v>21600</v>
      </c>
      <c r="L12231" t="s">
        <v>3616</v>
      </c>
    </row>
    <row r="12232" spans="1:12">
      <c r="A12232" t="s">
        <v>30729</v>
      </c>
      <c r="B12232" t="s">
        <v>30730</v>
      </c>
      <c r="C12232" t="s">
        <v>34613</v>
      </c>
      <c r="D12232" t="s">
        <v>30732</v>
      </c>
      <c r="E12232" t="s">
        <v>2595</v>
      </c>
      <c r="F12232" t="s">
        <v>34614</v>
      </c>
    </row>
    <row r="12233" spans="1:12">
      <c r="A12233" t="s">
        <v>30729</v>
      </c>
      <c r="B12233" t="s">
        <v>30730</v>
      </c>
      <c r="C12233" t="s">
        <v>34615</v>
      </c>
      <c r="D12233" t="s">
        <v>30732</v>
      </c>
      <c r="E12233" t="s">
        <v>11598</v>
      </c>
      <c r="F12233" t="s">
        <v>34616</v>
      </c>
    </row>
    <row r="12234" spans="1:12">
      <c r="A12234" t="s">
        <v>30729</v>
      </c>
      <c r="B12234" t="s">
        <v>30730</v>
      </c>
      <c r="C12234" t="s">
        <v>34617</v>
      </c>
      <c r="D12234" t="s">
        <v>30732</v>
      </c>
      <c r="E12234" t="s">
        <v>34618</v>
      </c>
      <c r="F12234" t="s">
        <v>34619</v>
      </c>
      <c r="J12234" t="s">
        <v>34618</v>
      </c>
      <c r="K12234" t="s">
        <v>21600</v>
      </c>
      <c r="L12234" t="s">
        <v>3616</v>
      </c>
    </row>
    <row r="12235" spans="1:12">
      <c r="A12235" t="s">
        <v>30729</v>
      </c>
      <c r="B12235" t="s">
        <v>30730</v>
      </c>
      <c r="C12235" t="s">
        <v>34620</v>
      </c>
      <c r="D12235" t="s">
        <v>30732</v>
      </c>
      <c r="E12235" t="s">
        <v>26729</v>
      </c>
      <c r="F12235" t="s">
        <v>34621</v>
      </c>
    </row>
    <row r="12236" spans="1:12">
      <c r="A12236" t="s">
        <v>30729</v>
      </c>
      <c r="B12236" t="s">
        <v>30730</v>
      </c>
      <c r="C12236" t="s">
        <v>34622</v>
      </c>
      <c r="D12236" t="s">
        <v>30732</v>
      </c>
      <c r="E12236" t="s">
        <v>10404</v>
      </c>
      <c r="F12236" t="s">
        <v>34623</v>
      </c>
      <c r="J12236" t="s">
        <v>10404</v>
      </c>
      <c r="K12236" t="s">
        <v>21600</v>
      </c>
      <c r="L12236" t="s">
        <v>3616</v>
      </c>
    </row>
    <row r="12237" spans="1:12">
      <c r="A12237" t="s">
        <v>30729</v>
      </c>
      <c r="B12237" t="s">
        <v>30730</v>
      </c>
      <c r="C12237" t="s">
        <v>34624</v>
      </c>
      <c r="D12237" t="s">
        <v>30732</v>
      </c>
      <c r="E12237" t="s">
        <v>34625</v>
      </c>
      <c r="F12237" t="s">
        <v>34626</v>
      </c>
    </row>
    <row r="12238" spans="1:12">
      <c r="A12238" t="s">
        <v>30729</v>
      </c>
      <c r="B12238" t="s">
        <v>30730</v>
      </c>
      <c r="C12238" t="s">
        <v>34627</v>
      </c>
      <c r="D12238" t="s">
        <v>30732</v>
      </c>
      <c r="E12238" t="s">
        <v>19304</v>
      </c>
      <c r="F12238" t="s">
        <v>34628</v>
      </c>
      <c r="J12238" t="s">
        <v>19304</v>
      </c>
      <c r="K12238" t="s">
        <v>21600</v>
      </c>
      <c r="L12238" t="s">
        <v>3616</v>
      </c>
    </row>
    <row r="12239" spans="1:12">
      <c r="A12239" t="s">
        <v>30729</v>
      </c>
      <c r="B12239" t="s">
        <v>30730</v>
      </c>
      <c r="C12239" t="s">
        <v>34629</v>
      </c>
      <c r="D12239" t="s">
        <v>30732</v>
      </c>
      <c r="E12239" t="s">
        <v>34630</v>
      </c>
      <c r="F12239" t="s">
        <v>34223</v>
      </c>
      <c r="J12239" t="s">
        <v>34630</v>
      </c>
      <c r="K12239" t="s">
        <v>21600</v>
      </c>
      <c r="L12239" t="s">
        <v>3616</v>
      </c>
    </row>
    <row r="12240" spans="1:12">
      <c r="A12240" t="s">
        <v>30729</v>
      </c>
      <c r="B12240" t="s">
        <v>30730</v>
      </c>
      <c r="C12240" t="s">
        <v>34631</v>
      </c>
      <c r="D12240" t="s">
        <v>30732</v>
      </c>
      <c r="E12240" t="s">
        <v>34632</v>
      </c>
      <c r="F12240" t="s">
        <v>34633</v>
      </c>
      <c r="J12240" t="s">
        <v>34632</v>
      </c>
      <c r="K12240" t="s">
        <v>21600</v>
      </c>
      <c r="L12240" t="s">
        <v>3616</v>
      </c>
    </row>
    <row r="12241" spans="1:12">
      <c r="A12241" t="s">
        <v>30729</v>
      </c>
      <c r="B12241" t="s">
        <v>30730</v>
      </c>
      <c r="C12241" t="s">
        <v>34634</v>
      </c>
      <c r="D12241" t="s">
        <v>30732</v>
      </c>
      <c r="E12241" t="s">
        <v>12817</v>
      </c>
      <c r="F12241" t="s">
        <v>34635</v>
      </c>
      <c r="J12241" t="s">
        <v>12817</v>
      </c>
      <c r="K12241" t="s">
        <v>21600</v>
      </c>
      <c r="L12241" t="s">
        <v>3616</v>
      </c>
    </row>
    <row r="12242" spans="1:12">
      <c r="A12242" t="s">
        <v>30729</v>
      </c>
      <c r="B12242" t="s">
        <v>30730</v>
      </c>
      <c r="C12242" t="s">
        <v>34636</v>
      </c>
      <c r="D12242" t="s">
        <v>30732</v>
      </c>
      <c r="E12242" t="s">
        <v>34637</v>
      </c>
      <c r="F12242" t="s">
        <v>34638</v>
      </c>
    </row>
    <row r="12243" spans="1:12">
      <c r="A12243" t="s">
        <v>30729</v>
      </c>
      <c r="B12243" t="s">
        <v>30730</v>
      </c>
      <c r="C12243" t="s">
        <v>34639</v>
      </c>
      <c r="D12243" t="s">
        <v>30732</v>
      </c>
      <c r="E12243" t="s">
        <v>1225</v>
      </c>
      <c r="F12243" t="s">
        <v>34640</v>
      </c>
    </row>
    <row r="12244" spans="1:12">
      <c r="A12244" t="s">
        <v>30729</v>
      </c>
      <c r="B12244" t="s">
        <v>30730</v>
      </c>
      <c r="C12244" t="s">
        <v>34641</v>
      </c>
      <c r="D12244" t="s">
        <v>30732</v>
      </c>
      <c r="E12244" t="s">
        <v>15237</v>
      </c>
      <c r="F12244" t="s">
        <v>34642</v>
      </c>
    </row>
    <row r="12245" spans="1:12">
      <c r="A12245" t="s">
        <v>30729</v>
      </c>
      <c r="B12245" t="s">
        <v>30730</v>
      </c>
      <c r="C12245" t="s">
        <v>34643</v>
      </c>
      <c r="D12245" t="s">
        <v>30732</v>
      </c>
      <c r="E12245" t="s">
        <v>9580</v>
      </c>
      <c r="F12245" t="s">
        <v>34644</v>
      </c>
      <c r="J12245" t="s">
        <v>9580</v>
      </c>
      <c r="K12245" t="s">
        <v>21600</v>
      </c>
      <c r="L12245" t="s">
        <v>3616</v>
      </c>
    </row>
    <row r="12246" spans="1:12">
      <c r="A12246" t="s">
        <v>30729</v>
      </c>
      <c r="B12246" t="s">
        <v>30730</v>
      </c>
      <c r="C12246" t="s">
        <v>34645</v>
      </c>
      <c r="D12246" t="s">
        <v>30732</v>
      </c>
      <c r="E12246" t="s">
        <v>34646</v>
      </c>
      <c r="F12246" t="s">
        <v>34647</v>
      </c>
      <c r="J12246" t="s">
        <v>34646</v>
      </c>
      <c r="K12246" t="s">
        <v>21600</v>
      </c>
      <c r="L12246" t="s">
        <v>3616</v>
      </c>
    </row>
    <row r="12247" spans="1:12">
      <c r="A12247" t="s">
        <v>30729</v>
      </c>
      <c r="B12247" t="s">
        <v>30730</v>
      </c>
      <c r="C12247" t="s">
        <v>34648</v>
      </c>
      <c r="D12247" t="s">
        <v>30732</v>
      </c>
      <c r="E12247" t="s">
        <v>34649</v>
      </c>
      <c r="F12247" t="s">
        <v>34650</v>
      </c>
    </row>
    <row r="12248" spans="1:12">
      <c r="A12248" t="s">
        <v>30729</v>
      </c>
      <c r="B12248" t="s">
        <v>30730</v>
      </c>
      <c r="C12248" t="s">
        <v>34651</v>
      </c>
      <c r="D12248" t="s">
        <v>30732</v>
      </c>
      <c r="E12248" t="s">
        <v>34652</v>
      </c>
      <c r="F12248" t="s">
        <v>34653</v>
      </c>
      <c r="J12248" t="s">
        <v>34652</v>
      </c>
      <c r="K12248" t="s">
        <v>21600</v>
      </c>
      <c r="L12248" t="s">
        <v>3616</v>
      </c>
    </row>
    <row r="12249" spans="1:12">
      <c r="A12249" t="s">
        <v>30729</v>
      </c>
      <c r="B12249" t="s">
        <v>30730</v>
      </c>
      <c r="C12249" t="s">
        <v>34654</v>
      </c>
      <c r="D12249" t="s">
        <v>30732</v>
      </c>
      <c r="E12249" t="s">
        <v>34655</v>
      </c>
      <c r="F12249" t="s">
        <v>34656</v>
      </c>
    </row>
    <row r="12250" spans="1:12">
      <c r="A12250" t="s">
        <v>30729</v>
      </c>
      <c r="B12250" t="s">
        <v>30730</v>
      </c>
      <c r="C12250" t="s">
        <v>34657</v>
      </c>
      <c r="D12250" t="s">
        <v>30732</v>
      </c>
      <c r="E12250" t="s">
        <v>34658</v>
      </c>
      <c r="F12250" t="s">
        <v>34659</v>
      </c>
      <c r="J12250" t="s">
        <v>34658</v>
      </c>
      <c r="K12250" t="s">
        <v>21600</v>
      </c>
      <c r="L12250" t="s">
        <v>3616</v>
      </c>
    </row>
    <row r="12251" spans="1:12">
      <c r="A12251" t="s">
        <v>30729</v>
      </c>
      <c r="B12251" t="s">
        <v>30730</v>
      </c>
      <c r="C12251" t="s">
        <v>34660</v>
      </c>
      <c r="D12251" t="s">
        <v>30732</v>
      </c>
      <c r="E12251" t="s">
        <v>34661</v>
      </c>
      <c r="F12251" t="s">
        <v>34662</v>
      </c>
      <c r="J12251" t="s">
        <v>34661</v>
      </c>
      <c r="K12251" t="s">
        <v>21600</v>
      </c>
      <c r="L12251" t="s">
        <v>3616</v>
      </c>
    </row>
    <row r="12252" spans="1:12">
      <c r="A12252" t="s">
        <v>30729</v>
      </c>
      <c r="B12252" t="s">
        <v>30730</v>
      </c>
      <c r="C12252" t="s">
        <v>34663</v>
      </c>
      <c r="D12252" t="s">
        <v>30732</v>
      </c>
      <c r="E12252" t="s">
        <v>34664</v>
      </c>
      <c r="F12252" t="s">
        <v>34665</v>
      </c>
      <c r="J12252" t="s">
        <v>34664</v>
      </c>
      <c r="K12252" t="s">
        <v>21600</v>
      </c>
      <c r="L12252" t="s">
        <v>3616</v>
      </c>
    </row>
    <row r="12253" spans="1:12">
      <c r="A12253" t="s">
        <v>30729</v>
      </c>
      <c r="B12253" t="s">
        <v>30730</v>
      </c>
      <c r="C12253" t="s">
        <v>34666</v>
      </c>
      <c r="D12253" t="s">
        <v>30732</v>
      </c>
      <c r="E12253" t="s">
        <v>34667</v>
      </c>
      <c r="F12253" t="s">
        <v>34668</v>
      </c>
      <c r="J12253" t="s">
        <v>34667</v>
      </c>
      <c r="K12253" t="s">
        <v>21600</v>
      </c>
      <c r="L12253" t="s">
        <v>3616</v>
      </c>
    </row>
    <row r="12254" spans="1:12">
      <c r="A12254" t="s">
        <v>30729</v>
      </c>
      <c r="B12254" t="s">
        <v>30730</v>
      </c>
      <c r="C12254" t="s">
        <v>34669</v>
      </c>
      <c r="D12254" t="s">
        <v>30732</v>
      </c>
      <c r="E12254" t="s">
        <v>19424</v>
      </c>
      <c r="F12254" t="s">
        <v>34670</v>
      </c>
    </row>
    <row r="12255" spans="1:12">
      <c r="A12255" t="s">
        <v>30729</v>
      </c>
      <c r="B12255" t="s">
        <v>30730</v>
      </c>
      <c r="C12255" t="s">
        <v>34671</v>
      </c>
      <c r="D12255" t="s">
        <v>30732</v>
      </c>
      <c r="E12255" t="s">
        <v>19431</v>
      </c>
      <c r="F12255" t="s">
        <v>34672</v>
      </c>
    </row>
    <row r="12256" spans="1:12">
      <c r="A12256" t="s">
        <v>30729</v>
      </c>
      <c r="B12256" t="s">
        <v>30730</v>
      </c>
      <c r="C12256" t="s">
        <v>34673</v>
      </c>
      <c r="D12256" t="s">
        <v>30732</v>
      </c>
      <c r="E12256" t="s">
        <v>19438</v>
      </c>
      <c r="F12256" t="s">
        <v>34674</v>
      </c>
      <c r="J12256" t="s">
        <v>19438</v>
      </c>
      <c r="K12256" t="s">
        <v>21600</v>
      </c>
      <c r="L12256" t="s">
        <v>3616</v>
      </c>
    </row>
    <row r="12257" spans="1:12">
      <c r="A12257" t="s">
        <v>30729</v>
      </c>
      <c r="B12257" t="s">
        <v>30730</v>
      </c>
      <c r="C12257" t="s">
        <v>34675</v>
      </c>
      <c r="D12257" t="s">
        <v>30732</v>
      </c>
      <c r="E12257" t="s">
        <v>34676</v>
      </c>
      <c r="F12257" t="s">
        <v>34677</v>
      </c>
      <c r="J12257" t="s">
        <v>34676</v>
      </c>
      <c r="K12257" t="s">
        <v>21600</v>
      </c>
      <c r="L12257" t="s">
        <v>3616</v>
      </c>
    </row>
    <row r="12258" spans="1:12">
      <c r="A12258" t="s">
        <v>30729</v>
      </c>
      <c r="B12258" t="s">
        <v>30730</v>
      </c>
      <c r="C12258" t="s">
        <v>34678</v>
      </c>
      <c r="D12258" t="s">
        <v>30732</v>
      </c>
      <c r="E12258" t="s">
        <v>34679</v>
      </c>
      <c r="F12258" t="s">
        <v>34680</v>
      </c>
      <c r="J12258" t="s">
        <v>34679</v>
      </c>
      <c r="K12258" t="s">
        <v>21600</v>
      </c>
      <c r="L12258" t="s">
        <v>3616</v>
      </c>
    </row>
    <row r="12259" spans="1:12">
      <c r="A12259" t="s">
        <v>30729</v>
      </c>
      <c r="B12259" t="s">
        <v>30730</v>
      </c>
      <c r="C12259" t="s">
        <v>34681</v>
      </c>
      <c r="D12259" t="s">
        <v>30732</v>
      </c>
      <c r="E12259" t="s">
        <v>34682</v>
      </c>
      <c r="F12259" t="s">
        <v>34683</v>
      </c>
    </row>
    <row r="12260" spans="1:12">
      <c r="A12260" t="s">
        <v>30729</v>
      </c>
      <c r="B12260" t="s">
        <v>30730</v>
      </c>
      <c r="C12260" t="s">
        <v>34684</v>
      </c>
      <c r="D12260" t="s">
        <v>30732</v>
      </c>
      <c r="E12260" t="s">
        <v>34685</v>
      </c>
      <c r="F12260" t="s">
        <v>34686</v>
      </c>
      <c r="J12260" t="s">
        <v>34685</v>
      </c>
      <c r="K12260" t="s">
        <v>21600</v>
      </c>
      <c r="L12260" t="s">
        <v>3616</v>
      </c>
    </row>
    <row r="12261" spans="1:12">
      <c r="A12261" t="s">
        <v>30729</v>
      </c>
      <c r="B12261" t="s">
        <v>30730</v>
      </c>
      <c r="C12261" t="s">
        <v>34687</v>
      </c>
      <c r="D12261" t="s">
        <v>30732</v>
      </c>
      <c r="E12261" t="s">
        <v>34688</v>
      </c>
      <c r="F12261" t="s">
        <v>34689</v>
      </c>
    </row>
    <row r="12262" spans="1:12">
      <c r="A12262" t="s">
        <v>30729</v>
      </c>
      <c r="B12262" t="s">
        <v>30730</v>
      </c>
      <c r="C12262" t="s">
        <v>34690</v>
      </c>
      <c r="D12262" t="s">
        <v>30732</v>
      </c>
      <c r="E12262" t="s">
        <v>34691</v>
      </c>
      <c r="F12262" t="s">
        <v>34692</v>
      </c>
      <c r="J12262" t="s">
        <v>34691</v>
      </c>
      <c r="K12262" t="s">
        <v>21600</v>
      </c>
      <c r="L12262" t="s">
        <v>3616</v>
      </c>
    </row>
    <row r="12263" spans="1:12">
      <c r="A12263" t="s">
        <v>30729</v>
      </c>
      <c r="B12263" t="s">
        <v>30730</v>
      </c>
      <c r="C12263" t="s">
        <v>34693</v>
      </c>
      <c r="D12263" t="s">
        <v>30732</v>
      </c>
      <c r="E12263" t="s">
        <v>34694</v>
      </c>
      <c r="F12263" t="s">
        <v>34695</v>
      </c>
      <c r="J12263" t="s">
        <v>34694</v>
      </c>
      <c r="K12263" t="s">
        <v>21600</v>
      </c>
      <c r="L12263" t="s">
        <v>3616</v>
      </c>
    </row>
    <row r="12264" spans="1:12">
      <c r="A12264" t="s">
        <v>30729</v>
      </c>
      <c r="B12264" t="s">
        <v>30730</v>
      </c>
      <c r="C12264" t="s">
        <v>34696</v>
      </c>
      <c r="D12264" t="s">
        <v>30732</v>
      </c>
      <c r="E12264" t="s">
        <v>7363</v>
      </c>
      <c r="F12264" t="s">
        <v>34697</v>
      </c>
    </row>
    <row r="12265" spans="1:12">
      <c r="A12265" t="s">
        <v>30729</v>
      </c>
      <c r="B12265" t="s">
        <v>30730</v>
      </c>
      <c r="C12265" t="s">
        <v>34698</v>
      </c>
      <c r="D12265" t="s">
        <v>30732</v>
      </c>
      <c r="E12265" t="s">
        <v>19542</v>
      </c>
      <c r="F12265" t="s">
        <v>34699</v>
      </c>
      <c r="J12265" t="s">
        <v>19542</v>
      </c>
      <c r="K12265" t="s">
        <v>21600</v>
      </c>
      <c r="L12265" t="s">
        <v>3616</v>
      </c>
    </row>
    <row r="12266" spans="1:12">
      <c r="A12266" t="s">
        <v>30729</v>
      </c>
      <c r="B12266" t="s">
        <v>30730</v>
      </c>
      <c r="C12266" t="s">
        <v>34700</v>
      </c>
      <c r="D12266" t="s">
        <v>30732</v>
      </c>
      <c r="E12266" t="s">
        <v>9620</v>
      </c>
      <c r="F12266" t="s">
        <v>34701</v>
      </c>
    </row>
    <row r="12267" spans="1:12">
      <c r="A12267" t="s">
        <v>30729</v>
      </c>
      <c r="B12267" t="s">
        <v>30730</v>
      </c>
      <c r="C12267" t="s">
        <v>34702</v>
      </c>
      <c r="D12267" t="s">
        <v>30732</v>
      </c>
      <c r="E12267" t="s">
        <v>26741</v>
      </c>
      <c r="F12267" t="s">
        <v>34703</v>
      </c>
    </row>
    <row r="12268" spans="1:12">
      <c r="A12268" t="s">
        <v>30729</v>
      </c>
      <c r="B12268" t="s">
        <v>30730</v>
      </c>
      <c r="C12268" t="s">
        <v>34704</v>
      </c>
      <c r="D12268" t="s">
        <v>30732</v>
      </c>
      <c r="E12268" t="s">
        <v>29244</v>
      </c>
      <c r="F12268" t="s">
        <v>34705</v>
      </c>
      <c r="J12268" t="s">
        <v>29244</v>
      </c>
      <c r="K12268" t="s">
        <v>21600</v>
      </c>
      <c r="L12268" t="s">
        <v>3616</v>
      </c>
    </row>
    <row r="12269" spans="1:12">
      <c r="A12269" t="s">
        <v>30729</v>
      </c>
      <c r="B12269" t="s">
        <v>30730</v>
      </c>
      <c r="C12269" t="s">
        <v>34706</v>
      </c>
      <c r="D12269" t="s">
        <v>30732</v>
      </c>
      <c r="E12269" t="s">
        <v>34707</v>
      </c>
      <c r="F12269" t="s">
        <v>34708</v>
      </c>
    </row>
    <row r="12270" spans="1:12">
      <c r="A12270" t="s">
        <v>30729</v>
      </c>
      <c r="B12270" t="s">
        <v>30730</v>
      </c>
      <c r="C12270" t="s">
        <v>34709</v>
      </c>
      <c r="D12270" t="s">
        <v>30732</v>
      </c>
      <c r="E12270" t="s">
        <v>34710</v>
      </c>
      <c r="F12270" t="s">
        <v>34711</v>
      </c>
      <c r="J12270" t="s">
        <v>34710</v>
      </c>
      <c r="K12270" t="s">
        <v>21600</v>
      </c>
      <c r="L12270" t="s">
        <v>3616</v>
      </c>
    </row>
    <row r="12271" spans="1:12">
      <c r="A12271" t="s">
        <v>30729</v>
      </c>
      <c r="B12271" t="s">
        <v>30730</v>
      </c>
      <c r="C12271" t="s">
        <v>34712</v>
      </c>
      <c r="D12271" t="s">
        <v>30732</v>
      </c>
      <c r="E12271" t="s">
        <v>34713</v>
      </c>
      <c r="F12271" t="s">
        <v>34714</v>
      </c>
    </row>
    <row r="12272" spans="1:12">
      <c r="A12272" t="s">
        <v>30729</v>
      </c>
      <c r="B12272" t="s">
        <v>30730</v>
      </c>
      <c r="C12272" t="s">
        <v>34715</v>
      </c>
      <c r="D12272" t="s">
        <v>30732</v>
      </c>
      <c r="E12272" t="s">
        <v>12830</v>
      </c>
      <c r="F12272" t="s">
        <v>34716</v>
      </c>
      <c r="J12272" t="s">
        <v>12830</v>
      </c>
      <c r="K12272" t="s">
        <v>21600</v>
      </c>
      <c r="L12272" t="s">
        <v>3616</v>
      </c>
    </row>
    <row r="12273" spans="1:12">
      <c r="A12273" t="s">
        <v>30729</v>
      </c>
      <c r="B12273" t="s">
        <v>30730</v>
      </c>
      <c r="C12273" t="s">
        <v>34717</v>
      </c>
      <c r="D12273" t="s">
        <v>30732</v>
      </c>
      <c r="E12273" t="s">
        <v>34718</v>
      </c>
      <c r="F12273" t="s">
        <v>34719</v>
      </c>
      <c r="J12273" t="s">
        <v>34718</v>
      </c>
      <c r="K12273" t="s">
        <v>21600</v>
      </c>
      <c r="L12273" t="s">
        <v>3616</v>
      </c>
    </row>
    <row r="12274" spans="1:12">
      <c r="A12274" t="s">
        <v>30729</v>
      </c>
      <c r="B12274" t="s">
        <v>30730</v>
      </c>
      <c r="C12274" t="s">
        <v>34720</v>
      </c>
      <c r="D12274" t="s">
        <v>30732</v>
      </c>
      <c r="E12274" t="s">
        <v>34721</v>
      </c>
      <c r="F12274" t="s">
        <v>34722</v>
      </c>
      <c r="J12274" t="s">
        <v>34721</v>
      </c>
      <c r="K12274" t="s">
        <v>21600</v>
      </c>
      <c r="L12274" t="s">
        <v>3616</v>
      </c>
    </row>
    <row r="12275" spans="1:12">
      <c r="A12275" t="s">
        <v>30729</v>
      </c>
      <c r="B12275" t="s">
        <v>30730</v>
      </c>
      <c r="C12275" t="s">
        <v>34723</v>
      </c>
      <c r="D12275" t="s">
        <v>30732</v>
      </c>
      <c r="E12275" t="s">
        <v>34724</v>
      </c>
      <c r="F12275" t="s">
        <v>34725</v>
      </c>
      <c r="J12275" t="s">
        <v>34724</v>
      </c>
      <c r="K12275" t="s">
        <v>21600</v>
      </c>
      <c r="L12275" t="s">
        <v>3616</v>
      </c>
    </row>
    <row r="12276" spans="1:12">
      <c r="A12276" t="s">
        <v>30729</v>
      </c>
      <c r="B12276" t="s">
        <v>30730</v>
      </c>
      <c r="C12276" t="s">
        <v>34726</v>
      </c>
      <c r="D12276" t="s">
        <v>30732</v>
      </c>
      <c r="E12276" t="s">
        <v>19576</v>
      </c>
      <c r="F12276" t="s">
        <v>34727</v>
      </c>
      <c r="J12276" t="s">
        <v>19576</v>
      </c>
      <c r="K12276" t="s">
        <v>21600</v>
      </c>
      <c r="L12276" t="s">
        <v>3616</v>
      </c>
    </row>
    <row r="12277" spans="1:12">
      <c r="A12277" t="s">
        <v>30729</v>
      </c>
      <c r="B12277" t="s">
        <v>30730</v>
      </c>
      <c r="C12277" t="s">
        <v>34728</v>
      </c>
      <c r="D12277" t="s">
        <v>30732</v>
      </c>
      <c r="E12277" t="s">
        <v>10416</v>
      </c>
      <c r="F12277" t="s">
        <v>34729</v>
      </c>
      <c r="J12277" t="s">
        <v>10416</v>
      </c>
      <c r="K12277" t="s">
        <v>21600</v>
      </c>
      <c r="L12277" t="s">
        <v>3616</v>
      </c>
    </row>
    <row r="12278" spans="1:12">
      <c r="A12278" t="s">
        <v>30729</v>
      </c>
      <c r="B12278" t="s">
        <v>30730</v>
      </c>
      <c r="C12278" t="s">
        <v>34730</v>
      </c>
      <c r="D12278" t="s">
        <v>30732</v>
      </c>
      <c r="E12278" t="s">
        <v>19587</v>
      </c>
      <c r="F12278" t="s">
        <v>34731</v>
      </c>
    </row>
    <row r="12279" spans="1:12">
      <c r="A12279" t="s">
        <v>30729</v>
      </c>
      <c r="B12279" t="s">
        <v>30730</v>
      </c>
      <c r="C12279" t="s">
        <v>34732</v>
      </c>
      <c r="D12279" t="s">
        <v>30732</v>
      </c>
      <c r="E12279" t="s">
        <v>34733</v>
      </c>
      <c r="F12279" t="s">
        <v>34734</v>
      </c>
      <c r="J12279" t="s">
        <v>34733</v>
      </c>
      <c r="K12279" t="s">
        <v>21600</v>
      </c>
      <c r="L12279" t="s">
        <v>3616</v>
      </c>
    </row>
    <row r="12280" spans="1:12">
      <c r="A12280" t="s">
        <v>30729</v>
      </c>
      <c r="B12280" t="s">
        <v>30730</v>
      </c>
      <c r="C12280" t="s">
        <v>34735</v>
      </c>
      <c r="D12280" t="s">
        <v>30732</v>
      </c>
      <c r="E12280" t="s">
        <v>34736</v>
      </c>
      <c r="F12280" t="s">
        <v>34737</v>
      </c>
    </row>
    <row r="12281" spans="1:12">
      <c r="A12281" t="s">
        <v>30729</v>
      </c>
      <c r="B12281" t="s">
        <v>30730</v>
      </c>
      <c r="C12281" t="s">
        <v>34738</v>
      </c>
      <c r="D12281" t="s">
        <v>30732</v>
      </c>
      <c r="E12281" t="s">
        <v>2637</v>
      </c>
      <c r="F12281" t="s">
        <v>34739</v>
      </c>
    </row>
    <row r="12282" spans="1:12">
      <c r="A12282" t="s">
        <v>30729</v>
      </c>
      <c r="B12282" t="s">
        <v>30730</v>
      </c>
      <c r="C12282" t="s">
        <v>34740</v>
      </c>
      <c r="D12282" t="s">
        <v>30732</v>
      </c>
      <c r="E12282" t="s">
        <v>10422</v>
      </c>
      <c r="F12282" t="s">
        <v>34741</v>
      </c>
      <c r="J12282" t="s">
        <v>10422</v>
      </c>
      <c r="K12282" t="s">
        <v>21600</v>
      </c>
      <c r="L12282" t="s">
        <v>3616</v>
      </c>
    </row>
    <row r="12283" spans="1:12">
      <c r="A12283" t="s">
        <v>30729</v>
      </c>
      <c r="B12283" t="s">
        <v>30730</v>
      </c>
      <c r="C12283" t="s">
        <v>34742</v>
      </c>
      <c r="D12283" t="s">
        <v>30732</v>
      </c>
      <c r="E12283" t="s">
        <v>34743</v>
      </c>
      <c r="F12283" t="s">
        <v>34744</v>
      </c>
      <c r="J12283" t="s">
        <v>34743</v>
      </c>
      <c r="K12283" t="s">
        <v>21600</v>
      </c>
      <c r="L12283" t="s">
        <v>3616</v>
      </c>
    </row>
    <row r="12284" spans="1:12">
      <c r="A12284" t="s">
        <v>30729</v>
      </c>
      <c r="B12284" t="s">
        <v>30730</v>
      </c>
      <c r="C12284" t="s">
        <v>34745</v>
      </c>
      <c r="D12284" t="s">
        <v>30732</v>
      </c>
      <c r="E12284" t="s">
        <v>19631</v>
      </c>
      <c r="F12284" t="s">
        <v>34746</v>
      </c>
    </row>
    <row r="12285" spans="1:12">
      <c r="A12285" t="s">
        <v>30729</v>
      </c>
      <c r="B12285" t="s">
        <v>30730</v>
      </c>
      <c r="C12285" t="s">
        <v>34747</v>
      </c>
      <c r="D12285" t="s">
        <v>30732</v>
      </c>
      <c r="E12285" t="s">
        <v>34748</v>
      </c>
      <c r="F12285" t="s">
        <v>34749</v>
      </c>
    </row>
    <row r="12286" spans="1:12">
      <c r="A12286" t="s">
        <v>30729</v>
      </c>
      <c r="B12286" t="s">
        <v>30730</v>
      </c>
      <c r="C12286" t="s">
        <v>34750</v>
      </c>
      <c r="D12286" t="s">
        <v>30732</v>
      </c>
      <c r="E12286" t="s">
        <v>11391</v>
      </c>
      <c r="F12286" t="s">
        <v>34751</v>
      </c>
      <c r="J12286" t="s">
        <v>11391</v>
      </c>
      <c r="K12286" t="s">
        <v>21600</v>
      </c>
      <c r="L12286" t="s">
        <v>3616</v>
      </c>
    </row>
    <row r="12287" spans="1:12">
      <c r="A12287" t="s">
        <v>30729</v>
      </c>
      <c r="B12287" t="s">
        <v>30730</v>
      </c>
      <c r="C12287" t="s">
        <v>34752</v>
      </c>
      <c r="D12287" t="s">
        <v>30732</v>
      </c>
      <c r="E12287" t="s">
        <v>34753</v>
      </c>
      <c r="F12287" t="s">
        <v>34754</v>
      </c>
      <c r="J12287" t="s">
        <v>34753</v>
      </c>
      <c r="K12287" t="s">
        <v>21600</v>
      </c>
      <c r="L12287" t="s">
        <v>3616</v>
      </c>
    </row>
    <row r="12288" spans="1:12">
      <c r="A12288" t="s">
        <v>30729</v>
      </c>
      <c r="B12288" t="s">
        <v>30730</v>
      </c>
      <c r="C12288" t="s">
        <v>34755</v>
      </c>
      <c r="D12288" t="s">
        <v>30732</v>
      </c>
      <c r="E12288" t="s">
        <v>34756</v>
      </c>
      <c r="F12288" t="s">
        <v>34757</v>
      </c>
      <c r="J12288" t="s">
        <v>34756</v>
      </c>
      <c r="K12288" t="s">
        <v>21600</v>
      </c>
      <c r="L12288" t="s">
        <v>3616</v>
      </c>
    </row>
    <row r="12289" spans="1:12">
      <c r="A12289" t="s">
        <v>30729</v>
      </c>
      <c r="B12289" t="s">
        <v>30730</v>
      </c>
      <c r="C12289" t="s">
        <v>34758</v>
      </c>
      <c r="D12289" t="s">
        <v>30732</v>
      </c>
      <c r="E12289" t="s">
        <v>34759</v>
      </c>
      <c r="F12289" t="s">
        <v>34760</v>
      </c>
      <c r="J12289" t="s">
        <v>34759</v>
      </c>
      <c r="K12289" t="s">
        <v>21600</v>
      </c>
      <c r="L12289" t="s">
        <v>3616</v>
      </c>
    </row>
    <row r="12290" spans="1:12">
      <c r="A12290" t="s">
        <v>30729</v>
      </c>
      <c r="B12290" t="s">
        <v>30730</v>
      </c>
      <c r="C12290" t="s">
        <v>34761</v>
      </c>
      <c r="D12290" t="s">
        <v>30732</v>
      </c>
      <c r="E12290" t="s">
        <v>10425</v>
      </c>
      <c r="F12290" t="s">
        <v>34762</v>
      </c>
      <c r="J12290" t="s">
        <v>10425</v>
      </c>
      <c r="K12290" t="s">
        <v>21600</v>
      </c>
      <c r="L12290" t="s">
        <v>3616</v>
      </c>
    </row>
    <row r="12291" spans="1:12">
      <c r="A12291" t="s">
        <v>30729</v>
      </c>
      <c r="B12291" t="s">
        <v>30730</v>
      </c>
      <c r="C12291" t="s">
        <v>34763</v>
      </c>
      <c r="D12291" t="s">
        <v>30732</v>
      </c>
      <c r="E12291" t="s">
        <v>34764</v>
      </c>
      <c r="F12291" t="s">
        <v>34765</v>
      </c>
      <c r="J12291" t="s">
        <v>34764</v>
      </c>
      <c r="K12291" t="s">
        <v>21600</v>
      </c>
      <c r="L12291" t="s">
        <v>3616</v>
      </c>
    </row>
    <row r="12292" spans="1:12">
      <c r="A12292" t="s">
        <v>30729</v>
      </c>
      <c r="B12292" t="s">
        <v>30730</v>
      </c>
      <c r="C12292" t="s">
        <v>34766</v>
      </c>
      <c r="D12292" t="s">
        <v>30732</v>
      </c>
      <c r="E12292" t="s">
        <v>34767</v>
      </c>
      <c r="F12292" t="s">
        <v>34768</v>
      </c>
    </row>
    <row r="12293" spans="1:12">
      <c r="A12293" t="s">
        <v>30729</v>
      </c>
      <c r="B12293" t="s">
        <v>30730</v>
      </c>
      <c r="C12293" t="s">
        <v>34769</v>
      </c>
      <c r="D12293" t="s">
        <v>30732</v>
      </c>
      <c r="E12293" t="s">
        <v>34770</v>
      </c>
      <c r="F12293" t="s">
        <v>34771</v>
      </c>
      <c r="J12293" t="s">
        <v>34770</v>
      </c>
      <c r="K12293" t="s">
        <v>21600</v>
      </c>
      <c r="L12293" t="s">
        <v>3616</v>
      </c>
    </row>
    <row r="12294" spans="1:12">
      <c r="A12294" t="s">
        <v>30729</v>
      </c>
      <c r="B12294" t="s">
        <v>30730</v>
      </c>
      <c r="C12294" t="s">
        <v>34772</v>
      </c>
      <c r="D12294" t="s">
        <v>30732</v>
      </c>
      <c r="E12294" t="s">
        <v>34773</v>
      </c>
      <c r="F12294" t="s">
        <v>34774</v>
      </c>
      <c r="J12294" t="s">
        <v>34773</v>
      </c>
      <c r="K12294" t="s">
        <v>21600</v>
      </c>
      <c r="L12294" t="s">
        <v>3616</v>
      </c>
    </row>
    <row r="12295" spans="1:12">
      <c r="A12295" t="s">
        <v>30729</v>
      </c>
      <c r="B12295" t="s">
        <v>30730</v>
      </c>
      <c r="C12295" t="s">
        <v>34775</v>
      </c>
      <c r="D12295" t="s">
        <v>30732</v>
      </c>
      <c r="E12295" t="s">
        <v>34776</v>
      </c>
      <c r="F12295" t="s">
        <v>34777</v>
      </c>
      <c r="J12295" t="s">
        <v>34776</v>
      </c>
      <c r="K12295" t="s">
        <v>21600</v>
      </c>
      <c r="L12295" t="s">
        <v>3616</v>
      </c>
    </row>
    <row r="12296" spans="1:12">
      <c r="A12296" t="s">
        <v>30729</v>
      </c>
      <c r="B12296" t="s">
        <v>30730</v>
      </c>
      <c r="C12296" t="s">
        <v>34778</v>
      </c>
      <c r="D12296" t="s">
        <v>30732</v>
      </c>
      <c r="E12296" t="s">
        <v>34779</v>
      </c>
      <c r="F12296" t="s">
        <v>34780</v>
      </c>
      <c r="J12296" t="s">
        <v>34779</v>
      </c>
      <c r="K12296" t="s">
        <v>21600</v>
      </c>
      <c r="L12296" t="s">
        <v>3616</v>
      </c>
    </row>
    <row r="12297" spans="1:12">
      <c r="A12297" t="s">
        <v>30729</v>
      </c>
      <c r="B12297" t="s">
        <v>30730</v>
      </c>
      <c r="C12297" t="s">
        <v>34781</v>
      </c>
      <c r="D12297" t="s">
        <v>30732</v>
      </c>
      <c r="E12297" t="s">
        <v>5147</v>
      </c>
      <c r="F12297" t="s">
        <v>34782</v>
      </c>
      <c r="J12297" t="s">
        <v>5147</v>
      </c>
      <c r="K12297" t="s">
        <v>21600</v>
      </c>
      <c r="L12297" t="s">
        <v>3616</v>
      </c>
    </row>
    <row r="12298" spans="1:12">
      <c r="A12298" t="s">
        <v>30729</v>
      </c>
      <c r="B12298" t="s">
        <v>30730</v>
      </c>
      <c r="C12298" t="s">
        <v>34783</v>
      </c>
      <c r="D12298" t="s">
        <v>30732</v>
      </c>
      <c r="E12298" t="s">
        <v>34784</v>
      </c>
      <c r="F12298" t="s">
        <v>34785</v>
      </c>
      <c r="J12298" t="s">
        <v>34784</v>
      </c>
      <c r="K12298" t="s">
        <v>21600</v>
      </c>
      <c r="L12298" t="s">
        <v>3616</v>
      </c>
    </row>
    <row r="12299" spans="1:12">
      <c r="A12299" t="s">
        <v>30729</v>
      </c>
      <c r="B12299" t="s">
        <v>30730</v>
      </c>
      <c r="C12299" t="s">
        <v>34786</v>
      </c>
      <c r="D12299" t="s">
        <v>30732</v>
      </c>
      <c r="E12299" t="s">
        <v>19708</v>
      </c>
      <c r="F12299" t="s">
        <v>34787</v>
      </c>
    </row>
    <row r="12300" spans="1:12">
      <c r="A12300" t="s">
        <v>30729</v>
      </c>
      <c r="B12300" t="s">
        <v>30730</v>
      </c>
      <c r="C12300" t="s">
        <v>34788</v>
      </c>
      <c r="D12300" t="s">
        <v>30732</v>
      </c>
      <c r="E12300" t="s">
        <v>34789</v>
      </c>
      <c r="F12300" t="s">
        <v>34790</v>
      </c>
      <c r="J12300" t="s">
        <v>34789</v>
      </c>
      <c r="K12300" t="s">
        <v>21600</v>
      </c>
      <c r="L12300" t="s">
        <v>3616</v>
      </c>
    </row>
    <row r="12301" spans="1:12">
      <c r="A12301" t="s">
        <v>30729</v>
      </c>
      <c r="B12301" t="s">
        <v>30730</v>
      </c>
      <c r="C12301" t="s">
        <v>34791</v>
      </c>
      <c r="D12301" t="s">
        <v>30732</v>
      </c>
      <c r="E12301" t="s">
        <v>34792</v>
      </c>
      <c r="F12301" t="s">
        <v>34793</v>
      </c>
      <c r="J12301" t="s">
        <v>34792</v>
      </c>
      <c r="K12301" t="s">
        <v>21600</v>
      </c>
      <c r="L12301" t="s">
        <v>3616</v>
      </c>
    </row>
    <row r="12302" spans="1:12">
      <c r="A12302" t="s">
        <v>30729</v>
      </c>
      <c r="B12302" t="s">
        <v>30730</v>
      </c>
      <c r="C12302" t="s">
        <v>34794</v>
      </c>
      <c r="D12302" t="s">
        <v>30732</v>
      </c>
      <c r="E12302" t="s">
        <v>34795</v>
      </c>
      <c r="F12302" t="s">
        <v>34796</v>
      </c>
      <c r="J12302" t="s">
        <v>34795</v>
      </c>
      <c r="K12302" t="s">
        <v>21600</v>
      </c>
      <c r="L12302" t="s">
        <v>3616</v>
      </c>
    </row>
    <row r="12303" spans="1:12">
      <c r="A12303" t="s">
        <v>30729</v>
      </c>
      <c r="B12303" t="s">
        <v>30730</v>
      </c>
      <c r="C12303" t="s">
        <v>34797</v>
      </c>
      <c r="D12303" t="s">
        <v>30732</v>
      </c>
      <c r="E12303" t="s">
        <v>34798</v>
      </c>
      <c r="F12303" t="s">
        <v>34799</v>
      </c>
      <c r="J12303" t="s">
        <v>34798</v>
      </c>
      <c r="K12303" t="s">
        <v>21600</v>
      </c>
      <c r="L12303" t="s">
        <v>3616</v>
      </c>
    </row>
    <row r="12304" spans="1:12">
      <c r="A12304" t="s">
        <v>30729</v>
      </c>
      <c r="B12304" t="s">
        <v>30730</v>
      </c>
      <c r="C12304" t="s">
        <v>34800</v>
      </c>
      <c r="D12304" t="s">
        <v>30732</v>
      </c>
      <c r="E12304" t="s">
        <v>19719</v>
      </c>
      <c r="F12304" t="s">
        <v>34801</v>
      </c>
      <c r="J12304" t="s">
        <v>19719</v>
      </c>
      <c r="K12304" t="s">
        <v>21600</v>
      </c>
      <c r="L12304" t="s">
        <v>3616</v>
      </c>
    </row>
    <row r="12305" spans="1:12">
      <c r="A12305" t="s">
        <v>30729</v>
      </c>
      <c r="B12305" t="s">
        <v>30730</v>
      </c>
      <c r="C12305" t="s">
        <v>34802</v>
      </c>
      <c r="D12305" t="s">
        <v>30732</v>
      </c>
      <c r="E12305" t="s">
        <v>34803</v>
      </c>
      <c r="F12305" t="s">
        <v>34804</v>
      </c>
      <c r="J12305" t="s">
        <v>34803</v>
      </c>
      <c r="K12305" t="s">
        <v>21600</v>
      </c>
      <c r="L12305" t="s">
        <v>3616</v>
      </c>
    </row>
    <row r="12306" spans="1:12">
      <c r="A12306" t="s">
        <v>30729</v>
      </c>
      <c r="B12306" t="s">
        <v>30730</v>
      </c>
      <c r="C12306" t="s">
        <v>34805</v>
      </c>
      <c r="D12306" t="s">
        <v>30732</v>
      </c>
      <c r="E12306" t="s">
        <v>34806</v>
      </c>
      <c r="F12306" t="s">
        <v>34807</v>
      </c>
      <c r="J12306" t="s">
        <v>34806</v>
      </c>
      <c r="K12306" t="s">
        <v>21600</v>
      </c>
      <c r="L12306" t="s">
        <v>3616</v>
      </c>
    </row>
    <row r="12307" spans="1:12">
      <c r="A12307" t="s">
        <v>30729</v>
      </c>
      <c r="B12307" t="s">
        <v>30730</v>
      </c>
      <c r="C12307" t="s">
        <v>34808</v>
      </c>
      <c r="D12307" t="s">
        <v>30732</v>
      </c>
      <c r="E12307" t="s">
        <v>34809</v>
      </c>
      <c r="F12307" t="s">
        <v>34810</v>
      </c>
      <c r="J12307" t="s">
        <v>34809</v>
      </c>
      <c r="K12307" t="s">
        <v>21600</v>
      </c>
      <c r="L12307" t="s">
        <v>3616</v>
      </c>
    </row>
    <row r="12308" spans="1:12">
      <c r="A12308" t="s">
        <v>30729</v>
      </c>
      <c r="B12308" t="s">
        <v>30730</v>
      </c>
      <c r="C12308" t="s">
        <v>34811</v>
      </c>
      <c r="D12308" t="s">
        <v>30732</v>
      </c>
      <c r="E12308" t="s">
        <v>34812</v>
      </c>
      <c r="F12308" t="s">
        <v>34813</v>
      </c>
      <c r="J12308" t="s">
        <v>34812</v>
      </c>
      <c r="K12308" t="s">
        <v>21600</v>
      </c>
      <c r="L12308" t="s">
        <v>3616</v>
      </c>
    </row>
    <row r="12309" spans="1:12">
      <c r="A12309" t="s">
        <v>30729</v>
      </c>
      <c r="B12309" t="s">
        <v>30730</v>
      </c>
      <c r="C12309" t="s">
        <v>34814</v>
      </c>
      <c r="D12309" t="s">
        <v>30732</v>
      </c>
      <c r="E12309" t="s">
        <v>34815</v>
      </c>
      <c r="F12309" t="s">
        <v>34816</v>
      </c>
      <c r="J12309" t="s">
        <v>34815</v>
      </c>
      <c r="K12309" t="s">
        <v>21600</v>
      </c>
      <c r="L12309" t="s">
        <v>3616</v>
      </c>
    </row>
    <row r="12310" spans="1:12">
      <c r="A12310" t="s">
        <v>30729</v>
      </c>
      <c r="B12310" t="s">
        <v>30730</v>
      </c>
      <c r="C12310" t="s">
        <v>34817</v>
      </c>
      <c r="D12310" t="s">
        <v>30732</v>
      </c>
      <c r="E12310" t="s">
        <v>19742</v>
      </c>
      <c r="F12310" t="s">
        <v>34818</v>
      </c>
      <c r="J12310" t="s">
        <v>19742</v>
      </c>
      <c r="K12310" t="s">
        <v>21600</v>
      </c>
      <c r="L12310" t="s">
        <v>3616</v>
      </c>
    </row>
    <row r="12311" spans="1:12">
      <c r="A12311" t="s">
        <v>30729</v>
      </c>
      <c r="B12311" t="s">
        <v>30730</v>
      </c>
      <c r="C12311" t="s">
        <v>34819</v>
      </c>
      <c r="D12311" t="s">
        <v>30732</v>
      </c>
      <c r="E12311" t="s">
        <v>19754</v>
      </c>
      <c r="F12311" t="s">
        <v>34820</v>
      </c>
      <c r="J12311" t="s">
        <v>19754</v>
      </c>
      <c r="K12311" t="s">
        <v>21600</v>
      </c>
      <c r="L12311" t="s">
        <v>3616</v>
      </c>
    </row>
    <row r="12312" spans="1:12">
      <c r="A12312" t="s">
        <v>30729</v>
      </c>
      <c r="B12312" t="s">
        <v>30730</v>
      </c>
      <c r="C12312" t="s">
        <v>34821</v>
      </c>
      <c r="D12312" t="s">
        <v>30732</v>
      </c>
      <c r="E12312" t="s">
        <v>34822</v>
      </c>
      <c r="F12312" t="s">
        <v>34823</v>
      </c>
      <c r="J12312" t="s">
        <v>34822</v>
      </c>
      <c r="K12312" t="s">
        <v>21600</v>
      </c>
      <c r="L12312" t="s">
        <v>3616</v>
      </c>
    </row>
    <row r="12313" spans="1:12">
      <c r="A12313" t="s">
        <v>30729</v>
      </c>
      <c r="B12313" t="s">
        <v>30730</v>
      </c>
      <c r="C12313" t="s">
        <v>34824</v>
      </c>
      <c r="D12313" t="s">
        <v>30732</v>
      </c>
      <c r="E12313" t="s">
        <v>34825</v>
      </c>
      <c r="F12313" t="s">
        <v>34826</v>
      </c>
      <c r="J12313" t="s">
        <v>34825</v>
      </c>
      <c r="K12313" t="s">
        <v>21600</v>
      </c>
      <c r="L12313" t="s">
        <v>3616</v>
      </c>
    </row>
    <row r="12314" spans="1:12">
      <c r="A12314" t="s">
        <v>30729</v>
      </c>
      <c r="B12314" t="s">
        <v>30730</v>
      </c>
      <c r="C12314" t="s">
        <v>34827</v>
      </c>
      <c r="D12314" t="s">
        <v>30732</v>
      </c>
      <c r="E12314" t="s">
        <v>19770</v>
      </c>
      <c r="F12314" t="s">
        <v>34828</v>
      </c>
      <c r="J12314" t="s">
        <v>19770</v>
      </c>
      <c r="K12314" t="s">
        <v>21600</v>
      </c>
      <c r="L12314" t="s">
        <v>3616</v>
      </c>
    </row>
    <row r="12315" spans="1:12">
      <c r="A12315" t="s">
        <v>30729</v>
      </c>
      <c r="B12315" t="s">
        <v>30730</v>
      </c>
      <c r="C12315" t="s">
        <v>34829</v>
      </c>
      <c r="D12315" t="s">
        <v>30732</v>
      </c>
      <c r="E12315" t="s">
        <v>19794</v>
      </c>
      <c r="F12315" t="s">
        <v>34830</v>
      </c>
      <c r="J12315" t="s">
        <v>19794</v>
      </c>
      <c r="K12315" t="s">
        <v>21600</v>
      </c>
      <c r="L12315" t="s">
        <v>3616</v>
      </c>
    </row>
    <row r="12316" spans="1:12">
      <c r="A12316" t="s">
        <v>30729</v>
      </c>
      <c r="B12316" t="s">
        <v>30730</v>
      </c>
      <c r="C12316" t="s">
        <v>34831</v>
      </c>
      <c r="D12316" t="s">
        <v>30732</v>
      </c>
      <c r="E12316" t="s">
        <v>34832</v>
      </c>
      <c r="F12316" t="s">
        <v>34833</v>
      </c>
      <c r="J12316" t="s">
        <v>34832</v>
      </c>
      <c r="K12316" t="s">
        <v>21600</v>
      </c>
      <c r="L12316" t="s">
        <v>3616</v>
      </c>
    </row>
    <row r="12317" spans="1:12">
      <c r="A12317" t="s">
        <v>30729</v>
      </c>
      <c r="B12317" t="s">
        <v>30730</v>
      </c>
      <c r="C12317" t="s">
        <v>34834</v>
      </c>
      <c r="D12317" t="s">
        <v>30732</v>
      </c>
      <c r="E12317" t="s">
        <v>34835</v>
      </c>
      <c r="F12317" t="s">
        <v>34836</v>
      </c>
      <c r="J12317" t="s">
        <v>34835</v>
      </c>
      <c r="K12317" t="s">
        <v>21600</v>
      </c>
      <c r="L12317" t="s">
        <v>3616</v>
      </c>
    </row>
    <row r="12318" spans="1:12">
      <c r="A12318" t="s">
        <v>30729</v>
      </c>
      <c r="B12318" t="s">
        <v>30730</v>
      </c>
      <c r="C12318" t="s">
        <v>34837</v>
      </c>
      <c r="D12318" t="s">
        <v>30732</v>
      </c>
      <c r="E12318" t="s">
        <v>34838</v>
      </c>
      <c r="F12318" t="s">
        <v>34839</v>
      </c>
      <c r="J12318" t="s">
        <v>34838</v>
      </c>
      <c r="K12318" t="s">
        <v>21600</v>
      </c>
      <c r="L12318" t="s">
        <v>3616</v>
      </c>
    </row>
    <row r="12319" spans="1:12">
      <c r="A12319" t="s">
        <v>30729</v>
      </c>
      <c r="B12319" t="s">
        <v>30730</v>
      </c>
      <c r="C12319" t="s">
        <v>34840</v>
      </c>
      <c r="D12319" t="s">
        <v>30732</v>
      </c>
      <c r="E12319" t="s">
        <v>34841</v>
      </c>
      <c r="F12319" t="s">
        <v>34842</v>
      </c>
      <c r="J12319" t="s">
        <v>34841</v>
      </c>
      <c r="K12319" t="s">
        <v>21600</v>
      </c>
      <c r="L12319" t="s">
        <v>3616</v>
      </c>
    </row>
    <row r="12320" spans="1:12">
      <c r="A12320" t="s">
        <v>30729</v>
      </c>
      <c r="B12320" t="s">
        <v>30730</v>
      </c>
      <c r="C12320" t="s">
        <v>34843</v>
      </c>
      <c r="D12320" t="s">
        <v>30732</v>
      </c>
      <c r="E12320" t="s">
        <v>19865</v>
      </c>
      <c r="F12320" t="s">
        <v>34844</v>
      </c>
      <c r="J12320" t="s">
        <v>19865</v>
      </c>
      <c r="K12320" t="s">
        <v>21600</v>
      </c>
      <c r="L12320" t="s">
        <v>3616</v>
      </c>
    </row>
    <row r="12321" spans="1:12">
      <c r="A12321" t="s">
        <v>30729</v>
      </c>
      <c r="B12321" t="s">
        <v>30730</v>
      </c>
      <c r="C12321" t="s">
        <v>34845</v>
      </c>
      <c r="D12321" t="s">
        <v>30732</v>
      </c>
      <c r="E12321" t="s">
        <v>19886</v>
      </c>
      <c r="F12321" t="s">
        <v>34846</v>
      </c>
      <c r="J12321" t="s">
        <v>19886</v>
      </c>
      <c r="K12321" t="s">
        <v>21600</v>
      </c>
      <c r="L12321" t="s">
        <v>3616</v>
      </c>
    </row>
    <row r="12322" spans="1:12">
      <c r="A12322" t="s">
        <v>30729</v>
      </c>
      <c r="B12322" t="s">
        <v>30730</v>
      </c>
      <c r="C12322" t="s">
        <v>34847</v>
      </c>
      <c r="D12322" t="s">
        <v>30732</v>
      </c>
      <c r="E12322" t="s">
        <v>19890</v>
      </c>
      <c r="F12322" t="s">
        <v>34848</v>
      </c>
      <c r="J12322" t="s">
        <v>19890</v>
      </c>
      <c r="K12322" t="s">
        <v>21600</v>
      </c>
      <c r="L12322" t="s">
        <v>3616</v>
      </c>
    </row>
    <row r="12323" spans="1:12">
      <c r="A12323" t="s">
        <v>30729</v>
      </c>
      <c r="B12323" t="s">
        <v>30730</v>
      </c>
      <c r="C12323" t="s">
        <v>34849</v>
      </c>
      <c r="D12323" t="s">
        <v>30732</v>
      </c>
      <c r="E12323" t="s">
        <v>19904</v>
      </c>
      <c r="F12323" t="s">
        <v>34850</v>
      </c>
      <c r="J12323" t="s">
        <v>19904</v>
      </c>
      <c r="K12323" t="s">
        <v>21600</v>
      </c>
      <c r="L12323" t="s">
        <v>3616</v>
      </c>
    </row>
    <row r="12324" spans="1:12">
      <c r="A12324" t="s">
        <v>30729</v>
      </c>
      <c r="B12324" t="s">
        <v>30730</v>
      </c>
      <c r="C12324" t="s">
        <v>34851</v>
      </c>
      <c r="D12324" t="s">
        <v>30732</v>
      </c>
      <c r="E12324" t="s">
        <v>9675</v>
      </c>
      <c r="F12324" t="s">
        <v>34852</v>
      </c>
      <c r="J12324" t="s">
        <v>9675</v>
      </c>
      <c r="K12324" t="s">
        <v>21600</v>
      </c>
      <c r="L12324" t="s">
        <v>3616</v>
      </c>
    </row>
    <row r="12325" spans="1:12">
      <c r="A12325" t="s">
        <v>30729</v>
      </c>
      <c r="B12325" t="s">
        <v>30730</v>
      </c>
      <c r="C12325" t="s">
        <v>34853</v>
      </c>
      <c r="D12325" t="s">
        <v>30732</v>
      </c>
      <c r="E12325" t="s">
        <v>9678</v>
      </c>
      <c r="F12325" t="s">
        <v>34854</v>
      </c>
      <c r="J12325" t="s">
        <v>9678</v>
      </c>
      <c r="K12325" t="s">
        <v>21600</v>
      </c>
      <c r="L12325" t="s">
        <v>3616</v>
      </c>
    </row>
    <row r="12326" spans="1:12">
      <c r="A12326" t="s">
        <v>30729</v>
      </c>
      <c r="B12326" t="s">
        <v>30730</v>
      </c>
      <c r="C12326" t="s">
        <v>34855</v>
      </c>
      <c r="D12326" t="s">
        <v>30732</v>
      </c>
      <c r="E12326" t="s">
        <v>15612</v>
      </c>
      <c r="F12326" t="s">
        <v>34856</v>
      </c>
      <c r="J12326" t="s">
        <v>15612</v>
      </c>
      <c r="K12326" t="s">
        <v>21600</v>
      </c>
      <c r="L12326" t="s">
        <v>3616</v>
      </c>
    </row>
    <row r="12327" spans="1:12">
      <c r="A12327" t="s">
        <v>30729</v>
      </c>
      <c r="B12327" t="s">
        <v>30730</v>
      </c>
      <c r="C12327" t="s">
        <v>34857</v>
      </c>
      <c r="D12327" t="s">
        <v>30732</v>
      </c>
      <c r="E12327" t="s">
        <v>9681</v>
      </c>
      <c r="F12327" t="s">
        <v>34858</v>
      </c>
      <c r="J12327" t="s">
        <v>9681</v>
      </c>
      <c r="K12327" t="s">
        <v>21600</v>
      </c>
      <c r="L12327" t="s">
        <v>3616</v>
      </c>
    </row>
    <row r="12328" spans="1:12">
      <c r="A12328" t="s">
        <v>30729</v>
      </c>
      <c r="B12328" t="s">
        <v>30730</v>
      </c>
      <c r="C12328" t="s">
        <v>34859</v>
      </c>
      <c r="D12328" t="s">
        <v>30732</v>
      </c>
      <c r="E12328" t="s">
        <v>34860</v>
      </c>
      <c r="F12328" t="s">
        <v>34861</v>
      </c>
      <c r="J12328" t="s">
        <v>34860</v>
      </c>
      <c r="K12328" t="s">
        <v>21600</v>
      </c>
      <c r="L12328" t="s">
        <v>3616</v>
      </c>
    </row>
    <row r="12329" spans="1:12">
      <c r="A12329" t="s">
        <v>30729</v>
      </c>
      <c r="B12329" t="s">
        <v>30730</v>
      </c>
      <c r="C12329" t="s">
        <v>34862</v>
      </c>
      <c r="D12329" t="s">
        <v>30732</v>
      </c>
      <c r="E12329" t="s">
        <v>34863</v>
      </c>
      <c r="F12329" t="s">
        <v>34864</v>
      </c>
      <c r="J12329" t="s">
        <v>34863</v>
      </c>
      <c r="K12329" t="s">
        <v>21600</v>
      </c>
      <c r="L12329" t="s">
        <v>3616</v>
      </c>
    </row>
    <row r="12330" spans="1:12">
      <c r="A12330" t="s">
        <v>30729</v>
      </c>
      <c r="B12330" t="s">
        <v>30730</v>
      </c>
      <c r="C12330" t="s">
        <v>34865</v>
      </c>
      <c r="D12330" t="s">
        <v>30732</v>
      </c>
      <c r="E12330" t="s">
        <v>11396</v>
      </c>
      <c r="F12330" t="s">
        <v>34866</v>
      </c>
      <c r="J12330" t="s">
        <v>11396</v>
      </c>
      <c r="K12330" t="s">
        <v>21600</v>
      </c>
      <c r="L12330" t="s">
        <v>3616</v>
      </c>
    </row>
    <row r="12331" spans="1:12">
      <c r="A12331" t="s">
        <v>30729</v>
      </c>
      <c r="B12331" t="s">
        <v>30730</v>
      </c>
      <c r="C12331" t="s">
        <v>34867</v>
      </c>
      <c r="D12331" t="s">
        <v>30732</v>
      </c>
      <c r="E12331" t="s">
        <v>34868</v>
      </c>
      <c r="F12331" t="s">
        <v>34869</v>
      </c>
      <c r="J12331" t="s">
        <v>34868</v>
      </c>
      <c r="K12331" t="s">
        <v>21600</v>
      </c>
      <c r="L12331" t="s">
        <v>3616</v>
      </c>
    </row>
    <row r="12332" spans="1:12">
      <c r="A12332" t="s">
        <v>30729</v>
      </c>
      <c r="B12332" t="s">
        <v>30730</v>
      </c>
      <c r="C12332" t="s">
        <v>34870</v>
      </c>
      <c r="D12332" t="s">
        <v>30732</v>
      </c>
      <c r="E12332" t="s">
        <v>19694</v>
      </c>
      <c r="F12332" t="s">
        <v>34871</v>
      </c>
      <c r="J12332" t="s">
        <v>19694</v>
      </c>
      <c r="K12332" t="s">
        <v>21600</v>
      </c>
      <c r="L12332" t="s">
        <v>3616</v>
      </c>
    </row>
    <row r="12333" spans="1:12">
      <c r="A12333" t="s">
        <v>30729</v>
      </c>
      <c r="B12333" t="s">
        <v>30730</v>
      </c>
      <c r="C12333" t="s">
        <v>34872</v>
      </c>
      <c r="D12333" t="s">
        <v>30732</v>
      </c>
      <c r="E12333" t="s">
        <v>34873</v>
      </c>
      <c r="F12333" t="s">
        <v>34874</v>
      </c>
    </row>
    <row r="12334" spans="1:12">
      <c r="A12334" t="s">
        <v>30729</v>
      </c>
      <c r="B12334" t="s">
        <v>30730</v>
      </c>
      <c r="C12334" t="s">
        <v>34875</v>
      </c>
      <c r="D12334" t="s">
        <v>30732</v>
      </c>
      <c r="E12334" t="s">
        <v>34876</v>
      </c>
      <c r="F12334" t="s">
        <v>34877</v>
      </c>
      <c r="J12334" t="s">
        <v>34876</v>
      </c>
      <c r="K12334" t="s">
        <v>21600</v>
      </c>
      <c r="L12334" t="s">
        <v>3616</v>
      </c>
    </row>
    <row r="12335" spans="1:12">
      <c r="A12335" t="s">
        <v>30729</v>
      </c>
      <c r="B12335" t="s">
        <v>30730</v>
      </c>
      <c r="C12335" t="s">
        <v>34878</v>
      </c>
      <c r="D12335" t="s">
        <v>30732</v>
      </c>
      <c r="E12335" t="s">
        <v>19980</v>
      </c>
      <c r="F12335" t="s">
        <v>34879</v>
      </c>
      <c r="J12335" t="s">
        <v>19980</v>
      </c>
      <c r="K12335" t="s">
        <v>21600</v>
      </c>
      <c r="L12335" t="s">
        <v>3616</v>
      </c>
    </row>
    <row r="12336" spans="1:12">
      <c r="A12336" t="s">
        <v>30729</v>
      </c>
      <c r="B12336" t="s">
        <v>30730</v>
      </c>
      <c r="C12336" t="s">
        <v>34880</v>
      </c>
      <c r="D12336" t="s">
        <v>30732</v>
      </c>
      <c r="E12336" t="s">
        <v>34881</v>
      </c>
      <c r="F12336" t="s">
        <v>34882</v>
      </c>
      <c r="J12336" t="s">
        <v>34881</v>
      </c>
      <c r="K12336" t="s">
        <v>21600</v>
      </c>
      <c r="L12336" t="s">
        <v>3616</v>
      </c>
    </row>
    <row r="12337" spans="1:12">
      <c r="A12337" t="s">
        <v>30729</v>
      </c>
      <c r="B12337" t="s">
        <v>30730</v>
      </c>
      <c r="C12337" t="s">
        <v>34883</v>
      </c>
      <c r="D12337" t="s">
        <v>30732</v>
      </c>
      <c r="E12337" t="s">
        <v>34884</v>
      </c>
      <c r="F12337" t="s">
        <v>34885</v>
      </c>
      <c r="J12337" t="s">
        <v>34884</v>
      </c>
      <c r="K12337" t="s">
        <v>21600</v>
      </c>
      <c r="L12337" t="s">
        <v>3616</v>
      </c>
    </row>
    <row r="12338" spans="1:12">
      <c r="A12338" t="s">
        <v>30729</v>
      </c>
      <c r="B12338" t="s">
        <v>30730</v>
      </c>
      <c r="C12338" t="s">
        <v>34886</v>
      </c>
      <c r="D12338" t="s">
        <v>30732</v>
      </c>
      <c r="E12338" t="s">
        <v>34887</v>
      </c>
      <c r="F12338" t="s">
        <v>34888</v>
      </c>
      <c r="J12338" t="s">
        <v>34887</v>
      </c>
      <c r="K12338" t="s">
        <v>21600</v>
      </c>
      <c r="L12338" t="s">
        <v>3616</v>
      </c>
    </row>
    <row r="12339" spans="1:12">
      <c r="A12339" t="s">
        <v>30729</v>
      </c>
      <c r="B12339" t="s">
        <v>30730</v>
      </c>
      <c r="C12339" t="s">
        <v>34889</v>
      </c>
      <c r="D12339" t="s">
        <v>30732</v>
      </c>
      <c r="E12339" t="s">
        <v>20009</v>
      </c>
      <c r="F12339" t="s">
        <v>34890</v>
      </c>
      <c r="J12339" t="s">
        <v>20009</v>
      </c>
      <c r="K12339" t="s">
        <v>21600</v>
      </c>
      <c r="L12339" t="s">
        <v>3616</v>
      </c>
    </row>
    <row r="12340" spans="1:12">
      <c r="A12340" t="s">
        <v>30729</v>
      </c>
      <c r="B12340" t="s">
        <v>30730</v>
      </c>
      <c r="C12340" t="s">
        <v>34891</v>
      </c>
      <c r="D12340" t="s">
        <v>30732</v>
      </c>
      <c r="E12340" t="s">
        <v>34892</v>
      </c>
      <c r="F12340" t="s">
        <v>34893</v>
      </c>
      <c r="J12340" t="s">
        <v>34892</v>
      </c>
      <c r="K12340" t="s">
        <v>21600</v>
      </c>
      <c r="L12340" t="s">
        <v>3616</v>
      </c>
    </row>
    <row r="12341" spans="1:12">
      <c r="A12341" t="s">
        <v>30729</v>
      </c>
      <c r="B12341" t="s">
        <v>30730</v>
      </c>
      <c r="C12341" t="s">
        <v>34894</v>
      </c>
      <c r="D12341" t="s">
        <v>30732</v>
      </c>
      <c r="E12341" t="s">
        <v>34895</v>
      </c>
      <c r="F12341" t="s">
        <v>34896</v>
      </c>
      <c r="J12341" t="s">
        <v>34895</v>
      </c>
      <c r="K12341" t="s">
        <v>21600</v>
      </c>
      <c r="L12341" t="s">
        <v>3616</v>
      </c>
    </row>
    <row r="12342" spans="1:12">
      <c r="A12342" t="s">
        <v>30729</v>
      </c>
      <c r="B12342" t="s">
        <v>30730</v>
      </c>
      <c r="C12342" t="s">
        <v>34897</v>
      </c>
      <c r="D12342" t="s">
        <v>30732</v>
      </c>
      <c r="E12342" t="s">
        <v>20026</v>
      </c>
      <c r="F12342" t="s">
        <v>34898</v>
      </c>
      <c r="J12342" t="s">
        <v>20026</v>
      </c>
      <c r="K12342" t="s">
        <v>21600</v>
      </c>
      <c r="L12342" t="s">
        <v>3616</v>
      </c>
    </row>
    <row r="12343" spans="1:12">
      <c r="A12343" t="s">
        <v>30729</v>
      </c>
      <c r="B12343" t="s">
        <v>30730</v>
      </c>
      <c r="C12343" t="s">
        <v>34899</v>
      </c>
      <c r="D12343" t="s">
        <v>30732</v>
      </c>
      <c r="E12343" t="s">
        <v>34900</v>
      </c>
      <c r="F12343" t="s">
        <v>34901</v>
      </c>
      <c r="J12343" t="s">
        <v>34900</v>
      </c>
      <c r="K12343" t="s">
        <v>21600</v>
      </c>
      <c r="L12343" t="s">
        <v>3616</v>
      </c>
    </row>
    <row r="12344" spans="1:12">
      <c r="A12344" t="s">
        <v>30729</v>
      </c>
      <c r="B12344" t="s">
        <v>30730</v>
      </c>
      <c r="C12344" t="s">
        <v>34902</v>
      </c>
      <c r="D12344" t="s">
        <v>30732</v>
      </c>
      <c r="E12344" t="s">
        <v>34903</v>
      </c>
      <c r="F12344" t="s">
        <v>34904</v>
      </c>
      <c r="J12344" t="s">
        <v>34903</v>
      </c>
      <c r="K12344" t="s">
        <v>21600</v>
      </c>
      <c r="L12344" t="s">
        <v>3616</v>
      </c>
    </row>
    <row r="12345" spans="1:12">
      <c r="A12345" t="s">
        <v>30729</v>
      </c>
      <c r="B12345" t="s">
        <v>30730</v>
      </c>
      <c r="C12345" t="s">
        <v>34905</v>
      </c>
      <c r="D12345" t="s">
        <v>30732</v>
      </c>
      <c r="E12345" t="s">
        <v>34906</v>
      </c>
      <c r="F12345" t="s">
        <v>34907</v>
      </c>
    </row>
    <row r="12346" spans="1:12">
      <c r="A12346" t="s">
        <v>30729</v>
      </c>
      <c r="B12346" t="s">
        <v>30730</v>
      </c>
      <c r="C12346" t="s">
        <v>34908</v>
      </c>
      <c r="D12346" t="s">
        <v>30732</v>
      </c>
      <c r="E12346" t="s">
        <v>34909</v>
      </c>
      <c r="F12346" t="s">
        <v>34910</v>
      </c>
      <c r="J12346" t="s">
        <v>34909</v>
      </c>
      <c r="K12346" t="s">
        <v>21600</v>
      </c>
      <c r="L12346" t="s">
        <v>3616</v>
      </c>
    </row>
    <row r="12347" spans="1:12">
      <c r="A12347" t="s">
        <v>30729</v>
      </c>
      <c r="B12347" t="s">
        <v>30730</v>
      </c>
      <c r="C12347" t="s">
        <v>34911</v>
      </c>
      <c r="D12347" t="s">
        <v>30732</v>
      </c>
      <c r="E12347" t="s">
        <v>1237</v>
      </c>
      <c r="F12347" t="s">
        <v>34912</v>
      </c>
    </row>
    <row r="12348" spans="1:12">
      <c r="A12348" t="s">
        <v>30729</v>
      </c>
      <c r="B12348" t="s">
        <v>30730</v>
      </c>
      <c r="C12348" t="s">
        <v>34913</v>
      </c>
      <c r="D12348" t="s">
        <v>30732</v>
      </c>
      <c r="E12348" t="s">
        <v>30364</v>
      </c>
      <c r="F12348" t="s">
        <v>31642</v>
      </c>
      <c r="J12348" t="s">
        <v>30364</v>
      </c>
      <c r="K12348" t="s">
        <v>21600</v>
      </c>
      <c r="L12348" t="s">
        <v>3616</v>
      </c>
    </row>
    <row r="12349" spans="1:12">
      <c r="A12349" t="s">
        <v>30729</v>
      </c>
      <c r="B12349" t="s">
        <v>30730</v>
      </c>
      <c r="C12349" t="s">
        <v>34914</v>
      </c>
      <c r="D12349" t="s">
        <v>30732</v>
      </c>
      <c r="E12349" t="s">
        <v>34915</v>
      </c>
      <c r="F12349" t="s">
        <v>34916</v>
      </c>
      <c r="J12349" t="s">
        <v>34915</v>
      </c>
      <c r="K12349" t="s">
        <v>21600</v>
      </c>
      <c r="L12349" t="s">
        <v>3616</v>
      </c>
    </row>
    <row r="12350" spans="1:12">
      <c r="A12350" t="s">
        <v>30729</v>
      </c>
      <c r="B12350" t="s">
        <v>30730</v>
      </c>
      <c r="C12350" t="s">
        <v>34917</v>
      </c>
      <c r="D12350" t="s">
        <v>30732</v>
      </c>
      <c r="E12350" t="s">
        <v>20070</v>
      </c>
      <c r="F12350" t="s">
        <v>34918</v>
      </c>
    </row>
    <row r="12351" spans="1:12">
      <c r="A12351" t="s">
        <v>30729</v>
      </c>
      <c r="B12351" t="s">
        <v>30730</v>
      </c>
      <c r="C12351" t="s">
        <v>34919</v>
      </c>
      <c r="D12351" t="s">
        <v>30732</v>
      </c>
      <c r="E12351" t="s">
        <v>34920</v>
      </c>
      <c r="F12351" t="s">
        <v>34921</v>
      </c>
      <c r="J12351" t="s">
        <v>34920</v>
      </c>
      <c r="K12351" t="s">
        <v>21600</v>
      </c>
      <c r="L12351" t="s">
        <v>3616</v>
      </c>
    </row>
    <row r="12352" spans="1:12">
      <c r="A12352" t="s">
        <v>30729</v>
      </c>
      <c r="B12352" t="s">
        <v>30730</v>
      </c>
      <c r="C12352" t="s">
        <v>34922</v>
      </c>
      <c r="D12352" t="s">
        <v>30732</v>
      </c>
      <c r="E12352" t="s">
        <v>34923</v>
      </c>
      <c r="F12352" t="s">
        <v>34924</v>
      </c>
      <c r="J12352" t="s">
        <v>34923</v>
      </c>
      <c r="K12352" t="s">
        <v>21600</v>
      </c>
      <c r="L12352" t="s">
        <v>3616</v>
      </c>
    </row>
    <row r="12353" spans="1:12">
      <c r="A12353" t="s">
        <v>30729</v>
      </c>
      <c r="B12353" t="s">
        <v>30730</v>
      </c>
      <c r="C12353" t="s">
        <v>34925</v>
      </c>
      <c r="D12353" t="s">
        <v>30732</v>
      </c>
      <c r="E12353" t="s">
        <v>34926</v>
      </c>
      <c r="F12353" t="s">
        <v>34927</v>
      </c>
      <c r="J12353" t="s">
        <v>34926</v>
      </c>
      <c r="K12353" t="s">
        <v>21600</v>
      </c>
      <c r="L12353" t="s">
        <v>3616</v>
      </c>
    </row>
    <row r="12354" spans="1:12">
      <c r="A12354" t="s">
        <v>30729</v>
      </c>
      <c r="B12354" t="s">
        <v>30730</v>
      </c>
      <c r="C12354" t="s">
        <v>34928</v>
      </c>
      <c r="D12354" t="s">
        <v>30732</v>
      </c>
      <c r="E12354" t="s">
        <v>34929</v>
      </c>
      <c r="F12354" t="s">
        <v>34930</v>
      </c>
      <c r="J12354" t="s">
        <v>34929</v>
      </c>
      <c r="K12354" t="s">
        <v>21600</v>
      </c>
      <c r="L12354" t="s">
        <v>3616</v>
      </c>
    </row>
    <row r="12355" spans="1:12">
      <c r="A12355" t="s">
        <v>30729</v>
      </c>
      <c r="B12355" t="s">
        <v>30730</v>
      </c>
      <c r="C12355" t="s">
        <v>34931</v>
      </c>
      <c r="D12355" t="s">
        <v>30732</v>
      </c>
      <c r="E12355" t="s">
        <v>9688</v>
      </c>
      <c r="F12355" t="s">
        <v>34932</v>
      </c>
      <c r="J12355" t="s">
        <v>9688</v>
      </c>
      <c r="K12355" t="s">
        <v>21600</v>
      </c>
      <c r="L12355" t="s">
        <v>3616</v>
      </c>
    </row>
    <row r="12356" spans="1:12">
      <c r="A12356" t="s">
        <v>30729</v>
      </c>
      <c r="B12356" t="s">
        <v>30730</v>
      </c>
      <c r="C12356" t="s">
        <v>34933</v>
      </c>
      <c r="D12356" t="s">
        <v>30732</v>
      </c>
      <c r="E12356" t="s">
        <v>28298</v>
      </c>
      <c r="F12356" t="s">
        <v>34934</v>
      </c>
      <c r="J12356" t="s">
        <v>28298</v>
      </c>
      <c r="K12356" t="s">
        <v>21600</v>
      </c>
      <c r="L12356" t="s">
        <v>3616</v>
      </c>
    </row>
    <row r="12357" spans="1:12">
      <c r="A12357" t="s">
        <v>30729</v>
      </c>
      <c r="B12357" t="s">
        <v>30730</v>
      </c>
      <c r="C12357" t="s">
        <v>34935</v>
      </c>
      <c r="D12357" t="s">
        <v>30732</v>
      </c>
      <c r="E12357" t="s">
        <v>2706</v>
      </c>
      <c r="F12357" t="s">
        <v>34936</v>
      </c>
      <c r="J12357" t="s">
        <v>2706</v>
      </c>
      <c r="K12357" t="s">
        <v>21600</v>
      </c>
      <c r="L12357" t="s">
        <v>3616</v>
      </c>
    </row>
    <row r="12358" spans="1:12">
      <c r="A12358" t="s">
        <v>30729</v>
      </c>
      <c r="B12358" t="s">
        <v>30730</v>
      </c>
      <c r="C12358" t="s">
        <v>34937</v>
      </c>
      <c r="D12358" t="s">
        <v>30732</v>
      </c>
      <c r="E12358" t="s">
        <v>34938</v>
      </c>
      <c r="F12358" t="s">
        <v>34939</v>
      </c>
      <c r="J12358" t="s">
        <v>34938</v>
      </c>
      <c r="K12358" t="s">
        <v>21600</v>
      </c>
      <c r="L12358" t="s">
        <v>3616</v>
      </c>
    </row>
    <row r="12359" spans="1:12">
      <c r="A12359" t="s">
        <v>30729</v>
      </c>
      <c r="B12359" t="s">
        <v>30730</v>
      </c>
      <c r="C12359" t="s">
        <v>34940</v>
      </c>
      <c r="D12359" t="s">
        <v>30732</v>
      </c>
      <c r="E12359" t="s">
        <v>5153</v>
      </c>
      <c r="F12359" t="s">
        <v>34941</v>
      </c>
      <c r="J12359" t="s">
        <v>5153</v>
      </c>
      <c r="K12359" t="s">
        <v>21600</v>
      </c>
      <c r="L12359" t="s">
        <v>3616</v>
      </c>
    </row>
    <row r="12360" spans="1:12">
      <c r="A12360" t="s">
        <v>30729</v>
      </c>
      <c r="B12360" t="s">
        <v>30730</v>
      </c>
      <c r="C12360" t="s">
        <v>34942</v>
      </c>
      <c r="D12360" t="s">
        <v>30732</v>
      </c>
      <c r="E12360" t="s">
        <v>20126</v>
      </c>
      <c r="F12360" t="s">
        <v>34943</v>
      </c>
      <c r="J12360" t="s">
        <v>20126</v>
      </c>
      <c r="K12360" t="s">
        <v>21600</v>
      </c>
      <c r="L12360" t="s">
        <v>3616</v>
      </c>
    </row>
    <row r="12361" spans="1:12">
      <c r="A12361" t="s">
        <v>30729</v>
      </c>
      <c r="B12361" t="s">
        <v>30730</v>
      </c>
      <c r="C12361" t="s">
        <v>34944</v>
      </c>
      <c r="D12361" t="s">
        <v>30732</v>
      </c>
      <c r="E12361" t="s">
        <v>34945</v>
      </c>
      <c r="F12361" t="s">
        <v>34946</v>
      </c>
    </row>
    <row r="12362" spans="1:12">
      <c r="A12362" t="s">
        <v>30729</v>
      </c>
      <c r="B12362" t="s">
        <v>30730</v>
      </c>
      <c r="C12362" t="s">
        <v>34947</v>
      </c>
      <c r="D12362" t="s">
        <v>30732</v>
      </c>
      <c r="E12362" t="s">
        <v>20130</v>
      </c>
      <c r="F12362" t="s">
        <v>34948</v>
      </c>
      <c r="J12362" t="s">
        <v>20130</v>
      </c>
      <c r="K12362" t="s">
        <v>21600</v>
      </c>
      <c r="L12362" t="s">
        <v>3616</v>
      </c>
    </row>
    <row r="12363" spans="1:12">
      <c r="A12363" t="s">
        <v>30729</v>
      </c>
      <c r="B12363" t="s">
        <v>30730</v>
      </c>
      <c r="C12363" t="s">
        <v>34949</v>
      </c>
      <c r="D12363" t="s">
        <v>30732</v>
      </c>
      <c r="E12363" t="s">
        <v>20137</v>
      </c>
      <c r="F12363" t="s">
        <v>34950</v>
      </c>
      <c r="J12363" t="s">
        <v>20137</v>
      </c>
      <c r="K12363" t="s">
        <v>21600</v>
      </c>
      <c r="L12363" t="s">
        <v>3616</v>
      </c>
    </row>
    <row r="12364" spans="1:12">
      <c r="A12364" t="s">
        <v>30729</v>
      </c>
      <c r="B12364" t="s">
        <v>30730</v>
      </c>
      <c r="C12364" t="s">
        <v>34951</v>
      </c>
      <c r="D12364" t="s">
        <v>30732</v>
      </c>
      <c r="E12364" t="s">
        <v>34952</v>
      </c>
      <c r="F12364" t="s">
        <v>34953</v>
      </c>
      <c r="J12364" t="s">
        <v>34952</v>
      </c>
      <c r="K12364" t="s">
        <v>21600</v>
      </c>
      <c r="L12364" t="s">
        <v>3616</v>
      </c>
    </row>
    <row r="12365" spans="1:12">
      <c r="A12365" t="s">
        <v>30729</v>
      </c>
      <c r="B12365" t="s">
        <v>30730</v>
      </c>
      <c r="C12365" t="s">
        <v>34954</v>
      </c>
      <c r="D12365" t="s">
        <v>30732</v>
      </c>
      <c r="E12365" t="s">
        <v>20149</v>
      </c>
      <c r="F12365" t="s">
        <v>34955</v>
      </c>
      <c r="J12365" t="s">
        <v>20149</v>
      </c>
      <c r="K12365" t="s">
        <v>21600</v>
      </c>
      <c r="L12365" t="s">
        <v>3616</v>
      </c>
    </row>
    <row r="12366" spans="1:12">
      <c r="A12366" t="s">
        <v>30729</v>
      </c>
      <c r="B12366" t="s">
        <v>30730</v>
      </c>
      <c r="C12366" t="s">
        <v>34956</v>
      </c>
      <c r="D12366" t="s">
        <v>30732</v>
      </c>
      <c r="E12366" t="s">
        <v>34957</v>
      </c>
      <c r="F12366" t="s">
        <v>34958</v>
      </c>
      <c r="J12366" t="s">
        <v>34957</v>
      </c>
      <c r="K12366" t="s">
        <v>21600</v>
      </c>
      <c r="L12366" t="s">
        <v>3616</v>
      </c>
    </row>
    <row r="12367" spans="1:12">
      <c r="A12367" t="s">
        <v>30729</v>
      </c>
      <c r="B12367" t="s">
        <v>30730</v>
      </c>
      <c r="C12367" t="s">
        <v>34959</v>
      </c>
      <c r="D12367" t="s">
        <v>30732</v>
      </c>
      <c r="E12367" t="s">
        <v>20153</v>
      </c>
      <c r="F12367" t="s">
        <v>34960</v>
      </c>
      <c r="J12367" t="s">
        <v>20153</v>
      </c>
      <c r="K12367" t="s">
        <v>21600</v>
      </c>
      <c r="L12367" t="s">
        <v>3616</v>
      </c>
    </row>
    <row r="12368" spans="1:12">
      <c r="A12368" t="s">
        <v>30729</v>
      </c>
      <c r="B12368" t="s">
        <v>30730</v>
      </c>
      <c r="C12368" t="s">
        <v>34961</v>
      </c>
      <c r="D12368" t="s">
        <v>30732</v>
      </c>
      <c r="E12368" t="s">
        <v>34962</v>
      </c>
      <c r="F12368" t="s">
        <v>34963</v>
      </c>
      <c r="J12368" t="s">
        <v>34962</v>
      </c>
      <c r="K12368" t="s">
        <v>21600</v>
      </c>
      <c r="L12368" t="s">
        <v>3616</v>
      </c>
    </row>
    <row r="12369" spans="1:12">
      <c r="A12369" t="s">
        <v>30729</v>
      </c>
      <c r="B12369" t="s">
        <v>30730</v>
      </c>
      <c r="C12369" t="s">
        <v>34964</v>
      </c>
      <c r="D12369" t="s">
        <v>30732</v>
      </c>
      <c r="E12369" t="s">
        <v>34965</v>
      </c>
      <c r="F12369" t="s">
        <v>34966</v>
      </c>
      <c r="J12369" t="s">
        <v>34965</v>
      </c>
      <c r="K12369" t="s">
        <v>21600</v>
      </c>
      <c r="L12369" t="s">
        <v>3616</v>
      </c>
    </row>
    <row r="12370" spans="1:12">
      <c r="A12370" t="s">
        <v>30729</v>
      </c>
      <c r="B12370" t="s">
        <v>30730</v>
      </c>
      <c r="C12370" t="s">
        <v>34967</v>
      </c>
      <c r="D12370" t="s">
        <v>30732</v>
      </c>
      <c r="E12370" t="s">
        <v>34968</v>
      </c>
      <c r="F12370" t="s">
        <v>34969</v>
      </c>
      <c r="J12370" t="s">
        <v>34968</v>
      </c>
      <c r="K12370" t="s">
        <v>21600</v>
      </c>
      <c r="L12370" t="s">
        <v>3616</v>
      </c>
    </row>
    <row r="12371" spans="1:12">
      <c r="A12371" t="s">
        <v>30729</v>
      </c>
      <c r="B12371" t="s">
        <v>30730</v>
      </c>
      <c r="C12371" t="s">
        <v>34970</v>
      </c>
      <c r="D12371" t="s">
        <v>30732</v>
      </c>
      <c r="E12371" t="s">
        <v>34971</v>
      </c>
      <c r="F12371" t="s">
        <v>34972</v>
      </c>
      <c r="J12371" t="s">
        <v>34971</v>
      </c>
      <c r="K12371" t="s">
        <v>21600</v>
      </c>
      <c r="L12371" t="s">
        <v>3616</v>
      </c>
    </row>
    <row r="12372" spans="1:12">
      <c r="A12372" t="s">
        <v>30729</v>
      </c>
      <c r="B12372" t="s">
        <v>30730</v>
      </c>
      <c r="C12372" t="s">
        <v>34973</v>
      </c>
      <c r="D12372" t="s">
        <v>30732</v>
      </c>
      <c r="E12372" t="s">
        <v>34974</v>
      </c>
      <c r="F12372" t="s">
        <v>34975</v>
      </c>
    </row>
    <row r="12373" spans="1:12">
      <c r="A12373" t="s">
        <v>30729</v>
      </c>
      <c r="B12373" t="s">
        <v>30730</v>
      </c>
      <c r="C12373" t="s">
        <v>34976</v>
      </c>
      <c r="D12373" t="s">
        <v>30732</v>
      </c>
      <c r="E12373" t="s">
        <v>20180</v>
      </c>
      <c r="F12373" t="s">
        <v>34977</v>
      </c>
      <c r="J12373" t="s">
        <v>20180</v>
      </c>
      <c r="K12373" t="s">
        <v>21600</v>
      </c>
      <c r="L12373" t="s">
        <v>3616</v>
      </c>
    </row>
    <row r="12374" spans="1:12">
      <c r="A12374" t="s">
        <v>30729</v>
      </c>
      <c r="B12374" t="s">
        <v>30730</v>
      </c>
      <c r="C12374" t="s">
        <v>34978</v>
      </c>
      <c r="D12374" t="s">
        <v>30732</v>
      </c>
      <c r="E12374" t="s">
        <v>34979</v>
      </c>
      <c r="F12374" t="s">
        <v>34980</v>
      </c>
      <c r="J12374" t="s">
        <v>34979</v>
      </c>
      <c r="K12374" t="s">
        <v>21600</v>
      </c>
      <c r="L12374" t="s">
        <v>3616</v>
      </c>
    </row>
    <row r="12375" spans="1:12">
      <c r="A12375" t="s">
        <v>30729</v>
      </c>
      <c r="B12375" t="s">
        <v>30730</v>
      </c>
      <c r="C12375" t="s">
        <v>34981</v>
      </c>
      <c r="D12375" t="s">
        <v>30732</v>
      </c>
      <c r="E12375" t="s">
        <v>34982</v>
      </c>
      <c r="F12375" t="s">
        <v>34983</v>
      </c>
      <c r="J12375" t="s">
        <v>34982</v>
      </c>
      <c r="K12375" t="s">
        <v>21600</v>
      </c>
      <c r="L12375" t="s">
        <v>3616</v>
      </c>
    </row>
    <row r="12376" spans="1:12">
      <c r="A12376" t="s">
        <v>30729</v>
      </c>
      <c r="B12376" t="s">
        <v>30730</v>
      </c>
      <c r="C12376" t="s">
        <v>34984</v>
      </c>
      <c r="D12376" t="s">
        <v>30732</v>
      </c>
      <c r="E12376" t="s">
        <v>34985</v>
      </c>
      <c r="F12376" t="s">
        <v>34986</v>
      </c>
      <c r="J12376" t="s">
        <v>34985</v>
      </c>
      <c r="K12376" t="s">
        <v>21600</v>
      </c>
      <c r="L12376" t="s">
        <v>3616</v>
      </c>
    </row>
    <row r="12377" spans="1:12">
      <c r="A12377" t="s">
        <v>30729</v>
      </c>
      <c r="B12377" t="s">
        <v>30730</v>
      </c>
      <c r="C12377" t="s">
        <v>34987</v>
      </c>
      <c r="D12377" t="s">
        <v>30732</v>
      </c>
      <c r="E12377" t="s">
        <v>34988</v>
      </c>
      <c r="F12377" t="s">
        <v>34989</v>
      </c>
      <c r="J12377" t="s">
        <v>34988</v>
      </c>
      <c r="K12377" t="s">
        <v>21600</v>
      </c>
      <c r="L12377" t="s">
        <v>3616</v>
      </c>
    </row>
    <row r="12378" spans="1:12">
      <c r="A12378" t="s">
        <v>30729</v>
      </c>
      <c r="B12378" t="s">
        <v>30730</v>
      </c>
      <c r="C12378" t="s">
        <v>34990</v>
      </c>
      <c r="D12378" t="s">
        <v>30732</v>
      </c>
      <c r="E12378" t="s">
        <v>34991</v>
      </c>
      <c r="F12378" t="s">
        <v>34992</v>
      </c>
      <c r="J12378" t="s">
        <v>34991</v>
      </c>
      <c r="K12378" t="s">
        <v>21600</v>
      </c>
      <c r="L12378" t="s">
        <v>3616</v>
      </c>
    </row>
    <row r="12379" spans="1:12">
      <c r="A12379" t="s">
        <v>30729</v>
      </c>
      <c r="B12379" t="s">
        <v>30730</v>
      </c>
      <c r="C12379" t="s">
        <v>34993</v>
      </c>
      <c r="D12379" t="s">
        <v>30732</v>
      </c>
      <c r="E12379" t="s">
        <v>34994</v>
      </c>
      <c r="F12379" t="s">
        <v>34995</v>
      </c>
      <c r="J12379" t="s">
        <v>34994</v>
      </c>
      <c r="K12379" t="s">
        <v>21600</v>
      </c>
      <c r="L12379" t="s">
        <v>3616</v>
      </c>
    </row>
    <row r="12380" spans="1:12">
      <c r="A12380" t="s">
        <v>30729</v>
      </c>
      <c r="B12380" t="s">
        <v>30730</v>
      </c>
      <c r="C12380" t="s">
        <v>34996</v>
      </c>
      <c r="D12380" t="s">
        <v>30732</v>
      </c>
      <c r="E12380" t="s">
        <v>34997</v>
      </c>
      <c r="F12380" t="s">
        <v>34998</v>
      </c>
      <c r="J12380" t="s">
        <v>34997</v>
      </c>
      <c r="K12380" t="s">
        <v>21600</v>
      </c>
      <c r="L12380" t="s">
        <v>3616</v>
      </c>
    </row>
    <row r="12381" spans="1:12">
      <c r="A12381" t="s">
        <v>30729</v>
      </c>
      <c r="B12381" t="s">
        <v>30730</v>
      </c>
      <c r="C12381" t="s">
        <v>34999</v>
      </c>
      <c r="D12381" t="s">
        <v>30732</v>
      </c>
      <c r="E12381" t="s">
        <v>35000</v>
      </c>
      <c r="F12381" t="s">
        <v>35001</v>
      </c>
      <c r="J12381" t="s">
        <v>35000</v>
      </c>
      <c r="K12381" t="s">
        <v>21600</v>
      </c>
      <c r="L12381" t="s">
        <v>3616</v>
      </c>
    </row>
    <row r="12382" spans="1:12">
      <c r="A12382" t="s">
        <v>30729</v>
      </c>
      <c r="B12382" t="s">
        <v>30730</v>
      </c>
      <c r="C12382" t="s">
        <v>35002</v>
      </c>
      <c r="D12382" t="s">
        <v>30732</v>
      </c>
      <c r="E12382" t="s">
        <v>35003</v>
      </c>
      <c r="F12382" t="s">
        <v>35004</v>
      </c>
      <c r="J12382" t="s">
        <v>35003</v>
      </c>
      <c r="K12382" t="s">
        <v>21600</v>
      </c>
      <c r="L12382" t="s">
        <v>3616</v>
      </c>
    </row>
    <row r="12383" spans="1:12">
      <c r="A12383" t="s">
        <v>30729</v>
      </c>
      <c r="B12383" t="s">
        <v>30730</v>
      </c>
      <c r="C12383" t="s">
        <v>35005</v>
      </c>
      <c r="D12383" t="s">
        <v>30732</v>
      </c>
      <c r="E12383" t="s">
        <v>5159</v>
      </c>
      <c r="F12383" t="s">
        <v>35006</v>
      </c>
    </row>
    <row r="12384" spans="1:12">
      <c r="A12384" t="s">
        <v>30729</v>
      </c>
      <c r="B12384" t="s">
        <v>30730</v>
      </c>
      <c r="C12384" t="s">
        <v>35007</v>
      </c>
      <c r="D12384" t="s">
        <v>30732</v>
      </c>
      <c r="E12384" t="s">
        <v>2715</v>
      </c>
      <c r="F12384" t="s">
        <v>35008</v>
      </c>
      <c r="J12384" t="s">
        <v>2715</v>
      </c>
      <c r="K12384" t="s">
        <v>21600</v>
      </c>
      <c r="L12384" t="s">
        <v>3616</v>
      </c>
    </row>
    <row r="12385" spans="1:12">
      <c r="A12385" t="s">
        <v>30729</v>
      </c>
      <c r="B12385" t="s">
        <v>30730</v>
      </c>
      <c r="C12385" t="s">
        <v>35009</v>
      </c>
      <c r="D12385" t="s">
        <v>30732</v>
      </c>
      <c r="E12385" t="s">
        <v>5165</v>
      </c>
      <c r="F12385" t="s">
        <v>35010</v>
      </c>
    </row>
    <row r="12386" spans="1:12">
      <c r="A12386" t="s">
        <v>30729</v>
      </c>
      <c r="B12386" t="s">
        <v>30730</v>
      </c>
      <c r="C12386" t="s">
        <v>35011</v>
      </c>
      <c r="D12386" t="s">
        <v>30732</v>
      </c>
      <c r="E12386" t="s">
        <v>9709</v>
      </c>
      <c r="F12386" t="s">
        <v>35012</v>
      </c>
      <c r="J12386" t="s">
        <v>9709</v>
      </c>
      <c r="K12386" t="s">
        <v>21600</v>
      </c>
      <c r="L12386" t="s">
        <v>3616</v>
      </c>
    </row>
    <row r="12387" spans="1:12">
      <c r="A12387" t="s">
        <v>30729</v>
      </c>
      <c r="B12387" t="s">
        <v>30730</v>
      </c>
      <c r="C12387" t="s">
        <v>35013</v>
      </c>
      <c r="D12387" t="s">
        <v>30732</v>
      </c>
      <c r="E12387" t="s">
        <v>27836</v>
      </c>
      <c r="F12387" t="s">
        <v>35014</v>
      </c>
      <c r="J12387" t="s">
        <v>27836</v>
      </c>
      <c r="K12387" t="s">
        <v>21600</v>
      </c>
      <c r="L12387" t="s">
        <v>3616</v>
      </c>
    </row>
    <row r="12388" spans="1:12">
      <c r="A12388" t="s">
        <v>30729</v>
      </c>
      <c r="B12388" t="s">
        <v>30730</v>
      </c>
      <c r="C12388" t="s">
        <v>35015</v>
      </c>
      <c r="D12388" t="s">
        <v>30732</v>
      </c>
      <c r="E12388" t="s">
        <v>10442</v>
      </c>
      <c r="F12388" t="s">
        <v>35016</v>
      </c>
      <c r="J12388" t="s">
        <v>10442</v>
      </c>
      <c r="K12388" t="s">
        <v>21600</v>
      </c>
      <c r="L12388" t="s">
        <v>3616</v>
      </c>
    </row>
    <row r="12389" spans="1:12">
      <c r="A12389" t="s">
        <v>30729</v>
      </c>
      <c r="B12389" t="s">
        <v>30730</v>
      </c>
      <c r="C12389" t="s">
        <v>35017</v>
      </c>
      <c r="D12389" t="s">
        <v>30732</v>
      </c>
      <c r="E12389" t="s">
        <v>35018</v>
      </c>
      <c r="F12389" t="s">
        <v>35019</v>
      </c>
      <c r="J12389" t="s">
        <v>35018</v>
      </c>
      <c r="K12389" t="s">
        <v>21600</v>
      </c>
      <c r="L12389" t="s">
        <v>3616</v>
      </c>
    </row>
    <row r="12390" spans="1:12">
      <c r="A12390" t="s">
        <v>30729</v>
      </c>
      <c r="B12390" t="s">
        <v>30730</v>
      </c>
      <c r="C12390" t="s">
        <v>35020</v>
      </c>
      <c r="D12390" t="s">
        <v>30732</v>
      </c>
      <c r="E12390" t="s">
        <v>15254</v>
      </c>
      <c r="F12390" t="s">
        <v>35021</v>
      </c>
    </row>
    <row r="12391" spans="1:12">
      <c r="A12391" t="s">
        <v>30729</v>
      </c>
      <c r="B12391" t="s">
        <v>30730</v>
      </c>
      <c r="C12391" t="s">
        <v>35022</v>
      </c>
      <c r="D12391" t="s">
        <v>30732</v>
      </c>
      <c r="E12391" t="s">
        <v>2718</v>
      </c>
      <c r="F12391" t="s">
        <v>35023</v>
      </c>
    </row>
    <row r="12392" spans="1:12">
      <c r="A12392" t="s">
        <v>30729</v>
      </c>
      <c r="B12392" t="s">
        <v>30730</v>
      </c>
      <c r="C12392" t="s">
        <v>35024</v>
      </c>
      <c r="D12392" t="s">
        <v>30732</v>
      </c>
      <c r="E12392" t="s">
        <v>24349</v>
      </c>
      <c r="F12392" t="s">
        <v>35025</v>
      </c>
    </row>
    <row r="12393" spans="1:12">
      <c r="A12393" t="s">
        <v>30729</v>
      </c>
      <c r="B12393" t="s">
        <v>30730</v>
      </c>
      <c r="C12393" t="s">
        <v>35026</v>
      </c>
      <c r="D12393" t="s">
        <v>30732</v>
      </c>
      <c r="E12393" t="s">
        <v>24352</v>
      </c>
      <c r="F12393" t="s">
        <v>35027</v>
      </c>
      <c r="J12393" t="s">
        <v>24352</v>
      </c>
      <c r="K12393" t="s">
        <v>21600</v>
      </c>
      <c r="L12393" t="s">
        <v>3616</v>
      </c>
    </row>
    <row r="12394" spans="1:12">
      <c r="A12394" t="s">
        <v>30729</v>
      </c>
      <c r="B12394" t="s">
        <v>30730</v>
      </c>
      <c r="C12394" t="s">
        <v>35028</v>
      </c>
      <c r="D12394" t="s">
        <v>30732</v>
      </c>
      <c r="E12394" t="s">
        <v>35029</v>
      </c>
      <c r="F12394" t="s">
        <v>35030</v>
      </c>
      <c r="J12394" t="s">
        <v>35029</v>
      </c>
      <c r="K12394" t="s">
        <v>21600</v>
      </c>
      <c r="L12394" t="s">
        <v>3616</v>
      </c>
    </row>
    <row r="12395" spans="1:12">
      <c r="A12395" t="s">
        <v>30729</v>
      </c>
      <c r="B12395" t="s">
        <v>30730</v>
      </c>
      <c r="C12395" t="s">
        <v>35031</v>
      </c>
      <c r="D12395" t="s">
        <v>30732</v>
      </c>
      <c r="E12395" t="s">
        <v>35032</v>
      </c>
      <c r="F12395" t="s">
        <v>35033</v>
      </c>
      <c r="J12395" t="s">
        <v>35032</v>
      </c>
      <c r="K12395" t="s">
        <v>21600</v>
      </c>
      <c r="L12395" t="s">
        <v>3616</v>
      </c>
    </row>
    <row r="12396" spans="1:12">
      <c r="A12396" t="s">
        <v>30729</v>
      </c>
      <c r="B12396" t="s">
        <v>30730</v>
      </c>
      <c r="C12396" t="s">
        <v>35034</v>
      </c>
      <c r="D12396" t="s">
        <v>30732</v>
      </c>
      <c r="E12396" t="s">
        <v>35035</v>
      </c>
      <c r="F12396" t="s">
        <v>35036</v>
      </c>
      <c r="J12396" t="s">
        <v>35035</v>
      </c>
      <c r="K12396" t="s">
        <v>21600</v>
      </c>
      <c r="L12396" t="s">
        <v>3616</v>
      </c>
    </row>
    <row r="12397" spans="1:12">
      <c r="A12397" t="s">
        <v>30729</v>
      </c>
      <c r="B12397" t="s">
        <v>30730</v>
      </c>
      <c r="C12397" t="s">
        <v>35037</v>
      </c>
      <c r="D12397" t="s">
        <v>30732</v>
      </c>
      <c r="E12397" t="s">
        <v>13676</v>
      </c>
      <c r="F12397" t="s">
        <v>35038</v>
      </c>
    </row>
    <row r="12398" spans="1:12">
      <c r="A12398" t="s">
        <v>30729</v>
      </c>
      <c r="B12398" t="s">
        <v>30730</v>
      </c>
      <c r="C12398" t="s">
        <v>35039</v>
      </c>
      <c r="D12398" t="s">
        <v>30732</v>
      </c>
      <c r="E12398" t="s">
        <v>5175</v>
      </c>
      <c r="F12398" t="s">
        <v>35040</v>
      </c>
      <c r="J12398" t="s">
        <v>5175</v>
      </c>
      <c r="K12398" t="s">
        <v>21600</v>
      </c>
      <c r="L12398" t="s">
        <v>3616</v>
      </c>
    </row>
    <row r="12399" spans="1:12">
      <c r="A12399" t="s">
        <v>30729</v>
      </c>
      <c r="B12399" t="s">
        <v>30730</v>
      </c>
      <c r="C12399" t="s">
        <v>35041</v>
      </c>
      <c r="D12399" t="s">
        <v>30732</v>
      </c>
      <c r="E12399" t="s">
        <v>35042</v>
      </c>
      <c r="F12399" t="s">
        <v>35043</v>
      </c>
      <c r="J12399" t="s">
        <v>35042</v>
      </c>
      <c r="K12399" t="s">
        <v>21600</v>
      </c>
      <c r="L12399" t="s">
        <v>3616</v>
      </c>
    </row>
    <row r="12400" spans="1:12">
      <c r="A12400" t="s">
        <v>30729</v>
      </c>
      <c r="B12400" t="s">
        <v>30730</v>
      </c>
      <c r="C12400" t="s">
        <v>35044</v>
      </c>
      <c r="D12400" t="s">
        <v>30732</v>
      </c>
      <c r="E12400" t="s">
        <v>28551</v>
      </c>
      <c r="F12400" t="s">
        <v>35045</v>
      </c>
      <c r="J12400" t="s">
        <v>28551</v>
      </c>
      <c r="K12400" t="s">
        <v>21600</v>
      </c>
      <c r="L12400" t="s">
        <v>3616</v>
      </c>
    </row>
    <row r="12401" spans="1:12">
      <c r="A12401" t="s">
        <v>30729</v>
      </c>
      <c r="B12401" t="s">
        <v>30730</v>
      </c>
      <c r="C12401" t="s">
        <v>35046</v>
      </c>
      <c r="D12401" t="s">
        <v>30732</v>
      </c>
      <c r="E12401" t="s">
        <v>35047</v>
      </c>
      <c r="F12401" t="s">
        <v>35048</v>
      </c>
    </row>
    <row r="12402" spans="1:12">
      <c r="A12402" t="s">
        <v>30729</v>
      </c>
      <c r="B12402" t="s">
        <v>30730</v>
      </c>
      <c r="C12402" t="s">
        <v>35049</v>
      </c>
      <c r="D12402" t="s">
        <v>30732</v>
      </c>
      <c r="E12402" t="s">
        <v>35050</v>
      </c>
      <c r="F12402" t="s">
        <v>35051</v>
      </c>
      <c r="J12402" t="s">
        <v>35050</v>
      </c>
      <c r="K12402" t="s">
        <v>21600</v>
      </c>
      <c r="L12402" t="s">
        <v>3616</v>
      </c>
    </row>
    <row r="12403" spans="1:12">
      <c r="A12403" t="s">
        <v>30729</v>
      </c>
      <c r="B12403" t="s">
        <v>30730</v>
      </c>
      <c r="C12403" t="s">
        <v>35052</v>
      </c>
      <c r="D12403" t="s">
        <v>30732</v>
      </c>
      <c r="E12403" t="s">
        <v>5181</v>
      </c>
      <c r="F12403" t="s">
        <v>35053</v>
      </c>
    </row>
    <row r="12404" spans="1:12">
      <c r="A12404" t="s">
        <v>30729</v>
      </c>
      <c r="B12404" t="s">
        <v>30730</v>
      </c>
      <c r="C12404" t="s">
        <v>35054</v>
      </c>
      <c r="D12404" t="s">
        <v>30732</v>
      </c>
      <c r="E12404" t="s">
        <v>2730</v>
      </c>
      <c r="F12404" t="s">
        <v>35055</v>
      </c>
      <c r="J12404" t="s">
        <v>2730</v>
      </c>
      <c r="K12404" t="s">
        <v>21600</v>
      </c>
      <c r="L12404" t="s">
        <v>3616</v>
      </c>
    </row>
    <row r="12405" spans="1:12">
      <c r="A12405" t="s">
        <v>30729</v>
      </c>
      <c r="B12405" t="s">
        <v>30730</v>
      </c>
      <c r="C12405" t="s">
        <v>35056</v>
      </c>
      <c r="D12405" t="s">
        <v>30732</v>
      </c>
      <c r="E12405" t="s">
        <v>35057</v>
      </c>
      <c r="F12405" t="s">
        <v>35058</v>
      </c>
      <c r="J12405" t="s">
        <v>35057</v>
      </c>
      <c r="K12405" t="s">
        <v>21600</v>
      </c>
      <c r="L12405" t="s">
        <v>3616</v>
      </c>
    </row>
    <row r="12406" spans="1:12">
      <c r="A12406" t="s">
        <v>30729</v>
      </c>
      <c r="B12406" t="s">
        <v>30730</v>
      </c>
      <c r="C12406" t="s">
        <v>35059</v>
      </c>
      <c r="D12406" t="s">
        <v>30732</v>
      </c>
      <c r="E12406" t="s">
        <v>35060</v>
      </c>
      <c r="F12406" t="s">
        <v>32741</v>
      </c>
      <c r="J12406" t="s">
        <v>35060</v>
      </c>
      <c r="K12406" t="s">
        <v>21600</v>
      </c>
      <c r="L12406" t="s">
        <v>3616</v>
      </c>
    </row>
    <row r="12407" spans="1:12">
      <c r="A12407" t="s">
        <v>30729</v>
      </c>
      <c r="B12407" t="s">
        <v>30730</v>
      </c>
      <c r="C12407" t="s">
        <v>35061</v>
      </c>
      <c r="D12407" t="s">
        <v>30732</v>
      </c>
      <c r="E12407" t="s">
        <v>35062</v>
      </c>
      <c r="F12407" t="s">
        <v>35063</v>
      </c>
      <c r="J12407" t="s">
        <v>35062</v>
      </c>
      <c r="K12407" t="s">
        <v>21600</v>
      </c>
      <c r="L12407" t="s">
        <v>3616</v>
      </c>
    </row>
    <row r="12408" spans="1:12">
      <c r="A12408" t="s">
        <v>30729</v>
      </c>
      <c r="B12408" t="s">
        <v>30730</v>
      </c>
      <c r="C12408" t="s">
        <v>35064</v>
      </c>
      <c r="D12408" t="s">
        <v>30732</v>
      </c>
      <c r="E12408" t="s">
        <v>35065</v>
      </c>
      <c r="F12408" t="s">
        <v>35066</v>
      </c>
      <c r="J12408" t="s">
        <v>35065</v>
      </c>
      <c r="K12408" t="s">
        <v>21600</v>
      </c>
      <c r="L12408" t="s">
        <v>3616</v>
      </c>
    </row>
    <row r="12409" spans="1:12">
      <c r="A12409" t="s">
        <v>30729</v>
      </c>
      <c r="B12409" t="s">
        <v>30730</v>
      </c>
      <c r="C12409" t="s">
        <v>35067</v>
      </c>
      <c r="D12409" t="s">
        <v>30732</v>
      </c>
      <c r="E12409" t="s">
        <v>2736</v>
      </c>
      <c r="F12409" t="s">
        <v>35068</v>
      </c>
    </row>
    <row r="12410" spans="1:12">
      <c r="A12410" t="s">
        <v>30729</v>
      </c>
      <c r="B12410" t="s">
        <v>30730</v>
      </c>
      <c r="C12410" t="s">
        <v>35069</v>
      </c>
      <c r="D12410" t="s">
        <v>30732</v>
      </c>
      <c r="E12410" t="s">
        <v>4238</v>
      </c>
      <c r="F12410" t="s">
        <v>35070</v>
      </c>
      <c r="J12410" t="s">
        <v>4238</v>
      </c>
      <c r="K12410" t="s">
        <v>21600</v>
      </c>
      <c r="L12410" t="s">
        <v>3616</v>
      </c>
    </row>
    <row r="12411" spans="1:12">
      <c r="A12411" t="s">
        <v>30729</v>
      </c>
      <c r="B12411" t="s">
        <v>30730</v>
      </c>
      <c r="C12411" t="s">
        <v>35071</v>
      </c>
      <c r="D12411" t="s">
        <v>30732</v>
      </c>
      <c r="E12411" t="s">
        <v>35072</v>
      </c>
      <c r="F12411" t="s">
        <v>35073</v>
      </c>
    </row>
    <row r="12412" spans="1:12">
      <c r="A12412" t="s">
        <v>30729</v>
      </c>
      <c r="B12412" t="s">
        <v>30730</v>
      </c>
      <c r="C12412" t="s">
        <v>35074</v>
      </c>
      <c r="D12412" t="s">
        <v>30732</v>
      </c>
      <c r="E12412" t="s">
        <v>35075</v>
      </c>
      <c r="F12412" t="s">
        <v>35076</v>
      </c>
      <c r="J12412" t="s">
        <v>35075</v>
      </c>
      <c r="K12412" t="s">
        <v>21600</v>
      </c>
      <c r="L12412" t="s">
        <v>3616</v>
      </c>
    </row>
    <row r="12413" spans="1:12">
      <c r="A12413" t="s">
        <v>30729</v>
      </c>
      <c r="B12413" t="s">
        <v>30730</v>
      </c>
      <c r="C12413" t="s">
        <v>35077</v>
      </c>
      <c r="D12413" t="s">
        <v>30732</v>
      </c>
      <c r="E12413" t="s">
        <v>35078</v>
      </c>
      <c r="F12413" t="s">
        <v>35079</v>
      </c>
      <c r="J12413" t="s">
        <v>35078</v>
      </c>
      <c r="K12413" t="s">
        <v>21600</v>
      </c>
      <c r="L12413" t="s">
        <v>3616</v>
      </c>
    </row>
    <row r="12414" spans="1:12">
      <c r="A12414" t="s">
        <v>30729</v>
      </c>
      <c r="B12414" t="s">
        <v>30730</v>
      </c>
      <c r="C12414" t="s">
        <v>35080</v>
      </c>
      <c r="D12414" t="s">
        <v>30732</v>
      </c>
      <c r="E12414" t="s">
        <v>28304</v>
      </c>
      <c r="F12414" t="s">
        <v>35081</v>
      </c>
      <c r="J12414" t="s">
        <v>28304</v>
      </c>
      <c r="K12414" t="s">
        <v>21600</v>
      </c>
      <c r="L12414" t="s">
        <v>3616</v>
      </c>
    </row>
    <row r="12415" spans="1:12">
      <c r="A12415" t="s">
        <v>30729</v>
      </c>
      <c r="B12415" t="s">
        <v>30730</v>
      </c>
      <c r="C12415" t="s">
        <v>35082</v>
      </c>
      <c r="D12415" t="s">
        <v>30732</v>
      </c>
      <c r="E12415" t="s">
        <v>15868</v>
      </c>
      <c r="F12415" t="s">
        <v>35083</v>
      </c>
    </row>
    <row r="12416" spans="1:12">
      <c r="A12416" t="s">
        <v>30729</v>
      </c>
      <c r="B12416" t="s">
        <v>30730</v>
      </c>
      <c r="C12416" t="s">
        <v>35084</v>
      </c>
      <c r="D12416" t="s">
        <v>30732</v>
      </c>
      <c r="E12416" t="s">
        <v>35085</v>
      </c>
      <c r="F12416" t="s">
        <v>35086</v>
      </c>
      <c r="J12416" t="s">
        <v>35085</v>
      </c>
      <c r="K12416" t="s">
        <v>21600</v>
      </c>
      <c r="L12416" t="s">
        <v>3616</v>
      </c>
    </row>
    <row r="12417" spans="1:12">
      <c r="A12417" t="s">
        <v>30729</v>
      </c>
      <c r="B12417" t="s">
        <v>30730</v>
      </c>
      <c r="C12417" t="s">
        <v>35087</v>
      </c>
      <c r="D12417" t="s">
        <v>30732</v>
      </c>
      <c r="E12417" t="s">
        <v>35088</v>
      </c>
      <c r="F12417" t="s">
        <v>35089</v>
      </c>
      <c r="J12417" t="s">
        <v>35088</v>
      </c>
      <c r="K12417" t="s">
        <v>21600</v>
      </c>
      <c r="L12417" t="s">
        <v>3616</v>
      </c>
    </row>
    <row r="12418" spans="1:12">
      <c r="A12418" t="s">
        <v>30729</v>
      </c>
      <c r="B12418" t="s">
        <v>30730</v>
      </c>
      <c r="C12418" t="s">
        <v>35090</v>
      </c>
      <c r="D12418" t="s">
        <v>30732</v>
      </c>
      <c r="E12418" t="s">
        <v>35091</v>
      </c>
      <c r="F12418" t="s">
        <v>35092</v>
      </c>
      <c r="J12418" t="s">
        <v>35091</v>
      </c>
      <c r="K12418" t="s">
        <v>21600</v>
      </c>
      <c r="L12418" t="s">
        <v>3616</v>
      </c>
    </row>
    <row r="12419" spans="1:12">
      <c r="A12419" t="s">
        <v>30729</v>
      </c>
      <c r="B12419" t="s">
        <v>30730</v>
      </c>
      <c r="C12419" t="s">
        <v>35093</v>
      </c>
      <c r="D12419" t="s">
        <v>30732</v>
      </c>
      <c r="E12419" t="s">
        <v>35094</v>
      </c>
      <c r="F12419" t="s">
        <v>35095</v>
      </c>
      <c r="J12419" t="s">
        <v>35094</v>
      </c>
      <c r="K12419" t="s">
        <v>21600</v>
      </c>
      <c r="L12419" t="s">
        <v>3616</v>
      </c>
    </row>
    <row r="12420" spans="1:12">
      <c r="A12420" t="s">
        <v>30729</v>
      </c>
      <c r="B12420" t="s">
        <v>30730</v>
      </c>
      <c r="C12420" t="s">
        <v>35096</v>
      </c>
      <c r="D12420" t="s">
        <v>30732</v>
      </c>
      <c r="E12420" t="s">
        <v>24362</v>
      </c>
      <c r="F12420" t="s">
        <v>35097</v>
      </c>
    </row>
    <row r="12421" spans="1:12">
      <c r="A12421" t="s">
        <v>30729</v>
      </c>
      <c r="B12421" t="s">
        <v>30730</v>
      </c>
      <c r="C12421" t="s">
        <v>35098</v>
      </c>
      <c r="D12421" t="s">
        <v>30732</v>
      </c>
      <c r="E12421" t="s">
        <v>15874</v>
      </c>
      <c r="F12421" t="s">
        <v>35099</v>
      </c>
      <c r="J12421" t="s">
        <v>15874</v>
      </c>
      <c r="K12421" t="s">
        <v>21600</v>
      </c>
      <c r="L12421" t="s">
        <v>3616</v>
      </c>
    </row>
    <row r="12422" spans="1:12">
      <c r="A12422" t="s">
        <v>30729</v>
      </c>
      <c r="B12422" t="s">
        <v>30730</v>
      </c>
      <c r="C12422" t="s">
        <v>35100</v>
      </c>
      <c r="D12422" t="s">
        <v>30732</v>
      </c>
      <c r="E12422" t="s">
        <v>26788</v>
      </c>
      <c r="F12422" t="s">
        <v>35101</v>
      </c>
    </row>
    <row r="12423" spans="1:12">
      <c r="A12423" t="s">
        <v>30729</v>
      </c>
      <c r="B12423" t="s">
        <v>30730</v>
      </c>
      <c r="C12423" t="s">
        <v>35102</v>
      </c>
      <c r="D12423" t="s">
        <v>30732</v>
      </c>
      <c r="E12423" t="s">
        <v>8213</v>
      </c>
      <c r="F12423" t="s">
        <v>35103</v>
      </c>
      <c r="J12423" t="s">
        <v>8213</v>
      </c>
      <c r="K12423" t="s">
        <v>21600</v>
      </c>
      <c r="L12423" t="s">
        <v>3616</v>
      </c>
    </row>
    <row r="12424" spans="1:12">
      <c r="A12424" t="s">
        <v>30729</v>
      </c>
      <c r="B12424" t="s">
        <v>30730</v>
      </c>
      <c r="C12424" t="s">
        <v>35104</v>
      </c>
      <c r="D12424" t="s">
        <v>30732</v>
      </c>
      <c r="E12424" t="s">
        <v>1252</v>
      </c>
      <c r="F12424" t="s">
        <v>35105</v>
      </c>
      <c r="J12424" t="s">
        <v>1252</v>
      </c>
      <c r="K12424" t="s">
        <v>21600</v>
      </c>
      <c r="L12424" t="s">
        <v>3616</v>
      </c>
    </row>
    <row r="12425" spans="1:12">
      <c r="A12425" t="s">
        <v>30729</v>
      </c>
      <c r="B12425" t="s">
        <v>30730</v>
      </c>
      <c r="C12425" t="s">
        <v>35106</v>
      </c>
      <c r="D12425" t="s">
        <v>30732</v>
      </c>
      <c r="E12425" t="s">
        <v>12875</v>
      </c>
      <c r="F12425" t="s">
        <v>35107</v>
      </c>
      <c r="J12425" t="s">
        <v>12875</v>
      </c>
      <c r="K12425" t="s">
        <v>21600</v>
      </c>
      <c r="L12425" t="s">
        <v>3616</v>
      </c>
    </row>
    <row r="12426" spans="1:12">
      <c r="A12426" t="s">
        <v>30729</v>
      </c>
      <c r="B12426" t="s">
        <v>30730</v>
      </c>
      <c r="C12426" t="s">
        <v>35108</v>
      </c>
      <c r="D12426" t="s">
        <v>30732</v>
      </c>
      <c r="E12426" t="s">
        <v>35109</v>
      </c>
      <c r="F12426" t="s">
        <v>35110</v>
      </c>
      <c r="J12426" t="s">
        <v>35109</v>
      </c>
      <c r="K12426" t="s">
        <v>21600</v>
      </c>
      <c r="L12426" t="s">
        <v>3616</v>
      </c>
    </row>
    <row r="12427" spans="1:12">
      <c r="A12427" t="s">
        <v>30729</v>
      </c>
      <c r="B12427" t="s">
        <v>30730</v>
      </c>
      <c r="C12427" t="s">
        <v>35111</v>
      </c>
      <c r="D12427" t="s">
        <v>30732</v>
      </c>
      <c r="E12427" t="s">
        <v>35112</v>
      </c>
      <c r="F12427" t="s">
        <v>35113</v>
      </c>
      <c r="J12427" t="s">
        <v>35112</v>
      </c>
      <c r="K12427" t="s">
        <v>21600</v>
      </c>
      <c r="L12427" t="s">
        <v>3616</v>
      </c>
    </row>
    <row r="12428" spans="1:12">
      <c r="A12428" t="s">
        <v>30729</v>
      </c>
      <c r="B12428" t="s">
        <v>30730</v>
      </c>
      <c r="C12428" t="s">
        <v>35114</v>
      </c>
      <c r="D12428" t="s">
        <v>30732</v>
      </c>
      <c r="E12428" t="s">
        <v>35115</v>
      </c>
      <c r="F12428" t="s">
        <v>35116</v>
      </c>
      <c r="J12428" t="s">
        <v>35115</v>
      </c>
      <c r="K12428" t="s">
        <v>21600</v>
      </c>
      <c r="L12428" t="s">
        <v>3616</v>
      </c>
    </row>
    <row r="12429" spans="1:12">
      <c r="A12429" t="s">
        <v>30729</v>
      </c>
      <c r="B12429" t="s">
        <v>30730</v>
      </c>
      <c r="C12429" t="s">
        <v>35117</v>
      </c>
      <c r="D12429" t="s">
        <v>30732</v>
      </c>
      <c r="E12429" t="s">
        <v>35118</v>
      </c>
      <c r="F12429" t="s">
        <v>35119</v>
      </c>
      <c r="J12429" t="s">
        <v>35118</v>
      </c>
      <c r="K12429" t="s">
        <v>21600</v>
      </c>
      <c r="L12429" t="s">
        <v>3616</v>
      </c>
    </row>
    <row r="12430" spans="1:12">
      <c r="A12430" t="s">
        <v>30729</v>
      </c>
      <c r="B12430" t="s">
        <v>30730</v>
      </c>
      <c r="C12430" t="s">
        <v>35120</v>
      </c>
      <c r="D12430" t="s">
        <v>30732</v>
      </c>
      <c r="E12430" t="s">
        <v>22580</v>
      </c>
      <c r="F12430" t="s">
        <v>35121</v>
      </c>
      <c r="J12430" t="s">
        <v>22580</v>
      </c>
      <c r="K12430" t="s">
        <v>21600</v>
      </c>
      <c r="L12430" t="s">
        <v>3616</v>
      </c>
    </row>
    <row r="12431" spans="1:12">
      <c r="A12431" t="s">
        <v>30729</v>
      </c>
      <c r="B12431" t="s">
        <v>30730</v>
      </c>
      <c r="C12431" t="s">
        <v>35122</v>
      </c>
      <c r="D12431" t="s">
        <v>30732</v>
      </c>
      <c r="E12431" t="s">
        <v>35123</v>
      </c>
      <c r="F12431" t="s">
        <v>35124</v>
      </c>
      <c r="J12431" t="s">
        <v>35123</v>
      </c>
      <c r="K12431" t="s">
        <v>21600</v>
      </c>
      <c r="L12431" t="s">
        <v>3616</v>
      </c>
    </row>
    <row r="12432" spans="1:12">
      <c r="A12432" t="s">
        <v>30729</v>
      </c>
      <c r="B12432" t="s">
        <v>30730</v>
      </c>
      <c r="C12432" t="s">
        <v>35125</v>
      </c>
      <c r="D12432" t="s">
        <v>30732</v>
      </c>
      <c r="E12432" t="s">
        <v>35126</v>
      </c>
      <c r="F12432" t="s">
        <v>35127</v>
      </c>
      <c r="J12432" t="s">
        <v>35126</v>
      </c>
      <c r="K12432" t="s">
        <v>21600</v>
      </c>
      <c r="L12432" t="s">
        <v>3616</v>
      </c>
    </row>
    <row r="12433" spans="1:12">
      <c r="A12433" t="s">
        <v>30729</v>
      </c>
      <c r="B12433" t="s">
        <v>30730</v>
      </c>
      <c r="C12433" t="s">
        <v>35128</v>
      </c>
      <c r="D12433" t="s">
        <v>30732</v>
      </c>
      <c r="E12433" t="s">
        <v>35129</v>
      </c>
      <c r="F12433" t="s">
        <v>35130</v>
      </c>
      <c r="J12433" t="s">
        <v>35129</v>
      </c>
      <c r="K12433" t="s">
        <v>21600</v>
      </c>
      <c r="L12433" t="s">
        <v>3616</v>
      </c>
    </row>
    <row r="12434" spans="1:12">
      <c r="A12434" t="s">
        <v>30729</v>
      </c>
      <c r="B12434" t="s">
        <v>30730</v>
      </c>
      <c r="C12434" t="s">
        <v>35131</v>
      </c>
      <c r="D12434" t="s">
        <v>30732</v>
      </c>
      <c r="E12434" t="s">
        <v>35132</v>
      </c>
      <c r="F12434" t="s">
        <v>35133</v>
      </c>
      <c r="J12434" t="s">
        <v>35132</v>
      </c>
      <c r="K12434" t="s">
        <v>21600</v>
      </c>
      <c r="L12434" t="s">
        <v>3616</v>
      </c>
    </row>
    <row r="12435" spans="1:12">
      <c r="A12435" t="s">
        <v>30729</v>
      </c>
      <c r="B12435" t="s">
        <v>30730</v>
      </c>
      <c r="C12435" t="s">
        <v>35134</v>
      </c>
      <c r="D12435" t="s">
        <v>30732</v>
      </c>
      <c r="E12435" t="s">
        <v>5194</v>
      </c>
      <c r="F12435" t="s">
        <v>35135</v>
      </c>
    </row>
    <row r="12436" spans="1:12">
      <c r="A12436" t="s">
        <v>30729</v>
      </c>
      <c r="B12436" t="s">
        <v>30730</v>
      </c>
      <c r="C12436" t="s">
        <v>35136</v>
      </c>
      <c r="D12436" t="s">
        <v>30732</v>
      </c>
      <c r="E12436" t="s">
        <v>9733</v>
      </c>
      <c r="F12436" t="s">
        <v>35137</v>
      </c>
      <c r="J12436" t="s">
        <v>9733</v>
      </c>
      <c r="K12436" t="s">
        <v>21600</v>
      </c>
      <c r="L12436" t="s">
        <v>3616</v>
      </c>
    </row>
    <row r="12437" spans="1:12">
      <c r="A12437" t="s">
        <v>30729</v>
      </c>
      <c r="B12437" t="s">
        <v>30730</v>
      </c>
      <c r="C12437" t="s">
        <v>35138</v>
      </c>
      <c r="D12437" t="s">
        <v>30732</v>
      </c>
      <c r="E12437" t="s">
        <v>35139</v>
      </c>
      <c r="F12437" t="s">
        <v>35140</v>
      </c>
      <c r="J12437" t="s">
        <v>35139</v>
      </c>
      <c r="K12437" t="s">
        <v>21600</v>
      </c>
      <c r="L12437" t="s">
        <v>3616</v>
      </c>
    </row>
    <row r="12438" spans="1:12">
      <c r="A12438" t="s">
        <v>30729</v>
      </c>
      <c r="B12438" t="s">
        <v>30730</v>
      </c>
      <c r="C12438" t="s">
        <v>35141</v>
      </c>
      <c r="D12438" t="s">
        <v>30732</v>
      </c>
      <c r="E12438" t="s">
        <v>35142</v>
      </c>
      <c r="F12438" t="s">
        <v>35143</v>
      </c>
      <c r="J12438" t="s">
        <v>35142</v>
      </c>
      <c r="K12438" t="s">
        <v>21600</v>
      </c>
      <c r="L12438" t="s">
        <v>3616</v>
      </c>
    </row>
    <row r="12439" spans="1:12">
      <c r="A12439" t="s">
        <v>30729</v>
      </c>
      <c r="B12439" t="s">
        <v>30730</v>
      </c>
      <c r="C12439" t="s">
        <v>35144</v>
      </c>
      <c r="D12439" t="s">
        <v>30732</v>
      </c>
      <c r="E12439" t="s">
        <v>35145</v>
      </c>
      <c r="F12439" t="s">
        <v>35146</v>
      </c>
      <c r="J12439" t="s">
        <v>35145</v>
      </c>
      <c r="K12439" t="s">
        <v>21600</v>
      </c>
      <c r="L12439" t="s">
        <v>3616</v>
      </c>
    </row>
    <row r="12440" spans="1:12">
      <c r="A12440" t="s">
        <v>30729</v>
      </c>
      <c r="B12440" t="s">
        <v>30730</v>
      </c>
      <c r="C12440" t="s">
        <v>35147</v>
      </c>
      <c r="D12440" t="s">
        <v>30732</v>
      </c>
      <c r="E12440" t="s">
        <v>4256</v>
      </c>
      <c r="F12440" t="s">
        <v>35148</v>
      </c>
    </row>
    <row r="12441" spans="1:12">
      <c r="A12441" t="s">
        <v>30729</v>
      </c>
      <c r="B12441" t="s">
        <v>30730</v>
      </c>
      <c r="C12441" t="s">
        <v>35149</v>
      </c>
      <c r="D12441" t="s">
        <v>30732</v>
      </c>
      <c r="E12441" t="s">
        <v>35150</v>
      </c>
      <c r="F12441" t="s">
        <v>35151</v>
      </c>
      <c r="J12441" t="s">
        <v>35150</v>
      </c>
      <c r="K12441" t="s">
        <v>21600</v>
      </c>
      <c r="L12441" t="s">
        <v>3616</v>
      </c>
    </row>
    <row r="12442" spans="1:12">
      <c r="A12442" t="s">
        <v>30729</v>
      </c>
      <c r="B12442" t="s">
        <v>30730</v>
      </c>
      <c r="C12442" t="s">
        <v>35152</v>
      </c>
      <c r="D12442" t="s">
        <v>30732</v>
      </c>
      <c r="E12442" t="s">
        <v>9738</v>
      </c>
      <c r="F12442" t="s">
        <v>35153</v>
      </c>
      <c r="J12442" t="s">
        <v>9738</v>
      </c>
      <c r="K12442" t="s">
        <v>21600</v>
      </c>
      <c r="L12442" t="s">
        <v>3616</v>
      </c>
    </row>
    <row r="12443" spans="1:12">
      <c r="A12443" t="s">
        <v>30729</v>
      </c>
      <c r="B12443" t="s">
        <v>30730</v>
      </c>
      <c r="C12443" t="s">
        <v>35154</v>
      </c>
      <c r="D12443" t="s">
        <v>30732</v>
      </c>
      <c r="E12443" t="s">
        <v>12053</v>
      </c>
      <c r="F12443" t="s">
        <v>35155</v>
      </c>
    </row>
    <row r="12444" spans="1:12">
      <c r="A12444" t="s">
        <v>30729</v>
      </c>
      <c r="B12444" t="s">
        <v>30730</v>
      </c>
      <c r="C12444" t="s">
        <v>35156</v>
      </c>
      <c r="D12444" t="s">
        <v>30732</v>
      </c>
      <c r="E12444" t="s">
        <v>28312</v>
      </c>
      <c r="F12444" t="s">
        <v>35157</v>
      </c>
      <c r="J12444" t="s">
        <v>28312</v>
      </c>
      <c r="K12444" t="s">
        <v>21600</v>
      </c>
      <c r="L12444" t="s">
        <v>3616</v>
      </c>
    </row>
    <row r="12445" spans="1:12">
      <c r="A12445" t="s">
        <v>30729</v>
      </c>
      <c r="B12445" t="s">
        <v>30730</v>
      </c>
      <c r="C12445" t="s">
        <v>35158</v>
      </c>
      <c r="D12445" t="s">
        <v>30732</v>
      </c>
      <c r="E12445" t="s">
        <v>35159</v>
      </c>
      <c r="F12445" t="s">
        <v>35160</v>
      </c>
      <c r="J12445" t="s">
        <v>35159</v>
      </c>
      <c r="K12445" t="s">
        <v>21600</v>
      </c>
      <c r="L12445" t="s">
        <v>3616</v>
      </c>
    </row>
    <row r="12446" spans="1:12">
      <c r="A12446" t="s">
        <v>30729</v>
      </c>
      <c r="B12446" t="s">
        <v>30730</v>
      </c>
      <c r="C12446" t="s">
        <v>35161</v>
      </c>
      <c r="D12446" t="s">
        <v>30732</v>
      </c>
      <c r="E12446" t="s">
        <v>35162</v>
      </c>
      <c r="F12446" t="s">
        <v>35163</v>
      </c>
    </row>
    <row r="12447" spans="1:12">
      <c r="A12447" t="s">
        <v>30729</v>
      </c>
      <c r="B12447" t="s">
        <v>30730</v>
      </c>
      <c r="C12447" t="s">
        <v>35164</v>
      </c>
      <c r="D12447" t="s">
        <v>30732</v>
      </c>
      <c r="E12447" t="s">
        <v>35165</v>
      </c>
      <c r="F12447" t="s">
        <v>35166</v>
      </c>
    </row>
    <row r="12448" spans="1:12">
      <c r="A12448" t="s">
        <v>30729</v>
      </c>
      <c r="B12448" t="s">
        <v>30730</v>
      </c>
      <c r="C12448" t="s">
        <v>35167</v>
      </c>
      <c r="D12448" t="s">
        <v>30732</v>
      </c>
      <c r="E12448" t="s">
        <v>4771</v>
      </c>
      <c r="F12448" t="s">
        <v>35168</v>
      </c>
      <c r="J12448" t="s">
        <v>4771</v>
      </c>
      <c r="K12448" t="s">
        <v>21600</v>
      </c>
      <c r="L12448" t="s">
        <v>3616</v>
      </c>
    </row>
    <row r="12449" spans="1:12">
      <c r="A12449" t="s">
        <v>30729</v>
      </c>
      <c r="B12449" t="s">
        <v>30730</v>
      </c>
      <c r="C12449" t="s">
        <v>35169</v>
      </c>
      <c r="D12449" t="s">
        <v>30732</v>
      </c>
      <c r="E12449" t="s">
        <v>30005</v>
      </c>
      <c r="F12449" t="s">
        <v>35170</v>
      </c>
      <c r="J12449" t="s">
        <v>30005</v>
      </c>
      <c r="K12449" t="s">
        <v>21600</v>
      </c>
      <c r="L12449" t="s">
        <v>3616</v>
      </c>
    </row>
    <row r="12450" spans="1:12">
      <c r="A12450" t="s">
        <v>30729</v>
      </c>
      <c r="B12450" t="s">
        <v>30730</v>
      </c>
      <c r="C12450" t="s">
        <v>35171</v>
      </c>
      <c r="D12450" t="s">
        <v>30732</v>
      </c>
      <c r="E12450" t="s">
        <v>35172</v>
      </c>
      <c r="F12450" t="s">
        <v>35173</v>
      </c>
      <c r="J12450" t="s">
        <v>35172</v>
      </c>
      <c r="K12450" t="s">
        <v>21600</v>
      </c>
      <c r="L12450" t="s">
        <v>3616</v>
      </c>
    </row>
    <row r="12451" spans="1:12">
      <c r="A12451" t="s">
        <v>30729</v>
      </c>
      <c r="B12451" t="s">
        <v>30730</v>
      </c>
      <c r="C12451" t="s">
        <v>35174</v>
      </c>
      <c r="D12451" t="s">
        <v>30732</v>
      </c>
      <c r="E12451" t="s">
        <v>35175</v>
      </c>
      <c r="F12451" t="s">
        <v>35176</v>
      </c>
      <c r="J12451" t="s">
        <v>35175</v>
      </c>
      <c r="K12451" t="s">
        <v>21600</v>
      </c>
      <c r="L12451" t="s">
        <v>3616</v>
      </c>
    </row>
    <row r="12452" spans="1:12">
      <c r="A12452" t="s">
        <v>30729</v>
      </c>
      <c r="B12452" t="s">
        <v>30730</v>
      </c>
      <c r="C12452" t="s">
        <v>35177</v>
      </c>
      <c r="D12452" t="s">
        <v>30732</v>
      </c>
      <c r="E12452" t="s">
        <v>27599</v>
      </c>
      <c r="F12452" t="s">
        <v>35178</v>
      </c>
      <c r="J12452" t="s">
        <v>27599</v>
      </c>
      <c r="K12452" t="s">
        <v>21600</v>
      </c>
      <c r="L12452" t="s">
        <v>3616</v>
      </c>
    </row>
    <row r="12453" spans="1:12">
      <c r="A12453" t="s">
        <v>30729</v>
      </c>
      <c r="B12453" t="s">
        <v>30730</v>
      </c>
      <c r="C12453" t="s">
        <v>35179</v>
      </c>
      <c r="D12453" t="s">
        <v>30732</v>
      </c>
      <c r="E12453" t="s">
        <v>27602</v>
      </c>
      <c r="F12453" t="s">
        <v>35180</v>
      </c>
    </row>
    <row r="12454" spans="1:12">
      <c r="A12454" t="s">
        <v>30729</v>
      </c>
      <c r="B12454" t="s">
        <v>30730</v>
      </c>
      <c r="C12454" t="s">
        <v>35181</v>
      </c>
      <c r="D12454" t="s">
        <v>30732</v>
      </c>
      <c r="E12454" t="s">
        <v>35182</v>
      </c>
      <c r="F12454" t="s">
        <v>35183</v>
      </c>
      <c r="J12454" t="s">
        <v>35182</v>
      </c>
      <c r="K12454" t="s">
        <v>21600</v>
      </c>
      <c r="L12454" t="s">
        <v>3616</v>
      </c>
    </row>
    <row r="12455" spans="1:12">
      <c r="A12455" t="s">
        <v>30729</v>
      </c>
      <c r="B12455" t="s">
        <v>30730</v>
      </c>
      <c r="C12455" t="s">
        <v>35184</v>
      </c>
      <c r="D12455" t="s">
        <v>30732</v>
      </c>
      <c r="E12455" t="s">
        <v>4259</v>
      </c>
      <c r="F12455" t="s">
        <v>35185</v>
      </c>
      <c r="J12455" t="s">
        <v>4259</v>
      </c>
      <c r="K12455" t="s">
        <v>21600</v>
      </c>
      <c r="L12455" t="s">
        <v>3616</v>
      </c>
    </row>
    <row r="12456" spans="1:12">
      <c r="A12456" t="s">
        <v>30729</v>
      </c>
      <c r="B12456" t="s">
        <v>30730</v>
      </c>
      <c r="C12456" t="s">
        <v>35186</v>
      </c>
      <c r="D12456" t="s">
        <v>30732</v>
      </c>
      <c r="E12456" t="s">
        <v>35187</v>
      </c>
      <c r="F12456" t="s">
        <v>35188</v>
      </c>
    </row>
    <row r="12457" spans="1:12">
      <c r="A12457" t="s">
        <v>30729</v>
      </c>
      <c r="B12457" t="s">
        <v>30730</v>
      </c>
      <c r="C12457" t="s">
        <v>35189</v>
      </c>
      <c r="D12457" t="s">
        <v>30732</v>
      </c>
      <c r="E12457" t="s">
        <v>12884</v>
      </c>
      <c r="F12457" t="s">
        <v>35190</v>
      </c>
      <c r="J12457" t="s">
        <v>12884</v>
      </c>
      <c r="K12457" t="s">
        <v>21600</v>
      </c>
      <c r="L12457" t="s">
        <v>3616</v>
      </c>
    </row>
    <row r="12458" spans="1:12">
      <c r="A12458" t="s">
        <v>30729</v>
      </c>
      <c r="B12458" t="s">
        <v>30730</v>
      </c>
      <c r="C12458" t="s">
        <v>35191</v>
      </c>
      <c r="D12458" t="s">
        <v>30732</v>
      </c>
      <c r="E12458" t="s">
        <v>35192</v>
      </c>
      <c r="F12458" t="s">
        <v>35193</v>
      </c>
      <c r="J12458" t="s">
        <v>35192</v>
      </c>
      <c r="K12458" t="s">
        <v>21600</v>
      </c>
      <c r="L12458" t="s">
        <v>3616</v>
      </c>
    </row>
    <row r="12459" spans="1:12">
      <c r="A12459" t="s">
        <v>30729</v>
      </c>
      <c r="B12459" t="s">
        <v>30730</v>
      </c>
      <c r="C12459" t="s">
        <v>35194</v>
      </c>
      <c r="D12459" t="s">
        <v>30732</v>
      </c>
      <c r="E12459" t="s">
        <v>12887</v>
      </c>
      <c r="F12459" t="s">
        <v>35195</v>
      </c>
      <c r="J12459" t="s">
        <v>12887</v>
      </c>
      <c r="K12459" t="s">
        <v>21600</v>
      </c>
      <c r="L12459" t="s">
        <v>3616</v>
      </c>
    </row>
    <row r="12460" spans="1:12">
      <c r="A12460" t="s">
        <v>30729</v>
      </c>
      <c r="B12460" t="s">
        <v>30730</v>
      </c>
      <c r="C12460" t="s">
        <v>35196</v>
      </c>
      <c r="D12460" t="s">
        <v>30732</v>
      </c>
      <c r="E12460" t="s">
        <v>35197</v>
      </c>
      <c r="F12460" t="s">
        <v>35198</v>
      </c>
      <c r="J12460" t="s">
        <v>35197</v>
      </c>
      <c r="K12460" t="s">
        <v>21600</v>
      </c>
      <c r="L12460" t="s">
        <v>3616</v>
      </c>
    </row>
    <row r="12461" spans="1:12">
      <c r="A12461" t="s">
        <v>30729</v>
      </c>
      <c r="B12461" t="s">
        <v>30730</v>
      </c>
      <c r="C12461" t="s">
        <v>35199</v>
      </c>
      <c r="D12461" t="s">
        <v>30732</v>
      </c>
      <c r="E12461" t="s">
        <v>5205</v>
      </c>
      <c r="F12461" t="s">
        <v>35200</v>
      </c>
      <c r="J12461" t="s">
        <v>5205</v>
      </c>
      <c r="K12461" t="s">
        <v>21600</v>
      </c>
      <c r="L12461" t="s">
        <v>3616</v>
      </c>
    </row>
    <row r="12462" spans="1:12">
      <c r="A12462" t="s">
        <v>30729</v>
      </c>
      <c r="B12462" t="s">
        <v>30730</v>
      </c>
      <c r="C12462" t="s">
        <v>35201</v>
      </c>
      <c r="D12462" t="s">
        <v>30732</v>
      </c>
      <c r="E12462" t="s">
        <v>35202</v>
      </c>
      <c r="F12462" t="s">
        <v>35203</v>
      </c>
      <c r="J12462" t="s">
        <v>35202</v>
      </c>
      <c r="K12462" t="s">
        <v>21600</v>
      </c>
      <c r="L12462" t="s">
        <v>3616</v>
      </c>
    </row>
    <row r="12463" spans="1:12">
      <c r="A12463" t="s">
        <v>30729</v>
      </c>
      <c r="B12463" t="s">
        <v>30730</v>
      </c>
      <c r="C12463" t="s">
        <v>35204</v>
      </c>
      <c r="D12463" t="s">
        <v>30732</v>
      </c>
      <c r="E12463" t="s">
        <v>24012</v>
      </c>
      <c r="F12463" t="s">
        <v>35205</v>
      </c>
      <c r="J12463" t="s">
        <v>24012</v>
      </c>
      <c r="K12463" t="s">
        <v>21600</v>
      </c>
      <c r="L12463" t="s">
        <v>3616</v>
      </c>
    </row>
    <row r="12464" spans="1:12">
      <c r="A12464" t="s">
        <v>30729</v>
      </c>
      <c r="B12464" t="s">
        <v>30730</v>
      </c>
      <c r="C12464" t="s">
        <v>35206</v>
      </c>
      <c r="D12464" t="s">
        <v>30732</v>
      </c>
      <c r="E12464" t="s">
        <v>35207</v>
      </c>
      <c r="F12464" t="s">
        <v>35208</v>
      </c>
      <c r="J12464" t="s">
        <v>35207</v>
      </c>
      <c r="K12464" t="s">
        <v>21600</v>
      </c>
      <c r="L12464" t="s">
        <v>3616</v>
      </c>
    </row>
    <row r="12465" spans="1:12">
      <c r="A12465" t="s">
        <v>30729</v>
      </c>
      <c r="B12465" t="s">
        <v>30730</v>
      </c>
      <c r="C12465" t="s">
        <v>35209</v>
      </c>
      <c r="D12465" t="s">
        <v>30732</v>
      </c>
      <c r="E12465" t="s">
        <v>5211</v>
      </c>
      <c r="F12465" t="s">
        <v>35210</v>
      </c>
      <c r="J12465" t="s">
        <v>5211</v>
      </c>
      <c r="K12465" t="s">
        <v>21600</v>
      </c>
      <c r="L12465" t="s">
        <v>3616</v>
      </c>
    </row>
    <row r="12466" spans="1:12">
      <c r="A12466" t="s">
        <v>30729</v>
      </c>
      <c r="B12466" t="s">
        <v>30730</v>
      </c>
      <c r="C12466" t="s">
        <v>35211</v>
      </c>
      <c r="D12466" t="s">
        <v>30732</v>
      </c>
      <c r="E12466" t="s">
        <v>14503</v>
      </c>
      <c r="F12466" t="s">
        <v>35212</v>
      </c>
      <c r="J12466" t="s">
        <v>14503</v>
      </c>
      <c r="K12466" t="s">
        <v>21600</v>
      </c>
      <c r="L12466" t="s">
        <v>3616</v>
      </c>
    </row>
    <row r="12467" spans="1:12">
      <c r="A12467" t="s">
        <v>30729</v>
      </c>
      <c r="B12467" t="s">
        <v>30730</v>
      </c>
      <c r="C12467" t="s">
        <v>35213</v>
      </c>
      <c r="D12467" t="s">
        <v>30732</v>
      </c>
      <c r="E12467" t="s">
        <v>35214</v>
      </c>
      <c r="F12467" t="s">
        <v>35215</v>
      </c>
      <c r="J12467" t="s">
        <v>35214</v>
      </c>
      <c r="K12467" t="s">
        <v>21600</v>
      </c>
      <c r="L12467" t="s">
        <v>3616</v>
      </c>
    </row>
    <row r="12468" spans="1:12">
      <c r="A12468" t="s">
        <v>30729</v>
      </c>
      <c r="B12468" t="s">
        <v>30730</v>
      </c>
      <c r="C12468" t="s">
        <v>35216</v>
      </c>
      <c r="D12468" t="s">
        <v>30732</v>
      </c>
      <c r="E12468" t="s">
        <v>35217</v>
      </c>
      <c r="F12468" t="s">
        <v>35218</v>
      </c>
      <c r="J12468" t="s">
        <v>35217</v>
      </c>
      <c r="K12468" t="s">
        <v>21600</v>
      </c>
      <c r="L12468" t="s">
        <v>3616</v>
      </c>
    </row>
    <row r="12469" spans="1:12">
      <c r="A12469" t="s">
        <v>30729</v>
      </c>
      <c r="B12469" t="s">
        <v>30730</v>
      </c>
      <c r="C12469" t="s">
        <v>35219</v>
      </c>
      <c r="D12469" t="s">
        <v>30732</v>
      </c>
      <c r="E12469" t="s">
        <v>35220</v>
      </c>
      <c r="F12469" t="s">
        <v>35221</v>
      </c>
      <c r="J12469" t="s">
        <v>35220</v>
      </c>
      <c r="K12469" t="s">
        <v>21600</v>
      </c>
      <c r="L12469" t="s">
        <v>3616</v>
      </c>
    </row>
    <row r="12470" spans="1:12">
      <c r="A12470" t="s">
        <v>30729</v>
      </c>
      <c r="B12470" t="s">
        <v>30730</v>
      </c>
      <c r="C12470" t="s">
        <v>35222</v>
      </c>
      <c r="D12470" t="s">
        <v>30732</v>
      </c>
      <c r="E12470" t="s">
        <v>4277</v>
      </c>
      <c r="F12470" t="s">
        <v>35223</v>
      </c>
    </row>
    <row r="12471" spans="1:12">
      <c r="A12471" t="s">
        <v>30729</v>
      </c>
      <c r="B12471" t="s">
        <v>30730</v>
      </c>
      <c r="C12471" t="s">
        <v>35224</v>
      </c>
      <c r="D12471" t="s">
        <v>30732</v>
      </c>
      <c r="E12471" t="s">
        <v>35225</v>
      </c>
      <c r="F12471" t="s">
        <v>35226</v>
      </c>
      <c r="J12471" t="s">
        <v>35225</v>
      </c>
      <c r="K12471" t="s">
        <v>21600</v>
      </c>
      <c r="L12471" t="s">
        <v>3616</v>
      </c>
    </row>
    <row r="12472" spans="1:12">
      <c r="A12472" t="s">
        <v>30729</v>
      </c>
      <c r="B12472" t="s">
        <v>30730</v>
      </c>
      <c r="C12472" t="s">
        <v>35227</v>
      </c>
      <c r="D12472" t="s">
        <v>30732</v>
      </c>
      <c r="E12472" t="s">
        <v>25757</v>
      </c>
      <c r="F12472" t="s">
        <v>35228</v>
      </c>
      <c r="J12472" t="s">
        <v>25757</v>
      </c>
      <c r="K12472" t="s">
        <v>21600</v>
      </c>
      <c r="L12472" t="s">
        <v>3616</v>
      </c>
    </row>
    <row r="12473" spans="1:12">
      <c r="A12473" t="s">
        <v>30729</v>
      </c>
      <c r="B12473" t="s">
        <v>30730</v>
      </c>
      <c r="C12473" t="s">
        <v>35229</v>
      </c>
      <c r="D12473" t="s">
        <v>30732</v>
      </c>
      <c r="E12473" t="s">
        <v>35230</v>
      </c>
      <c r="F12473" t="s">
        <v>35231</v>
      </c>
      <c r="J12473" t="s">
        <v>35230</v>
      </c>
      <c r="K12473" t="s">
        <v>21600</v>
      </c>
      <c r="L12473" t="s">
        <v>3616</v>
      </c>
    </row>
    <row r="12474" spans="1:12">
      <c r="A12474" t="s">
        <v>30729</v>
      </c>
      <c r="B12474" t="s">
        <v>30730</v>
      </c>
      <c r="C12474" t="s">
        <v>35232</v>
      </c>
      <c r="D12474" t="s">
        <v>30732</v>
      </c>
      <c r="E12474" t="s">
        <v>11412</v>
      </c>
      <c r="F12474" t="s">
        <v>35233</v>
      </c>
      <c r="J12474" t="s">
        <v>11412</v>
      </c>
      <c r="K12474" t="s">
        <v>21600</v>
      </c>
      <c r="L12474" t="s">
        <v>3616</v>
      </c>
    </row>
    <row r="12475" spans="1:12">
      <c r="A12475" t="s">
        <v>30729</v>
      </c>
      <c r="B12475" t="s">
        <v>30730</v>
      </c>
      <c r="C12475" t="s">
        <v>35234</v>
      </c>
      <c r="D12475" t="s">
        <v>30732</v>
      </c>
      <c r="E12475" t="s">
        <v>13682</v>
      </c>
      <c r="F12475" t="s">
        <v>35235</v>
      </c>
    </row>
    <row r="12476" spans="1:12">
      <c r="A12476" t="s">
        <v>30729</v>
      </c>
      <c r="B12476" t="s">
        <v>30730</v>
      </c>
      <c r="C12476" t="s">
        <v>35236</v>
      </c>
      <c r="D12476" t="s">
        <v>30732</v>
      </c>
      <c r="E12476" t="s">
        <v>35237</v>
      </c>
      <c r="F12476" t="s">
        <v>35238</v>
      </c>
      <c r="J12476" t="s">
        <v>35237</v>
      </c>
      <c r="K12476" t="s">
        <v>21600</v>
      </c>
      <c r="L12476" t="s">
        <v>3616</v>
      </c>
    </row>
    <row r="12477" spans="1:12">
      <c r="A12477" t="s">
        <v>30729</v>
      </c>
      <c r="B12477" t="s">
        <v>30730</v>
      </c>
      <c r="C12477" t="s">
        <v>35239</v>
      </c>
      <c r="D12477" t="s">
        <v>30732</v>
      </c>
      <c r="E12477" t="s">
        <v>4283</v>
      </c>
      <c r="F12477" t="s">
        <v>35240</v>
      </c>
      <c r="J12477" t="s">
        <v>4283</v>
      </c>
      <c r="K12477" t="s">
        <v>21600</v>
      </c>
      <c r="L12477" t="s">
        <v>3616</v>
      </c>
    </row>
    <row r="12478" spans="1:12">
      <c r="A12478" t="s">
        <v>30729</v>
      </c>
      <c r="B12478" t="s">
        <v>30730</v>
      </c>
      <c r="C12478" t="s">
        <v>35241</v>
      </c>
      <c r="D12478" t="s">
        <v>30732</v>
      </c>
      <c r="E12478" t="s">
        <v>35242</v>
      </c>
      <c r="F12478" t="s">
        <v>35243</v>
      </c>
      <c r="J12478" t="s">
        <v>35242</v>
      </c>
      <c r="K12478" t="s">
        <v>21600</v>
      </c>
      <c r="L12478" t="s">
        <v>3616</v>
      </c>
    </row>
    <row r="12479" spans="1:12">
      <c r="A12479" t="s">
        <v>30729</v>
      </c>
      <c r="B12479" t="s">
        <v>30730</v>
      </c>
      <c r="C12479" t="s">
        <v>35244</v>
      </c>
      <c r="D12479" t="s">
        <v>30732</v>
      </c>
      <c r="E12479" t="s">
        <v>8166</v>
      </c>
      <c r="F12479" t="s">
        <v>35245</v>
      </c>
      <c r="J12479" t="s">
        <v>8166</v>
      </c>
      <c r="K12479" t="s">
        <v>21600</v>
      </c>
      <c r="L12479" t="s">
        <v>3616</v>
      </c>
    </row>
    <row r="12480" spans="1:12">
      <c r="A12480" t="s">
        <v>30729</v>
      </c>
      <c r="B12480" t="s">
        <v>30730</v>
      </c>
      <c r="C12480" t="s">
        <v>35246</v>
      </c>
      <c r="D12480" t="s">
        <v>30732</v>
      </c>
      <c r="E12480" t="s">
        <v>35247</v>
      </c>
      <c r="F12480" t="s">
        <v>35248</v>
      </c>
      <c r="J12480" t="s">
        <v>35247</v>
      </c>
      <c r="K12480" t="s">
        <v>21600</v>
      </c>
      <c r="L12480" t="s">
        <v>3616</v>
      </c>
    </row>
    <row r="12481" spans="1:12">
      <c r="A12481" t="s">
        <v>30729</v>
      </c>
      <c r="B12481" t="s">
        <v>30730</v>
      </c>
      <c r="C12481" t="s">
        <v>35249</v>
      </c>
      <c r="D12481" t="s">
        <v>30732</v>
      </c>
      <c r="E12481" t="s">
        <v>35250</v>
      </c>
      <c r="F12481" t="s">
        <v>35251</v>
      </c>
      <c r="J12481" t="s">
        <v>35250</v>
      </c>
      <c r="K12481" t="s">
        <v>21600</v>
      </c>
      <c r="L12481" t="s">
        <v>3616</v>
      </c>
    </row>
    <row r="12482" spans="1:12">
      <c r="A12482" t="s">
        <v>30729</v>
      </c>
      <c r="B12482" t="s">
        <v>30730</v>
      </c>
      <c r="C12482" t="s">
        <v>35252</v>
      </c>
      <c r="D12482" t="s">
        <v>30732</v>
      </c>
      <c r="E12482" t="s">
        <v>35253</v>
      </c>
      <c r="F12482" t="s">
        <v>35254</v>
      </c>
      <c r="J12482" t="s">
        <v>35253</v>
      </c>
      <c r="K12482" t="s">
        <v>21600</v>
      </c>
      <c r="L12482" t="s">
        <v>3616</v>
      </c>
    </row>
    <row r="12483" spans="1:12">
      <c r="A12483" t="s">
        <v>30729</v>
      </c>
      <c r="B12483" t="s">
        <v>30730</v>
      </c>
      <c r="C12483" t="s">
        <v>35255</v>
      </c>
      <c r="D12483" t="s">
        <v>30732</v>
      </c>
      <c r="E12483" t="s">
        <v>35256</v>
      </c>
      <c r="F12483" t="s">
        <v>35257</v>
      </c>
    </row>
    <row r="12484" spans="1:12">
      <c r="A12484" t="s">
        <v>30729</v>
      </c>
      <c r="B12484" t="s">
        <v>30730</v>
      </c>
      <c r="C12484" t="s">
        <v>35258</v>
      </c>
      <c r="D12484" t="s">
        <v>30732</v>
      </c>
      <c r="E12484" t="s">
        <v>35259</v>
      </c>
      <c r="F12484" t="s">
        <v>35260</v>
      </c>
    </row>
    <row r="12485" spans="1:12">
      <c r="A12485" t="s">
        <v>30729</v>
      </c>
      <c r="B12485" t="s">
        <v>30730</v>
      </c>
      <c r="C12485" t="s">
        <v>35261</v>
      </c>
      <c r="D12485" t="s">
        <v>30732</v>
      </c>
      <c r="E12485" t="s">
        <v>35262</v>
      </c>
      <c r="F12485" t="s">
        <v>35263</v>
      </c>
      <c r="J12485" t="s">
        <v>35262</v>
      </c>
      <c r="K12485" t="s">
        <v>21600</v>
      </c>
      <c r="L12485" t="s">
        <v>3616</v>
      </c>
    </row>
    <row r="12486" spans="1:12">
      <c r="A12486" t="s">
        <v>30729</v>
      </c>
      <c r="B12486" t="s">
        <v>30730</v>
      </c>
      <c r="C12486" t="s">
        <v>35264</v>
      </c>
      <c r="D12486" t="s">
        <v>30732</v>
      </c>
      <c r="E12486" t="s">
        <v>35265</v>
      </c>
      <c r="F12486" t="s">
        <v>35266</v>
      </c>
    </row>
    <row r="12487" spans="1:12">
      <c r="A12487" t="s">
        <v>30729</v>
      </c>
      <c r="B12487" t="s">
        <v>30730</v>
      </c>
      <c r="C12487" t="s">
        <v>35267</v>
      </c>
      <c r="D12487" t="s">
        <v>30732</v>
      </c>
      <c r="E12487" t="s">
        <v>35268</v>
      </c>
      <c r="F12487" t="s">
        <v>35269</v>
      </c>
    </row>
    <row r="12488" spans="1:12">
      <c r="A12488" t="s">
        <v>30729</v>
      </c>
      <c r="B12488" t="s">
        <v>30730</v>
      </c>
      <c r="C12488" t="s">
        <v>35270</v>
      </c>
      <c r="D12488" t="s">
        <v>30732</v>
      </c>
      <c r="E12488" t="s">
        <v>2783</v>
      </c>
      <c r="F12488" t="s">
        <v>35271</v>
      </c>
      <c r="J12488" t="s">
        <v>2783</v>
      </c>
      <c r="K12488" t="s">
        <v>21600</v>
      </c>
      <c r="L12488" t="s">
        <v>3616</v>
      </c>
    </row>
    <row r="12489" spans="1:12">
      <c r="A12489" t="s">
        <v>30729</v>
      </c>
      <c r="B12489" t="s">
        <v>30730</v>
      </c>
      <c r="C12489" t="s">
        <v>35272</v>
      </c>
      <c r="D12489" t="s">
        <v>30732</v>
      </c>
      <c r="E12489" t="s">
        <v>2786</v>
      </c>
      <c r="F12489" t="s">
        <v>35273</v>
      </c>
      <c r="J12489" t="s">
        <v>2786</v>
      </c>
      <c r="K12489" t="s">
        <v>21600</v>
      </c>
      <c r="L12489" t="s">
        <v>3616</v>
      </c>
    </row>
    <row r="12490" spans="1:12">
      <c r="A12490" t="s">
        <v>30729</v>
      </c>
      <c r="B12490" t="s">
        <v>30730</v>
      </c>
      <c r="C12490" t="s">
        <v>35274</v>
      </c>
      <c r="D12490" t="s">
        <v>30732</v>
      </c>
      <c r="E12490" t="s">
        <v>5217</v>
      </c>
      <c r="F12490" t="s">
        <v>35275</v>
      </c>
    </row>
    <row r="12491" spans="1:12">
      <c r="A12491" t="s">
        <v>30729</v>
      </c>
      <c r="B12491" t="s">
        <v>30730</v>
      </c>
      <c r="C12491" t="s">
        <v>35276</v>
      </c>
      <c r="D12491" t="s">
        <v>30732</v>
      </c>
      <c r="E12491" t="s">
        <v>8361</v>
      </c>
      <c r="F12491" t="s">
        <v>35277</v>
      </c>
    </row>
    <row r="12492" spans="1:12">
      <c r="A12492" t="s">
        <v>30729</v>
      </c>
      <c r="B12492" t="s">
        <v>30730</v>
      </c>
      <c r="C12492" t="s">
        <v>35278</v>
      </c>
      <c r="D12492" t="s">
        <v>30732</v>
      </c>
      <c r="E12492" t="s">
        <v>15897</v>
      </c>
      <c r="F12492" t="s">
        <v>35279</v>
      </c>
    </row>
    <row r="12493" spans="1:12">
      <c r="A12493" t="s">
        <v>30729</v>
      </c>
      <c r="B12493" t="s">
        <v>30730</v>
      </c>
      <c r="C12493" t="s">
        <v>35280</v>
      </c>
      <c r="D12493" t="s">
        <v>30732</v>
      </c>
      <c r="E12493" t="s">
        <v>35281</v>
      </c>
      <c r="F12493" t="s">
        <v>35282</v>
      </c>
    </row>
    <row r="12494" spans="1:12">
      <c r="A12494" t="s">
        <v>30729</v>
      </c>
      <c r="B12494" t="s">
        <v>30730</v>
      </c>
      <c r="C12494" t="s">
        <v>35283</v>
      </c>
      <c r="D12494" t="s">
        <v>30732</v>
      </c>
      <c r="E12494" t="s">
        <v>14511</v>
      </c>
      <c r="F12494" t="s">
        <v>35284</v>
      </c>
      <c r="J12494" t="s">
        <v>14511</v>
      </c>
      <c r="K12494" t="s">
        <v>21600</v>
      </c>
      <c r="L12494" t="s">
        <v>3616</v>
      </c>
    </row>
    <row r="12495" spans="1:12">
      <c r="A12495" t="s">
        <v>30729</v>
      </c>
      <c r="B12495" t="s">
        <v>30730</v>
      </c>
      <c r="C12495" t="s">
        <v>35285</v>
      </c>
      <c r="D12495" t="s">
        <v>30732</v>
      </c>
      <c r="E12495" t="s">
        <v>5223</v>
      </c>
      <c r="F12495" t="s">
        <v>35286</v>
      </c>
    </row>
    <row r="12496" spans="1:12">
      <c r="A12496" t="s">
        <v>30729</v>
      </c>
      <c r="B12496" t="s">
        <v>30730</v>
      </c>
      <c r="C12496" t="s">
        <v>35287</v>
      </c>
      <c r="D12496" t="s">
        <v>30732</v>
      </c>
      <c r="E12496" t="s">
        <v>15276</v>
      </c>
      <c r="F12496" t="s">
        <v>35288</v>
      </c>
      <c r="J12496" t="s">
        <v>15276</v>
      </c>
      <c r="K12496" t="s">
        <v>21600</v>
      </c>
      <c r="L12496" t="s">
        <v>3616</v>
      </c>
    </row>
    <row r="12497" spans="1:12">
      <c r="A12497" t="s">
        <v>30729</v>
      </c>
      <c r="B12497" t="s">
        <v>30730</v>
      </c>
      <c r="C12497" t="s">
        <v>35289</v>
      </c>
      <c r="D12497" t="s">
        <v>30732</v>
      </c>
      <c r="E12497" t="s">
        <v>35290</v>
      </c>
      <c r="F12497" t="s">
        <v>35291</v>
      </c>
      <c r="J12497" t="s">
        <v>35290</v>
      </c>
      <c r="K12497" t="s">
        <v>21600</v>
      </c>
      <c r="L12497" t="s">
        <v>3616</v>
      </c>
    </row>
    <row r="12498" spans="1:12">
      <c r="A12498" t="s">
        <v>30729</v>
      </c>
      <c r="B12498" t="s">
        <v>30730</v>
      </c>
      <c r="C12498" t="s">
        <v>35292</v>
      </c>
      <c r="D12498" t="s">
        <v>30732</v>
      </c>
      <c r="E12498" t="s">
        <v>12903</v>
      </c>
      <c r="F12498" t="s">
        <v>35293</v>
      </c>
    </row>
    <row r="12499" spans="1:12">
      <c r="A12499" t="s">
        <v>30729</v>
      </c>
      <c r="B12499" t="s">
        <v>30730</v>
      </c>
      <c r="C12499" t="s">
        <v>35294</v>
      </c>
      <c r="D12499" t="s">
        <v>30732</v>
      </c>
      <c r="E12499" t="s">
        <v>35295</v>
      </c>
      <c r="F12499" t="s">
        <v>35296</v>
      </c>
      <c r="J12499" t="s">
        <v>35295</v>
      </c>
      <c r="K12499" t="s">
        <v>21600</v>
      </c>
      <c r="L12499" t="s">
        <v>3616</v>
      </c>
    </row>
    <row r="12500" spans="1:12">
      <c r="A12500" t="s">
        <v>30729</v>
      </c>
      <c r="B12500" t="s">
        <v>30730</v>
      </c>
      <c r="C12500" t="s">
        <v>35297</v>
      </c>
      <c r="D12500" t="s">
        <v>30732</v>
      </c>
      <c r="E12500" t="s">
        <v>35298</v>
      </c>
      <c r="F12500" t="s">
        <v>35299</v>
      </c>
    </row>
    <row r="12501" spans="1:12">
      <c r="A12501" t="s">
        <v>30729</v>
      </c>
      <c r="B12501" t="s">
        <v>30730</v>
      </c>
      <c r="C12501" t="s">
        <v>35300</v>
      </c>
      <c r="D12501" t="s">
        <v>30732</v>
      </c>
      <c r="E12501" t="s">
        <v>35301</v>
      </c>
      <c r="F12501" t="s">
        <v>35302</v>
      </c>
      <c r="J12501" t="s">
        <v>35301</v>
      </c>
      <c r="K12501" t="s">
        <v>21600</v>
      </c>
      <c r="L12501" t="s">
        <v>3616</v>
      </c>
    </row>
    <row r="12502" spans="1:12">
      <c r="A12502" t="s">
        <v>30729</v>
      </c>
      <c r="B12502" t="s">
        <v>30730</v>
      </c>
      <c r="C12502" t="s">
        <v>35303</v>
      </c>
      <c r="D12502" t="s">
        <v>30732</v>
      </c>
      <c r="E12502" t="s">
        <v>35304</v>
      </c>
      <c r="F12502" t="s">
        <v>35305</v>
      </c>
      <c r="J12502" t="s">
        <v>35304</v>
      </c>
      <c r="K12502" t="s">
        <v>21600</v>
      </c>
      <c r="L12502" t="s">
        <v>3616</v>
      </c>
    </row>
    <row r="12503" spans="1:12">
      <c r="A12503" t="s">
        <v>30729</v>
      </c>
      <c r="B12503" t="s">
        <v>30730</v>
      </c>
      <c r="C12503" t="s">
        <v>35306</v>
      </c>
      <c r="D12503" t="s">
        <v>30732</v>
      </c>
      <c r="E12503" t="s">
        <v>10794</v>
      </c>
      <c r="F12503" t="s">
        <v>35307</v>
      </c>
    </row>
    <row r="12504" spans="1:12">
      <c r="A12504" t="s">
        <v>30729</v>
      </c>
      <c r="B12504" t="s">
        <v>30730</v>
      </c>
      <c r="C12504" t="s">
        <v>35308</v>
      </c>
      <c r="D12504" t="s">
        <v>30732</v>
      </c>
      <c r="E12504" t="s">
        <v>35309</v>
      </c>
      <c r="F12504" t="s">
        <v>35310</v>
      </c>
      <c r="J12504" t="s">
        <v>35309</v>
      </c>
      <c r="K12504" t="s">
        <v>21600</v>
      </c>
      <c r="L12504" t="s">
        <v>3616</v>
      </c>
    </row>
    <row r="12505" spans="1:12">
      <c r="A12505" t="s">
        <v>30729</v>
      </c>
      <c r="B12505" t="s">
        <v>30730</v>
      </c>
      <c r="C12505" t="s">
        <v>35311</v>
      </c>
      <c r="D12505" t="s">
        <v>30732</v>
      </c>
      <c r="E12505" t="s">
        <v>35312</v>
      </c>
      <c r="F12505" t="s">
        <v>35313</v>
      </c>
      <c r="J12505" t="s">
        <v>35312</v>
      </c>
      <c r="K12505" t="s">
        <v>21600</v>
      </c>
      <c r="L12505" t="s">
        <v>3616</v>
      </c>
    </row>
    <row r="12506" spans="1:12">
      <c r="A12506" t="s">
        <v>30729</v>
      </c>
      <c r="B12506" t="s">
        <v>30730</v>
      </c>
      <c r="C12506" t="s">
        <v>35314</v>
      </c>
      <c r="D12506" t="s">
        <v>30732</v>
      </c>
      <c r="E12506" t="s">
        <v>10694</v>
      </c>
      <c r="F12506" t="s">
        <v>35315</v>
      </c>
    </row>
    <row r="12507" spans="1:12">
      <c r="A12507" t="s">
        <v>30729</v>
      </c>
      <c r="B12507" t="s">
        <v>30730</v>
      </c>
      <c r="C12507" t="s">
        <v>35316</v>
      </c>
      <c r="D12507" t="s">
        <v>30732</v>
      </c>
      <c r="E12507" t="s">
        <v>35317</v>
      </c>
      <c r="F12507" t="s">
        <v>35318</v>
      </c>
      <c r="J12507" t="s">
        <v>35317</v>
      </c>
      <c r="K12507" t="s">
        <v>21600</v>
      </c>
      <c r="L12507" t="s">
        <v>3616</v>
      </c>
    </row>
    <row r="12508" spans="1:12">
      <c r="A12508" t="s">
        <v>30729</v>
      </c>
      <c r="B12508" t="s">
        <v>30730</v>
      </c>
      <c r="C12508" t="s">
        <v>35319</v>
      </c>
      <c r="D12508" t="s">
        <v>30732</v>
      </c>
      <c r="E12508" t="s">
        <v>12065</v>
      </c>
      <c r="F12508" t="s">
        <v>35320</v>
      </c>
    </row>
    <row r="12509" spans="1:12">
      <c r="A12509" t="s">
        <v>30729</v>
      </c>
      <c r="B12509" t="s">
        <v>30730</v>
      </c>
      <c r="C12509" t="s">
        <v>35321</v>
      </c>
      <c r="D12509" t="s">
        <v>30732</v>
      </c>
      <c r="E12509" t="s">
        <v>11031</v>
      </c>
      <c r="F12509" t="s">
        <v>35322</v>
      </c>
      <c r="J12509" t="s">
        <v>11031</v>
      </c>
      <c r="K12509" t="s">
        <v>21600</v>
      </c>
      <c r="L12509" t="s">
        <v>3616</v>
      </c>
    </row>
    <row r="12510" spans="1:12">
      <c r="A12510" t="s">
        <v>30729</v>
      </c>
      <c r="B12510" t="s">
        <v>30730</v>
      </c>
      <c r="C12510" t="s">
        <v>35323</v>
      </c>
      <c r="D12510" t="s">
        <v>30732</v>
      </c>
      <c r="E12510" t="s">
        <v>24825</v>
      </c>
      <c r="F12510" t="s">
        <v>35324</v>
      </c>
      <c r="J12510" t="s">
        <v>24825</v>
      </c>
      <c r="K12510" t="s">
        <v>21600</v>
      </c>
      <c r="L12510" t="s">
        <v>3616</v>
      </c>
    </row>
    <row r="12511" spans="1:12">
      <c r="A12511" t="s">
        <v>30729</v>
      </c>
      <c r="B12511" t="s">
        <v>30730</v>
      </c>
      <c r="C12511" t="s">
        <v>35325</v>
      </c>
      <c r="D12511" t="s">
        <v>30732</v>
      </c>
      <c r="E12511" t="s">
        <v>35326</v>
      </c>
      <c r="F12511" t="s">
        <v>35327</v>
      </c>
      <c r="J12511" t="s">
        <v>35326</v>
      </c>
      <c r="K12511" t="s">
        <v>21600</v>
      </c>
      <c r="L12511" t="s">
        <v>3616</v>
      </c>
    </row>
    <row r="12512" spans="1:12">
      <c r="A12512" t="s">
        <v>30729</v>
      </c>
      <c r="B12512" t="s">
        <v>30730</v>
      </c>
      <c r="C12512" t="s">
        <v>35328</v>
      </c>
      <c r="D12512" t="s">
        <v>30732</v>
      </c>
      <c r="E12512" t="s">
        <v>12910</v>
      </c>
      <c r="F12512" t="s">
        <v>35329</v>
      </c>
      <c r="J12512" t="s">
        <v>12910</v>
      </c>
      <c r="K12512" t="s">
        <v>21600</v>
      </c>
      <c r="L12512" t="s">
        <v>3616</v>
      </c>
    </row>
    <row r="12513" spans="1:12">
      <c r="A12513" t="s">
        <v>30729</v>
      </c>
      <c r="B12513" t="s">
        <v>30730</v>
      </c>
      <c r="C12513" t="s">
        <v>35330</v>
      </c>
      <c r="D12513" t="s">
        <v>30732</v>
      </c>
      <c r="E12513" t="s">
        <v>35331</v>
      </c>
      <c r="F12513" t="s">
        <v>35332</v>
      </c>
      <c r="J12513" t="s">
        <v>35331</v>
      </c>
      <c r="K12513" t="s">
        <v>21600</v>
      </c>
      <c r="L12513" t="s">
        <v>3616</v>
      </c>
    </row>
    <row r="12514" spans="1:12">
      <c r="A12514" t="s">
        <v>30729</v>
      </c>
      <c r="B12514" t="s">
        <v>30730</v>
      </c>
      <c r="C12514" t="s">
        <v>35333</v>
      </c>
      <c r="D12514" t="s">
        <v>30732</v>
      </c>
      <c r="E12514" t="s">
        <v>12913</v>
      </c>
      <c r="F12514" t="s">
        <v>35334</v>
      </c>
    </row>
    <row r="12515" spans="1:12">
      <c r="A12515" t="s">
        <v>30729</v>
      </c>
      <c r="B12515" t="s">
        <v>30730</v>
      </c>
      <c r="C12515" t="s">
        <v>35335</v>
      </c>
      <c r="D12515" t="s">
        <v>30732</v>
      </c>
      <c r="E12515" t="s">
        <v>10797</v>
      </c>
      <c r="F12515" t="s">
        <v>35336</v>
      </c>
      <c r="J12515" t="s">
        <v>10797</v>
      </c>
      <c r="K12515" t="s">
        <v>21600</v>
      </c>
      <c r="L12515" t="s">
        <v>3616</v>
      </c>
    </row>
    <row r="12516" spans="1:12">
      <c r="A12516" t="s">
        <v>30729</v>
      </c>
      <c r="B12516" t="s">
        <v>30730</v>
      </c>
      <c r="C12516" t="s">
        <v>35337</v>
      </c>
      <c r="D12516" t="s">
        <v>30732</v>
      </c>
      <c r="E12516" t="s">
        <v>2804</v>
      </c>
      <c r="F12516" t="s">
        <v>35338</v>
      </c>
    </row>
    <row r="12517" spans="1:12">
      <c r="A12517" t="s">
        <v>30729</v>
      </c>
      <c r="B12517" t="s">
        <v>30730</v>
      </c>
      <c r="C12517" t="s">
        <v>35339</v>
      </c>
      <c r="D12517" t="s">
        <v>30732</v>
      </c>
      <c r="E12517" t="s">
        <v>28569</v>
      </c>
      <c r="F12517" t="s">
        <v>35340</v>
      </c>
      <c r="J12517" t="s">
        <v>28569</v>
      </c>
      <c r="K12517" t="s">
        <v>21600</v>
      </c>
      <c r="L12517" t="s">
        <v>3616</v>
      </c>
    </row>
    <row r="12518" spans="1:12">
      <c r="A12518" t="s">
        <v>30729</v>
      </c>
      <c r="B12518" t="s">
        <v>30730</v>
      </c>
      <c r="C12518" t="s">
        <v>35341</v>
      </c>
      <c r="D12518" t="s">
        <v>30732</v>
      </c>
      <c r="E12518" t="s">
        <v>12918</v>
      </c>
      <c r="F12518" t="s">
        <v>35342</v>
      </c>
      <c r="J12518" t="s">
        <v>12918</v>
      </c>
      <c r="K12518" t="s">
        <v>21600</v>
      </c>
      <c r="L12518" t="s">
        <v>3616</v>
      </c>
    </row>
    <row r="12519" spans="1:12">
      <c r="A12519" t="s">
        <v>30729</v>
      </c>
      <c r="B12519" t="s">
        <v>30730</v>
      </c>
      <c r="C12519" t="s">
        <v>35343</v>
      </c>
      <c r="D12519" t="s">
        <v>30732</v>
      </c>
      <c r="E12519" t="s">
        <v>30438</v>
      </c>
      <c r="F12519" t="s">
        <v>35344</v>
      </c>
      <c r="J12519" t="s">
        <v>30438</v>
      </c>
      <c r="K12519" t="s">
        <v>21600</v>
      </c>
      <c r="L12519" t="s">
        <v>3616</v>
      </c>
    </row>
    <row r="12520" spans="1:12">
      <c r="A12520" t="s">
        <v>30729</v>
      </c>
      <c r="B12520" t="s">
        <v>30730</v>
      </c>
      <c r="C12520" t="s">
        <v>35345</v>
      </c>
      <c r="D12520" t="s">
        <v>30732</v>
      </c>
      <c r="E12520" t="s">
        <v>12921</v>
      </c>
      <c r="F12520" t="s">
        <v>35346</v>
      </c>
      <c r="J12520" t="s">
        <v>12921</v>
      </c>
      <c r="K12520" t="s">
        <v>21600</v>
      </c>
      <c r="L12520" t="s">
        <v>3616</v>
      </c>
    </row>
    <row r="12521" spans="1:12">
      <c r="A12521" t="s">
        <v>30729</v>
      </c>
      <c r="B12521" t="s">
        <v>30730</v>
      </c>
      <c r="C12521" t="s">
        <v>35347</v>
      </c>
      <c r="D12521" t="s">
        <v>30732</v>
      </c>
      <c r="E12521" t="s">
        <v>35348</v>
      </c>
      <c r="F12521" t="s">
        <v>35349</v>
      </c>
      <c r="J12521" t="s">
        <v>35348</v>
      </c>
      <c r="K12521" t="s">
        <v>21600</v>
      </c>
      <c r="L12521" t="s">
        <v>3616</v>
      </c>
    </row>
    <row r="12522" spans="1:12">
      <c r="A12522" t="s">
        <v>30729</v>
      </c>
      <c r="B12522" t="s">
        <v>30730</v>
      </c>
      <c r="C12522" t="s">
        <v>35350</v>
      </c>
      <c r="D12522" t="s">
        <v>30732</v>
      </c>
      <c r="E12522" t="s">
        <v>35351</v>
      </c>
      <c r="F12522" t="s">
        <v>35352</v>
      </c>
      <c r="J12522" t="s">
        <v>35351</v>
      </c>
      <c r="K12522" t="s">
        <v>21600</v>
      </c>
      <c r="L12522" t="s">
        <v>3616</v>
      </c>
    </row>
    <row r="12523" spans="1:12">
      <c r="A12523" t="s">
        <v>30729</v>
      </c>
      <c r="B12523" t="s">
        <v>30730</v>
      </c>
      <c r="C12523" t="s">
        <v>35353</v>
      </c>
      <c r="D12523" t="s">
        <v>30732</v>
      </c>
      <c r="E12523" t="s">
        <v>35354</v>
      </c>
      <c r="F12523" t="s">
        <v>35355</v>
      </c>
      <c r="J12523" t="s">
        <v>35354</v>
      </c>
      <c r="K12523" t="s">
        <v>21600</v>
      </c>
      <c r="L12523" t="s">
        <v>3616</v>
      </c>
    </row>
    <row r="12524" spans="1:12">
      <c r="A12524" t="s">
        <v>30729</v>
      </c>
      <c r="B12524" t="s">
        <v>30730</v>
      </c>
      <c r="C12524" t="s">
        <v>35356</v>
      </c>
      <c r="D12524" t="s">
        <v>30732</v>
      </c>
      <c r="E12524" t="s">
        <v>35357</v>
      </c>
      <c r="F12524" t="s">
        <v>35358</v>
      </c>
      <c r="J12524" t="s">
        <v>35357</v>
      </c>
      <c r="K12524" t="s">
        <v>21600</v>
      </c>
      <c r="L12524" t="s">
        <v>3616</v>
      </c>
    </row>
    <row r="12525" spans="1:12">
      <c r="A12525" t="s">
        <v>30729</v>
      </c>
      <c r="B12525" t="s">
        <v>30730</v>
      </c>
      <c r="C12525" t="s">
        <v>35359</v>
      </c>
      <c r="D12525" t="s">
        <v>30732</v>
      </c>
      <c r="E12525" t="s">
        <v>7789</v>
      </c>
      <c r="F12525" t="s">
        <v>35360</v>
      </c>
      <c r="J12525" t="s">
        <v>7789</v>
      </c>
      <c r="K12525" t="s">
        <v>21600</v>
      </c>
      <c r="L12525" t="s">
        <v>3616</v>
      </c>
    </row>
    <row r="12526" spans="1:12">
      <c r="A12526" t="s">
        <v>30729</v>
      </c>
      <c r="B12526" t="s">
        <v>30730</v>
      </c>
      <c r="C12526" t="s">
        <v>35361</v>
      </c>
      <c r="D12526" t="s">
        <v>30732</v>
      </c>
      <c r="E12526" t="s">
        <v>2807</v>
      </c>
      <c r="F12526" t="s">
        <v>35362</v>
      </c>
    </row>
    <row r="12527" spans="1:12">
      <c r="A12527" t="s">
        <v>30729</v>
      </c>
      <c r="B12527" t="s">
        <v>30730</v>
      </c>
      <c r="C12527" t="s">
        <v>35363</v>
      </c>
      <c r="D12527" t="s">
        <v>30732</v>
      </c>
      <c r="E12527" t="s">
        <v>8022</v>
      </c>
      <c r="F12527" t="s">
        <v>35364</v>
      </c>
    </row>
    <row r="12528" spans="1:12">
      <c r="A12528" t="s">
        <v>30729</v>
      </c>
      <c r="B12528" t="s">
        <v>30730</v>
      </c>
      <c r="C12528" t="s">
        <v>35365</v>
      </c>
      <c r="D12528" t="s">
        <v>30732</v>
      </c>
      <c r="E12528" t="s">
        <v>6526</v>
      </c>
      <c r="F12528" t="s">
        <v>35366</v>
      </c>
    </row>
    <row r="12529" spans="1:12">
      <c r="A12529" t="s">
        <v>30729</v>
      </c>
      <c r="B12529" t="s">
        <v>30730</v>
      </c>
      <c r="C12529" t="s">
        <v>35367</v>
      </c>
      <c r="D12529" t="s">
        <v>30732</v>
      </c>
      <c r="E12529" t="s">
        <v>10560</v>
      </c>
      <c r="F12529" t="s">
        <v>35368</v>
      </c>
      <c r="J12529" t="s">
        <v>10560</v>
      </c>
      <c r="K12529" t="s">
        <v>21600</v>
      </c>
      <c r="L12529" t="s">
        <v>3616</v>
      </c>
    </row>
    <row r="12530" spans="1:12">
      <c r="A12530" t="s">
        <v>30729</v>
      </c>
      <c r="B12530" t="s">
        <v>30730</v>
      </c>
      <c r="C12530" t="s">
        <v>35369</v>
      </c>
      <c r="D12530" t="s">
        <v>30732</v>
      </c>
      <c r="E12530" t="s">
        <v>3404</v>
      </c>
      <c r="F12530" t="s">
        <v>35370</v>
      </c>
    </row>
    <row r="12531" spans="1:12">
      <c r="A12531" t="s">
        <v>30729</v>
      </c>
      <c r="B12531" t="s">
        <v>30730</v>
      </c>
      <c r="C12531" t="s">
        <v>35371</v>
      </c>
      <c r="D12531" t="s">
        <v>30732</v>
      </c>
      <c r="E12531" t="s">
        <v>35372</v>
      </c>
      <c r="F12531" t="s">
        <v>35373</v>
      </c>
      <c r="J12531" t="s">
        <v>35372</v>
      </c>
      <c r="K12531" t="s">
        <v>21600</v>
      </c>
      <c r="L12531" t="s">
        <v>3616</v>
      </c>
    </row>
    <row r="12532" spans="1:12">
      <c r="A12532" t="s">
        <v>30729</v>
      </c>
      <c r="B12532" t="s">
        <v>30730</v>
      </c>
      <c r="C12532" t="s">
        <v>35374</v>
      </c>
      <c r="D12532" t="s">
        <v>30732</v>
      </c>
      <c r="E12532" t="s">
        <v>35375</v>
      </c>
      <c r="F12532" t="s">
        <v>35376</v>
      </c>
      <c r="J12532" t="s">
        <v>35375</v>
      </c>
      <c r="K12532" t="s">
        <v>21600</v>
      </c>
      <c r="L12532" t="s">
        <v>3616</v>
      </c>
    </row>
    <row r="12533" spans="1:12">
      <c r="A12533" t="s">
        <v>30729</v>
      </c>
      <c r="B12533" t="s">
        <v>30730</v>
      </c>
      <c r="C12533" t="s">
        <v>35377</v>
      </c>
      <c r="D12533" t="s">
        <v>30732</v>
      </c>
      <c r="E12533" t="s">
        <v>35378</v>
      </c>
      <c r="F12533" t="s">
        <v>35379</v>
      </c>
      <c r="J12533" t="s">
        <v>35378</v>
      </c>
      <c r="K12533" t="s">
        <v>21600</v>
      </c>
      <c r="L12533" t="s">
        <v>3616</v>
      </c>
    </row>
    <row r="12534" spans="1:12">
      <c r="A12534" t="s">
        <v>30729</v>
      </c>
      <c r="B12534" t="s">
        <v>30730</v>
      </c>
      <c r="C12534" t="s">
        <v>35380</v>
      </c>
      <c r="D12534" t="s">
        <v>30732</v>
      </c>
      <c r="E12534" t="s">
        <v>35381</v>
      </c>
      <c r="F12534" t="s">
        <v>35382</v>
      </c>
      <c r="J12534" t="s">
        <v>35381</v>
      </c>
      <c r="K12534" t="s">
        <v>21600</v>
      </c>
      <c r="L12534" t="s">
        <v>3616</v>
      </c>
    </row>
    <row r="12535" spans="1:12">
      <c r="A12535" t="s">
        <v>30729</v>
      </c>
      <c r="B12535" t="s">
        <v>30730</v>
      </c>
      <c r="C12535" t="s">
        <v>35383</v>
      </c>
      <c r="D12535" t="s">
        <v>30732</v>
      </c>
      <c r="E12535" t="s">
        <v>35384</v>
      </c>
      <c r="F12535" t="s">
        <v>35385</v>
      </c>
      <c r="J12535" t="s">
        <v>35384</v>
      </c>
      <c r="K12535" t="s">
        <v>21600</v>
      </c>
      <c r="L12535" t="s">
        <v>3616</v>
      </c>
    </row>
    <row r="12536" spans="1:12">
      <c r="A12536" t="s">
        <v>30729</v>
      </c>
      <c r="B12536" t="s">
        <v>30730</v>
      </c>
      <c r="C12536" t="s">
        <v>35386</v>
      </c>
      <c r="D12536" t="s">
        <v>30732</v>
      </c>
      <c r="E12536" t="s">
        <v>35387</v>
      </c>
      <c r="F12536" t="s">
        <v>35388</v>
      </c>
      <c r="J12536" t="s">
        <v>35387</v>
      </c>
      <c r="K12536" t="s">
        <v>21600</v>
      </c>
      <c r="L12536" t="s">
        <v>3616</v>
      </c>
    </row>
    <row r="12537" spans="1:12">
      <c r="A12537" t="s">
        <v>30729</v>
      </c>
      <c r="B12537" t="s">
        <v>30730</v>
      </c>
      <c r="C12537" t="s">
        <v>35389</v>
      </c>
      <c r="D12537" t="s">
        <v>30732</v>
      </c>
      <c r="E12537" t="s">
        <v>35390</v>
      </c>
      <c r="F12537" t="s">
        <v>35391</v>
      </c>
      <c r="J12537" t="s">
        <v>35390</v>
      </c>
      <c r="K12537" t="s">
        <v>21600</v>
      </c>
      <c r="L12537" t="s">
        <v>3616</v>
      </c>
    </row>
    <row r="12538" spans="1:12">
      <c r="A12538" t="s">
        <v>30729</v>
      </c>
      <c r="B12538" t="s">
        <v>30730</v>
      </c>
      <c r="C12538" t="s">
        <v>35392</v>
      </c>
      <c r="D12538" t="s">
        <v>30732</v>
      </c>
      <c r="E12538" t="s">
        <v>35393</v>
      </c>
      <c r="F12538" t="s">
        <v>35394</v>
      </c>
      <c r="J12538" t="s">
        <v>35393</v>
      </c>
      <c r="K12538" t="s">
        <v>21600</v>
      </c>
      <c r="L12538" t="s">
        <v>3616</v>
      </c>
    </row>
    <row r="12539" spans="1:12">
      <c r="A12539" t="s">
        <v>30729</v>
      </c>
      <c r="B12539" t="s">
        <v>30730</v>
      </c>
      <c r="C12539" t="s">
        <v>35395</v>
      </c>
      <c r="D12539" t="s">
        <v>30732</v>
      </c>
      <c r="E12539" t="s">
        <v>35396</v>
      </c>
      <c r="F12539" t="s">
        <v>31642</v>
      </c>
      <c r="J12539" t="s">
        <v>35396</v>
      </c>
      <c r="K12539" t="s">
        <v>21600</v>
      </c>
      <c r="L12539" t="s">
        <v>3616</v>
      </c>
    </row>
    <row r="12540" spans="1:12">
      <c r="A12540" t="s">
        <v>30729</v>
      </c>
      <c r="B12540" t="s">
        <v>30730</v>
      </c>
      <c r="C12540" t="s">
        <v>35397</v>
      </c>
      <c r="D12540" t="s">
        <v>30732</v>
      </c>
      <c r="E12540" t="s">
        <v>35398</v>
      </c>
      <c r="F12540" t="s">
        <v>35399</v>
      </c>
      <c r="J12540" t="s">
        <v>35398</v>
      </c>
      <c r="K12540" t="s">
        <v>21600</v>
      </c>
      <c r="L12540" t="s">
        <v>3616</v>
      </c>
    </row>
    <row r="12541" spans="1:12">
      <c r="A12541" t="s">
        <v>30729</v>
      </c>
      <c r="B12541" t="s">
        <v>30730</v>
      </c>
      <c r="C12541" t="s">
        <v>35400</v>
      </c>
      <c r="D12541" t="s">
        <v>30732</v>
      </c>
      <c r="E12541" t="s">
        <v>2816</v>
      </c>
      <c r="F12541" t="s">
        <v>35401</v>
      </c>
      <c r="J12541" t="s">
        <v>2816</v>
      </c>
      <c r="K12541" t="s">
        <v>21600</v>
      </c>
      <c r="L12541" t="s">
        <v>3616</v>
      </c>
    </row>
    <row r="12542" spans="1:12">
      <c r="A12542" t="s">
        <v>30729</v>
      </c>
      <c r="B12542" t="s">
        <v>30730</v>
      </c>
      <c r="C12542" t="s">
        <v>35402</v>
      </c>
      <c r="D12542" t="s">
        <v>30732</v>
      </c>
      <c r="E12542" t="s">
        <v>35403</v>
      </c>
      <c r="F12542" t="s">
        <v>35404</v>
      </c>
      <c r="J12542" t="s">
        <v>35403</v>
      </c>
      <c r="K12542" t="s">
        <v>21600</v>
      </c>
      <c r="L12542" t="s">
        <v>3616</v>
      </c>
    </row>
    <row r="12543" spans="1:12">
      <c r="A12543" t="s">
        <v>30729</v>
      </c>
      <c r="B12543" t="s">
        <v>30730</v>
      </c>
      <c r="C12543" t="s">
        <v>35405</v>
      </c>
      <c r="D12543" t="s">
        <v>30732</v>
      </c>
      <c r="E12543" t="s">
        <v>35406</v>
      </c>
      <c r="F12543" t="s">
        <v>35407</v>
      </c>
      <c r="J12543" t="s">
        <v>35406</v>
      </c>
      <c r="K12543" t="s">
        <v>21600</v>
      </c>
      <c r="L12543" t="s">
        <v>3616</v>
      </c>
    </row>
    <row r="12544" spans="1:12">
      <c r="A12544" t="s">
        <v>30729</v>
      </c>
      <c r="B12544" t="s">
        <v>30730</v>
      </c>
      <c r="C12544" t="s">
        <v>35408</v>
      </c>
      <c r="D12544" t="s">
        <v>30732</v>
      </c>
      <c r="E12544" t="s">
        <v>13578</v>
      </c>
      <c r="F12544" t="s">
        <v>35409</v>
      </c>
      <c r="J12544" t="s">
        <v>13578</v>
      </c>
      <c r="K12544" t="s">
        <v>21600</v>
      </c>
      <c r="L12544" t="s">
        <v>3616</v>
      </c>
    </row>
    <row r="12545" spans="1:12">
      <c r="A12545" t="s">
        <v>30729</v>
      </c>
      <c r="B12545" t="s">
        <v>30730</v>
      </c>
      <c r="C12545" t="s">
        <v>35410</v>
      </c>
      <c r="D12545" t="s">
        <v>30732</v>
      </c>
      <c r="E12545" t="s">
        <v>35411</v>
      </c>
      <c r="F12545" t="s">
        <v>35412</v>
      </c>
      <c r="J12545" t="s">
        <v>35411</v>
      </c>
      <c r="K12545" t="s">
        <v>21600</v>
      </c>
      <c r="L12545" t="s">
        <v>3616</v>
      </c>
    </row>
    <row r="12546" spans="1:12">
      <c r="A12546" t="s">
        <v>30729</v>
      </c>
      <c r="B12546" t="s">
        <v>30730</v>
      </c>
      <c r="C12546" t="s">
        <v>35413</v>
      </c>
      <c r="D12546" t="s">
        <v>30732</v>
      </c>
      <c r="E12546" t="s">
        <v>35414</v>
      </c>
      <c r="F12546" t="s">
        <v>35415</v>
      </c>
      <c r="J12546" t="s">
        <v>35414</v>
      </c>
      <c r="K12546" t="s">
        <v>21600</v>
      </c>
      <c r="L12546" t="s">
        <v>3616</v>
      </c>
    </row>
    <row r="12547" spans="1:12">
      <c r="A12547" t="s">
        <v>30729</v>
      </c>
      <c r="B12547" t="s">
        <v>30730</v>
      </c>
      <c r="C12547" t="s">
        <v>35416</v>
      </c>
      <c r="D12547" t="s">
        <v>30732</v>
      </c>
      <c r="E12547" t="s">
        <v>15284</v>
      </c>
      <c r="F12547" t="s">
        <v>34419</v>
      </c>
    </row>
    <row r="12548" spans="1:12">
      <c r="A12548" t="s">
        <v>30729</v>
      </c>
      <c r="B12548" t="s">
        <v>30730</v>
      </c>
      <c r="C12548" t="s">
        <v>35417</v>
      </c>
      <c r="D12548" t="s">
        <v>30732</v>
      </c>
      <c r="E12548" t="s">
        <v>35418</v>
      </c>
      <c r="F12548" t="s">
        <v>35419</v>
      </c>
    </row>
    <row r="12549" spans="1:12">
      <c r="A12549" t="s">
        <v>30729</v>
      </c>
      <c r="B12549" t="s">
        <v>30730</v>
      </c>
      <c r="C12549" t="s">
        <v>35420</v>
      </c>
      <c r="D12549" t="s">
        <v>30732</v>
      </c>
      <c r="E12549" t="s">
        <v>35421</v>
      </c>
      <c r="F12549" t="s">
        <v>35422</v>
      </c>
    </row>
    <row r="12550" spans="1:12">
      <c r="A12550" t="s">
        <v>30729</v>
      </c>
      <c r="B12550" t="s">
        <v>30730</v>
      </c>
      <c r="C12550" t="s">
        <v>35423</v>
      </c>
      <c r="D12550" t="s">
        <v>30732</v>
      </c>
      <c r="E12550" t="s">
        <v>35424</v>
      </c>
      <c r="F12550" t="s">
        <v>35425</v>
      </c>
      <c r="J12550" t="s">
        <v>35424</v>
      </c>
      <c r="K12550" t="s">
        <v>21600</v>
      </c>
      <c r="L12550" t="s">
        <v>3616</v>
      </c>
    </row>
    <row r="12551" spans="1:12">
      <c r="A12551" t="s">
        <v>30729</v>
      </c>
      <c r="B12551" t="s">
        <v>30730</v>
      </c>
      <c r="C12551" t="s">
        <v>35426</v>
      </c>
      <c r="D12551" t="s">
        <v>30732</v>
      </c>
      <c r="E12551" t="s">
        <v>8216</v>
      </c>
      <c r="F12551" t="s">
        <v>35427</v>
      </c>
    </row>
    <row r="12552" spans="1:12">
      <c r="A12552" t="s">
        <v>30729</v>
      </c>
      <c r="B12552" t="s">
        <v>30730</v>
      </c>
      <c r="C12552" t="s">
        <v>35428</v>
      </c>
      <c r="D12552" t="s">
        <v>30732</v>
      </c>
      <c r="E12552" t="s">
        <v>35429</v>
      </c>
      <c r="F12552" t="s">
        <v>35430</v>
      </c>
      <c r="J12552" t="s">
        <v>35429</v>
      </c>
      <c r="K12552" t="s">
        <v>21600</v>
      </c>
      <c r="L12552" t="s">
        <v>3616</v>
      </c>
    </row>
    <row r="12553" spans="1:12">
      <c r="A12553" t="s">
        <v>30729</v>
      </c>
      <c r="B12553" t="s">
        <v>30730</v>
      </c>
      <c r="C12553" t="s">
        <v>35431</v>
      </c>
      <c r="D12553" t="s">
        <v>30732</v>
      </c>
      <c r="E12553" t="s">
        <v>35432</v>
      </c>
      <c r="F12553" t="s">
        <v>35433</v>
      </c>
      <c r="J12553" t="s">
        <v>35432</v>
      </c>
      <c r="K12553" t="s">
        <v>21600</v>
      </c>
      <c r="L12553" t="s">
        <v>3616</v>
      </c>
    </row>
    <row r="12554" spans="1:12">
      <c r="A12554" t="s">
        <v>30729</v>
      </c>
      <c r="B12554" t="s">
        <v>30730</v>
      </c>
      <c r="C12554" t="s">
        <v>35434</v>
      </c>
      <c r="D12554" t="s">
        <v>30732</v>
      </c>
      <c r="E12554" t="s">
        <v>12930</v>
      </c>
      <c r="F12554" t="s">
        <v>35435</v>
      </c>
    </row>
    <row r="12555" spans="1:12">
      <c r="A12555" t="s">
        <v>30729</v>
      </c>
      <c r="B12555" t="s">
        <v>30730</v>
      </c>
      <c r="C12555" t="s">
        <v>35436</v>
      </c>
      <c r="D12555" t="s">
        <v>30732</v>
      </c>
      <c r="E12555" t="s">
        <v>35437</v>
      </c>
      <c r="F12555" t="s">
        <v>35438</v>
      </c>
      <c r="J12555" t="s">
        <v>35437</v>
      </c>
      <c r="K12555" t="s">
        <v>21600</v>
      </c>
      <c r="L12555" t="s">
        <v>3616</v>
      </c>
    </row>
    <row r="12556" spans="1:12">
      <c r="A12556" t="s">
        <v>30729</v>
      </c>
      <c r="B12556" t="s">
        <v>30730</v>
      </c>
      <c r="C12556" t="s">
        <v>35439</v>
      </c>
      <c r="D12556" t="s">
        <v>30732</v>
      </c>
      <c r="E12556" t="s">
        <v>35440</v>
      </c>
      <c r="F12556" t="s">
        <v>35441</v>
      </c>
      <c r="J12556" t="s">
        <v>35440</v>
      </c>
      <c r="K12556" t="s">
        <v>21600</v>
      </c>
      <c r="L12556" t="s">
        <v>3616</v>
      </c>
    </row>
    <row r="12557" spans="1:12">
      <c r="A12557" t="s">
        <v>30729</v>
      </c>
      <c r="B12557" t="s">
        <v>30730</v>
      </c>
      <c r="C12557" t="s">
        <v>35442</v>
      </c>
      <c r="D12557" t="s">
        <v>30732</v>
      </c>
      <c r="E12557" t="s">
        <v>35443</v>
      </c>
      <c r="F12557" t="s">
        <v>35444</v>
      </c>
      <c r="J12557" t="s">
        <v>35443</v>
      </c>
      <c r="K12557" t="s">
        <v>21600</v>
      </c>
      <c r="L12557" t="s">
        <v>3616</v>
      </c>
    </row>
    <row r="12558" spans="1:12">
      <c r="A12558" t="s">
        <v>30729</v>
      </c>
      <c r="B12558" t="s">
        <v>30730</v>
      </c>
      <c r="C12558" t="s">
        <v>35445</v>
      </c>
      <c r="D12558" t="s">
        <v>30732</v>
      </c>
      <c r="E12558" t="s">
        <v>35446</v>
      </c>
      <c r="F12558" t="s">
        <v>35447</v>
      </c>
      <c r="J12558" t="s">
        <v>35446</v>
      </c>
      <c r="K12558" t="s">
        <v>21600</v>
      </c>
      <c r="L12558" t="s">
        <v>3616</v>
      </c>
    </row>
    <row r="12559" spans="1:12">
      <c r="A12559" t="s">
        <v>30729</v>
      </c>
      <c r="B12559" t="s">
        <v>30730</v>
      </c>
      <c r="C12559" t="s">
        <v>35448</v>
      </c>
      <c r="D12559" t="s">
        <v>30732</v>
      </c>
      <c r="E12559" t="s">
        <v>35449</v>
      </c>
      <c r="F12559" t="s">
        <v>35450</v>
      </c>
      <c r="J12559" t="s">
        <v>35449</v>
      </c>
      <c r="K12559" t="s">
        <v>21600</v>
      </c>
      <c r="L12559" t="s">
        <v>3616</v>
      </c>
    </row>
    <row r="12560" spans="1:12">
      <c r="A12560" t="s">
        <v>30729</v>
      </c>
      <c r="B12560" t="s">
        <v>30730</v>
      </c>
      <c r="C12560" t="s">
        <v>35451</v>
      </c>
      <c r="D12560" t="s">
        <v>30732</v>
      </c>
      <c r="E12560" t="s">
        <v>35452</v>
      </c>
      <c r="F12560" t="s">
        <v>35453</v>
      </c>
    </row>
    <row r="12561" spans="1:12">
      <c r="A12561" t="s">
        <v>30729</v>
      </c>
      <c r="B12561" t="s">
        <v>30730</v>
      </c>
      <c r="C12561" t="s">
        <v>35454</v>
      </c>
      <c r="D12561" t="s">
        <v>30732</v>
      </c>
      <c r="E12561" t="s">
        <v>7795</v>
      </c>
      <c r="F12561" t="s">
        <v>35455</v>
      </c>
    </row>
    <row r="12562" spans="1:12">
      <c r="A12562" t="s">
        <v>30729</v>
      </c>
      <c r="B12562" t="s">
        <v>30730</v>
      </c>
      <c r="C12562" t="s">
        <v>35456</v>
      </c>
      <c r="D12562" t="s">
        <v>30732</v>
      </c>
      <c r="E12562" t="s">
        <v>35457</v>
      </c>
      <c r="F12562" t="s">
        <v>35458</v>
      </c>
      <c r="J12562" t="s">
        <v>35457</v>
      </c>
      <c r="K12562" t="s">
        <v>21600</v>
      </c>
      <c r="L12562" t="s">
        <v>3616</v>
      </c>
    </row>
    <row r="12563" spans="1:12">
      <c r="A12563" t="s">
        <v>30729</v>
      </c>
      <c r="B12563" t="s">
        <v>30730</v>
      </c>
      <c r="C12563" t="s">
        <v>35459</v>
      </c>
      <c r="D12563" t="s">
        <v>30732</v>
      </c>
      <c r="E12563" t="s">
        <v>35460</v>
      </c>
      <c r="F12563" t="s">
        <v>35461</v>
      </c>
      <c r="J12563" t="s">
        <v>35460</v>
      </c>
      <c r="K12563" t="s">
        <v>21600</v>
      </c>
      <c r="L12563" t="s">
        <v>3616</v>
      </c>
    </row>
    <row r="12564" spans="1:12">
      <c r="A12564" t="s">
        <v>30729</v>
      </c>
      <c r="B12564" t="s">
        <v>30730</v>
      </c>
      <c r="C12564" t="s">
        <v>35462</v>
      </c>
      <c r="D12564" t="s">
        <v>30732</v>
      </c>
      <c r="E12564" t="s">
        <v>35463</v>
      </c>
      <c r="F12564" t="s">
        <v>35464</v>
      </c>
      <c r="J12564" t="s">
        <v>35463</v>
      </c>
      <c r="K12564" t="s">
        <v>21600</v>
      </c>
      <c r="L12564" t="s">
        <v>3616</v>
      </c>
    </row>
    <row r="12565" spans="1:12">
      <c r="A12565" t="s">
        <v>30729</v>
      </c>
      <c r="B12565" t="s">
        <v>30730</v>
      </c>
      <c r="C12565" t="s">
        <v>35465</v>
      </c>
      <c r="D12565" t="s">
        <v>30732</v>
      </c>
      <c r="E12565" t="s">
        <v>1278</v>
      </c>
      <c r="F12565" t="s">
        <v>35466</v>
      </c>
    </row>
    <row r="12566" spans="1:12">
      <c r="A12566" t="s">
        <v>30729</v>
      </c>
      <c r="B12566" t="s">
        <v>30730</v>
      </c>
      <c r="C12566" t="s">
        <v>35467</v>
      </c>
      <c r="D12566" t="s">
        <v>30732</v>
      </c>
      <c r="E12566" t="s">
        <v>35468</v>
      </c>
      <c r="F12566" t="s">
        <v>35469</v>
      </c>
    </row>
    <row r="12567" spans="1:12">
      <c r="A12567" t="s">
        <v>30729</v>
      </c>
      <c r="B12567" t="s">
        <v>30730</v>
      </c>
      <c r="C12567" t="s">
        <v>35470</v>
      </c>
      <c r="D12567" t="s">
        <v>30732</v>
      </c>
      <c r="E12567" t="s">
        <v>35471</v>
      </c>
      <c r="F12567" t="s">
        <v>35472</v>
      </c>
      <c r="J12567" t="s">
        <v>35471</v>
      </c>
      <c r="K12567" t="s">
        <v>21600</v>
      </c>
      <c r="L12567" t="s">
        <v>3616</v>
      </c>
    </row>
    <row r="12568" spans="1:12">
      <c r="A12568" t="s">
        <v>30729</v>
      </c>
      <c r="B12568" t="s">
        <v>30730</v>
      </c>
      <c r="C12568" t="s">
        <v>35473</v>
      </c>
      <c r="D12568" t="s">
        <v>30732</v>
      </c>
      <c r="E12568" t="s">
        <v>35474</v>
      </c>
      <c r="F12568" t="s">
        <v>35475</v>
      </c>
      <c r="J12568" t="s">
        <v>35474</v>
      </c>
      <c r="K12568" t="s">
        <v>21600</v>
      </c>
      <c r="L12568" t="s">
        <v>3616</v>
      </c>
    </row>
    <row r="12569" spans="1:12">
      <c r="A12569" t="s">
        <v>30729</v>
      </c>
      <c r="B12569" t="s">
        <v>30730</v>
      </c>
      <c r="C12569" t="s">
        <v>35476</v>
      </c>
      <c r="D12569" t="s">
        <v>30732</v>
      </c>
      <c r="E12569" t="s">
        <v>35477</v>
      </c>
      <c r="F12569" t="s">
        <v>35478</v>
      </c>
      <c r="J12569" t="s">
        <v>35477</v>
      </c>
      <c r="K12569" t="s">
        <v>21600</v>
      </c>
      <c r="L12569" t="s">
        <v>3616</v>
      </c>
    </row>
    <row r="12570" spans="1:12">
      <c r="A12570" t="s">
        <v>30729</v>
      </c>
      <c r="B12570" t="s">
        <v>30730</v>
      </c>
      <c r="C12570" t="s">
        <v>35479</v>
      </c>
      <c r="D12570" t="s">
        <v>30732</v>
      </c>
      <c r="E12570" t="s">
        <v>35480</v>
      </c>
      <c r="F12570" t="s">
        <v>35481</v>
      </c>
      <c r="J12570" t="s">
        <v>35480</v>
      </c>
      <c r="K12570" t="s">
        <v>21600</v>
      </c>
      <c r="L12570" t="s">
        <v>3616</v>
      </c>
    </row>
    <row r="12571" spans="1:12">
      <c r="A12571" t="s">
        <v>30729</v>
      </c>
      <c r="B12571" t="s">
        <v>30730</v>
      </c>
      <c r="C12571" t="s">
        <v>35482</v>
      </c>
      <c r="D12571" t="s">
        <v>30732</v>
      </c>
      <c r="E12571" t="s">
        <v>3512</v>
      </c>
      <c r="F12571" t="s">
        <v>35483</v>
      </c>
      <c r="J12571" t="s">
        <v>3512</v>
      </c>
      <c r="K12571" t="s">
        <v>21600</v>
      </c>
      <c r="L12571" t="s">
        <v>3616</v>
      </c>
    </row>
    <row r="12572" spans="1:12">
      <c r="A12572" t="s">
        <v>30729</v>
      </c>
      <c r="B12572" t="s">
        <v>30730</v>
      </c>
      <c r="C12572" t="s">
        <v>35484</v>
      </c>
      <c r="D12572" t="s">
        <v>30732</v>
      </c>
      <c r="E12572" t="s">
        <v>35485</v>
      </c>
      <c r="F12572" t="s">
        <v>35486</v>
      </c>
      <c r="J12572" t="s">
        <v>35485</v>
      </c>
      <c r="K12572" t="s">
        <v>21600</v>
      </c>
      <c r="L12572" t="s">
        <v>3616</v>
      </c>
    </row>
    <row r="12573" spans="1:12">
      <c r="A12573" t="s">
        <v>30729</v>
      </c>
      <c r="B12573" t="s">
        <v>30730</v>
      </c>
      <c r="C12573" t="s">
        <v>35487</v>
      </c>
      <c r="D12573" t="s">
        <v>30732</v>
      </c>
      <c r="E12573" t="s">
        <v>9794</v>
      </c>
      <c r="F12573" t="s">
        <v>35488</v>
      </c>
      <c r="J12573" t="s">
        <v>9794</v>
      </c>
      <c r="K12573" t="s">
        <v>21600</v>
      </c>
      <c r="L12573" t="s">
        <v>3616</v>
      </c>
    </row>
    <row r="12574" spans="1:12">
      <c r="A12574" t="s">
        <v>30729</v>
      </c>
      <c r="B12574" t="s">
        <v>30730</v>
      </c>
      <c r="C12574" t="s">
        <v>35489</v>
      </c>
      <c r="D12574" t="s">
        <v>30732</v>
      </c>
      <c r="E12574" t="s">
        <v>1281</v>
      </c>
      <c r="F12574" t="s">
        <v>35490</v>
      </c>
    </row>
    <row r="12575" spans="1:12">
      <c r="A12575" t="s">
        <v>30729</v>
      </c>
      <c r="B12575" t="s">
        <v>30730</v>
      </c>
      <c r="C12575" t="s">
        <v>35491</v>
      </c>
      <c r="D12575" t="s">
        <v>30732</v>
      </c>
      <c r="E12575" t="s">
        <v>35492</v>
      </c>
      <c r="F12575" t="s">
        <v>35493</v>
      </c>
      <c r="J12575" t="s">
        <v>35492</v>
      </c>
      <c r="K12575" t="s">
        <v>21600</v>
      </c>
      <c r="L12575" t="s">
        <v>3616</v>
      </c>
    </row>
    <row r="12576" spans="1:12">
      <c r="A12576" t="s">
        <v>30729</v>
      </c>
      <c r="B12576" t="s">
        <v>30730</v>
      </c>
      <c r="C12576" t="s">
        <v>35494</v>
      </c>
      <c r="D12576" t="s">
        <v>30732</v>
      </c>
      <c r="E12576" t="s">
        <v>35495</v>
      </c>
      <c r="F12576" t="s">
        <v>35496</v>
      </c>
    </row>
    <row r="12577" spans="1:12">
      <c r="A12577" t="s">
        <v>30729</v>
      </c>
      <c r="B12577" t="s">
        <v>30730</v>
      </c>
      <c r="C12577" t="s">
        <v>35497</v>
      </c>
      <c r="D12577" t="s">
        <v>30732</v>
      </c>
      <c r="E12577" t="s">
        <v>12936</v>
      </c>
      <c r="F12577" t="s">
        <v>35498</v>
      </c>
      <c r="J12577" t="s">
        <v>12936</v>
      </c>
      <c r="K12577" t="s">
        <v>21600</v>
      </c>
      <c r="L12577" t="s">
        <v>3616</v>
      </c>
    </row>
    <row r="12578" spans="1:12">
      <c r="A12578" t="s">
        <v>30729</v>
      </c>
      <c r="B12578" t="s">
        <v>30730</v>
      </c>
      <c r="C12578" t="s">
        <v>35499</v>
      </c>
      <c r="D12578" t="s">
        <v>30732</v>
      </c>
      <c r="E12578" t="s">
        <v>35500</v>
      </c>
      <c r="F12578" t="s">
        <v>35501</v>
      </c>
      <c r="J12578" t="s">
        <v>35500</v>
      </c>
      <c r="K12578" t="s">
        <v>21600</v>
      </c>
      <c r="L12578" t="s">
        <v>3616</v>
      </c>
    </row>
    <row r="12579" spans="1:12">
      <c r="A12579" t="s">
        <v>30729</v>
      </c>
      <c r="B12579" t="s">
        <v>30730</v>
      </c>
      <c r="C12579" t="s">
        <v>35502</v>
      </c>
      <c r="D12579" t="s">
        <v>30732</v>
      </c>
      <c r="E12579" t="s">
        <v>35503</v>
      </c>
      <c r="F12579" t="s">
        <v>35504</v>
      </c>
      <c r="J12579" t="s">
        <v>35503</v>
      </c>
      <c r="K12579" t="s">
        <v>21600</v>
      </c>
      <c r="L12579" t="s">
        <v>3616</v>
      </c>
    </row>
    <row r="12580" spans="1:12">
      <c r="A12580" t="s">
        <v>30729</v>
      </c>
      <c r="B12580" t="s">
        <v>30730</v>
      </c>
      <c r="C12580" t="s">
        <v>35505</v>
      </c>
      <c r="D12580" t="s">
        <v>30732</v>
      </c>
      <c r="E12580" t="s">
        <v>8045</v>
      </c>
      <c r="F12580" t="s">
        <v>35506</v>
      </c>
    </row>
    <row r="12581" spans="1:12">
      <c r="A12581" t="s">
        <v>30729</v>
      </c>
      <c r="B12581" t="s">
        <v>30730</v>
      </c>
      <c r="C12581" t="s">
        <v>35507</v>
      </c>
      <c r="D12581" t="s">
        <v>30732</v>
      </c>
      <c r="E12581" t="s">
        <v>35508</v>
      </c>
      <c r="F12581" t="s">
        <v>35509</v>
      </c>
    </row>
    <row r="12582" spans="1:12">
      <c r="A12582" t="s">
        <v>30729</v>
      </c>
      <c r="B12582" t="s">
        <v>30730</v>
      </c>
      <c r="C12582" t="s">
        <v>35510</v>
      </c>
      <c r="D12582" t="s">
        <v>30732</v>
      </c>
      <c r="E12582" t="s">
        <v>35511</v>
      </c>
      <c r="F12582" t="s">
        <v>35512</v>
      </c>
    </row>
    <row r="12583" spans="1:12">
      <c r="A12583" t="s">
        <v>30729</v>
      </c>
      <c r="B12583" t="s">
        <v>30730</v>
      </c>
      <c r="C12583" t="s">
        <v>35513</v>
      </c>
      <c r="D12583" t="s">
        <v>30732</v>
      </c>
      <c r="E12583" t="s">
        <v>35514</v>
      </c>
      <c r="F12583" t="s">
        <v>35515</v>
      </c>
      <c r="J12583" t="s">
        <v>35514</v>
      </c>
      <c r="K12583" t="s">
        <v>21600</v>
      </c>
      <c r="L12583" t="s">
        <v>3616</v>
      </c>
    </row>
    <row r="12584" spans="1:12">
      <c r="A12584" t="s">
        <v>30729</v>
      </c>
      <c r="B12584" t="s">
        <v>30730</v>
      </c>
      <c r="C12584" t="s">
        <v>35516</v>
      </c>
      <c r="D12584" t="s">
        <v>30732</v>
      </c>
      <c r="E12584" t="s">
        <v>35517</v>
      </c>
      <c r="F12584" t="s">
        <v>35518</v>
      </c>
      <c r="J12584" t="s">
        <v>35517</v>
      </c>
      <c r="K12584" t="s">
        <v>21600</v>
      </c>
      <c r="L12584" t="s">
        <v>3616</v>
      </c>
    </row>
    <row r="12585" spans="1:12">
      <c r="A12585" t="s">
        <v>30729</v>
      </c>
      <c r="B12585" t="s">
        <v>30730</v>
      </c>
      <c r="C12585" t="s">
        <v>35519</v>
      </c>
      <c r="D12585" t="s">
        <v>30732</v>
      </c>
      <c r="E12585" t="s">
        <v>35520</v>
      </c>
      <c r="F12585" t="s">
        <v>35521</v>
      </c>
      <c r="J12585" t="s">
        <v>35520</v>
      </c>
      <c r="K12585" t="s">
        <v>21600</v>
      </c>
      <c r="L12585" t="s">
        <v>3616</v>
      </c>
    </row>
    <row r="12586" spans="1:12">
      <c r="A12586" t="s">
        <v>30729</v>
      </c>
      <c r="B12586" t="s">
        <v>30730</v>
      </c>
      <c r="C12586" t="s">
        <v>35522</v>
      </c>
      <c r="D12586" t="s">
        <v>30732</v>
      </c>
      <c r="E12586" t="s">
        <v>35523</v>
      </c>
      <c r="F12586" t="s">
        <v>35524</v>
      </c>
      <c r="J12586" t="s">
        <v>35523</v>
      </c>
      <c r="K12586" t="s">
        <v>21600</v>
      </c>
      <c r="L12586" t="s">
        <v>3616</v>
      </c>
    </row>
    <row r="12587" spans="1:12">
      <c r="A12587" t="s">
        <v>30729</v>
      </c>
      <c r="B12587" t="s">
        <v>30730</v>
      </c>
      <c r="C12587" t="s">
        <v>35525</v>
      </c>
      <c r="D12587" t="s">
        <v>30732</v>
      </c>
      <c r="E12587" t="s">
        <v>12942</v>
      </c>
      <c r="F12587" t="s">
        <v>35526</v>
      </c>
      <c r="J12587" t="s">
        <v>12942</v>
      </c>
      <c r="K12587" t="s">
        <v>21600</v>
      </c>
      <c r="L12587" t="s">
        <v>3616</v>
      </c>
    </row>
    <row r="12588" spans="1:12">
      <c r="A12588" t="s">
        <v>30729</v>
      </c>
      <c r="B12588" t="s">
        <v>30730</v>
      </c>
      <c r="C12588" t="s">
        <v>35527</v>
      </c>
      <c r="D12588" t="s">
        <v>30732</v>
      </c>
      <c r="E12588" t="s">
        <v>9815</v>
      </c>
      <c r="F12588" t="s">
        <v>35528</v>
      </c>
      <c r="J12588" t="s">
        <v>9815</v>
      </c>
      <c r="K12588" t="s">
        <v>21600</v>
      </c>
      <c r="L12588" t="s">
        <v>3616</v>
      </c>
    </row>
    <row r="12589" spans="1:12">
      <c r="A12589" t="s">
        <v>30729</v>
      </c>
      <c r="B12589" t="s">
        <v>30730</v>
      </c>
      <c r="C12589" t="s">
        <v>35529</v>
      </c>
      <c r="D12589" t="s">
        <v>30732</v>
      </c>
      <c r="E12589" t="s">
        <v>35530</v>
      </c>
      <c r="F12589" t="s">
        <v>35531</v>
      </c>
      <c r="J12589" t="s">
        <v>35530</v>
      </c>
      <c r="K12589" t="s">
        <v>21600</v>
      </c>
      <c r="L12589" t="s">
        <v>3616</v>
      </c>
    </row>
    <row r="12590" spans="1:12">
      <c r="A12590" t="s">
        <v>30729</v>
      </c>
      <c r="B12590" t="s">
        <v>30730</v>
      </c>
      <c r="C12590" t="s">
        <v>35532</v>
      </c>
      <c r="D12590" t="s">
        <v>30732</v>
      </c>
      <c r="E12590" t="s">
        <v>35533</v>
      </c>
      <c r="F12590" t="s">
        <v>35534</v>
      </c>
      <c r="J12590" t="s">
        <v>35533</v>
      </c>
      <c r="K12590" t="s">
        <v>21600</v>
      </c>
      <c r="L12590" t="s">
        <v>3616</v>
      </c>
    </row>
    <row r="12591" spans="1:12">
      <c r="A12591" t="s">
        <v>30729</v>
      </c>
      <c r="B12591" t="s">
        <v>30730</v>
      </c>
      <c r="C12591" t="s">
        <v>35535</v>
      </c>
      <c r="D12591" t="s">
        <v>30732</v>
      </c>
      <c r="E12591" t="s">
        <v>28323</v>
      </c>
      <c r="F12591" t="s">
        <v>35536</v>
      </c>
      <c r="J12591" t="s">
        <v>28323</v>
      </c>
      <c r="K12591" t="s">
        <v>21600</v>
      </c>
      <c r="L12591" t="s">
        <v>3616</v>
      </c>
    </row>
    <row r="12592" spans="1:12">
      <c r="A12592" t="s">
        <v>30729</v>
      </c>
      <c r="B12592" t="s">
        <v>30730</v>
      </c>
      <c r="C12592" t="s">
        <v>35537</v>
      </c>
      <c r="D12592" t="s">
        <v>30732</v>
      </c>
      <c r="E12592" t="s">
        <v>22645</v>
      </c>
      <c r="F12592" t="s">
        <v>35538</v>
      </c>
      <c r="J12592" t="s">
        <v>22645</v>
      </c>
      <c r="K12592" t="s">
        <v>21600</v>
      </c>
      <c r="L12592" t="s">
        <v>3616</v>
      </c>
    </row>
    <row r="12593" spans="1:12">
      <c r="A12593" t="s">
        <v>30729</v>
      </c>
      <c r="B12593" t="s">
        <v>30730</v>
      </c>
      <c r="C12593" t="s">
        <v>35539</v>
      </c>
      <c r="D12593" t="s">
        <v>30732</v>
      </c>
      <c r="E12593" t="s">
        <v>35540</v>
      </c>
      <c r="F12593" t="s">
        <v>35541</v>
      </c>
    </row>
    <row r="12594" spans="1:12">
      <c r="A12594" t="s">
        <v>30729</v>
      </c>
      <c r="B12594" t="s">
        <v>30730</v>
      </c>
      <c r="C12594" t="s">
        <v>35542</v>
      </c>
      <c r="D12594" t="s">
        <v>30732</v>
      </c>
      <c r="E12594" t="s">
        <v>35543</v>
      </c>
      <c r="F12594" t="s">
        <v>35544</v>
      </c>
      <c r="J12594" t="s">
        <v>35543</v>
      </c>
      <c r="K12594" t="s">
        <v>21600</v>
      </c>
      <c r="L12594" t="s">
        <v>3616</v>
      </c>
    </row>
    <row r="12595" spans="1:12">
      <c r="A12595" t="s">
        <v>30729</v>
      </c>
      <c r="B12595" t="s">
        <v>30730</v>
      </c>
      <c r="C12595" t="s">
        <v>35545</v>
      </c>
      <c r="D12595" t="s">
        <v>30732</v>
      </c>
      <c r="E12595" t="s">
        <v>35546</v>
      </c>
      <c r="F12595" t="s">
        <v>35547</v>
      </c>
      <c r="J12595" t="s">
        <v>35546</v>
      </c>
      <c r="K12595" t="s">
        <v>21600</v>
      </c>
      <c r="L12595" t="s">
        <v>3616</v>
      </c>
    </row>
    <row r="12596" spans="1:12">
      <c r="A12596" t="s">
        <v>30729</v>
      </c>
      <c r="B12596" t="s">
        <v>30730</v>
      </c>
      <c r="C12596" t="s">
        <v>35548</v>
      </c>
      <c r="D12596" t="s">
        <v>30732</v>
      </c>
      <c r="E12596" t="s">
        <v>35549</v>
      </c>
      <c r="F12596" t="s">
        <v>35550</v>
      </c>
      <c r="J12596" t="s">
        <v>35549</v>
      </c>
      <c r="K12596" t="s">
        <v>21600</v>
      </c>
      <c r="L12596" t="s">
        <v>3616</v>
      </c>
    </row>
    <row r="12597" spans="1:12">
      <c r="A12597" t="s">
        <v>30729</v>
      </c>
      <c r="B12597" t="s">
        <v>30730</v>
      </c>
      <c r="C12597" t="s">
        <v>35551</v>
      </c>
      <c r="D12597" t="s">
        <v>30732</v>
      </c>
      <c r="E12597" t="s">
        <v>35552</v>
      </c>
      <c r="F12597" t="s">
        <v>35553</v>
      </c>
      <c r="J12597" t="s">
        <v>35552</v>
      </c>
      <c r="K12597" t="s">
        <v>21600</v>
      </c>
      <c r="L12597" t="s">
        <v>3616</v>
      </c>
    </row>
    <row r="12598" spans="1:12">
      <c r="A12598" t="s">
        <v>30729</v>
      </c>
      <c r="B12598" t="s">
        <v>30730</v>
      </c>
      <c r="C12598" t="s">
        <v>35554</v>
      </c>
      <c r="D12598" t="s">
        <v>30732</v>
      </c>
      <c r="E12598" t="s">
        <v>35555</v>
      </c>
      <c r="F12598" t="s">
        <v>35556</v>
      </c>
      <c r="J12598" t="s">
        <v>35555</v>
      </c>
      <c r="K12598" t="s">
        <v>21600</v>
      </c>
      <c r="L12598" t="s">
        <v>3616</v>
      </c>
    </row>
    <row r="12599" spans="1:12">
      <c r="A12599" t="s">
        <v>30729</v>
      </c>
      <c r="B12599" t="s">
        <v>30730</v>
      </c>
      <c r="C12599" t="s">
        <v>35557</v>
      </c>
      <c r="D12599" t="s">
        <v>30732</v>
      </c>
      <c r="E12599" t="s">
        <v>35558</v>
      </c>
      <c r="F12599" t="s">
        <v>35559</v>
      </c>
      <c r="J12599" t="s">
        <v>35558</v>
      </c>
      <c r="K12599" t="s">
        <v>21600</v>
      </c>
      <c r="L12599" t="s">
        <v>3616</v>
      </c>
    </row>
    <row r="12600" spans="1:12">
      <c r="A12600" t="s">
        <v>30729</v>
      </c>
      <c r="B12600" t="s">
        <v>30730</v>
      </c>
      <c r="C12600" t="s">
        <v>35560</v>
      </c>
      <c r="D12600" t="s">
        <v>30732</v>
      </c>
      <c r="E12600" t="s">
        <v>35561</v>
      </c>
      <c r="F12600" t="s">
        <v>35562</v>
      </c>
      <c r="J12600" t="s">
        <v>35561</v>
      </c>
      <c r="K12600" t="s">
        <v>21600</v>
      </c>
      <c r="L12600" t="s">
        <v>3616</v>
      </c>
    </row>
    <row r="12601" spans="1:12">
      <c r="A12601" t="s">
        <v>30729</v>
      </c>
      <c r="B12601" t="s">
        <v>30730</v>
      </c>
      <c r="C12601" t="s">
        <v>35563</v>
      </c>
      <c r="D12601" t="s">
        <v>30732</v>
      </c>
      <c r="E12601" t="s">
        <v>23119</v>
      </c>
      <c r="F12601" t="s">
        <v>35564</v>
      </c>
      <c r="J12601" t="s">
        <v>23119</v>
      </c>
      <c r="K12601" t="s">
        <v>21600</v>
      </c>
      <c r="L12601" t="s">
        <v>3616</v>
      </c>
    </row>
    <row r="12602" spans="1:12">
      <c r="A12602" t="s">
        <v>30729</v>
      </c>
      <c r="B12602" t="s">
        <v>30730</v>
      </c>
      <c r="C12602" t="s">
        <v>35565</v>
      </c>
      <c r="D12602" t="s">
        <v>30732</v>
      </c>
      <c r="E12602" t="s">
        <v>35566</v>
      </c>
      <c r="F12602" t="s">
        <v>35567</v>
      </c>
      <c r="J12602" t="s">
        <v>35566</v>
      </c>
      <c r="K12602" t="s">
        <v>21600</v>
      </c>
      <c r="L12602" t="s">
        <v>3616</v>
      </c>
    </row>
    <row r="12603" spans="1:12">
      <c r="A12603" t="s">
        <v>30729</v>
      </c>
      <c r="B12603" t="s">
        <v>30730</v>
      </c>
      <c r="C12603" t="s">
        <v>35568</v>
      </c>
      <c r="D12603" t="s">
        <v>30732</v>
      </c>
      <c r="E12603" t="s">
        <v>35569</v>
      </c>
      <c r="F12603" t="s">
        <v>35570</v>
      </c>
    </row>
    <row r="12604" spans="1:12">
      <c r="A12604" t="s">
        <v>30729</v>
      </c>
      <c r="B12604" t="s">
        <v>30730</v>
      </c>
      <c r="C12604" t="s">
        <v>35571</v>
      </c>
      <c r="D12604" t="s">
        <v>30732</v>
      </c>
      <c r="E12604" t="s">
        <v>35572</v>
      </c>
      <c r="F12604" t="s">
        <v>35573</v>
      </c>
    </row>
    <row r="12605" spans="1:12">
      <c r="A12605" t="s">
        <v>30729</v>
      </c>
      <c r="B12605" t="s">
        <v>30730</v>
      </c>
      <c r="C12605" t="s">
        <v>35574</v>
      </c>
      <c r="D12605" t="s">
        <v>30732</v>
      </c>
      <c r="E12605" t="s">
        <v>35575</v>
      </c>
      <c r="F12605" t="s">
        <v>35576</v>
      </c>
      <c r="J12605" t="s">
        <v>35575</v>
      </c>
      <c r="K12605" t="s">
        <v>21600</v>
      </c>
      <c r="L12605" t="s">
        <v>3616</v>
      </c>
    </row>
    <row r="12606" spans="1:12">
      <c r="A12606" t="s">
        <v>30729</v>
      </c>
      <c r="B12606" t="s">
        <v>30730</v>
      </c>
      <c r="C12606" t="s">
        <v>35577</v>
      </c>
      <c r="D12606" t="s">
        <v>30732</v>
      </c>
      <c r="E12606" t="s">
        <v>35578</v>
      </c>
      <c r="F12606" t="s">
        <v>35579</v>
      </c>
      <c r="J12606" t="s">
        <v>35578</v>
      </c>
      <c r="K12606" t="s">
        <v>21600</v>
      </c>
      <c r="L12606" t="s">
        <v>3616</v>
      </c>
    </row>
    <row r="12607" spans="1:12">
      <c r="A12607" t="s">
        <v>30729</v>
      </c>
      <c r="B12607" t="s">
        <v>30730</v>
      </c>
      <c r="C12607" t="s">
        <v>35580</v>
      </c>
      <c r="D12607" t="s">
        <v>30732</v>
      </c>
      <c r="E12607" t="s">
        <v>12945</v>
      </c>
      <c r="F12607" t="s">
        <v>35581</v>
      </c>
      <c r="J12607" t="s">
        <v>12945</v>
      </c>
      <c r="K12607" t="s">
        <v>21600</v>
      </c>
      <c r="L12607" t="s">
        <v>3616</v>
      </c>
    </row>
    <row r="12608" spans="1:12">
      <c r="A12608" t="s">
        <v>30729</v>
      </c>
      <c r="B12608" t="s">
        <v>30730</v>
      </c>
      <c r="C12608" t="s">
        <v>35582</v>
      </c>
      <c r="D12608" t="s">
        <v>30732</v>
      </c>
      <c r="E12608" t="s">
        <v>35583</v>
      </c>
      <c r="F12608" t="s">
        <v>35584</v>
      </c>
      <c r="J12608" t="s">
        <v>35583</v>
      </c>
      <c r="K12608" t="s">
        <v>21600</v>
      </c>
      <c r="L12608" t="s">
        <v>3616</v>
      </c>
    </row>
    <row r="12609" spans="1:12">
      <c r="A12609" t="s">
        <v>30729</v>
      </c>
      <c r="B12609" t="s">
        <v>30730</v>
      </c>
      <c r="C12609" t="s">
        <v>35585</v>
      </c>
      <c r="D12609" t="s">
        <v>30732</v>
      </c>
      <c r="E12609" t="s">
        <v>26243</v>
      </c>
      <c r="F12609" t="s">
        <v>35586</v>
      </c>
    </row>
    <row r="12610" spans="1:12">
      <c r="A12610" t="s">
        <v>30729</v>
      </c>
      <c r="B12610" t="s">
        <v>30730</v>
      </c>
      <c r="C12610" t="s">
        <v>35587</v>
      </c>
      <c r="D12610" t="s">
        <v>30732</v>
      </c>
      <c r="E12610" t="s">
        <v>35588</v>
      </c>
      <c r="F12610" t="s">
        <v>35589</v>
      </c>
      <c r="J12610" t="s">
        <v>35588</v>
      </c>
      <c r="K12610" t="s">
        <v>21600</v>
      </c>
      <c r="L12610" t="s">
        <v>3616</v>
      </c>
    </row>
    <row r="12611" spans="1:12">
      <c r="A12611" t="s">
        <v>30729</v>
      </c>
      <c r="B12611" t="s">
        <v>30730</v>
      </c>
      <c r="C12611" t="s">
        <v>35590</v>
      </c>
      <c r="D12611" t="s">
        <v>30732</v>
      </c>
      <c r="E12611" t="s">
        <v>20231</v>
      </c>
      <c r="F12611" t="s">
        <v>35591</v>
      </c>
    </row>
    <row r="12612" spans="1:12">
      <c r="A12612" t="s">
        <v>30729</v>
      </c>
      <c r="B12612" t="s">
        <v>30730</v>
      </c>
      <c r="C12612" t="s">
        <v>35592</v>
      </c>
      <c r="D12612" t="s">
        <v>30732</v>
      </c>
      <c r="E12612" t="s">
        <v>35593</v>
      </c>
      <c r="F12612" t="s">
        <v>35594</v>
      </c>
      <c r="J12612" t="s">
        <v>35593</v>
      </c>
      <c r="K12612" t="s">
        <v>21600</v>
      </c>
      <c r="L12612" t="s">
        <v>3616</v>
      </c>
    </row>
    <row r="12613" spans="1:12">
      <c r="A12613" t="s">
        <v>30729</v>
      </c>
      <c r="B12613" t="s">
        <v>30730</v>
      </c>
      <c r="C12613" t="s">
        <v>35595</v>
      </c>
      <c r="D12613" t="s">
        <v>30732</v>
      </c>
      <c r="E12613" t="s">
        <v>35596</v>
      </c>
      <c r="F12613" t="s">
        <v>35597</v>
      </c>
      <c r="J12613" t="s">
        <v>35596</v>
      </c>
      <c r="K12613" t="s">
        <v>21600</v>
      </c>
      <c r="L12613" t="s">
        <v>3616</v>
      </c>
    </row>
    <row r="12614" spans="1:12">
      <c r="A12614" t="s">
        <v>30729</v>
      </c>
      <c r="B12614" t="s">
        <v>30730</v>
      </c>
      <c r="C12614" t="s">
        <v>35598</v>
      </c>
      <c r="D12614" t="s">
        <v>30732</v>
      </c>
      <c r="E12614" t="s">
        <v>35599</v>
      </c>
      <c r="F12614" t="s">
        <v>35600</v>
      </c>
      <c r="J12614" t="s">
        <v>35599</v>
      </c>
      <c r="K12614" t="s">
        <v>21600</v>
      </c>
      <c r="L12614" t="s">
        <v>3616</v>
      </c>
    </row>
    <row r="12615" spans="1:12">
      <c r="A12615" t="s">
        <v>30729</v>
      </c>
      <c r="B12615" t="s">
        <v>30730</v>
      </c>
      <c r="C12615" t="s">
        <v>35601</v>
      </c>
      <c r="D12615" t="s">
        <v>30732</v>
      </c>
      <c r="E12615" t="s">
        <v>35602</v>
      </c>
      <c r="F12615" t="s">
        <v>35603</v>
      </c>
      <c r="J12615" t="s">
        <v>35602</v>
      </c>
      <c r="K12615" t="s">
        <v>21600</v>
      </c>
      <c r="L12615" t="s">
        <v>3616</v>
      </c>
    </row>
    <row r="12616" spans="1:12">
      <c r="A12616" t="s">
        <v>30729</v>
      </c>
      <c r="B12616" t="s">
        <v>30730</v>
      </c>
      <c r="C12616" t="s">
        <v>35604</v>
      </c>
      <c r="D12616" t="s">
        <v>30732</v>
      </c>
      <c r="E12616" t="s">
        <v>35605</v>
      </c>
      <c r="F12616" t="s">
        <v>35606</v>
      </c>
      <c r="J12616" t="s">
        <v>35605</v>
      </c>
      <c r="K12616" t="s">
        <v>21600</v>
      </c>
      <c r="L12616" t="s">
        <v>3616</v>
      </c>
    </row>
    <row r="12617" spans="1:12">
      <c r="A12617" t="s">
        <v>30729</v>
      </c>
      <c r="B12617" t="s">
        <v>30730</v>
      </c>
      <c r="C12617" t="s">
        <v>35607</v>
      </c>
      <c r="D12617" t="s">
        <v>30732</v>
      </c>
      <c r="E12617" t="s">
        <v>832</v>
      </c>
      <c r="F12617" t="s">
        <v>35608</v>
      </c>
      <c r="J12617" t="s">
        <v>832</v>
      </c>
      <c r="K12617" t="s">
        <v>21600</v>
      </c>
      <c r="L12617" t="s">
        <v>3616</v>
      </c>
    </row>
    <row r="12618" spans="1:12">
      <c r="A12618" t="s">
        <v>30729</v>
      </c>
      <c r="B12618" t="s">
        <v>30730</v>
      </c>
      <c r="C12618" t="s">
        <v>35609</v>
      </c>
      <c r="D12618" t="s">
        <v>30732</v>
      </c>
      <c r="E12618" t="s">
        <v>35610</v>
      </c>
      <c r="F12618" t="s">
        <v>35611</v>
      </c>
      <c r="J12618" t="s">
        <v>35610</v>
      </c>
      <c r="K12618" t="s">
        <v>21600</v>
      </c>
      <c r="L12618" t="s">
        <v>3616</v>
      </c>
    </row>
    <row r="12619" spans="1:12">
      <c r="A12619" t="s">
        <v>30729</v>
      </c>
      <c r="B12619" t="s">
        <v>30730</v>
      </c>
      <c r="C12619" t="s">
        <v>35612</v>
      </c>
      <c r="D12619" t="s">
        <v>30732</v>
      </c>
      <c r="E12619" t="s">
        <v>35613</v>
      </c>
      <c r="F12619" t="s">
        <v>35614</v>
      </c>
      <c r="J12619" t="s">
        <v>35613</v>
      </c>
      <c r="K12619" t="s">
        <v>21600</v>
      </c>
      <c r="L12619" t="s">
        <v>3616</v>
      </c>
    </row>
    <row r="12620" spans="1:12">
      <c r="A12620" t="s">
        <v>30729</v>
      </c>
      <c r="B12620" t="s">
        <v>30730</v>
      </c>
      <c r="C12620" t="s">
        <v>35615</v>
      </c>
      <c r="D12620" t="s">
        <v>30732</v>
      </c>
      <c r="E12620" t="s">
        <v>35616</v>
      </c>
      <c r="F12620" t="s">
        <v>35617</v>
      </c>
    </row>
    <row r="12621" spans="1:12">
      <c r="A12621" t="s">
        <v>30729</v>
      </c>
      <c r="B12621" t="s">
        <v>30730</v>
      </c>
      <c r="C12621" t="s">
        <v>35618</v>
      </c>
      <c r="D12621" t="s">
        <v>30732</v>
      </c>
      <c r="E12621" t="s">
        <v>9825</v>
      </c>
      <c r="F12621" t="s">
        <v>35619</v>
      </c>
      <c r="J12621" t="s">
        <v>9825</v>
      </c>
      <c r="K12621" t="s">
        <v>21600</v>
      </c>
      <c r="L12621" t="s">
        <v>3616</v>
      </c>
    </row>
    <row r="12622" spans="1:12">
      <c r="A12622" t="s">
        <v>30729</v>
      </c>
      <c r="B12622" t="s">
        <v>30730</v>
      </c>
      <c r="C12622" t="s">
        <v>35620</v>
      </c>
      <c r="D12622" t="s">
        <v>30732</v>
      </c>
      <c r="E12622" t="s">
        <v>15931</v>
      </c>
      <c r="F12622" t="s">
        <v>35621</v>
      </c>
    </row>
    <row r="12623" spans="1:12">
      <c r="A12623" t="s">
        <v>30729</v>
      </c>
      <c r="B12623" t="s">
        <v>30730</v>
      </c>
      <c r="C12623" t="s">
        <v>35622</v>
      </c>
      <c r="D12623" t="s">
        <v>30732</v>
      </c>
      <c r="E12623" t="s">
        <v>4507</v>
      </c>
      <c r="F12623" t="s">
        <v>35623</v>
      </c>
    </row>
    <row r="12624" spans="1:12">
      <c r="A12624" t="s">
        <v>30729</v>
      </c>
      <c r="B12624" t="s">
        <v>30730</v>
      </c>
      <c r="C12624" t="s">
        <v>35624</v>
      </c>
      <c r="D12624" t="s">
        <v>30732</v>
      </c>
      <c r="E12624" t="s">
        <v>9830</v>
      </c>
      <c r="F12624" t="s">
        <v>35625</v>
      </c>
    </row>
    <row r="12625" spans="1:12">
      <c r="A12625" t="s">
        <v>30729</v>
      </c>
      <c r="B12625" t="s">
        <v>30730</v>
      </c>
      <c r="C12625" t="s">
        <v>35626</v>
      </c>
      <c r="D12625" t="s">
        <v>30732</v>
      </c>
      <c r="E12625" t="s">
        <v>13942</v>
      </c>
      <c r="F12625" t="s">
        <v>35627</v>
      </c>
    </row>
    <row r="12626" spans="1:12">
      <c r="A12626" t="s">
        <v>30729</v>
      </c>
      <c r="B12626" t="s">
        <v>30730</v>
      </c>
      <c r="C12626" t="s">
        <v>35628</v>
      </c>
      <c r="D12626" t="s">
        <v>30732</v>
      </c>
      <c r="E12626" t="s">
        <v>9833</v>
      </c>
      <c r="F12626" t="s">
        <v>35629</v>
      </c>
      <c r="J12626" t="s">
        <v>9833</v>
      </c>
      <c r="K12626" t="s">
        <v>21600</v>
      </c>
      <c r="L12626" t="s">
        <v>3616</v>
      </c>
    </row>
    <row r="12627" spans="1:12">
      <c r="A12627" t="s">
        <v>30729</v>
      </c>
      <c r="B12627" t="s">
        <v>30730</v>
      </c>
      <c r="C12627" t="s">
        <v>35630</v>
      </c>
      <c r="D12627" t="s">
        <v>30732</v>
      </c>
      <c r="E12627" t="s">
        <v>22972</v>
      </c>
      <c r="F12627" t="s">
        <v>35631</v>
      </c>
      <c r="J12627" t="s">
        <v>22972</v>
      </c>
      <c r="K12627" t="s">
        <v>21600</v>
      </c>
      <c r="L12627" t="s">
        <v>3616</v>
      </c>
    </row>
    <row r="12628" spans="1:12">
      <c r="A12628" t="s">
        <v>30729</v>
      </c>
      <c r="B12628" t="s">
        <v>30730</v>
      </c>
      <c r="C12628" t="s">
        <v>35632</v>
      </c>
      <c r="D12628" t="s">
        <v>30732</v>
      </c>
      <c r="E12628" t="s">
        <v>35633</v>
      </c>
      <c r="F12628" t="s">
        <v>35634</v>
      </c>
      <c r="J12628" t="s">
        <v>35633</v>
      </c>
      <c r="K12628" t="s">
        <v>21600</v>
      </c>
      <c r="L12628" t="s">
        <v>3616</v>
      </c>
    </row>
    <row r="12629" spans="1:12">
      <c r="A12629" t="s">
        <v>30729</v>
      </c>
      <c r="B12629" t="s">
        <v>30730</v>
      </c>
      <c r="C12629" t="s">
        <v>35635</v>
      </c>
      <c r="D12629" t="s">
        <v>30732</v>
      </c>
      <c r="E12629" t="s">
        <v>35636</v>
      </c>
      <c r="F12629" t="s">
        <v>35637</v>
      </c>
      <c r="J12629" t="s">
        <v>35636</v>
      </c>
      <c r="K12629" t="s">
        <v>21600</v>
      </c>
      <c r="L12629" t="s">
        <v>3616</v>
      </c>
    </row>
    <row r="12630" spans="1:12">
      <c r="A12630" t="s">
        <v>30729</v>
      </c>
      <c r="B12630" t="s">
        <v>30730</v>
      </c>
      <c r="C12630" t="s">
        <v>35638</v>
      </c>
      <c r="D12630" t="s">
        <v>30732</v>
      </c>
      <c r="E12630" t="s">
        <v>10803</v>
      </c>
      <c r="F12630" t="s">
        <v>35639</v>
      </c>
      <c r="J12630" t="s">
        <v>10803</v>
      </c>
      <c r="K12630" t="s">
        <v>21600</v>
      </c>
      <c r="L12630" t="s">
        <v>3616</v>
      </c>
    </row>
    <row r="12631" spans="1:12">
      <c r="A12631" t="s">
        <v>30729</v>
      </c>
      <c r="B12631" t="s">
        <v>30730</v>
      </c>
      <c r="C12631" t="s">
        <v>35640</v>
      </c>
      <c r="D12631" t="s">
        <v>30732</v>
      </c>
      <c r="E12631" t="s">
        <v>35641</v>
      </c>
      <c r="F12631" t="s">
        <v>35642</v>
      </c>
      <c r="J12631" t="s">
        <v>35641</v>
      </c>
      <c r="K12631" t="s">
        <v>21600</v>
      </c>
      <c r="L12631" t="s">
        <v>3616</v>
      </c>
    </row>
    <row r="12632" spans="1:12">
      <c r="A12632" t="s">
        <v>30729</v>
      </c>
      <c r="B12632" t="s">
        <v>30730</v>
      </c>
      <c r="C12632" t="s">
        <v>35643</v>
      </c>
      <c r="D12632" t="s">
        <v>30732</v>
      </c>
      <c r="E12632" t="s">
        <v>35644</v>
      </c>
      <c r="F12632" t="s">
        <v>35645</v>
      </c>
      <c r="J12632" t="s">
        <v>35644</v>
      </c>
      <c r="K12632" t="s">
        <v>21600</v>
      </c>
      <c r="L12632" t="s">
        <v>3616</v>
      </c>
    </row>
    <row r="12633" spans="1:12">
      <c r="A12633" t="s">
        <v>30729</v>
      </c>
      <c r="B12633" t="s">
        <v>30730</v>
      </c>
      <c r="C12633" t="s">
        <v>35646</v>
      </c>
      <c r="D12633" t="s">
        <v>30732</v>
      </c>
      <c r="E12633" t="s">
        <v>35647</v>
      </c>
      <c r="F12633" t="s">
        <v>35648</v>
      </c>
      <c r="J12633" t="s">
        <v>35647</v>
      </c>
      <c r="K12633" t="s">
        <v>21600</v>
      </c>
      <c r="L12633" t="s">
        <v>3616</v>
      </c>
    </row>
    <row r="12634" spans="1:12">
      <c r="A12634" t="s">
        <v>30729</v>
      </c>
      <c r="B12634" t="s">
        <v>30730</v>
      </c>
      <c r="C12634" t="s">
        <v>35649</v>
      </c>
      <c r="D12634" t="s">
        <v>30732</v>
      </c>
      <c r="E12634" t="s">
        <v>35650</v>
      </c>
      <c r="F12634" t="s">
        <v>35651</v>
      </c>
      <c r="J12634" t="s">
        <v>35650</v>
      </c>
      <c r="K12634" t="s">
        <v>21600</v>
      </c>
      <c r="L12634" t="s">
        <v>3616</v>
      </c>
    </row>
    <row r="12635" spans="1:12">
      <c r="A12635" t="s">
        <v>30729</v>
      </c>
      <c r="B12635" t="s">
        <v>30730</v>
      </c>
      <c r="C12635" t="s">
        <v>35652</v>
      </c>
      <c r="D12635" t="s">
        <v>30732</v>
      </c>
      <c r="E12635" t="s">
        <v>35653</v>
      </c>
      <c r="F12635" t="s">
        <v>35654</v>
      </c>
      <c r="J12635" t="s">
        <v>35653</v>
      </c>
      <c r="K12635" t="s">
        <v>21600</v>
      </c>
      <c r="L12635" t="s">
        <v>3616</v>
      </c>
    </row>
    <row r="12636" spans="1:12">
      <c r="A12636" t="s">
        <v>30729</v>
      </c>
      <c r="B12636" t="s">
        <v>30730</v>
      </c>
      <c r="C12636" t="s">
        <v>35655</v>
      </c>
      <c r="D12636" t="s">
        <v>30732</v>
      </c>
      <c r="E12636" t="s">
        <v>35656</v>
      </c>
      <c r="F12636" t="s">
        <v>35657</v>
      </c>
      <c r="J12636" t="s">
        <v>35656</v>
      </c>
      <c r="K12636" t="s">
        <v>21600</v>
      </c>
      <c r="L12636" t="s">
        <v>3616</v>
      </c>
    </row>
    <row r="12637" spans="1:12">
      <c r="A12637" t="s">
        <v>30729</v>
      </c>
      <c r="B12637" t="s">
        <v>30730</v>
      </c>
      <c r="C12637" t="s">
        <v>35658</v>
      </c>
      <c r="D12637" t="s">
        <v>30732</v>
      </c>
      <c r="E12637" t="s">
        <v>35659</v>
      </c>
      <c r="F12637" t="s">
        <v>35660</v>
      </c>
      <c r="J12637" t="s">
        <v>35659</v>
      </c>
      <c r="K12637" t="s">
        <v>21600</v>
      </c>
      <c r="L12637" t="s">
        <v>3616</v>
      </c>
    </row>
    <row r="12638" spans="1:12">
      <c r="A12638" t="s">
        <v>30729</v>
      </c>
      <c r="B12638" t="s">
        <v>30730</v>
      </c>
      <c r="C12638" t="s">
        <v>35661</v>
      </c>
      <c r="D12638" t="s">
        <v>30732</v>
      </c>
      <c r="E12638" t="s">
        <v>35662</v>
      </c>
      <c r="F12638" t="s">
        <v>35663</v>
      </c>
      <c r="J12638" t="s">
        <v>35662</v>
      </c>
      <c r="K12638" t="s">
        <v>21600</v>
      </c>
      <c r="L12638" t="s">
        <v>3616</v>
      </c>
    </row>
    <row r="12639" spans="1:12">
      <c r="A12639" t="s">
        <v>30729</v>
      </c>
      <c r="B12639" t="s">
        <v>30730</v>
      </c>
      <c r="C12639" t="s">
        <v>35664</v>
      </c>
      <c r="D12639" t="s">
        <v>30732</v>
      </c>
      <c r="E12639" t="s">
        <v>35665</v>
      </c>
      <c r="F12639" t="s">
        <v>35666</v>
      </c>
      <c r="J12639" t="s">
        <v>35665</v>
      </c>
      <c r="K12639" t="s">
        <v>21600</v>
      </c>
      <c r="L12639" t="s">
        <v>3616</v>
      </c>
    </row>
    <row r="12640" spans="1:12">
      <c r="A12640" t="s">
        <v>30729</v>
      </c>
      <c r="B12640" t="s">
        <v>30730</v>
      </c>
      <c r="C12640" t="s">
        <v>35667</v>
      </c>
      <c r="D12640" t="s">
        <v>30732</v>
      </c>
      <c r="E12640" t="s">
        <v>35668</v>
      </c>
      <c r="F12640" t="s">
        <v>35669</v>
      </c>
      <c r="J12640" t="s">
        <v>35668</v>
      </c>
      <c r="K12640" t="s">
        <v>21600</v>
      </c>
      <c r="L12640" t="s">
        <v>3616</v>
      </c>
    </row>
    <row r="12641" spans="1:12">
      <c r="A12641" t="s">
        <v>30729</v>
      </c>
      <c r="B12641" t="s">
        <v>30730</v>
      </c>
      <c r="C12641" t="s">
        <v>35670</v>
      </c>
      <c r="D12641" t="s">
        <v>30732</v>
      </c>
      <c r="E12641" t="s">
        <v>35671</v>
      </c>
      <c r="F12641" t="s">
        <v>35672</v>
      </c>
      <c r="J12641" t="s">
        <v>35671</v>
      </c>
      <c r="K12641" t="s">
        <v>21600</v>
      </c>
      <c r="L12641" t="s">
        <v>3616</v>
      </c>
    </row>
    <row r="12642" spans="1:12">
      <c r="A12642" t="s">
        <v>30729</v>
      </c>
      <c r="B12642" t="s">
        <v>30730</v>
      </c>
      <c r="C12642" t="s">
        <v>35673</v>
      </c>
      <c r="D12642" t="s">
        <v>30732</v>
      </c>
      <c r="E12642" t="s">
        <v>35674</v>
      </c>
      <c r="F12642" t="s">
        <v>35675</v>
      </c>
    </row>
    <row r="12643" spans="1:12">
      <c r="A12643" t="s">
        <v>30729</v>
      </c>
      <c r="B12643" t="s">
        <v>30730</v>
      </c>
      <c r="C12643" t="s">
        <v>35676</v>
      </c>
      <c r="D12643" t="s">
        <v>30732</v>
      </c>
      <c r="E12643" t="s">
        <v>35677</v>
      </c>
      <c r="F12643" t="s">
        <v>35678</v>
      </c>
      <c r="J12643" t="s">
        <v>35677</v>
      </c>
      <c r="K12643" t="s">
        <v>21600</v>
      </c>
      <c r="L12643" t="s">
        <v>3616</v>
      </c>
    </row>
    <row r="12644" spans="1:12">
      <c r="A12644" t="s">
        <v>30729</v>
      </c>
      <c r="B12644" t="s">
        <v>30730</v>
      </c>
      <c r="C12644" t="s">
        <v>35679</v>
      </c>
      <c r="D12644" t="s">
        <v>30732</v>
      </c>
      <c r="E12644" t="s">
        <v>35680</v>
      </c>
      <c r="F12644" t="s">
        <v>35681</v>
      </c>
      <c r="J12644" t="s">
        <v>35680</v>
      </c>
      <c r="K12644" t="s">
        <v>21600</v>
      </c>
      <c r="L12644" t="s">
        <v>3616</v>
      </c>
    </row>
    <row r="12645" spans="1:12">
      <c r="A12645" t="s">
        <v>30729</v>
      </c>
      <c r="B12645" t="s">
        <v>30730</v>
      </c>
      <c r="C12645" t="s">
        <v>35682</v>
      </c>
      <c r="D12645" t="s">
        <v>30732</v>
      </c>
      <c r="E12645" t="s">
        <v>35683</v>
      </c>
      <c r="F12645" t="s">
        <v>35684</v>
      </c>
      <c r="J12645" t="s">
        <v>35683</v>
      </c>
      <c r="K12645" t="s">
        <v>21600</v>
      </c>
      <c r="L12645" t="s">
        <v>3616</v>
      </c>
    </row>
    <row r="12646" spans="1:12">
      <c r="A12646" t="s">
        <v>30729</v>
      </c>
      <c r="B12646" t="s">
        <v>30730</v>
      </c>
      <c r="C12646" t="s">
        <v>35685</v>
      </c>
      <c r="D12646" t="s">
        <v>30732</v>
      </c>
      <c r="E12646" t="s">
        <v>35686</v>
      </c>
      <c r="F12646" t="s">
        <v>35687</v>
      </c>
      <c r="J12646" t="s">
        <v>35686</v>
      </c>
      <c r="K12646" t="s">
        <v>21600</v>
      </c>
      <c r="L12646" t="s">
        <v>3616</v>
      </c>
    </row>
    <row r="12647" spans="1:12">
      <c r="A12647" t="s">
        <v>30729</v>
      </c>
      <c r="B12647" t="s">
        <v>30730</v>
      </c>
      <c r="C12647" t="s">
        <v>35688</v>
      </c>
      <c r="D12647" t="s">
        <v>30732</v>
      </c>
      <c r="E12647" t="s">
        <v>9845</v>
      </c>
      <c r="F12647" t="s">
        <v>35689</v>
      </c>
      <c r="J12647" t="s">
        <v>9845</v>
      </c>
      <c r="K12647" t="s">
        <v>21600</v>
      </c>
      <c r="L12647" t="s">
        <v>3616</v>
      </c>
    </row>
    <row r="12648" spans="1:12">
      <c r="A12648" t="s">
        <v>30729</v>
      </c>
      <c r="B12648" t="s">
        <v>30730</v>
      </c>
      <c r="C12648" t="s">
        <v>35690</v>
      </c>
      <c r="D12648" t="s">
        <v>30732</v>
      </c>
      <c r="E12648" t="s">
        <v>897</v>
      </c>
      <c r="F12648" t="s">
        <v>35691</v>
      </c>
    </row>
    <row r="12649" spans="1:12">
      <c r="A12649" t="s">
        <v>30729</v>
      </c>
      <c r="B12649" t="s">
        <v>30730</v>
      </c>
      <c r="C12649" t="s">
        <v>35692</v>
      </c>
      <c r="D12649" t="s">
        <v>30732</v>
      </c>
      <c r="E12649" t="s">
        <v>20256</v>
      </c>
      <c r="F12649" t="s">
        <v>35693</v>
      </c>
      <c r="J12649" t="s">
        <v>35694</v>
      </c>
      <c r="K12649" t="s">
        <v>21600</v>
      </c>
      <c r="L12649" t="s">
        <v>3616</v>
      </c>
    </row>
    <row r="12650" spans="1:12">
      <c r="A12650" t="s">
        <v>30729</v>
      </c>
      <c r="B12650" t="s">
        <v>30730</v>
      </c>
      <c r="C12650" t="s">
        <v>35695</v>
      </c>
      <c r="D12650" t="s">
        <v>30732</v>
      </c>
      <c r="E12650" t="s">
        <v>29302</v>
      </c>
      <c r="F12650" t="s">
        <v>35696</v>
      </c>
      <c r="J12650" t="s">
        <v>29302</v>
      </c>
      <c r="K12650" t="s">
        <v>21600</v>
      </c>
      <c r="L12650" t="s">
        <v>3616</v>
      </c>
    </row>
    <row r="12651" spans="1:12">
      <c r="A12651" t="s">
        <v>30729</v>
      </c>
      <c r="B12651" t="s">
        <v>30730</v>
      </c>
      <c r="C12651" t="s">
        <v>35697</v>
      </c>
      <c r="D12651" t="s">
        <v>30732</v>
      </c>
      <c r="E12651" t="s">
        <v>9848</v>
      </c>
      <c r="F12651" t="s">
        <v>35698</v>
      </c>
      <c r="J12651" t="s">
        <v>9848</v>
      </c>
      <c r="K12651" t="s">
        <v>21600</v>
      </c>
      <c r="L12651" t="s">
        <v>3616</v>
      </c>
    </row>
    <row r="12652" spans="1:12">
      <c r="A12652" t="s">
        <v>30729</v>
      </c>
      <c r="B12652" t="s">
        <v>30730</v>
      </c>
      <c r="C12652" t="s">
        <v>35699</v>
      </c>
      <c r="D12652" t="s">
        <v>30732</v>
      </c>
      <c r="E12652" t="s">
        <v>15633</v>
      </c>
      <c r="F12652" t="s">
        <v>35700</v>
      </c>
    </row>
    <row r="12653" spans="1:12">
      <c r="A12653" t="s">
        <v>30729</v>
      </c>
      <c r="B12653" t="s">
        <v>30730</v>
      </c>
      <c r="C12653" t="s">
        <v>35701</v>
      </c>
      <c r="D12653" t="s">
        <v>30732</v>
      </c>
      <c r="E12653" t="s">
        <v>11448</v>
      </c>
      <c r="F12653" t="s">
        <v>35702</v>
      </c>
      <c r="J12653" t="s">
        <v>11448</v>
      </c>
      <c r="K12653" t="s">
        <v>21600</v>
      </c>
      <c r="L12653" t="s">
        <v>3616</v>
      </c>
    </row>
    <row r="12654" spans="1:12">
      <c r="A12654" t="s">
        <v>30729</v>
      </c>
      <c r="B12654" t="s">
        <v>30730</v>
      </c>
      <c r="C12654" t="s">
        <v>35703</v>
      </c>
      <c r="D12654" t="s">
        <v>30732</v>
      </c>
      <c r="E12654" t="s">
        <v>4513</v>
      </c>
      <c r="F12654" t="s">
        <v>35704</v>
      </c>
    </row>
    <row r="12655" spans="1:12">
      <c r="A12655" t="s">
        <v>30729</v>
      </c>
      <c r="B12655" t="s">
        <v>30730</v>
      </c>
      <c r="C12655" t="s">
        <v>35705</v>
      </c>
      <c r="D12655" t="s">
        <v>30732</v>
      </c>
      <c r="E12655" t="s">
        <v>4731</v>
      </c>
      <c r="F12655" t="s">
        <v>35706</v>
      </c>
    </row>
    <row r="12656" spans="1:12">
      <c r="A12656" t="s">
        <v>30729</v>
      </c>
      <c r="B12656" t="s">
        <v>30730</v>
      </c>
      <c r="C12656" t="s">
        <v>35707</v>
      </c>
      <c r="D12656" t="s">
        <v>30732</v>
      </c>
      <c r="E12656" t="s">
        <v>5255</v>
      </c>
      <c r="F12656" t="s">
        <v>35708</v>
      </c>
      <c r="J12656" t="s">
        <v>5255</v>
      </c>
      <c r="K12656" t="s">
        <v>21600</v>
      </c>
      <c r="L12656" t="s">
        <v>3616</v>
      </c>
    </row>
    <row r="12657" spans="1:12">
      <c r="A12657" t="s">
        <v>30729</v>
      </c>
      <c r="B12657" t="s">
        <v>30730</v>
      </c>
      <c r="C12657" t="s">
        <v>35709</v>
      </c>
      <c r="D12657" t="s">
        <v>30732</v>
      </c>
      <c r="E12657" t="s">
        <v>35710</v>
      </c>
      <c r="F12657" t="s">
        <v>35711</v>
      </c>
      <c r="J12657" t="s">
        <v>35710</v>
      </c>
      <c r="K12657" t="s">
        <v>21600</v>
      </c>
      <c r="L12657" t="s">
        <v>3616</v>
      </c>
    </row>
    <row r="12658" spans="1:12">
      <c r="A12658" t="s">
        <v>30729</v>
      </c>
      <c r="B12658" t="s">
        <v>30730</v>
      </c>
      <c r="C12658" t="s">
        <v>35712</v>
      </c>
      <c r="D12658" t="s">
        <v>30732</v>
      </c>
      <c r="E12658" t="s">
        <v>10806</v>
      </c>
      <c r="F12658" t="s">
        <v>35713</v>
      </c>
      <c r="J12658" t="s">
        <v>10806</v>
      </c>
      <c r="K12658" t="s">
        <v>21600</v>
      </c>
      <c r="L12658" t="s">
        <v>3616</v>
      </c>
    </row>
    <row r="12659" spans="1:12">
      <c r="A12659" t="s">
        <v>30729</v>
      </c>
      <c r="B12659" t="s">
        <v>30730</v>
      </c>
      <c r="C12659" t="s">
        <v>35714</v>
      </c>
      <c r="D12659" t="s">
        <v>30732</v>
      </c>
      <c r="E12659" t="s">
        <v>35715</v>
      </c>
      <c r="F12659" t="s">
        <v>35716</v>
      </c>
    </row>
    <row r="12660" spans="1:12">
      <c r="A12660" t="s">
        <v>30729</v>
      </c>
      <c r="B12660" t="s">
        <v>30730</v>
      </c>
      <c r="C12660" t="s">
        <v>35717</v>
      </c>
      <c r="D12660" t="s">
        <v>30732</v>
      </c>
      <c r="E12660" t="s">
        <v>13359</v>
      </c>
      <c r="F12660" t="s">
        <v>35718</v>
      </c>
    </row>
    <row r="12661" spans="1:12">
      <c r="A12661" t="s">
        <v>30729</v>
      </c>
      <c r="B12661" t="s">
        <v>30730</v>
      </c>
      <c r="C12661" t="s">
        <v>35719</v>
      </c>
      <c r="D12661" t="s">
        <v>30732</v>
      </c>
      <c r="E12661" t="s">
        <v>35720</v>
      </c>
      <c r="F12661" t="s">
        <v>35721</v>
      </c>
      <c r="J12661" t="s">
        <v>35720</v>
      </c>
      <c r="K12661" t="s">
        <v>21600</v>
      </c>
      <c r="L12661" t="s">
        <v>3616</v>
      </c>
    </row>
    <row r="12662" spans="1:12">
      <c r="A12662" t="s">
        <v>30729</v>
      </c>
      <c r="B12662" t="s">
        <v>30730</v>
      </c>
      <c r="C12662" t="s">
        <v>35722</v>
      </c>
      <c r="D12662" t="s">
        <v>30732</v>
      </c>
      <c r="E12662" t="s">
        <v>29307</v>
      </c>
      <c r="F12662" t="s">
        <v>35723</v>
      </c>
      <c r="J12662" t="s">
        <v>29307</v>
      </c>
      <c r="K12662" t="s">
        <v>21600</v>
      </c>
      <c r="L12662" t="s">
        <v>3616</v>
      </c>
    </row>
    <row r="12663" spans="1:12">
      <c r="A12663" t="s">
        <v>30729</v>
      </c>
      <c r="B12663" t="s">
        <v>30730</v>
      </c>
      <c r="C12663" t="s">
        <v>35724</v>
      </c>
      <c r="D12663" t="s">
        <v>30732</v>
      </c>
      <c r="E12663" t="s">
        <v>29600</v>
      </c>
      <c r="F12663" t="s">
        <v>35725</v>
      </c>
      <c r="J12663" t="s">
        <v>29600</v>
      </c>
      <c r="K12663" t="s">
        <v>21600</v>
      </c>
      <c r="L12663" t="s">
        <v>3616</v>
      </c>
    </row>
    <row r="12664" spans="1:12">
      <c r="A12664" t="s">
        <v>30729</v>
      </c>
      <c r="B12664" t="s">
        <v>30730</v>
      </c>
      <c r="C12664" t="s">
        <v>35726</v>
      </c>
      <c r="D12664" t="s">
        <v>30732</v>
      </c>
      <c r="E12664" t="s">
        <v>35727</v>
      </c>
      <c r="F12664" t="s">
        <v>31884</v>
      </c>
      <c r="J12664" t="s">
        <v>35727</v>
      </c>
      <c r="K12664" t="s">
        <v>21600</v>
      </c>
      <c r="L12664" t="s">
        <v>3616</v>
      </c>
    </row>
    <row r="12665" spans="1:12">
      <c r="A12665" t="s">
        <v>30729</v>
      </c>
      <c r="B12665" t="s">
        <v>30730</v>
      </c>
      <c r="C12665" t="s">
        <v>35728</v>
      </c>
      <c r="D12665" t="s">
        <v>30732</v>
      </c>
      <c r="E12665" t="s">
        <v>2885</v>
      </c>
      <c r="F12665" t="s">
        <v>35729</v>
      </c>
    </row>
    <row r="12666" spans="1:12">
      <c r="A12666" t="s">
        <v>30729</v>
      </c>
      <c r="B12666" t="s">
        <v>30730</v>
      </c>
      <c r="C12666" t="s">
        <v>35730</v>
      </c>
      <c r="D12666" t="s">
        <v>30732</v>
      </c>
      <c r="E12666" t="s">
        <v>14545</v>
      </c>
      <c r="F12666" t="s">
        <v>35731</v>
      </c>
      <c r="J12666" t="s">
        <v>14545</v>
      </c>
      <c r="K12666" t="s">
        <v>21600</v>
      </c>
      <c r="L12666" t="s">
        <v>3616</v>
      </c>
    </row>
    <row r="12667" spans="1:12">
      <c r="A12667" t="s">
        <v>30729</v>
      </c>
      <c r="B12667" t="s">
        <v>30730</v>
      </c>
      <c r="C12667" t="s">
        <v>35732</v>
      </c>
      <c r="D12667" t="s">
        <v>30732</v>
      </c>
      <c r="E12667" t="s">
        <v>35733</v>
      </c>
      <c r="F12667" t="s">
        <v>35734</v>
      </c>
      <c r="J12667" t="s">
        <v>35733</v>
      </c>
      <c r="K12667" t="s">
        <v>21600</v>
      </c>
      <c r="L12667" t="s">
        <v>3616</v>
      </c>
    </row>
    <row r="12668" spans="1:12">
      <c r="A12668" t="s">
        <v>30729</v>
      </c>
      <c r="B12668" t="s">
        <v>30730</v>
      </c>
      <c r="C12668" t="s">
        <v>35735</v>
      </c>
      <c r="D12668" t="s">
        <v>30732</v>
      </c>
      <c r="E12668" t="s">
        <v>35736</v>
      </c>
      <c r="F12668" t="s">
        <v>35737</v>
      </c>
      <c r="J12668" t="s">
        <v>35736</v>
      </c>
      <c r="K12668" t="s">
        <v>21600</v>
      </c>
      <c r="L12668" t="s">
        <v>3616</v>
      </c>
    </row>
    <row r="12669" spans="1:12">
      <c r="A12669" t="s">
        <v>30729</v>
      </c>
      <c r="B12669" t="s">
        <v>30730</v>
      </c>
      <c r="C12669" t="s">
        <v>35738</v>
      </c>
      <c r="D12669" t="s">
        <v>30732</v>
      </c>
      <c r="E12669" t="s">
        <v>20315</v>
      </c>
      <c r="F12669" t="s">
        <v>35739</v>
      </c>
      <c r="J12669" t="s">
        <v>20315</v>
      </c>
      <c r="K12669" t="s">
        <v>21600</v>
      </c>
      <c r="L12669" t="s">
        <v>3616</v>
      </c>
    </row>
    <row r="12670" spans="1:12">
      <c r="A12670" t="s">
        <v>30729</v>
      </c>
      <c r="B12670" t="s">
        <v>30730</v>
      </c>
      <c r="C12670" t="s">
        <v>35740</v>
      </c>
      <c r="D12670" t="s">
        <v>30732</v>
      </c>
      <c r="E12670" t="s">
        <v>9864</v>
      </c>
      <c r="F12670" t="s">
        <v>35741</v>
      </c>
      <c r="J12670" t="s">
        <v>9864</v>
      </c>
      <c r="K12670" t="s">
        <v>21600</v>
      </c>
      <c r="L12670" t="s">
        <v>3616</v>
      </c>
    </row>
    <row r="12671" spans="1:12">
      <c r="A12671" t="s">
        <v>30729</v>
      </c>
      <c r="B12671" t="s">
        <v>30730</v>
      </c>
      <c r="C12671" t="s">
        <v>35742</v>
      </c>
      <c r="D12671" t="s">
        <v>30732</v>
      </c>
      <c r="E12671" t="s">
        <v>35743</v>
      </c>
      <c r="F12671" t="s">
        <v>35744</v>
      </c>
      <c r="J12671" t="s">
        <v>35743</v>
      </c>
      <c r="K12671" t="s">
        <v>21600</v>
      </c>
      <c r="L12671" t="s">
        <v>3616</v>
      </c>
    </row>
    <row r="12672" spans="1:12">
      <c r="A12672" t="s">
        <v>30729</v>
      </c>
      <c r="B12672" t="s">
        <v>30730</v>
      </c>
      <c r="C12672" t="s">
        <v>35745</v>
      </c>
      <c r="D12672" t="s">
        <v>30732</v>
      </c>
      <c r="E12672" t="s">
        <v>9867</v>
      </c>
      <c r="F12672" t="s">
        <v>35746</v>
      </c>
      <c r="J12672" t="s">
        <v>9867</v>
      </c>
      <c r="K12672" t="s">
        <v>21600</v>
      </c>
      <c r="L12672" t="s">
        <v>3616</v>
      </c>
    </row>
    <row r="12673" spans="1:12">
      <c r="A12673" t="s">
        <v>30729</v>
      </c>
      <c r="B12673" t="s">
        <v>30730</v>
      </c>
      <c r="C12673" t="s">
        <v>35747</v>
      </c>
      <c r="D12673" t="s">
        <v>30732</v>
      </c>
      <c r="E12673" t="s">
        <v>9870</v>
      </c>
      <c r="F12673" t="s">
        <v>34023</v>
      </c>
      <c r="J12673" t="s">
        <v>9870</v>
      </c>
      <c r="K12673" t="s">
        <v>21600</v>
      </c>
      <c r="L12673" t="s">
        <v>3616</v>
      </c>
    </row>
    <row r="12674" spans="1:12">
      <c r="A12674" t="s">
        <v>30729</v>
      </c>
      <c r="B12674" t="s">
        <v>30730</v>
      </c>
      <c r="C12674" t="s">
        <v>35748</v>
      </c>
      <c r="D12674" t="s">
        <v>30732</v>
      </c>
      <c r="E12674" t="s">
        <v>9876</v>
      </c>
      <c r="F12674" t="s">
        <v>35749</v>
      </c>
      <c r="J12674" t="s">
        <v>9876</v>
      </c>
      <c r="K12674" t="s">
        <v>21600</v>
      </c>
      <c r="L12674" t="s">
        <v>3616</v>
      </c>
    </row>
    <row r="12675" spans="1:12">
      <c r="A12675" t="s">
        <v>30729</v>
      </c>
      <c r="B12675" t="s">
        <v>30730</v>
      </c>
      <c r="C12675" t="s">
        <v>35750</v>
      </c>
      <c r="D12675" t="s">
        <v>30732</v>
      </c>
      <c r="E12675" t="s">
        <v>35751</v>
      </c>
      <c r="F12675" t="s">
        <v>35752</v>
      </c>
      <c r="J12675" t="s">
        <v>35751</v>
      </c>
      <c r="K12675" t="s">
        <v>21600</v>
      </c>
      <c r="L12675" t="s">
        <v>3616</v>
      </c>
    </row>
    <row r="12676" spans="1:12">
      <c r="A12676" t="s">
        <v>30729</v>
      </c>
      <c r="B12676" t="s">
        <v>30730</v>
      </c>
      <c r="C12676" t="s">
        <v>35753</v>
      </c>
      <c r="D12676" t="s">
        <v>30732</v>
      </c>
      <c r="E12676" t="s">
        <v>35754</v>
      </c>
      <c r="F12676" t="s">
        <v>35755</v>
      </c>
      <c r="J12676" t="s">
        <v>35754</v>
      </c>
      <c r="K12676" t="s">
        <v>21600</v>
      </c>
      <c r="L12676" t="s">
        <v>3616</v>
      </c>
    </row>
    <row r="12677" spans="1:12">
      <c r="A12677" t="s">
        <v>30729</v>
      </c>
      <c r="B12677" t="s">
        <v>30730</v>
      </c>
      <c r="C12677" t="s">
        <v>35756</v>
      </c>
      <c r="D12677" t="s">
        <v>30732</v>
      </c>
      <c r="E12677" t="s">
        <v>35757</v>
      </c>
      <c r="F12677" t="s">
        <v>35758</v>
      </c>
    </row>
    <row r="12678" spans="1:12">
      <c r="A12678" t="s">
        <v>30729</v>
      </c>
      <c r="B12678" t="s">
        <v>30730</v>
      </c>
      <c r="C12678" t="s">
        <v>35759</v>
      </c>
      <c r="D12678" t="s">
        <v>30732</v>
      </c>
      <c r="E12678" t="s">
        <v>11049</v>
      </c>
      <c r="F12678" t="s">
        <v>35760</v>
      </c>
      <c r="J12678" t="s">
        <v>11049</v>
      </c>
      <c r="K12678" t="s">
        <v>21600</v>
      </c>
      <c r="L12678" t="s">
        <v>3616</v>
      </c>
    </row>
    <row r="12679" spans="1:12">
      <c r="A12679" t="s">
        <v>30729</v>
      </c>
      <c r="B12679" t="s">
        <v>30730</v>
      </c>
      <c r="C12679" t="s">
        <v>35761</v>
      </c>
      <c r="D12679" t="s">
        <v>30732</v>
      </c>
      <c r="E12679" t="s">
        <v>28331</v>
      </c>
      <c r="F12679" t="s">
        <v>35762</v>
      </c>
    </row>
    <row r="12680" spans="1:12">
      <c r="A12680" t="s">
        <v>30729</v>
      </c>
      <c r="B12680" t="s">
        <v>30730</v>
      </c>
      <c r="C12680" t="s">
        <v>35763</v>
      </c>
      <c r="D12680" t="s">
        <v>30732</v>
      </c>
      <c r="E12680" t="s">
        <v>24038</v>
      </c>
      <c r="F12680" t="s">
        <v>35764</v>
      </c>
    </row>
    <row r="12681" spans="1:12">
      <c r="A12681" t="s">
        <v>30729</v>
      </c>
      <c r="B12681" t="s">
        <v>30730</v>
      </c>
      <c r="C12681" t="s">
        <v>35765</v>
      </c>
      <c r="D12681" t="s">
        <v>30732</v>
      </c>
      <c r="E12681" t="s">
        <v>15424</v>
      </c>
      <c r="F12681" t="s">
        <v>35766</v>
      </c>
    </row>
    <row r="12682" spans="1:12">
      <c r="A12682" t="s">
        <v>30729</v>
      </c>
      <c r="B12682" t="s">
        <v>30730</v>
      </c>
      <c r="C12682" t="s">
        <v>35767</v>
      </c>
      <c r="D12682" t="s">
        <v>30732</v>
      </c>
      <c r="E12682" t="s">
        <v>9887</v>
      </c>
      <c r="F12682" t="s">
        <v>33951</v>
      </c>
      <c r="J12682" t="s">
        <v>9887</v>
      </c>
      <c r="K12682" t="s">
        <v>21600</v>
      </c>
      <c r="L12682" t="s">
        <v>3616</v>
      </c>
    </row>
    <row r="12683" spans="1:12">
      <c r="A12683" t="s">
        <v>30729</v>
      </c>
      <c r="B12683" t="s">
        <v>30730</v>
      </c>
      <c r="C12683" t="s">
        <v>35768</v>
      </c>
      <c r="D12683" t="s">
        <v>30732</v>
      </c>
      <c r="E12683" t="s">
        <v>24402</v>
      </c>
      <c r="F12683" t="s">
        <v>34591</v>
      </c>
      <c r="J12683" t="s">
        <v>24402</v>
      </c>
      <c r="K12683" t="s">
        <v>21600</v>
      </c>
      <c r="L12683" t="s">
        <v>3616</v>
      </c>
    </row>
    <row r="12684" spans="1:12">
      <c r="A12684" t="s">
        <v>30729</v>
      </c>
      <c r="B12684" t="s">
        <v>30730</v>
      </c>
      <c r="C12684" t="s">
        <v>35769</v>
      </c>
      <c r="D12684" t="s">
        <v>30732</v>
      </c>
      <c r="E12684" t="s">
        <v>35770</v>
      </c>
      <c r="F12684" t="s">
        <v>35771</v>
      </c>
      <c r="J12684" t="s">
        <v>35770</v>
      </c>
      <c r="K12684" t="s">
        <v>21600</v>
      </c>
      <c r="L12684" t="s">
        <v>3616</v>
      </c>
    </row>
    <row r="12685" spans="1:12">
      <c r="A12685" t="s">
        <v>30729</v>
      </c>
      <c r="B12685" t="s">
        <v>30730</v>
      </c>
      <c r="C12685" t="s">
        <v>35772</v>
      </c>
      <c r="D12685" t="s">
        <v>30732</v>
      </c>
      <c r="E12685" t="s">
        <v>20340</v>
      </c>
      <c r="F12685" t="s">
        <v>35773</v>
      </c>
    </row>
    <row r="12686" spans="1:12">
      <c r="A12686" t="s">
        <v>30729</v>
      </c>
      <c r="B12686" t="s">
        <v>30730</v>
      </c>
      <c r="C12686" t="s">
        <v>35774</v>
      </c>
      <c r="D12686" t="s">
        <v>30732</v>
      </c>
      <c r="E12686" t="s">
        <v>35775</v>
      </c>
      <c r="F12686" t="s">
        <v>35776</v>
      </c>
      <c r="J12686" t="s">
        <v>35775</v>
      </c>
      <c r="K12686" t="s">
        <v>21600</v>
      </c>
      <c r="L12686" t="s">
        <v>3616</v>
      </c>
    </row>
    <row r="12687" spans="1:12">
      <c r="A12687" t="s">
        <v>30729</v>
      </c>
      <c r="B12687" t="s">
        <v>30730</v>
      </c>
      <c r="C12687" t="s">
        <v>35777</v>
      </c>
      <c r="D12687" t="s">
        <v>30732</v>
      </c>
      <c r="E12687" t="s">
        <v>35778</v>
      </c>
      <c r="F12687" t="s">
        <v>35779</v>
      </c>
      <c r="J12687" t="s">
        <v>35778</v>
      </c>
      <c r="K12687" t="s">
        <v>21600</v>
      </c>
      <c r="L12687" t="s">
        <v>3616</v>
      </c>
    </row>
    <row r="12688" spans="1:12">
      <c r="A12688" t="s">
        <v>30729</v>
      </c>
      <c r="B12688" t="s">
        <v>30730</v>
      </c>
      <c r="C12688" t="s">
        <v>35780</v>
      </c>
      <c r="D12688" t="s">
        <v>30732</v>
      </c>
      <c r="E12688" t="s">
        <v>12967</v>
      </c>
      <c r="F12688" t="s">
        <v>35781</v>
      </c>
      <c r="J12688" t="s">
        <v>12967</v>
      </c>
      <c r="K12688" t="s">
        <v>21600</v>
      </c>
      <c r="L12688" t="s">
        <v>3616</v>
      </c>
    </row>
    <row r="12689" spans="1:12">
      <c r="A12689" t="s">
        <v>30729</v>
      </c>
      <c r="B12689" t="s">
        <v>30730</v>
      </c>
      <c r="C12689" t="s">
        <v>35782</v>
      </c>
      <c r="D12689" t="s">
        <v>30732</v>
      </c>
      <c r="E12689" t="s">
        <v>35783</v>
      </c>
      <c r="F12689" t="s">
        <v>35784</v>
      </c>
      <c r="J12689" t="s">
        <v>35783</v>
      </c>
      <c r="K12689" t="s">
        <v>21600</v>
      </c>
      <c r="L12689" t="s">
        <v>3616</v>
      </c>
    </row>
    <row r="12690" spans="1:12">
      <c r="A12690" t="s">
        <v>30729</v>
      </c>
      <c r="B12690" t="s">
        <v>30730</v>
      </c>
      <c r="C12690" t="s">
        <v>35785</v>
      </c>
      <c r="D12690" t="s">
        <v>30732</v>
      </c>
      <c r="E12690" t="s">
        <v>11056</v>
      </c>
      <c r="F12690" t="s">
        <v>35786</v>
      </c>
      <c r="J12690" t="s">
        <v>11056</v>
      </c>
      <c r="K12690" t="s">
        <v>21600</v>
      </c>
      <c r="L12690" t="s">
        <v>3616</v>
      </c>
    </row>
    <row r="12691" spans="1:12">
      <c r="A12691" t="s">
        <v>30729</v>
      </c>
      <c r="B12691" t="s">
        <v>30730</v>
      </c>
      <c r="C12691" t="s">
        <v>35787</v>
      </c>
      <c r="D12691" t="s">
        <v>30732</v>
      </c>
      <c r="E12691" t="s">
        <v>9898</v>
      </c>
      <c r="F12691" t="s">
        <v>35788</v>
      </c>
    </row>
    <row r="12692" spans="1:12">
      <c r="A12692" t="s">
        <v>30729</v>
      </c>
      <c r="B12692" t="s">
        <v>30730</v>
      </c>
      <c r="C12692" t="s">
        <v>35789</v>
      </c>
      <c r="D12692" t="s">
        <v>30732</v>
      </c>
      <c r="E12692" t="s">
        <v>12970</v>
      </c>
      <c r="F12692" t="s">
        <v>35790</v>
      </c>
    </row>
    <row r="12693" spans="1:12">
      <c r="A12693" t="s">
        <v>30729</v>
      </c>
      <c r="B12693" t="s">
        <v>30730</v>
      </c>
      <c r="C12693" t="s">
        <v>35791</v>
      </c>
      <c r="D12693" t="s">
        <v>30732</v>
      </c>
      <c r="E12693" t="s">
        <v>35792</v>
      </c>
      <c r="F12693" t="s">
        <v>35793</v>
      </c>
      <c r="J12693" t="s">
        <v>35792</v>
      </c>
      <c r="K12693" t="s">
        <v>21600</v>
      </c>
      <c r="L12693" t="s">
        <v>3616</v>
      </c>
    </row>
    <row r="12694" spans="1:12">
      <c r="A12694" t="s">
        <v>30729</v>
      </c>
      <c r="B12694" t="s">
        <v>30730</v>
      </c>
      <c r="C12694" t="s">
        <v>35794</v>
      </c>
      <c r="D12694" t="s">
        <v>30732</v>
      </c>
      <c r="E12694" t="s">
        <v>3649</v>
      </c>
      <c r="F12694" t="s">
        <v>35795</v>
      </c>
      <c r="J12694" t="s">
        <v>3649</v>
      </c>
      <c r="K12694" t="s">
        <v>21600</v>
      </c>
      <c r="L12694" t="s">
        <v>3616</v>
      </c>
    </row>
    <row r="12695" spans="1:12">
      <c r="A12695" t="s">
        <v>30729</v>
      </c>
      <c r="B12695" t="s">
        <v>30730</v>
      </c>
      <c r="C12695" t="s">
        <v>35796</v>
      </c>
      <c r="D12695" t="s">
        <v>30732</v>
      </c>
      <c r="E12695" t="s">
        <v>20366</v>
      </c>
      <c r="F12695" t="s">
        <v>35797</v>
      </c>
      <c r="J12695" t="s">
        <v>20366</v>
      </c>
      <c r="K12695" t="s">
        <v>21600</v>
      </c>
      <c r="L12695" t="s">
        <v>3616</v>
      </c>
    </row>
    <row r="12696" spans="1:12">
      <c r="A12696" t="s">
        <v>30729</v>
      </c>
      <c r="B12696" t="s">
        <v>30730</v>
      </c>
      <c r="C12696" t="s">
        <v>35798</v>
      </c>
      <c r="D12696" t="s">
        <v>30732</v>
      </c>
      <c r="E12696" t="s">
        <v>10809</v>
      </c>
      <c r="F12696" t="s">
        <v>35799</v>
      </c>
    </row>
    <row r="12697" spans="1:12">
      <c r="A12697" t="s">
        <v>30729</v>
      </c>
      <c r="B12697" t="s">
        <v>30730</v>
      </c>
      <c r="C12697" t="s">
        <v>35800</v>
      </c>
      <c r="D12697" t="s">
        <v>30732</v>
      </c>
      <c r="E12697" t="s">
        <v>35801</v>
      </c>
      <c r="F12697" t="s">
        <v>35802</v>
      </c>
      <c r="J12697" t="s">
        <v>35801</v>
      </c>
      <c r="K12697" t="s">
        <v>21600</v>
      </c>
      <c r="L12697" t="s">
        <v>3616</v>
      </c>
    </row>
    <row r="12698" spans="1:12">
      <c r="A12698" t="s">
        <v>30729</v>
      </c>
      <c r="B12698" t="s">
        <v>30730</v>
      </c>
      <c r="C12698" t="s">
        <v>35803</v>
      </c>
      <c r="D12698" t="s">
        <v>30732</v>
      </c>
      <c r="E12698" t="s">
        <v>35804</v>
      </c>
      <c r="F12698" t="s">
        <v>35805</v>
      </c>
    </row>
    <row r="12699" spans="1:12">
      <c r="A12699" t="s">
        <v>30729</v>
      </c>
      <c r="B12699" t="s">
        <v>30730</v>
      </c>
      <c r="C12699" t="s">
        <v>35806</v>
      </c>
      <c r="D12699" t="s">
        <v>30732</v>
      </c>
      <c r="E12699" t="s">
        <v>29792</v>
      </c>
      <c r="F12699" t="s">
        <v>35807</v>
      </c>
      <c r="J12699" t="s">
        <v>29792</v>
      </c>
      <c r="K12699" t="s">
        <v>21600</v>
      </c>
      <c r="L12699" t="s">
        <v>3616</v>
      </c>
    </row>
    <row r="12700" spans="1:12">
      <c r="A12700" t="s">
        <v>30729</v>
      </c>
      <c r="B12700" t="s">
        <v>30730</v>
      </c>
      <c r="C12700" t="s">
        <v>35808</v>
      </c>
      <c r="D12700" t="s">
        <v>30732</v>
      </c>
      <c r="E12700" t="s">
        <v>1314</v>
      </c>
      <c r="F12700" t="s">
        <v>35809</v>
      </c>
    </row>
    <row r="12701" spans="1:12">
      <c r="A12701" t="s">
        <v>30729</v>
      </c>
      <c r="B12701" t="s">
        <v>30730</v>
      </c>
      <c r="C12701" t="s">
        <v>35810</v>
      </c>
      <c r="D12701" t="s">
        <v>30732</v>
      </c>
      <c r="E12701" t="s">
        <v>11059</v>
      </c>
      <c r="F12701" t="s">
        <v>35811</v>
      </c>
      <c r="J12701" t="s">
        <v>11059</v>
      </c>
      <c r="K12701" t="s">
        <v>21600</v>
      </c>
      <c r="L12701" t="s">
        <v>3616</v>
      </c>
    </row>
    <row r="12702" spans="1:12">
      <c r="A12702" t="s">
        <v>30729</v>
      </c>
      <c r="B12702" t="s">
        <v>30730</v>
      </c>
      <c r="C12702" t="s">
        <v>35812</v>
      </c>
      <c r="D12702" t="s">
        <v>30732</v>
      </c>
      <c r="E12702" t="s">
        <v>35813</v>
      </c>
      <c r="F12702" t="s">
        <v>35814</v>
      </c>
      <c r="J12702" t="s">
        <v>35813</v>
      </c>
      <c r="K12702" t="s">
        <v>21600</v>
      </c>
      <c r="L12702" t="s">
        <v>3616</v>
      </c>
    </row>
    <row r="12703" spans="1:12">
      <c r="A12703" t="s">
        <v>30729</v>
      </c>
      <c r="B12703" t="s">
        <v>30730</v>
      </c>
      <c r="C12703" t="s">
        <v>35815</v>
      </c>
      <c r="D12703" t="s">
        <v>30732</v>
      </c>
      <c r="E12703" t="s">
        <v>35816</v>
      </c>
      <c r="F12703" t="s">
        <v>35817</v>
      </c>
    </row>
    <row r="12704" spans="1:12">
      <c r="A12704" t="s">
        <v>30729</v>
      </c>
      <c r="B12704" t="s">
        <v>30730</v>
      </c>
      <c r="C12704" t="s">
        <v>35818</v>
      </c>
      <c r="D12704" t="s">
        <v>30732</v>
      </c>
      <c r="E12704" t="s">
        <v>35819</v>
      </c>
      <c r="F12704" t="s">
        <v>35820</v>
      </c>
      <c r="J12704" t="s">
        <v>35819</v>
      </c>
      <c r="K12704" t="s">
        <v>21600</v>
      </c>
      <c r="L12704" t="s">
        <v>3616</v>
      </c>
    </row>
    <row r="12705" spans="1:12">
      <c r="A12705" t="s">
        <v>30729</v>
      </c>
      <c r="B12705" t="s">
        <v>30730</v>
      </c>
      <c r="C12705" t="s">
        <v>35821</v>
      </c>
      <c r="D12705" t="s">
        <v>30732</v>
      </c>
      <c r="E12705" t="s">
        <v>35822</v>
      </c>
      <c r="F12705" t="s">
        <v>35823</v>
      </c>
      <c r="J12705" t="s">
        <v>35822</v>
      </c>
      <c r="K12705" t="s">
        <v>21600</v>
      </c>
      <c r="L12705" t="s">
        <v>3616</v>
      </c>
    </row>
    <row r="12706" spans="1:12">
      <c r="A12706" t="s">
        <v>30729</v>
      </c>
      <c r="B12706" t="s">
        <v>30730</v>
      </c>
      <c r="C12706" t="s">
        <v>35824</v>
      </c>
      <c r="D12706" t="s">
        <v>30732</v>
      </c>
      <c r="E12706" t="s">
        <v>20380</v>
      </c>
      <c r="F12706" t="s">
        <v>35825</v>
      </c>
      <c r="J12706" t="s">
        <v>20380</v>
      </c>
      <c r="K12706" t="s">
        <v>21600</v>
      </c>
      <c r="L12706" t="s">
        <v>3616</v>
      </c>
    </row>
    <row r="12707" spans="1:12">
      <c r="A12707" t="s">
        <v>30729</v>
      </c>
      <c r="B12707" t="s">
        <v>30730</v>
      </c>
      <c r="C12707" t="s">
        <v>35826</v>
      </c>
      <c r="D12707" t="s">
        <v>30732</v>
      </c>
      <c r="E12707" t="s">
        <v>20396</v>
      </c>
      <c r="F12707" t="s">
        <v>32232</v>
      </c>
      <c r="J12707" t="s">
        <v>20396</v>
      </c>
      <c r="K12707" t="s">
        <v>21600</v>
      </c>
      <c r="L12707" t="s">
        <v>3616</v>
      </c>
    </row>
    <row r="12708" spans="1:12">
      <c r="A12708" t="s">
        <v>30729</v>
      </c>
      <c r="B12708" t="s">
        <v>30730</v>
      </c>
      <c r="C12708" t="s">
        <v>35827</v>
      </c>
      <c r="D12708" t="s">
        <v>30732</v>
      </c>
      <c r="E12708" t="s">
        <v>20400</v>
      </c>
      <c r="F12708" t="s">
        <v>35828</v>
      </c>
      <c r="J12708" t="s">
        <v>20400</v>
      </c>
      <c r="K12708" t="s">
        <v>21600</v>
      </c>
      <c r="L12708" t="s">
        <v>3616</v>
      </c>
    </row>
    <row r="12709" spans="1:12">
      <c r="A12709" t="s">
        <v>30729</v>
      </c>
      <c r="B12709" t="s">
        <v>30730</v>
      </c>
      <c r="C12709" t="s">
        <v>35829</v>
      </c>
      <c r="D12709" t="s">
        <v>30732</v>
      </c>
      <c r="E12709" t="s">
        <v>9909</v>
      </c>
      <c r="F12709" t="s">
        <v>35830</v>
      </c>
      <c r="J12709" t="s">
        <v>9909</v>
      </c>
      <c r="K12709" t="s">
        <v>21600</v>
      </c>
      <c r="L12709" t="s">
        <v>3616</v>
      </c>
    </row>
    <row r="12710" spans="1:12">
      <c r="A12710" t="s">
        <v>30729</v>
      </c>
      <c r="B12710" t="s">
        <v>30730</v>
      </c>
      <c r="C12710" t="s">
        <v>35831</v>
      </c>
      <c r="D12710" t="s">
        <v>30732</v>
      </c>
      <c r="E12710" t="s">
        <v>20406</v>
      </c>
      <c r="F12710" t="s">
        <v>35832</v>
      </c>
      <c r="J12710" t="s">
        <v>20406</v>
      </c>
      <c r="K12710" t="s">
        <v>21600</v>
      </c>
      <c r="L12710" t="s">
        <v>3616</v>
      </c>
    </row>
    <row r="12711" spans="1:12">
      <c r="A12711" t="s">
        <v>30729</v>
      </c>
      <c r="B12711" t="s">
        <v>30730</v>
      </c>
      <c r="C12711" t="s">
        <v>35833</v>
      </c>
      <c r="D12711" t="s">
        <v>30732</v>
      </c>
      <c r="E12711" t="s">
        <v>35834</v>
      </c>
      <c r="F12711" t="s">
        <v>35835</v>
      </c>
      <c r="J12711" t="s">
        <v>35834</v>
      </c>
      <c r="K12711" t="s">
        <v>21600</v>
      </c>
      <c r="L12711" t="s">
        <v>3616</v>
      </c>
    </row>
    <row r="12712" spans="1:12">
      <c r="A12712" t="s">
        <v>30729</v>
      </c>
      <c r="B12712" t="s">
        <v>30730</v>
      </c>
      <c r="C12712" t="s">
        <v>35836</v>
      </c>
      <c r="D12712" t="s">
        <v>30732</v>
      </c>
      <c r="E12712" t="s">
        <v>7409</v>
      </c>
      <c r="F12712" t="s">
        <v>35837</v>
      </c>
      <c r="J12712" t="s">
        <v>7409</v>
      </c>
      <c r="K12712" t="s">
        <v>21600</v>
      </c>
      <c r="L12712" t="s">
        <v>3616</v>
      </c>
    </row>
    <row r="12713" spans="1:12">
      <c r="A12713" t="s">
        <v>30729</v>
      </c>
      <c r="B12713" t="s">
        <v>30730</v>
      </c>
      <c r="C12713" t="s">
        <v>35838</v>
      </c>
      <c r="D12713" t="s">
        <v>30732</v>
      </c>
      <c r="E12713" t="s">
        <v>845</v>
      </c>
      <c r="F12713" t="s">
        <v>35839</v>
      </c>
      <c r="J12713" t="s">
        <v>845</v>
      </c>
      <c r="K12713" t="s">
        <v>21600</v>
      </c>
      <c r="L12713" t="s">
        <v>3616</v>
      </c>
    </row>
    <row r="12714" spans="1:12">
      <c r="A12714" t="s">
        <v>30729</v>
      </c>
      <c r="B12714" t="s">
        <v>30730</v>
      </c>
      <c r="C12714" t="s">
        <v>35840</v>
      </c>
      <c r="D12714" t="s">
        <v>30732</v>
      </c>
      <c r="E12714" t="s">
        <v>5268</v>
      </c>
      <c r="F12714" t="s">
        <v>35841</v>
      </c>
      <c r="J12714" t="s">
        <v>5268</v>
      </c>
      <c r="K12714" t="s">
        <v>21600</v>
      </c>
      <c r="L12714" t="s">
        <v>3616</v>
      </c>
    </row>
    <row r="12715" spans="1:12">
      <c r="A12715" t="s">
        <v>30729</v>
      </c>
      <c r="B12715" t="s">
        <v>30730</v>
      </c>
      <c r="C12715" t="s">
        <v>35842</v>
      </c>
      <c r="D12715" t="s">
        <v>30732</v>
      </c>
      <c r="E12715" t="s">
        <v>20434</v>
      </c>
      <c r="F12715" t="s">
        <v>35843</v>
      </c>
      <c r="J12715" t="s">
        <v>20434</v>
      </c>
      <c r="K12715" t="s">
        <v>21600</v>
      </c>
      <c r="L12715" t="s">
        <v>3616</v>
      </c>
    </row>
    <row r="12716" spans="1:12">
      <c r="A12716" t="s">
        <v>30729</v>
      </c>
      <c r="B12716" t="s">
        <v>30730</v>
      </c>
      <c r="C12716" t="s">
        <v>35844</v>
      </c>
      <c r="D12716" t="s">
        <v>30732</v>
      </c>
      <c r="E12716" t="s">
        <v>20441</v>
      </c>
      <c r="F12716" t="s">
        <v>35845</v>
      </c>
      <c r="J12716" t="s">
        <v>20441</v>
      </c>
      <c r="K12716" t="s">
        <v>21600</v>
      </c>
      <c r="L12716" t="s">
        <v>3616</v>
      </c>
    </row>
    <row r="12717" spans="1:12">
      <c r="A12717" t="s">
        <v>30729</v>
      </c>
      <c r="B12717" t="s">
        <v>30730</v>
      </c>
      <c r="C12717" t="s">
        <v>35846</v>
      </c>
      <c r="D12717" t="s">
        <v>30732</v>
      </c>
      <c r="E12717" t="s">
        <v>35847</v>
      </c>
      <c r="F12717" t="s">
        <v>35848</v>
      </c>
      <c r="J12717" t="s">
        <v>35847</v>
      </c>
      <c r="K12717" t="s">
        <v>21600</v>
      </c>
      <c r="L12717" t="s">
        <v>3616</v>
      </c>
    </row>
    <row r="12718" spans="1:12">
      <c r="A12718" t="s">
        <v>30729</v>
      </c>
      <c r="B12718" t="s">
        <v>30730</v>
      </c>
      <c r="C12718" t="s">
        <v>35849</v>
      </c>
      <c r="D12718" t="s">
        <v>30732</v>
      </c>
      <c r="E12718" t="s">
        <v>28785</v>
      </c>
      <c r="F12718" t="s">
        <v>35850</v>
      </c>
    </row>
    <row r="12719" spans="1:12">
      <c r="A12719" t="s">
        <v>30729</v>
      </c>
      <c r="B12719" t="s">
        <v>30730</v>
      </c>
      <c r="C12719" t="s">
        <v>35851</v>
      </c>
      <c r="D12719" t="s">
        <v>30732</v>
      </c>
      <c r="E12719" t="s">
        <v>35852</v>
      </c>
      <c r="F12719" t="s">
        <v>35853</v>
      </c>
      <c r="J12719" t="s">
        <v>35852</v>
      </c>
      <c r="K12719" t="s">
        <v>21600</v>
      </c>
      <c r="L12719" t="s">
        <v>3616</v>
      </c>
    </row>
    <row r="12720" spans="1:12">
      <c r="A12720" t="s">
        <v>30729</v>
      </c>
      <c r="B12720" t="s">
        <v>30730</v>
      </c>
      <c r="C12720" t="s">
        <v>35854</v>
      </c>
      <c r="D12720" t="s">
        <v>30732</v>
      </c>
      <c r="E12720" t="s">
        <v>6700</v>
      </c>
      <c r="F12720" t="s">
        <v>35855</v>
      </c>
    </row>
    <row r="12721" spans="1:12">
      <c r="A12721" t="s">
        <v>30729</v>
      </c>
      <c r="B12721" t="s">
        <v>30730</v>
      </c>
      <c r="C12721" t="s">
        <v>35856</v>
      </c>
      <c r="D12721" t="s">
        <v>30732</v>
      </c>
      <c r="E12721" t="s">
        <v>13597</v>
      </c>
      <c r="F12721" t="s">
        <v>35857</v>
      </c>
      <c r="J12721" t="s">
        <v>13597</v>
      </c>
      <c r="K12721" t="s">
        <v>21600</v>
      </c>
      <c r="L12721" t="s">
        <v>3616</v>
      </c>
    </row>
    <row r="12722" spans="1:12">
      <c r="A12722" t="s">
        <v>30729</v>
      </c>
      <c r="B12722" t="s">
        <v>30730</v>
      </c>
      <c r="C12722" t="s">
        <v>35858</v>
      </c>
      <c r="D12722" t="s">
        <v>30732</v>
      </c>
      <c r="E12722" t="s">
        <v>3574</v>
      </c>
      <c r="F12722" t="s">
        <v>35859</v>
      </c>
      <c r="J12722" t="s">
        <v>3574</v>
      </c>
      <c r="K12722" t="s">
        <v>21600</v>
      </c>
      <c r="L12722" t="s">
        <v>3616</v>
      </c>
    </row>
    <row r="12723" spans="1:12">
      <c r="A12723" t="s">
        <v>30729</v>
      </c>
      <c r="B12723" t="s">
        <v>30730</v>
      </c>
      <c r="C12723" t="s">
        <v>35860</v>
      </c>
      <c r="D12723" t="s">
        <v>30732</v>
      </c>
      <c r="E12723" t="s">
        <v>35861</v>
      </c>
      <c r="F12723" t="s">
        <v>35862</v>
      </c>
      <c r="J12723" t="s">
        <v>35861</v>
      </c>
      <c r="K12723" t="s">
        <v>21600</v>
      </c>
      <c r="L12723" t="s">
        <v>3616</v>
      </c>
    </row>
    <row r="12724" spans="1:12">
      <c r="A12724" t="s">
        <v>30729</v>
      </c>
      <c r="B12724" t="s">
        <v>30730</v>
      </c>
      <c r="C12724" t="s">
        <v>35863</v>
      </c>
      <c r="D12724" t="s">
        <v>30732</v>
      </c>
      <c r="E12724" t="s">
        <v>2906</v>
      </c>
      <c r="F12724" t="s">
        <v>35864</v>
      </c>
    </row>
    <row r="12725" spans="1:12">
      <c r="A12725" t="s">
        <v>30729</v>
      </c>
      <c r="B12725" t="s">
        <v>30730</v>
      </c>
      <c r="C12725" t="s">
        <v>35865</v>
      </c>
      <c r="D12725" t="s">
        <v>30732</v>
      </c>
      <c r="E12725" t="s">
        <v>27694</v>
      </c>
      <c r="F12725" t="s">
        <v>35866</v>
      </c>
      <c r="J12725" t="s">
        <v>27694</v>
      </c>
      <c r="K12725" t="s">
        <v>21600</v>
      </c>
      <c r="L12725" t="s">
        <v>3616</v>
      </c>
    </row>
    <row r="12726" spans="1:12">
      <c r="A12726" t="s">
        <v>30729</v>
      </c>
      <c r="B12726" t="s">
        <v>30730</v>
      </c>
      <c r="C12726" t="s">
        <v>35867</v>
      </c>
      <c r="D12726" t="s">
        <v>30732</v>
      </c>
      <c r="E12726" t="s">
        <v>35868</v>
      </c>
      <c r="F12726" t="s">
        <v>35869</v>
      </c>
      <c r="J12726" t="s">
        <v>35868</v>
      </c>
      <c r="K12726" t="s">
        <v>21600</v>
      </c>
      <c r="L12726" t="s">
        <v>3616</v>
      </c>
    </row>
    <row r="12727" spans="1:12">
      <c r="A12727" t="s">
        <v>30729</v>
      </c>
      <c r="B12727" t="s">
        <v>30730</v>
      </c>
      <c r="C12727" t="s">
        <v>35870</v>
      </c>
      <c r="D12727" t="s">
        <v>30732</v>
      </c>
      <c r="E12727" t="s">
        <v>35871</v>
      </c>
      <c r="F12727" t="s">
        <v>35872</v>
      </c>
      <c r="J12727" t="s">
        <v>35871</v>
      </c>
      <c r="K12727" t="s">
        <v>21600</v>
      </c>
      <c r="L12727" t="s">
        <v>3616</v>
      </c>
    </row>
    <row r="12728" spans="1:12">
      <c r="A12728" t="s">
        <v>30729</v>
      </c>
      <c r="B12728" t="s">
        <v>30730</v>
      </c>
      <c r="C12728" t="s">
        <v>35873</v>
      </c>
      <c r="D12728" t="s">
        <v>30732</v>
      </c>
      <c r="E12728" t="s">
        <v>8027</v>
      </c>
      <c r="F12728" t="s">
        <v>35872</v>
      </c>
    </row>
    <row r="12729" spans="1:12">
      <c r="A12729" t="s">
        <v>30729</v>
      </c>
      <c r="B12729" t="s">
        <v>30730</v>
      </c>
      <c r="C12729" t="s">
        <v>35874</v>
      </c>
      <c r="D12729" t="s">
        <v>30732</v>
      </c>
      <c r="E12729" t="s">
        <v>3726</v>
      </c>
      <c r="F12729" t="s">
        <v>35875</v>
      </c>
    </row>
    <row r="12730" spans="1:12">
      <c r="A12730" t="s">
        <v>30729</v>
      </c>
      <c r="B12730" t="s">
        <v>30730</v>
      </c>
      <c r="C12730" t="s">
        <v>35876</v>
      </c>
      <c r="D12730" t="s">
        <v>30732</v>
      </c>
      <c r="E12730" t="s">
        <v>35877</v>
      </c>
      <c r="F12730" t="s">
        <v>35878</v>
      </c>
      <c r="J12730" t="s">
        <v>35877</v>
      </c>
      <c r="K12730" t="s">
        <v>21600</v>
      </c>
      <c r="L12730" t="s">
        <v>3616</v>
      </c>
    </row>
    <row r="12731" spans="1:12">
      <c r="A12731" t="s">
        <v>30729</v>
      </c>
      <c r="B12731" t="s">
        <v>30730</v>
      </c>
      <c r="C12731" t="s">
        <v>35879</v>
      </c>
      <c r="D12731" t="s">
        <v>30732</v>
      </c>
      <c r="E12731" t="s">
        <v>35880</v>
      </c>
      <c r="F12731" t="s">
        <v>35881</v>
      </c>
      <c r="J12731" t="s">
        <v>35880</v>
      </c>
      <c r="K12731" t="s">
        <v>21600</v>
      </c>
      <c r="L12731" t="s">
        <v>3616</v>
      </c>
    </row>
    <row r="12732" spans="1:12">
      <c r="A12732" t="s">
        <v>30729</v>
      </c>
      <c r="B12732" t="s">
        <v>30730</v>
      </c>
      <c r="C12732" t="s">
        <v>35882</v>
      </c>
      <c r="D12732" t="s">
        <v>30732</v>
      </c>
      <c r="E12732" t="s">
        <v>20511</v>
      </c>
      <c r="F12732" t="s">
        <v>35883</v>
      </c>
      <c r="J12732" t="s">
        <v>20511</v>
      </c>
      <c r="K12732" t="s">
        <v>21600</v>
      </c>
      <c r="L12732" t="s">
        <v>3616</v>
      </c>
    </row>
    <row r="12733" spans="1:12">
      <c r="A12733" t="s">
        <v>30729</v>
      </c>
      <c r="B12733" t="s">
        <v>30730</v>
      </c>
      <c r="C12733" t="s">
        <v>35884</v>
      </c>
      <c r="D12733" t="s">
        <v>30732</v>
      </c>
      <c r="E12733" t="s">
        <v>14566</v>
      </c>
      <c r="F12733" t="s">
        <v>35885</v>
      </c>
      <c r="J12733" t="s">
        <v>14566</v>
      </c>
      <c r="K12733" t="s">
        <v>21600</v>
      </c>
      <c r="L12733" t="s">
        <v>3616</v>
      </c>
    </row>
    <row r="12734" spans="1:12">
      <c r="A12734" t="s">
        <v>30729</v>
      </c>
      <c r="B12734" t="s">
        <v>30730</v>
      </c>
      <c r="C12734" t="s">
        <v>35886</v>
      </c>
      <c r="D12734" t="s">
        <v>30732</v>
      </c>
      <c r="E12734" t="s">
        <v>20540</v>
      </c>
      <c r="F12734" t="s">
        <v>35887</v>
      </c>
      <c r="J12734" t="s">
        <v>20540</v>
      </c>
      <c r="K12734" t="s">
        <v>21600</v>
      </c>
      <c r="L12734" t="s">
        <v>3616</v>
      </c>
    </row>
    <row r="12735" spans="1:12">
      <c r="A12735" t="s">
        <v>30729</v>
      </c>
      <c r="B12735" t="s">
        <v>30730</v>
      </c>
      <c r="C12735" t="s">
        <v>35888</v>
      </c>
      <c r="D12735" t="s">
        <v>30732</v>
      </c>
      <c r="E12735" t="s">
        <v>10473</v>
      </c>
      <c r="F12735" t="s">
        <v>35889</v>
      </c>
      <c r="J12735" t="s">
        <v>10473</v>
      </c>
      <c r="K12735" t="s">
        <v>21600</v>
      </c>
      <c r="L12735" t="s">
        <v>3616</v>
      </c>
    </row>
    <row r="12736" spans="1:12">
      <c r="A12736" t="s">
        <v>30729</v>
      </c>
      <c r="B12736" t="s">
        <v>30730</v>
      </c>
      <c r="C12736" t="s">
        <v>35890</v>
      </c>
      <c r="D12736" t="s">
        <v>30732</v>
      </c>
      <c r="E12736" t="s">
        <v>35891</v>
      </c>
      <c r="F12736" t="s">
        <v>35892</v>
      </c>
      <c r="J12736" t="s">
        <v>35891</v>
      </c>
      <c r="K12736" t="s">
        <v>21600</v>
      </c>
      <c r="L12736" t="s">
        <v>3616</v>
      </c>
    </row>
    <row r="12737" spans="1:12">
      <c r="A12737" t="s">
        <v>30729</v>
      </c>
      <c r="B12737" t="s">
        <v>30730</v>
      </c>
      <c r="C12737" t="s">
        <v>35893</v>
      </c>
      <c r="D12737" t="s">
        <v>30732</v>
      </c>
      <c r="E12737" t="s">
        <v>35894</v>
      </c>
      <c r="F12737" t="s">
        <v>35895</v>
      </c>
      <c r="J12737" t="s">
        <v>35894</v>
      </c>
      <c r="K12737" t="s">
        <v>21600</v>
      </c>
      <c r="L12737" t="s">
        <v>3616</v>
      </c>
    </row>
    <row r="12738" spans="1:12">
      <c r="A12738" t="s">
        <v>30729</v>
      </c>
      <c r="B12738" t="s">
        <v>30730</v>
      </c>
      <c r="C12738" t="s">
        <v>35896</v>
      </c>
      <c r="D12738" t="s">
        <v>30732</v>
      </c>
      <c r="E12738" t="s">
        <v>14569</v>
      </c>
      <c r="F12738" t="s">
        <v>35897</v>
      </c>
      <c r="J12738" t="s">
        <v>14569</v>
      </c>
      <c r="K12738" t="s">
        <v>21600</v>
      </c>
      <c r="L12738" t="s">
        <v>3616</v>
      </c>
    </row>
    <row r="12739" spans="1:12">
      <c r="A12739" t="s">
        <v>30729</v>
      </c>
      <c r="B12739" t="s">
        <v>30730</v>
      </c>
      <c r="C12739" t="s">
        <v>35898</v>
      </c>
      <c r="D12739" t="s">
        <v>30732</v>
      </c>
      <c r="E12739" t="s">
        <v>3515</v>
      </c>
      <c r="F12739" t="s">
        <v>35899</v>
      </c>
    </row>
    <row r="12740" spans="1:12">
      <c r="A12740" t="s">
        <v>30729</v>
      </c>
      <c r="B12740" t="s">
        <v>30730</v>
      </c>
      <c r="C12740" t="s">
        <v>35900</v>
      </c>
      <c r="D12740" t="s">
        <v>30732</v>
      </c>
      <c r="E12740" t="s">
        <v>35901</v>
      </c>
      <c r="F12740" t="s">
        <v>35902</v>
      </c>
      <c r="J12740" t="s">
        <v>35901</v>
      </c>
      <c r="K12740" t="s">
        <v>21600</v>
      </c>
      <c r="L12740" t="s">
        <v>3616</v>
      </c>
    </row>
    <row r="12741" spans="1:12">
      <c r="A12741" t="s">
        <v>30729</v>
      </c>
      <c r="B12741" t="s">
        <v>30730</v>
      </c>
      <c r="C12741" t="s">
        <v>35903</v>
      </c>
      <c r="D12741" t="s">
        <v>30732</v>
      </c>
      <c r="E12741" t="s">
        <v>9936</v>
      </c>
      <c r="F12741" t="s">
        <v>35904</v>
      </c>
    </row>
    <row r="12742" spans="1:12">
      <c r="A12742" t="s">
        <v>30729</v>
      </c>
      <c r="B12742" t="s">
        <v>30730</v>
      </c>
      <c r="C12742" t="s">
        <v>35905</v>
      </c>
      <c r="D12742" t="s">
        <v>30732</v>
      </c>
      <c r="E12742" t="s">
        <v>35906</v>
      </c>
      <c r="F12742" t="s">
        <v>35907</v>
      </c>
      <c r="J12742" t="s">
        <v>35906</v>
      </c>
      <c r="K12742" t="s">
        <v>21600</v>
      </c>
      <c r="L12742" t="s">
        <v>3616</v>
      </c>
    </row>
    <row r="12743" spans="1:12">
      <c r="A12743" t="s">
        <v>30729</v>
      </c>
      <c r="B12743" t="s">
        <v>30730</v>
      </c>
      <c r="C12743" t="s">
        <v>35908</v>
      </c>
      <c r="D12743" t="s">
        <v>30732</v>
      </c>
      <c r="E12743" t="s">
        <v>1323</v>
      </c>
      <c r="F12743" t="s">
        <v>35909</v>
      </c>
      <c r="J12743" t="s">
        <v>1323</v>
      </c>
      <c r="K12743" t="s">
        <v>21600</v>
      </c>
      <c r="L12743" t="s">
        <v>3616</v>
      </c>
    </row>
    <row r="12744" spans="1:12">
      <c r="A12744" t="s">
        <v>30729</v>
      </c>
      <c r="B12744" t="s">
        <v>30730</v>
      </c>
      <c r="C12744" t="s">
        <v>35910</v>
      </c>
      <c r="D12744" t="s">
        <v>30732</v>
      </c>
      <c r="E12744" t="s">
        <v>35911</v>
      </c>
      <c r="F12744" t="s">
        <v>35912</v>
      </c>
      <c r="J12744" t="s">
        <v>35911</v>
      </c>
      <c r="K12744" t="s">
        <v>21600</v>
      </c>
      <c r="L12744" t="s">
        <v>3616</v>
      </c>
    </row>
    <row r="12745" spans="1:12">
      <c r="A12745" t="s">
        <v>30729</v>
      </c>
      <c r="B12745" t="s">
        <v>30730</v>
      </c>
      <c r="C12745" t="s">
        <v>35913</v>
      </c>
      <c r="D12745" t="s">
        <v>30732</v>
      </c>
      <c r="E12745" t="s">
        <v>10702</v>
      </c>
      <c r="F12745" t="s">
        <v>35914</v>
      </c>
      <c r="J12745" t="s">
        <v>10702</v>
      </c>
      <c r="K12745" t="s">
        <v>21600</v>
      </c>
      <c r="L12745" t="s">
        <v>3616</v>
      </c>
    </row>
    <row r="12746" spans="1:12">
      <c r="A12746" t="s">
        <v>30729</v>
      </c>
      <c r="B12746" t="s">
        <v>30730</v>
      </c>
      <c r="C12746" t="s">
        <v>35915</v>
      </c>
      <c r="D12746" t="s">
        <v>30732</v>
      </c>
      <c r="E12746" t="s">
        <v>35916</v>
      </c>
      <c r="F12746" t="s">
        <v>35917</v>
      </c>
      <c r="J12746" t="s">
        <v>35916</v>
      </c>
      <c r="K12746" t="s">
        <v>21600</v>
      </c>
      <c r="L12746" t="s">
        <v>3616</v>
      </c>
    </row>
    <row r="12747" spans="1:12">
      <c r="A12747" t="s">
        <v>30729</v>
      </c>
      <c r="B12747" t="s">
        <v>30730</v>
      </c>
      <c r="C12747" t="s">
        <v>35918</v>
      </c>
      <c r="D12747" t="s">
        <v>30732</v>
      </c>
      <c r="E12747" t="s">
        <v>20553</v>
      </c>
      <c r="F12747" t="s">
        <v>35919</v>
      </c>
      <c r="J12747" t="s">
        <v>20553</v>
      </c>
      <c r="K12747" t="s">
        <v>21600</v>
      </c>
      <c r="L12747" t="s">
        <v>3616</v>
      </c>
    </row>
    <row r="12748" spans="1:12">
      <c r="A12748" t="s">
        <v>30729</v>
      </c>
      <c r="B12748" t="s">
        <v>30730</v>
      </c>
      <c r="C12748" t="s">
        <v>35920</v>
      </c>
      <c r="D12748" t="s">
        <v>30732</v>
      </c>
      <c r="E12748" t="s">
        <v>35694</v>
      </c>
      <c r="F12748" t="s">
        <v>35921</v>
      </c>
    </row>
    <row r="12749" spans="1:12">
      <c r="A12749" t="s">
        <v>30729</v>
      </c>
      <c r="B12749" t="s">
        <v>30730</v>
      </c>
      <c r="C12749" t="s">
        <v>35922</v>
      </c>
      <c r="D12749" t="s">
        <v>30732</v>
      </c>
      <c r="E12749" t="s">
        <v>20564</v>
      </c>
      <c r="F12749" t="s">
        <v>35923</v>
      </c>
      <c r="J12749" t="s">
        <v>20564</v>
      </c>
      <c r="K12749" t="s">
        <v>21600</v>
      </c>
      <c r="L12749" t="s">
        <v>3616</v>
      </c>
    </row>
    <row r="12750" spans="1:12">
      <c r="A12750" t="s">
        <v>30729</v>
      </c>
      <c r="B12750" t="s">
        <v>30730</v>
      </c>
      <c r="C12750" t="s">
        <v>35924</v>
      </c>
      <c r="D12750" t="s">
        <v>30732</v>
      </c>
      <c r="E12750" t="s">
        <v>9948</v>
      </c>
      <c r="F12750" t="s">
        <v>35925</v>
      </c>
      <c r="J12750" t="s">
        <v>9948</v>
      </c>
      <c r="K12750" t="s">
        <v>21600</v>
      </c>
      <c r="L12750" t="s">
        <v>3616</v>
      </c>
    </row>
    <row r="12751" spans="1:12">
      <c r="A12751" t="s">
        <v>30729</v>
      </c>
      <c r="B12751" t="s">
        <v>30730</v>
      </c>
      <c r="C12751" t="s">
        <v>35926</v>
      </c>
      <c r="D12751" t="s">
        <v>30732</v>
      </c>
      <c r="E12751" t="s">
        <v>20575</v>
      </c>
      <c r="F12751" t="s">
        <v>35927</v>
      </c>
      <c r="J12751" t="s">
        <v>20575</v>
      </c>
      <c r="K12751" t="s">
        <v>21600</v>
      </c>
      <c r="L12751" t="s">
        <v>3616</v>
      </c>
    </row>
    <row r="12752" spans="1:12">
      <c r="A12752" t="s">
        <v>30729</v>
      </c>
      <c r="B12752" t="s">
        <v>30730</v>
      </c>
      <c r="C12752" t="s">
        <v>35928</v>
      </c>
      <c r="D12752" t="s">
        <v>30732</v>
      </c>
      <c r="E12752" t="s">
        <v>20585</v>
      </c>
      <c r="F12752" t="s">
        <v>35929</v>
      </c>
      <c r="J12752" t="s">
        <v>20585</v>
      </c>
      <c r="K12752" t="s">
        <v>21600</v>
      </c>
      <c r="L12752" t="s">
        <v>3616</v>
      </c>
    </row>
    <row r="12753" spans="1:12">
      <c r="A12753" t="s">
        <v>30729</v>
      </c>
      <c r="B12753" t="s">
        <v>30730</v>
      </c>
      <c r="C12753" t="s">
        <v>35930</v>
      </c>
      <c r="D12753" t="s">
        <v>30732</v>
      </c>
      <c r="E12753" t="s">
        <v>35931</v>
      </c>
      <c r="F12753" t="s">
        <v>35932</v>
      </c>
      <c r="J12753" t="s">
        <v>35931</v>
      </c>
      <c r="K12753" t="s">
        <v>21600</v>
      </c>
      <c r="L12753" t="s">
        <v>3616</v>
      </c>
    </row>
    <row r="12754" spans="1:12">
      <c r="A12754" t="s">
        <v>30729</v>
      </c>
      <c r="B12754" t="s">
        <v>30730</v>
      </c>
      <c r="C12754" t="s">
        <v>35933</v>
      </c>
      <c r="D12754" t="s">
        <v>30732</v>
      </c>
      <c r="E12754" t="s">
        <v>11463</v>
      </c>
      <c r="F12754" t="s">
        <v>32131</v>
      </c>
      <c r="J12754" t="s">
        <v>11463</v>
      </c>
      <c r="K12754" t="s">
        <v>21600</v>
      </c>
      <c r="L12754" t="s">
        <v>3616</v>
      </c>
    </row>
    <row r="12755" spans="1:12">
      <c r="A12755" t="s">
        <v>30729</v>
      </c>
      <c r="B12755" t="s">
        <v>30730</v>
      </c>
      <c r="C12755" t="s">
        <v>35934</v>
      </c>
      <c r="D12755" t="s">
        <v>30732</v>
      </c>
      <c r="E12755" t="s">
        <v>20609</v>
      </c>
      <c r="F12755" t="s">
        <v>35935</v>
      </c>
      <c r="J12755" t="s">
        <v>20609</v>
      </c>
      <c r="K12755" t="s">
        <v>21600</v>
      </c>
      <c r="L12755" t="s">
        <v>3616</v>
      </c>
    </row>
    <row r="12756" spans="1:12">
      <c r="A12756" t="s">
        <v>30729</v>
      </c>
      <c r="B12756" t="s">
        <v>30730</v>
      </c>
      <c r="C12756" t="s">
        <v>35936</v>
      </c>
      <c r="D12756" t="s">
        <v>30732</v>
      </c>
      <c r="E12756" t="s">
        <v>3238</v>
      </c>
      <c r="F12756" t="s">
        <v>35937</v>
      </c>
      <c r="J12756" t="s">
        <v>3238</v>
      </c>
      <c r="K12756" t="s">
        <v>21600</v>
      </c>
      <c r="L12756" t="s">
        <v>3616</v>
      </c>
    </row>
    <row r="12757" spans="1:12">
      <c r="A12757" t="s">
        <v>30729</v>
      </c>
      <c r="B12757" t="s">
        <v>30730</v>
      </c>
      <c r="C12757" t="s">
        <v>35938</v>
      </c>
      <c r="D12757" t="s">
        <v>30732</v>
      </c>
      <c r="E12757" t="s">
        <v>35939</v>
      </c>
      <c r="F12757" t="s">
        <v>35940</v>
      </c>
      <c r="J12757" t="s">
        <v>35939</v>
      </c>
      <c r="K12757" t="s">
        <v>21600</v>
      </c>
      <c r="L12757" t="s">
        <v>3616</v>
      </c>
    </row>
    <row r="12758" spans="1:12">
      <c r="A12758" t="s">
        <v>30729</v>
      </c>
      <c r="B12758" t="s">
        <v>30730</v>
      </c>
      <c r="C12758" t="s">
        <v>35941</v>
      </c>
      <c r="D12758" t="s">
        <v>30732</v>
      </c>
      <c r="E12758" t="s">
        <v>1326</v>
      </c>
      <c r="F12758" t="s">
        <v>35942</v>
      </c>
      <c r="J12758" t="s">
        <v>1326</v>
      </c>
      <c r="K12758" t="s">
        <v>21600</v>
      </c>
      <c r="L12758" t="s">
        <v>3616</v>
      </c>
    </row>
    <row r="12759" spans="1:12">
      <c r="A12759" t="s">
        <v>30729</v>
      </c>
      <c r="B12759" t="s">
        <v>30730</v>
      </c>
      <c r="C12759" t="s">
        <v>35943</v>
      </c>
      <c r="D12759" t="s">
        <v>30732</v>
      </c>
      <c r="E12759" t="s">
        <v>35944</v>
      </c>
      <c r="F12759" t="s">
        <v>35945</v>
      </c>
    </row>
    <row r="12760" spans="1:12">
      <c r="A12760" t="s">
        <v>30729</v>
      </c>
      <c r="B12760" t="s">
        <v>30730</v>
      </c>
      <c r="C12760" t="s">
        <v>35946</v>
      </c>
      <c r="D12760" t="s">
        <v>30732</v>
      </c>
      <c r="E12760" t="s">
        <v>35947</v>
      </c>
      <c r="F12760" t="s">
        <v>35948</v>
      </c>
      <c r="J12760" t="s">
        <v>35947</v>
      </c>
      <c r="K12760" t="s">
        <v>21600</v>
      </c>
      <c r="L12760" t="s">
        <v>3616</v>
      </c>
    </row>
    <row r="12761" spans="1:12">
      <c r="A12761" t="s">
        <v>30729</v>
      </c>
      <c r="B12761" t="s">
        <v>30730</v>
      </c>
      <c r="C12761" t="s">
        <v>35949</v>
      </c>
      <c r="D12761" t="s">
        <v>30732</v>
      </c>
      <c r="E12761" t="s">
        <v>4542</v>
      </c>
      <c r="F12761" t="s">
        <v>35950</v>
      </c>
    </row>
    <row r="12762" spans="1:12">
      <c r="A12762" t="s">
        <v>30729</v>
      </c>
      <c r="B12762" t="s">
        <v>30730</v>
      </c>
      <c r="C12762" t="s">
        <v>35951</v>
      </c>
      <c r="D12762" t="s">
        <v>30732</v>
      </c>
      <c r="E12762" t="s">
        <v>20638</v>
      </c>
      <c r="F12762" t="s">
        <v>35952</v>
      </c>
    </row>
    <row r="12763" spans="1:12">
      <c r="A12763" t="s">
        <v>30729</v>
      </c>
      <c r="B12763" t="s">
        <v>30730</v>
      </c>
      <c r="C12763" t="s">
        <v>35953</v>
      </c>
      <c r="D12763" t="s">
        <v>30732</v>
      </c>
      <c r="E12763" t="s">
        <v>7968</v>
      </c>
      <c r="F12763" t="s">
        <v>35954</v>
      </c>
    </row>
    <row r="12764" spans="1:12">
      <c r="A12764" t="s">
        <v>30729</v>
      </c>
      <c r="B12764" t="s">
        <v>30730</v>
      </c>
      <c r="C12764" t="s">
        <v>35955</v>
      </c>
      <c r="D12764" t="s">
        <v>30732</v>
      </c>
      <c r="E12764" t="s">
        <v>9953</v>
      </c>
      <c r="F12764" t="s">
        <v>35956</v>
      </c>
      <c r="J12764" t="s">
        <v>9953</v>
      </c>
      <c r="K12764" t="s">
        <v>21600</v>
      </c>
      <c r="L12764" t="s">
        <v>3616</v>
      </c>
    </row>
    <row r="12765" spans="1:12">
      <c r="A12765" t="s">
        <v>30729</v>
      </c>
      <c r="B12765" t="s">
        <v>30730</v>
      </c>
      <c r="C12765" t="s">
        <v>35957</v>
      </c>
      <c r="D12765" t="s">
        <v>30732</v>
      </c>
      <c r="E12765" t="s">
        <v>14109</v>
      </c>
      <c r="F12765" t="s">
        <v>35958</v>
      </c>
      <c r="J12765" t="s">
        <v>14109</v>
      </c>
      <c r="K12765" t="s">
        <v>21600</v>
      </c>
      <c r="L12765" t="s">
        <v>3616</v>
      </c>
    </row>
    <row r="12766" spans="1:12">
      <c r="A12766" t="s">
        <v>30729</v>
      </c>
      <c r="B12766" t="s">
        <v>30730</v>
      </c>
      <c r="C12766" t="s">
        <v>35959</v>
      </c>
      <c r="D12766" t="s">
        <v>30732</v>
      </c>
      <c r="E12766" t="s">
        <v>5285</v>
      </c>
      <c r="F12766" t="s">
        <v>35960</v>
      </c>
    </row>
    <row r="12767" spans="1:12">
      <c r="A12767" t="s">
        <v>30729</v>
      </c>
      <c r="B12767" t="s">
        <v>30730</v>
      </c>
      <c r="C12767" t="s">
        <v>35961</v>
      </c>
      <c r="D12767" t="s">
        <v>30732</v>
      </c>
      <c r="E12767" t="s">
        <v>35962</v>
      </c>
      <c r="F12767" t="s">
        <v>35963</v>
      </c>
      <c r="J12767" t="s">
        <v>35962</v>
      </c>
      <c r="K12767" t="s">
        <v>21600</v>
      </c>
      <c r="L12767" t="s">
        <v>3616</v>
      </c>
    </row>
    <row r="12768" spans="1:12">
      <c r="A12768" t="s">
        <v>30729</v>
      </c>
      <c r="B12768" t="s">
        <v>30730</v>
      </c>
      <c r="C12768" t="s">
        <v>35964</v>
      </c>
      <c r="D12768" t="s">
        <v>30732</v>
      </c>
      <c r="E12768" t="s">
        <v>12993</v>
      </c>
      <c r="F12768" t="s">
        <v>35965</v>
      </c>
      <c r="J12768" t="s">
        <v>12993</v>
      </c>
      <c r="K12768" t="s">
        <v>21600</v>
      </c>
      <c r="L12768" t="s">
        <v>3616</v>
      </c>
    </row>
    <row r="12769" spans="1:12">
      <c r="A12769" t="s">
        <v>30729</v>
      </c>
      <c r="B12769" t="s">
        <v>30730</v>
      </c>
      <c r="C12769" t="s">
        <v>35966</v>
      </c>
      <c r="D12769" t="s">
        <v>30732</v>
      </c>
      <c r="E12769" t="s">
        <v>14581</v>
      </c>
      <c r="F12769" t="s">
        <v>35967</v>
      </c>
      <c r="J12769" t="s">
        <v>14581</v>
      </c>
      <c r="K12769" t="s">
        <v>21600</v>
      </c>
      <c r="L12769" t="s">
        <v>3616</v>
      </c>
    </row>
    <row r="12770" spans="1:12">
      <c r="A12770" t="s">
        <v>30729</v>
      </c>
      <c r="B12770" t="s">
        <v>30730</v>
      </c>
      <c r="C12770" t="s">
        <v>35968</v>
      </c>
      <c r="D12770" t="s">
        <v>30732</v>
      </c>
      <c r="E12770" t="s">
        <v>2918</v>
      </c>
      <c r="F12770" t="s">
        <v>35969</v>
      </c>
    </row>
    <row r="12771" spans="1:12">
      <c r="A12771" t="s">
        <v>30729</v>
      </c>
      <c r="B12771" t="s">
        <v>30730</v>
      </c>
      <c r="C12771" t="s">
        <v>35970</v>
      </c>
      <c r="D12771" t="s">
        <v>30732</v>
      </c>
      <c r="E12771" t="s">
        <v>9958</v>
      </c>
      <c r="F12771" t="s">
        <v>35971</v>
      </c>
    </row>
    <row r="12772" spans="1:12">
      <c r="A12772" t="s">
        <v>30729</v>
      </c>
      <c r="B12772" t="s">
        <v>30730</v>
      </c>
      <c r="C12772" t="s">
        <v>35972</v>
      </c>
      <c r="D12772" t="s">
        <v>30732</v>
      </c>
      <c r="E12772" t="s">
        <v>35973</v>
      </c>
      <c r="F12772" t="s">
        <v>35974</v>
      </c>
      <c r="J12772" t="s">
        <v>35973</v>
      </c>
      <c r="K12772" t="s">
        <v>21600</v>
      </c>
      <c r="L12772" t="s">
        <v>3616</v>
      </c>
    </row>
    <row r="12773" spans="1:12">
      <c r="A12773" t="s">
        <v>30729</v>
      </c>
      <c r="B12773" t="s">
        <v>30730</v>
      </c>
      <c r="C12773" t="s">
        <v>35975</v>
      </c>
      <c r="D12773" t="s">
        <v>30732</v>
      </c>
      <c r="E12773" t="s">
        <v>9961</v>
      </c>
      <c r="F12773" t="s">
        <v>35976</v>
      </c>
      <c r="J12773" t="s">
        <v>9961</v>
      </c>
      <c r="K12773" t="s">
        <v>21600</v>
      </c>
      <c r="L12773" t="s">
        <v>3616</v>
      </c>
    </row>
    <row r="12774" spans="1:12">
      <c r="A12774" t="s">
        <v>30729</v>
      </c>
      <c r="B12774" t="s">
        <v>30730</v>
      </c>
      <c r="C12774" t="s">
        <v>35977</v>
      </c>
      <c r="D12774" t="s">
        <v>30732</v>
      </c>
      <c r="E12774" t="s">
        <v>27711</v>
      </c>
      <c r="F12774" t="s">
        <v>35978</v>
      </c>
      <c r="J12774" t="s">
        <v>27711</v>
      </c>
      <c r="K12774" t="s">
        <v>21600</v>
      </c>
      <c r="L12774" t="s">
        <v>3616</v>
      </c>
    </row>
    <row r="12775" spans="1:12">
      <c r="A12775" t="s">
        <v>30729</v>
      </c>
      <c r="B12775" t="s">
        <v>30730</v>
      </c>
      <c r="C12775" t="s">
        <v>35979</v>
      </c>
      <c r="D12775" t="s">
        <v>30732</v>
      </c>
      <c r="E12775" t="s">
        <v>4847</v>
      </c>
      <c r="F12775" t="s">
        <v>35980</v>
      </c>
    </row>
    <row r="12776" spans="1:12">
      <c r="A12776" t="s">
        <v>30729</v>
      </c>
      <c r="B12776" t="s">
        <v>30730</v>
      </c>
      <c r="C12776" t="s">
        <v>35981</v>
      </c>
      <c r="D12776" t="s">
        <v>30732</v>
      </c>
      <c r="E12776" t="s">
        <v>9967</v>
      </c>
      <c r="F12776" t="s">
        <v>35982</v>
      </c>
      <c r="J12776" t="s">
        <v>9967</v>
      </c>
      <c r="K12776" t="s">
        <v>21600</v>
      </c>
      <c r="L12776" t="s">
        <v>3616</v>
      </c>
    </row>
    <row r="12777" spans="1:12">
      <c r="A12777" t="s">
        <v>30729</v>
      </c>
      <c r="B12777" t="s">
        <v>30730</v>
      </c>
      <c r="C12777" t="s">
        <v>35983</v>
      </c>
      <c r="D12777" t="s">
        <v>30732</v>
      </c>
      <c r="E12777" t="s">
        <v>35984</v>
      </c>
      <c r="F12777" t="s">
        <v>35985</v>
      </c>
      <c r="J12777" t="s">
        <v>35984</v>
      </c>
      <c r="K12777" t="s">
        <v>21600</v>
      </c>
      <c r="L12777" t="s">
        <v>3616</v>
      </c>
    </row>
    <row r="12778" spans="1:12">
      <c r="A12778" t="s">
        <v>30729</v>
      </c>
      <c r="B12778" t="s">
        <v>30730</v>
      </c>
      <c r="C12778" t="s">
        <v>35986</v>
      </c>
      <c r="D12778" t="s">
        <v>30732</v>
      </c>
      <c r="E12778" t="s">
        <v>35987</v>
      </c>
      <c r="F12778" t="s">
        <v>32232</v>
      </c>
      <c r="J12778" t="s">
        <v>35987</v>
      </c>
      <c r="K12778" t="s">
        <v>21600</v>
      </c>
      <c r="L12778" t="s">
        <v>3616</v>
      </c>
    </row>
    <row r="12779" spans="1:12">
      <c r="A12779" t="s">
        <v>30729</v>
      </c>
      <c r="B12779" t="s">
        <v>30730</v>
      </c>
      <c r="C12779" t="s">
        <v>35988</v>
      </c>
      <c r="D12779" t="s">
        <v>30732</v>
      </c>
      <c r="E12779" t="s">
        <v>35989</v>
      </c>
      <c r="F12779" t="s">
        <v>35990</v>
      </c>
      <c r="J12779" t="s">
        <v>35989</v>
      </c>
      <c r="K12779" t="s">
        <v>21600</v>
      </c>
      <c r="L12779" t="s">
        <v>3616</v>
      </c>
    </row>
    <row r="12780" spans="1:12">
      <c r="A12780" t="s">
        <v>30729</v>
      </c>
      <c r="B12780" t="s">
        <v>30730</v>
      </c>
      <c r="C12780" t="s">
        <v>35991</v>
      </c>
      <c r="D12780" t="s">
        <v>30732</v>
      </c>
      <c r="E12780" t="s">
        <v>35992</v>
      </c>
      <c r="F12780" t="s">
        <v>35993</v>
      </c>
      <c r="J12780" t="s">
        <v>35992</v>
      </c>
      <c r="K12780" t="s">
        <v>21600</v>
      </c>
      <c r="L12780" t="s">
        <v>3616</v>
      </c>
    </row>
    <row r="12781" spans="1:12">
      <c r="A12781" t="s">
        <v>30729</v>
      </c>
      <c r="B12781" t="s">
        <v>30730</v>
      </c>
      <c r="C12781" t="s">
        <v>35994</v>
      </c>
      <c r="D12781" t="s">
        <v>30732</v>
      </c>
      <c r="E12781" t="s">
        <v>35995</v>
      </c>
      <c r="F12781" t="s">
        <v>35996</v>
      </c>
      <c r="J12781" t="s">
        <v>35995</v>
      </c>
      <c r="K12781" t="s">
        <v>21600</v>
      </c>
      <c r="L12781" t="s">
        <v>3616</v>
      </c>
    </row>
    <row r="12782" spans="1:12">
      <c r="A12782" t="s">
        <v>30729</v>
      </c>
      <c r="B12782" t="s">
        <v>30730</v>
      </c>
      <c r="C12782" t="s">
        <v>35997</v>
      </c>
      <c r="D12782" t="s">
        <v>30732</v>
      </c>
      <c r="E12782" t="s">
        <v>35998</v>
      </c>
      <c r="F12782" t="s">
        <v>35999</v>
      </c>
      <c r="J12782" t="s">
        <v>35998</v>
      </c>
      <c r="K12782" t="s">
        <v>21600</v>
      </c>
      <c r="L12782" t="s">
        <v>3616</v>
      </c>
    </row>
    <row r="12783" spans="1:12">
      <c r="A12783" t="s">
        <v>30729</v>
      </c>
      <c r="B12783" t="s">
        <v>30730</v>
      </c>
      <c r="C12783" t="s">
        <v>36000</v>
      </c>
      <c r="D12783" t="s">
        <v>30732</v>
      </c>
      <c r="E12783" t="s">
        <v>36001</v>
      </c>
      <c r="F12783" t="s">
        <v>33551</v>
      </c>
      <c r="J12783" t="s">
        <v>36001</v>
      </c>
      <c r="K12783" t="s">
        <v>21600</v>
      </c>
      <c r="L12783" t="s">
        <v>3616</v>
      </c>
    </row>
    <row r="12784" spans="1:12">
      <c r="A12784" t="s">
        <v>30729</v>
      </c>
      <c r="B12784" t="s">
        <v>30730</v>
      </c>
      <c r="C12784" t="s">
        <v>36002</v>
      </c>
      <c r="D12784" t="s">
        <v>30732</v>
      </c>
      <c r="E12784" t="s">
        <v>25403</v>
      </c>
      <c r="F12784" t="s">
        <v>36003</v>
      </c>
    </row>
    <row r="12785" spans="1:12">
      <c r="A12785" t="s">
        <v>30729</v>
      </c>
      <c r="B12785" t="s">
        <v>30730</v>
      </c>
      <c r="C12785" t="s">
        <v>36004</v>
      </c>
      <c r="D12785" t="s">
        <v>30732</v>
      </c>
      <c r="E12785" t="s">
        <v>36005</v>
      </c>
      <c r="F12785" t="s">
        <v>36006</v>
      </c>
      <c r="J12785" t="s">
        <v>36005</v>
      </c>
      <c r="K12785" t="s">
        <v>21600</v>
      </c>
      <c r="L12785" t="s">
        <v>3616</v>
      </c>
    </row>
    <row r="12786" spans="1:12">
      <c r="A12786" t="s">
        <v>30729</v>
      </c>
      <c r="B12786" t="s">
        <v>30730</v>
      </c>
      <c r="C12786" t="s">
        <v>36007</v>
      </c>
      <c r="D12786" t="s">
        <v>30732</v>
      </c>
      <c r="E12786" t="s">
        <v>36008</v>
      </c>
      <c r="F12786" t="s">
        <v>36009</v>
      </c>
      <c r="J12786" t="s">
        <v>36008</v>
      </c>
      <c r="K12786" t="s">
        <v>21600</v>
      </c>
      <c r="L12786" t="s">
        <v>3616</v>
      </c>
    </row>
    <row r="12787" spans="1:12">
      <c r="A12787" t="s">
        <v>30729</v>
      </c>
      <c r="B12787" t="s">
        <v>30730</v>
      </c>
      <c r="C12787" t="s">
        <v>36010</v>
      </c>
      <c r="D12787" t="s">
        <v>30732</v>
      </c>
      <c r="E12787" t="s">
        <v>11697</v>
      </c>
      <c r="F12787" t="s">
        <v>36011</v>
      </c>
      <c r="J12787" t="s">
        <v>11697</v>
      </c>
      <c r="K12787" t="s">
        <v>21600</v>
      </c>
      <c r="L12787" t="s">
        <v>3616</v>
      </c>
    </row>
    <row r="12788" spans="1:12">
      <c r="A12788" t="s">
        <v>30729</v>
      </c>
      <c r="B12788" t="s">
        <v>30730</v>
      </c>
      <c r="C12788" t="s">
        <v>36012</v>
      </c>
      <c r="D12788" t="s">
        <v>30732</v>
      </c>
      <c r="E12788" t="s">
        <v>36013</v>
      </c>
      <c r="F12788" t="s">
        <v>36014</v>
      </c>
      <c r="J12788" t="s">
        <v>36013</v>
      </c>
      <c r="K12788" t="s">
        <v>21600</v>
      </c>
      <c r="L12788" t="s">
        <v>3616</v>
      </c>
    </row>
    <row r="12789" spans="1:12">
      <c r="A12789" t="s">
        <v>30729</v>
      </c>
      <c r="B12789" t="s">
        <v>30730</v>
      </c>
      <c r="C12789" t="s">
        <v>36015</v>
      </c>
      <c r="D12789" t="s">
        <v>30732</v>
      </c>
      <c r="E12789" t="s">
        <v>3748</v>
      </c>
      <c r="F12789" t="s">
        <v>36016</v>
      </c>
    </row>
    <row r="12790" spans="1:12">
      <c r="A12790" t="s">
        <v>30729</v>
      </c>
      <c r="B12790" t="s">
        <v>30730</v>
      </c>
      <c r="C12790" t="s">
        <v>36017</v>
      </c>
      <c r="D12790" t="s">
        <v>30732</v>
      </c>
      <c r="E12790" t="s">
        <v>36018</v>
      </c>
      <c r="F12790" t="s">
        <v>36019</v>
      </c>
      <c r="J12790" t="s">
        <v>36018</v>
      </c>
      <c r="K12790" t="s">
        <v>21600</v>
      </c>
      <c r="L12790" t="s">
        <v>3616</v>
      </c>
    </row>
    <row r="12791" spans="1:12">
      <c r="A12791" t="s">
        <v>30729</v>
      </c>
      <c r="B12791" t="s">
        <v>30730</v>
      </c>
      <c r="C12791" t="s">
        <v>36020</v>
      </c>
      <c r="D12791" t="s">
        <v>30732</v>
      </c>
      <c r="E12791" t="s">
        <v>36021</v>
      </c>
      <c r="F12791" t="s">
        <v>36022</v>
      </c>
      <c r="J12791" t="s">
        <v>36021</v>
      </c>
      <c r="K12791" t="s">
        <v>21600</v>
      </c>
      <c r="L12791" t="s">
        <v>3616</v>
      </c>
    </row>
    <row r="12792" spans="1:12">
      <c r="A12792" t="s">
        <v>30729</v>
      </c>
      <c r="B12792" t="s">
        <v>30730</v>
      </c>
      <c r="C12792" t="s">
        <v>36023</v>
      </c>
      <c r="D12792" t="s">
        <v>30732</v>
      </c>
      <c r="E12792" t="s">
        <v>20709</v>
      </c>
      <c r="F12792" t="s">
        <v>36024</v>
      </c>
      <c r="J12792" t="s">
        <v>20709</v>
      </c>
      <c r="K12792" t="s">
        <v>21600</v>
      </c>
      <c r="L12792" t="s">
        <v>3616</v>
      </c>
    </row>
    <row r="12793" spans="1:12">
      <c r="A12793" t="s">
        <v>30729</v>
      </c>
      <c r="B12793" t="s">
        <v>30730</v>
      </c>
      <c r="C12793" t="s">
        <v>36025</v>
      </c>
      <c r="D12793" t="s">
        <v>30732</v>
      </c>
      <c r="E12793" t="s">
        <v>5291</v>
      </c>
      <c r="F12793" t="s">
        <v>36026</v>
      </c>
      <c r="J12793" t="s">
        <v>5291</v>
      </c>
      <c r="K12793" t="s">
        <v>21600</v>
      </c>
      <c r="L12793" t="s">
        <v>3616</v>
      </c>
    </row>
    <row r="12794" spans="1:12">
      <c r="A12794" t="s">
        <v>30729</v>
      </c>
      <c r="B12794" t="s">
        <v>30730</v>
      </c>
      <c r="C12794" t="s">
        <v>36027</v>
      </c>
      <c r="D12794" t="s">
        <v>30732</v>
      </c>
      <c r="E12794" t="s">
        <v>36028</v>
      </c>
      <c r="F12794" t="s">
        <v>36029</v>
      </c>
      <c r="J12794" t="s">
        <v>36028</v>
      </c>
      <c r="K12794" t="s">
        <v>21600</v>
      </c>
      <c r="L12794" t="s">
        <v>3616</v>
      </c>
    </row>
    <row r="12795" spans="1:12">
      <c r="A12795" t="s">
        <v>30729</v>
      </c>
      <c r="B12795" t="s">
        <v>30730</v>
      </c>
      <c r="C12795" t="s">
        <v>36030</v>
      </c>
      <c r="D12795" t="s">
        <v>30732</v>
      </c>
      <c r="E12795" t="s">
        <v>36031</v>
      </c>
      <c r="F12795" t="s">
        <v>36032</v>
      </c>
      <c r="J12795" t="s">
        <v>36031</v>
      </c>
      <c r="K12795" t="s">
        <v>21600</v>
      </c>
      <c r="L12795" t="s">
        <v>3616</v>
      </c>
    </row>
    <row r="12796" spans="1:12">
      <c r="A12796" t="s">
        <v>30729</v>
      </c>
      <c r="B12796" t="s">
        <v>30730</v>
      </c>
      <c r="C12796" t="s">
        <v>36033</v>
      </c>
      <c r="D12796" t="s">
        <v>30732</v>
      </c>
      <c r="E12796" t="s">
        <v>2939</v>
      </c>
      <c r="F12796" t="s">
        <v>36034</v>
      </c>
    </row>
    <row r="12797" spans="1:12">
      <c r="A12797" t="s">
        <v>30729</v>
      </c>
      <c r="B12797" t="s">
        <v>30730</v>
      </c>
      <c r="C12797" t="s">
        <v>36035</v>
      </c>
      <c r="D12797" t="s">
        <v>30732</v>
      </c>
      <c r="E12797" t="s">
        <v>13688</v>
      </c>
      <c r="F12797" t="s">
        <v>33554</v>
      </c>
      <c r="J12797" t="s">
        <v>13688</v>
      </c>
      <c r="K12797" t="s">
        <v>21600</v>
      </c>
      <c r="L12797" t="s">
        <v>3616</v>
      </c>
    </row>
    <row r="12798" spans="1:12">
      <c r="A12798" t="s">
        <v>30729</v>
      </c>
      <c r="B12798" t="s">
        <v>30730</v>
      </c>
      <c r="C12798" t="s">
        <v>36036</v>
      </c>
      <c r="D12798" t="s">
        <v>30732</v>
      </c>
      <c r="E12798" t="s">
        <v>10478</v>
      </c>
      <c r="F12798" t="s">
        <v>36037</v>
      </c>
      <c r="J12798" t="s">
        <v>10478</v>
      </c>
      <c r="K12798" t="s">
        <v>21600</v>
      </c>
      <c r="L12798" t="s">
        <v>3616</v>
      </c>
    </row>
    <row r="12799" spans="1:12">
      <c r="A12799" t="s">
        <v>30729</v>
      </c>
      <c r="B12799" t="s">
        <v>30730</v>
      </c>
      <c r="C12799" t="s">
        <v>36038</v>
      </c>
      <c r="D12799" t="s">
        <v>30732</v>
      </c>
      <c r="E12799" t="s">
        <v>9978</v>
      </c>
      <c r="F12799" t="s">
        <v>36039</v>
      </c>
    </row>
    <row r="12800" spans="1:12">
      <c r="A12800" t="s">
        <v>30729</v>
      </c>
      <c r="B12800" t="s">
        <v>30730</v>
      </c>
      <c r="C12800" t="s">
        <v>36040</v>
      </c>
      <c r="D12800" t="s">
        <v>30732</v>
      </c>
      <c r="E12800" t="s">
        <v>2942</v>
      </c>
      <c r="F12800" t="s">
        <v>36041</v>
      </c>
    </row>
    <row r="12801" spans="1:12">
      <c r="A12801" t="s">
        <v>30729</v>
      </c>
      <c r="B12801" t="s">
        <v>30730</v>
      </c>
      <c r="C12801" t="s">
        <v>36042</v>
      </c>
      <c r="D12801" t="s">
        <v>30732</v>
      </c>
      <c r="E12801" t="s">
        <v>20741</v>
      </c>
      <c r="F12801" t="s">
        <v>36043</v>
      </c>
      <c r="J12801" t="s">
        <v>20741</v>
      </c>
      <c r="K12801" t="s">
        <v>21600</v>
      </c>
      <c r="L12801" t="s">
        <v>3616</v>
      </c>
    </row>
    <row r="12802" spans="1:12">
      <c r="A12802" t="s">
        <v>30729</v>
      </c>
      <c r="B12802" t="s">
        <v>30730</v>
      </c>
      <c r="C12802" t="s">
        <v>36044</v>
      </c>
      <c r="D12802" t="s">
        <v>30732</v>
      </c>
      <c r="E12802" t="s">
        <v>9986</v>
      </c>
      <c r="F12802" t="s">
        <v>36045</v>
      </c>
      <c r="J12802" t="s">
        <v>9986</v>
      </c>
      <c r="K12802" t="s">
        <v>21600</v>
      </c>
      <c r="L12802" t="s">
        <v>3616</v>
      </c>
    </row>
    <row r="12803" spans="1:12">
      <c r="A12803" t="s">
        <v>30729</v>
      </c>
      <c r="B12803" t="s">
        <v>30730</v>
      </c>
      <c r="C12803" t="s">
        <v>36046</v>
      </c>
      <c r="D12803" t="s">
        <v>30732</v>
      </c>
      <c r="E12803" t="s">
        <v>9989</v>
      </c>
      <c r="F12803" t="s">
        <v>36047</v>
      </c>
      <c r="J12803" t="s">
        <v>9989</v>
      </c>
      <c r="K12803" t="s">
        <v>21600</v>
      </c>
      <c r="L12803" t="s">
        <v>3616</v>
      </c>
    </row>
    <row r="12804" spans="1:12">
      <c r="A12804" t="s">
        <v>30729</v>
      </c>
      <c r="B12804" t="s">
        <v>30730</v>
      </c>
      <c r="C12804" t="s">
        <v>36048</v>
      </c>
      <c r="D12804" t="s">
        <v>30732</v>
      </c>
      <c r="E12804" t="s">
        <v>36049</v>
      </c>
      <c r="F12804" t="s">
        <v>36050</v>
      </c>
      <c r="J12804" t="s">
        <v>36049</v>
      </c>
      <c r="K12804" t="s">
        <v>21600</v>
      </c>
      <c r="L12804" t="s">
        <v>3616</v>
      </c>
    </row>
    <row r="12805" spans="1:12">
      <c r="A12805" t="s">
        <v>30729</v>
      </c>
      <c r="B12805" t="s">
        <v>30730</v>
      </c>
      <c r="C12805" t="s">
        <v>36051</v>
      </c>
      <c r="D12805" t="s">
        <v>30732</v>
      </c>
      <c r="E12805" t="s">
        <v>9997</v>
      </c>
      <c r="F12805" t="s">
        <v>36052</v>
      </c>
      <c r="J12805" t="s">
        <v>9997</v>
      </c>
      <c r="K12805" t="s">
        <v>21600</v>
      </c>
      <c r="L12805" t="s">
        <v>3616</v>
      </c>
    </row>
    <row r="12806" spans="1:12">
      <c r="A12806" t="s">
        <v>30729</v>
      </c>
      <c r="B12806" t="s">
        <v>30730</v>
      </c>
      <c r="C12806" t="s">
        <v>36053</v>
      </c>
      <c r="D12806" t="s">
        <v>30732</v>
      </c>
      <c r="E12806" t="s">
        <v>4567</v>
      </c>
      <c r="F12806" t="s">
        <v>36054</v>
      </c>
      <c r="J12806" t="s">
        <v>4567</v>
      </c>
      <c r="K12806" t="s">
        <v>21600</v>
      </c>
      <c r="L12806" t="s">
        <v>3616</v>
      </c>
    </row>
    <row r="12807" spans="1:12">
      <c r="A12807" t="s">
        <v>30729</v>
      </c>
      <c r="B12807" t="s">
        <v>30730</v>
      </c>
      <c r="C12807" t="s">
        <v>36055</v>
      </c>
      <c r="D12807" t="s">
        <v>30732</v>
      </c>
      <c r="E12807" t="s">
        <v>14599</v>
      </c>
      <c r="F12807" t="s">
        <v>36056</v>
      </c>
    </row>
    <row r="12808" spans="1:12">
      <c r="A12808" t="s">
        <v>30729</v>
      </c>
      <c r="B12808" t="s">
        <v>30730</v>
      </c>
      <c r="C12808" t="s">
        <v>36057</v>
      </c>
      <c r="D12808" t="s">
        <v>30732</v>
      </c>
      <c r="E12808" t="s">
        <v>36058</v>
      </c>
      <c r="F12808" t="s">
        <v>36059</v>
      </c>
      <c r="J12808" t="s">
        <v>36058</v>
      </c>
      <c r="K12808" t="s">
        <v>21600</v>
      </c>
      <c r="L12808" t="s">
        <v>3616</v>
      </c>
    </row>
    <row r="12809" spans="1:12">
      <c r="A12809" t="s">
        <v>30729</v>
      </c>
      <c r="B12809" t="s">
        <v>30730</v>
      </c>
      <c r="C12809" t="s">
        <v>36060</v>
      </c>
      <c r="D12809" t="s">
        <v>30732</v>
      </c>
      <c r="E12809" t="s">
        <v>7438</v>
      </c>
      <c r="F12809" t="s">
        <v>36061</v>
      </c>
      <c r="J12809" t="s">
        <v>7438</v>
      </c>
      <c r="K12809" t="s">
        <v>21600</v>
      </c>
      <c r="L12809" t="s">
        <v>3616</v>
      </c>
    </row>
    <row r="12810" spans="1:12">
      <c r="A12810" t="s">
        <v>30729</v>
      </c>
      <c r="B12810" t="s">
        <v>30730</v>
      </c>
      <c r="C12810" t="s">
        <v>36062</v>
      </c>
      <c r="D12810" t="s">
        <v>30732</v>
      </c>
      <c r="E12810" t="s">
        <v>20766</v>
      </c>
      <c r="F12810" t="s">
        <v>36063</v>
      </c>
      <c r="J12810" t="s">
        <v>20766</v>
      </c>
      <c r="K12810" t="s">
        <v>21600</v>
      </c>
      <c r="L12810" t="s">
        <v>3616</v>
      </c>
    </row>
    <row r="12811" spans="1:12">
      <c r="A12811" t="s">
        <v>30729</v>
      </c>
      <c r="B12811" t="s">
        <v>30730</v>
      </c>
      <c r="C12811" t="s">
        <v>36064</v>
      </c>
      <c r="D12811" t="s">
        <v>30732</v>
      </c>
      <c r="E12811" t="s">
        <v>15953</v>
      </c>
      <c r="F12811" t="s">
        <v>36065</v>
      </c>
    </row>
    <row r="12812" spans="1:12">
      <c r="A12812" t="s">
        <v>30729</v>
      </c>
      <c r="B12812" t="s">
        <v>30730</v>
      </c>
      <c r="C12812" t="s">
        <v>36066</v>
      </c>
      <c r="D12812" t="s">
        <v>30732</v>
      </c>
      <c r="E12812" t="s">
        <v>27918</v>
      </c>
      <c r="F12812" t="s">
        <v>36067</v>
      </c>
    </row>
    <row r="12813" spans="1:12">
      <c r="A12813" t="s">
        <v>30729</v>
      </c>
      <c r="B12813" t="s">
        <v>30730</v>
      </c>
      <c r="C12813" t="s">
        <v>36068</v>
      </c>
      <c r="D12813" t="s">
        <v>30732</v>
      </c>
      <c r="E12813" t="s">
        <v>5297</v>
      </c>
      <c r="F12813" t="s">
        <v>36069</v>
      </c>
    </row>
    <row r="12814" spans="1:12">
      <c r="A12814" t="s">
        <v>30729</v>
      </c>
      <c r="B12814" t="s">
        <v>30730</v>
      </c>
      <c r="C12814" t="s">
        <v>36070</v>
      </c>
      <c r="D12814" t="s">
        <v>30732</v>
      </c>
      <c r="E12814" t="s">
        <v>13017</v>
      </c>
      <c r="F12814" t="s">
        <v>36071</v>
      </c>
      <c r="J12814" t="s">
        <v>13017</v>
      </c>
      <c r="K12814" t="s">
        <v>21600</v>
      </c>
      <c r="L12814" t="s">
        <v>3616</v>
      </c>
    </row>
    <row r="12815" spans="1:12">
      <c r="A12815" t="s">
        <v>30729</v>
      </c>
      <c r="B12815" t="s">
        <v>30730</v>
      </c>
      <c r="C12815" t="s">
        <v>36072</v>
      </c>
      <c r="D12815" t="s">
        <v>30732</v>
      </c>
      <c r="E12815" t="s">
        <v>30487</v>
      </c>
      <c r="F12815" t="s">
        <v>36073</v>
      </c>
      <c r="J12815" t="s">
        <v>30487</v>
      </c>
      <c r="K12815" t="s">
        <v>21600</v>
      </c>
      <c r="L12815" t="s">
        <v>3616</v>
      </c>
    </row>
    <row r="12816" spans="1:12">
      <c r="A12816" t="s">
        <v>30729</v>
      </c>
      <c r="B12816" t="s">
        <v>30730</v>
      </c>
      <c r="C12816" t="s">
        <v>36074</v>
      </c>
      <c r="D12816" t="s">
        <v>30732</v>
      </c>
      <c r="E12816" t="s">
        <v>5300</v>
      </c>
      <c r="F12816" t="s">
        <v>6296</v>
      </c>
    </row>
    <row r="12817" spans="1:12">
      <c r="A12817" t="s">
        <v>30729</v>
      </c>
      <c r="B12817" t="s">
        <v>30730</v>
      </c>
      <c r="C12817" t="s">
        <v>36075</v>
      </c>
      <c r="D12817" t="s">
        <v>30732</v>
      </c>
      <c r="E12817" t="s">
        <v>13952</v>
      </c>
      <c r="F12817" t="s">
        <v>36076</v>
      </c>
      <c r="J12817" t="s">
        <v>13952</v>
      </c>
      <c r="K12817" t="s">
        <v>21600</v>
      </c>
      <c r="L12817" t="s">
        <v>3616</v>
      </c>
    </row>
    <row r="12818" spans="1:12">
      <c r="A12818" t="s">
        <v>30729</v>
      </c>
      <c r="B12818" t="s">
        <v>30730</v>
      </c>
      <c r="C12818" t="s">
        <v>36077</v>
      </c>
      <c r="D12818" t="s">
        <v>30732</v>
      </c>
      <c r="E12818" t="s">
        <v>20790</v>
      </c>
      <c r="F12818" t="s">
        <v>36078</v>
      </c>
    </row>
    <row r="12819" spans="1:12">
      <c r="A12819" t="s">
        <v>30729</v>
      </c>
      <c r="B12819" t="s">
        <v>30730</v>
      </c>
      <c r="C12819" t="s">
        <v>36079</v>
      </c>
      <c r="D12819" t="s">
        <v>30732</v>
      </c>
      <c r="E12819" t="s">
        <v>20794</v>
      </c>
      <c r="F12819" t="s">
        <v>36080</v>
      </c>
      <c r="J12819" t="s">
        <v>20794</v>
      </c>
      <c r="K12819" t="s">
        <v>21600</v>
      </c>
      <c r="L12819" t="s">
        <v>3616</v>
      </c>
    </row>
    <row r="12820" spans="1:12">
      <c r="A12820" t="s">
        <v>30729</v>
      </c>
      <c r="B12820" t="s">
        <v>30730</v>
      </c>
      <c r="C12820" t="s">
        <v>36081</v>
      </c>
      <c r="D12820" t="s">
        <v>30732</v>
      </c>
      <c r="E12820" t="s">
        <v>20798</v>
      </c>
      <c r="F12820" t="s">
        <v>36082</v>
      </c>
      <c r="J12820" t="s">
        <v>20798</v>
      </c>
      <c r="K12820" t="s">
        <v>21600</v>
      </c>
      <c r="L12820" t="s">
        <v>3616</v>
      </c>
    </row>
    <row r="12821" spans="1:12">
      <c r="A12821" t="s">
        <v>30729</v>
      </c>
      <c r="B12821" t="s">
        <v>30730</v>
      </c>
      <c r="C12821" t="s">
        <v>36083</v>
      </c>
      <c r="D12821" t="s">
        <v>30732</v>
      </c>
      <c r="E12821" t="s">
        <v>36084</v>
      </c>
      <c r="F12821" t="s">
        <v>36085</v>
      </c>
      <c r="J12821" t="s">
        <v>36084</v>
      </c>
      <c r="K12821" t="s">
        <v>21600</v>
      </c>
      <c r="L12821" t="s">
        <v>3616</v>
      </c>
    </row>
    <row r="12822" spans="1:12">
      <c r="A12822" t="s">
        <v>30729</v>
      </c>
      <c r="B12822" t="s">
        <v>30730</v>
      </c>
      <c r="C12822" t="s">
        <v>36086</v>
      </c>
      <c r="D12822" t="s">
        <v>30732</v>
      </c>
      <c r="E12822" t="s">
        <v>10483</v>
      </c>
      <c r="F12822" t="s">
        <v>36087</v>
      </c>
      <c r="J12822" t="s">
        <v>10483</v>
      </c>
      <c r="K12822" t="s">
        <v>21600</v>
      </c>
      <c r="L12822" t="s">
        <v>3616</v>
      </c>
    </row>
    <row r="12823" spans="1:12">
      <c r="A12823" t="s">
        <v>30729</v>
      </c>
      <c r="B12823" t="s">
        <v>30730</v>
      </c>
      <c r="C12823" t="s">
        <v>36088</v>
      </c>
      <c r="D12823" t="s">
        <v>30732</v>
      </c>
      <c r="E12823" t="s">
        <v>36089</v>
      </c>
      <c r="F12823" t="s">
        <v>36090</v>
      </c>
      <c r="J12823" t="s">
        <v>36089</v>
      </c>
      <c r="K12823" t="s">
        <v>21600</v>
      </c>
      <c r="L12823" t="s">
        <v>3616</v>
      </c>
    </row>
    <row r="12824" spans="1:12">
      <c r="A12824" t="s">
        <v>30729</v>
      </c>
      <c r="B12824" t="s">
        <v>30730</v>
      </c>
      <c r="C12824" t="s">
        <v>36091</v>
      </c>
      <c r="D12824" t="s">
        <v>30732</v>
      </c>
      <c r="E12824" t="s">
        <v>7000</v>
      </c>
      <c r="F12824" t="s">
        <v>36092</v>
      </c>
      <c r="J12824" t="s">
        <v>7000</v>
      </c>
      <c r="K12824" t="s">
        <v>21600</v>
      </c>
      <c r="L12824" t="s">
        <v>3616</v>
      </c>
    </row>
    <row r="12825" spans="1:12">
      <c r="A12825" t="s">
        <v>30729</v>
      </c>
      <c r="B12825" t="s">
        <v>30730</v>
      </c>
      <c r="C12825" t="s">
        <v>36093</v>
      </c>
      <c r="D12825" t="s">
        <v>30732</v>
      </c>
      <c r="E12825" t="s">
        <v>1428</v>
      </c>
      <c r="F12825" t="s">
        <v>36094</v>
      </c>
    </row>
    <row r="12826" spans="1:12">
      <c r="A12826" t="s">
        <v>30729</v>
      </c>
      <c r="B12826" t="s">
        <v>30730</v>
      </c>
      <c r="C12826" t="s">
        <v>36095</v>
      </c>
      <c r="D12826" t="s">
        <v>30732</v>
      </c>
      <c r="E12826" t="s">
        <v>36096</v>
      </c>
      <c r="F12826" t="s">
        <v>36097</v>
      </c>
      <c r="J12826" t="s">
        <v>36096</v>
      </c>
      <c r="K12826" t="s">
        <v>21600</v>
      </c>
      <c r="L12826" t="s">
        <v>3616</v>
      </c>
    </row>
    <row r="12827" spans="1:12">
      <c r="A12827" t="s">
        <v>30729</v>
      </c>
      <c r="B12827" t="s">
        <v>30730</v>
      </c>
      <c r="C12827" t="s">
        <v>36098</v>
      </c>
      <c r="D12827" t="s">
        <v>30732</v>
      </c>
      <c r="E12827" t="s">
        <v>4822</v>
      </c>
      <c r="F12827" t="s">
        <v>36099</v>
      </c>
      <c r="J12827" t="s">
        <v>4822</v>
      </c>
      <c r="K12827" t="s">
        <v>21600</v>
      </c>
      <c r="L12827" t="s">
        <v>3616</v>
      </c>
    </row>
    <row r="12828" spans="1:12">
      <c r="A12828" t="s">
        <v>30729</v>
      </c>
      <c r="B12828" t="s">
        <v>30730</v>
      </c>
      <c r="C12828" t="s">
        <v>36100</v>
      </c>
      <c r="D12828" t="s">
        <v>30732</v>
      </c>
      <c r="E12828" t="s">
        <v>36101</v>
      </c>
      <c r="F12828" t="s">
        <v>36102</v>
      </c>
      <c r="J12828" t="s">
        <v>36101</v>
      </c>
      <c r="K12828" t="s">
        <v>21600</v>
      </c>
      <c r="L12828" t="s">
        <v>3616</v>
      </c>
    </row>
    <row r="12829" spans="1:12">
      <c r="A12829" t="s">
        <v>30729</v>
      </c>
      <c r="B12829" t="s">
        <v>30730</v>
      </c>
      <c r="C12829" t="s">
        <v>36103</v>
      </c>
      <c r="D12829" t="s">
        <v>30732</v>
      </c>
      <c r="E12829" t="s">
        <v>13022</v>
      </c>
      <c r="F12829" t="s">
        <v>36104</v>
      </c>
      <c r="J12829" t="s">
        <v>13022</v>
      </c>
      <c r="K12829" t="s">
        <v>21600</v>
      </c>
      <c r="L12829" t="s">
        <v>3616</v>
      </c>
    </row>
    <row r="12830" spans="1:12">
      <c r="A12830" t="s">
        <v>30729</v>
      </c>
      <c r="B12830" t="s">
        <v>30730</v>
      </c>
      <c r="C12830" t="s">
        <v>36105</v>
      </c>
      <c r="D12830" t="s">
        <v>30732</v>
      </c>
      <c r="E12830" t="s">
        <v>36106</v>
      </c>
      <c r="F12830" t="s">
        <v>36107</v>
      </c>
      <c r="J12830" t="s">
        <v>36106</v>
      </c>
      <c r="K12830" t="s">
        <v>21600</v>
      </c>
      <c r="L12830" t="s">
        <v>3616</v>
      </c>
    </row>
    <row r="12831" spans="1:12">
      <c r="A12831" t="s">
        <v>30729</v>
      </c>
      <c r="B12831" t="s">
        <v>30730</v>
      </c>
      <c r="C12831" t="s">
        <v>36108</v>
      </c>
      <c r="D12831" t="s">
        <v>30732</v>
      </c>
      <c r="E12831" t="s">
        <v>3533</v>
      </c>
      <c r="F12831" t="s">
        <v>36109</v>
      </c>
    </row>
    <row r="12832" spans="1:12">
      <c r="A12832" t="s">
        <v>30729</v>
      </c>
      <c r="B12832" t="s">
        <v>30730</v>
      </c>
      <c r="C12832" t="s">
        <v>36110</v>
      </c>
      <c r="D12832" t="s">
        <v>30732</v>
      </c>
      <c r="E12832" t="s">
        <v>27981</v>
      </c>
      <c r="F12832" t="s">
        <v>36111</v>
      </c>
    </row>
    <row r="12833" spans="1:12">
      <c r="A12833" t="s">
        <v>30729</v>
      </c>
      <c r="B12833" t="s">
        <v>30730</v>
      </c>
      <c r="C12833" t="s">
        <v>36112</v>
      </c>
      <c r="D12833" t="s">
        <v>30732</v>
      </c>
      <c r="E12833" t="s">
        <v>36113</v>
      </c>
      <c r="F12833" t="s">
        <v>36114</v>
      </c>
      <c r="J12833" t="s">
        <v>36113</v>
      </c>
      <c r="K12833" t="s">
        <v>21600</v>
      </c>
      <c r="L12833" t="s">
        <v>3616</v>
      </c>
    </row>
    <row r="12834" spans="1:12">
      <c r="A12834" t="s">
        <v>30729</v>
      </c>
      <c r="B12834" t="s">
        <v>30730</v>
      </c>
      <c r="C12834" t="s">
        <v>36115</v>
      </c>
      <c r="D12834" t="s">
        <v>30732</v>
      </c>
      <c r="E12834" t="s">
        <v>36116</v>
      </c>
      <c r="F12834" t="s">
        <v>36117</v>
      </c>
      <c r="J12834" t="s">
        <v>36116</v>
      </c>
      <c r="K12834" t="s">
        <v>21600</v>
      </c>
      <c r="L12834" t="s">
        <v>3616</v>
      </c>
    </row>
    <row r="12835" spans="1:12">
      <c r="A12835" t="s">
        <v>30729</v>
      </c>
      <c r="B12835" t="s">
        <v>30730</v>
      </c>
      <c r="C12835" t="s">
        <v>36118</v>
      </c>
      <c r="D12835" t="s">
        <v>30732</v>
      </c>
      <c r="E12835" t="s">
        <v>10012</v>
      </c>
      <c r="F12835" t="s">
        <v>36119</v>
      </c>
    </row>
    <row r="12836" spans="1:12">
      <c r="A12836" t="s">
        <v>30729</v>
      </c>
      <c r="B12836" t="s">
        <v>30730</v>
      </c>
      <c r="C12836" t="s">
        <v>36120</v>
      </c>
      <c r="D12836" t="s">
        <v>30732</v>
      </c>
      <c r="E12836" t="s">
        <v>36121</v>
      </c>
      <c r="F12836" t="s">
        <v>36122</v>
      </c>
      <c r="J12836" t="s">
        <v>36121</v>
      </c>
      <c r="K12836" t="s">
        <v>21600</v>
      </c>
      <c r="L12836" t="s">
        <v>3616</v>
      </c>
    </row>
    <row r="12837" spans="1:12">
      <c r="A12837" t="s">
        <v>30729</v>
      </c>
      <c r="B12837" t="s">
        <v>30730</v>
      </c>
      <c r="C12837" t="s">
        <v>36123</v>
      </c>
      <c r="D12837" t="s">
        <v>30732</v>
      </c>
      <c r="E12837" t="s">
        <v>36124</v>
      </c>
      <c r="F12837" t="s">
        <v>36125</v>
      </c>
      <c r="J12837" t="s">
        <v>36124</v>
      </c>
      <c r="K12837" t="s">
        <v>21600</v>
      </c>
      <c r="L12837" t="s">
        <v>3616</v>
      </c>
    </row>
    <row r="12838" spans="1:12">
      <c r="A12838" t="s">
        <v>30729</v>
      </c>
      <c r="B12838" t="s">
        <v>30730</v>
      </c>
      <c r="C12838" t="s">
        <v>36126</v>
      </c>
      <c r="D12838" t="s">
        <v>30732</v>
      </c>
      <c r="E12838" t="s">
        <v>36127</v>
      </c>
      <c r="F12838" t="s">
        <v>36128</v>
      </c>
      <c r="J12838" t="s">
        <v>36127</v>
      </c>
      <c r="K12838" t="s">
        <v>21600</v>
      </c>
      <c r="L12838" t="s">
        <v>3616</v>
      </c>
    </row>
    <row r="12839" spans="1:12">
      <c r="A12839" t="s">
        <v>30729</v>
      </c>
      <c r="B12839" t="s">
        <v>30730</v>
      </c>
      <c r="C12839" t="s">
        <v>36129</v>
      </c>
      <c r="D12839" t="s">
        <v>30732</v>
      </c>
      <c r="E12839" t="s">
        <v>20819</v>
      </c>
      <c r="F12839" t="s">
        <v>36130</v>
      </c>
      <c r="J12839" t="s">
        <v>20819</v>
      </c>
      <c r="K12839" t="s">
        <v>21600</v>
      </c>
      <c r="L12839" t="s">
        <v>3616</v>
      </c>
    </row>
    <row r="12840" spans="1:12">
      <c r="A12840" t="s">
        <v>30729</v>
      </c>
      <c r="B12840" t="s">
        <v>30730</v>
      </c>
      <c r="C12840" t="s">
        <v>36131</v>
      </c>
      <c r="D12840" t="s">
        <v>30732</v>
      </c>
      <c r="E12840" t="s">
        <v>36132</v>
      </c>
      <c r="F12840" t="s">
        <v>36133</v>
      </c>
      <c r="J12840" t="s">
        <v>36132</v>
      </c>
      <c r="K12840" t="s">
        <v>21600</v>
      </c>
      <c r="L12840" t="s">
        <v>3616</v>
      </c>
    </row>
    <row r="12841" spans="1:12">
      <c r="A12841" t="s">
        <v>30729</v>
      </c>
      <c r="B12841" t="s">
        <v>30730</v>
      </c>
      <c r="C12841" t="s">
        <v>36134</v>
      </c>
      <c r="D12841" t="s">
        <v>30732</v>
      </c>
      <c r="E12841" t="s">
        <v>25592</v>
      </c>
      <c r="F12841" t="s">
        <v>36135</v>
      </c>
    </row>
    <row r="12842" spans="1:12">
      <c r="A12842" t="s">
        <v>30729</v>
      </c>
      <c r="B12842" t="s">
        <v>30730</v>
      </c>
      <c r="C12842" t="s">
        <v>36136</v>
      </c>
      <c r="D12842" t="s">
        <v>30732</v>
      </c>
      <c r="E12842" t="s">
        <v>36137</v>
      </c>
      <c r="F12842" t="s">
        <v>36138</v>
      </c>
      <c r="J12842" t="s">
        <v>36137</v>
      </c>
      <c r="K12842" t="s">
        <v>21600</v>
      </c>
      <c r="L12842" t="s">
        <v>3616</v>
      </c>
    </row>
    <row r="12843" spans="1:12">
      <c r="A12843" t="s">
        <v>30729</v>
      </c>
      <c r="B12843" t="s">
        <v>30730</v>
      </c>
      <c r="C12843" t="s">
        <v>36139</v>
      </c>
      <c r="D12843" t="s">
        <v>30732</v>
      </c>
      <c r="E12843" t="s">
        <v>36140</v>
      </c>
      <c r="F12843" t="s">
        <v>36141</v>
      </c>
      <c r="J12843" t="s">
        <v>36140</v>
      </c>
      <c r="K12843" t="s">
        <v>21600</v>
      </c>
      <c r="L12843" t="s">
        <v>3616</v>
      </c>
    </row>
    <row r="12844" spans="1:12">
      <c r="A12844" t="s">
        <v>30729</v>
      </c>
      <c r="B12844" t="s">
        <v>30730</v>
      </c>
      <c r="C12844" t="s">
        <v>36142</v>
      </c>
      <c r="D12844" t="s">
        <v>30732</v>
      </c>
      <c r="E12844" t="s">
        <v>13612</v>
      </c>
      <c r="F12844" t="s">
        <v>36143</v>
      </c>
    </row>
    <row r="12845" spans="1:12">
      <c r="A12845" t="s">
        <v>30729</v>
      </c>
      <c r="B12845" t="s">
        <v>30730</v>
      </c>
      <c r="C12845" t="s">
        <v>36144</v>
      </c>
      <c r="D12845" t="s">
        <v>30732</v>
      </c>
      <c r="E12845" t="s">
        <v>36145</v>
      </c>
      <c r="F12845" t="s">
        <v>36146</v>
      </c>
    </row>
    <row r="12846" spans="1:12">
      <c r="A12846" t="s">
        <v>30729</v>
      </c>
      <c r="B12846" t="s">
        <v>30730</v>
      </c>
      <c r="C12846" t="s">
        <v>36147</v>
      </c>
      <c r="D12846" t="s">
        <v>30732</v>
      </c>
      <c r="E12846" t="s">
        <v>36148</v>
      </c>
      <c r="F12846" t="s">
        <v>36149</v>
      </c>
      <c r="J12846" t="s">
        <v>36148</v>
      </c>
      <c r="K12846" t="s">
        <v>21600</v>
      </c>
      <c r="L12846" t="s">
        <v>3616</v>
      </c>
    </row>
    <row r="12847" spans="1:12">
      <c r="A12847" t="s">
        <v>30729</v>
      </c>
      <c r="B12847" t="s">
        <v>30730</v>
      </c>
      <c r="C12847" t="s">
        <v>36150</v>
      </c>
      <c r="D12847" t="s">
        <v>30732</v>
      </c>
      <c r="E12847" t="s">
        <v>36151</v>
      </c>
      <c r="F12847" t="s">
        <v>36152</v>
      </c>
      <c r="J12847" t="s">
        <v>36151</v>
      </c>
      <c r="K12847" t="s">
        <v>21600</v>
      </c>
      <c r="L12847" t="s">
        <v>3616</v>
      </c>
    </row>
    <row r="12848" spans="1:12">
      <c r="A12848" t="s">
        <v>30729</v>
      </c>
      <c r="B12848" t="s">
        <v>30730</v>
      </c>
      <c r="C12848" t="s">
        <v>36153</v>
      </c>
      <c r="D12848" t="s">
        <v>30732</v>
      </c>
      <c r="E12848" t="s">
        <v>20841</v>
      </c>
      <c r="F12848" t="s">
        <v>36154</v>
      </c>
    </row>
    <row r="12849" spans="1:12">
      <c r="A12849" t="s">
        <v>30729</v>
      </c>
      <c r="B12849" t="s">
        <v>30730</v>
      </c>
      <c r="C12849" t="s">
        <v>36155</v>
      </c>
      <c r="D12849" t="s">
        <v>30732</v>
      </c>
      <c r="E12849" t="s">
        <v>36156</v>
      </c>
      <c r="F12849" t="s">
        <v>36157</v>
      </c>
      <c r="J12849" t="s">
        <v>36156</v>
      </c>
      <c r="K12849" t="s">
        <v>21600</v>
      </c>
      <c r="L12849" t="s">
        <v>3616</v>
      </c>
    </row>
    <row r="12850" spans="1:12">
      <c r="A12850" t="s">
        <v>30729</v>
      </c>
      <c r="B12850" t="s">
        <v>30730</v>
      </c>
      <c r="C12850" t="s">
        <v>36158</v>
      </c>
      <c r="D12850" t="s">
        <v>30732</v>
      </c>
      <c r="E12850" t="s">
        <v>36159</v>
      </c>
      <c r="F12850" t="s">
        <v>36160</v>
      </c>
      <c r="J12850" t="s">
        <v>36159</v>
      </c>
      <c r="K12850" t="s">
        <v>21600</v>
      </c>
      <c r="L12850" t="s">
        <v>3616</v>
      </c>
    </row>
    <row r="12851" spans="1:12">
      <c r="A12851" t="s">
        <v>30729</v>
      </c>
      <c r="B12851" t="s">
        <v>30730</v>
      </c>
      <c r="C12851" t="s">
        <v>36161</v>
      </c>
      <c r="D12851" t="s">
        <v>30732</v>
      </c>
      <c r="E12851" t="s">
        <v>20849</v>
      </c>
      <c r="F12851" t="s">
        <v>36162</v>
      </c>
    </row>
    <row r="12852" spans="1:12">
      <c r="A12852" t="s">
        <v>30729</v>
      </c>
      <c r="B12852" t="s">
        <v>30730</v>
      </c>
      <c r="C12852" t="s">
        <v>36163</v>
      </c>
      <c r="D12852" t="s">
        <v>30732</v>
      </c>
      <c r="E12852" t="s">
        <v>15322</v>
      </c>
      <c r="F12852" t="s">
        <v>36164</v>
      </c>
      <c r="J12852" t="s">
        <v>15322</v>
      </c>
      <c r="K12852" t="s">
        <v>21600</v>
      </c>
      <c r="L12852" t="s">
        <v>3616</v>
      </c>
    </row>
    <row r="12853" spans="1:12">
      <c r="A12853" t="s">
        <v>30729</v>
      </c>
      <c r="B12853" t="s">
        <v>30730</v>
      </c>
      <c r="C12853" t="s">
        <v>36165</v>
      </c>
      <c r="D12853" t="s">
        <v>30732</v>
      </c>
      <c r="E12853" t="s">
        <v>7003</v>
      </c>
      <c r="F12853" t="s">
        <v>36166</v>
      </c>
      <c r="J12853" t="s">
        <v>7003</v>
      </c>
      <c r="K12853" t="s">
        <v>21600</v>
      </c>
      <c r="L12853" t="s">
        <v>3616</v>
      </c>
    </row>
    <row r="12854" spans="1:12">
      <c r="A12854" t="s">
        <v>30729</v>
      </c>
      <c r="B12854" t="s">
        <v>30730</v>
      </c>
      <c r="C12854" t="s">
        <v>36167</v>
      </c>
      <c r="D12854" t="s">
        <v>30732</v>
      </c>
      <c r="E12854" t="s">
        <v>27729</v>
      </c>
      <c r="F12854" t="s">
        <v>36168</v>
      </c>
      <c r="J12854" t="s">
        <v>27729</v>
      </c>
      <c r="K12854" t="s">
        <v>21600</v>
      </c>
      <c r="L12854" t="s">
        <v>3616</v>
      </c>
    </row>
    <row r="12855" spans="1:12">
      <c r="A12855" t="s">
        <v>30729</v>
      </c>
      <c r="B12855" t="s">
        <v>30730</v>
      </c>
      <c r="C12855" t="s">
        <v>36169</v>
      </c>
      <c r="D12855" t="s">
        <v>30732</v>
      </c>
      <c r="E12855" t="s">
        <v>14629</v>
      </c>
      <c r="F12855" t="s">
        <v>36170</v>
      </c>
      <c r="J12855" t="s">
        <v>14629</v>
      </c>
      <c r="K12855" t="s">
        <v>21600</v>
      </c>
      <c r="L12855" t="s">
        <v>3616</v>
      </c>
    </row>
    <row r="12856" spans="1:12">
      <c r="A12856" t="s">
        <v>30729</v>
      </c>
      <c r="B12856" t="s">
        <v>30730</v>
      </c>
      <c r="C12856" t="s">
        <v>36171</v>
      </c>
      <c r="D12856" t="s">
        <v>30732</v>
      </c>
      <c r="E12856" t="s">
        <v>20931</v>
      </c>
      <c r="F12856" t="s">
        <v>36172</v>
      </c>
      <c r="J12856" t="s">
        <v>20931</v>
      </c>
      <c r="K12856" t="s">
        <v>21600</v>
      </c>
      <c r="L12856" t="s">
        <v>3616</v>
      </c>
    </row>
    <row r="12857" spans="1:12">
      <c r="A12857" t="s">
        <v>30729</v>
      </c>
      <c r="B12857" t="s">
        <v>30730</v>
      </c>
      <c r="C12857" t="s">
        <v>36173</v>
      </c>
      <c r="D12857" t="s">
        <v>30732</v>
      </c>
      <c r="E12857" t="s">
        <v>20945</v>
      </c>
      <c r="F12857" t="s">
        <v>36174</v>
      </c>
      <c r="J12857" t="s">
        <v>20945</v>
      </c>
      <c r="K12857" t="s">
        <v>21600</v>
      </c>
      <c r="L12857" t="s">
        <v>3616</v>
      </c>
    </row>
    <row r="12858" spans="1:12">
      <c r="A12858" t="s">
        <v>30729</v>
      </c>
      <c r="B12858" t="s">
        <v>30730</v>
      </c>
      <c r="C12858" t="s">
        <v>36175</v>
      </c>
      <c r="D12858" t="s">
        <v>30732</v>
      </c>
      <c r="E12858" t="s">
        <v>12255</v>
      </c>
      <c r="F12858" t="s">
        <v>36176</v>
      </c>
    </row>
    <row r="12859" spans="1:12">
      <c r="A12859" t="s">
        <v>30729</v>
      </c>
      <c r="B12859" t="s">
        <v>30730</v>
      </c>
      <c r="C12859" t="s">
        <v>36177</v>
      </c>
      <c r="D12859" t="s">
        <v>30732</v>
      </c>
      <c r="E12859" t="s">
        <v>36178</v>
      </c>
      <c r="F12859" t="s">
        <v>36179</v>
      </c>
      <c r="J12859" t="s">
        <v>36178</v>
      </c>
      <c r="K12859" t="s">
        <v>21600</v>
      </c>
      <c r="L12859" t="s">
        <v>3616</v>
      </c>
    </row>
    <row r="12860" spans="1:12">
      <c r="A12860" t="s">
        <v>30729</v>
      </c>
      <c r="B12860" t="s">
        <v>30730</v>
      </c>
      <c r="C12860" t="s">
        <v>36180</v>
      </c>
      <c r="D12860" t="s">
        <v>30732</v>
      </c>
      <c r="E12860" t="s">
        <v>36181</v>
      </c>
      <c r="F12860" t="s">
        <v>36182</v>
      </c>
    </row>
    <row r="12861" spans="1:12">
      <c r="A12861" t="s">
        <v>30729</v>
      </c>
      <c r="B12861" t="s">
        <v>30730</v>
      </c>
      <c r="C12861" t="s">
        <v>36183</v>
      </c>
      <c r="D12861" t="s">
        <v>30732</v>
      </c>
      <c r="E12861" t="s">
        <v>36184</v>
      </c>
      <c r="F12861" t="s">
        <v>36185</v>
      </c>
      <c r="J12861" t="s">
        <v>36184</v>
      </c>
      <c r="K12861" t="s">
        <v>21600</v>
      </c>
      <c r="L12861" t="s">
        <v>3616</v>
      </c>
    </row>
    <row r="12862" spans="1:12">
      <c r="A12862" t="s">
        <v>30729</v>
      </c>
      <c r="B12862" t="s">
        <v>30730</v>
      </c>
      <c r="C12862" t="s">
        <v>36186</v>
      </c>
      <c r="D12862" t="s">
        <v>30732</v>
      </c>
      <c r="E12862" t="s">
        <v>36187</v>
      </c>
      <c r="F12862" t="s">
        <v>36188</v>
      </c>
      <c r="J12862" t="s">
        <v>36187</v>
      </c>
      <c r="K12862" t="s">
        <v>21600</v>
      </c>
      <c r="L12862" t="s">
        <v>3616</v>
      </c>
    </row>
    <row r="12863" spans="1:12">
      <c r="A12863" t="s">
        <v>30729</v>
      </c>
      <c r="B12863" t="s">
        <v>30730</v>
      </c>
      <c r="C12863" t="s">
        <v>36189</v>
      </c>
      <c r="D12863" t="s">
        <v>30732</v>
      </c>
      <c r="E12863" t="s">
        <v>36190</v>
      </c>
      <c r="F12863" t="s">
        <v>36191</v>
      </c>
      <c r="J12863" t="s">
        <v>36190</v>
      </c>
      <c r="K12863" t="s">
        <v>21600</v>
      </c>
      <c r="L12863" t="s">
        <v>3616</v>
      </c>
    </row>
    <row r="12864" spans="1:12">
      <c r="A12864" t="s">
        <v>30729</v>
      </c>
      <c r="B12864" t="s">
        <v>30730</v>
      </c>
      <c r="C12864" t="s">
        <v>36192</v>
      </c>
      <c r="D12864" t="s">
        <v>30732</v>
      </c>
      <c r="E12864" t="s">
        <v>36193</v>
      </c>
      <c r="F12864" t="s">
        <v>36194</v>
      </c>
      <c r="J12864" t="s">
        <v>36193</v>
      </c>
      <c r="K12864" t="s">
        <v>21600</v>
      </c>
      <c r="L12864" t="s">
        <v>3616</v>
      </c>
    </row>
    <row r="12865" spans="1:12">
      <c r="A12865" t="s">
        <v>30729</v>
      </c>
      <c r="B12865" t="s">
        <v>30730</v>
      </c>
      <c r="C12865" t="s">
        <v>36195</v>
      </c>
      <c r="D12865" t="s">
        <v>30732</v>
      </c>
      <c r="E12865" t="s">
        <v>36196</v>
      </c>
      <c r="F12865" t="s">
        <v>36197</v>
      </c>
    </row>
    <row r="12866" spans="1:12">
      <c r="A12866" t="s">
        <v>30729</v>
      </c>
      <c r="B12866" t="s">
        <v>30730</v>
      </c>
      <c r="C12866" t="s">
        <v>36198</v>
      </c>
      <c r="D12866" t="s">
        <v>30732</v>
      </c>
      <c r="E12866" t="s">
        <v>20974</v>
      </c>
      <c r="F12866" t="s">
        <v>36199</v>
      </c>
      <c r="J12866" t="s">
        <v>20974</v>
      </c>
      <c r="K12866" t="s">
        <v>21600</v>
      </c>
      <c r="L12866" t="s">
        <v>3616</v>
      </c>
    </row>
    <row r="12867" spans="1:12">
      <c r="A12867" t="s">
        <v>30729</v>
      </c>
      <c r="B12867" t="s">
        <v>30730</v>
      </c>
      <c r="C12867" t="s">
        <v>36200</v>
      </c>
      <c r="D12867" t="s">
        <v>30732</v>
      </c>
      <c r="E12867" t="s">
        <v>26907</v>
      </c>
      <c r="F12867" t="s">
        <v>36201</v>
      </c>
    </row>
    <row r="12868" spans="1:12">
      <c r="A12868" t="s">
        <v>30729</v>
      </c>
      <c r="B12868" t="s">
        <v>30730</v>
      </c>
      <c r="C12868" t="s">
        <v>36202</v>
      </c>
      <c r="D12868" t="s">
        <v>30732</v>
      </c>
      <c r="E12868" t="s">
        <v>21003</v>
      </c>
      <c r="F12868" t="s">
        <v>36203</v>
      </c>
      <c r="J12868" t="s">
        <v>21003</v>
      </c>
      <c r="K12868" t="s">
        <v>21600</v>
      </c>
      <c r="L12868" t="s">
        <v>3616</v>
      </c>
    </row>
    <row r="12869" spans="1:12">
      <c r="A12869" t="s">
        <v>30729</v>
      </c>
      <c r="B12869" t="s">
        <v>30730</v>
      </c>
      <c r="C12869" t="s">
        <v>36204</v>
      </c>
      <c r="D12869" t="s">
        <v>30732</v>
      </c>
      <c r="E12869" t="s">
        <v>13041</v>
      </c>
      <c r="F12869" t="s">
        <v>36205</v>
      </c>
      <c r="J12869" t="s">
        <v>13041</v>
      </c>
      <c r="K12869" t="s">
        <v>21600</v>
      </c>
      <c r="L12869" t="s">
        <v>3616</v>
      </c>
    </row>
    <row r="12870" spans="1:12">
      <c r="A12870" t="s">
        <v>30729</v>
      </c>
      <c r="B12870" t="s">
        <v>30730</v>
      </c>
      <c r="C12870" t="s">
        <v>36206</v>
      </c>
      <c r="D12870" t="s">
        <v>30732</v>
      </c>
      <c r="E12870" t="s">
        <v>13044</v>
      </c>
      <c r="F12870" t="s">
        <v>36207</v>
      </c>
      <c r="J12870" t="s">
        <v>13044</v>
      </c>
      <c r="K12870" t="s">
        <v>21600</v>
      </c>
      <c r="L12870" t="s">
        <v>3616</v>
      </c>
    </row>
    <row r="12871" spans="1:12">
      <c r="A12871" t="s">
        <v>30729</v>
      </c>
      <c r="B12871" t="s">
        <v>30730</v>
      </c>
      <c r="C12871" t="s">
        <v>36208</v>
      </c>
      <c r="D12871" t="s">
        <v>30732</v>
      </c>
      <c r="E12871" t="s">
        <v>36209</v>
      </c>
      <c r="F12871" t="s">
        <v>36210</v>
      </c>
      <c r="J12871" t="s">
        <v>36209</v>
      </c>
      <c r="K12871" t="s">
        <v>21600</v>
      </c>
      <c r="L12871" t="s">
        <v>3616</v>
      </c>
    </row>
    <row r="12872" spans="1:12">
      <c r="A12872" t="s">
        <v>30729</v>
      </c>
      <c r="B12872" t="s">
        <v>30730</v>
      </c>
      <c r="C12872" t="s">
        <v>36211</v>
      </c>
      <c r="D12872" t="s">
        <v>30732</v>
      </c>
      <c r="E12872" t="s">
        <v>36212</v>
      </c>
      <c r="F12872" t="s">
        <v>36213</v>
      </c>
      <c r="J12872" t="s">
        <v>36212</v>
      </c>
      <c r="K12872" t="s">
        <v>21600</v>
      </c>
      <c r="L12872" t="s">
        <v>3616</v>
      </c>
    </row>
    <row r="12873" spans="1:12">
      <c r="A12873" t="s">
        <v>30729</v>
      </c>
      <c r="B12873" t="s">
        <v>30730</v>
      </c>
      <c r="C12873" t="s">
        <v>36214</v>
      </c>
      <c r="D12873" t="s">
        <v>30732</v>
      </c>
      <c r="E12873" t="s">
        <v>36215</v>
      </c>
      <c r="F12873" t="s">
        <v>36216</v>
      </c>
      <c r="J12873" t="s">
        <v>36215</v>
      </c>
      <c r="K12873" t="s">
        <v>21600</v>
      </c>
      <c r="L12873" t="s">
        <v>3616</v>
      </c>
    </row>
    <row r="12874" spans="1:12">
      <c r="A12874" t="s">
        <v>30729</v>
      </c>
      <c r="B12874" t="s">
        <v>30730</v>
      </c>
      <c r="C12874" t="s">
        <v>27987</v>
      </c>
      <c r="D12874" t="s">
        <v>30732</v>
      </c>
      <c r="E12874" t="s">
        <v>14653</v>
      </c>
      <c r="F12874" t="s">
        <v>36217</v>
      </c>
      <c r="J12874" t="s">
        <v>14653</v>
      </c>
      <c r="K12874" t="s">
        <v>21600</v>
      </c>
      <c r="L12874" t="s">
        <v>3616</v>
      </c>
    </row>
    <row r="12875" spans="1:12">
      <c r="A12875" t="s">
        <v>30729</v>
      </c>
      <c r="B12875" t="s">
        <v>30730</v>
      </c>
      <c r="C12875" t="s">
        <v>36218</v>
      </c>
      <c r="D12875" t="s">
        <v>30732</v>
      </c>
      <c r="E12875" t="s">
        <v>21064</v>
      </c>
      <c r="F12875" t="s">
        <v>36219</v>
      </c>
      <c r="J12875" t="s">
        <v>21064</v>
      </c>
      <c r="K12875" t="s">
        <v>21600</v>
      </c>
      <c r="L12875" t="s">
        <v>3616</v>
      </c>
    </row>
    <row r="12876" spans="1:12">
      <c r="A12876" t="s">
        <v>30729</v>
      </c>
      <c r="B12876" t="s">
        <v>30730</v>
      </c>
      <c r="C12876" t="s">
        <v>36220</v>
      </c>
      <c r="D12876" t="s">
        <v>30732</v>
      </c>
      <c r="E12876" t="s">
        <v>36221</v>
      </c>
      <c r="F12876" t="s">
        <v>36222</v>
      </c>
      <c r="J12876" t="s">
        <v>36221</v>
      </c>
      <c r="K12876" t="s">
        <v>21600</v>
      </c>
      <c r="L12876" t="s">
        <v>3616</v>
      </c>
    </row>
    <row r="12877" spans="1:12">
      <c r="A12877" t="s">
        <v>30729</v>
      </c>
      <c r="B12877" t="s">
        <v>30730</v>
      </c>
      <c r="C12877" t="s">
        <v>36223</v>
      </c>
      <c r="D12877" t="s">
        <v>30732</v>
      </c>
      <c r="E12877" t="s">
        <v>21079</v>
      </c>
      <c r="F12877" t="s">
        <v>36224</v>
      </c>
      <c r="J12877" t="s">
        <v>21079</v>
      </c>
      <c r="K12877" t="s">
        <v>21600</v>
      </c>
      <c r="L12877" t="s">
        <v>3616</v>
      </c>
    </row>
    <row r="12878" spans="1:12">
      <c r="A12878" t="s">
        <v>30729</v>
      </c>
      <c r="B12878" t="s">
        <v>30730</v>
      </c>
      <c r="C12878" t="s">
        <v>36225</v>
      </c>
      <c r="D12878" t="s">
        <v>30732</v>
      </c>
      <c r="E12878" t="s">
        <v>36226</v>
      </c>
      <c r="F12878" t="s">
        <v>36227</v>
      </c>
      <c r="J12878" t="s">
        <v>36226</v>
      </c>
      <c r="K12878" t="s">
        <v>21600</v>
      </c>
      <c r="L12878" t="s">
        <v>3616</v>
      </c>
    </row>
    <row r="12879" spans="1:12">
      <c r="A12879" t="s">
        <v>30729</v>
      </c>
      <c r="B12879" t="s">
        <v>30730</v>
      </c>
      <c r="C12879" t="s">
        <v>36228</v>
      </c>
      <c r="D12879" t="s">
        <v>30732</v>
      </c>
      <c r="E12879" t="s">
        <v>36229</v>
      </c>
      <c r="F12879" t="s">
        <v>36230</v>
      </c>
      <c r="J12879" t="s">
        <v>36229</v>
      </c>
      <c r="K12879" t="s">
        <v>21600</v>
      </c>
      <c r="L12879" t="s">
        <v>3616</v>
      </c>
    </row>
    <row r="12880" spans="1:12">
      <c r="A12880" t="s">
        <v>30729</v>
      </c>
      <c r="B12880" t="s">
        <v>30730</v>
      </c>
      <c r="C12880" t="s">
        <v>36231</v>
      </c>
      <c r="D12880" t="s">
        <v>30732</v>
      </c>
      <c r="E12880" t="s">
        <v>36232</v>
      </c>
      <c r="F12880" t="s">
        <v>36233</v>
      </c>
      <c r="J12880" t="s">
        <v>36232</v>
      </c>
      <c r="K12880" t="s">
        <v>21600</v>
      </c>
      <c r="L12880" t="s">
        <v>3616</v>
      </c>
    </row>
    <row r="12881" spans="1:12">
      <c r="A12881" t="s">
        <v>30729</v>
      </c>
      <c r="B12881" t="s">
        <v>30730</v>
      </c>
      <c r="C12881" t="s">
        <v>36234</v>
      </c>
      <c r="D12881" t="s">
        <v>30732</v>
      </c>
      <c r="E12881" t="s">
        <v>36235</v>
      </c>
      <c r="F12881" t="s">
        <v>36236</v>
      </c>
      <c r="J12881" t="s">
        <v>36235</v>
      </c>
      <c r="K12881" t="s">
        <v>21600</v>
      </c>
      <c r="L12881" t="s">
        <v>3616</v>
      </c>
    </row>
    <row r="12882" spans="1:12">
      <c r="A12882" t="s">
        <v>30729</v>
      </c>
      <c r="B12882" t="s">
        <v>30730</v>
      </c>
      <c r="C12882" t="s">
        <v>36237</v>
      </c>
      <c r="D12882" t="s">
        <v>30732</v>
      </c>
      <c r="E12882" t="s">
        <v>36238</v>
      </c>
      <c r="F12882" t="s">
        <v>36239</v>
      </c>
      <c r="J12882" t="s">
        <v>36238</v>
      </c>
      <c r="K12882" t="s">
        <v>21600</v>
      </c>
      <c r="L12882" t="s">
        <v>3616</v>
      </c>
    </row>
    <row r="12883" spans="1:12">
      <c r="A12883" t="s">
        <v>30729</v>
      </c>
      <c r="B12883" t="s">
        <v>30730</v>
      </c>
      <c r="C12883" t="s">
        <v>36240</v>
      </c>
      <c r="D12883" t="s">
        <v>30732</v>
      </c>
      <c r="E12883" t="s">
        <v>36241</v>
      </c>
      <c r="F12883" t="s">
        <v>36242</v>
      </c>
      <c r="J12883" t="s">
        <v>36241</v>
      </c>
      <c r="K12883" t="s">
        <v>21600</v>
      </c>
      <c r="L12883" t="s">
        <v>3616</v>
      </c>
    </row>
    <row r="12884" spans="1:12">
      <c r="A12884" t="s">
        <v>30729</v>
      </c>
      <c r="B12884" t="s">
        <v>30730</v>
      </c>
      <c r="C12884" t="s">
        <v>36243</v>
      </c>
      <c r="D12884" t="s">
        <v>30732</v>
      </c>
      <c r="E12884" t="s">
        <v>21126</v>
      </c>
      <c r="F12884" t="s">
        <v>36244</v>
      </c>
      <c r="J12884" t="s">
        <v>21126</v>
      </c>
      <c r="K12884" t="s">
        <v>21600</v>
      </c>
      <c r="L12884" t="s">
        <v>3616</v>
      </c>
    </row>
    <row r="12885" spans="1:12">
      <c r="A12885" t="s">
        <v>30729</v>
      </c>
      <c r="B12885" t="s">
        <v>30730</v>
      </c>
      <c r="C12885" t="s">
        <v>36245</v>
      </c>
      <c r="D12885" t="s">
        <v>30732</v>
      </c>
      <c r="E12885" t="s">
        <v>24449</v>
      </c>
      <c r="F12885" t="s">
        <v>34904</v>
      </c>
      <c r="J12885" t="s">
        <v>24449</v>
      </c>
      <c r="K12885" t="s">
        <v>21600</v>
      </c>
      <c r="L12885" t="s">
        <v>3616</v>
      </c>
    </row>
    <row r="12886" spans="1:12">
      <c r="A12886" t="s">
        <v>30729</v>
      </c>
      <c r="B12886" t="s">
        <v>30730</v>
      </c>
      <c r="C12886" t="s">
        <v>36246</v>
      </c>
      <c r="D12886" t="s">
        <v>30732</v>
      </c>
      <c r="E12886" t="s">
        <v>36247</v>
      </c>
      <c r="F12886" t="s">
        <v>36248</v>
      </c>
      <c r="J12886" t="s">
        <v>36247</v>
      </c>
      <c r="K12886" t="s">
        <v>21600</v>
      </c>
      <c r="L12886" t="s">
        <v>3616</v>
      </c>
    </row>
    <row r="12887" spans="1:12">
      <c r="A12887" t="s">
        <v>30729</v>
      </c>
      <c r="B12887" t="s">
        <v>30730</v>
      </c>
      <c r="C12887" t="s">
        <v>36249</v>
      </c>
      <c r="D12887" t="s">
        <v>30732</v>
      </c>
      <c r="E12887" t="s">
        <v>21193</v>
      </c>
      <c r="F12887" t="s">
        <v>36250</v>
      </c>
      <c r="J12887" t="s">
        <v>21193</v>
      </c>
      <c r="K12887" t="s">
        <v>21600</v>
      </c>
      <c r="L12887" t="s">
        <v>3616</v>
      </c>
    </row>
    <row r="12888" spans="1:12">
      <c r="A12888" t="s">
        <v>30729</v>
      </c>
      <c r="B12888" t="s">
        <v>30730</v>
      </c>
      <c r="C12888" t="s">
        <v>36251</v>
      </c>
      <c r="D12888" t="s">
        <v>30732</v>
      </c>
      <c r="E12888" t="s">
        <v>36252</v>
      </c>
      <c r="F12888" t="s">
        <v>36253</v>
      </c>
      <c r="J12888" t="s">
        <v>36252</v>
      </c>
      <c r="K12888" t="s">
        <v>21600</v>
      </c>
      <c r="L12888" t="s">
        <v>3616</v>
      </c>
    </row>
    <row r="12889" spans="1:12">
      <c r="A12889" t="s">
        <v>30729</v>
      </c>
      <c r="B12889" t="s">
        <v>30730</v>
      </c>
      <c r="C12889" t="s">
        <v>36254</v>
      </c>
      <c r="D12889" t="s">
        <v>30732</v>
      </c>
      <c r="E12889" t="s">
        <v>21207</v>
      </c>
      <c r="F12889" t="s">
        <v>36255</v>
      </c>
      <c r="J12889" t="s">
        <v>21207</v>
      </c>
      <c r="K12889" t="s">
        <v>21600</v>
      </c>
      <c r="L12889" t="s">
        <v>3616</v>
      </c>
    </row>
    <row r="12890" spans="1:12">
      <c r="A12890" t="s">
        <v>30729</v>
      </c>
      <c r="B12890" t="s">
        <v>30730</v>
      </c>
      <c r="C12890" t="s">
        <v>36256</v>
      </c>
      <c r="D12890" t="s">
        <v>30732</v>
      </c>
      <c r="E12890" t="s">
        <v>15963</v>
      </c>
      <c r="F12890" t="s">
        <v>36257</v>
      </c>
      <c r="J12890" t="s">
        <v>15963</v>
      </c>
      <c r="K12890" t="s">
        <v>21600</v>
      </c>
      <c r="L12890" t="s">
        <v>3616</v>
      </c>
    </row>
    <row r="12891" spans="1:12">
      <c r="A12891" t="s">
        <v>30729</v>
      </c>
      <c r="B12891" t="s">
        <v>30730</v>
      </c>
      <c r="C12891" t="s">
        <v>36258</v>
      </c>
      <c r="D12891" t="s">
        <v>30732</v>
      </c>
      <c r="E12891" t="s">
        <v>36259</v>
      </c>
      <c r="F12891" t="s">
        <v>36260</v>
      </c>
      <c r="J12891" t="s">
        <v>36259</v>
      </c>
      <c r="K12891" t="s">
        <v>21600</v>
      </c>
      <c r="L12891" t="s">
        <v>3616</v>
      </c>
    </row>
    <row r="12892" spans="1:12">
      <c r="A12892" t="s">
        <v>30729</v>
      </c>
      <c r="B12892" t="s">
        <v>30730</v>
      </c>
      <c r="C12892" t="s">
        <v>36261</v>
      </c>
      <c r="D12892" t="s">
        <v>30732</v>
      </c>
      <c r="E12892" t="s">
        <v>21221</v>
      </c>
      <c r="F12892" t="s">
        <v>36262</v>
      </c>
      <c r="J12892" t="s">
        <v>21221</v>
      </c>
      <c r="K12892" t="s">
        <v>21600</v>
      </c>
      <c r="L12892" t="s">
        <v>3616</v>
      </c>
    </row>
    <row r="12893" spans="1:12">
      <c r="A12893" t="s">
        <v>30729</v>
      </c>
      <c r="B12893" t="s">
        <v>30730</v>
      </c>
      <c r="C12893" t="s">
        <v>36263</v>
      </c>
      <c r="D12893" t="s">
        <v>30732</v>
      </c>
      <c r="E12893" t="s">
        <v>21224</v>
      </c>
      <c r="F12893" t="s">
        <v>36264</v>
      </c>
      <c r="J12893" t="s">
        <v>21224</v>
      </c>
      <c r="K12893" t="s">
        <v>21600</v>
      </c>
      <c r="L12893" t="s">
        <v>3616</v>
      </c>
    </row>
    <row r="12894" spans="1:12">
      <c r="A12894" t="s">
        <v>30729</v>
      </c>
      <c r="B12894" t="s">
        <v>30730</v>
      </c>
      <c r="C12894" t="s">
        <v>36265</v>
      </c>
      <c r="D12894" t="s">
        <v>30732</v>
      </c>
      <c r="E12894" t="s">
        <v>3542</v>
      </c>
      <c r="F12894" t="s">
        <v>36266</v>
      </c>
      <c r="J12894" t="s">
        <v>3542</v>
      </c>
      <c r="K12894" t="s">
        <v>21600</v>
      </c>
      <c r="L12894" t="s">
        <v>3616</v>
      </c>
    </row>
    <row r="12895" spans="1:12">
      <c r="A12895" t="s">
        <v>30729</v>
      </c>
      <c r="B12895" t="s">
        <v>30730</v>
      </c>
      <c r="C12895" t="s">
        <v>36267</v>
      </c>
      <c r="D12895" t="s">
        <v>30732</v>
      </c>
      <c r="E12895" t="s">
        <v>21238</v>
      </c>
      <c r="F12895" t="s">
        <v>36268</v>
      </c>
      <c r="J12895" t="s">
        <v>21238</v>
      </c>
      <c r="K12895" t="s">
        <v>21600</v>
      </c>
      <c r="L12895" t="s">
        <v>3616</v>
      </c>
    </row>
    <row r="12896" spans="1:12">
      <c r="A12896" t="s">
        <v>30729</v>
      </c>
      <c r="B12896" t="s">
        <v>30730</v>
      </c>
      <c r="C12896" t="s">
        <v>36269</v>
      </c>
      <c r="D12896" t="s">
        <v>30732</v>
      </c>
      <c r="E12896" t="s">
        <v>5323</v>
      </c>
      <c r="F12896" t="s">
        <v>36270</v>
      </c>
      <c r="J12896" t="s">
        <v>5323</v>
      </c>
      <c r="K12896" t="s">
        <v>21600</v>
      </c>
      <c r="L12896" t="s">
        <v>3616</v>
      </c>
    </row>
    <row r="12897" spans="1:12">
      <c r="A12897" t="s">
        <v>30729</v>
      </c>
      <c r="B12897" t="s">
        <v>30730</v>
      </c>
      <c r="C12897" t="s">
        <v>36271</v>
      </c>
      <c r="D12897" t="s">
        <v>30732</v>
      </c>
      <c r="E12897" t="s">
        <v>21248</v>
      </c>
      <c r="F12897" t="s">
        <v>36272</v>
      </c>
    </row>
    <row r="12898" spans="1:12">
      <c r="A12898" t="s">
        <v>30729</v>
      </c>
      <c r="B12898" t="s">
        <v>30730</v>
      </c>
      <c r="C12898" t="s">
        <v>36273</v>
      </c>
      <c r="D12898" t="s">
        <v>30732</v>
      </c>
      <c r="E12898" t="s">
        <v>21256</v>
      </c>
      <c r="F12898" t="s">
        <v>36274</v>
      </c>
    </row>
    <row r="12899" spans="1:12">
      <c r="A12899" t="s">
        <v>30729</v>
      </c>
      <c r="B12899" t="s">
        <v>30730</v>
      </c>
      <c r="C12899" t="s">
        <v>36275</v>
      </c>
      <c r="D12899" t="s">
        <v>30732</v>
      </c>
      <c r="E12899" t="s">
        <v>36276</v>
      </c>
      <c r="F12899" t="s">
        <v>36277</v>
      </c>
      <c r="J12899" t="s">
        <v>36276</v>
      </c>
      <c r="K12899" t="s">
        <v>21600</v>
      </c>
      <c r="L12899" t="s">
        <v>3616</v>
      </c>
    </row>
    <row r="12900" spans="1:12">
      <c r="A12900" t="s">
        <v>30729</v>
      </c>
      <c r="B12900" t="s">
        <v>30730</v>
      </c>
      <c r="C12900" t="s">
        <v>36278</v>
      </c>
      <c r="D12900" t="s">
        <v>30732</v>
      </c>
      <c r="E12900" t="s">
        <v>36279</v>
      </c>
      <c r="F12900" t="s">
        <v>36280</v>
      </c>
      <c r="J12900" t="s">
        <v>36279</v>
      </c>
      <c r="K12900" t="s">
        <v>21600</v>
      </c>
      <c r="L12900" t="s">
        <v>3616</v>
      </c>
    </row>
    <row r="12901" spans="1:12">
      <c r="A12901" t="s">
        <v>30729</v>
      </c>
      <c r="B12901" t="s">
        <v>30730</v>
      </c>
      <c r="C12901" t="s">
        <v>36281</v>
      </c>
      <c r="D12901" t="s">
        <v>30732</v>
      </c>
      <c r="E12901" t="s">
        <v>36282</v>
      </c>
      <c r="F12901" t="s">
        <v>36283</v>
      </c>
      <c r="J12901" t="s">
        <v>36282</v>
      </c>
      <c r="K12901" t="s">
        <v>21600</v>
      </c>
      <c r="L12901" t="s">
        <v>3616</v>
      </c>
    </row>
    <row r="12902" spans="1:12">
      <c r="A12902" t="s">
        <v>30729</v>
      </c>
      <c r="B12902" t="s">
        <v>30730</v>
      </c>
      <c r="C12902" t="s">
        <v>36284</v>
      </c>
      <c r="D12902" t="s">
        <v>30732</v>
      </c>
      <c r="E12902" t="s">
        <v>36285</v>
      </c>
      <c r="F12902" t="s">
        <v>36286</v>
      </c>
      <c r="J12902" t="s">
        <v>36285</v>
      </c>
      <c r="K12902" t="s">
        <v>21600</v>
      </c>
      <c r="L12902" t="s">
        <v>3616</v>
      </c>
    </row>
    <row r="12903" spans="1:12">
      <c r="A12903" t="s">
        <v>30729</v>
      </c>
      <c r="B12903" t="s">
        <v>30730</v>
      </c>
      <c r="C12903" t="s">
        <v>36287</v>
      </c>
      <c r="D12903" t="s">
        <v>30732</v>
      </c>
      <c r="E12903" t="s">
        <v>21278</v>
      </c>
      <c r="F12903" t="s">
        <v>36288</v>
      </c>
      <c r="J12903" t="s">
        <v>21278</v>
      </c>
      <c r="K12903" t="s">
        <v>21600</v>
      </c>
      <c r="L12903" t="s">
        <v>3616</v>
      </c>
    </row>
    <row r="12904" spans="1:12">
      <c r="A12904" t="s">
        <v>30729</v>
      </c>
      <c r="B12904" t="s">
        <v>30730</v>
      </c>
      <c r="C12904" t="s">
        <v>36289</v>
      </c>
      <c r="D12904" t="s">
        <v>30732</v>
      </c>
      <c r="E12904" t="s">
        <v>10043</v>
      </c>
      <c r="F12904" t="s">
        <v>36290</v>
      </c>
      <c r="J12904" t="s">
        <v>10043</v>
      </c>
      <c r="K12904" t="s">
        <v>21600</v>
      </c>
      <c r="L12904" t="s">
        <v>3616</v>
      </c>
    </row>
    <row r="12905" spans="1:12">
      <c r="A12905" t="s">
        <v>30729</v>
      </c>
      <c r="B12905" t="s">
        <v>30730</v>
      </c>
      <c r="C12905" t="s">
        <v>36291</v>
      </c>
      <c r="D12905" t="s">
        <v>30732</v>
      </c>
      <c r="E12905" t="s">
        <v>36292</v>
      </c>
      <c r="F12905" t="s">
        <v>36293</v>
      </c>
      <c r="J12905" t="s">
        <v>36292</v>
      </c>
      <c r="K12905" t="s">
        <v>21600</v>
      </c>
      <c r="L12905" t="s">
        <v>3616</v>
      </c>
    </row>
    <row r="12906" spans="1:12">
      <c r="A12906" t="s">
        <v>30729</v>
      </c>
      <c r="B12906" t="s">
        <v>30730</v>
      </c>
      <c r="C12906" t="s">
        <v>36294</v>
      </c>
      <c r="D12906" t="s">
        <v>30732</v>
      </c>
      <c r="E12906" t="s">
        <v>4593</v>
      </c>
      <c r="F12906" t="s">
        <v>36295</v>
      </c>
      <c r="J12906" t="s">
        <v>4593</v>
      </c>
      <c r="K12906" t="s">
        <v>21600</v>
      </c>
      <c r="L12906" t="s">
        <v>3616</v>
      </c>
    </row>
    <row r="12907" spans="1:12">
      <c r="A12907" t="s">
        <v>30729</v>
      </c>
      <c r="B12907" t="s">
        <v>30730</v>
      </c>
      <c r="C12907" t="s">
        <v>36296</v>
      </c>
      <c r="D12907" t="s">
        <v>30732</v>
      </c>
      <c r="E12907" t="s">
        <v>36297</v>
      </c>
      <c r="F12907" t="s">
        <v>36298</v>
      </c>
      <c r="J12907" t="s">
        <v>36297</v>
      </c>
      <c r="K12907" t="s">
        <v>21600</v>
      </c>
      <c r="L12907" t="s">
        <v>3616</v>
      </c>
    </row>
    <row r="12908" spans="1:12">
      <c r="A12908" t="s">
        <v>30729</v>
      </c>
      <c r="B12908" t="s">
        <v>30730</v>
      </c>
      <c r="C12908" t="s">
        <v>36299</v>
      </c>
      <c r="D12908" t="s">
        <v>30732</v>
      </c>
      <c r="E12908" t="s">
        <v>5326</v>
      </c>
      <c r="F12908" t="s">
        <v>36300</v>
      </c>
    </row>
    <row r="12909" spans="1:12">
      <c r="A12909" t="s">
        <v>30729</v>
      </c>
      <c r="B12909" t="s">
        <v>30730</v>
      </c>
      <c r="C12909" t="s">
        <v>36301</v>
      </c>
      <c r="D12909" t="s">
        <v>30732</v>
      </c>
      <c r="E12909" t="s">
        <v>10048</v>
      </c>
      <c r="F12909" t="s">
        <v>36302</v>
      </c>
      <c r="J12909" t="s">
        <v>10048</v>
      </c>
      <c r="K12909" t="s">
        <v>21600</v>
      </c>
      <c r="L12909" t="s">
        <v>3616</v>
      </c>
    </row>
    <row r="12910" spans="1:12">
      <c r="A12910" t="s">
        <v>30729</v>
      </c>
      <c r="B12910" t="s">
        <v>30730</v>
      </c>
      <c r="C12910" t="s">
        <v>36303</v>
      </c>
      <c r="D12910" t="s">
        <v>30732</v>
      </c>
      <c r="E12910" t="s">
        <v>36304</v>
      </c>
      <c r="F12910" t="s">
        <v>36305</v>
      </c>
      <c r="J12910" t="s">
        <v>36304</v>
      </c>
      <c r="K12910" t="s">
        <v>21600</v>
      </c>
      <c r="L12910" t="s">
        <v>3616</v>
      </c>
    </row>
    <row r="12911" spans="1:12">
      <c r="A12911" t="s">
        <v>30729</v>
      </c>
      <c r="B12911" t="s">
        <v>30730</v>
      </c>
      <c r="C12911" t="s">
        <v>36306</v>
      </c>
      <c r="D12911" t="s">
        <v>30732</v>
      </c>
      <c r="E12911" t="s">
        <v>21304</v>
      </c>
      <c r="F12911" t="s">
        <v>36307</v>
      </c>
      <c r="J12911" t="s">
        <v>21304</v>
      </c>
      <c r="K12911" t="s">
        <v>21600</v>
      </c>
      <c r="L12911" t="s">
        <v>3616</v>
      </c>
    </row>
    <row r="12912" spans="1:12">
      <c r="A12912" t="s">
        <v>30729</v>
      </c>
      <c r="B12912" t="s">
        <v>30730</v>
      </c>
      <c r="C12912" t="s">
        <v>36308</v>
      </c>
      <c r="D12912" t="s">
        <v>30732</v>
      </c>
      <c r="E12912" t="s">
        <v>21323</v>
      </c>
      <c r="F12912" t="s">
        <v>36309</v>
      </c>
      <c r="J12912" t="s">
        <v>21323</v>
      </c>
      <c r="K12912" t="s">
        <v>21600</v>
      </c>
      <c r="L12912" t="s">
        <v>3616</v>
      </c>
    </row>
    <row r="12913" spans="1:12">
      <c r="A12913" t="s">
        <v>30729</v>
      </c>
      <c r="B12913" t="s">
        <v>30730</v>
      </c>
      <c r="C12913" t="s">
        <v>36310</v>
      </c>
      <c r="D12913" t="s">
        <v>30732</v>
      </c>
      <c r="E12913" t="s">
        <v>36311</v>
      </c>
      <c r="F12913" t="s">
        <v>36312</v>
      </c>
      <c r="J12913" t="s">
        <v>36311</v>
      </c>
      <c r="K12913" t="s">
        <v>21600</v>
      </c>
      <c r="L12913" t="s">
        <v>3616</v>
      </c>
    </row>
    <row r="12914" spans="1:12">
      <c r="A12914" t="s">
        <v>30729</v>
      </c>
      <c r="B12914" t="s">
        <v>30730</v>
      </c>
      <c r="C12914" t="s">
        <v>36313</v>
      </c>
      <c r="D12914" t="s">
        <v>30732</v>
      </c>
      <c r="E12914" t="s">
        <v>21331</v>
      </c>
      <c r="F12914" t="s">
        <v>36314</v>
      </c>
      <c r="J12914" t="s">
        <v>21331</v>
      </c>
      <c r="K12914" t="s">
        <v>21600</v>
      </c>
      <c r="L12914" t="s">
        <v>3616</v>
      </c>
    </row>
    <row r="12915" spans="1:12">
      <c r="A12915" t="s">
        <v>30729</v>
      </c>
      <c r="B12915" t="s">
        <v>30730</v>
      </c>
      <c r="C12915" t="s">
        <v>36315</v>
      </c>
      <c r="D12915" t="s">
        <v>30732</v>
      </c>
      <c r="E12915" t="s">
        <v>36316</v>
      </c>
      <c r="F12915" t="s">
        <v>36317</v>
      </c>
      <c r="J12915" t="s">
        <v>36316</v>
      </c>
      <c r="K12915" t="s">
        <v>21600</v>
      </c>
      <c r="L12915" t="s">
        <v>3616</v>
      </c>
    </row>
    <row r="12916" spans="1:12">
      <c r="A12916" t="s">
        <v>30729</v>
      </c>
      <c r="B12916" t="s">
        <v>30730</v>
      </c>
      <c r="C12916" t="s">
        <v>36318</v>
      </c>
      <c r="D12916" t="s">
        <v>30732</v>
      </c>
      <c r="E12916" t="s">
        <v>36319</v>
      </c>
      <c r="F12916" t="s">
        <v>36320</v>
      </c>
      <c r="J12916" t="s">
        <v>36319</v>
      </c>
      <c r="K12916" t="s">
        <v>21600</v>
      </c>
      <c r="L12916" t="s">
        <v>3616</v>
      </c>
    </row>
    <row r="12917" spans="1:12">
      <c r="A12917" t="s">
        <v>30729</v>
      </c>
      <c r="B12917" t="s">
        <v>30730</v>
      </c>
      <c r="C12917" t="s">
        <v>36321</v>
      </c>
      <c r="D12917" t="s">
        <v>30732</v>
      </c>
      <c r="E12917" t="s">
        <v>36322</v>
      </c>
      <c r="F12917" t="s">
        <v>36323</v>
      </c>
      <c r="J12917" t="s">
        <v>36322</v>
      </c>
      <c r="K12917" t="s">
        <v>21600</v>
      </c>
      <c r="L12917" t="s">
        <v>3616</v>
      </c>
    </row>
    <row r="12918" spans="1:12">
      <c r="A12918" t="s">
        <v>30729</v>
      </c>
      <c r="B12918" t="s">
        <v>30730</v>
      </c>
      <c r="C12918" t="s">
        <v>36324</v>
      </c>
      <c r="D12918" t="s">
        <v>30732</v>
      </c>
      <c r="E12918" t="s">
        <v>36325</v>
      </c>
      <c r="F12918" t="s">
        <v>36326</v>
      </c>
      <c r="J12918" t="s">
        <v>36325</v>
      </c>
      <c r="K12918" t="s">
        <v>21600</v>
      </c>
      <c r="L12918" t="s">
        <v>3616</v>
      </c>
    </row>
    <row r="12919" spans="1:12">
      <c r="A12919" t="s">
        <v>30729</v>
      </c>
      <c r="B12919" t="s">
        <v>30730</v>
      </c>
      <c r="C12919" t="s">
        <v>36327</v>
      </c>
      <c r="D12919" t="s">
        <v>30732</v>
      </c>
      <c r="E12919" t="s">
        <v>36328</v>
      </c>
      <c r="F12919" t="s">
        <v>36329</v>
      </c>
      <c r="J12919" t="s">
        <v>36328</v>
      </c>
      <c r="K12919" t="s">
        <v>21600</v>
      </c>
      <c r="L12919" t="s">
        <v>3616</v>
      </c>
    </row>
    <row r="12920" spans="1:12">
      <c r="A12920" t="s">
        <v>30729</v>
      </c>
      <c r="B12920" t="s">
        <v>30730</v>
      </c>
      <c r="C12920" t="s">
        <v>36330</v>
      </c>
      <c r="D12920" t="s">
        <v>30732</v>
      </c>
      <c r="E12920" t="s">
        <v>4599</v>
      </c>
      <c r="F12920" t="s">
        <v>36331</v>
      </c>
    </row>
    <row r="12921" spans="1:12">
      <c r="A12921" t="s">
        <v>30729</v>
      </c>
      <c r="B12921" t="s">
        <v>30730</v>
      </c>
      <c r="C12921" t="s">
        <v>36332</v>
      </c>
      <c r="D12921" t="s">
        <v>30732</v>
      </c>
      <c r="E12921" t="s">
        <v>21383</v>
      </c>
      <c r="F12921" t="s">
        <v>36333</v>
      </c>
      <c r="J12921" t="s">
        <v>21383</v>
      </c>
      <c r="K12921" t="s">
        <v>21600</v>
      </c>
      <c r="L12921" t="s">
        <v>3616</v>
      </c>
    </row>
    <row r="12922" spans="1:12">
      <c r="A12922" t="s">
        <v>30729</v>
      </c>
      <c r="B12922" t="s">
        <v>30730</v>
      </c>
      <c r="C12922" t="s">
        <v>36334</v>
      </c>
      <c r="D12922" t="s">
        <v>30732</v>
      </c>
      <c r="E12922" t="s">
        <v>36335</v>
      </c>
      <c r="F12922" t="s">
        <v>36336</v>
      </c>
      <c r="J12922" t="s">
        <v>36335</v>
      </c>
      <c r="K12922" t="s">
        <v>21600</v>
      </c>
      <c r="L12922" t="s">
        <v>3616</v>
      </c>
    </row>
    <row r="12923" spans="1:12">
      <c r="A12923" t="s">
        <v>30729</v>
      </c>
      <c r="B12923" t="s">
        <v>30730</v>
      </c>
      <c r="C12923" t="s">
        <v>36337</v>
      </c>
      <c r="D12923" t="s">
        <v>30732</v>
      </c>
      <c r="E12923" t="s">
        <v>25453</v>
      </c>
      <c r="F12923" t="s">
        <v>36338</v>
      </c>
    </row>
    <row r="12924" spans="1:12">
      <c r="A12924" t="s">
        <v>30729</v>
      </c>
      <c r="B12924" t="s">
        <v>30730</v>
      </c>
      <c r="C12924" t="s">
        <v>36339</v>
      </c>
      <c r="D12924" t="s">
        <v>30732</v>
      </c>
      <c r="E12924" t="s">
        <v>36340</v>
      </c>
      <c r="F12924" t="s">
        <v>36341</v>
      </c>
      <c r="J12924" t="s">
        <v>36340</v>
      </c>
      <c r="K12924" t="s">
        <v>21600</v>
      </c>
      <c r="L12924" t="s">
        <v>3616</v>
      </c>
    </row>
    <row r="12925" spans="1:12">
      <c r="A12925" t="s">
        <v>30729</v>
      </c>
      <c r="B12925" t="s">
        <v>30730</v>
      </c>
      <c r="C12925" t="s">
        <v>36342</v>
      </c>
      <c r="D12925" t="s">
        <v>30732</v>
      </c>
      <c r="E12925" t="s">
        <v>36343</v>
      </c>
      <c r="F12925" t="s">
        <v>36344</v>
      </c>
      <c r="J12925" t="s">
        <v>36343</v>
      </c>
      <c r="K12925" t="s">
        <v>21600</v>
      </c>
      <c r="L12925" t="s">
        <v>3616</v>
      </c>
    </row>
    <row r="12926" spans="1:12">
      <c r="A12926" t="s">
        <v>30729</v>
      </c>
      <c r="B12926" t="s">
        <v>30730</v>
      </c>
      <c r="C12926" t="s">
        <v>36345</v>
      </c>
      <c r="D12926" t="s">
        <v>30732</v>
      </c>
      <c r="E12926" t="s">
        <v>36346</v>
      </c>
      <c r="F12926" t="s">
        <v>36347</v>
      </c>
      <c r="J12926" t="s">
        <v>36346</v>
      </c>
      <c r="K12926" t="s">
        <v>21600</v>
      </c>
      <c r="L12926" t="s">
        <v>3616</v>
      </c>
    </row>
    <row r="12927" spans="1:12">
      <c r="A12927" t="s">
        <v>30729</v>
      </c>
      <c r="B12927" t="s">
        <v>30730</v>
      </c>
      <c r="C12927" t="s">
        <v>36348</v>
      </c>
      <c r="D12927" t="s">
        <v>30732</v>
      </c>
      <c r="E12927" t="s">
        <v>21395</v>
      </c>
      <c r="F12927" t="s">
        <v>36349</v>
      </c>
      <c r="J12927" t="s">
        <v>21395</v>
      </c>
      <c r="K12927" t="s">
        <v>21600</v>
      </c>
      <c r="L12927" t="s">
        <v>3616</v>
      </c>
    </row>
    <row r="12928" spans="1:12">
      <c r="A12928" t="s">
        <v>30729</v>
      </c>
      <c r="B12928" t="s">
        <v>30730</v>
      </c>
      <c r="C12928" t="s">
        <v>36350</v>
      </c>
      <c r="D12928" t="s">
        <v>30732</v>
      </c>
      <c r="E12928" t="s">
        <v>36351</v>
      </c>
      <c r="F12928" t="s">
        <v>36352</v>
      </c>
    </row>
    <row r="12929" spans="1:12">
      <c r="A12929" t="s">
        <v>30729</v>
      </c>
      <c r="B12929" t="s">
        <v>30730</v>
      </c>
      <c r="C12929" t="s">
        <v>36353</v>
      </c>
      <c r="D12929" t="s">
        <v>30732</v>
      </c>
      <c r="E12929" t="s">
        <v>36354</v>
      </c>
      <c r="F12929" t="s">
        <v>36355</v>
      </c>
      <c r="J12929" t="s">
        <v>36354</v>
      </c>
      <c r="K12929" t="s">
        <v>21600</v>
      </c>
      <c r="L12929" t="s">
        <v>3616</v>
      </c>
    </row>
    <row r="12930" spans="1:12">
      <c r="A12930" t="s">
        <v>30729</v>
      </c>
      <c r="B12930" t="s">
        <v>30730</v>
      </c>
      <c r="C12930" t="s">
        <v>36356</v>
      </c>
      <c r="D12930" t="s">
        <v>30732</v>
      </c>
      <c r="E12930" t="s">
        <v>36357</v>
      </c>
      <c r="F12930" t="s">
        <v>36358</v>
      </c>
      <c r="J12930" t="s">
        <v>36357</v>
      </c>
      <c r="K12930" t="s">
        <v>21600</v>
      </c>
      <c r="L12930" t="s">
        <v>3616</v>
      </c>
    </row>
    <row r="12931" spans="1:12">
      <c r="A12931" t="s">
        <v>30729</v>
      </c>
      <c r="B12931" t="s">
        <v>30730</v>
      </c>
      <c r="C12931" t="s">
        <v>36359</v>
      </c>
      <c r="D12931" t="s">
        <v>30732</v>
      </c>
      <c r="E12931" t="s">
        <v>36360</v>
      </c>
      <c r="F12931" t="s">
        <v>31076</v>
      </c>
      <c r="J12931" t="s">
        <v>36360</v>
      </c>
      <c r="K12931" t="s">
        <v>21600</v>
      </c>
      <c r="L12931" t="s">
        <v>3616</v>
      </c>
    </row>
    <row r="12932" spans="1:12">
      <c r="A12932" t="s">
        <v>30729</v>
      </c>
      <c r="B12932" t="s">
        <v>30730</v>
      </c>
      <c r="C12932" t="s">
        <v>36361</v>
      </c>
      <c r="D12932" t="s">
        <v>30732</v>
      </c>
      <c r="E12932" t="s">
        <v>36362</v>
      </c>
      <c r="F12932" t="s">
        <v>36363</v>
      </c>
    </row>
    <row r="12933" spans="1:12">
      <c r="A12933" t="s">
        <v>30729</v>
      </c>
      <c r="B12933" t="s">
        <v>30730</v>
      </c>
      <c r="C12933" t="s">
        <v>36364</v>
      </c>
      <c r="D12933" t="s">
        <v>30732</v>
      </c>
      <c r="E12933" t="s">
        <v>21399</v>
      </c>
      <c r="F12933" t="s">
        <v>36365</v>
      </c>
      <c r="J12933" t="s">
        <v>21399</v>
      </c>
      <c r="K12933" t="s">
        <v>21600</v>
      </c>
      <c r="L12933" t="s">
        <v>3616</v>
      </c>
    </row>
    <row r="12934" spans="1:12">
      <c r="A12934" t="s">
        <v>30729</v>
      </c>
      <c r="B12934" t="s">
        <v>30730</v>
      </c>
      <c r="C12934" t="s">
        <v>36366</v>
      </c>
      <c r="D12934" t="s">
        <v>30732</v>
      </c>
      <c r="E12934" t="s">
        <v>36367</v>
      </c>
      <c r="F12934" t="s">
        <v>36368</v>
      </c>
    </row>
    <row r="12935" spans="1:12">
      <c r="A12935" t="s">
        <v>30729</v>
      </c>
      <c r="B12935" t="s">
        <v>30730</v>
      </c>
      <c r="C12935" t="s">
        <v>36369</v>
      </c>
      <c r="D12935" t="s">
        <v>30732</v>
      </c>
      <c r="E12935" t="s">
        <v>36370</v>
      </c>
      <c r="F12935" t="s">
        <v>36371</v>
      </c>
      <c r="J12935" t="s">
        <v>36370</v>
      </c>
      <c r="K12935" t="s">
        <v>21600</v>
      </c>
      <c r="L12935" t="s">
        <v>3616</v>
      </c>
    </row>
    <row r="12936" spans="1:12">
      <c r="A12936" t="s">
        <v>30729</v>
      </c>
      <c r="B12936" t="s">
        <v>30730</v>
      </c>
      <c r="C12936" t="s">
        <v>36372</v>
      </c>
      <c r="D12936" t="s">
        <v>30732</v>
      </c>
      <c r="E12936" t="s">
        <v>36373</v>
      </c>
      <c r="F12936" t="s">
        <v>36374</v>
      </c>
    </row>
    <row r="12937" spans="1:12">
      <c r="A12937" t="s">
        <v>30729</v>
      </c>
      <c r="B12937" t="s">
        <v>30730</v>
      </c>
      <c r="C12937" t="s">
        <v>36375</v>
      </c>
      <c r="D12937" t="s">
        <v>30732</v>
      </c>
      <c r="E12937" t="s">
        <v>21427</v>
      </c>
      <c r="F12937" t="s">
        <v>36376</v>
      </c>
      <c r="J12937" t="s">
        <v>21427</v>
      </c>
      <c r="K12937" t="s">
        <v>21600</v>
      </c>
      <c r="L12937" t="s">
        <v>3616</v>
      </c>
    </row>
    <row r="12938" spans="1:12">
      <c r="A12938" t="s">
        <v>30729</v>
      </c>
      <c r="B12938" t="s">
        <v>30730</v>
      </c>
      <c r="C12938" t="s">
        <v>36377</v>
      </c>
      <c r="D12938" t="s">
        <v>30732</v>
      </c>
      <c r="E12938" t="s">
        <v>36378</v>
      </c>
      <c r="F12938" t="s">
        <v>36379</v>
      </c>
      <c r="J12938" t="s">
        <v>36378</v>
      </c>
      <c r="K12938" t="s">
        <v>21600</v>
      </c>
      <c r="L12938" t="s">
        <v>3616</v>
      </c>
    </row>
    <row r="12939" spans="1:12">
      <c r="A12939" t="s">
        <v>30729</v>
      </c>
      <c r="B12939" t="s">
        <v>30730</v>
      </c>
      <c r="C12939" t="s">
        <v>36380</v>
      </c>
      <c r="D12939" t="s">
        <v>30732</v>
      </c>
      <c r="E12939" t="s">
        <v>36381</v>
      </c>
      <c r="F12939" t="s">
        <v>36382</v>
      </c>
      <c r="J12939" t="s">
        <v>36381</v>
      </c>
      <c r="K12939" t="s">
        <v>21600</v>
      </c>
      <c r="L12939" t="s">
        <v>3616</v>
      </c>
    </row>
    <row r="12940" spans="1:12">
      <c r="A12940" t="s">
        <v>30729</v>
      </c>
      <c r="B12940" t="s">
        <v>30730</v>
      </c>
      <c r="C12940" t="s">
        <v>36383</v>
      </c>
      <c r="D12940" t="s">
        <v>30732</v>
      </c>
      <c r="E12940" t="s">
        <v>13304</v>
      </c>
      <c r="F12940" t="s">
        <v>36384</v>
      </c>
    </row>
    <row r="12941" spans="1:12">
      <c r="A12941" t="s">
        <v>30729</v>
      </c>
      <c r="B12941" t="s">
        <v>30730</v>
      </c>
      <c r="C12941" t="s">
        <v>36385</v>
      </c>
      <c r="D12941" t="s">
        <v>30732</v>
      </c>
      <c r="E12941" t="s">
        <v>36386</v>
      </c>
      <c r="F12941" t="s">
        <v>36387</v>
      </c>
    </row>
    <row r="12942" spans="1:12">
      <c r="A12942" t="s">
        <v>30729</v>
      </c>
      <c r="B12942" t="s">
        <v>30730</v>
      </c>
      <c r="C12942" t="s">
        <v>36388</v>
      </c>
      <c r="D12942" t="s">
        <v>30732</v>
      </c>
      <c r="E12942" t="s">
        <v>36389</v>
      </c>
      <c r="F12942" t="s">
        <v>36390</v>
      </c>
      <c r="J12942" t="s">
        <v>36389</v>
      </c>
      <c r="K12942" t="s">
        <v>21600</v>
      </c>
      <c r="L12942" t="s">
        <v>3616</v>
      </c>
    </row>
    <row r="12943" spans="1:12">
      <c r="A12943" t="s">
        <v>30729</v>
      </c>
      <c r="B12943" t="s">
        <v>30730</v>
      </c>
      <c r="C12943" t="s">
        <v>36391</v>
      </c>
      <c r="D12943" t="s">
        <v>30732</v>
      </c>
      <c r="E12943" t="s">
        <v>36392</v>
      </c>
      <c r="F12943" t="s">
        <v>36393</v>
      </c>
      <c r="J12943" t="s">
        <v>36392</v>
      </c>
      <c r="K12943" t="s">
        <v>21600</v>
      </c>
      <c r="L12943" t="s">
        <v>3616</v>
      </c>
    </row>
    <row r="12944" spans="1:12">
      <c r="A12944" t="s">
        <v>30729</v>
      </c>
      <c r="B12944" t="s">
        <v>30730</v>
      </c>
      <c r="C12944" t="s">
        <v>36394</v>
      </c>
      <c r="D12944" t="s">
        <v>30732</v>
      </c>
      <c r="E12944" t="s">
        <v>36395</v>
      </c>
      <c r="F12944" t="s">
        <v>36396</v>
      </c>
      <c r="J12944" t="s">
        <v>36395</v>
      </c>
      <c r="K12944" t="s">
        <v>21600</v>
      </c>
      <c r="L12944" t="s">
        <v>3616</v>
      </c>
    </row>
    <row r="12945" spans="1:12">
      <c r="A12945" t="s">
        <v>30729</v>
      </c>
      <c r="B12945" t="s">
        <v>30730</v>
      </c>
      <c r="C12945" t="s">
        <v>36397</v>
      </c>
      <c r="D12945" t="s">
        <v>30732</v>
      </c>
      <c r="E12945" t="s">
        <v>36398</v>
      </c>
      <c r="F12945" t="s">
        <v>36399</v>
      </c>
      <c r="J12945" t="s">
        <v>36398</v>
      </c>
      <c r="K12945" t="s">
        <v>21600</v>
      </c>
      <c r="L12945" t="s">
        <v>3616</v>
      </c>
    </row>
    <row r="12946" spans="1:12">
      <c r="A12946" t="s">
        <v>30729</v>
      </c>
      <c r="B12946" t="s">
        <v>30730</v>
      </c>
      <c r="C12946" t="s">
        <v>36400</v>
      </c>
      <c r="D12946" t="s">
        <v>30732</v>
      </c>
      <c r="E12946" t="s">
        <v>36401</v>
      </c>
      <c r="F12946" t="s">
        <v>36402</v>
      </c>
      <c r="J12946" t="s">
        <v>36401</v>
      </c>
      <c r="K12946" t="s">
        <v>21600</v>
      </c>
      <c r="L12946" t="s">
        <v>3616</v>
      </c>
    </row>
    <row r="12947" spans="1:12">
      <c r="A12947" t="s">
        <v>30729</v>
      </c>
      <c r="B12947" t="s">
        <v>30730</v>
      </c>
      <c r="C12947" t="s">
        <v>36403</v>
      </c>
      <c r="D12947" t="s">
        <v>30732</v>
      </c>
      <c r="E12947" t="s">
        <v>36404</v>
      </c>
      <c r="F12947" t="s">
        <v>36405</v>
      </c>
      <c r="J12947" t="s">
        <v>36404</v>
      </c>
      <c r="K12947" t="s">
        <v>21600</v>
      </c>
      <c r="L12947" t="s">
        <v>3616</v>
      </c>
    </row>
    <row r="12948" spans="1:12">
      <c r="A12948" t="s">
        <v>30729</v>
      </c>
      <c r="B12948" t="s">
        <v>30730</v>
      </c>
      <c r="C12948" t="s">
        <v>36406</v>
      </c>
      <c r="D12948" t="s">
        <v>30732</v>
      </c>
      <c r="E12948" t="s">
        <v>36407</v>
      </c>
      <c r="F12948" t="s">
        <v>36408</v>
      </c>
      <c r="J12948" t="s">
        <v>36407</v>
      </c>
      <c r="K12948" t="s">
        <v>21600</v>
      </c>
      <c r="L12948" t="s">
        <v>3616</v>
      </c>
    </row>
    <row r="12949" spans="1:12">
      <c r="A12949" t="s">
        <v>30729</v>
      </c>
      <c r="B12949" t="s">
        <v>30730</v>
      </c>
      <c r="C12949" t="s">
        <v>36409</v>
      </c>
      <c r="D12949" t="s">
        <v>30732</v>
      </c>
      <c r="E12949" t="s">
        <v>36410</v>
      </c>
      <c r="F12949" t="s">
        <v>36411</v>
      </c>
      <c r="J12949" t="s">
        <v>36410</v>
      </c>
      <c r="K12949" t="s">
        <v>21600</v>
      </c>
      <c r="L12949" t="s">
        <v>3616</v>
      </c>
    </row>
    <row r="12950" spans="1:12">
      <c r="A12950" t="s">
        <v>30729</v>
      </c>
      <c r="B12950" t="s">
        <v>30730</v>
      </c>
      <c r="C12950" t="s">
        <v>36412</v>
      </c>
      <c r="D12950" t="s">
        <v>30732</v>
      </c>
      <c r="E12950" t="s">
        <v>36413</v>
      </c>
      <c r="F12950" t="s">
        <v>36414</v>
      </c>
      <c r="J12950" t="s">
        <v>36413</v>
      </c>
      <c r="K12950" t="s">
        <v>21600</v>
      </c>
      <c r="L12950" t="s">
        <v>3616</v>
      </c>
    </row>
    <row r="12951" spans="1:12">
      <c r="A12951" t="s">
        <v>30729</v>
      </c>
      <c r="B12951" t="s">
        <v>30730</v>
      </c>
      <c r="C12951" t="s">
        <v>36415</v>
      </c>
      <c r="D12951" t="s">
        <v>30732</v>
      </c>
      <c r="E12951" t="s">
        <v>36416</v>
      </c>
      <c r="F12951" t="s">
        <v>36417</v>
      </c>
      <c r="J12951" t="s">
        <v>36416</v>
      </c>
      <c r="K12951" t="s">
        <v>21600</v>
      </c>
      <c r="L12951" t="s">
        <v>3616</v>
      </c>
    </row>
    <row r="12952" spans="1:12">
      <c r="A12952" t="s">
        <v>30729</v>
      </c>
      <c r="B12952" t="s">
        <v>30730</v>
      </c>
      <c r="C12952" t="s">
        <v>36418</v>
      </c>
      <c r="D12952" t="s">
        <v>30732</v>
      </c>
      <c r="E12952" t="s">
        <v>36419</v>
      </c>
      <c r="F12952" t="s">
        <v>36420</v>
      </c>
      <c r="J12952" t="s">
        <v>36419</v>
      </c>
      <c r="K12952" t="s">
        <v>21600</v>
      </c>
      <c r="L12952" t="s">
        <v>3616</v>
      </c>
    </row>
    <row r="12953" spans="1:12">
      <c r="A12953" t="s">
        <v>30729</v>
      </c>
      <c r="B12953" t="s">
        <v>30730</v>
      </c>
      <c r="C12953" t="s">
        <v>36421</v>
      </c>
      <c r="D12953" t="s">
        <v>30732</v>
      </c>
      <c r="E12953" t="s">
        <v>11508</v>
      </c>
      <c r="F12953" t="s">
        <v>36422</v>
      </c>
      <c r="J12953" t="s">
        <v>11508</v>
      </c>
      <c r="K12953" t="s">
        <v>21600</v>
      </c>
      <c r="L12953" t="s">
        <v>3616</v>
      </c>
    </row>
    <row r="12954" spans="1:12">
      <c r="A12954" t="s">
        <v>30729</v>
      </c>
      <c r="B12954" t="s">
        <v>30730</v>
      </c>
      <c r="C12954" t="s">
        <v>36423</v>
      </c>
      <c r="D12954" t="s">
        <v>30732</v>
      </c>
      <c r="E12954" t="s">
        <v>21525</v>
      </c>
      <c r="F12954" t="s">
        <v>36424</v>
      </c>
      <c r="J12954" t="s">
        <v>21525</v>
      </c>
      <c r="K12954" t="s">
        <v>21600</v>
      </c>
      <c r="L12954" t="s">
        <v>3616</v>
      </c>
    </row>
    <row r="12955" spans="1:12">
      <c r="A12955" t="s">
        <v>30729</v>
      </c>
      <c r="B12955" t="s">
        <v>30730</v>
      </c>
      <c r="C12955" t="s">
        <v>36425</v>
      </c>
      <c r="D12955" t="s">
        <v>30732</v>
      </c>
      <c r="E12955" t="s">
        <v>21529</v>
      </c>
      <c r="F12955" t="s">
        <v>36426</v>
      </c>
      <c r="J12955" t="s">
        <v>21529</v>
      </c>
      <c r="K12955" t="s">
        <v>21600</v>
      </c>
      <c r="L12955" t="s">
        <v>3616</v>
      </c>
    </row>
    <row r="12956" spans="1:12">
      <c r="A12956" t="s">
        <v>30729</v>
      </c>
      <c r="B12956" t="s">
        <v>30730</v>
      </c>
      <c r="C12956" t="s">
        <v>36427</v>
      </c>
      <c r="D12956" t="s">
        <v>30732</v>
      </c>
      <c r="E12956" t="s">
        <v>10069</v>
      </c>
      <c r="F12956" t="s">
        <v>36428</v>
      </c>
      <c r="J12956" t="s">
        <v>10069</v>
      </c>
      <c r="K12956" t="s">
        <v>21600</v>
      </c>
      <c r="L12956" t="s">
        <v>3616</v>
      </c>
    </row>
    <row r="12957" spans="1:12">
      <c r="A12957" t="s">
        <v>30729</v>
      </c>
      <c r="B12957" t="s">
        <v>30730</v>
      </c>
      <c r="C12957" t="s">
        <v>36429</v>
      </c>
      <c r="D12957" t="s">
        <v>30732</v>
      </c>
      <c r="E12957" t="s">
        <v>15352</v>
      </c>
      <c r="F12957" t="s">
        <v>36430</v>
      </c>
      <c r="J12957" t="s">
        <v>15352</v>
      </c>
      <c r="K12957" t="s">
        <v>21600</v>
      </c>
      <c r="L12957" t="s">
        <v>3616</v>
      </c>
    </row>
    <row r="12958" spans="1:12">
      <c r="A12958" t="s">
        <v>30729</v>
      </c>
      <c r="B12958" t="s">
        <v>30730</v>
      </c>
      <c r="C12958" t="s">
        <v>36431</v>
      </c>
      <c r="D12958" t="s">
        <v>30732</v>
      </c>
      <c r="E12958" t="s">
        <v>36432</v>
      </c>
      <c r="F12958" t="s">
        <v>36433</v>
      </c>
      <c r="J12958" t="s">
        <v>36432</v>
      </c>
      <c r="K12958" t="s">
        <v>21600</v>
      </c>
      <c r="L12958" t="s">
        <v>3616</v>
      </c>
    </row>
    <row r="12959" spans="1:12">
      <c r="A12959" t="s">
        <v>30729</v>
      </c>
      <c r="B12959" t="s">
        <v>30730</v>
      </c>
      <c r="C12959" t="s">
        <v>36434</v>
      </c>
      <c r="D12959" t="s">
        <v>30732</v>
      </c>
      <c r="E12959" t="s">
        <v>36435</v>
      </c>
      <c r="F12959" t="s">
        <v>36436</v>
      </c>
      <c r="J12959" t="s">
        <v>36435</v>
      </c>
      <c r="K12959" t="s">
        <v>21600</v>
      </c>
      <c r="L12959" t="s">
        <v>3616</v>
      </c>
    </row>
    <row r="12960" spans="1:12">
      <c r="A12960" t="s">
        <v>30729</v>
      </c>
      <c r="B12960" t="s">
        <v>30730</v>
      </c>
      <c r="C12960" t="s">
        <v>36437</v>
      </c>
      <c r="D12960" t="s">
        <v>30732</v>
      </c>
      <c r="E12960" t="s">
        <v>21556</v>
      </c>
      <c r="F12960" t="s">
        <v>36438</v>
      </c>
      <c r="J12960" t="s">
        <v>21556</v>
      </c>
      <c r="K12960" t="s">
        <v>21600</v>
      </c>
      <c r="L12960" t="s">
        <v>3616</v>
      </c>
    </row>
    <row r="12961" spans="1:12">
      <c r="A12961" t="s">
        <v>30729</v>
      </c>
      <c r="B12961" t="s">
        <v>30730</v>
      </c>
      <c r="C12961" t="s">
        <v>36439</v>
      </c>
      <c r="D12961" t="s">
        <v>30732</v>
      </c>
      <c r="E12961" t="s">
        <v>36440</v>
      </c>
      <c r="F12961" t="s">
        <v>36441</v>
      </c>
      <c r="J12961" t="s">
        <v>36440</v>
      </c>
      <c r="K12961" t="s">
        <v>21600</v>
      </c>
      <c r="L12961" t="s">
        <v>3616</v>
      </c>
    </row>
    <row r="12962" spans="1:12">
      <c r="A12962" t="s">
        <v>30729</v>
      </c>
      <c r="B12962" t="s">
        <v>30730</v>
      </c>
      <c r="C12962" t="s">
        <v>36442</v>
      </c>
      <c r="D12962" t="s">
        <v>30732</v>
      </c>
      <c r="E12962" t="s">
        <v>36443</v>
      </c>
      <c r="F12962" t="s">
        <v>36444</v>
      </c>
      <c r="J12962" t="s">
        <v>36443</v>
      </c>
      <c r="K12962" t="s">
        <v>21600</v>
      </c>
      <c r="L12962" t="s">
        <v>3616</v>
      </c>
    </row>
    <row r="12963" spans="1:12">
      <c r="A12963" t="s">
        <v>30729</v>
      </c>
      <c r="B12963" t="s">
        <v>30730</v>
      </c>
      <c r="C12963" t="s">
        <v>36445</v>
      </c>
      <c r="D12963" t="s">
        <v>30732</v>
      </c>
      <c r="E12963" t="s">
        <v>29409</v>
      </c>
      <c r="F12963" t="s">
        <v>36446</v>
      </c>
      <c r="J12963" t="s">
        <v>29409</v>
      </c>
      <c r="K12963" t="s">
        <v>21600</v>
      </c>
      <c r="L12963" t="s">
        <v>3616</v>
      </c>
    </row>
    <row r="12964" spans="1:12">
      <c r="A12964" t="s">
        <v>30729</v>
      </c>
      <c r="B12964" t="s">
        <v>30730</v>
      </c>
      <c r="C12964" t="s">
        <v>36447</v>
      </c>
      <c r="D12964" t="s">
        <v>30732</v>
      </c>
      <c r="E12964" t="s">
        <v>36448</v>
      </c>
      <c r="F12964" t="s">
        <v>36449</v>
      </c>
      <c r="J12964" t="s">
        <v>36448</v>
      </c>
      <c r="K12964" t="s">
        <v>21600</v>
      </c>
      <c r="L12964" t="s">
        <v>3616</v>
      </c>
    </row>
    <row r="12965" spans="1:12">
      <c r="A12965" t="s">
        <v>30729</v>
      </c>
      <c r="B12965" t="s">
        <v>30730</v>
      </c>
      <c r="C12965" t="s">
        <v>36450</v>
      </c>
      <c r="D12965" t="s">
        <v>30732</v>
      </c>
      <c r="E12965" t="s">
        <v>1356</v>
      </c>
      <c r="F12965" t="s">
        <v>36451</v>
      </c>
    </row>
    <row r="12966" spans="1:12">
      <c r="A12966" t="s">
        <v>30729</v>
      </c>
      <c r="B12966" t="s">
        <v>30730</v>
      </c>
      <c r="C12966" t="s">
        <v>36452</v>
      </c>
      <c r="D12966" t="s">
        <v>30732</v>
      </c>
      <c r="E12966" t="s">
        <v>21625</v>
      </c>
      <c r="F12966" t="s">
        <v>36453</v>
      </c>
      <c r="J12966" t="s">
        <v>21625</v>
      </c>
      <c r="K12966" t="s">
        <v>21600</v>
      </c>
      <c r="L12966" t="s">
        <v>3616</v>
      </c>
    </row>
    <row r="12967" spans="1:12">
      <c r="A12967" t="s">
        <v>30729</v>
      </c>
      <c r="B12967" t="s">
        <v>30730</v>
      </c>
      <c r="C12967" t="s">
        <v>36454</v>
      </c>
      <c r="D12967" t="s">
        <v>30732</v>
      </c>
      <c r="E12967" t="s">
        <v>3064</v>
      </c>
      <c r="F12967" t="s">
        <v>36455</v>
      </c>
    </row>
    <row r="12968" spans="1:12">
      <c r="A12968" t="s">
        <v>30729</v>
      </c>
      <c r="B12968" t="s">
        <v>30730</v>
      </c>
      <c r="C12968" t="s">
        <v>36456</v>
      </c>
      <c r="D12968" t="s">
        <v>30732</v>
      </c>
      <c r="E12968" t="s">
        <v>21636</v>
      </c>
      <c r="F12968" t="s">
        <v>36457</v>
      </c>
      <c r="J12968" t="s">
        <v>21636</v>
      </c>
      <c r="K12968" t="s">
        <v>21600</v>
      </c>
      <c r="L12968" t="s">
        <v>3616</v>
      </c>
    </row>
    <row r="12969" spans="1:12">
      <c r="A12969" t="s">
        <v>30729</v>
      </c>
      <c r="B12969" t="s">
        <v>30730</v>
      </c>
      <c r="C12969" t="s">
        <v>36458</v>
      </c>
      <c r="D12969" t="s">
        <v>30732</v>
      </c>
      <c r="E12969" t="s">
        <v>36459</v>
      </c>
      <c r="F12969" t="s">
        <v>36460</v>
      </c>
      <c r="J12969" t="s">
        <v>36459</v>
      </c>
      <c r="K12969" t="s">
        <v>21600</v>
      </c>
      <c r="L12969" t="s">
        <v>3616</v>
      </c>
    </row>
    <row r="12970" spans="1:12">
      <c r="A12970" t="s">
        <v>30729</v>
      </c>
      <c r="B12970" t="s">
        <v>30730</v>
      </c>
      <c r="C12970" t="s">
        <v>36461</v>
      </c>
      <c r="D12970" t="s">
        <v>30732</v>
      </c>
      <c r="E12970" t="s">
        <v>36462</v>
      </c>
      <c r="F12970" t="s">
        <v>36463</v>
      </c>
      <c r="J12970" t="s">
        <v>36462</v>
      </c>
      <c r="K12970" t="s">
        <v>21600</v>
      </c>
      <c r="L12970" t="s">
        <v>3616</v>
      </c>
    </row>
    <row r="12971" spans="1:12">
      <c r="A12971" t="s">
        <v>30729</v>
      </c>
      <c r="B12971" t="s">
        <v>30730</v>
      </c>
      <c r="C12971" t="s">
        <v>36464</v>
      </c>
      <c r="D12971" t="s">
        <v>30732</v>
      </c>
      <c r="E12971" t="s">
        <v>21651</v>
      </c>
      <c r="F12971" t="s">
        <v>36465</v>
      </c>
      <c r="J12971" t="s">
        <v>21651</v>
      </c>
      <c r="K12971" t="s">
        <v>21600</v>
      </c>
      <c r="L12971" t="s">
        <v>3616</v>
      </c>
    </row>
    <row r="12972" spans="1:12">
      <c r="A12972" t="s">
        <v>30729</v>
      </c>
      <c r="B12972" t="s">
        <v>30730</v>
      </c>
      <c r="C12972" t="s">
        <v>36466</v>
      </c>
      <c r="D12972" t="s">
        <v>30732</v>
      </c>
      <c r="E12972" t="s">
        <v>36467</v>
      </c>
      <c r="F12972" t="s">
        <v>36468</v>
      </c>
    </row>
    <row r="12973" spans="1:12">
      <c r="A12973" t="s">
        <v>30729</v>
      </c>
      <c r="B12973" t="s">
        <v>30730</v>
      </c>
      <c r="C12973" t="s">
        <v>36469</v>
      </c>
      <c r="D12973" t="s">
        <v>30732</v>
      </c>
      <c r="E12973" t="s">
        <v>36470</v>
      </c>
      <c r="F12973" t="s">
        <v>36471</v>
      </c>
    </row>
    <row r="12974" spans="1:12">
      <c r="A12974" t="s">
        <v>30729</v>
      </c>
      <c r="B12974" t="s">
        <v>30730</v>
      </c>
      <c r="C12974" t="s">
        <v>36472</v>
      </c>
      <c r="D12974" t="s">
        <v>30732</v>
      </c>
      <c r="E12974" t="s">
        <v>36473</v>
      </c>
      <c r="F12974" t="s">
        <v>36474</v>
      </c>
    </row>
    <row r="12975" spans="1:12">
      <c r="A12975" t="s">
        <v>30729</v>
      </c>
      <c r="B12975" t="s">
        <v>30730</v>
      </c>
      <c r="C12975" t="s">
        <v>36475</v>
      </c>
      <c r="D12975" t="s">
        <v>30732</v>
      </c>
      <c r="E12975" t="s">
        <v>36476</v>
      </c>
      <c r="F12975" t="s">
        <v>36477</v>
      </c>
    </row>
    <row r="12976" spans="1:12">
      <c r="A12976" t="s">
        <v>30729</v>
      </c>
      <c r="B12976" t="s">
        <v>30730</v>
      </c>
      <c r="C12976" t="s">
        <v>36478</v>
      </c>
      <c r="D12976" t="s">
        <v>30732</v>
      </c>
      <c r="E12976" t="s">
        <v>36479</v>
      </c>
      <c r="F12976" t="s">
        <v>36480</v>
      </c>
    </row>
    <row r="12977" spans="1:12">
      <c r="A12977" t="s">
        <v>30729</v>
      </c>
      <c r="B12977" t="s">
        <v>30730</v>
      </c>
      <c r="C12977" t="s">
        <v>36481</v>
      </c>
      <c r="D12977" t="s">
        <v>30732</v>
      </c>
      <c r="E12977" t="s">
        <v>36482</v>
      </c>
      <c r="F12977" t="s">
        <v>36483</v>
      </c>
    </row>
    <row r="12978" spans="1:12">
      <c r="A12978" t="s">
        <v>30729</v>
      </c>
      <c r="B12978" t="s">
        <v>30730</v>
      </c>
      <c r="C12978" t="s">
        <v>36484</v>
      </c>
      <c r="D12978" t="s">
        <v>30732</v>
      </c>
      <c r="E12978" t="s">
        <v>25458</v>
      </c>
      <c r="F12978" t="s">
        <v>36485</v>
      </c>
      <c r="J12978" t="s">
        <v>25458</v>
      </c>
      <c r="K12978" t="s">
        <v>21600</v>
      </c>
      <c r="L12978" t="s">
        <v>3616</v>
      </c>
    </row>
    <row r="12979" spans="1:12">
      <c r="A12979" t="s">
        <v>30729</v>
      </c>
      <c r="B12979" t="s">
        <v>30730</v>
      </c>
      <c r="C12979" t="s">
        <v>36486</v>
      </c>
      <c r="D12979" t="s">
        <v>30732</v>
      </c>
      <c r="E12979" t="s">
        <v>29424</v>
      </c>
      <c r="F12979" t="s">
        <v>36487</v>
      </c>
    </row>
    <row r="12980" spans="1:12">
      <c r="A12980" t="s">
        <v>30729</v>
      </c>
      <c r="B12980" t="s">
        <v>30730</v>
      </c>
      <c r="C12980" t="s">
        <v>36488</v>
      </c>
      <c r="D12980" t="s">
        <v>30732</v>
      </c>
      <c r="E12980" t="s">
        <v>5332</v>
      </c>
      <c r="F12980" t="s">
        <v>36489</v>
      </c>
    </row>
    <row r="12981" spans="1:12">
      <c r="A12981" t="s">
        <v>30729</v>
      </c>
      <c r="B12981" t="s">
        <v>30730</v>
      </c>
      <c r="C12981" t="s">
        <v>36490</v>
      </c>
      <c r="D12981" t="s">
        <v>30732</v>
      </c>
      <c r="E12981" t="s">
        <v>36491</v>
      </c>
      <c r="F12981" t="s">
        <v>36492</v>
      </c>
    </row>
    <row r="12982" spans="1:12">
      <c r="A12982" t="s">
        <v>30729</v>
      </c>
      <c r="B12982" t="s">
        <v>30730</v>
      </c>
      <c r="C12982" t="s">
        <v>36493</v>
      </c>
      <c r="D12982" t="s">
        <v>30732</v>
      </c>
      <c r="E12982" t="s">
        <v>36494</v>
      </c>
      <c r="F12982" t="s">
        <v>36495</v>
      </c>
    </row>
    <row r="12983" spans="1:12">
      <c r="A12983" t="s">
        <v>30729</v>
      </c>
      <c r="B12983" t="s">
        <v>30730</v>
      </c>
      <c r="C12983" t="s">
        <v>36496</v>
      </c>
      <c r="D12983" t="s">
        <v>30732</v>
      </c>
      <c r="E12983" t="s">
        <v>36497</v>
      </c>
      <c r="F12983" t="s">
        <v>36498</v>
      </c>
      <c r="J12983" t="s">
        <v>36497</v>
      </c>
      <c r="K12983" t="s">
        <v>21600</v>
      </c>
      <c r="L12983" t="s">
        <v>3616</v>
      </c>
    </row>
    <row r="12984" spans="1:12">
      <c r="A12984" t="s">
        <v>30729</v>
      </c>
      <c r="B12984" t="s">
        <v>30730</v>
      </c>
      <c r="C12984" t="s">
        <v>36499</v>
      </c>
      <c r="D12984" t="s">
        <v>30732</v>
      </c>
      <c r="E12984" t="s">
        <v>36500</v>
      </c>
      <c r="F12984" t="s">
        <v>36501</v>
      </c>
      <c r="J12984" t="s">
        <v>36500</v>
      </c>
      <c r="K12984" t="s">
        <v>21600</v>
      </c>
      <c r="L12984" t="s">
        <v>3616</v>
      </c>
    </row>
    <row r="12985" spans="1:12">
      <c r="A12985" t="s">
        <v>30729</v>
      </c>
      <c r="B12985" t="s">
        <v>30730</v>
      </c>
      <c r="C12985" t="s">
        <v>36502</v>
      </c>
      <c r="D12985" t="s">
        <v>30732</v>
      </c>
      <c r="E12985" t="s">
        <v>36503</v>
      </c>
      <c r="F12985" t="s">
        <v>36504</v>
      </c>
    </row>
    <row r="12986" spans="1:12">
      <c r="A12986" t="s">
        <v>30729</v>
      </c>
      <c r="B12986" t="s">
        <v>30730</v>
      </c>
      <c r="C12986" t="s">
        <v>36505</v>
      </c>
      <c r="D12986" t="s">
        <v>30732</v>
      </c>
      <c r="E12986" t="s">
        <v>36506</v>
      </c>
      <c r="F12986" t="s">
        <v>36507</v>
      </c>
      <c r="J12986" t="s">
        <v>36506</v>
      </c>
      <c r="K12986" t="s">
        <v>21600</v>
      </c>
      <c r="L12986" t="s">
        <v>3616</v>
      </c>
    </row>
    <row r="12987" spans="1:12">
      <c r="A12987" t="s">
        <v>30729</v>
      </c>
      <c r="B12987" t="s">
        <v>30730</v>
      </c>
      <c r="C12987" t="s">
        <v>36508</v>
      </c>
      <c r="D12987" t="s">
        <v>30732</v>
      </c>
      <c r="E12987" t="s">
        <v>36509</v>
      </c>
      <c r="F12987" t="s">
        <v>36510</v>
      </c>
      <c r="J12987" t="s">
        <v>36509</v>
      </c>
      <c r="K12987" t="s">
        <v>21600</v>
      </c>
      <c r="L12987" t="s">
        <v>3616</v>
      </c>
    </row>
    <row r="12988" spans="1:12">
      <c r="A12988" t="s">
        <v>30729</v>
      </c>
      <c r="B12988" t="s">
        <v>30730</v>
      </c>
      <c r="C12988" t="s">
        <v>36511</v>
      </c>
      <c r="D12988" t="s">
        <v>30732</v>
      </c>
      <c r="E12988" t="s">
        <v>36512</v>
      </c>
      <c r="F12988" t="s">
        <v>36513</v>
      </c>
      <c r="J12988" t="s">
        <v>36512</v>
      </c>
      <c r="K12988" t="s">
        <v>21600</v>
      </c>
      <c r="L12988" t="s">
        <v>3616</v>
      </c>
    </row>
    <row r="12989" spans="1:12">
      <c r="A12989" t="s">
        <v>30729</v>
      </c>
      <c r="B12989" t="s">
        <v>30730</v>
      </c>
      <c r="C12989" t="s">
        <v>36514</v>
      </c>
      <c r="D12989" t="s">
        <v>30732</v>
      </c>
      <c r="E12989" t="s">
        <v>10079</v>
      </c>
      <c r="F12989" t="s">
        <v>36515</v>
      </c>
      <c r="J12989" t="s">
        <v>10079</v>
      </c>
      <c r="K12989" t="s">
        <v>21600</v>
      </c>
      <c r="L12989" t="s">
        <v>3616</v>
      </c>
    </row>
    <row r="12990" spans="1:12">
      <c r="A12990" t="s">
        <v>30729</v>
      </c>
      <c r="B12990" t="s">
        <v>30730</v>
      </c>
      <c r="C12990" t="s">
        <v>36516</v>
      </c>
      <c r="D12990" t="s">
        <v>30732</v>
      </c>
      <c r="E12990" t="s">
        <v>10082</v>
      </c>
      <c r="F12990" t="s">
        <v>36517</v>
      </c>
    </row>
    <row r="12991" spans="1:12">
      <c r="A12991" t="s">
        <v>30729</v>
      </c>
      <c r="B12991" t="s">
        <v>30730</v>
      </c>
      <c r="C12991" t="s">
        <v>36518</v>
      </c>
      <c r="D12991" t="s">
        <v>30732</v>
      </c>
      <c r="E12991" t="s">
        <v>36519</v>
      </c>
      <c r="F12991" t="s">
        <v>36520</v>
      </c>
      <c r="J12991" t="s">
        <v>36519</v>
      </c>
      <c r="K12991" t="s">
        <v>21600</v>
      </c>
      <c r="L12991" t="s">
        <v>3616</v>
      </c>
    </row>
    <row r="12992" spans="1:12">
      <c r="A12992" t="s">
        <v>30729</v>
      </c>
      <c r="B12992" t="s">
        <v>30730</v>
      </c>
      <c r="C12992" t="s">
        <v>36521</v>
      </c>
      <c r="D12992" t="s">
        <v>30732</v>
      </c>
      <c r="E12992" t="s">
        <v>36522</v>
      </c>
      <c r="F12992" t="s">
        <v>36523</v>
      </c>
      <c r="J12992" t="s">
        <v>36522</v>
      </c>
      <c r="K12992" t="s">
        <v>21600</v>
      </c>
      <c r="L12992" t="s">
        <v>3616</v>
      </c>
    </row>
    <row r="12993" spans="1:12">
      <c r="A12993" t="s">
        <v>30729</v>
      </c>
      <c r="B12993" t="s">
        <v>30730</v>
      </c>
      <c r="C12993" t="s">
        <v>36524</v>
      </c>
      <c r="D12993" t="s">
        <v>30732</v>
      </c>
      <c r="E12993" t="s">
        <v>36525</v>
      </c>
      <c r="F12993" t="s">
        <v>36526</v>
      </c>
      <c r="J12993" t="s">
        <v>36525</v>
      </c>
      <c r="K12993" t="s">
        <v>21600</v>
      </c>
      <c r="L12993" t="s">
        <v>3616</v>
      </c>
    </row>
    <row r="12994" spans="1:12">
      <c r="A12994" t="s">
        <v>30729</v>
      </c>
      <c r="B12994" t="s">
        <v>30730</v>
      </c>
      <c r="C12994" t="s">
        <v>36527</v>
      </c>
      <c r="D12994" t="s">
        <v>30732</v>
      </c>
      <c r="E12994" t="s">
        <v>10090</v>
      </c>
      <c r="F12994" t="s">
        <v>36528</v>
      </c>
      <c r="J12994" t="s">
        <v>10090</v>
      </c>
      <c r="K12994" t="s">
        <v>21600</v>
      </c>
      <c r="L12994" t="s">
        <v>3616</v>
      </c>
    </row>
    <row r="12995" spans="1:12">
      <c r="A12995" t="s">
        <v>30729</v>
      </c>
      <c r="B12995" t="s">
        <v>30730</v>
      </c>
      <c r="C12995" t="s">
        <v>36529</v>
      </c>
      <c r="D12995" t="s">
        <v>30732</v>
      </c>
      <c r="E12995" t="s">
        <v>36530</v>
      </c>
      <c r="F12995" t="s">
        <v>36531</v>
      </c>
      <c r="J12995" t="s">
        <v>36530</v>
      </c>
      <c r="K12995" t="s">
        <v>21600</v>
      </c>
      <c r="L12995" t="s">
        <v>3616</v>
      </c>
    </row>
    <row r="12996" spans="1:12">
      <c r="A12996" t="s">
        <v>30729</v>
      </c>
      <c r="B12996" t="s">
        <v>30730</v>
      </c>
      <c r="C12996" t="s">
        <v>36532</v>
      </c>
      <c r="D12996" t="s">
        <v>30732</v>
      </c>
      <c r="E12996" t="s">
        <v>36533</v>
      </c>
      <c r="F12996" t="s">
        <v>36534</v>
      </c>
      <c r="J12996" t="s">
        <v>36533</v>
      </c>
      <c r="K12996" t="s">
        <v>21600</v>
      </c>
      <c r="L12996" t="s">
        <v>3616</v>
      </c>
    </row>
    <row r="12997" spans="1:12">
      <c r="A12997" t="s">
        <v>30729</v>
      </c>
      <c r="B12997" t="s">
        <v>30730</v>
      </c>
      <c r="C12997" t="s">
        <v>36535</v>
      </c>
      <c r="D12997" t="s">
        <v>30732</v>
      </c>
      <c r="E12997" t="s">
        <v>11535</v>
      </c>
      <c r="F12997" t="s">
        <v>36536</v>
      </c>
      <c r="J12997" t="s">
        <v>11535</v>
      </c>
      <c r="K12997" t="s">
        <v>21600</v>
      </c>
      <c r="L12997" t="s">
        <v>3616</v>
      </c>
    </row>
    <row r="12998" spans="1:12">
      <c r="A12998" t="s">
        <v>30729</v>
      </c>
      <c r="B12998" t="s">
        <v>30730</v>
      </c>
      <c r="C12998" t="s">
        <v>36537</v>
      </c>
      <c r="D12998" t="s">
        <v>30732</v>
      </c>
      <c r="E12998" t="s">
        <v>36538</v>
      </c>
      <c r="F12998" t="s">
        <v>36539</v>
      </c>
      <c r="J12998" t="s">
        <v>36538</v>
      </c>
      <c r="K12998" t="s">
        <v>21600</v>
      </c>
      <c r="L12998" t="s">
        <v>3616</v>
      </c>
    </row>
    <row r="12999" spans="1:12">
      <c r="A12999" t="s">
        <v>30729</v>
      </c>
      <c r="B12999" t="s">
        <v>30730</v>
      </c>
      <c r="C12999" t="s">
        <v>36540</v>
      </c>
      <c r="D12999" t="s">
        <v>30732</v>
      </c>
      <c r="E12999" t="s">
        <v>36541</v>
      </c>
      <c r="F12999" t="s">
        <v>36542</v>
      </c>
      <c r="J12999" t="s">
        <v>36541</v>
      </c>
      <c r="K12999" t="s">
        <v>21600</v>
      </c>
      <c r="L12999" t="s">
        <v>3616</v>
      </c>
    </row>
    <row r="13000" spans="1:12">
      <c r="A13000" t="s">
        <v>30729</v>
      </c>
      <c r="B13000" t="s">
        <v>30730</v>
      </c>
      <c r="C13000" t="s">
        <v>36543</v>
      </c>
      <c r="D13000" t="s">
        <v>30732</v>
      </c>
      <c r="E13000" t="s">
        <v>36544</v>
      </c>
      <c r="F13000" t="s">
        <v>36545</v>
      </c>
    </row>
    <row r="13001" spans="1:12">
      <c r="A13001" t="s">
        <v>30729</v>
      </c>
      <c r="B13001" t="s">
        <v>30730</v>
      </c>
      <c r="C13001" t="s">
        <v>36546</v>
      </c>
      <c r="D13001" t="s">
        <v>30732</v>
      </c>
      <c r="E13001" t="s">
        <v>25074</v>
      </c>
      <c r="F13001" t="s">
        <v>36547</v>
      </c>
      <c r="J13001" t="s">
        <v>25074</v>
      </c>
      <c r="K13001" t="s">
        <v>21600</v>
      </c>
      <c r="L13001" t="s">
        <v>3616</v>
      </c>
    </row>
    <row r="13002" spans="1:12">
      <c r="A13002" t="s">
        <v>30729</v>
      </c>
      <c r="B13002" t="s">
        <v>30730</v>
      </c>
      <c r="C13002" t="s">
        <v>36548</v>
      </c>
      <c r="D13002" t="s">
        <v>30732</v>
      </c>
      <c r="E13002" t="s">
        <v>36549</v>
      </c>
      <c r="F13002" t="s">
        <v>36550</v>
      </c>
      <c r="J13002" t="s">
        <v>36549</v>
      </c>
      <c r="K13002" t="s">
        <v>21600</v>
      </c>
      <c r="L13002" t="s">
        <v>3616</v>
      </c>
    </row>
    <row r="13003" spans="1:12">
      <c r="A13003" t="s">
        <v>30729</v>
      </c>
      <c r="B13003" t="s">
        <v>30730</v>
      </c>
      <c r="C13003" t="s">
        <v>36551</v>
      </c>
      <c r="D13003" t="s">
        <v>30732</v>
      </c>
      <c r="E13003" t="s">
        <v>36552</v>
      </c>
      <c r="F13003" t="s">
        <v>36553</v>
      </c>
      <c r="J13003" t="s">
        <v>36552</v>
      </c>
      <c r="K13003" t="s">
        <v>21600</v>
      </c>
      <c r="L13003" t="s">
        <v>3616</v>
      </c>
    </row>
    <row r="13004" spans="1:12">
      <c r="A13004" t="s">
        <v>30729</v>
      </c>
      <c r="B13004" t="s">
        <v>30730</v>
      </c>
      <c r="C13004" t="s">
        <v>36554</v>
      </c>
      <c r="D13004" t="s">
        <v>30732</v>
      </c>
      <c r="E13004" t="s">
        <v>36555</v>
      </c>
      <c r="F13004" t="s">
        <v>36556</v>
      </c>
      <c r="J13004" t="s">
        <v>36555</v>
      </c>
      <c r="K13004" t="s">
        <v>21600</v>
      </c>
      <c r="L13004" t="s">
        <v>3616</v>
      </c>
    </row>
    <row r="13005" spans="1:12">
      <c r="A13005" t="s">
        <v>30729</v>
      </c>
      <c r="B13005" t="s">
        <v>30730</v>
      </c>
      <c r="C13005" t="s">
        <v>36557</v>
      </c>
      <c r="D13005" t="s">
        <v>30732</v>
      </c>
      <c r="E13005" t="s">
        <v>36558</v>
      </c>
      <c r="F13005" t="s">
        <v>36559</v>
      </c>
      <c r="J13005" t="s">
        <v>36558</v>
      </c>
      <c r="K13005" t="s">
        <v>21600</v>
      </c>
      <c r="L13005" t="s">
        <v>3616</v>
      </c>
    </row>
    <row r="13006" spans="1:12">
      <c r="A13006" t="s">
        <v>30729</v>
      </c>
      <c r="B13006" t="s">
        <v>30730</v>
      </c>
      <c r="C13006" t="s">
        <v>36560</v>
      </c>
      <c r="D13006" t="s">
        <v>30732</v>
      </c>
      <c r="E13006" t="s">
        <v>36561</v>
      </c>
      <c r="F13006" t="s">
        <v>36562</v>
      </c>
      <c r="J13006" t="s">
        <v>36561</v>
      </c>
      <c r="K13006" t="s">
        <v>21600</v>
      </c>
      <c r="L13006" t="s">
        <v>3616</v>
      </c>
    </row>
    <row r="13007" spans="1:12">
      <c r="A13007" t="s">
        <v>30729</v>
      </c>
      <c r="B13007" t="s">
        <v>30730</v>
      </c>
      <c r="C13007" t="s">
        <v>36563</v>
      </c>
      <c r="D13007" t="s">
        <v>30732</v>
      </c>
      <c r="E13007" t="s">
        <v>36564</v>
      </c>
      <c r="F13007" t="s">
        <v>36565</v>
      </c>
      <c r="J13007" t="s">
        <v>36564</v>
      </c>
      <c r="K13007" t="s">
        <v>21600</v>
      </c>
      <c r="L13007" t="s">
        <v>3616</v>
      </c>
    </row>
    <row r="13008" spans="1:12">
      <c r="A13008" t="s">
        <v>30729</v>
      </c>
      <c r="B13008" t="s">
        <v>30730</v>
      </c>
      <c r="C13008" t="s">
        <v>36566</v>
      </c>
      <c r="D13008" t="s">
        <v>30732</v>
      </c>
      <c r="E13008" t="s">
        <v>36567</v>
      </c>
      <c r="F13008" t="s">
        <v>36568</v>
      </c>
      <c r="J13008" t="s">
        <v>36567</v>
      </c>
      <c r="K13008" t="s">
        <v>21600</v>
      </c>
      <c r="L13008" t="s">
        <v>3616</v>
      </c>
    </row>
    <row r="13009" spans="1:12">
      <c r="A13009" t="s">
        <v>30729</v>
      </c>
      <c r="B13009" t="s">
        <v>30730</v>
      </c>
      <c r="C13009" t="s">
        <v>36569</v>
      </c>
      <c r="D13009" t="s">
        <v>30732</v>
      </c>
      <c r="E13009" t="s">
        <v>36570</v>
      </c>
      <c r="F13009" t="s">
        <v>36571</v>
      </c>
      <c r="J13009" t="s">
        <v>36570</v>
      </c>
      <c r="K13009" t="s">
        <v>21600</v>
      </c>
      <c r="L13009" t="s">
        <v>3616</v>
      </c>
    </row>
    <row r="13010" spans="1:12">
      <c r="A13010" t="s">
        <v>30729</v>
      </c>
      <c r="B13010" t="s">
        <v>30730</v>
      </c>
      <c r="C13010" t="s">
        <v>36572</v>
      </c>
      <c r="D13010" t="s">
        <v>30732</v>
      </c>
      <c r="E13010" t="s">
        <v>36573</v>
      </c>
      <c r="F13010" t="s">
        <v>36574</v>
      </c>
      <c r="J13010" t="s">
        <v>36573</v>
      </c>
      <c r="K13010" t="s">
        <v>21600</v>
      </c>
      <c r="L13010" t="s">
        <v>3616</v>
      </c>
    </row>
    <row r="13011" spans="1:12">
      <c r="A13011" t="s">
        <v>30729</v>
      </c>
      <c r="B13011" t="s">
        <v>30730</v>
      </c>
      <c r="C13011" t="s">
        <v>36575</v>
      </c>
      <c r="D13011" t="s">
        <v>30732</v>
      </c>
      <c r="E13011" t="s">
        <v>36576</v>
      </c>
      <c r="F13011" t="s">
        <v>36577</v>
      </c>
      <c r="J13011" t="s">
        <v>36576</v>
      </c>
      <c r="K13011" t="s">
        <v>21600</v>
      </c>
      <c r="L13011" t="s">
        <v>3616</v>
      </c>
    </row>
    <row r="13012" spans="1:12">
      <c r="A13012" t="s">
        <v>30729</v>
      </c>
      <c r="B13012" t="s">
        <v>30730</v>
      </c>
      <c r="C13012" t="s">
        <v>36578</v>
      </c>
      <c r="D13012" t="s">
        <v>30732</v>
      </c>
      <c r="E13012" t="s">
        <v>36579</v>
      </c>
      <c r="F13012" t="s">
        <v>36580</v>
      </c>
      <c r="J13012" t="s">
        <v>36579</v>
      </c>
      <c r="K13012" t="s">
        <v>21600</v>
      </c>
      <c r="L13012" t="s">
        <v>3616</v>
      </c>
    </row>
    <row r="13013" spans="1:12">
      <c r="A13013" t="s">
        <v>30729</v>
      </c>
      <c r="B13013" t="s">
        <v>30730</v>
      </c>
      <c r="C13013" t="s">
        <v>36581</v>
      </c>
      <c r="D13013" t="s">
        <v>30732</v>
      </c>
      <c r="E13013" t="s">
        <v>10113</v>
      </c>
      <c r="F13013" t="s">
        <v>36582</v>
      </c>
    </row>
    <row r="13014" spans="1:12">
      <c r="A13014" t="s">
        <v>30729</v>
      </c>
      <c r="B13014" t="s">
        <v>30730</v>
      </c>
      <c r="C13014" t="s">
        <v>36583</v>
      </c>
      <c r="D13014" t="s">
        <v>30732</v>
      </c>
      <c r="E13014" t="s">
        <v>10116</v>
      </c>
      <c r="F13014" t="s">
        <v>36584</v>
      </c>
      <c r="J13014" t="s">
        <v>10116</v>
      </c>
      <c r="K13014" t="s">
        <v>21600</v>
      </c>
      <c r="L13014" t="s">
        <v>3616</v>
      </c>
    </row>
    <row r="13015" spans="1:12">
      <c r="A13015" t="s">
        <v>30729</v>
      </c>
      <c r="B13015" t="s">
        <v>30730</v>
      </c>
      <c r="C13015" t="s">
        <v>36585</v>
      </c>
      <c r="D13015" t="s">
        <v>30732</v>
      </c>
      <c r="E13015" t="s">
        <v>36586</v>
      </c>
      <c r="F13015" t="s">
        <v>36587</v>
      </c>
      <c r="J13015" t="s">
        <v>36586</v>
      </c>
      <c r="K13015" t="s">
        <v>21600</v>
      </c>
      <c r="L13015" t="s">
        <v>3616</v>
      </c>
    </row>
    <row r="13016" spans="1:12">
      <c r="A13016" t="s">
        <v>30729</v>
      </c>
      <c r="B13016" t="s">
        <v>30730</v>
      </c>
      <c r="C13016" t="s">
        <v>36588</v>
      </c>
      <c r="D13016" t="s">
        <v>30732</v>
      </c>
      <c r="E13016" t="s">
        <v>36589</v>
      </c>
      <c r="F13016" t="s">
        <v>36590</v>
      </c>
      <c r="J13016" t="s">
        <v>36589</v>
      </c>
      <c r="K13016" t="s">
        <v>21600</v>
      </c>
      <c r="L13016" t="s">
        <v>3616</v>
      </c>
    </row>
    <row r="13017" spans="1:12">
      <c r="A13017" t="s">
        <v>30729</v>
      </c>
      <c r="B13017" t="s">
        <v>30730</v>
      </c>
      <c r="C13017" t="s">
        <v>36591</v>
      </c>
      <c r="D13017" t="s">
        <v>30732</v>
      </c>
      <c r="E13017" t="s">
        <v>36592</v>
      </c>
      <c r="F13017" t="s">
        <v>36593</v>
      </c>
      <c r="J13017" t="s">
        <v>36592</v>
      </c>
      <c r="K13017" t="s">
        <v>21600</v>
      </c>
      <c r="L13017" t="s">
        <v>3616</v>
      </c>
    </row>
    <row r="13018" spans="1:12">
      <c r="A13018" t="s">
        <v>30729</v>
      </c>
      <c r="B13018" t="s">
        <v>30730</v>
      </c>
      <c r="C13018" t="s">
        <v>36594</v>
      </c>
      <c r="D13018" t="s">
        <v>30732</v>
      </c>
      <c r="E13018" t="s">
        <v>36595</v>
      </c>
      <c r="F13018" t="s">
        <v>36596</v>
      </c>
      <c r="J13018" t="s">
        <v>36595</v>
      </c>
      <c r="K13018" t="s">
        <v>21600</v>
      </c>
      <c r="L13018" t="s">
        <v>3616</v>
      </c>
    </row>
    <row r="13019" spans="1:12">
      <c r="A13019" t="s">
        <v>30729</v>
      </c>
      <c r="B13019" t="s">
        <v>30730</v>
      </c>
      <c r="C13019" t="s">
        <v>36597</v>
      </c>
      <c r="D13019" t="s">
        <v>30732</v>
      </c>
      <c r="E13019" t="s">
        <v>36598</v>
      </c>
      <c r="F13019" t="s">
        <v>36599</v>
      </c>
      <c r="J13019" t="s">
        <v>36598</v>
      </c>
      <c r="K13019" t="s">
        <v>21600</v>
      </c>
      <c r="L13019" t="s">
        <v>3616</v>
      </c>
    </row>
    <row r="13020" spans="1:12">
      <c r="A13020" t="s">
        <v>30729</v>
      </c>
      <c r="B13020" t="s">
        <v>30730</v>
      </c>
      <c r="C13020" t="s">
        <v>36600</v>
      </c>
      <c r="D13020" t="s">
        <v>30732</v>
      </c>
      <c r="E13020" t="s">
        <v>36601</v>
      </c>
      <c r="F13020" t="s">
        <v>36602</v>
      </c>
    </row>
    <row r="13021" spans="1:12">
      <c r="A13021" t="s">
        <v>30729</v>
      </c>
      <c r="B13021" t="s">
        <v>30730</v>
      </c>
      <c r="C13021" t="s">
        <v>36603</v>
      </c>
      <c r="D13021" t="s">
        <v>30732</v>
      </c>
      <c r="E13021" t="s">
        <v>36604</v>
      </c>
      <c r="F13021" t="s">
        <v>36605</v>
      </c>
      <c r="J13021" t="s">
        <v>36604</v>
      </c>
      <c r="K13021" t="s">
        <v>21600</v>
      </c>
      <c r="L13021" t="s">
        <v>3616</v>
      </c>
    </row>
    <row r="13022" spans="1:12">
      <c r="A13022" t="s">
        <v>30729</v>
      </c>
      <c r="B13022" t="s">
        <v>30730</v>
      </c>
      <c r="C13022" t="s">
        <v>36606</v>
      </c>
      <c r="D13022" t="s">
        <v>30732</v>
      </c>
      <c r="E13022" t="s">
        <v>36607</v>
      </c>
      <c r="F13022" t="s">
        <v>36608</v>
      </c>
    </row>
    <row r="13023" spans="1:12">
      <c r="A13023" t="s">
        <v>30729</v>
      </c>
      <c r="B13023" t="s">
        <v>30730</v>
      </c>
      <c r="C13023" t="s">
        <v>36609</v>
      </c>
      <c r="D13023" t="s">
        <v>30732</v>
      </c>
      <c r="E13023" t="s">
        <v>36610</v>
      </c>
      <c r="F13023" t="s">
        <v>36611</v>
      </c>
    </row>
    <row r="13024" spans="1:12">
      <c r="A13024" t="s">
        <v>30729</v>
      </c>
      <c r="B13024" t="s">
        <v>30730</v>
      </c>
      <c r="C13024" t="s">
        <v>36612</v>
      </c>
      <c r="D13024" t="s">
        <v>30732</v>
      </c>
      <c r="E13024" t="s">
        <v>36613</v>
      </c>
      <c r="F13024" t="s">
        <v>36614</v>
      </c>
      <c r="J13024" t="s">
        <v>36613</v>
      </c>
      <c r="K13024" t="s">
        <v>21600</v>
      </c>
      <c r="L13024" t="s">
        <v>3616</v>
      </c>
    </row>
    <row r="13025" spans="1:12">
      <c r="A13025" t="s">
        <v>30729</v>
      </c>
      <c r="B13025" t="s">
        <v>30730</v>
      </c>
      <c r="C13025" t="s">
        <v>36615</v>
      </c>
      <c r="D13025" t="s">
        <v>30732</v>
      </c>
      <c r="E13025" t="s">
        <v>36616</v>
      </c>
      <c r="F13025" t="s">
        <v>36617</v>
      </c>
      <c r="J13025" t="s">
        <v>36616</v>
      </c>
      <c r="K13025" t="s">
        <v>21600</v>
      </c>
      <c r="L13025" t="s">
        <v>3616</v>
      </c>
    </row>
    <row r="13026" spans="1:12">
      <c r="A13026" t="s">
        <v>30729</v>
      </c>
      <c r="B13026" t="s">
        <v>30730</v>
      </c>
      <c r="C13026" t="s">
        <v>36618</v>
      </c>
      <c r="D13026" t="s">
        <v>30732</v>
      </c>
      <c r="E13026" t="s">
        <v>36619</v>
      </c>
      <c r="F13026" t="s">
        <v>36620</v>
      </c>
    </row>
    <row r="13027" spans="1:12">
      <c r="A13027" t="s">
        <v>30729</v>
      </c>
      <c r="B13027" t="s">
        <v>30730</v>
      </c>
      <c r="C13027" t="s">
        <v>36621</v>
      </c>
      <c r="D13027" t="s">
        <v>30732</v>
      </c>
      <c r="E13027" t="s">
        <v>36622</v>
      </c>
      <c r="F13027" t="s">
        <v>36623</v>
      </c>
      <c r="J13027" t="s">
        <v>36622</v>
      </c>
      <c r="K13027" t="s">
        <v>21600</v>
      </c>
      <c r="L13027" t="s">
        <v>3616</v>
      </c>
    </row>
    <row r="13028" spans="1:12">
      <c r="A13028" t="s">
        <v>30729</v>
      </c>
      <c r="B13028" t="s">
        <v>30730</v>
      </c>
      <c r="C13028" t="s">
        <v>36624</v>
      </c>
      <c r="D13028" t="s">
        <v>30732</v>
      </c>
      <c r="E13028" t="s">
        <v>13221</v>
      </c>
      <c r="F13028" t="s">
        <v>36625</v>
      </c>
      <c r="J13028" t="s">
        <v>13221</v>
      </c>
      <c r="K13028" t="s">
        <v>21600</v>
      </c>
      <c r="L13028" t="s">
        <v>3616</v>
      </c>
    </row>
    <row r="13029" spans="1:12">
      <c r="A13029" t="s">
        <v>30729</v>
      </c>
      <c r="B13029" t="s">
        <v>30730</v>
      </c>
      <c r="C13029" t="s">
        <v>36626</v>
      </c>
      <c r="D13029" t="s">
        <v>30732</v>
      </c>
      <c r="E13029" t="s">
        <v>36627</v>
      </c>
      <c r="F13029" t="s">
        <v>36628</v>
      </c>
    </row>
    <row r="13030" spans="1:12">
      <c r="A13030" t="s">
        <v>30729</v>
      </c>
      <c r="B13030" t="s">
        <v>30730</v>
      </c>
      <c r="C13030" t="s">
        <v>36629</v>
      </c>
      <c r="D13030" t="s">
        <v>30732</v>
      </c>
      <c r="E13030" t="s">
        <v>36630</v>
      </c>
      <c r="F13030" t="s">
        <v>36631</v>
      </c>
      <c r="J13030" t="s">
        <v>36630</v>
      </c>
      <c r="K13030" t="s">
        <v>21600</v>
      </c>
      <c r="L13030" t="s">
        <v>3616</v>
      </c>
    </row>
    <row r="13031" spans="1:12">
      <c r="A13031" t="s">
        <v>30729</v>
      </c>
      <c r="B13031" t="s">
        <v>30730</v>
      </c>
      <c r="C13031" t="s">
        <v>36632</v>
      </c>
      <c r="D13031" t="s">
        <v>30732</v>
      </c>
      <c r="E13031" t="s">
        <v>36633</v>
      </c>
      <c r="F13031" t="s">
        <v>36634</v>
      </c>
      <c r="J13031" t="s">
        <v>36633</v>
      </c>
      <c r="K13031" t="s">
        <v>21600</v>
      </c>
      <c r="L13031" t="s">
        <v>3616</v>
      </c>
    </row>
    <row r="13032" spans="1:12">
      <c r="A13032" t="s">
        <v>30729</v>
      </c>
      <c r="B13032" t="s">
        <v>30730</v>
      </c>
      <c r="C13032" t="s">
        <v>36635</v>
      </c>
      <c r="D13032" t="s">
        <v>30732</v>
      </c>
      <c r="E13032" t="s">
        <v>36636</v>
      </c>
      <c r="F13032" t="s">
        <v>36599</v>
      </c>
      <c r="J13032" t="s">
        <v>36636</v>
      </c>
      <c r="K13032" t="s">
        <v>21600</v>
      </c>
      <c r="L13032" t="s">
        <v>3616</v>
      </c>
    </row>
    <row r="13033" spans="1:12">
      <c r="A13033" t="s">
        <v>30729</v>
      </c>
      <c r="B13033" t="s">
        <v>30730</v>
      </c>
      <c r="C13033" t="s">
        <v>36637</v>
      </c>
      <c r="D13033" t="s">
        <v>30732</v>
      </c>
      <c r="E13033" t="s">
        <v>36638</v>
      </c>
      <c r="F13033" t="s">
        <v>36639</v>
      </c>
    </row>
    <row r="13034" spans="1:12">
      <c r="A13034" t="s">
        <v>30729</v>
      </c>
      <c r="B13034" t="s">
        <v>30730</v>
      </c>
      <c r="C13034" t="s">
        <v>36640</v>
      </c>
      <c r="D13034" t="s">
        <v>30732</v>
      </c>
      <c r="E13034" t="s">
        <v>36641</v>
      </c>
      <c r="F13034" t="s">
        <v>36642</v>
      </c>
      <c r="J13034" t="s">
        <v>36641</v>
      </c>
      <c r="K13034" t="s">
        <v>21600</v>
      </c>
      <c r="L13034" t="s">
        <v>3616</v>
      </c>
    </row>
    <row r="13035" spans="1:12">
      <c r="A13035" t="s">
        <v>30729</v>
      </c>
      <c r="B13035" t="s">
        <v>30730</v>
      </c>
      <c r="C13035" t="s">
        <v>36643</v>
      </c>
      <c r="D13035" t="s">
        <v>30732</v>
      </c>
      <c r="E13035" t="s">
        <v>36644</v>
      </c>
      <c r="F13035" t="s">
        <v>36645</v>
      </c>
    </row>
    <row r="13036" spans="1:12">
      <c r="A13036" t="s">
        <v>30729</v>
      </c>
      <c r="B13036" t="s">
        <v>30730</v>
      </c>
      <c r="C13036" t="s">
        <v>36646</v>
      </c>
      <c r="D13036" t="s">
        <v>30732</v>
      </c>
      <c r="E13036" t="s">
        <v>25079</v>
      </c>
      <c r="F13036" t="s">
        <v>36647</v>
      </c>
      <c r="J13036" t="s">
        <v>25079</v>
      </c>
      <c r="K13036" t="s">
        <v>21600</v>
      </c>
      <c r="L13036" t="s">
        <v>3616</v>
      </c>
    </row>
    <row r="13037" spans="1:12">
      <c r="A13037" t="s">
        <v>30729</v>
      </c>
      <c r="B13037" t="s">
        <v>30730</v>
      </c>
      <c r="C13037" t="s">
        <v>36648</v>
      </c>
      <c r="D13037" t="s">
        <v>30732</v>
      </c>
      <c r="E13037" t="s">
        <v>10160</v>
      </c>
      <c r="F13037" t="s">
        <v>36649</v>
      </c>
    </row>
    <row r="13038" spans="1:12">
      <c r="A13038" t="s">
        <v>30729</v>
      </c>
      <c r="B13038" t="s">
        <v>30730</v>
      </c>
      <c r="C13038" t="s">
        <v>36650</v>
      </c>
      <c r="D13038" t="s">
        <v>30732</v>
      </c>
      <c r="E13038" t="s">
        <v>3109</v>
      </c>
      <c r="F13038" t="s">
        <v>36608</v>
      </c>
    </row>
    <row r="13039" spans="1:12">
      <c r="A13039" t="s">
        <v>30729</v>
      </c>
      <c r="B13039" t="s">
        <v>30730</v>
      </c>
      <c r="C13039" t="s">
        <v>36651</v>
      </c>
      <c r="D13039" t="s">
        <v>30732</v>
      </c>
      <c r="E13039" t="s">
        <v>36652</v>
      </c>
      <c r="F13039" t="s">
        <v>36653</v>
      </c>
    </row>
    <row r="13040" spans="1:12">
      <c r="A13040" t="s">
        <v>30729</v>
      </c>
      <c r="B13040" t="s">
        <v>30730</v>
      </c>
      <c r="C13040" t="s">
        <v>36654</v>
      </c>
      <c r="D13040" t="s">
        <v>30732</v>
      </c>
      <c r="E13040" t="s">
        <v>25804</v>
      </c>
      <c r="F13040" t="s">
        <v>36655</v>
      </c>
    </row>
    <row r="13041" spans="1:12">
      <c r="A13041" t="s">
        <v>30729</v>
      </c>
      <c r="B13041" t="s">
        <v>30730</v>
      </c>
      <c r="C13041" t="s">
        <v>36656</v>
      </c>
      <c r="D13041" t="s">
        <v>30732</v>
      </c>
      <c r="E13041" t="s">
        <v>36657</v>
      </c>
      <c r="F13041" t="s">
        <v>36658</v>
      </c>
      <c r="J13041" t="s">
        <v>36657</v>
      </c>
      <c r="K13041" t="s">
        <v>21600</v>
      </c>
      <c r="L13041" t="s">
        <v>3616</v>
      </c>
    </row>
    <row r="13042" spans="1:12">
      <c r="A13042" t="s">
        <v>30729</v>
      </c>
      <c r="B13042" t="s">
        <v>30730</v>
      </c>
      <c r="C13042" t="s">
        <v>36659</v>
      </c>
      <c r="D13042" t="s">
        <v>30732</v>
      </c>
      <c r="E13042" t="s">
        <v>36660</v>
      </c>
      <c r="F13042" t="s">
        <v>36661</v>
      </c>
    </row>
    <row r="13043" spans="1:12">
      <c r="A13043" t="s">
        <v>30729</v>
      </c>
      <c r="B13043" t="s">
        <v>30730</v>
      </c>
      <c r="C13043" t="s">
        <v>36662</v>
      </c>
      <c r="D13043" t="s">
        <v>30732</v>
      </c>
      <c r="E13043" t="s">
        <v>36663</v>
      </c>
      <c r="F13043" t="s">
        <v>36664</v>
      </c>
      <c r="J13043" t="s">
        <v>36663</v>
      </c>
      <c r="K13043" t="s">
        <v>21600</v>
      </c>
      <c r="L13043" t="s">
        <v>3616</v>
      </c>
    </row>
    <row r="13044" spans="1:12">
      <c r="A13044" t="s">
        <v>30729</v>
      </c>
      <c r="B13044" t="s">
        <v>30730</v>
      </c>
      <c r="C13044" t="s">
        <v>36665</v>
      </c>
      <c r="D13044" t="s">
        <v>30732</v>
      </c>
      <c r="E13044" t="s">
        <v>36666</v>
      </c>
      <c r="F13044" t="s">
        <v>36667</v>
      </c>
      <c r="J13044" t="s">
        <v>36666</v>
      </c>
      <c r="K13044" t="s">
        <v>21600</v>
      </c>
      <c r="L13044" t="s">
        <v>3616</v>
      </c>
    </row>
    <row r="13045" spans="1:12">
      <c r="A13045" t="s">
        <v>30729</v>
      </c>
      <c r="B13045" t="s">
        <v>30730</v>
      </c>
      <c r="C13045" t="s">
        <v>36668</v>
      </c>
      <c r="D13045" t="s">
        <v>30732</v>
      </c>
      <c r="E13045" t="s">
        <v>36669</v>
      </c>
      <c r="F13045" t="s">
        <v>36670</v>
      </c>
      <c r="J13045" t="s">
        <v>36669</v>
      </c>
      <c r="K13045" t="s">
        <v>21600</v>
      </c>
      <c r="L13045" t="s">
        <v>3616</v>
      </c>
    </row>
    <row r="13046" spans="1:12">
      <c r="A13046" t="s">
        <v>30729</v>
      </c>
      <c r="B13046" t="s">
        <v>30730</v>
      </c>
      <c r="C13046" t="s">
        <v>36671</v>
      </c>
      <c r="D13046" t="s">
        <v>30732</v>
      </c>
      <c r="E13046" t="s">
        <v>25082</v>
      </c>
      <c r="F13046" t="s">
        <v>36672</v>
      </c>
      <c r="J13046" t="s">
        <v>25082</v>
      </c>
      <c r="K13046" t="s">
        <v>21600</v>
      </c>
      <c r="L13046" t="s">
        <v>3616</v>
      </c>
    </row>
    <row r="13047" spans="1:12">
      <c r="A13047" t="s">
        <v>30729</v>
      </c>
      <c r="B13047" t="s">
        <v>30730</v>
      </c>
      <c r="C13047" t="s">
        <v>36673</v>
      </c>
      <c r="D13047" t="s">
        <v>30732</v>
      </c>
      <c r="E13047" t="s">
        <v>36674</v>
      </c>
      <c r="F13047" t="s">
        <v>36675</v>
      </c>
      <c r="J13047" t="s">
        <v>36674</v>
      </c>
      <c r="K13047" t="s">
        <v>21600</v>
      </c>
      <c r="L13047" t="s">
        <v>3616</v>
      </c>
    </row>
    <row r="13048" spans="1:12">
      <c r="A13048" t="s">
        <v>30729</v>
      </c>
      <c r="B13048" t="s">
        <v>30730</v>
      </c>
      <c r="C13048" t="s">
        <v>36676</v>
      </c>
      <c r="D13048" t="s">
        <v>30732</v>
      </c>
      <c r="E13048" t="s">
        <v>36677</v>
      </c>
      <c r="F13048" t="s">
        <v>36678</v>
      </c>
      <c r="J13048" t="s">
        <v>36677</v>
      </c>
      <c r="K13048" t="s">
        <v>21600</v>
      </c>
      <c r="L13048" t="s">
        <v>3616</v>
      </c>
    </row>
    <row r="13049" spans="1:12">
      <c r="A13049" t="s">
        <v>30729</v>
      </c>
      <c r="B13049" t="s">
        <v>30730</v>
      </c>
      <c r="C13049" t="s">
        <v>36679</v>
      </c>
      <c r="D13049" t="s">
        <v>30732</v>
      </c>
      <c r="E13049" t="s">
        <v>36680</v>
      </c>
      <c r="F13049" t="s">
        <v>36681</v>
      </c>
      <c r="J13049" t="s">
        <v>36680</v>
      </c>
      <c r="K13049" t="s">
        <v>21600</v>
      </c>
      <c r="L13049" t="s">
        <v>3616</v>
      </c>
    </row>
    <row r="13050" spans="1:12">
      <c r="A13050" t="s">
        <v>30729</v>
      </c>
      <c r="B13050" t="s">
        <v>30730</v>
      </c>
      <c r="C13050" t="s">
        <v>36682</v>
      </c>
      <c r="D13050" t="s">
        <v>30732</v>
      </c>
      <c r="E13050" t="s">
        <v>36683</v>
      </c>
      <c r="F13050" t="s">
        <v>36684</v>
      </c>
      <c r="J13050" t="s">
        <v>36683</v>
      </c>
      <c r="K13050" t="s">
        <v>21600</v>
      </c>
      <c r="L13050" t="s">
        <v>3616</v>
      </c>
    </row>
    <row r="13051" spans="1:12">
      <c r="A13051" t="s">
        <v>30729</v>
      </c>
      <c r="B13051" t="s">
        <v>30730</v>
      </c>
      <c r="C13051" t="s">
        <v>36685</v>
      </c>
      <c r="D13051" t="s">
        <v>30732</v>
      </c>
      <c r="E13051" t="s">
        <v>36686</v>
      </c>
      <c r="F13051" t="s">
        <v>36687</v>
      </c>
      <c r="J13051" t="s">
        <v>36686</v>
      </c>
      <c r="K13051" t="s">
        <v>21600</v>
      </c>
      <c r="L13051" t="s">
        <v>3616</v>
      </c>
    </row>
    <row r="13052" spans="1:12">
      <c r="A13052" t="s">
        <v>30729</v>
      </c>
      <c r="B13052" t="s">
        <v>30730</v>
      </c>
      <c r="C13052" t="s">
        <v>36688</v>
      </c>
      <c r="D13052" t="s">
        <v>30732</v>
      </c>
      <c r="E13052" t="s">
        <v>36689</v>
      </c>
      <c r="F13052" t="s">
        <v>36690</v>
      </c>
      <c r="J13052" t="s">
        <v>36689</v>
      </c>
      <c r="K13052" t="s">
        <v>21600</v>
      </c>
      <c r="L13052" t="s">
        <v>3616</v>
      </c>
    </row>
    <row r="13053" spans="1:12">
      <c r="A13053" t="s">
        <v>30729</v>
      </c>
      <c r="B13053" t="s">
        <v>30730</v>
      </c>
      <c r="C13053" t="s">
        <v>36691</v>
      </c>
      <c r="D13053" t="s">
        <v>30732</v>
      </c>
      <c r="E13053" t="s">
        <v>36692</v>
      </c>
      <c r="F13053" t="s">
        <v>36693</v>
      </c>
      <c r="J13053" t="s">
        <v>36692</v>
      </c>
      <c r="K13053" t="s">
        <v>21600</v>
      </c>
      <c r="L13053" t="s">
        <v>3616</v>
      </c>
    </row>
    <row r="13054" spans="1:12">
      <c r="A13054" t="s">
        <v>30729</v>
      </c>
      <c r="B13054" t="s">
        <v>30730</v>
      </c>
      <c r="C13054" t="s">
        <v>36694</v>
      </c>
      <c r="D13054" t="s">
        <v>30732</v>
      </c>
      <c r="E13054" t="s">
        <v>21713</v>
      </c>
      <c r="F13054" t="s">
        <v>36695</v>
      </c>
      <c r="J13054" t="s">
        <v>21713</v>
      </c>
      <c r="K13054" t="s">
        <v>21600</v>
      </c>
      <c r="L13054" t="s">
        <v>3616</v>
      </c>
    </row>
    <row r="13055" spans="1:12">
      <c r="A13055" t="s">
        <v>30729</v>
      </c>
      <c r="B13055" t="s">
        <v>30730</v>
      </c>
      <c r="C13055" t="s">
        <v>36696</v>
      </c>
      <c r="D13055" t="s">
        <v>30732</v>
      </c>
      <c r="E13055" t="s">
        <v>36697</v>
      </c>
      <c r="F13055" t="s">
        <v>36698</v>
      </c>
      <c r="J13055" t="s">
        <v>36697</v>
      </c>
      <c r="K13055" t="s">
        <v>21600</v>
      </c>
      <c r="L13055" t="s">
        <v>3616</v>
      </c>
    </row>
    <row r="13056" spans="1:12">
      <c r="A13056" t="s">
        <v>30729</v>
      </c>
      <c r="B13056" t="s">
        <v>30730</v>
      </c>
      <c r="C13056" t="s">
        <v>36699</v>
      </c>
      <c r="D13056" t="s">
        <v>30732</v>
      </c>
      <c r="E13056" t="s">
        <v>36700</v>
      </c>
      <c r="F13056" t="s">
        <v>36701</v>
      </c>
      <c r="J13056" t="s">
        <v>36700</v>
      </c>
      <c r="K13056" t="s">
        <v>21600</v>
      </c>
      <c r="L13056" t="s">
        <v>3616</v>
      </c>
    </row>
    <row r="13057" spans="1:12">
      <c r="A13057" t="s">
        <v>30729</v>
      </c>
      <c r="B13057" t="s">
        <v>30730</v>
      </c>
      <c r="C13057" t="s">
        <v>36702</v>
      </c>
      <c r="D13057" t="s">
        <v>30732</v>
      </c>
      <c r="E13057" t="s">
        <v>36703</v>
      </c>
      <c r="F13057" t="s">
        <v>36704</v>
      </c>
      <c r="J13057" t="s">
        <v>36703</v>
      </c>
      <c r="K13057" t="s">
        <v>21600</v>
      </c>
      <c r="L13057" t="s">
        <v>3616</v>
      </c>
    </row>
    <row r="13058" spans="1:12">
      <c r="A13058" t="s">
        <v>30729</v>
      </c>
      <c r="B13058" t="s">
        <v>30730</v>
      </c>
      <c r="C13058" t="s">
        <v>36705</v>
      </c>
      <c r="D13058" t="s">
        <v>30732</v>
      </c>
      <c r="E13058" t="s">
        <v>13102</v>
      </c>
      <c r="F13058" t="s">
        <v>36706</v>
      </c>
    </row>
    <row r="13059" spans="1:12">
      <c r="A13059" t="s">
        <v>30729</v>
      </c>
      <c r="B13059" t="s">
        <v>30730</v>
      </c>
      <c r="C13059" t="s">
        <v>36707</v>
      </c>
      <c r="D13059" t="s">
        <v>30732</v>
      </c>
      <c r="E13059" t="s">
        <v>36708</v>
      </c>
      <c r="F13059" t="s">
        <v>36709</v>
      </c>
    </row>
    <row r="13060" spans="1:12">
      <c r="A13060" t="s">
        <v>30729</v>
      </c>
      <c r="B13060" t="s">
        <v>30730</v>
      </c>
      <c r="C13060" t="s">
        <v>36710</v>
      </c>
      <c r="D13060" t="s">
        <v>30732</v>
      </c>
      <c r="E13060" t="s">
        <v>36711</v>
      </c>
      <c r="F13060" t="s">
        <v>36712</v>
      </c>
      <c r="J13060" t="s">
        <v>36711</v>
      </c>
      <c r="K13060" t="s">
        <v>21600</v>
      </c>
      <c r="L13060" t="s">
        <v>3616</v>
      </c>
    </row>
    <row r="13061" spans="1:12">
      <c r="A13061" t="s">
        <v>30729</v>
      </c>
      <c r="B13061" t="s">
        <v>30730</v>
      </c>
      <c r="C13061" t="s">
        <v>36713</v>
      </c>
      <c r="D13061" t="s">
        <v>30732</v>
      </c>
      <c r="E13061" t="s">
        <v>36714</v>
      </c>
      <c r="F13061" t="s">
        <v>36715</v>
      </c>
      <c r="J13061" t="s">
        <v>36714</v>
      </c>
      <c r="K13061" t="s">
        <v>21600</v>
      </c>
      <c r="L13061" t="s">
        <v>3616</v>
      </c>
    </row>
    <row r="13062" spans="1:12">
      <c r="A13062" t="s">
        <v>30729</v>
      </c>
      <c r="B13062" t="s">
        <v>30730</v>
      </c>
      <c r="C13062" t="s">
        <v>36716</v>
      </c>
      <c r="D13062" t="s">
        <v>30732</v>
      </c>
      <c r="E13062" t="s">
        <v>36717</v>
      </c>
      <c r="F13062" t="s">
        <v>36718</v>
      </c>
      <c r="J13062" t="s">
        <v>36717</v>
      </c>
      <c r="K13062" t="s">
        <v>21600</v>
      </c>
      <c r="L13062" t="s">
        <v>3616</v>
      </c>
    </row>
    <row r="13063" spans="1:12">
      <c r="A13063" t="s">
        <v>30729</v>
      </c>
      <c r="B13063" t="s">
        <v>30730</v>
      </c>
      <c r="C13063" t="s">
        <v>36719</v>
      </c>
      <c r="D13063" t="s">
        <v>30732</v>
      </c>
      <c r="E13063" t="s">
        <v>13105</v>
      </c>
      <c r="F13063" t="s">
        <v>36720</v>
      </c>
    </row>
    <row r="13064" spans="1:12">
      <c r="A13064" t="s">
        <v>30729</v>
      </c>
      <c r="B13064" t="s">
        <v>30730</v>
      </c>
      <c r="C13064" t="s">
        <v>36721</v>
      </c>
      <c r="D13064" t="s">
        <v>30732</v>
      </c>
      <c r="E13064" t="s">
        <v>21721</v>
      </c>
      <c r="F13064" t="s">
        <v>36722</v>
      </c>
      <c r="J13064" t="s">
        <v>21721</v>
      </c>
      <c r="K13064" t="s">
        <v>21600</v>
      </c>
      <c r="L13064" t="s">
        <v>3616</v>
      </c>
    </row>
    <row r="13065" spans="1:12">
      <c r="A13065" t="s">
        <v>30729</v>
      </c>
      <c r="B13065" t="s">
        <v>30730</v>
      </c>
      <c r="C13065" t="s">
        <v>36723</v>
      </c>
      <c r="D13065" t="s">
        <v>30732</v>
      </c>
      <c r="E13065" t="s">
        <v>36724</v>
      </c>
      <c r="F13065" t="s">
        <v>36725</v>
      </c>
      <c r="J13065" t="s">
        <v>36724</v>
      </c>
      <c r="K13065" t="s">
        <v>21600</v>
      </c>
      <c r="L13065" t="s">
        <v>3616</v>
      </c>
    </row>
    <row r="13066" spans="1:12">
      <c r="A13066" t="s">
        <v>30729</v>
      </c>
      <c r="B13066" t="s">
        <v>30730</v>
      </c>
      <c r="C13066" t="s">
        <v>36726</v>
      </c>
      <c r="D13066" t="s">
        <v>30732</v>
      </c>
      <c r="E13066" t="s">
        <v>36727</v>
      </c>
      <c r="F13066" t="s">
        <v>36728</v>
      </c>
      <c r="J13066" t="s">
        <v>36727</v>
      </c>
      <c r="K13066" t="s">
        <v>21600</v>
      </c>
      <c r="L13066" t="s">
        <v>3616</v>
      </c>
    </row>
    <row r="13067" spans="1:12">
      <c r="A13067" t="s">
        <v>30729</v>
      </c>
      <c r="B13067" t="s">
        <v>30730</v>
      </c>
      <c r="C13067" t="s">
        <v>36729</v>
      </c>
      <c r="D13067" t="s">
        <v>30732</v>
      </c>
      <c r="E13067" t="s">
        <v>36730</v>
      </c>
      <c r="F13067" t="s">
        <v>36731</v>
      </c>
      <c r="J13067" t="s">
        <v>36730</v>
      </c>
      <c r="K13067" t="s">
        <v>21600</v>
      </c>
      <c r="L13067" t="s">
        <v>3616</v>
      </c>
    </row>
    <row r="13068" spans="1:12">
      <c r="A13068" t="s">
        <v>30729</v>
      </c>
      <c r="B13068" t="s">
        <v>30730</v>
      </c>
      <c r="C13068" t="s">
        <v>36732</v>
      </c>
      <c r="D13068" t="s">
        <v>30732</v>
      </c>
      <c r="E13068" t="s">
        <v>36733</v>
      </c>
      <c r="F13068" t="s">
        <v>36734</v>
      </c>
      <c r="J13068" t="s">
        <v>36733</v>
      </c>
      <c r="K13068" t="s">
        <v>21600</v>
      </c>
      <c r="L13068" t="s">
        <v>3616</v>
      </c>
    </row>
    <row r="13069" spans="1:12">
      <c r="A13069" t="s">
        <v>30729</v>
      </c>
      <c r="B13069" t="s">
        <v>30730</v>
      </c>
      <c r="C13069" t="s">
        <v>36735</v>
      </c>
      <c r="D13069" t="s">
        <v>30732</v>
      </c>
      <c r="E13069" t="s">
        <v>36736</v>
      </c>
      <c r="F13069" t="s">
        <v>36737</v>
      </c>
      <c r="J13069" t="s">
        <v>36736</v>
      </c>
      <c r="K13069" t="s">
        <v>21600</v>
      </c>
      <c r="L13069" t="s">
        <v>3616</v>
      </c>
    </row>
    <row r="13070" spans="1:12">
      <c r="A13070" t="s">
        <v>30729</v>
      </c>
      <c r="B13070" t="s">
        <v>30730</v>
      </c>
      <c r="C13070" t="s">
        <v>36738</v>
      </c>
      <c r="D13070" t="s">
        <v>30732</v>
      </c>
      <c r="E13070" t="s">
        <v>36739</v>
      </c>
      <c r="F13070" t="s">
        <v>36740</v>
      </c>
      <c r="J13070" t="s">
        <v>36739</v>
      </c>
      <c r="K13070" t="s">
        <v>21600</v>
      </c>
      <c r="L13070" t="s">
        <v>3616</v>
      </c>
    </row>
    <row r="13071" spans="1:12">
      <c r="A13071" t="s">
        <v>30729</v>
      </c>
      <c r="B13071" t="s">
        <v>30730</v>
      </c>
      <c r="C13071" t="s">
        <v>36741</v>
      </c>
      <c r="D13071" t="s">
        <v>30732</v>
      </c>
      <c r="E13071" t="s">
        <v>36742</v>
      </c>
      <c r="F13071" t="s">
        <v>36743</v>
      </c>
    </row>
    <row r="13072" spans="1:12">
      <c r="A13072" t="s">
        <v>30729</v>
      </c>
      <c r="B13072" t="s">
        <v>30730</v>
      </c>
      <c r="C13072" t="s">
        <v>36744</v>
      </c>
      <c r="D13072" t="s">
        <v>30732</v>
      </c>
      <c r="E13072" t="s">
        <v>36745</v>
      </c>
      <c r="F13072" t="s">
        <v>36746</v>
      </c>
      <c r="J13072" t="s">
        <v>36745</v>
      </c>
      <c r="K13072" t="s">
        <v>21600</v>
      </c>
      <c r="L13072" t="s">
        <v>3616</v>
      </c>
    </row>
    <row r="13073" spans="1:12">
      <c r="A13073" t="s">
        <v>30729</v>
      </c>
      <c r="B13073" t="s">
        <v>30730</v>
      </c>
      <c r="C13073" t="s">
        <v>36747</v>
      </c>
      <c r="D13073" t="s">
        <v>30732</v>
      </c>
      <c r="E13073" t="s">
        <v>36748</v>
      </c>
      <c r="F13073" t="s">
        <v>36314</v>
      </c>
      <c r="J13073" t="s">
        <v>36748</v>
      </c>
      <c r="K13073" t="s">
        <v>21600</v>
      </c>
      <c r="L13073" t="s">
        <v>3616</v>
      </c>
    </row>
    <row r="13074" spans="1:12">
      <c r="A13074" t="s">
        <v>30729</v>
      </c>
      <c r="B13074" t="s">
        <v>30730</v>
      </c>
      <c r="C13074" t="s">
        <v>36749</v>
      </c>
      <c r="D13074" t="s">
        <v>30732</v>
      </c>
      <c r="E13074" t="s">
        <v>36750</v>
      </c>
      <c r="F13074" t="s">
        <v>36751</v>
      </c>
      <c r="J13074" t="s">
        <v>36750</v>
      </c>
      <c r="K13074" t="s">
        <v>21600</v>
      </c>
      <c r="L13074" t="s">
        <v>3616</v>
      </c>
    </row>
    <row r="13075" spans="1:12">
      <c r="A13075" t="s">
        <v>30729</v>
      </c>
      <c r="B13075" t="s">
        <v>30730</v>
      </c>
      <c r="C13075" t="s">
        <v>36752</v>
      </c>
      <c r="D13075" t="s">
        <v>30732</v>
      </c>
      <c r="E13075" t="s">
        <v>36753</v>
      </c>
      <c r="F13075" t="s">
        <v>36754</v>
      </c>
      <c r="J13075" t="s">
        <v>36753</v>
      </c>
      <c r="K13075" t="s">
        <v>21600</v>
      </c>
      <c r="L13075" t="s">
        <v>3616</v>
      </c>
    </row>
    <row r="13076" spans="1:12">
      <c r="A13076" t="s">
        <v>30729</v>
      </c>
      <c r="B13076" t="s">
        <v>30730</v>
      </c>
      <c r="C13076" t="s">
        <v>36755</v>
      </c>
      <c r="D13076" t="s">
        <v>30732</v>
      </c>
      <c r="E13076" t="s">
        <v>5367</v>
      </c>
      <c r="F13076" t="s">
        <v>36756</v>
      </c>
    </row>
    <row r="13077" spans="1:12">
      <c r="A13077" t="s">
        <v>30729</v>
      </c>
      <c r="B13077" t="s">
        <v>30730</v>
      </c>
      <c r="C13077" t="s">
        <v>36757</v>
      </c>
      <c r="D13077" t="s">
        <v>30732</v>
      </c>
      <c r="E13077" t="s">
        <v>36758</v>
      </c>
      <c r="F13077" t="s">
        <v>36759</v>
      </c>
    </row>
    <row r="13078" spans="1:12">
      <c r="A13078" t="s">
        <v>30729</v>
      </c>
      <c r="B13078" t="s">
        <v>30730</v>
      </c>
      <c r="C13078" t="s">
        <v>36760</v>
      </c>
      <c r="D13078" t="s">
        <v>30732</v>
      </c>
      <c r="E13078" t="s">
        <v>36761</v>
      </c>
      <c r="F13078" t="s">
        <v>36762</v>
      </c>
      <c r="J13078" t="s">
        <v>36761</v>
      </c>
      <c r="K13078" t="s">
        <v>21600</v>
      </c>
      <c r="L13078" t="s">
        <v>3616</v>
      </c>
    </row>
    <row r="13079" spans="1:12">
      <c r="A13079" t="s">
        <v>30729</v>
      </c>
      <c r="B13079" t="s">
        <v>30730</v>
      </c>
      <c r="C13079" t="s">
        <v>36763</v>
      </c>
      <c r="D13079" t="s">
        <v>30732</v>
      </c>
      <c r="E13079" t="s">
        <v>36764</v>
      </c>
      <c r="F13079" t="s">
        <v>36765</v>
      </c>
      <c r="J13079" t="s">
        <v>36764</v>
      </c>
      <c r="K13079" t="s">
        <v>21600</v>
      </c>
      <c r="L13079" t="s">
        <v>3616</v>
      </c>
    </row>
    <row r="13080" spans="1:12">
      <c r="A13080" t="s">
        <v>30729</v>
      </c>
      <c r="B13080" t="s">
        <v>30730</v>
      </c>
      <c r="C13080" t="s">
        <v>36766</v>
      </c>
      <c r="D13080" t="s">
        <v>30732</v>
      </c>
      <c r="E13080" t="s">
        <v>36767</v>
      </c>
      <c r="F13080" t="s">
        <v>36768</v>
      </c>
      <c r="J13080" t="s">
        <v>36767</v>
      </c>
      <c r="K13080" t="s">
        <v>21600</v>
      </c>
      <c r="L13080" t="s">
        <v>3616</v>
      </c>
    </row>
    <row r="13081" spans="1:12">
      <c r="A13081" t="s">
        <v>30729</v>
      </c>
      <c r="B13081" t="s">
        <v>30730</v>
      </c>
      <c r="C13081" t="s">
        <v>36769</v>
      </c>
      <c r="D13081" t="s">
        <v>30732</v>
      </c>
      <c r="E13081" t="s">
        <v>25822</v>
      </c>
      <c r="F13081" t="s">
        <v>36770</v>
      </c>
      <c r="J13081" t="s">
        <v>25822</v>
      </c>
      <c r="K13081" t="s">
        <v>21600</v>
      </c>
      <c r="L13081" t="s">
        <v>3616</v>
      </c>
    </row>
    <row r="13082" spans="1:12">
      <c r="A13082" t="s">
        <v>30729</v>
      </c>
      <c r="B13082" t="s">
        <v>30730</v>
      </c>
      <c r="C13082" t="s">
        <v>36771</v>
      </c>
      <c r="D13082" t="s">
        <v>30732</v>
      </c>
      <c r="E13082" t="s">
        <v>36772</v>
      </c>
      <c r="F13082" t="s">
        <v>36773</v>
      </c>
      <c r="J13082" t="s">
        <v>36772</v>
      </c>
      <c r="K13082" t="s">
        <v>21600</v>
      </c>
      <c r="L13082" t="s">
        <v>3616</v>
      </c>
    </row>
    <row r="13083" spans="1:12">
      <c r="A13083" t="s">
        <v>30729</v>
      </c>
      <c r="B13083" t="s">
        <v>30730</v>
      </c>
      <c r="C13083" t="s">
        <v>36774</v>
      </c>
      <c r="D13083" t="s">
        <v>30732</v>
      </c>
      <c r="E13083" t="s">
        <v>36775</v>
      </c>
      <c r="F13083" t="s">
        <v>36776</v>
      </c>
    </row>
    <row r="13084" spans="1:12">
      <c r="A13084" t="s">
        <v>30729</v>
      </c>
      <c r="B13084" t="s">
        <v>30730</v>
      </c>
      <c r="C13084" t="s">
        <v>36777</v>
      </c>
      <c r="D13084" t="s">
        <v>30732</v>
      </c>
      <c r="E13084" t="s">
        <v>36778</v>
      </c>
      <c r="F13084" t="s">
        <v>36779</v>
      </c>
    </row>
    <row r="13085" spans="1:12">
      <c r="A13085" t="s">
        <v>30729</v>
      </c>
      <c r="B13085" t="s">
        <v>30730</v>
      </c>
      <c r="C13085" t="s">
        <v>36780</v>
      </c>
      <c r="D13085" t="s">
        <v>30732</v>
      </c>
      <c r="E13085" t="s">
        <v>36781</v>
      </c>
      <c r="F13085" t="s">
        <v>36782</v>
      </c>
      <c r="J13085" t="s">
        <v>36781</v>
      </c>
      <c r="K13085" t="s">
        <v>21600</v>
      </c>
      <c r="L13085" t="s">
        <v>3616</v>
      </c>
    </row>
    <row r="13086" spans="1:12">
      <c r="A13086" t="s">
        <v>30729</v>
      </c>
      <c r="B13086" t="s">
        <v>30730</v>
      </c>
      <c r="C13086" t="s">
        <v>36783</v>
      </c>
      <c r="D13086" t="s">
        <v>30732</v>
      </c>
      <c r="E13086" t="s">
        <v>36784</v>
      </c>
      <c r="F13086" t="s">
        <v>36785</v>
      </c>
      <c r="J13086" t="s">
        <v>36784</v>
      </c>
      <c r="K13086" t="s">
        <v>21600</v>
      </c>
      <c r="L13086" t="s">
        <v>3616</v>
      </c>
    </row>
    <row r="13087" spans="1:12">
      <c r="A13087" t="s">
        <v>30729</v>
      </c>
      <c r="B13087" t="s">
        <v>30730</v>
      </c>
      <c r="C13087" t="s">
        <v>36786</v>
      </c>
      <c r="D13087" t="s">
        <v>30732</v>
      </c>
      <c r="E13087" t="s">
        <v>36787</v>
      </c>
      <c r="F13087" t="s">
        <v>36788</v>
      </c>
      <c r="J13087" t="s">
        <v>36787</v>
      </c>
      <c r="K13087" t="s">
        <v>21600</v>
      </c>
      <c r="L13087" t="s">
        <v>3616</v>
      </c>
    </row>
    <row r="13088" spans="1:12">
      <c r="A13088" t="s">
        <v>30729</v>
      </c>
      <c r="B13088" t="s">
        <v>30730</v>
      </c>
      <c r="C13088" t="s">
        <v>36789</v>
      </c>
      <c r="D13088" t="s">
        <v>30732</v>
      </c>
      <c r="E13088" t="s">
        <v>36790</v>
      </c>
      <c r="F13088" t="s">
        <v>36791</v>
      </c>
    </row>
    <row r="13089" spans="1:12">
      <c r="A13089" t="s">
        <v>30729</v>
      </c>
      <c r="B13089" t="s">
        <v>30730</v>
      </c>
      <c r="C13089" t="s">
        <v>36792</v>
      </c>
      <c r="D13089" t="s">
        <v>30732</v>
      </c>
      <c r="E13089" t="s">
        <v>36793</v>
      </c>
      <c r="F13089" t="s">
        <v>36794</v>
      </c>
      <c r="J13089" t="s">
        <v>36793</v>
      </c>
      <c r="K13089" t="s">
        <v>21600</v>
      </c>
      <c r="L13089" t="s">
        <v>3616</v>
      </c>
    </row>
    <row r="13090" spans="1:12">
      <c r="A13090" t="s">
        <v>30729</v>
      </c>
      <c r="B13090" t="s">
        <v>30730</v>
      </c>
      <c r="C13090" t="s">
        <v>36795</v>
      </c>
      <c r="D13090" t="s">
        <v>30732</v>
      </c>
      <c r="E13090" t="s">
        <v>36796</v>
      </c>
      <c r="F13090" t="s">
        <v>36797</v>
      </c>
    </row>
    <row r="13091" spans="1:12">
      <c r="A13091" t="s">
        <v>30729</v>
      </c>
      <c r="B13091" t="s">
        <v>30730</v>
      </c>
      <c r="C13091" t="s">
        <v>36798</v>
      </c>
      <c r="D13091" t="s">
        <v>30732</v>
      </c>
      <c r="E13091" t="s">
        <v>36799</v>
      </c>
      <c r="F13091" t="s">
        <v>36800</v>
      </c>
    </row>
    <row r="13092" spans="1:12">
      <c r="A13092" t="s">
        <v>30729</v>
      </c>
      <c r="B13092" t="s">
        <v>30730</v>
      </c>
      <c r="C13092" t="s">
        <v>36801</v>
      </c>
      <c r="D13092" t="s">
        <v>30732</v>
      </c>
      <c r="E13092" t="s">
        <v>36802</v>
      </c>
      <c r="F13092" t="s">
        <v>36803</v>
      </c>
    </row>
    <row r="13093" spans="1:12">
      <c r="A13093" t="s">
        <v>30729</v>
      </c>
      <c r="B13093" t="s">
        <v>30730</v>
      </c>
      <c r="C13093" t="s">
        <v>36804</v>
      </c>
      <c r="D13093" t="s">
        <v>30732</v>
      </c>
      <c r="E13093" t="s">
        <v>36805</v>
      </c>
      <c r="F13093" t="s">
        <v>36806</v>
      </c>
      <c r="J13093" t="s">
        <v>36805</v>
      </c>
      <c r="K13093" t="s">
        <v>21600</v>
      </c>
      <c r="L13093" t="s">
        <v>3616</v>
      </c>
    </row>
    <row r="13094" spans="1:12">
      <c r="A13094" t="s">
        <v>30729</v>
      </c>
      <c r="B13094" t="s">
        <v>30730</v>
      </c>
      <c r="C13094" t="s">
        <v>36807</v>
      </c>
      <c r="D13094" t="s">
        <v>30732</v>
      </c>
      <c r="E13094" t="s">
        <v>36808</v>
      </c>
      <c r="F13094" t="s">
        <v>36809</v>
      </c>
    </row>
    <row r="13095" spans="1:12">
      <c r="A13095" t="s">
        <v>30729</v>
      </c>
      <c r="B13095" t="s">
        <v>30730</v>
      </c>
      <c r="C13095" t="s">
        <v>36810</v>
      </c>
      <c r="D13095" t="s">
        <v>30732</v>
      </c>
      <c r="E13095" t="s">
        <v>36811</v>
      </c>
      <c r="F13095" t="s">
        <v>36812</v>
      </c>
    </row>
    <row r="13096" spans="1:12">
      <c r="A13096" t="s">
        <v>30729</v>
      </c>
      <c r="B13096" t="s">
        <v>30730</v>
      </c>
      <c r="C13096" t="s">
        <v>36813</v>
      </c>
      <c r="D13096" t="s">
        <v>30732</v>
      </c>
      <c r="E13096" t="s">
        <v>21800</v>
      </c>
      <c r="F13096" t="s">
        <v>36814</v>
      </c>
    </row>
    <row r="13097" spans="1:12">
      <c r="A13097" t="s">
        <v>30729</v>
      </c>
      <c r="B13097" t="s">
        <v>30730</v>
      </c>
      <c r="C13097" t="s">
        <v>36815</v>
      </c>
      <c r="D13097" t="s">
        <v>30732</v>
      </c>
      <c r="E13097" t="s">
        <v>36816</v>
      </c>
      <c r="F13097" t="s">
        <v>36817</v>
      </c>
    </row>
    <row r="13098" spans="1:12">
      <c r="A13098" t="s">
        <v>30729</v>
      </c>
      <c r="B13098" t="s">
        <v>30730</v>
      </c>
      <c r="C13098" t="s">
        <v>36818</v>
      </c>
      <c r="D13098" t="s">
        <v>30732</v>
      </c>
      <c r="E13098" t="s">
        <v>36819</v>
      </c>
      <c r="F13098" t="s">
        <v>36820</v>
      </c>
    </row>
    <row r="13099" spans="1:12">
      <c r="A13099" t="s">
        <v>30729</v>
      </c>
      <c r="B13099" t="s">
        <v>30730</v>
      </c>
      <c r="C13099" t="s">
        <v>36821</v>
      </c>
      <c r="D13099" t="s">
        <v>30732</v>
      </c>
      <c r="E13099" t="s">
        <v>36822</v>
      </c>
      <c r="F13099" t="s">
        <v>36823</v>
      </c>
      <c r="J13099" t="s">
        <v>36822</v>
      </c>
      <c r="K13099" t="s">
        <v>21600</v>
      </c>
      <c r="L13099" t="s">
        <v>3616</v>
      </c>
    </row>
    <row r="13100" spans="1:12">
      <c r="A13100" t="s">
        <v>30729</v>
      </c>
      <c r="B13100" t="s">
        <v>30730</v>
      </c>
      <c r="C13100" t="s">
        <v>36824</v>
      </c>
      <c r="D13100" t="s">
        <v>30732</v>
      </c>
      <c r="E13100" t="s">
        <v>26239</v>
      </c>
      <c r="F13100" t="s">
        <v>36825</v>
      </c>
    </row>
    <row r="13101" spans="1:12">
      <c r="A13101" t="s">
        <v>30729</v>
      </c>
      <c r="B13101" t="s">
        <v>30730</v>
      </c>
      <c r="C13101" t="s">
        <v>36826</v>
      </c>
      <c r="D13101" t="s">
        <v>30732</v>
      </c>
      <c r="E13101" t="s">
        <v>36827</v>
      </c>
      <c r="F13101" t="s">
        <v>36828</v>
      </c>
    </row>
    <row r="13102" spans="1:12">
      <c r="A13102" t="s">
        <v>30729</v>
      </c>
      <c r="B13102" t="s">
        <v>30730</v>
      </c>
      <c r="C13102" t="s">
        <v>36829</v>
      </c>
      <c r="D13102" t="s">
        <v>30732</v>
      </c>
      <c r="E13102" t="s">
        <v>36830</v>
      </c>
      <c r="F13102" t="s">
        <v>36831</v>
      </c>
      <c r="J13102" t="s">
        <v>36830</v>
      </c>
      <c r="K13102" t="s">
        <v>21600</v>
      </c>
      <c r="L13102" t="s">
        <v>3616</v>
      </c>
    </row>
    <row r="13103" spans="1:12">
      <c r="A13103" t="s">
        <v>30729</v>
      </c>
      <c r="B13103" t="s">
        <v>30730</v>
      </c>
      <c r="C13103" t="s">
        <v>36832</v>
      </c>
      <c r="D13103" t="s">
        <v>30732</v>
      </c>
      <c r="E13103" t="s">
        <v>36833</v>
      </c>
      <c r="F13103" t="s">
        <v>36834</v>
      </c>
      <c r="J13103" t="s">
        <v>36833</v>
      </c>
      <c r="K13103" t="s">
        <v>21600</v>
      </c>
      <c r="L13103" t="s">
        <v>3616</v>
      </c>
    </row>
    <row r="13104" spans="1:12">
      <c r="A13104" t="s">
        <v>30729</v>
      </c>
      <c r="B13104" t="s">
        <v>30730</v>
      </c>
      <c r="C13104" t="s">
        <v>36835</v>
      </c>
      <c r="D13104" t="s">
        <v>30732</v>
      </c>
      <c r="E13104" t="s">
        <v>36836</v>
      </c>
      <c r="F13104" t="s">
        <v>36837</v>
      </c>
    </row>
    <row r="13105" spans="1:12">
      <c r="A13105" t="s">
        <v>30729</v>
      </c>
      <c r="B13105" t="s">
        <v>30730</v>
      </c>
      <c r="C13105" t="s">
        <v>36838</v>
      </c>
      <c r="D13105" t="s">
        <v>30732</v>
      </c>
      <c r="E13105" t="s">
        <v>21967</v>
      </c>
      <c r="F13105" t="s">
        <v>36839</v>
      </c>
      <c r="J13105" t="s">
        <v>21967</v>
      </c>
      <c r="K13105" t="s">
        <v>21600</v>
      </c>
      <c r="L13105" t="s">
        <v>3616</v>
      </c>
    </row>
    <row r="13106" spans="1:12">
      <c r="A13106" t="s">
        <v>30729</v>
      </c>
      <c r="B13106" t="s">
        <v>30730</v>
      </c>
      <c r="C13106" t="s">
        <v>36840</v>
      </c>
      <c r="D13106" t="s">
        <v>30732</v>
      </c>
      <c r="E13106" t="s">
        <v>36841</v>
      </c>
      <c r="F13106" t="s">
        <v>36842</v>
      </c>
    </row>
    <row r="13107" spans="1:12">
      <c r="A13107" t="s">
        <v>30729</v>
      </c>
      <c r="B13107" t="s">
        <v>30730</v>
      </c>
      <c r="C13107" t="s">
        <v>36843</v>
      </c>
      <c r="D13107" t="s">
        <v>30732</v>
      </c>
      <c r="E13107" t="s">
        <v>36844</v>
      </c>
      <c r="F13107" t="s">
        <v>36845</v>
      </c>
      <c r="J13107" t="s">
        <v>36844</v>
      </c>
      <c r="K13107" t="s">
        <v>21600</v>
      </c>
      <c r="L13107" t="s">
        <v>3616</v>
      </c>
    </row>
    <row r="13108" spans="1:12">
      <c r="A13108" t="s">
        <v>30729</v>
      </c>
      <c r="B13108" t="s">
        <v>30730</v>
      </c>
      <c r="C13108" t="s">
        <v>36846</v>
      </c>
      <c r="D13108" t="s">
        <v>30732</v>
      </c>
      <c r="E13108" t="s">
        <v>30409</v>
      </c>
      <c r="F13108" t="s">
        <v>36847</v>
      </c>
    </row>
    <row r="13109" spans="1:12">
      <c r="A13109" t="s">
        <v>30729</v>
      </c>
      <c r="B13109" t="s">
        <v>30730</v>
      </c>
      <c r="C13109" t="s">
        <v>36848</v>
      </c>
      <c r="D13109" t="s">
        <v>30732</v>
      </c>
      <c r="E13109" t="s">
        <v>36849</v>
      </c>
      <c r="F13109" t="s">
        <v>36850</v>
      </c>
      <c r="J13109" t="s">
        <v>36849</v>
      </c>
      <c r="K13109" t="s">
        <v>21600</v>
      </c>
      <c r="L13109" t="s">
        <v>3616</v>
      </c>
    </row>
    <row r="13110" spans="1:12">
      <c r="A13110" t="s">
        <v>30729</v>
      </c>
      <c r="B13110" t="s">
        <v>30730</v>
      </c>
      <c r="C13110" t="s">
        <v>36851</v>
      </c>
      <c r="D13110" t="s">
        <v>30732</v>
      </c>
      <c r="E13110" t="s">
        <v>36852</v>
      </c>
      <c r="F13110" t="s">
        <v>36853</v>
      </c>
      <c r="J13110" t="s">
        <v>36852</v>
      </c>
      <c r="K13110" t="s">
        <v>21600</v>
      </c>
      <c r="L13110" t="s">
        <v>3616</v>
      </c>
    </row>
    <row r="13111" spans="1:12">
      <c r="A13111" t="s">
        <v>30729</v>
      </c>
      <c r="B13111" t="s">
        <v>30730</v>
      </c>
      <c r="C13111" t="s">
        <v>36854</v>
      </c>
      <c r="D13111" t="s">
        <v>30732</v>
      </c>
      <c r="E13111" t="s">
        <v>22151</v>
      </c>
      <c r="F13111" t="s">
        <v>36855</v>
      </c>
      <c r="J13111" t="s">
        <v>22151</v>
      </c>
      <c r="K13111" t="s">
        <v>21600</v>
      </c>
      <c r="L13111" t="s">
        <v>3616</v>
      </c>
    </row>
    <row r="13112" spans="1:12">
      <c r="A13112" t="s">
        <v>30729</v>
      </c>
      <c r="B13112" t="s">
        <v>30730</v>
      </c>
      <c r="C13112" t="s">
        <v>36856</v>
      </c>
      <c r="D13112" t="s">
        <v>30732</v>
      </c>
      <c r="E13112" t="s">
        <v>36857</v>
      </c>
      <c r="F13112" t="s">
        <v>36858</v>
      </c>
    </row>
    <row r="13113" spans="1:12">
      <c r="A13113" t="s">
        <v>30729</v>
      </c>
      <c r="B13113" t="s">
        <v>30730</v>
      </c>
      <c r="C13113" t="s">
        <v>36859</v>
      </c>
      <c r="D13113" t="s">
        <v>30732</v>
      </c>
      <c r="E13113" t="s">
        <v>36860</v>
      </c>
      <c r="F13113" t="s">
        <v>36861</v>
      </c>
      <c r="J13113" t="s">
        <v>36860</v>
      </c>
      <c r="K13113" t="s">
        <v>21600</v>
      </c>
      <c r="L13113" t="s">
        <v>3616</v>
      </c>
    </row>
    <row r="13114" spans="1:12">
      <c r="A13114" t="s">
        <v>30729</v>
      </c>
      <c r="B13114" t="s">
        <v>30730</v>
      </c>
      <c r="C13114" t="s">
        <v>36862</v>
      </c>
      <c r="D13114" t="s">
        <v>30732</v>
      </c>
      <c r="E13114" t="s">
        <v>36863</v>
      </c>
      <c r="F13114" t="s">
        <v>36864</v>
      </c>
    </row>
    <row r="13115" spans="1:12">
      <c r="A13115" t="s">
        <v>30729</v>
      </c>
      <c r="B13115" t="s">
        <v>30730</v>
      </c>
      <c r="C13115" t="s">
        <v>36865</v>
      </c>
      <c r="D13115" t="s">
        <v>30732</v>
      </c>
      <c r="E13115" t="s">
        <v>36866</v>
      </c>
      <c r="F13115" t="s">
        <v>36867</v>
      </c>
      <c r="J13115" t="s">
        <v>36866</v>
      </c>
      <c r="K13115" t="s">
        <v>21600</v>
      </c>
      <c r="L13115" t="s">
        <v>3616</v>
      </c>
    </row>
    <row r="13116" spans="1:12">
      <c r="A13116" t="s">
        <v>30729</v>
      </c>
      <c r="B13116" t="s">
        <v>30730</v>
      </c>
      <c r="C13116" t="s">
        <v>36868</v>
      </c>
      <c r="D13116" t="s">
        <v>30732</v>
      </c>
      <c r="E13116" t="s">
        <v>36869</v>
      </c>
      <c r="F13116" t="s">
        <v>36870</v>
      </c>
      <c r="J13116" t="s">
        <v>36869</v>
      </c>
      <c r="K13116" t="s">
        <v>21600</v>
      </c>
      <c r="L13116" t="s">
        <v>3616</v>
      </c>
    </row>
    <row r="13117" spans="1:12">
      <c r="A13117" t="s">
        <v>30729</v>
      </c>
      <c r="B13117" t="s">
        <v>30730</v>
      </c>
      <c r="C13117" t="s">
        <v>36871</v>
      </c>
      <c r="D13117" t="s">
        <v>30732</v>
      </c>
      <c r="E13117" t="s">
        <v>36872</v>
      </c>
      <c r="F13117" t="s">
        <v>36873</v>
      </c>
      <c r="J13117" t="s">
        <v>36872</v>
      </c>
      <c r="K13117" t="s">
        <v>21600</v>
      </c>
      <c r="L13117" t="s">
        <v>3616</v>
      </c>
    </row>
    <row r="13118" spans="1:12">
      <c r="A13118" t="s">
        <v>30729</v>
      </c>
      <c r="B13118" t="s">
        <v>30730</v>
      </c>
      <c r="C13118" t="s">
        <v>36874</v>
      </c>
      <c r="D13118" t="s">
        <v>30732</v>
      </c>
      <c r="E13118" t="s">
        <v>655</v>
      </c>
      <c r="F13118" t="s">
        <v>656</v>
      </c>
    </row>
    <row r="13119" spans="1:12">
      <c r="A13119" t="s">
        <v>30729</v>
      </c>
      <c r="B13119" t="s">
        <v>30730</v>
      </c>
      <c r="D13119" t="s">
        <v>30732</v>
      </c>
      <c r="F13119" t="s">
        <v>10758</v>
      </c>
      <c r="J13119" t="s">
        <v>36875</v>
      </c>
      <c r="K13119" t="s">
        <v>21600</v>
      </c>
      <c r="L13119" t="s">
        <v>3616</v>
      </c>
    </row>
    <row r="13120" spans="1:12">
      <c r="A13120" t="s">
        <v>30729</v>
      </c>
      <c r="B13120" t="s">
        <v>30730</v>
      </c>
      <c r="D13120" t="s">
        <v>30732</v>
      </c>
      <c r="F13120" t="s">
        <v>36876</v>
      </c>
      <c r="J13120" t="s">
        <v>36877</v>
      </c>
      <c r="K13120" t="s">
        <v>21600</v>
      </c>
      <c r="L13120" t="s">
        <v>3616</v>
      </c>
    </row>
    <row r="13121" spans="1:12">
      <c r="A13121" t="s">
        <v>30729</v>
      </c>
      <c r="B13121" t="s">
        <v>30730</v>
      </c>
      <c r="D13121" t="s">
        <v>30732</v>
      </c>
      <c r="F13121" t="s">
        <v>31930</v>
      </c>
      <c r="J13121" t="s">
        <v>36878</v>
      </c>
      <c r="K13121" t="s">
        <v>21600</v>
      </c>
      <c r="L13121" t="s">
        <v>3616</v>
      </c>
    </row>
    <row r="13122" spans="1:12">
      <c r="A13122" t="s">
        <v>30729</v>
      </c>
      <c r="B13122" t="s">
        <v>30730</v>
      </c>
      <c r="D13122" t="s">
        <v>30732</v>
      </c>
      <c r="F13122" t="s">
        <v>30788</v>
      </c>
      <c r="J13122" t="s">
        <v>36879</v>
      </c>
      <c r="K13122" t="s">
        <v>21600</v>
      </c>
      <c r="L13122" t="s">
        <v>3616</v>
      </c>
    </row>
    <row r="13123" spans="1:12">
      <c r="A13123" t="s">
        <v>30729</v>
      </c>
      <c r="B13123" t="s">
        <v>30730</v>
      </c>
      <c r="D13123" t="s">
        <v>30732</v>
      </c>
      <c r="F13123" t="s">
        <v>36880</v>
      </c>
      <c r="J13123" t="s">
        <v>31282</v>
      </c>
      <c r="K13123" t="s">
        <v>21600</v>
      </c>
      <c r="L13123" t="s">
        <v>3616</v>
      </c>
    </row>
    <row r="13124" spans="1:12">
      <c r="A13124" t="s">
        <v>30729</v>
      </c>
      <c r="B13124" t="s">
        <v>30730</v>
      </c>
      <c r="D13124" t="s">
        <v>30732</v>
      </c>
      <c r="F13124" t="s">
        <v>36881</v>
      </c>
      <c r="J13124" t="s">
        <v>36882</v>
      </c>
      <c r="K13124" t="s">
        <v>21600</v>
      </c>
      <c r="L13124" t="s">
        <v>3616</v>
      </c>
    </row>
    <row r="13125" spans="1:12">
      <c r="A13125" t="s">
        <v>30729</v>
      </c>
      <c r="B13125" t="s">
        <v>30730</v>
      </c>
      <c r="D13125" t="s">
        <v>30732</v>
      </c>
      <c r="F13125" t="s">
        <v>31353</v>
      </c>
      <c r="J13125" t="s">
        <v>36883</v>
      </c>
      <c r="K13125" t="s">
        <v>21600</v>
      </c>
      <c r="L13125" t="s">
        <v>3616</v>
      </c>
    </row>
    <row r="13126" spans="1:12">
      <c r="A13126" t="s">
        <v>30729</v>
      </c>
      <c r="B13126" t="s">
        <v>30730</v>
      </c>
      <c r="D13126" t="s">
        <v>30732</v>
      </c>
      <c r="F13126" t="s">
        <v>36884</v>
      </c>
      <c r="J13126" t="s">
        <v>31801</v>
      </c>
      <c r="K13126" t="s">
        <v>36885</v>
      </c>
      <c r="L13126" t="s">
        <v>3616</v>
      </c>
    </row>
    <row r="13127" spans="1:12">
      <c r="A13127" t="s">
        <v>30729</v>
      </c>
      <c r="B13127" t="s">
        <v>30730</v>
      </c>
      <c r="D13127" t="s">
        <v>30732</v>
      </c>
      <c r="F13127" t="s">
        <v>36886</v>
      </c>
      <c r="J13127" t="s">
        <v>29692</v>
      </c>
      <c r="K13127" t="s">
        <v>21600</v>
      </c>
      <c r="L13127" t="s">
        <v>3616</v>
      </c>
    </row>
    <row r="13128" spans="1:12">
      <c r="A13128" t="s">
        <v>30729</v>
      </c>
      <c r="B13128" t="s">
        <v>30730</v>
      </c>
      <c r="D13128" t="s">
        <v>30732</v>
      </c>
      <c r="F13128" t="s">
        <v>36887</v>
      </c>
      <c r="J13128" t="s">
        <v>36888</v>
      </c>
      <c r="K13128" t="s">
        <v>21600</v>
      </c>
      <c r="L13128" t="s">
        <v>3616</v>
      </c>
    </row>
    <row r="13129" spans="1:12">
      <c r="A13129" t="s">
        <v>30729</v>
      </c>
      <c r="B13129" t="s">
        <v>30730</v>
      </c>
      <c r="D13129" t="s">
        <v>30732</v>
      </c>
      <c r="F13129" t="s">
        <v>36889</v>
      </c>
      <c r="J13129" t="s">
        <v>36890</v>
      </c>
      <c r="K13129" t="s">
        <v>21600</v>
      </c>
      <c r="L13129" t="s">
        <v>3616</v>
      </c>
    </row>
    <row r="13130" spans="1:12">
      <c r="A13130" t="s">
        <v>30729</v>
      </c>
      <c r="B13130" t="s">
        <v>30730</v>
      </c>
      <c r="D13130" t="s">
        <v>30732</v>
      </c>
      <c r="F13130" t="s">
        <v>36889</v>
      </c>
      <c r="J13130" t="s">
        <v>36891</v>
      </c>
      <c r="K13130" t="s">
        <v>21600</v>
      </c>
      <c r="L13130" t="s">
        <v>3616</v>
      </c>
    </row>
    <row r="13131" spans="1:12">
      <c r="A13131" t="s">
        <v>30729</v>
      </c>
      <c r="B13131" t="s">
        <v>30730</v>
      </c>
      <c r="D13131" t="s">
        <v>30732</v>
      </c>
      <c r="F13131" t="s">
        <v>36892</v>
      </c>
      <c r="J13131" t="s">
        <v>12589</v>
      </c>
      <c r="K13131" t="s">
        <v>21600</v>
      </c>
      <c r="L13131" t="s">
        <v>3616</v>
      </c>
    </row>
    <row r="13132" spans="1:12">
      <c r="A13132" t="s">
        <v>30729</v>
      </c>
      <c r="B13132" t="s">
        <v>30730</v>
      </c>
      <c r="D13132" t="s">
        <v>30732</v>
      </c>
      <c r="F13132" t="s">
        <v>34826</v>
      </c>
      <c r="J13132" t="s">
        <v>36893</v>
      </c>
      <c r="K13132" t="s">
        <v>21600</v>
      </c>
      <c r="L13132" t="s">
        <v>3616</v>
      </c>
    </row>
    <row r="13133" spans="1:12">
      <c r="A13133" t="s">
        <v>30729</v>
      </c>
      <c r="B13133" t="s">
        <v>30730</v>
      </c>
      <c r="D13133" t="s">
        <v>30732</v>
      </c>
      <c r="F13133" t="s">
        <v>36894</v>
      </c>
      <c r="J13133" t="s">
        <v>11277</v>
      </c>
      <c r="K13133" t="s">
        <v>21600</v>
      </c>
      <c r="L13133" t="s">
        <v>3616</v>
      </c>
    </row>
    <row r="13134" spans="1:12">
      <c r="A13134" t="s">
        <v>30729</v>
      </c>
      <c r="B13134" t="s">
        <v>30730</v>
      </c>
      <c r="D13134" t="s">
        <v>30732</v>
      </c>
      <c r="F13134" t="s">
        <v>36895</v>
      </c>
      <c r="J13134" t="s">
        <v>36896</v>
      </c>
      <c r="K13134" t="s">
        <v>21600</v>
      </c>
      <c r="L13134" t="s">
        <v>3616</v>
      </c>
    </row>
    <row r="13135" spans="1:12">
      <c r="A13135" t="s">
        <v>30729</v>
      </c>
      <c r="B13135" t="s">
        <v>30730</v>
      </c>
      <c r="D13135" t="s">
        <v>30732</v>
      </c>
      <c r="F13135" t="s">
        <v>32741</v>
      </c>
      <c r="J13135" t="s">
        <v>10966</v>
      </c>
      <c r="K13135" t="s">
        <v>21600</v>
      </c>
      <c r="L13135" t="s">
        <v>3616</v>
      </c>
    </row>
    <row r="13136" spans="1:12">
      <c r="A13136" t="s">
        <v>30729</v>
      </c>
      <c r="B13136" t="s">
        <v>30730</v>
      </c>
      <c r="D13136" t="s">
        <v>30732</v>
      </c>
      <c r="F13136" t="s">
        <v>32741</v>
      </c>
      <c r="J13136" t="s">
        <v>36897</v>
      </c>
      <c r="K13136" t="s">
        <v>21600</v>
      </c>
      <c r="L13136" t="s">
        <v>3616</v>
      </c>
    </row>
    <row r="13137" spans="1:12">
      <c r="A13137" t="s">
        <v>30729</v>
      </c>
      <c r="B13137" t="s">
        <v>30730</v>
      </c>
      <c r="D13137" t="s">
        <v>30732</v>
      </c>
      <c r="F13137" t="s">
        <v>35811</v>
      </c>
      <c r="J13137" t="s">
        <v>33454</v>
      </c>
      <c r="K13137" t="s">
        <v>21600</v>
      </c>
      <c r="L13137" t="s">
        <v>3616</v>
      </c>
    </row>
    <row r="13138" spans="1:12">
      <c r="A13138" t="s">
        <v>30729</v>
      </c>
      <c r="B13138" t="s">
        <v>30730</v>
      </c>
      <c r="D13138" t="s">
        <v>30732</v>
      </c>
      <c r="F13138" t="s">
        <v>36898</v>
      </c>
      <c r="J13138" t="s">
        <v>36899</v>
      </c>
      <c r="K13138" t="s">
        <v>21600</v>
      </c>
      <c r="L13138" t="s">
        <v>3616</v>
      </c>
    </row>
    <row r="13139" spans="1:12">
      <c r="A13139" t="s">
        <v>30729</v>
      </c>
      <c r="B13139" t="s">
        <v>30730</v>
      </c>
      <c r="D13139" t="s">
        <v>30732</v>
      </c>
      <c r="F13139" t="s">
        <v>36900</v>
      </c>
      <c r="J13139" t="s">
        <v>36901</v>
      </c>
      <c r="K13139" t="s">
        <v>21600</v>
      </c>
      <c r="L13139" t="s">
        <v>3616</v>
      </c>
    </row>
    <row r="13140" spans="1:12">
      <c r="A13140" t="s">
        <v>30729</v>
      </c>
      <c r="B13140" t="s">
        <v>30730</v>
      </c>
      <c r="D13140" t="s">
        <v>30732</v>
      </c>
      <c r="F13140" t="s">
        <v>33161</v>
      </c>
      <c r="J13140" t="s">
        <v>36902</v>
      </c>
      <c r="K13140" t="s">
        <v>21600</v>
      </c>
      <c r="L13140" t="s">
        <v>3616</v>
      </c>
    </row>
    <row r="13141" spans="1:12">
      <c r="A13141" t="s">
        <v>30729</v>
      </c>
      <c r="B13141" t="s">
        <v>30730</v>
      </c>
      <c r="D13141" t="s">
        <v>30732</v>
      </c>
      <c r="F13141" t="s">
        <v>33951</v>
      </c>
      <c r="J13141" t="s">
        <v>36903</v>
      </c>
      <c r="K13141" t="s">
        <v>21600</v>
      </c>
      <c r="L13141" t="s">
        <v>3616</v>
      </c>
    </row>
    <row r="13142" spans="1:12">
      <c r="A13142" t="s">
        <v>30729</v>
      </c>
      <c r="B13142" t="s">
        <v>30730</v>
      </c>
      <c r="D13142" t="s">
        <v>30732</v>
      </c>
      <c r="F13142" t="s">
        <v>35781</v>
      </c>
      <c r="J13142" t="s">
        <v>9425</v>
      </c>
      <c r="K13142" t="s">
        <v>21600</v>
      </c>
      <c r="L13142" t="s">
        <v>3616</v>
      </c>
    </row>
    <row r="13143" spans="1:12">
      <c r="A13143" t="s">
        <v>30729</v>
      </c>
      <c r="B13143" t="s">
        <v>30730</v>
      </c>
      <c r="D13143" t="s">
        <v>30732</v>
      </c>
      <c r="F13143" t="s">
        <v>34561</v>
      </c>
      <c r="J13143" t="s">
        <v>9440</v>
      </c>
      <c r="K13143" t="s">
        <v>21600</v>
      </c>
      <c r="L13143" t="s">
        <v>3616</v>
      </c>
    </row>
    <row r="13144" spans="1:12">
      <c r="A13144" t="s">
        <v>30729</v>
      </c>
      <c r="B13144" t="s">
        <v>30730</v>
      </c>
      <c r="D13144" t="s">
        <v>30732</v>
      </c>
      <c r="F13144" t="s">
        <v>36904</v>
      </c>
      <c r="J13144" t="s">
        <v>18874</v>
      </c>
      <c r="K13144" t="s">
        <v>21600</v>
      </c>
      <c r="L13144" t="s">
        <v>3616</v>
      </c>
    </row>
    <row r="13145" spans="1:12">
      <c r="A13145" t="s">
        <v>30729</v>
      </c>
      <c r="B13145" t="s">
        <v>30730</v>
      </c>
      <c r="D13145" t="s">
        <v>30732</v>
      </c>
      <c r="F13145" t="s">
        <v>31881</v>
      </c>
      <c r="J13145" t="s">
        <v>36905</v>
      </c>
      <c r="K13145" t="s">
        <v>21600</v>
      </c>
      <c r="L13145" t="s">
        <v>3616</v>
      </c>
    </row>
    <row r="13146" spans="1:12">
      <c r="A13146" t="s">
        <v>30729</v>
      </c>
      <c r="B13146" t="s">
        <v>30730</v>
      </c>
      <c r="D13146" t="s">
        <v>30732</v>
      </c>
      <c r="F13146" t="s">
        <v>36906</v>
      </c>
      <c r="J13146" t="s">
        <v>9562</v>
      </c>
      <c r="K13146" t="s">
        <v>21600</v>
      </c>
      <c r="L13146" t="s">
        <v>3616</v>
      </c>
    </row>
    <row r="13147" spans="1:12">
      <c r="A13147" t="s">
        <v>30729</v>
      </c>
      <c r="B13147" t="s">
        <v>30730</v>
      </c>
      <c r="D13147" t="s">
        <v>30732</v>
      </c>
      <c r="F13147" t="s">
        <v>36907</v>
      </c>
      <c r="J13147" t="s">
        <v>9645</v>
      </c>
      <c r="K13147" t="s">
        <v>21600</v>
      </c>
      <c r="L13147" t="s">
        <v>3616</v>
      </c>
    </row>
    <row r="13148" spans="1:12">
      <c r="A13148" t="s">
        <v>30729</v>
      </c>
      <c r="B13148" t="s">
        <v>30730</v>
      </c>
      <c r="D13148" t="s">
        <v>30732</v>
      </c>
      <c r="F13148" t="s">
        <v>36908</v>
      </c>
      <c r="J13148" t="s">
        <v>19726</v>
      </c>
      <c r="K13148" t="s">
        <v>21600</v>
      </c>
      <c r="L13148" t="s">
        <v>3616</v>
      </c>
    </row>
    <row r="13149" spans="1:12">
      <c r="A13149" t="s">
        <v>30729</v>
      </c>
      <c r="B13149" t="s">
        <v>30730</v>
      </c>
      <c r="D13149" t="s">
        <v>30732</v>
      </c>
      <c r="F13149" t="s">
        <v>36909</v>
      </c>
      <c r="J13149" t="s">
        <v>9745</v>
      </c>
      <c r="K13149" t="s">
        <v>21600</v>
      </c>
      <c r="L13149" t="s">
        <v>3616</v>
      </c>
    </row>
    <row r="13150" spans="1:12">
      <c r="A13150" t="s">
        <v>30729</v>
      </c>
      <c r="B13150" t="s">
        <v>30730</v>
      </c>
      <c r="D13150" t="s">
        <v>30732</v>
      </c>
      <c r="F13150" t="s">
        <v>36910</v>
      </c>
      <c r="J13150" t="s">
        <v>36911</v>
      </c>
      <c r="K13150" t="s">
        <v>21600</v>
      </c>
      <c r="L13150" t="s">
        <v>3616</v>
      </c>
    </row>
    <row r="13151" spans="1:12">
      <c r="A13151" t="s">
        <v>30729</v>
      </c>
      <c r="B13151" t="s">
        <v>30730</v>
      </c>
      <c r="D13151" t="s">
        <v>30732</v>
      </c>
      <c r="F13151" t="s">
        <v>35490</v>
      </c>
      <c r="J13151" t="s">
        <v>9786</v>
      </c>
      <c r="K13151" t="s">
        <v>21600</v>
      </c>
      <c r="L13151" t="s">
        <v>3616</v>
      </c>
    </row>
    <row r="13152" spans="1:12">
      <c r="A13152" t="s">
        <v>30729</v>
      </c>
      <c r="B13152" t="s">
        <v>30730</v>
      </c>
      <c r="D13152" t="s">
        <v>30732</v>
      </c>
      <c r="F13152" t="s">
        <v>35693</v>
      </c>
      <c r="J13152" t="s">
        <v>20256</v>
      </c>
      <c r="K13152" t="s">
        <v>21600</v>
      </c>
      <c r="L13152" t="s">
        <v>3616</v>
      </c>
    </row>
    <row r="13153" spans="1:12">
      <c r="A13153" t="s">
        <v>30729</v>
      </c>
      <c r="B13153" t="s">
        <v>30730</v>
      </c>
      <c r="D13153" t="s">
        <v>30732</v>
      </c>
      <c r="F13153" t="s">
        <v>36912</v>
      </c>
      <c r="J13153" t="s">
        <v>35804</v>
      </c>
      <c r="K13153" t="s">
        <v>21600</v>
      </c>
      <c r="L13153" t="s">
        <v>3616</v>
      </c>
    </row>
    <row r="13154" spans="1:12">
      <c r="A13154" t="s">
        <v>30729</v>
      </c>
      <c r="B13154" t="s">
        <v>30730</v>
      </c>
      <c r="D13154" t="s">
        <v>30732</v>
      </c>
      <c r="F13154" t="s">
        <v>36913</v>
      </c>
      <c r="J13154" t="s">
        <v>36181</v>
      </c>
      <c r="K13154" t="s">
        <v>21600</v>
      </c>
      <c r="L13154" t="s">
        <v>3616</v>
      </c>
    </row>
    <row r="13155" spans="1:12">
      <c r="A13155" t="s">
        <v>30729</v>
      </c>
      <c r="B13155" t="s">
        <v>30730</v>
      </c>
      <c r="D13155" t="s">
        <v>30732</v>
      </c>
      <c r="F13155" t="s">
        <v>36914</v>
      </c>
      <c r="J13155" t="s">
        <v>36915</v>
      </c>
      <c r="K13155" t="s">
        <v>21600</v>
      </c>
      <c r="L13155" t="s">
        <v>3616</v>
      </c>
    </row>
    <row r="13156" spans="1:12">
      <c r="A13156" t="s">
        <v>30729</v>
      </c>
      <c r="B13156" t="s">
        <v>30730</v>
      </c>
      <c r="D13156" t="s">
        <v>30732</v>
      </c>
      <c r="F13156" t="s">
        <v>36916</v>
      </c>
      <c r="J13156" t="s">
        <v>36917</v>
      </c>
      <c r="K13156" t="s">
        <v>21600</v>
      </c>
      <c r="L13156" t="s">
        <v>3616</v>
      </c>
    </row>
    <row r="13157" spans="1:12">
      <c r="A13157" t="s">
        <v>30729</v>
      </c>
      <c r="B13157" t="s">
        <v>30730</v>
      </c>
      <c r="D13157" t="s">
        <v>30732</v>
      </c>
      <c r="F13157" t="s">
        <v>36918</v>
      </c>
      <c r="J13157" t="s">
        <v>15355</v>
      </c>
      <c r="K13157" t="s">
        <v>21600</v>
      </c>
      <c r="L13157" t="s">
        <v>3616</v>
      </c>
    </row>
    <row r="13158" spans="1:12">
      <c r="A13158" t="s">
        <v>30729</v>
      </c>
      <c r="B13158" t="s">
        <v>30730</v>
      </c>
      <c r="D13158" t="s">
        <v>30732</v>
      </c>
      <c r="F13158" t="s">
        <v>36919</v>
      </c>
      <c r="J13158" t="s">
        <v>36920</v>
      </c>
      <c r="K13158" t="s">
        <v>21600</v>
      </c>
      <c r="L13158" t="s">
        <v>3616</v>
      </c>
    </row>
    <row r="13159" spans="1:12">
      <c r="A13159" t="s">
        <v>36921</v>
      </c>
      <c r="B13159" t="s">
        <v>36922</v>
      </c>
      <c r="C13159" t="s">
        <v>36923</v>
      </c>
      <c r="D13159" t="s">
        <v>36924</v>
      </c>
      <c r="E13159" t="s">
        <v>26008</v>
      </c>
      <c r="F13159" t="s">
        <v>36925</v>
      </c>
      <c r="J13159" t="s">
        <v>26008</v>
      </c>
      <c r="K13159" t="s">
        <v>21596</v>
      </c>
      <c r="L13159" t="s">
        <v>814</v>
      </c>
    </row>
    <row r="13160" spans="1:12">
      <c r="A13160" t="s">
        <v>36921</v>
      </c>
      <c r="B13160" t="s">
        <v>36922</v>
      </c>
      <c r="C13160" t="s">
        <v>36926</v>
      </c>
      <c r="D13160" t="s">
        <v>36924</v>
      </c>
      <c r="E13160" t="s">
        <v>25164</v>
      </c>
      <c r="F13160" t="s">
        <v>36927</v>
      </c>
      <c r="J13160" t="s">
        <v>25164</v>
      </c>
      <c r="K13160" t="s">
        <v>21596</v>
      </c>
      <c r="L13160" t="s">
        <v>814</v>
      </c>
    </row>
    <row r="13161" spans="1:12">
      <c r="A13161" t="s">
        <v>36921</v>
      </c>
      <c r="B13161" t="s">
        <v>36922</v>
      </c>
      <c r="C13161" t="s">
        <v>36928</v>
      </c>
      <c r="D13161" t="s">
        <v>36924</v>
      </c>
      <c r="E13161" t="s">
        <v>36929</v>
      </c>
      <c r="F13161" t="s">
        <v>36930</v>
      </c>
      <c r="J13161" t="s">
        <v>36929</v>
      </c>
      <c r="K13161" t="s">
        <v>21596</v>
      </c>
      <c r="L13161" t="s">
        <v>814</v>
      </c>
    </row>
    <row r="13162" spans="1:12">
      <c r="A13162" t="s">
        <v>36921</v>
      </c>
      <c r="B13162" t="s">
        <v>36922</v>
      </c>
      <c r="C13162" t="s">
        <v>36931</v>
      </c>
      <c r="D13162" t="s">
        <v>36924</v>
      </c>
      <c r="E13162" t="s">
        <v>36932</v>
      </c>
      <c r="F13162" t="s">
        <v>36933</v>
      </c>
      <c r="J13162" t="s">
        <v>36932</v>
      </c>
      <c r="K13162" t="s">
        <v>21596</v>
      </c>
      <c r="L13162" t="s">
        <v>814</v>
      </c>
    </row>
    <row r="13163" spans="1:12">
      <c r="A13163" t="s">
        <v>36921</v>
      </c>
      <c r="B13163" t="s">
        <v>36922</v>
      </c>
      <c r="C13163" t="s">
        <v>36934</v>
      </c>
      <c r="D13163" t="s">
        <v>36924</v>
      </c>
      <c r="E13163" t="s">
        <v>36935</v>
      </c>
      <c r="F13163" t="s">
        <v>36936</v>
      </c>
    </row>
    <row r="13164" spans="1:12">
      <c r="A13164" t="s">
        <v>36921</v>
      </c>
      <c r="B13164" t="s">
        <v>36922</v>
      </c>
      <c r="C13164" t="s">
        <v>36937</v>
      </c>
      <c r="D13164" t="s">
        <v>36924</v>
      </c>
      <c r="E13164" t="s">
        <v>15826</v>
      </c>
      <c r="F13164" t="s">
        <v>36938</v>
      </c>
      <c r="J13164" t="s">
        <v>15826</v>
      </c>
      <c r="K13164" t="s">
        <v>21596</v>
      </c>
      <c r="L13164" t="s">
        <v>814</v>
      </c>
    </row>
    <row r="13165" spans="1:12">
      <c r="A13165" t="s">
        <v>36921</v>
      </c>
      <c r="B13165" t="s">
        <v>36922</v>
      </c>
      <c r="C13165" t="s">
        <v>36939</v>
      </c>
      <c r="D13165" t="s">
        <v>36924</v>
      </c>
      <c r="E13165" t="s">
        <v>36940</v>
      </c>
      <c r="F13165" t="s">
        <v>36941</v>
      </c>
      <c r="J13165" t="s">
        <v>36940</v>
      </c>
      <c r="K13165" t="s">
        <v>21596</v>
      </c>
      <c r="L13165" t="s">
        <v>814</v>
      </c>
    </row>
    <row r="13166" spans="1:12">
      <c r="A13166" t="s">
        <v>36921</v>
      </c>
      <c r="B13166" t="s">
        <v>36922</v>
      </c>
      <c r="C13166" t="s">
        <v>36942</v>
      </c>
      <c r="D13166" t="s">
        <v>36924</v>
      </c>
      <c r="E13166" t="s">
        <v>4208</v>
      </c>
      <c r="F13166" t="s">
        <v>36943</v>
      </c>
    </row>
    <row r="13167" spans="1:12">
      <c r="A13167" t="s">
        <v>36921</v>
      </c>
      <c r="B13167" t="s">
        <v>36922</v>
      </c>
      <c r="C13167" t="s">
        <v>36944</v>
      </c>
      <c r="D13167" t="s">
        <v>36924</v>
      </c>
      <c r="E13167" t="s">
        <v>36945</v>
      </c>
      <c r="F13167" t="s">
        <v>36946</v>
      </c>
      <c r="J13167" t="s">
        <v>36945</v>
      </c>
      <c r="K13167" t="s">
        <v>21596</v>
      </c>
      <c r="L13167" t="s">
        <v>814</v>
      </c>
    </row>
    <row r="13168" spans="1:12">
      <c r="A13168" t="s">
        <v>36921</v>
      </c>
      <c r="B13168" t="s">
        <v>36922</v>
      </c>
      <c r="C13168" t="s">
        <v>36947</v>
      </c>
      <c r="D13168" t="s">
        <v>36924</v>
      </c>
      <c r="E13168" t="s">
        <v>36948</v>
      </c>
      <c r="F13168" t="s">
        <v>36949</v>
      </c>
      <c r="J13168" t="s">
        <v>36948</v>
      </c>
      <c r="K13168" t="s">
        <v>21596</v>
      </c>
      <c r="L13168" t="s">
        <v>814</v>
      </c>
    </row>
    <row r="13169" spans="1:12">
      <c r="A13169" t="s">
        <v>36921</v>
      </c>
      <c r="B13169" t="s">
        <v>36922</v>
      </c>
      <c r="C13169" t="s">
        <v>36950</v>
      </c>
      <c r="D13169" t="s">
        <v>36924</v>
      </c>
      <c r="E13169" t="s">
        <v>36951</v>
      </c>
      <c r="F13169" t="s">
        <v>36952</v>
      </c>
      <c r="J13169" t="s">
        <v>36951</v>
      </c>
      <c r="K13169" t="s">
        <v>21596</v>
      </c>
      <c r="L13169" t="s">
        <v>814</v>
      </c>
    </row>
    <row r="13170" spans="1:12">
      <c r="A13170" t="s">
        <v>36921</v>
      </c>
      <c r="B13170" t="s">
        <v>36922</v>
      </c>
      <c r="C13170" t="s">
        <v>36953</v>
      </c>
      <c r="D13170" t="s">
        <v>36924</v>
      </c>
      <c r="E13170" t="s">
        <v>36954</v>
      </c>
      <c r="F13170" t="s">
        <v>36955</v>
      </c>
      <c r="J13170" t="s">
        <v>36954</v>
      </c>
      <c r="K13170" t="s">
        <v>21596</v>
      </c>
      <c r="L13170" t="s">
        <v>814</v>
      </c>
    </row>
    <row r="13171" spans="1:12">
      <c r="A13171" t="s">
        <v>36921</v>
      </c>
      <c r="B13171" t="s">
        <v>36922</v>
      </c>
      <c r="C13171" t="s">
        <v>36956</v>
      </c>
      <c r="D13171" t="s">
        <v>36924</v>
      </c>
      <c r="E13171" t="s">
        <v>36957</v>
      </c>
      <c r="F13171" t="s">
        <v>36958</v>
      </c>
      <c r="J13171" t="s">
        <v>36957</v>
      </c>
      <c r="K13171" t="s">
        <v>21596</v>
      </c>
      <c r="L13171" t="s">
        <v>814</v>
      </c>
    </row>
    <row r="13172" spans="1:12">
      <c r="A13172" t="s">
        <v>36921</v>
      </c>
      <c r="B13172" t="s">
        <v>36922</v>
      </c>
      <c r="C13172" t="s">
        <v>36959</v>
      </c>
      <c r="D13172" t="s">
        <v>36924</v>
      </c>
      <c r="E13172" t="s">
        <v>36960</v>
      </c>
      <c r="F13172" t="s">
        <v>36961</v>
      </c>
      <c r="J13172" t="s">
        <v>36960</v>
      </c>
      <c r="K13172" t="s">
        <v>21596</v>
      </c>
      <c r="L13172" t="s">
        <v>814</v>
      </c>
    </row>
    <row r="13173" spans="1:12">
      <c r="A13173" t="s">
        <v>36921</v>
      </c>
      <c r="B13173" t="s">
        <v>36922</v>
      </c>
      <c r="C13173" t="s">
        <v>36962</v>
      </c>
      <c r="D13173" t="s">
        <v>36924</v>
      </c>
      <c r="E13173" t="s">
        <v>655</v>
      </c>
      <c r="F13173" t="s">
        <v>656</v>
      </c>
    </row>
    <row r="13174" spans="1:12">
      <c r="A13174" t="s">
        <v>36963</v>
      </c>
      <c r="B13174" t="s">
        <v>36964</v>
      </c>
      <c r="C13174" t="s">
        <v>36965</v>
      </c>
      <c r="D13174" t="s">
        <v>36966</v>
      </c>
      <c r="E13174" t="s">
        <v>36967</v>
      </c>
      <c r="F13174" t="s">
        <v>36968</v>
      </c>
      <c r="J13174" t="s">
        <v>36967</v>
      </c>
      <c r="K13174" t="s">
        <v>36969</v>
      </c>
      <c r="L13174" t="s">
        <v>863</v>
      </c>
    </row>
    <row r="13175" spans="1:12">
      <c r="A13175" t="s">
        <v>36963</v>
      </c>
      <c r="B13175" t="s">
        <v>36964</v>
      </c>
      <c r="C13175" t="s">
        <v>36970</v>
      </c>
      <c r="D13175" t="s">
        <v>36966</v>
      </c>
      <c r="E13175" t="s">
        <v>36971</v>
      </c>
      <c r="F13175" t="s">
        <v>36972</v>
      </c>
      <c r="J13175" t="s">
        <v>36971</v>
      </c>
      <c r="K13175" t="s">
        <v>36969</v>
      </c>
      <c r="L13175" t="s">
        <v>863</v>
      </c>
    </row>
    <row r="13176" spans="1:12">
      <c r="A13176" t="s">
        <v>36963</v>
      </c>
      <c r="B13176" t="s">
        <v>36964</v>
      </c>
      <c r="C13176" t="s">
        <v>36973</v>
      </c>
      <c r="D13176" t="s">
        <v>36966</v>
      </c>
      <c r="E13176" t="s">
        <v>20503</v>
      </c>
      <c r="F13176" t="s">
        <v>36974</v>
      </c>
      <c r="J13176" t="s">
        <v>20503</v>
      </c>
      <c r="K13176" t="s">
        <v>36969</v>
      </c>
      <c r="L13176" t="s">
        <v>863</v>
      </c>
    </row>
    <row r="13177" spans="1:12">
      <c r="A13177" t="s">
        <v>36963</v>
      </c>
      <c r="B13177" t="s">
        <v>36964</v>
      </c>
      <c r="C13177" t="s">
        <v>36975</v>
      </c>
      <c r="D13177" t="s">
        <v>36966</v>
      </c>
      <c r="E13177" t="s">
        <v>3652</v>
      </c>
      <c r="F13177" t="s">
        <v>36976</v>
      </c>
      <c r="J13177" t="s">
        <v>3652</v>
      </c>
      <c r="K13177" t="s">
        <v>36969</v>
      </c>
      <c r="L13177" t="s">
        <v>863</v>
      </c>
    </row>
    <row r="13178" spans="1:12">
      <c r="A13178" t="s">
        <v>36963</v>
      </c>
      <c r="B13178" t="s">
        <v>36964</v>
      </c>
      <c r="C13178" t="s">
        <v>36977</v>
      </c>
      <c r="D13178" t="s">
        <v>36966</v>
      </c>
      <c r="E13178" t="s">
        <v>36978</v>
      </c>
      <c r="F13178" t="s">
        <v>36979</v>
      </c>
      <c r="J13178" t="s">
        <v>36978</v>
      </c>
      <c r="K13178" t="s">
        <v>36969</v>
      </c>
      <c r="L13178" t="s">
        <v>863</v>
      </c>
    </row>
    <row r="13179" spans="1:12">
      <c r="A13179" t="s">
        <v>36963</v>
      </c>
      <c r="B13179" t="s">
        <v>36964</v>
      </c>
      <c r="C13179" t="s">
        <v>36980</v>
      </c>
      <c r="D13179" t="s">
        <v>36966</v>
      </c>
      <c r="E13179" t="s">
        <v>655</v>
      </c>
      <c r="F13179" t="s">
        <v>656</v>
      </c>
    </row>
    <row r="13180" spans="1:12">
      <c r="A13180" t="s">
        <v>36981</v>
      </c>
      <c r="B13180" t="s">
        <v>36982</v>
      </c>
      <c r="C13180" t="s">
        <v>36983</v>
      </c>
      <c r="D13180" t="s">
        <v>36984</v>
      </c>
      <c r="E13180" t="s">
        <v>11524</v>
      </c>
      <c r="F13180" t="s">
        <v>36981</v>
      </c>
    </row>
    <row r="13181" spans="1:12">
      <c r="A13181" t="s">
        <v>36981</v>
      </c>
      <c r="B13181" t="s">
        <v>36982</v>
      </c>
      <c r="C13181" t="s">
        <v>36985</v>
      </c>
      <c r="D13181" t="s">
        <v>36984</v>
      </c>
      <c r="E13181" t="s">
        <v>655</v>
      </c>
      <c r="F13181" t="s">
        <v>656</v>
      </c>
    </row>
    <row r="13182" spans="1:12">
      <c r="A13182" t="s">
        <v>36986</v>
      </c>
      <c r="B13182" t="s">
        <v>36987</v>
      </c>
      <c r="C13182" t="s">
        <v>36988</v>
      </c>
      <c r="D13182" t="s">
        <v>36989</v>
      </c>
      <c r="E13182" t="s">
        <v>7180</v>
      </c>
      <c r="F13182" t="s">
        <v>36990</v>
      </c>
    </row>
    <row r="13183" spans="1:12">
      <c r="A13183" t="s">
        <v>36986</v>
      </c>
      <c r="B13183" t="s">
        <v>36987</v>
      </c>
      <c r="C13183" t="s">
        <v>36991</v>
      </c>
      <c r="D13183" t="s">
        <v>36989</v>
      </c>
      <c r="E13183" t="s">
        <v>31860</v>
      </c>
      <c r="F13183" t="s">
        <v>36992</v>
      </c>
    </row>
    <row r="13184" spans="1:12">
      <c r="A13184" t="s">
        <v>36986</v>
      </c>
      <c r="B13184" t="s">
        <v>36987</v>
      </c>
      <c r="C13184" t="s">
        <v>36993</v>
      </c>
      <c r="D13184" t="s">
        <v>36989</v>
      </c>
      <c r="E13184" t="s">
        <v>18549</v>
      </c>
      <c r="F13184" t="s">
        <v>36994</v>
      </c>
    </row>
    <row r="13185" spans="1:12">
      <c r="A13185" t="s">
        <v>36986</v>
      </c>
      <c r="B13185" t="s">
        <v>36987</v>
      </c>
      <c r="C13185" t="s">
        <v>36995</v>
      </c>
      <c r="D13185" t="s">
        <v>36989</v>
      </c>
      <c r="E13185" t="s">
        <v>36996</v>
      </c>
      <c r="F13185" t="s">
        <v>36997</v>
      </c>
      <c r="J13185" t="s">
        <v>36996</v>
      </c>
      <c r="K13185" t="s">
        <v>36998</v>
      </c>
      <c r="L13185" t="s">
        <v>814</v>
      </c>
    </row>
    <row r="13186" spans="1:12">
      <c r="A13186" t="s">
        <v>36986</v>
      </c>
      <c r="B13186" t="s">
        <v>36987</v>
      </c>
      <c r="C13186" t="s">
        <v>36999</v>
      </c>
      <c r="D13186" t="s">
        <v>36989</v>
      </c>
      <c r="E13186" t="s">
        <v>37000</v>
      </c>
      <c r="F13186" t="s">
        <v>8230</v>
      </c>
      <c r="J13186" t="s">
        <v>37000</v>
      </c>
      <c r="K13186" t="s">
        <v>36998</v>
      </c>
      <c r="L13186" t="s">
        <v>814</v>
      </c>
    </row>
    <row r="13187" spans="1:12">
      <c r="A13187" t="s">
        <v>36986</v>
      </c>
      <c r="B13187" t="s">
        <v>36987</v>
      </c>
      <c r="C13187" t="s">
        <v>37001</v>
      </c>
      <c r="D13187" t="s">
        <v>36989</v>
      </c>
      <c r="E13187" t="s">
        <v>37002</v>
      </c>
      <c r="F13187" t="s">
        <v>37003</v>
      </c>
      <c r="J13187" t="s">
        <v>37002</v>
      </c>
      <c r="K13187" t="s">
        <v>36998</v>
      </c>
      <c r="L13187" t="s">
        <v>814</v>
      </c>
    </row>
    <row r="13188" spans="1:12">
      <c r="A13188" t="s">
        <v>36986</v>
      </c>
      <c r="B13188" t="s">
        <v>36987</v>
      </c>
      <c r="C13188" t="s">
        <v>37004</v>
      </c>
      <c r="D13188" t="s">
        <v>36989</v>
      </c>
      <c r="E13188" t="s">
        <v>655</v>
      </c>
      <c r="F13188" t="s">
        <v>656</v>
      </c>
    </row>
    <row r="13189" spans="1:12">
      <c r="A13189" t="s">
        <v>36986</v>
      </c>
      <c r="B13189" t="s">
        <v>36987</v>
      </c>
      <c r="D13189" t="s">
        <v>36989</v>
      </c>
      <c r="F13189" t="s">
        <v>37005</v>
      </c>
      <c r="J13189" t="s">
        <v>37006</v>
      </c>
      <c r="K13189" t="s">
        <v>36998</v>
      </c>
      <c r="L13189" t="s">
        <v>814</v>
      </c>
    </row>
    <row r="13190" spans="1:12">
      <c r="A13190" t="s">
        <v>37007</v>
      </c>
      <c r="B13190" t="s">
        <v>37008</v>
      </c>
      <c r="C13190" t="s">
        <v>37009</v>
      </c>
      <c r="D13190" t="s">
        <v>37010</v>
      </c>
      <c r="E13190" t="s">
        <v>37011</v>
      </c>
      <c r="F13190" t="s">
        <v>37012</v>
      </c>
      <c r="J13190" t="s">
        <v>37011</v>
      </c>
      <c r="K13190" t="s">
        <v>10082</v>
      </c>
      <c r="L13190" t="s">
        <v>814</v>
      </c>
    </row>
    <row r="13191" spans="1:12">
      <c r="A13191" t="s">
        <v>37007</v>
      </c>
      <c r="B13191" t="s">
        <v>37008</v>
      </c>
      <c r="C13191" t="s">
        <v>37013</v>
      </c>
      <c r="D13191" t="s">
        <v>37010</v>
      </c>
      <c r="E13191" t="s">
        <v>37014</v>
      </c>
      <c r="F13191" t="s">
        <v>37015</v>
      </c>
      <c r="J13191" t="s">
        <v>37014</v>
      </c>
      <c r="K13191" t="s">
        <v>10082</v>
      </c>
      <c r="L13191" t="s">
        <v>814</v>
      </c>
    </row>
    <row r="13192" spans="1:12">
      <c r="A13192" t="s">
        <v>37007</v>
      </c>
      <c r="B13192" t="s">
        <v>37008</v>
      </c>
      <c r="C13192" t="s">
        <v>37016</v>
      </c>
      <c r="D13192" t="s">
        <v>37010</v>
      </c>
      <c r="E13192" t="s">
        <v>16289</v>
      </c>
      <c r="F13192" t="s">
        <v>37017</v>
      </c>
    </row>
    <row r="13193" spans="1:12">
      <c r="A13193" t="s">
        <v>37007</v>
      </c>
      <c r="B13193" t="s">
        <v>37008</v>
      </c>
      <c r="C13193" t="s">
        <v>37018</v>
      </c>
      <c r="D13193" t="s">
        <v>37010</v>
      </c>
      <c r="E13193" t="s">
        <v>16345</v>
      </c>
      <c r="F13193" t="s">
        <v>37019</v>
      </c>
    </row>
    <row r="13194" spans="1:12">
      <c r="A13194" t="s">
        <v>37007</v>
      </c>
      <c r="B13194" t="s">
        <v>37008</v>
      </c>
      <c r="C13194" t="s">
        <v>37020</v>
      </c>
      <c r="D13194" t="s">
        <v>37010</v>
      </c>
      <c r="E13194" t="s">
        <v>7139</v>
      </c>
      <c r="F13194" t="s">
        <v>37021</v>
      </c>
    </row>
    <row r="13195" spans="1:12">
      <c r="A13195" t="s">
        <v>37007</v>
      </c>
      <c r="B13195" t="s">
        <v>37008</v>
      </c>
      <c r="C13195" t="s">
        <v>37022</v>
      </c>
      <c r="D13195" t="s">
        <v>37010</v>
      </c>
      <c r="E13195" t="s">
        <v>37023</v>
      </c>
      <c r="F13195" t="s">
        <v>37024</v>
      </c>
    </row>
    <row r="13196" spans="1:12">
      <c r="A13196" t="s">
        <v>37007</v>
      </c>
      <c r="B13196" t="s">
        <v>37008</v>
      </c>
      <c r="C13196" t="s">
        <v>37025</v>
      </c>
      <c r="D13196" t="s">
        <v>37010</v>
      </c>
      <c r="E13196" t="s">
        <v>27099</v>
      </c>
      <c r="F13196" t="s">
        <v>10894</v>
      </c>
      <c r="J13196" t="s">
        <v>27099</v>
      </c>
      <c r="K13196" t="s">
        <v>10082</v>
      </c>
      <c r="L13196" t="s">
        <v>814</v>
      </c>
    </row>
    <row r="13197" spans="1:12">
      <c r="A13197" t="s">
        <v>37007</v>
      </c>
      <c r="B13197" t="s">
        <v>37008</v>
      </c>
      <c r="C13197" t="s">
        <v>37026</v>
      </c>
      <c r="D13197" t="s">
        <v>37010</v>
      </c>
      <c r="E13197" t="s">
        <v>37027</v>
      </c>
      <c r="F13197" t="s">
        <v>37028</v>
      </c>
      <c r="J13197" t="s">
        <v>37027</v>
      </c>
      <c r="K13197" t="s">
        <v>10082</v>
      </c>
      <c r="L13197" t="s">
        <v>814</v>
      </c>
    </row>
    <row r="13198" spans="1:12">
      <c r="A13198" t="s">
        <v>37007</v>
      </c>
      <c r="B13198" t="s">
        <v>37008</v>
      </c>
      <c r="C13198" t="s">
        <v>37029</v>
      </c>
      <c r="D13198" t="s">
        <v>37010</v>
      </c>
      <c r="E13198" t="s">
        <v>8644</v>
      </c>
      <c r="F13198" t="s">
        <v>37030</v>
      </c>
      <c r="J13198" t="s">
        <v>8644</v>
      </c>
      <c r="K13198" t="s">
        <v>10082</v>
      </c>
      <c r="L13198" t="s">
        <v>814</v>
      </c>
    </row>
    <row r="13199" spans="1:12">
      <c r="A13199" t="s">
        <v>37007</v>
      </c>
      <c r="B13199" t="s">
        <v>37008</v>
      </c>
      <c r="C13199" t="s">
        <v>37031</v>
      </c>
      <c r="D13199" t="s">
        <v>37010</v>
      </c>
      <c r="E13199" t="s">
        <v>27176</v>
      </c>
      <c r="F13199" t="s">
        <v>37032</v>
      </c>
      <c r="J13199" t="s">
        <v>27176</v>
      </c>
      <c r="K13199" t="s">
        <v>10082</v>
      </c>
      <c r="L13199" t="s">
        <v>814</v>
      </c>
    </row>
    <row r="13200" spans="1:12">
      <c r="A13200" t="s">
        <v>37007</v>
      </c>
      <c r="B13200" t="s">
        <v>37008</v>
      </c>
      <c r="C13200" t="s">
        <v>37033</v>
      </c>
      <c r="D13200" t="s">
        <v>37010</v>
      </c>
      <c r="E13200" t="s">
        <v>8108</v>
      </c>
      <c r="F13200" t="s">
        <v>37034</v>
      </c>
    </row>
    <row r="13201" spans="1:12">
      <c r="A13201" t="s">
        <v>37007</v>
      </c>
      <c r="B13201" t="s">
        <v>37008</v>
      </c>
      <c r="C13201" t="s">
        <v>37035</v>
      </c>
      <c r="D13201" t="s">
        <v>37010</v>
      </c>
      <c r="E13201" t="s">
        <v>14979</v>
      </c>
      <c r="F13201" t="s">
        <v>37036</v>
      </c>
      <c r="J13201" t="s">
        <v>14979</v>
      </c>
      <c r="K13201" t="s">
        <v>10082</v>
      </c>
      <c r="L13201" t="s">
        <v>814</v>
      </c>
    </row>
    <row r="13202" spans="1:12">
      <c r="A13202" t="s">
        <v>37007</v>
      </c>
      <c r="B13202" t="s">
        <v>37008</v>
      </c>
      <c r="C13202" t="s">
        <v>37037</v>
      </c>
      <c r="D13202" t="s">
        <v>37010</v>
      </c>
      <c r="E13202" t="s">
        <v>37038</v>
      </c>
      <c r="F13202" t="s">
        <v>37039</v>
      </c>
    </row>
    <row r="13203" spans="1:12">
      <c r="A13203" t="s">
        <v>37007</v>
      </c>
      <c r="B13203" t="s">
        <v>37008</v>
      </c>
      <c r="C13203" t="s">
        <v>37040</v>
      </c>
      <c r="D13203" t="s">
        <v>37010</v>
      </c>
      <c r="E13203" t="s">
        <v>37041</v>
      </c>
      <c r="F13203" t="s">
        <v>37042</v>
      </c>
      <c r="J13203" t="s">
        <v>37041</v>
      </c>
      <c r="K13203" t="s">
        <v>10082</v>
      </c>
      <c r="L13203" t="s">
        <v>814</v>
      </c>
    </row>
    <row r="13204" spans="1:12">
      <c r="A13204" t="s">
        <v>37007</v>
      </c>
      <c r="B13204" t="s">
        <v>37008</v>
      </c>
      <c r="C13204" t="s">
        <v>37043</v>
      </c>
      <c r="D13204" t="s">
        <v>37010</v>
      </c>
      <c r="E13204" t="s">
        <v>7165</v>
      </c>
      <c r="F13204" t="s">
        <v>37044</v>
      </c>
      <c r="J13204" t="s">
        <v>7165</v>
      </c>
      <c r="K13204" t="s">
        <v>10082</v>
      </c>
      <c r="L13204" t="s">
        <v>814</v>
      </c>
    </row>
    <row r="13205" spans="1:12">
      <c r="A13205" t="s">
        <v>37007</v>
      </c>
      <c r="B13205" t="s">
        <v>37008</v>
      </c>
      <c r="C13205" t="s">
        <v>37045</v>
      </c>
      <c r="D13205" t="s">
        <v>37010</v>
      </c>
      <c r="E13205" t="s">
        <v>12179</v>
      </c>
      <c r="F13205" t="s">
        <v>37046</v>
      </c>
      <c r="J13205" t="s">
        <v>12179</v>
      </c>
      <c r="K13205" t="s">
        <v>10082</v>
      </c>
      <c r="L13205" t="s">
        <v>814</v>
      </c>
    </row>
    <row r="13206" spans="1:12">
      <c r="A13206" t="s">
        <v>37007</v>
      </c>
      <c r="B13206" t="s">
        <v>37008</v>
      </c>
      <c r="C13206" t="s">
        <v>37047</v>
      </c>
      <c r="D13206" t="s">
        <v>37010</v>
      </c>
      <c r="E13206" t="s">
        <v>11825</v>
      </c>
      <c r="F13206" t="s">
        <v>37048</v>
      </c>
    </row>
    <row r="13207" spans="1:12">
      <c r="A13207" t="s">
        <v>37007</v>
      </c>
      <c r="B13207" t="s">
        <v>37008</v>
      </c>
      <c r="C13207" t="s">
        <v>37049</v>
      </c>
      <c r="D13207" t="s">
        <v>37010</v>
      </c>
      <c r="E13207" t="s">
        <v>15005</v>
      </c>
      <c r="F13207" t="s">
        <v>37050</v>
      </c>
      <c r="J13207" t="s">
        <v>15005</v>
      </c>
      <c r="K13207" t="s">
        <v>10082</v>
      </c>
      <c r="L13207" t="s">
        <v>814</v>
      </c>
    </row>
    <row r="13208" spans="1:12">
      <c r="A13208" t="s">
        <v>37007</v>
      </c>
      <c r="B13208" t="s">
        <v>37008</v>
      </c>
      <c r="C13208" t="s">
        <v>37051</v>
      </c>
      <c r="D13208" t="s">
        <v>37010</v>
      </c>
      <c r="E13208" t="s">
        <v>37052</v>
      </c>
      <c r="F13208" t="s">
        <v>37053</v>
      </c>
      <c r="J13208" t="s">
        <v>37052</v>
      </c>
      <c r="K13208" t="s">
        <v>10082</v>
      </c>
      <c r="L13208" t="s">
        <v>814</v>
      </c>
    </row>
    <row r="13209" spans="1:12">
      <c r="A13209" t="s">
        <v>37007</v>
      </c>
      <c r="B13209" t="s">
        <v>37008</v>
      </c>
      <c r="C13209" t="s">
        <v>37054</v>
      </c>
      <c r="D13209" t="s">
        <v>37010</v>
      </c>
      <c r="E13209" t="s">
        <v>37055</v>
      </c>
      <c r="F13209" t="s">
        <v>37056</v>
      </c>
      <c r="J13209" t="s">
        <v>37055</v>
      </c>
      <c r="K13209" t="s">
        <v>10082</v>
      </c>
      <c r="L13209" t="s">
        <v>814</v>
      </c>
    </row>
    <row r="13210" spans="1:12">
      <c r="A13210" t="s">
        <v>37007</v>
      </c>
      <c r="B13210" t="s">
        <v>37008</v>
      </c>
      <c r="C13210" t="s">
        <v>37057</v>
      </c>
      <c r="D13210" t="s">
        <v>37010</v>
      </c>
      <c r="E13210" t="s">
        <v>37058</v>
      </c>
      <c r="F13210" t="s">
        <v>37059</v>
      </c>
      <c r="J13210" t="s">
        <v>37058</v>
      </c>
      <c r="K13210" t="s">
        <v>10082</v>
      </c>
      <c r="L13210" t="s">
        <v>814</v>
      </c>
    </row>
    <row r="13211" spans="1:12">
      <c r="A13211" t="s">
        <v>37007</v>
      </c>
      <c r="B13211" t="s">
        <v>37008</v>
      </c>
      <c r="C13211" t="s">
        <v>37060</v>
      </c>
      <c r="D13211" t="s">
        <v>37010</v>
      </c>
      <c r="E13211" t="s">
        <v>37061</v>
      </c>
      <c r="F13211" t="s">
        <v>37062</v>
      </c>
      <c r="J13211" t="s">
        <v>37061</v>
      </c>
      <c r="K13211" t="s">
        <v>10082</v>
      </c>
      <c r="L13211" t="s">
        <v>814</v>
      </c>
    </row>
    <row r="13212" spans="1:12">
      <c r="A13212" t="s">
        <v>37007</v>
      </c>
      <c r="B13212" t="s">
        <v>37008</v>
      </c>
      <c r="C13212" t="s">
        <v>37063</v>
      </c>
      <c r="D13212" t="s">
        <v>37010</v>
      </c>
      <c r="E13212" t="s">
        <v>37064</v>
      </c>
      <c r="F13212" t="s">
        <v>37065</v>
      </c>
    </row>
    <row r="13213" spans="1:12">
      <c r="A13213" t="s">
        <v>37007</v>
      </c>
      <c r="B13213" t="s">
        <v>37008</v>
      </c>
      <c r="C13213" t="s">
        <v>37066</v>
      </c>
      <c r="D13213" t="s">
        <v>37010</v>
      </c>
      <c r="E13213" t="s">
        <v>37067</v>
      </c>
      <c r="F13213" t="s">
        <v>1145</v>
      </c>
      <c r="J13213" t="s">
        <v>37067</v>
      </c>
      <c r="K13213" t="s">
        <v>10082</v>
      </c>
      <c r="L13213" t="s">
        <v>814</v>
      </c>
    </row>
    <row r="13214" spans="1:12">
      <c r="A13214" t="s">
        <v>37007</v>
      </c>
      <c r="B13214" t="s">
        <v>37008</v>
      </c>
      <c r="C13214" t="s">
        <v>37068</v>
      </c>
      <c r="D13214" t="s">
        <v>37010</v>
      </c>
      <c r="E13214" t="s">
        <v>37069</v>
      </c>
      <c r="F13214" t="s">
        <v>37070</v>
      </c>
      <c r="J13214" t="s">
        <v>37069</v>
      </c>
      <c r="K13214" t="s">
        <v>10082</v>
      </c>
      <c r="L13214" t="s">
        <v>814</v>
      </c>
    </row>
    <row r="13215" spans="1:12">
      <c r="A13215" t="s">
        <v>37007</v>
      </c>
      <c r="B13215" t="s">
        <v>37008</v>
      </c>
      <c r="C13215" t="s">
        <v>37071</v>
      </c>
      <c r="D13215" t="s">
        <v>37010</v>
      </c>
      <c r="E13215" t="s">
        <v>37072</v>
      </c>
      <c r="F13215" t="s">
        <v>37073</v>
      </c>
    </row>
    <row r="13216" spans="1:12">
      <c r="A13216" t="s">
        <v>37007</v>
      </c>
      <c r="B13216" t="s">
        <v>37008</v>
      </c>
      <c r="C13216" t="s">
        <v>37074</v>
      </c>
      <c r="D13216" t="s">
        <v>37010</v>
      </c>
      <c r="E13216" t="s">
        <v>37075</v>
      </c>
      <c r="F13216" t="s">
        <v>37076</v>
      </c>
      <c r="J13216" t="s">
        <v>37075</v>
      </c>
      <c r="K13216" t="s">
        <v>10082</v>
      </c>
      <c r="L13216" t="s">
        <v>814</v>
      </c>
    </row>
    <row r="13217" spans="1:12">
      <c r="A13217" t="s">
        <v>37007</v>
      </c>
      <c r="B13217" t="s">
        <v>37008</v>
      </c>
      <c r="C13217" t="s">
        <v>37077</v>
      </c>
      <c r="D13217" t="s">
        <v>37010</v>
      </c>
      <c r="E13217" t="s">
        <v>10948</v>
      </c>
      <c r="F13217" t="s">
        <v>37078</v>
      </c>
      <c r="J13217" t="s">
        <v>10948</v>
      </c>
      <c r="K13217" t="s">
        <v>10082</v>
      </c>
      <c r="L13217" t="s">
        <v>814</v>
      </c>
    </row>
    <row r="13218" spans="1:12">
      <c r="A13218" t="s">
        <v>37007</v>
      </c>
      <c r="B13218" t="s">
        <v>37008</v>
      </c>
      <c r="C13218" t="s">
        <v>37079</v>
      </c>
      <c r="D13218" t="s">
        <v>37010</v>
      </c>
      <c r="E13218" t="s">
        <v>3681</v>
      </c>
      <c r="F13218" t="s">
        <v>37080</v>
      </c>
      <c r="J13218" t="s">
        <v>3681</v>
      </c>
      <c r="K13218" t="s">
        <v>10082</v>
      </c>
      <c r="L13218" t="s">
        <v>814</v>
      </c>
    </row>
    <row r="13219" spans="1:12">
      <c r="A13219" t="s">
        <v>37007</v>
      </c>
      <c r="B13219" t="s">
        <v>37008</v>
      </c>
      <c r="C13219" t="s">
        <v>37081</v>
      </c>
      <c r="D13219" t="s">
        <v>37010</v>
      </c>
      <c r="E13219" t="s">
        <v>9052</v>
      </c>
      <c r="F13219" t="s">
        <v>37082</v>
      </c>
    </row>
    <row r="13220" spans="1:12">
      <c r="A13220" t="s">
        <v>37007</v>
      </c>
      <c r="B13220" t="s">
        <v>37008</v>
      </c>
      <c r="C13220" t="s">
        <v>37083</v>
      </c>
      <c r="D13220" t="s">
        <v>37010</v>
      </c>
      <c r="E13220" t="s">
        <v>37084</v>
      </c>
      <c r="F13220" t="s">
        <v>37085</v>
      </c>
      <c r="J13220" t="s">
        <v>37084</v>
      </c>
      <c r="K13220" t="s">
        <v>10082</v>
      </c>
      <c r="L13220" t="s">
        <v>814</v>
      </c>
    </row>
    <row r="13221" spans="1:12">
      <c r="A13221" t="s">
        <v>37007</v>
      </c>
      <c r="B13221" t="s">
        <v>37008</v>
      </c>
      <c r="C13221" t="s">
        <v>37086</v>
      </c>
      <c r="D13221" t="s">
        <v>37010</v>
      </c>
      <c r="E13221" t="s">
        <v>37087</v>
      </c>
      <c r="F13221" t="s">
        <v>37088</v>
      </c>
      <c r="J13221" t="s">
        <v>37087</v>
      </c>
      <c r="K13221" t="s">
        <v>10082</v>
      </c>
      <c r="L13221" t="s">
        <v>814</v>
      </c>
    </row>
    <row r="13222" spans="1:12">
      <c r="A13222" t="s">
        <v>37007</v>
      </c>
      <c r="B13222" t="s">
        <v>37008</v>
      </c>
      <c r="C13222" t="s">
        <v>37089</v>
      </c>
      <c r="D13222" t="s">
        <v>37010</v>
      </c>
      <c r="E13222" t="s">
        <v>37090</v>
      </c>
      <c r="F13222" t="s">
        <v>37091</v>
      </c>
      <c r="J13222" t="s">
        <v>37090</v>
      </c>
      <c r="K13222" t="s">
        <v>10082</v>
      </c>
      <c r="L13222" t="s">
        <v>814</v>
      </c>
    </row>
    <row r="13223" spans="1:12">
      <c r="A13223" t="s">
        <v>37007</v>
      </c>
      <c r="B13223" t="s">
        <v>37008</v>
      </c>
      <c r="C13223" t="s">
        <v>37092</v>
      </c>
      <c r="D13223" t="s">
        <v>37010</v>
      </c>
      <c r="E13223" t="s">
        <v>9340</v>
      </c>
      <c r="F13223" t="s">
        <v>37093</v>
      </c>
    </row>
    <row r="13224" spans="1:12">
      <c r="A13224" t="s">
        <v>37007</v>
      </c>
      <c r="B13224" t="s">
        <v>37008</v>
      </c>
      <c r="C13224" t="s">
        <v>37094</v>
      </c>
      <c r="D13224" t="s">
        <v>37010</v>
      </c>
      <c r="E13224" t="s">
        <v>37095</v>
      </c>
      <c r="F13224" t="s">
        <v>37096</v>
      </c>
    </row>
    <row r="13225" spans="1:12">
      <c r="A13225" t="s">
        <v>37007</v>
      </c>
      <c r="B13225" t="s">
        <v>37008</v>
      </c>
      <c r="C13225" t="s">
        <v>37097</v>
      </c>
      <c r="D13225" t="s">
        <v>37010</v>
      </c>
      <c r="E13225" t="s">
        <v>37098</v>
      </c>
      <c r="F13225" t="s">
        <v>37099</v>
      </c>
      <c r="J13225" t="s">
        <v>37098</v>
      </c>
      <c r="K13225" t="s">
        <v>10082</v>
      </c>
      <c r="L13225" t="s">
        <v>814</v>
      </c>
    </row>
    <row r="13226" spans="1:12">
      <c r="A13226" t="s">
        <v>37007</v>
      </c>
      <c r="B13226" t="s">
        <v>37008</v>
      </c>
      <c r="C13226" t="s">
        <v>37100</v>
      </c>
      <c r="D13226" t="s">
        <v>37010</v>
      </c>
      <c r="E13226" t="s">
        <v>37101</v>
      </c>
      <c r="F13226" t="s">
        <v>37102</v>
      </c>
      <c r="J13226" t="s">
        <v>37101</v>
      </c>
      <c r="K13226" t="s">
        <v>10082</v>
      </c>
      <c r="L13226" t="s">
        <v>814</v>
      </c>
    </row>
    <row r="13227" spans="1:12">
      <c r="A13227" t="s">
        <v>37007</v>
      </c>
      <c r="B13227" t="s">
        <v>37008</v>
      </c>
      <c r="C13227" t="s">
        <v>37103</v>
      </c>
      <c r="D13227" t="s">
        <v>37010</v>
      </c>
      <c r="E13227" t="s">
        <v>33906</v>
      </c>
      <c r="F13227" t="s">
        <v>37104</v>
      </c>
    </row>
    <row r="13228" spans="1:12">
      <c r="A13228" t="s">
        <v>37007</v>
      </c>
      <c r="B13228" t="s">
        <v>37008</v>
      </c>
      <c r="C13228" t="s">
        <v>37105</v>
      </c>
      <c r="D13228" t="s">
        <v>37010</v>
      </c>
      <c r="E13228" t="s">
        <v>37106</v>
      </c>
      <c r="F13228" t="s">
        <v>37107</v>
      </c>
      <c r="J13228" t="s">
        <v>37106</v>
      </c>
      <c r="K13228" t="s">
        <v>10082</v>
      </c>
      <c r="L13228" t="s">
        <v>814</v>
      </c>
    </row>
    <row r="13229" spans="1:12">
      <c r="A13229" t="s">
        <v>37007</v>
      </c>
      <c r="B13229" t="s">
        <v>37008</v>
      </c>
      <c r="C13229" t="s">
        <v>37108</v>
      </c>
      <c r="D13229" t="s">
        <v>37010</v>
      </c>
      <c r="E13229" t="s">
        <v>37109</v>
      </c>
      <c r="F13229" t="s">
        <v>37110</v>
      </c>
    </row>
    <row r="13230" spans="1:12">
      <c r="A13230" t="s">
        <v>37007</v>
      </c>
      <c r="B13230" t="s">
        <v>37008</v>
      </c>
      <c r="C13230" t="s">
        <v>37111</v>
      </c>
      <c r="D13230" t="s">
        <v>37010</v>
      </c>
      <c r="E13230" t="s">
        <v>34046</v>
      </c>
      <c r="F13230" t="s">
        <v>37112</v>
      </c>
    </row>
    <row r="13231" spans="1:12">
      <c r="A13231" t="s">
        <v>37007</v>
      </c>
      <c r="B13231" t="s">
        <v>37008</v>
      </c>
      <c r="C13231" t="s">
        <v>37113</v>
      </c>
      <c r="D13231" t="s">
        <v>37010</v>
      </c>
      <c r="E13231" t="s">
        <v>8141</v>
      </c>
      <c r="F13231" t="s">
        <v>37114</v>
      </c>
      <c r="J13231" t="s">
        <v>8141</v>
      </c>
      <c r="K13231" t="s">
        <v>10082</v>
      </c>
      <c r="L13231" t="s">
        <v>814</v>
      </c>
    </row>
    <row r="13232" spans="1:12">
      <c r="A13232" t="s">
        <v>37007</v>
      </c>
      <c r="B13232" t="s">
        <v>37008</v>
      </c>
      <c r="C13232" t="s">
        <v>37115</v>
      </c>
      <c r="D13232" t="s">
        <v>37010</v>
      </c>
      <c r="E13232" t="s">
        <v>34280</v>
      </c>
      <c r="F13232" t="s">
        <v>37116</v>
      </c>
    </row>
    <row r="13233" spans="1:12">
      <c r="A13233" t="s">
        <v>37007</v>
      </c>
      <c r="B13233" t="s">
        <v>37008</v>
      </c>
      <c r="C13233" t="s">
        <v>37117</v>
      </c>
      <c r="D13233" t="s">
        <v>37010</v>
      </c>
      <c r="E13233" t="s">
        <v>37118</v>
      </c>
      <c r="F13233" t="s">
        <v>37119</v>
      </c>
      <c r="J13233" t="s">
        <v>37118</v>
      </c>
      <c r="K13233" t="s">
        <v>10082</v>
      </c>
      <c r="L13233" t="s">
        <v>814</v>
      </c>
    </row>
    <row r="13234" spans="1:12">
      <c r="A13234" t="s">
        <v>37007</v>
      </c>
      <c r="B13234" t="s">
        <v>37008</v>
      </c>
      <c r="C13234" t="s">
        <v>37120</v>
      </c>
      <c r="D13234" t="s">
        <v>37010</v>
      </c>
      <c r="E13234" t="s">
        <v>34515</v>
      </c>
      <c r="F13234" t="s">
        <v>8172</v>
      </c>
    </row>
    <row r="13235" spans="1:12">
      <c r="A13235" t="s">
        <v>37007</v>
      </c>
      <c r="B13235" t="s">
        <v>37008</v>
      </c>
      <c r="C13235" t="s">
        <v>37121</v>
      </c>
      <c r="D13235" t="s">
        <v>37010</v>
      </c>
      <c r="E13235" t="s">
        <v>15219</v>
      </c>
      <c r="F13235" t="s">
        <v>37122</v>
      </c>
      <c r="J13235" t="s">
        <v>15219</v>
      </c>
      <c r="K13235" t="s">
        <v>10082</v>
      </c>
      <c r="L13235" t="s">
        <v>814</v>
      </c>
    </row>
    <row r="13236" spans="1:12">
      <c r="A13236" t="s">
        <v>37007</v>
      </c>
      <c r="B13236" t="s">
        <v>37008</v>
      </c>
      <c r="C13236" t="s">
        <v>37123</v>
      </c>
      <c r="D13236" t="s">
        <v>37010</v>
      </c>
      <c r="E13236" t="s">
        <v>37124</v>
      </c>
      <c r="F13236" t="s">
        <v>37125</v>
      </c>
      <c r="J13236" t="s">
        <v>37124</v>
      </c>
      <c r="K13236" t="s">
        <v>10082</v>
      </c>
      <c r="L13236" t="s">
        <v>814</v>
      </c>
    </row>
    <row r="13237" spans="1:12">
      <c r="A13237" t="s">
        <v>37007</v>
      </c>
      <c r="B13237" t="s">
        <v>37008</v>
      </c>
      <c r="C13237" t="s">
        <v>37126</v>
      </c>
      <c r="D13237" t="s">
        <v>37010</v>
      </c>
      <c r="E13237" t="s">
        <v>37127</v>
      </c>
      <c r="F13237" t="s">
        <v>37128</v>
      </c>
      <c r="J13237" t="s">
        <v>37127</v>
      </c>
      <c r="K13237" t="s">
        <v>10082</v>
      </c>
      <c r="L13237" t="s">
        <v>814</v>
      </c>
    </row>
    <row r="13238" spans="1:12">
      <c r="A13238" t="s">
        <v>37007</v>
      </c>
      <c r="B13238" t="s">
        <v>37008</v>
      </c>
      <c r="C13238" t="s">
        <v>37129</v>
      </c>
      <c r="D13238" t="s">
        <v>37010</v>
      </c>
      <c r="E13238" t="s">
        <v>25747</v>
      </c>
      <c r="F13238" t="s">
        <v>37130</v>
      </c>
    </row>
    <row r="13239" spans="1:12">
      <c r="A13239" t="s">
        <v>37007</v>
      </c>
      <c r="B13239" t="s">
        <v>37008</v>
      </c>
      <c r="C13239" t="s">
        <v>37131</v>
      </c>
      <c r="D13239" t="s">
        <v>37010</v>
      </c>
      <c r="E13239" t="s">
        <v>37132</v>
      </c>
      <c r="F13239" t="s">
        <v>37133</v>
      </c>
    </row>
    <row r="13240" spans="1:12">
      <c r="A13240" t="s">
        <v>37007</v>
      </c>
      <c r="B13240" t="s">
        <v>37008</v>
      </c>
      <c r="C13240" t="s">
        <v>37134</v>
      </c>
      <c r="D13240" t="s">
        <v>37010</v>
      </c>
      <c r="E13240" t="s">
        <v>37135</v>
      </c>
      <c r="F13240" t="s">
        <v>10555</v>
      </c>
      <c r="J13240" t="s">
        <v>37135</v>
      </c>
      <c r="K13240" t="s">
        <v>10082</v>
      </c>
      <c r="L13240" t="s">
        <v>814</v>
      </c>
    </row>
    <row r="13241" spans="1:12">
      <c r="A13241" t="s">
        <v>37007</v>
      </c>
      <c r="B13241" t="s">
        <v>37008</v>
      </c>
      <c r="C13241" t="s">
        <v>37136</v>
      </c>
      <c r="D13241" t="s">
        <v>37010</v>
      </c>
      <c r="E13241" t="s">
        <v>37137</v>
      </c>
      <c r="F13241" t="s">
        <v>37138</v>
      </c>
    </row>
    <row r="13242" spans="1:12">
      <c r="A13242" t="s">
        <v>37007</v>
      </c>
      <c r="B13242" t="s">
        <v>37008</v>
      </c>
      <c r="C13242" t="s">
        <v>37139</v>
      </c>
      <c r="D13242" t="s">
        <v>37010</v>
      </c>
      <c r="E13242" t="s">
        <v>22580</v>
      </c>
      <c r="F13242" t="s">
        <v>37140</v>
      </c>
    </row>
    <row r="13243" spans="1:12">
      <c r="A13243" t="s">
        <v>37007</v>
      </c>
      <c r="B13243" t="s">
        <v>37008</v>
      </c>
      <c r="C13243" t="s">
        <v>37141</v>
      </c>
      <c r="D13243" t="s">
        <v>37010</v>
      </c>
      <c r="E13243" t="s">
        <v>2765</v>
      </c>
      <c r="F13243" t="s">
        <v>37142</v>
      </c>
    </row>
    <row r="13244" spans="1:12">
      <c r="A13244" t="s">
        <v>37007</v>
      </c>
      <c r="B13244" t="s">
        <v>37008</v>
      </c>
      <c r="C13244" t="s">
        <v>37143</v>
      </c>
      <c r="D13244" t="s">
        <v>37010</v>
      </c>
      <c r="E13244" t="s">
        <v>26794</v>
      </c>
      <c r="F13244" t="s">
        <v>37144</v>
      </c>
    </row>
    <row r="13245" spans="1:12">
      <c r="A13245" t="s">
        <v>37007</v>
      </c>
      <c r="B13245" t="s">
        <v>37008</v>
      </c>
      <c r="C13245" t="s">
        <v>37145</v>
      </c>
      <c r="D13245" t="s">
        <v>37010</v>
      </c>
      <c r="E13245" t="s">
        <v>37146</v>
      </c>
      <c r="F13245" t="s">
        <v>37147</v>
      </c>
      <c r="J13245" t="s">
        <v>37146</v>
      </c>
      <c r="K13245" t="s">
        <v>10082</v>
      </c>
      <c r="L13245" t="s">
        <v>814</v>
      </c>
    </row>
    <row r="13246" spans="1:12">
      <c r="A13246" t="s">
        <v>37007</v>
      </c>
      <c r="B13246" t="s">
        <v>37008</v>
      </c>
      <c r="C13246" t="s">
        <v>37148</v>
      </c>
      <c r="D13246" t="s">
        <v>37010</v>
      </c>
      <c r="E13246" t="s">
        <v>28057</v>
      </c>
      <c r="F13246" t="s">
        <v>37149</v>
      </c>
    </row>
    <row r="13247" spans="1:12">
      <c r="A13247" t="s">
        <v>37007</v>
      </c>
      <c r="B13247" t="s">
        <v>37008</v>
      </c>
      <c r="C13247" t="s">
        <v>37150</v>
      </c>
      <c r="D13247" t="s">
        <v>37010</v>
      </c>
      <c r="E13247" t="s">
        <v>37151</v>
      </c>
      <c r="F13247" t="s">
        <v>37152</v>
      </c>
      <c r="J13247" t="s">
        <v>37151</v>
      </c>
      <c r="K13247" t="s">
        <v>10082</v>
      </c>
      <c r="L13247" t="s">
        <v>814</v>
      </c>
    </row>
    <row r="13248" spans="1:12">
      <c r="A13248" t="s">
        <v>37007</v>
      </c>
      <c r="B13248" t="s">
        <v>37008</v>
      </c>
      <c r="C13248" t="s">
        <v>37153</v>
      </c>
      <c r="D13248" t="s">
        <v>37010</v>
      </c>
      <c r="E13248" t="s">
        <v>37154</v>
      </c>
      <c r="F13248" t="s">
        <v>37155</v>
      </c>
      <c r="J13248" t="s">
        <v>37154</v>
      </c>
      <c r="K13248" t="s">
        <v>10082</v>
      </c>
      <c r="L13248" t="s">
        <v>814</v>
      </c>
    </row>
    <row r="13249" spans="1:12">
      <c r="A13249" t="s">
        <v>37007</v>
      </c>
      <c r="B13249" t="s">
        <v>37008</v>
      </c>
      <c r="C13249" t="s">
        <v>37156</v>
      </c>
      <c r="D13249" t="s">
        <v>37010</v>
      </c>
      <c r="E13249" t="s">
        <v>14518</v>
      </c>
      <c r="F13249" t="s">
        <v>37157</v>
      </c>
    </row>
    <row r="13250" spans="1:12">
      <c r="A13250" t="s">
        <v>37007</v>
      </c>
      <c r="B13250" t="s">
        <v>37008</v>
      </c>
      <c r="C13250" t="s">
        <v>37158</v>
      </c>
      <c r="D13250" t="s">
        <v>37010</v>
      </c>
      <c r="E13250" t="s">
        <v>37159</v>
      </c>
      <c r="F13250" t="s">
        <v>37160</v>
      </c>
      <c r="J13250" t="s">
        <v>37159</v>
      </c>
      <c r="K13250" t="s">
        <v>10082</v>
      </c>
      <c r="L13250" t="s">
        <v>814</v>
      </c>
    </row>
    <row r="13251" spans="1:12">
      <c r="A13251" t="s">
        <v>37007</v>
      </c>
      <c r="B13251" t="s">
        <v>37008</v>
      </c>
      <c r="C13251" t="s">
        <v>37161</v>
      </c>
      <c r="D13251" t="s">
        <v>37010</v>
      </c>
      <c r="E13251" t="s">
        <v>11421</v>
      </c>
      <c r="F13251" t="s">
        <v>37162</v>
      </c>
      <c r="J13251" t="s">
        <v>11421</v>
      </c>
      <c r="K13251" t="s">
        <v>10082</v>
      </c>
      <c r="L13251" t="s">
        <v>814</v>
      </c>
    </row>
    <row r="13252" spans="1:12">
      <c r="A13252" t="s">
        <v>37007</v>
      </c>
      <c r="B13252" t="s">
        <v>37008</v>
      </c>
      <c r="C13252" t="s">
        <v>37163</v>
      </c>
      <c r="D13252" t="s">
        <v>37010</v>
      </c>
      <c r="E13252" t="s">
        <v>37164</v>
      </c>
      <c r="F13252" t="s">
        <v>37165</v>
      </c>
      <c r="J13252" t="s">
        <v>37164</v>
      </c>
      <c r="K13252" t="s">
        <v>10082</v>
      </c>
      <c r="L13252" t="s">
        <v>814</v>
      </c>
    </row>
    <row r="13253" spans="1:12">
      <c r="A13253" t="s">
        <v>37007</v>
      </c>
      <c r="B13253" t="s">
        <v>37008</v>
      </c>
      <c r="C13253" t="s">
        <v>37166</v>
      </c>
      <c r="D13253" t="s">
        <v>37010</v>
      </c>
      <c r="E13253" t="s">
        <v>25037</v>
      </c>
      <c r="F13253" t="s">
        <v>37167</v>
      </c>
      <c r="J13253" t="s">
        <v>25037</v>
      </c>
      <c r="K13253" t="s">
        <v>10082</v>
      </c>
      <c r="L13253" t="s">
        <v>814</v>
      </c>
    </row>
    <row r="13254" spans="1:12">
      <c r="A13254" t="s">
        <v>37007</v>
      </c>
      <c r="B13254" t="s">
        <v>37008</v>
      </c>
      <c r="C13254" t="s">
        <v>37168</v>
      </c>
      <c r="D13254" t="s">
        <v>37010</v>
      </c>
      <c r="E13254" t="s">
        <v>37169</v>
      </c>
      <c r="F13254" t="s">
        <v>11060</v>
      </c>
      <c r="J13254" t="s">
        <v>37169</v>
      </c>
      <c r="K13254" t="s">
        <v>10082</v>
      </c>
      <c r="L13254" t="s">
        <v>814</v>
      </c>
    </row>
    <row r="13255" spans="1:12">
      <c r="A13255" t="s">
        <v>37007</v>
      </c>
      <c r="B13255" t="s">
        <v>37008</v>
      </c>
      <c r="C13255" t="s">
        <v>37170</v>
      </c>
      <c r="D13255" t="s">
        <v>37010</v>
      </c>
      <c r="E13255" t="s">
        <v>37171</v>
      </c>
      <c r="F13255" t="s">
        <v>37172</v>
      </c>
      <c r="J13255" t="s">
        <v>37171</v>
      </c>
      <c r="K13255" t="s">
        <v>10082</v>
      </c>
      <c r="L13255" t="s">
        <v>814</v>
      </c>
    </row>
    <row r="13256" spans="1:12">
      <c r="A13256" t="s">
        <v>37007</v>
      </c>
      <c r="B13256" t="s">
        <v>37008</v>
      </c>
      <c r="C13256" t="s">
        <v>37173</v>
      </c>
      <c r="D13256" t="s">
        <v>37010</v>
      </c>
      <c r="E13256" t="s">
        <v>28592</v>
      </c>
      <c r="F13256" t="s">
        <v>37174</v>
      </c>
    </row>
    <row r="13257" spans="1:12">
      <c r="A13257" t="s">
        <v>37007</v>
      </c>
      <c r="B13257" t="s">
        <v>37008</v>
      </c>
      <c r="C13257" t="s">
        <v>37175</v>
      </c>
      <c r="D13257" t="s">
        <v>37010</v>
      </c>
      <c r="E13257" t="s">
        <v>37176</v>
      </c>
      <c r="F13257" t="s">
        <v>37177</v>
      </c>
      <c r="J13257" t="s">
        <v>37176</v>
      </c>
      <c r="K13257" t="s">
        <v>10082</v>
      </c>
      <c r="L13257" t="s">
        <v>814</v>
      </c>
    </row>
    <row r="13258" spans="1:12">
      <c r="A13258" t="s">
        <v>37007</v>
      </c>
      <c r="B13258" t="s">
        <v>37008</v>
      </c>
      <c r="C13258" t="s">
        <v>37178</v>
      </c>
      <c r="D13258" t="s">
        <v>37010</v>
      </c>
      <c r="E13258" t="s">
        <v>35944</v>
      </c>
      <c r="F13258" t="s">
        <v>37179</v>
      </c>
      <c r="J13258" t="s">
        <v>35944</v>
      </c>
      <c r="K13258" t="s">
        <v>10082</v>
      </c>
      <c r="L13258" t="s">
        <v>814</v>
      </c>
    </row>
    <row r="13259" spans="1:12">
      <c r="A13259" t="s">
        <v>37007</v>
      </c>
      <c r="B13259" t="s">
        <v>37008</v>
      </c>
      <c r="C13259" t="s">
        <v>37180</v>
      </c>
      <c r="D13259" t="s">
        <v>37010</v>
      </c>
      <c r="E13259" t="s">
        <v>3524</v>
      </c>
      <c r="F13259" t="s">
        <v>37181</v>
      </c>
      <c r="J13259" t="s">
        <v>3524</v>
      </c>
      <c r="K13259" t="s">
        <v>10082</v>
      </c>
      <c r="L13259" t="s">
        <v>814</v>
      </c>
    </row>
    <row r="13260" spans="1:12">
      <c r="A13260" t="s">
        <v>37007</v>
      </c>
      <c r="B13260" t="s">
        <v>37008</v>
      </c>
      <c r="C13260" t="s">
        <v>37182</v>
      </c>
      <c r="D13260" t="s">
        <v>37010</v>
      </c>
      <c r="E13260" t="s">
        <v>9972</v>
      </c>
      <c r="F13260" t="s">
        <v>37183</v>
      </c>
      <c r="J13260" t="s">
        <v>9972</v>
      </c>
      <c r="K13260" t="s">
        <v>10082</v>
      </c>
      <c r="L13260" t="s">
        <v>814</v>
      </c>
    </row>
    <row r="13261" spans="1:12">
      <c r="A13261" t="s">
        <v>37007</v>
      </c>
      <c r="B13261" t="s">
        <v>37008</v>
      </c>
      <c r="C13261" t="s">
        <v>37184</v>
      </c>
      <c r="D13261" t="s">
        <v>37010</v>
      </c>
      <c r="E13261" t="s">
        <v>9975</v>
      </c>
      <c r="F13261" t="s">
        <v>10545</v>
      </c>
      <c r="J13261" t="s">
        <v>9975</v>
      </c>
      <c r="K13261" t="s">
        <v>10082</v>
      </c>
      <c r="L13261" t="s">
        <v>814</v>
      </c>
    </row>
    <row r="13262" spans="1:12">
      <c r="A13262" t="s">
        <v>37007</v>
      </c>
      <c r="B13262" t="s">
        <v>37008</v>
      </c>
      <c r="C13262" t="s">
        <v>37185</v>
      </c>
      <c r="D13262" t="s">
        <v>37010</v>
      </c>
      <c r="E13262" t="s">
        <v>25425</v>
      </c>
      <c r="F13262" t="s">
        <v>29785</v>
      </c>
      <c r="J13262" t="s">
        <v>25425</v>
      </c>
      <c r="K13262" t="s">
        <v>10082</v>
      </c>
      <c r="L13262" t="s">
        <v>814</v>
      </c>
    </row>
    <row r="13263" spans="1:12">
      <c r="A13263" t="s">
        <v>37007</v>
      </c>
      <c r="B13263" t="s">
        <v>37008</v>
      </c>
      <c r="C13263" t="s">
        <v>37186</v>
      </c>
      <c r="D13263" t="s">
        <v>37010</v>
      </c>
      <c r="E13263" t="s">
        <v>37187</v>
      </c>
      <c r="F13263" t="s">
        <v>6995</v>
      </c>
      <c r="J13263" t="s">
        <v>37187</v>
      </c>
      <c r="K13263" t="s">
        <v>10082</v>
      </c>
      <c r="L13263" t="s">
        <v>814</v>
      </c>
    </row>
    <row r="13264" spans="1:12">
      <c r="A13264" t="s">
        <v>37007</v>
      </c>
      <c r="B13264" t="s">
        <v>37008</v>
      </c>
      <c r="C13264" t="s">
        <v>37188</v>
      </c>
      <c r="D13264" t="s">
        <v>37010</v>
      </c>
      <c r="E13264" t="s">
        <v>37189</v>
      </c>
      <c r="F13264" t="s">
        <v>37190</v>
      </c>
    </row>
    <row r="13265" spans="1:12">
      <c r="A13265" t="s">
        <v>37007</v>
      </c>
      <c r="B13265" t="s">
        <v>37008</v>
      </c>
      <c r="C13265" t="s">
        <v>37191</v>
      </c>
      <c r="D13265" t="s">
        <v>37010</v>
      </c>
      <c r="E13265" t="s">
        <v>14668</v>
      </c>
      <c r="F13265" t="s">
        <v>37192</v>
      </c>
      <c r="J13265" t="s">
        <v>14668</v>
      </c>
      <c r="K13265" t="s">
        <v>10082</v>
      </c>
      <c r="L13265" t="s">
        <v>814</v>
      </c>
    </row>
    <row r="13266" spans="1:12">
      <c r="A13266" t="s">
        <v>37007</v>
      </c>
      <c r="B13266" t="s">
        <v>37008</v>
      </c>
      <c r="C13266" t="s">
        <v>37193</v>
      </c>
      <c r="D13266" t="s">
        <v>37010</v>
      </c>
      <c r="E13266" t="s">
        <v>37194</v>
      </c>
      <c r="F13266" t="s">
        <v>37195</v>
      </c>
      <c r="J13266" t="s">
        <v>37194</v>
      </c>
      <c r="K13266" t="s">
        <v>10082</v>
      </c>
      <c r="L13266" t="s">
        <v>814</v>
      </c>
    </row>
    <row r="13267" spans="1:12">
      <c r="A13267" t="s">
        <v>37007</v>
      </c>
      <c r="B13267" t="s">
        <v>37008</v>
      </c>
      <c r="C13267" t="s">
        <v>37196</v>
      </c>
      <c r="D13267" t="s">
        <v>37010</v>
      </c>
      <c r="E13267" t="s">
        <v>21585</v>
      </c>
      <c r="F13267" t="s">
        <v>37197</v>
      </c>
      <c r="J13267" t="s">
        <v>21585</v>
      </c>
      <c r="K13267" t="s">
        <v>10082</v>
      </c>
      <c r="L13267" t="s">
        <v>814</v>
      </c>
    </row>
    <row r="13268" spans="1:12">
      <c r="A13268" t="s">
        <v>37007</v>
      </c>
      <c r="B13268" t="s">
        <v>37008</v>
      </c>
      <c r="C13268" t="s">
        <v>37198</v>
      </c>
      <c r="D13268" t="s">
        <v>37010</v>
      </c>
      <c r="E13268" t="s">
        <v>37199</v>
      </c>
      <c r="F13268" t="s">
        <v>37200</v>
      </c>
      <c r="J13268" t="s">
        <v>37199</v>
      </c>
      <c r="K13268" t="s">
        <v>10082</v>
      </c>
      <c r="L13268" t="s">
        <v>814</v>
      </c>
    </row>
    <row r="13269" spans="1:12">
      <c r="A13269" t="s">
        <v>37007</v>
      </c>
      <c r="B13269" t="s">
        <v>37008</v>
      </c>
      <c r="C13269" t="s">
        <v>37201</v>
      </c>
      <c r="D13269" t="s">
        <v>37010</v>
      </c>
      <c r="E13269" t="s">
        <v>37202</v>
      </c>
      <c r="F13269" t="s">
        <v>37203</v>
      </c>
      <c r="J13269" t="s">
        <v>37202</v>
      </c>
      <c r="K13269" t="s">
        <v>10082</v>
      </c>
      <c r="L13269" t="s">
        <v>814</v>
      </c>
    </row>
    <row r="13270" spans="1:12">
      <c r="A13270" t="s">
        <v>37007</v>
      </c>
      <c r="B13270" t="s">
        <v>37008</v>
      </c>
      <c r="C13270" t="s">
        <v>37204</v>
      </c>
      <c r="D13270" t="s">
        <v>37010</v>
      </c>
      <c r="E13270" t="s">
        <v>37205</v>
      </c>
      <c r="F13270" t="s">
        <v>11111</v>
      </c>
      <c r="J13270" t="s">
        <v>37205</v>
      </c>
      <c r="K13270" t="s">
        <v>10082</v>
      </c>
      <c r="L13270" t="s">
        <v>814</v>
      </c>
    </row>
    <row r="13271" spans="1:12">
      <c r="A13271" t="s">
        <v>37007</v>
      </c>
      <c r="B13271" t="s">
        <v>37008</v>
      </c>
      <c r="C13271" t="s">
        <v>37206</v>
      </c>
      <c r="D13271" t="s">
        <v>37010</v>
      </c>
      <c r="E13271" t="s">
        <v>30659</v>
      </c>
      <c r="F13271" t="s">
        <v>37207</v>
      </c>
      <c r="J13271" t="s">
        <v>30659</v>
      </c>
      <c r="K13271" t="s">
        <v>10082</v>
      </c>
      <c r="L13271" t="s">
        <v>814</v>
      </c>
    </row>
    <row r="13272" spans="1:12">
      <c r="A13272" t="s">
        <v>37007</v>
      </c>
      <c r="B13272" t="s">
        <v>37008</v>
      </c>
      <c r="C13272" t="s">
        <v>37208</v>
      </c>
      <c r="D13272" t="s">
        <v>37010</v>
      </c>
      <c r="E13272" t="s">
        <v>27006</v>
      </c>
      <c r="F13272" t="s">
        <v>37209</v>
      </c>
      <c r="J13272" t="s">
        <v>27006</v>
      </c>
      <c r="K13272" t="s">
        <v>10082</v>
      </c>
      <c r="L13272" t="s">
        <v>814</v>
      </c>
    </row>
    <row r="13273" spans="1:12">
      <c r="A13273" t="s">
        <v>37007</v>
      </c>
      <c r="B13273" t="s">
        <v>37008</v>
      </c>
      <c r="C13273" t="s">
        <v>37210</v>
      </c>
      <c r="D13273" t="s">
        <v>37010</v>
      </c>
      <c r="E13273" t="s">
        <v>655</v>
      </c>
      <c r="F13273" t="s">
        <v>656</v>
      </c>
    </row>
    <row r="13274" spans="1:12">
      <c r="A13274" t="s">
        <v>37211</v>
      </c>
      <c r="B13274" t="s">
        <v>37212</v>
      </c>
      <c r="C13274" t="s">
        <v>37213</v>
      </c>
      <c r="D13274" t="s">
        <v>37214</v>
      </c>
      <c r="E13274" t="s">
        <v>16573</v>
      </c>
      <c r="F13274" t="s">
        <v>37215</v>
      </c>
      <c r="J13274" t="s">
        <v>16573</v>
      </c>
      <c r="K13274" t="s">
        <v>37216</v>
      </c>
      <c r="L13274" t="s">
        <v>814</v>
      </c>
    </row>
    <row r="13275" spans="1:12">
      <c r="A13275" t="s">
        <v>37211</v>
      </c>
      <c r="B13275" t="s">
        <v>37212</v>
      </c>
      <c r="C13275" t="s">
        <v>37217</v>
      </c>
      <c r="D13275" t="s">
        <v>37214</v>
      </c>
      <c r="E13275" t="s">
        <v>9592</v>
      </c>
      <c r="F13275" t="s">
        <v>37218</v>
      </c>
      <c r="J13275" t="s">
        <v>9592</v>
      </c>
      <c r="K13275" t="s">
        <v>37216</v>
      </c>
      <c r="L13275" t="s">
        <v>814</v>
      </c>
    </row>
    <row r="13276" spans="1:12">
      <c r="A13276" t="s">
        <v>37211</v>
      </c>
      <c r="B13276" t="s">
        <v>37212</v>
      </c>
      <c r="C13276" t="s">
        <v>37219</v>
      </c>
      <c r="D13276" t="s">
        <v>37214</v>
      </c>
      <c r="E13276" t="s">
        <v>9771</v>
      </c>
      <c r="F13276" t="s">
        <v>37220</v>
      </c>
      <c r="J13276" t="s">
        <v>9771</v>
      </c>
      <c r="K13276" t="s">
        <v>37216</v>
      </c>
      <c r="L13276" t="s">
        <v>814</v>
      </c>
    </row>
    <row r="13277" spans="1:12">
      <c r="A13277" t="s">
        <v>37211</v>
      </c>
      <c r="B13277" t="s">
        <v>37212</v>
      </c>
      <c r="C13277" t="s">
        <v>37221</v>
      </c>
      <c r="D13277" t="s">
        <v>37214</v>
      </c>
      <c r="E13277" t="s">
        <v>13301</v>
      </c>
      <c r="F13277" t="s">
        <v>37222</v>
      </c>
      <c r="J13277" t="s">
        <v>13301</v>
      </c>
      <c r="K13277" t="s">
        <v>37216</v>
      </c>
      <c r="L13277" t="s">
        <v>814</v>
      </c>
    </row>
    <row r="13278" spans="1:12">
      <c r="A13278" t="s">
        <v>37211</v>
      </c>
      <c r="B13278" t="s">
        <v>37212</v>
      </c>
      <c r="C13278" t="s">
        <v>37223</v>
      </c>
      <c r="D13278" t="s">
        <v>37214</v>
      </c>
      <c r="E13278" t="s">
        <v>37224</v>
      </c>
      <c r="F13278" t="s">
        <v>37225</v>
      </c>
      <c r="J13278" t="s">
        <v>37224</v>
      </c>
      <c r="K13278" t="s">
        <v>37216</v>
      </c>
      <c r="L13278" t="s">
        <v>814</v>
      </c>
    </row>
    <row r="13279" spans="1:12">
      <c r="A13279" t="s">
        <v>37211</v>
      </c>
      <c r="B13279" t="s">
        <v>37212</v>
      </c>
      <c r="C13279" t="s">
        <v>37226</v>
      </c>
      <c r="D13279" t="s">
        <v>37214</v>
      </c>
      <c r="E13279" t="s">
        <v>655</v>
      </c>
      <c r="F13279" t="s">
        <v>656</v>
      </c>
    </row>
    <row r="13280" spans="1:12">
      <c r="A13280" t="s">
        <v>37227</v>
      </c>
      <c r="B13280" t="s">
        <v>37228</v>
      </c>
      <c r="C13280" t="s">
        <v>37229</v>
      </c>
      <c r="D13280" t="s">
        <v>37230</v>
      </c>
      <c r="E13280" t="s">
        <v>4924</v>
      </c>
      <c r="F13280" t="s">
        <v>37231</v>
      </c>
    </row>
    <row r="13281" spans="1:12">
      <c r="A13281" t="s">
        <v>37227</v>
      </c>
      <c r="B13281" t="s">
        <v>37228</v>
      </c>
      <c r="C13281" t="s">
        <v>37232</v>
      </c>
      <c r="D13281" t="s">
        <v>37230</v>
      </c>
      <c r="E13281" t="s">
        <v>1750</v>
      </c>
      <c r="F13281" t="s">
        <v>37233</v>
      </c>
    </row>
    <row r="13282" spans="1:12">
      <c r="A13282" t="s">
        <v>37227</v>
      </c>
      <c r="B13282" t="s">
        <v>37228</v>
      </c>
      <c r="C13282" t="s">
        <v>37234</v>
      </c>
      <c r="D13282" t="s">
        <v>37230</v>
      </c>
      <c r="E13282" t="s">
        <v>25895</v>
      </c>
      <c r="F13282" t="s">
        <v>37235</v>
      </c>
    </row>
    <row r="13283" spans="1:12">
      <c r="A13283" t="s">
        <v>37227</v>
      </c>
      <c r="B13283" t="s">
        <v>37228</v>
      </c>
      <c r="C13283" t="s">
        <v>37236</v>
      </c>
      <c r="D13283" t="s">
        <v>37230</v>
      </c>
      <c r="E13283" t="s">
        <v>32687</v>
      </c>
      <c r="F13283" t="s">
        <v>37237</v>
      </c>
    </row>
    <row r="13284" spans="1:12">
      <c r="A13284" t="s">
        <v>37227</v>
      </c>
      <c r="B13284" t="s">
        <v>37228</v>
      </c>
      <c r="C13284" t="s">
        <v>37238</v>
      </c>
      <c r="D13284" t="s">
        <v>37230</v>
      </c>
      <c r="E13284" t="s">
        <v>35871</v>
      </c>
      <c r="F13284" t="s">
        <v>37239</v>
      </c>
    </row>
    <row r="13285" spans="1:12">
      <c r="A13285" t="s">
        <v>37227</v>
      </c>
      <c r="B13285" t="s">
        <v>37228</v>
      </c>
      <c r="C13285" t="s">
        <v>37240</v>
      </c>
      <c r="D13285" t="s">
        <v>37230</v>
      </c>
      <c r="E13285" t="s">
        <v>20741</v>
      </c>
      <c r="F13285" t="s">
        <v>37241</v>
      </c>
    </row>
    <row r="13286" spans="1:12">
      <c r="A13286" t="s">
        <v>37227</v>
      </c>
      <c r="B13286" t="s">
        <v>37228</v>
      </c>
      <c r="C13286" t="s">
        <v>37242</v>
      </c>
      <c r="D13286" t="s">
        <v>37230</v>
      </c>
      <c r="E13286" t="s">
        <v>10000</v>
      </c>
      <c r="F13286" t="s">
        <v>37243</v>
      </c>
      <c r="J13286" t="s">
        <v>10000</v>
      </c>
      <c r="K13286" t="s">
        <v>37244</v>
      </c>
      <c r="L13286" t="s">
        <v>814</v>
      </c>
    </row>
    <row r="13287" spans="1:12">
      <c r="A13287" t="s">
        <v>37227</v>
      </c>
      <c r="B13287" t="s">
        <v>37228</v>
      </c>
      <c r="C13287" t="s">
        <v>37245</v>
      </c>
      <c r="D13287" t="s">
        <v>37230</v>
      </c>
      <c r="E13287" t="s">
        <v>37246</v>
      </c>
      <c r="F13287" t="s">
        <v>37247</v>
      </c>
      <c r="J13287" t="s">
        <v>37246</v>
      </c>
      <c r="K13287" t="s">
        <v>37244</v>
      </c>
      <c r="L13287" t="s">
        <v>814</v>
      </c>
    </row>
    <row r="13288" spans="1:12">
      <c r="A13288" t="s">
        <v>37227</v>
      </c>
      <c r="B13288" t="s">
        <v>37228</v>
      </c>
      <c r="C13288" t="s">
        <v>37248</v>
      </c>
      <c r="D13288" t="s">
        <v>37230</v>
      </c>
      <c r="E13288" t="s">
        <v>655</v>
      </c>
      <c r="F13288" t="s">
        <v>656</v>
      </c>
    </row>
    <row r="13289" spans="1:12">
      <c r="A13289" t="s">
        <v>37249</v>
      </c>
      <c r="B13289" t="s">
        <v>37250</v>
      </c>
      <c r="C13289" t="s">
        <v>37251</v>
      </c>
      <c r="D13289" t="s">
        <v>37252</v>
      </c>
      <c r="E13289" t="s">
        <v>8516</v>
      </c>
      <c r="F13289" t="s">
        <v>37253</v>
      </c>
    </row>
    <row r="13290" spans="1:12">
      <c r="A13290" t="s">
        <v>37249</v>
      </c>
      <c r="B13290" t="s">
        <v>37250</v>
      </c>
      <c r="C13290" t="s">
        <v>37254</v>
      </c>
      <c r="D13290" t="s">
        <v>37252</v>
      </c>
      <c r="E13290" t="s">
        <v>14777</v>
      </c>
      <c r="F13290" t="s">
        <v>37255</v>
      </c>
    </row>
    <row r="13291" spans="1:12">
      <c r="A13291" t="s">
        <v>37249</v>
      </c>
      <c r="B13291" t="s">
        <v>37250</v>
      </c>
      <c r="C13291" t="s">
        <v>37256</v>
      </c>
      <c r="D13291" t="s">
        <v>37252</v>
      </c>
      <c r="E13291" t="s">
        <v>3930</v>
      </c>
      <c r="F13291" t="s">
        <v>37257</v>
      </c>
    </row>
    <row r="13292" spans="1:12">
      <c r="A13292" t="s">
        <v>37249</v>
      </c>
      <c r="B13292" t="s">
        <v>37250</v>
      </c>
      <c r="C13292" t="s">
        <v>37258</v>
      </c>
      <c r="D13292" t="s">
        <v>37252</v>
      </c>
      <c r="E13292" t="s">
        <v>7717</v>
      </c>
      <c r="F13292" t="s">
        <v>37259</v>
      </c>
    </row>
    <row r="13293" spans="1:12">
      <c r="A13293" t="s">
        <v>37249</v>
      </c>
      <c r="B13293" t="s">
        <v>37250</v>
      </c>
      <c r="C13293" t="s">
        <v>37260</v>
      </c>
      <c r="D13293" t="s">
        <v>37252</v>
      </c>
      <c r="E13293" t="s">
        <v>4647</v>
      </c>
      <c r="F13293" t="s">
        <v>37261</v>
      </c>
    </row>
    <row r="13294" spans="1:12">
      <c r="A13294" t="s">
        <v>37249</v>
      </c>
      <c r="B13294" t="s">
        <v>37250</v>
      </c>
      <c r="C13294" t="s">
        <v>37262</v>
      </c>
      <c r="D13294" t="s">
        <v>37252</v>
      </c>
      <c r="E13294" t="s">
        <v>10303</v>
      </c>
      <c r="F13294" t="s">
        <v>37263</v>
      </c>
    </row>
    <row r="13295" spans="1:12">
      <c r="A13295" t="s">
        <v>37249</v>
      </c>
      <c r="B13295" t="s">
        <v>37250</v>
      </c>
      <c r="C13295" t="s">
        <v>37264</v>
      </c>
      <c r="D13295" t="s">
        <v>37252</v>
      </c>
      <c r="E13295" t="s">
        <v>876</v>
      </c>
      <c r="F13295" t="s">
        <v>37265</v>
      </c>
    </row>
    <row r="13296" spans="1:12">
      <c r="A13296" t="s">
        <v>37249</v>
      </c>
      <c r="B13296" t="s">
        <v>37250</v>
      </c>
      <c r="C13296" t="s">
        <v>37266</v>
      </c>
      <c r="D13296" t="s">
        <v>37252</v>
      </c>
      <c r="E13296" t="s">
        <v>27263</v>
      </c>
      <c r="F13296" t="s">
        <v>37267</v>
      </c>
      <c r="J13296" t="s">
        <v>27263</v>
      </c>
      <c r="K13296" t="s">
        <v>37268</v>
      </c>
      <c r="L13296" t="s">
        <v>3638</v>
      </c>
    </row>
    <row r="13297" spans="1:12">
      <c r="A13297" t="s">
        <v>37249</v>
      </c>
      <c r="B13297" t="s">
        <v>37250</v>
      </c>
      <c r="C13297" t="s">
        <v>37269</v>
      </c>
      <c r="D13297" t="s">
        <v>37252</v>
      </c>
      <c r="E13297" t="s">
        <v>37270</v>
      </c>
      <c r="F13297" t="s">
        <v>37271</v>
      </c>
      <c r="J13297" t="s">
        <v>37270</v>
      </c>
      <c r="K13297" t="s">
        <v>37268</v>
      </c>
      <c r="L13297" t="s">
        <v>3638</v>
      </c>
    </row>
    <row r="13298" spans="1:12">
      <c r="A13298" t="s">
        <v>37249</v>
      </c>
      <c r="B13298" t="s">
        <v>37250</v>
      </c>
      <c r="C13298" t="s">
        <v>37272</v>
      </c>
      <c r="D13298" t="s">
        <v>37252</v>
      </c>
      <c r="E13298" t="s">
        <v>9069</v>
      </c>
      <c r="F13298" t="s">
        <v>37273</v>
      </c>
      <c r="J13298" t="s">
        <v>9069</v>
      </c>
      <c r="K13298" t="s">
        <v>37268</v>
      </c>
      <c r="L13298" t="s">
        <v>3638</v>
      </c>
    </row>
    <row r="13299" spans="1:12">
      <c r="A13299" t="s">
        <v>37249</v>
      </c>
      <c r="B13299" t="s">
        <v>37250</v>
      </c>
      <c r="C13299" t="s">
        <v>37274</v>
      </c>
      <c r="D13299" t="s">
        <v>37252</v>
      </c>
      <c r="E13299" t="s">
        <v>11910</v>
      </c>
      <c r="F13299" t="s">
        <v>37275</v>
      </c>
    </row>
    <row r="13300" spans="1:12">
      <c r="A13300" t="s">
        <v>37249</v>
      </c>
      <c r="B13300" t="s">
        <v>37250</v>
      </c>
      <c r="C13300" t="s">
        <v>37276</v>
      </c>
      <c r="D13300" t="s">
        <v>37252</v>
      </c>
      <c r="E13300" t="s">
        <v>37277</v>
      </c>
      <c r="F13300" t="s">
        <v>37278</v>
      </c>
    </row>
    <row r="13301" spans="1:12">
      <c r="A13301" t="s">
        <v>37249</v>
      </c>
      <c r="B13301" t="s">
        <v>37250</v>
      </c>
      <c r="C13301" t="s">
        <v>37279</v>
      </c>
      <c r="D13301" t="s">
        <v>37252</v>
      </c>
      <c r="E13301" t="s">
        <v>7262</v>
      </c>
      <c r="F13301" t="s">
        <v>9210</v>
      </c>
      <c r="J13301" t="s">
        <v>7262</v>
      </c>
      <c r="K13301" t="s">
        <v>37268</v>
      </c>
      <c r="L13301" t="s">
        <v>3638</v>
      </c>
    </row>
    <row r="13302" spans="1:12">
      <c r="A13302" t="s">
        <v>37249</v>
      </c>
      <c r="B13302" t="s">
        <v>37250</v>
      </c>
      <c r="C13302" t="s">
        <v>37280</v>
      </c>
      <c r="D13302" t="s">
        <v>37252</v>
      </c>
      <c r="E13302" t="s">
        <v>9595</v>
      </c>
      <c r="F13302" t="s">
        <v>37281</v>
      </c>
      <c r="J13302" t="s">
        <v>9595</v>
      </c>
      <c r="K13302" t="s">
        <v>37268</v>
      </c>
      <c r="L13302" t="s">
        <v>3638</v>
      </c>
    </row>
    <row r="13303" spans="1:12">
      <c r="A13303" t="s">
        <v>37249</v>
      </c>
      <c r="B13303" t="s">
        <v>37250</v>
      </c>
      <c r="C13303" t="s">
        <v>37282</v>
      </c>
      <c r="D13303" t="s">
        <v>37252</v>
      </c>
      <c r="E13303" t="s">
        <v>29999</v>
      </c>
      <c r="F13303" t="s">
        <v>37283</v>
      </c>
      <c r="J13303" t="s">
        <v>29999</v>
      </c>
      <c r="K13303" t="s">
        <v>37268</v>
      </c>
      <c r="L13303" t="s">
        <v>3638</v>
      </c>
    </row>
    <row r="13304" spans="1:12">
      <c r="A13304" t="s">
        <v>37249</v>
      </c>
      <c r="B13304" t="s">
        <v>37250</v>
      </c>
      <c r="C13304" t="s">
        <v>37284</v>
      </c>
      <c r="D13304" t="s">
        <v>37252</v>
      </c>
      <c r="E13304" t="s">
        <v>37285</v>
      </c>
      <c r="F13304" t="s">
        <v>37286</v>
      </c>
      <c r="J13304" t="s">
        <v>37285</v>
      </c>
      <c r="K13304" t="s">
        <v>37268</v>
      </c>
      <c r="L13304" t="s">
        <v>3638</v>
      </c>
    </row>
    <row r="13305" spans="1:12">
      <c r="A13305" t="s">
        <v>37249</v>
      </c>
      <c r="B13305" t="s">
        <v>37250</v>
      </c>
      <c r="C13305" t="s">
        <v>37287</v>
      </c>
      <c r="D13305" t="s">
        <v>37252</v>
      </c>
      <c r="E13305" t="s">
        <v>2753</v>
      </c>
      <c r="F13305" t="s">
        <v>37288</v>
      </c>
    </row>
    <row r="13306" spans="1:12">
      <c r="A13306" t="s">
        <v>37249</v>
      </c>
      <c r="B13306" t="s">
        <v>37250</v>
      </c>
      <c r="C13306" t="s">
        <v>37289</v>
      </c>
      <c r="D13306" t="s">
        <v>37252</v>
      </c>
      <c r="E13306" t="s">
        <v>37290</v>
      </c>
      <c r="F13306" t="s">
        <v>37291</v>
      </c>
      <c r="J13306" t="s">
        <v>37290</v>
      </c>
      <c r="K13306" t="s">
        <v>37268</v>
      </c>
      <c r="L13306" t="s">
        <v>3638</v>
      </c>
    </row>
    <row r="13307" spans="1:12">
      <c r="A13307" t="s">
        <v>37249</v>
      </c>
      <c r="B13307" t="s">
        <v>37250</v>
      </c>
      <c r="C13307" t="s">
        <v>37292</v>
      </c>
      <c r="D13307" t="s">
        <v>37252</v>
      </c>
      <c r="E13307" t="s">
        <v>37293</v>
      </c>
      <c r="F13307" t="s">
        <v>37294</v>
      </c>
      <c r="J13307" t="s">
        <v>37293</v>
      </c>
      <c r="K13307" t="s">
        <v>37268</v>
      </c>
      <c r="L13307" t="s">
        <v>3638</v>
      </c>
    </row>
    <row r="13308" spans="1:12">
      <c r="A13308" t="s">
        <v>37249</v>
      </c>
      <c r="B13308" t="s">
        <v>37250</v>
      </c>
      <c r="C13308" t="s">
        <v>37295</v>
      </c>
      <c r="D13308" t="s">
        <v>37252</v>
      </c>
      <c r="E13308" t="s">
        <v>21252</v>
      </c>
      <c r="F13308" t="s">
        <v>37296</v>
      </c>
    </row>
    <row r="13309" spans="1:12">
      <c r="A13309" t="s">
        <v>37249</v>
      </c>
      <c r="B13309" t="s">
        <v>37250</v>
      </c>
      <c r="C13309" t="s">
        <v>37297</v>
      </c>
      <c r="D13309" t="s">
        <v>37252</v>
      </c>
      <c r="E13309" t="s">
        <v>37298</v>
      </c>
      <c r="F13309" t="s">
        <v>37299</v>
      </c>
      <c r="J13309" t="s">
        <v>37298</v>
      </c>
      <c r="K13309" t="s">
        <v>37268</v>
      </c>
      <c r="L13309" t="s">
        <v>3638</v>
      </c>
    </row>
    <row r="13310" spans="1:12">
      <c r="A13310" t="s">
        <v>37249</v>
      </c>
      <c r="B13310" t="s">
        <v>37250</v>
      </c>
      <c r="C13310" t="s">
        <v>37300</v>
      </c>
      <c r="D13310" t="s">
        <v>37252</v>
      </c>
      <c r="E13310" t="s">
        <v>37301</v>
      </c>
      <c r="F13310" t="s">
        <v>37302</v>
      </c>
      <c r="J13310" t="s">
        <v>37301</v>
      </c>
      <c r="K13310" t="s">
        <v>37268</v>
      </c>
      <c r="L13310" t="s">
        <v>3638</v>
      </c>
    </row>
    <row r="13311" spans="1:12">
      <c r="A13311" t="s">
        <v>37249</v>
      </c>
      <c r="B13311" t="s">
        <v>37250</v>
      </c>
      <c r="C13311" t="s">
        <v>37303</v>
      </c>
      <c r="D13311" t="s">
        <v>37252</v>
      </c>
      <c r="E13311" t="s">
        <v>5335</v>
      </c>
      <c r="F13311" t="s">
        <v>37304</v>
      </c>
    </row>
    <row r="13312" spans="1:12">
      <c r="A13312" t="s">
        <v>37249</v>
      </c>
      <c r="B13312" t="s">
        <v>37250</v>
      </c>
      <c r="C13312" t="s">
        <v>37305</v>
      </c>
      <c r="D13312" t="s">
        <v>37252</v>
      </c>
      <c r="E13312" t="s">
        <v>36522</v>
      </c>
      <c r="F13312" t="s">
        <v>37299</v>
      </c>
    </row>
    <row r="13313" spans="1:12">
      <c r="A13313" t="s">
        <v>37249</v>
      </c>
      <c r="B13313" t="s">
        <v>37250</v>
      </c>
      <c r="C13313" t="s">
        <v>37306</v>
      </c>
      <c r="D13313" t="s">
        <v>37252</v>
      </c>
      <c r="E13313" t="s">
        <v>37307</v>
      </c>
      <c r="F13313" t="s">
        <v>37308</v>
      </c>
    </row>
    <row r="13314" spans="1:12">
      <c r="A13314" t="s">
        <v>37249</v>
      </c>
      <c r="B13314" t="s">
        <v>37250</v>
      </c>
      <c r="C13314" t="s">
        <v>37309</v>
      </c>
      <c r="D13314" t="s">
        <v>37252</v>
      </c>
      <c r="E13314" t="s">
        <v>37310</v>
      </c>
      <c r="F13314" t="s">
        <v>37311</v>
      </c>
    </row>
    <row r="13315" spans="1:12">
      <c r="A13315" t="s">
        <v>37249</v>
      </c>
      <c r="B13315" t="s">
        <v>37250</v>
      </c>
      <c r="C13315" t="s">
        <v>37312</v>
      </c>
      <c r="D13315" t="s">
        <v>37252</v>
      </c>
      <c r="E13315" t="s">
        <v>21899</v>
      </c>
      <c r="F13315" t="s">
        <v>37313</v>
      </c>
      <c r="J13315" t="s">
        <v>21899</v>
      </c>
      <c r="K13315" t="s">
        <v>37268</v>
      </c>
      <c r="L13315" t="s">
        <v>3638</v>
      </c>
    </row>
    <row r="13316" spans="1:12">
      <c r="A13316" t="s">
        <v>37249</v>
      </c>
      <c r="B13316" t="s">
        <v>37250</v>
      </c>
      <c r="C13316" t="s">
        <v>37314</v>
      </c>
      <c r="D13316" t="s">
        <v>37252</v>
      </c>
      <c r="E13316" t="s">
        <v>655</v>
      </c>
      <c r="F13316" t="s">
        <v>656</v>
      </c>
    </row>
    <row r="13317" spans="1:12">
      <c r="A13317" t="s">
        <v>37249</v>
      </c>
      <c r="B13317" t="s">
        <v>37250</v>
      </c>
      <c r="D13317" t="s">
        <v>37252</v>
      </c>
      <c r="F13317" t="s">
        <v>37315</v>
      </c>
      <c r="J13317" t="s">
        <v>8591</v>
      </c>
      <c r="K13317" t="s">
        <v>37268</v>
      </c>
      <c r="L13317" t="s">
        <v>3638</v>
      </c>
    </row>
    <row r="13318" spans="1:12">
      <c r="A13318" t="s">
        <v>37249</v>
      </c>
      <c r="B13318" t="s">
        <v>37250</v>
      </c>
      <c r="D13318" t="s">
        <v>37252</v>
      </c>
      <c r="F13318" t="s">
        <v>37316</v>
      </c>
      <c r="J13318" t="s">
        <v>37317</v>
      </c>
      <c r="K13318" t="s">
        <v>37268</v>
      </c>
      <c r="L13318" t="s">
        <v>3638</v>
      </c>
    </row>
    <row r="13319" spans="1:12">
      <c r="A13319" t="s">
        <v>37249</v>
      </c>
      <c r="B13319" t="s">
        <v>37250</v>
      </c>
      <c r="D13319" t="s">
        <v>37252</v>
      </c>
      <c r="F13319" t="s">
        <v>37318</v>
      </c>
      <c r="J13319" t="s">
        <v>37319</v>
      </c>
      <c r="K13319" t="s">
        <v>37268</v>
      </c>
      <c r="L13319" t="s">
        <v>3638</v>
      </c>
    </row>
    <row r="13320" spans="1:12">
      <c r="A13320" t="s">
        <v>37249</v>
      </c>
      <c r="B13320" t="s">
        <v>37250</v>
      </c>
      <c r="D13320" t="s">
        <v>37252</v>
      </c>
      <c r="F13320" t="s">
        <v>37320</v>
      </c>
      <c r="J13320" t="s">
        <v>33053</v>
      </c>
      <c r="K13320" t="s">
        <v>37268</v>
      </c>
      <c r="L13320" t="s">
        <v>3638</v>
      </c>
    </row>
    <row r="13321" spans="1:12">
      <c r="A13321" t="s">
        <v>37249</v>
      </c>
      <c r="B13321" t="s">
        <v>37250</v>
      </c>
      <c r="D13321" t="s">
        <v>37252</v>
      </c>
      <c r="F13321" t="s">
        <v>37321</v>
      </c>
      <c r="J13321" t="s">
        <v>9307</v>
      </c>
      <c r="K13321" t="s">
        <v>37268</v>
      </c>
      <c r="L13321" t="s">
        <v>3638</v>
      </c>
    </row>
    <row r="13322" spans="1:12">
      <c r="A13322" t="s">
        <v>37249</v>
      </c>
      <c r="B13322" t="s">
        <v>37250</v>
      </c>
      <c r="D13322" t="s">
        <v>37252</v>
      </c>
      <c r="F13322" t="s">
        <v>37322</v>
      </c>
      <c r="J13322" t="s">
        <v>37323</v>
      </c>
      <c r="K13322" t="s">
        <v>37268</v>
      </c>
      <c r="L13322" t="s">
        <v>3638</v>
      </c>
    </row>
    <row r="13323" spans="1:12">
      <c r="A13323" t="s">
        <v>37249</v>
      </c>
      <c r="B13323" t="s">
        <v>37250</v>
      </c>
      <c r="D13323" t="s">
        <v>37252</v>
      </c>
      <c r="F13323" t="s">
        <v>37324</v>
      </c>
      <c r="J13323" t="s">
        <v>37325</v>
      </c>
      <c r="K13323" t="s">
        <v>37268</v>
      </c>
      <c r="L13323" t="s">
        <v>3638</v>
      </c>
    </row>
    <row r="13324" spans="1:12">
      <c r="A13324" t="s">
        <v>37249</v>
      </c>
      <c r="B13324" t="s">
        <v>37250</v>
      </c>
      <c r="D13324" t="s">
        <v>37252</v>
      </c>
      <c r="F13324" t="s">
        <v>37326</v>
      </c>
      <c r="J13324" t="s">
        <v>37327</v>
      </c>
      <c r="K13324" t="s">
        <v>37268</v>
      </c>
      <c r="L13324" t="s">
        <v>3638</v>
      </c>
    </row>
    <row r="13325" spans="1:12">
      <c r="A13325" t="s">
        <v>37249</v>
      </c>
      <c r="B13325" t="s">
        <v>37250</v>
      </c>
      <c r="D13325" t="s">
        <v>37252</v>
      </c>
      <c r="F13325" t="s">
        <v>37328</v>
      </c>
      <c r="J13325" t="s">
        <v>37329</v>
      </c>
      <c r="K13325" t="s">
        <v>37268</v>
      </c>
      <c r="L13325" t="s">
        <v>3638</v>
      </c>
    </row>
    <row r="13326" spans="1:12">
      <c r="A13326" t="s">
        <v>37249</v>
      </c>
      <c r="B13326" t="s">
        <v>37250</v>
      </c>
      <c r="D13326" t="s">
        <v>37252</v>
      </c>
      <c r="F13326" t="s">
        <v>37330</v>
      </c>
      <c r="J13326" t="s">
        <v>21141</v>
      </c>
      <c r="K13326" t="s">
        <v>37268</v>
      </c>
      <c r="L13326" t="s">
        <v>3638</v>
      </c>
    </row>
    <row r="13327" spans="1:12">
      <c r="A13327" t="s">
        <v>37249</v>
      </c>
      <c r="B13327" t="s">
        <v>37250</v>
      </c>
      <c r="D13327" t="s">
        <v>37252</v>
      </c>
      <c r="F13327" t="s">
        <v>37331</v>
      </c>
      <c r="J13327" t="s">
        <v>37332</v>
      </c>
      <c r="K13327" t="s">
        <v>37268</v>
      </c>
      <c r="L13327" t="s">
        <v>3638</v>
      </c>
    </row>
    <row r="13328" spans="1:12">
      <c r="A13328" t="s">
        <v>37249</v>
      </c>
      <c r="B13328" t="s">
        <v>37250</v>
      </c>
      <c r="D13328" t="s">
        <v>37252</v>
      </c>
      <c r="F13328" t="s">
        <v>37333</v>
      </c>
      <c r="J13328" t="s">
        <v>37334</v>
      </c>
      <c r="K13328" t="s">
        <v>37268</v>
      </c>
      <c r="L13328" t="s">
        <v>3638</v>
      </c>
    </row>
    <row r="13329" spans="1:12">
      <c r="A13329" t="s">
        <v>37249</v>
      </c>
      <c r="B13329" t="s">
        <v>37250</v>
      </c>
      <c r="D13329" t="s">
        <v>37252</v>
      </c>
      <c r="F13329" t="s">
        <v>37335</v>
      </c>
      <c r="J13329" t="s">
        <v>37336</v>
      </c>
      <c r="K13329" t="s">
        <v>37268</v>
      </c>
      <c r="L13329" t="s">
        <v>3638</v>
      </c>
    </row>
    <row r="13330" spans="1:12">
      <c r="A13330" t="s">
        <v>37249</v>
      </c>
      <c r="B13330" t="s">
        <v>37250</v>
      </c>
      <c r="D13330" t="s">
        <v>37252</v>
      </c>
      <c r="F13330" t="s">
        <v>37337</v>
      </c>
      <c r="J13330" t="s">
        <v>37338</v>
      </c>
      <c r="K13330" t="s">
        <v>37268</v>
      </c>
      <c r="L13330" t="s">
        <v>3638</v>
      </c>
    </row>
    <row r="13331" spans="1:12">
      <c r="A13331" t="s">
        <v>37249</v>
      </c>
      <c r="B13331" t="s">
        <v>37250</v>
      </c>
      <c r="D13331" t="s">
        <v>37252</v>
      </c>
      <c r="F13331" t="s">
        <v>37339</v>
      </c>
      <c r="J13331" t="s">
        <v>37340</v>
      </c>
      <c r="K13331" t="s">
        <v>37268</v>
      </c>
      <c r="L13331" t="s">
        <v>3638</v>
      </c>
    </row>
    <row r="13332" spans="1:12">
      <c r="A13332" t="s">
        <v>37249</v>
      </c>
      <c r="B13332" t="s">
        <v>37250</v>
      </c>
      <c r="D13332" t="s">
        <v>37252</v>
      </c>
      <c r="F13332" t="s">
        <v>37341</v>
      </c>
      <c r="J13332" t="s">
        <v>37342</v>
      </c>
      <c r="K13332" t="s">
        <v>37268</v>
      </c>
      <c r="L13332" t="s">
        <v>3638</v>
      </c>
    </row>
    <row r="13333" spans="1:12">
      <c r="A13333" t="s">
        <v>37343</v>
      </c>
      <c r="B13333" t="s">
        <v>37344</v>
      </c>
      <c r="C13333" t="s">
        <v>37345</v>
      </c>
      <c r="D13333" t="s">
        <v>37346</v>
      </c>
      <c r="E13333" t="s">
        <v>37347</v>
      </c>
      <c r="F13333" t="s">
        <v>37348</v>
      </c>
      <c r="J13333" t="s">
        <v>37347</v>
      </c>
      <c r="K13333" t="s">
        <v>37349</v>
      </c>
      <c r="L13333" t="s">
        <v>1389</v>
      </c>
    </row>
    <row r="13334" spans="1:12">
      <c r="A13334" t="s">
        <v>37343</v>
      </c>
      <c r="B13334" t="s">
        <v>37344</v>
      </c>
      <c r="C13334" t="s">
        <v>37350</v>
      </c>
      <c r="D13334" t="s">
        <v>37346</v>
      </c>
      <c r="E13334" t="s">
        <v>37351</v>
      </c>
      <c r="F13334" t="s">
        <v>37352</v>
      </c>
      <c r="J13334" t="s">
        <v>37351</v>
      </c>
      <c r="K13334" t="s">
        <v>37349</v>
      </c>
      <c r="L13334" t="s">
        <v>1389</v>
      </c>
    </row>
    <row r="13335" spans="1:12">
      <c r="A13335" t="s">
        <v>37343</v>
      </c>
      <c r="B13335" t="s">
        <v>37344</v>
      </c>
      <c r="C13335" t="s">
        <v>37353</v>
      </c>
      <c r="D13335" t="s">
        <v>37346</v>
      </c>
      <c r="E13335" t="s">
        <v>37354</v>
      </c>
      <c r="F13335" t="s">
        <v>37355</v>
      </c>
      <c r="J13335" t="s">
        <v>37354</v>
      </c>
      <c r="K13335" t="s">
        <v>37349</v>
      </c>
      <c r="L13335" t="s">
        <v>1389</v>
      </c>
    </row>
    <row r="13336" spans="1:12">
      <c r="A13336" t="s">
        <v>37343</v>
      </c>
      <c r="B13336" t="s">
        <v>37344</v>
      </c>
      <c r="C13336" t="s">
        <v>37356</v>
      </c>
      <c r="D13336" t="s">
        <v>37346</v>
      </c>
      <c r="E13336" t="s">
        <v>37357</v>
      </c>
      <c r="F13336" t="s">
        <v>37358</v>
      </c>
      <c r="J13336" t="s">
        <v>37357</v>
      </c>
      <c r="K13336" t="s">
        <v>37349</v>
      </c>
      <c r="L13336" t="s">
        <v>1389</v>
      </c>
    </row>
    <row r="13337" spans="1:12">
      <c r="A13337" t="s">
        <v>37343</v>
      </c>
      <c r="B13337" t="s">
        <v>37344</v>
      </c>
      <c r="C13337" t="s">
        <v>37359</v>
      </c>
      <c r="D13337" t="s">
        <v>37346</v>
      </c>
      <c r="E13337" t="s">
        <v>32412</v>
      </c>
      <c r="F13337" t="s">
        <v>32412</v>
      </c>
      <c r="J13337" t="s">
        <v>32412</v>
      </c>
      <c r="K13337" t="s">
        <v>37349</v>
      </c>
      <c r="L13337" t="s">
        <v>1389</v>
      </c>
    </row>
    <row r="13338" spans="1:12">
      <c r="A13338" t="s">
        <v>37343</v>
      </c>
      <c r="B13338" t="s">
        <v>37344</v>
      </c>
      <c r="C13338" t="s">
        <v>37360</v>
      </c>
      <c r="D13338" t="s">
        <v>37346</v>
      </c>
      <c r="E13338" t="s">
        <v>6773</v>
      </c>
      <c r="F13338" t="s">
        <v>37361</v>
      </c>
      <c r="J13338" t="s">
        <v>6773</v>
      </c>
      <c r="K13338" t="s">
        <v>37349</v>
      </c>
      <c r="L13338" t="s">
        <v>1389</v>
      </c>
    </row>
    <row r="13339" spans="1:12">
      <c r="A13339" t="s">
        <v>37343</v>
      </c>
      <c r="B13339" t="s">
        <v>37344</v>
      </c>
      <c r="C13339" t="s">
        <v>37362</v>
      </c>
      <c r="D13339" t="s">
        <v>37346</v>
      </c>
      <c r="E13339" t="s">
        <v>37363</v>
      </c>
      <c r="F13339" t="s">
        <v>37364</v>
      </c>
      <c r="J13339" t="s">
        <v>37363</v>
      </c>
      <c r="K13339" t="s">
        <v>37349</v>
      </c>
      <c r="L13339" t="s">
        <v>1389</v>
      </c>
    </row>
    <row r="13340" spans="1:12">
      <c r="A13340" t="s">
        <v>37343</v>
      </c>
      <c r="B13340" t="s">
        <v>37344</v>
      </c>
      <c r="C13340" t="s">
        <v>37365</v>
      </c>
      <c r="D13340" t="s">
        <v>37346</v>
      </c>
      <c r="E13340" t="s">
        <v>37366</v>
      </c>
      <c r="F13340" t="s">
        <v>37367</v>
      </c>
      <c r="J13340" t="s">
        <v>37366</v>
      </c>
      <c r="K13340" t="s">
        <v>37349</v>
      </c>
      <c r="L13340" t="s">
        <v>1389</v>
      </c>
    </row>
    <row r="13341" spans="1:12">
      <c r="A13341" t="s">
        <v>37343</v>
      </c>
      <c r="B13341" t="s">
        <v>37344</v>
      </c>
      <c r="C13341" t="s">
        <v>37368</v>
      </c>
      <c r="D13341" t="s">
        <v>37346</v>
      </c>
      <c r="E13341" t="s">
        <v>37369</v>
      </c>
      <c r="F13341" t="s">
        <v>37370</v>
      </c>
      <c r="J13341" t="s">
        <v>37369</v>
      </c>
      <c r="K13341" t="s">
        <v>37349</v>
      </c>
      <c r="L13341" t="s">
        <v>1389</v>
      </c>
    </row>
    <row r="13342" spans="1:12">
      <c r="A13342" t="s">
        <v>37343</v>
      </c>
      <c r="B13342" t="s">
        <v>37344</v>
      </c>
      <c r="C13342" t="s">
        <v>37371</v>
      </c>
      <c r="D13342" t="s">
        <v>37346</v>
      </c>
      <c r="E13342" t="s">
        <v>25306</v>
      </c>
      <c r="F13342" t="s">
        <v>37372</v>
      </c>
      <c r="J13342" t="s">
        <v>25306</v>
      </c>
      <c r="K13342" t="s">
        <v>37349</v>
      </c>
      <c r="L13342" t="s">
        <v>1389</v>
      </c>
    </row>
    <row r="13343" spans="1:12">
      <c r="A13343" t="s">
        <v>37343</v>
      </c>
      <c r="B13343" t="s">
        <v>37344</v>
      </c>
      <c r="C13343" t="s">
        <v>37373</v>
      </c>
      <c r="D13343" t="s">
        <v>37346</v>
      </c>
      <c r="E13343" t="s">
        <v>37374</v>
      </c>
      <c r="F13343" t="s">
        <v>37375</v>
      </c>
      <c r="J13343" t="s">
        <v>37374</v>
      </c>
      <c r="K13343" t="s">
        <v>37349</v>
      </c>
      <c r="L13343" t="s">
        <v>1389</v>
      </c>
    </row>
    <row r="13344" spans="1:12">
      <c r="A13344" t="s">
        <v>37343</v>
      </c>
      <c r="B13344" t="s">
        <v>37344</v>
      </c>
      <c r="C13344" t="s">
        <v>37376</v>
      </c>
      <c r="D13344" t="s">
        <v>37346</v>
      </c>
      <c r="E13344" t="s">
        <v>34515</v>
      </c>
      <c r="F13344" t="s">
        <v>37377</v>
      </c>
      <c r="J13344" t="s">
        <v>34515</v>
      </c>
      <c r="K13344" t="s">
        <v>37349</v>
      </c>
      <c r="L13344" t="s">
        <v>1389</v>
      </c>
    </row>
    <row r="13345" spans="1:12">
      <c r="A13345" t="s">
        <v>37343</v>
      </c>
      <c r="B13345" t="s">
        <v>37344</v>
      </c>
      <c r="C13345" t="s">
        <v>37378</v>
      </c>
      <c r="D13345" t="s">
        <v>37346</v>
      </c>
      <c r="E13345" t="s">
        <v>37379</v>
      </c>
      <c r="F13345" t="s">
        <v>37380</v>
      </c>
      <c r="J13345" t="s">
        <v>37379</v>
      </c>
      <c r="K13345" t="s">
        <v>37349</v>
      </c>
      <c r="L13345" t="s">
        <v>1389</v>
      </c>
    </row>
    <row r="13346" spans="1:12">
      <c r="A13346" t="s">
        <v>37343</v>
      </c>
      <c r="B13346" t="s">
        <v>37344</v>
      </c>
      <c r="C13346" t="s">
        <v>37381</v>
      </c>
      <c r="D13346" t="s">
        <v>37346</v>
      </c>
      <c r="E13346" t="s">
        <v>37382</v>
      </c>
      <c r="F13346" t="s">
        <v>37383</v>
      </c>
      <c r="J13346" t="s">
        <v>37382</v>
      </c>
      <c r="K13346" t="s">
        <v>37349</v>
      </c>
      <c r="L13346" t="s">
        <v>1389</v>
      </c>
    </row>
    <row r="13347" spans="1:12">
      <c r="A13347" t="s">
        <v>37343</v>
      </c>
      <c r="B13347" t="s">
        <v>37344</v>
      </c>
      <c r="C13347" t="s">
        <v>37384</v>
      </c>
      <c r="D13347" t="s">
        <v>37346</v>
      </c>
      <c r="E13347" t="s">
        <v>11448</v>
      </c>
      <c r="F13347" t="s">
        <v>37385</v>
      </c>
    </row>
    <row r="13348" spans="1:12">
      <c r="A13348" t="s">
        <v>37343</v>
      </c>
      <c r="B13348" t="s">
        <v>37344</v>
      </c>
      <c r="C13348" t="s">
        <v>37386</v>
      </c>
      <c r="D13348" t="s">
        <v>37346</v>
      </c>
      <c r="E13348" t="s">
        <v>37387</v>
      </c>
      <c r="F13348" t="s">
        <v>37388</v>
      </c>
      <c r="J13348" t="s">
        <v>37387</v>
      </c>
      <c r="K13348" t="s">
        <v>37349</v>
      </c>
      <c r="L13348" t="s">
        <v>1389</v>
      </c>
    </row>
    <row r="13349" spans="1:12">
      <c r="A13349" t="s">
        <v>37343</v>
      </c>
      <c r="B13349" t="s">
        <v>37344</v>
      </c>
      <c r="C13349" t="s">
        <v>37389</v>
      </c>
      <c r="D13349" t="s">
        <v>37346</v>
      </c>
      <c r="E13349" t="s">
        <v>24066</v>
      </c>
      <c r="F13349" t="s">
        <v>37390</v>
      </c>
      <c r="J13349" t="s">
        <v>24066</v>
      </c>
      <c r="K13349" t="s">
        <v>37349</v>
      </c>
      <c r="L13349" t="s">
        <v>1389</v>
      </c>
    </row>
    <row r="13350" spans="1:12">
      <c r="A13350" t="s">
        <v>37343</v>
      </c>
      <c r="B13350" t="s">
        <v>37344</v>
      </c>
      <c r="C13350" t="s">
        <v>37391</v>
      </c>
      <c r="D13350" t="s">
        <v>37346</v>
      </c>
      <c r="E13350" t="s">
        <v>20871</v>
      </c>
      <c r="F13350" t="s">
        <v>37392</v>
      </c>
      <c r="J13350" t="s">
        <v>20871</v>
      </c>
      <c r="K13350" t="s">
        <v>37349</v>
      </c>
      <c r="L13350" t="s">
        <v>1389</v>
      </c>
    </row>
    <row r="13351" spans="1:12">
      <c r="A13351" t="s">
        <v>37343</v>
      </c>
      <c r="B13351" t="s">
        <v>37344</v>
      </c>
      <c r="C13351" t="s">
        <v>37393</v>
      </c>
      <c r="D13351" t="s">
        <v>37346</v>
      </c>
      <c r="E13351" t="s">
        <v>22732</v>
      </c>
      <c r="F13351" t="s">
        <v>37394</v>
      </c>
      <c r="J13351" t="s">
        <v>22732</v>
      </c>
      <c r="K13351" t="s">
        <v>37349</v>
      </c>
      <c r="L13351" t="s">
        <v>1389</v>
      </c>
    </row>
    <row r="13352" spans="1:12">
      <c r="A13352" t="s">
        <v>37343</v>
      </c>
      <c r="B13352" t="s">
        <v>37344</v>
      </c>
      <c r="C13352" t="s">
        <v>37395</v>
      </c>
      <c r="D13352" t="s">
        <v>37346</v>
      </c>
      <c r="E13352" t="s">
        <v>25071</v>
      </c>
      <c r="F13352" t="s">
        <v>37396</v>
      </c>
      <c r="J13352" t="s">
        <v>25071</v>
      </c>
      <c r="K13352" t="s">
        <v>37349</v>
      </c>
      <c r="L13352" t="s">
        <v>1389</v>
      </c>
    </row>
    <row r="13353" spans="1:12">
      <c r="A13353" t="s">
        <v>37343</v>
      </c>
      <c r="B13353" t="s">
        <v>37344</v>
      </c>
      <c r="C13353" t="s">
        <v>37397</v>
      </c>
      <c r="D13353" t="s">
        <v>37346</v>
      </c>
      <c r="E13353" t="s">
        <v>37398</v>
      </c>
      <c r="F13353" t="s">
        <v>37399</v>
      </c>
      <c r="J13353" t="s">
        <v>37398</v>
      </c>
      <c r="K13353" t="s">
        <v>37349</v>
      </c>
      <c r="L13353" t="s">
        <v>1389</v>
      </c>
    </row>
    <row r="13354" spans="1:12">
      <c r="A13354" t="s">
        <v>37343</v>
      </c>
      <c r="B13354" t="s">
        <v>37344</v>
      </c>
      <c r="C13354" t="s">
        <v>37400</v>
      </c>
      <c r="D13354" t="s">
        <v>37346</v>
      </c>
      <c r="E13354" t="s">
        <v>37401</v>
      </c>
      <c r="F13354" t="s">
        <v>37402</v>
      </c>
      <c r="J13354" t="s">
        <v>37401</v>
      </c>
      <c r="K13354" t="s">
        <v>37349</v>
      </c>
      <c r="L13354" t="s">
        <v>1389</v>
      </c>
    </row>
    <row r="13355" spans="1:12">
      <c r="A13355" t="s">
        <v>37343</v>
      </c>
      <c r="B13355" t="s">
        <v>37344</v>
      </c>
      <c r="C13355" t="s">
        <v>37403</v>
      </c>
      <c r="D13355" t="s">
        <v>37346</v>
      </c>
      <c r="E13355" t="s">
        <v>655</v>
      </c>
      <c r="F13355" t="s">
        <v>656</v>
      </c>
    </row>
    <row r="13356" spans="1:12">
      <c r="A13356" t="s">
        <v>37404</v>
      </c>
      <c r="B13356" t="s">
        <v>24643</v>
      </c>
      <c r="C13356" t="s">
        <v>37405</v>
      </c>
      <c r="D13356" t="s">
        <v>37406</v>
      </c>
      <c r="E13356" t="s">
        <v>16852</v>
      </c>
      <c r="F13356" t="s">
        <v>37407</v>
      </c>
      <c r="J13356" t="s">
        <v>16852</v>
      </c>
      <c r="K13356" t="s">
        <v>24648</v>
      </c>
      <c r="L13356" t="s">
        <v>1389</v>
      </c>
    </row>
    <row r="13357" spans="1:12">
      <c r="A13357" t="s">
        <v>37404</v>
      </c>
      <c r="B13357" t="s">
        <v>24643</v>
      </c>
      <c r="C13357" t="s">
        <v>37408</v>
      </c>
      <c r="D13357" t="s">
        <v>37406</v>
      </c>
      <c r="E13357" t="s">
        <v>13095</v>
      </c>
      <c r="F13357" t="s">
        <v>37409</v>
      </c>
      <c r="J13357" t="s">
        <v>13095</v>
      </c>
      <c r="K13357" t="s">
        <v>24648</v>
      </c>
      <c r="L13357" t="s">
        <v>1389</v>
      </c>
    </row>
    <row r="13358" spans="1:12">
      <c r="A13358" t="s">
        <v>37404</v>
      </c>
      <c r="B13358" t="s">
        <v>24643</v>
      </c>
      <c r="C13358" t="s">
        <v>37410</v>
      </c>
      <c r="D13358" t="s">
        <v>37406</v>
      </c>
      <c r="E13358" t="s">
        <v>655</v>
      </c>
      <c r="F13358" t="s">
        <v>656</v>
      </c>
    </row>
    <row r="13359" spans="1:12">
      <c r="A13359" t="s">
        <v>37411</v>
      </c>
      <c r="B13359" t="s">
        <v>37412</v>
      </c>
      <c r="C13359" t="s">
        <v>37413</v>
      </c>
      <c r="D13359" t="s">
        <v>37414</v>
      </c>
      <c r="E13359" t="s">
        <v>26435</v>
      </c>
      <c r="F13359" t="s">
        <v>37415</v>
      </c>
    </row>
    <row r="13360" spans="1:12">
      <c r="A13360" t="s">
        <v>37411</v>
      </c>
      <c r="B13360" t="s">
        <v>37412</v>
      </c>
      <c r="C13360" t="s">
        <v>37416</v>
      </c>
      <c r="D13360" t="s">
        <v>37414</v>
      </c>
      <c r="E13360" t="s">
        <v>3026</v>
      </c>
      <c r="F13360" t="s">
        <v>37417</v>
      </c>
    </row>
    <row r="13361" spans="1:12">
      <c r="A13361" t="s">
        <v>37411</v>
      </c>
      <c r="B13361" t="s">
        <v>37412</v>
      </c>
      <c r="C13361" t="s">
        <v>37418</v>
      </c>
      <c r="D13361" t="s">
        <v>37414</v>
      </c>
      <c r="E13361" t="s">
        <v>655</v>
      </c>
      <c r="F13361" t="s">
        <v>656</v>
      </c>
    </row>
    <row r="13362" spans="1:12">
      <c r="A13362" t="s">
        <v>1388</v>
      </c>
      <c r="B13362" t="s">
        <v>37419</v>
      </c>
      <c r="C13362" t="s">
        <v>37420</v>
      </c>
      <c r="D13362" t="s">
        <v>37421</v>
      </c>
      <c r="E13362" t="s">
        <v>22799</v>
      </c>
      <c r="F13362" t="s">
        <v>37422</v>
      </c>
      <c r="J13362" t="s">
        <v>22799</v>
      </c>
      <c r="K13362" t="s">
        <v>37423</v>
      </c>
      <c r="L13362" t="s">
        <v>851</v>
      </c>
    </row>
    <row r="13363" spans="1:12">
      <c r="A13363" t="s">
        <v>1388</v>
      </c>
      <c r="B13363" t="s">
        <v>37419</v>
      </c>
      <c r="C13363" t="s">
        <v>37424</v>
      </c>
      <c r="D13363" t="s">
        <v>37421</v>
      </c>
      <c r="E13363" t="s">
        <v>37425</v>
      </c>
      <c r="F13363" t="s">
        <v>37426</v>
      </c>
      <c r="J13363" t="s">
        <v>37425</v>
      </c>
      <c r="K13363" t="s">
        <v>37423</v>
      </c>
      <c r="L13363" t="s">
        <v>851</v>
      </c>
    </row>
    <row r="13364" spans="1:12">
      <c r="A13364" t="s">
        <v>1388</v>
      </c>
      <c r="B13364" t="s">
        <v>37419</v>
      </c>
      <c r="C13364" t="s">
        <v>37427</v>
      </c>
      <c r="D13364" t="s">
        <v>37421</v>
      </c>
      <c r="E13364" t="s">
        <v>11922</v>
      </c>
      <c r="F13364" t="s">
        <v>37428</v>
      </c>
      <c r="J13364" t="s">
        <v>11922</v>
      </c>
      <c r="K13364" t="s">
        <v>37423</v>
      </c>
      <c r="L13364" t="s">
        <v>851</v>
      </c>
    </row>
    <row r="13365" spans="1:12">
      <c r="A13365" t="s">
        <v>1388</v>
      </c>
      <c r="B13365" t="s">
        <v>37419</v>
      </c>
      <c r="C13365" t="s">
        <v>37429</v>
      </c>
      <c r="D13365" t="s">
        <v>37421</v>
      </c>
      <c r="E13365" t="s">
        <v>37430</v>
      </c>
      <c r="F13365" t="s">
        <v>37431</v>
      </c>
      <c r="J13365" t="s">
        <v>37430</v>
      </c>
      <c r="K13365" t="s">
        <v>37423</v>
      </c>
      <c r="L13365" t="s">
        <v>851</v>
      </c>
    </row>
    <row r="13366" spans="1:12">
      <c r="A13366" t="s">
        <v>1388</v>
      </c>
      <c r="B13366" t="s">
        <v>37419</v>
      </c>
      <c r="C13366" t="s">
        <v>37432</v>
      </c>
      <c r="D13366" t="s">
        <v>37421</v>
      </c>
      <c r="E13366" t="s">
        <v>655</v>
      </c>
      <c r="F13366" t="s">
        <v>656</v>
      </c>
    </row>
    <row r="13367" spans="1:12">
      <c r="A13367" t="s">
        <v>1388</v>
      </c>
      <c r="B13367" t="s">
        <v>37419</v>
      </c>
      <c r="D13367" t="s">
        <v>37421</v>
      </c>
      <c r="F13367" t="s">
        <v>37426</v>
      </c>
      <c r="J13367" t="s">
        <v>37433</v>
      </c>
      <c r="K13367" t="s">
        <v>37423</v>
      </c>
      <c r="L13367" t="s">
        <v>851</v>
      </c>
    </row>
    <row r="13368" spans="1:12">
      <c r="A13368" t="s">
        <v>37434</v>
      </c>
      <c r="B13368" t="s">
        <v>37435</v>
      </c>
      <c r="C13368" t="s">
        <v>37436</v>
      </c>
      <c r="D13368" t="s">
        <v>23653</v>
      </c>
      <c r="E13368" t="s">
        <v>37437</v>
      </c>
      <c r="F13368" t="s">
        <v>37438</v>
      </c>
      <c r="J13368" t="s">
        <v>37437</v>
      </c>
      <c r="K13368" t="s">
        <v>37434</v>
      </c>
      <c r="L13368" t="s">
        <v>664</v>
      </c>
    </row>
    <row r="13369" spans="1:12">
      <c r="A13369" t="s">
        <v>37434</v>
      </c>
      <c r="B13369" t="s">
        <v>37435</v>
      </c>
      <c r="C13369" t="s">
        <v>37439</v>
      </c>
      <c r="D13369" t="s">
        <v>23653</v>
      </c>
      <c r="E13369" t="s">
        <v>16108</v>
      </c>
      <c r="F13369" t="s">
        <v>37440</v>
      </c>
      <c r="J13369" t="s">
        <v>16108</v>
      </c>
      <c r="K13369" t="s">
        <v>37434</v>
      </c>
      <c r="L13369" t="s">
        <v>664</v>
      </c>
    </row>
    <row r="13370" spans="1:12">
      <c r="A13370" t="s">
        <v>37434</v>
      </c>
      <c r="B13370" t="s">
        <v>37435</v>
      </c>
      <c r="C13370" t="s">
        <v>37441</v>
      </c>
      <c r="D13370" t="s">
        <v>23653</v>
      </c>
      <c r="E13370" t="s">
        <v>37442</v>
      </c>
      <c r="F13370" t="s">
        <v>37443</v>
      </c>
    </row>
    <row r="13371" spans="1:12">
      <c r="A13371" t="s">
        <v>37434</v>
      </c>
      <c r="B13371" t="s">
        <v>37435</v>
      </c>
      <c r="C13371" t="s">
        <v>37444</v>
      </c>
      <c r="D13371" t="s">
        <v>23653</v>
      </c>
      <c r="E13371" t="s">
        <v>16176</v>
      </c>
      <c r="F13371" t="s">
        <v>37445</v>
      </c>
      <c r="J13371" t="s">
        <v>16176</v>
      </c>
      <c r="K13371" t="s">
        <v>37434</v>
      </c>
      <c r="L13371" t="s">
        <v>664</v>
      </c>
    </row>
    <row r="13372" spans="1:12">
      <c r="A13372" t="s">
        <v>37434</v>
      </c>
      <c r="B13372" t="s">
        <v>37435</v>
      </c>
      <c r="C13372" t="s">
        <v>37446</v>
      </c>
      <c r="D13372" t="s">
        <v>23653</v>
      </c>
      <c r="E13372" t="s">
        <v>37447</v>
      </c>
      <c r="F13372" t="s">
        <v>37448</v>
      </c>
      <c r="J13372" t="s">
        <v>37447</v>
      </c>
      <c r="K13372" t="s">
        <v>37434</v>
      </c>
      <c r="L13372" t="s">
        <v>664</v>
      </c>
    </row>
    <row r="13373" spans="1:12">
      <c r="A13373" t="s">
        <v>37434</v>
      </c>
      <c r="B13373" t="s">
        <v>37435</v>
      </c>
      <c r="C13373" t="s">
        <v>37449</v>
      </c>
      <c r="D13373" t="s">
        <v>23653</v>
      </c>
      <c r="E13373" t="s">
        <v>37450</v>
      </c>
      <c r="F13373" t="s">
        <v>37451</v>
      </c>
      <c r="J13373" t="s">
        <v>37450</v>
      </c>
      <c r="K13373" t="s">
        <v>37434</v>
      </c>
      <c r="L13373" t="s">
        <v>664</v>
      </c>
    </row>
    <row r="13374" spans="1:12">
      <c r="A13374" t="s">
        <v>37434</v>
      </c>
      <c r="B13374" t="s">
        <v>37435</v>
      </c>
      <c r="C13374" t="s">
        <v>37452</v>
      </c>
      <c r="D13374" t="s">
        <v>23653</v>
      </c>
      <c r="E13374" t="s">
        <v>7711</v>
      </c>
      <c r="F13374" t="s">
        <v>37453</v>
      </c>
    </row>
    <row r="13375" spans="1:12">
      <c r="A13375" t="s">
        <v>37434</v>
      </c>
      <c r="B13375" t="s">
        <v>37435</v>
      </c>
      <c r="C13375" t="s">
        <v>37454</v>
      </c>
      <c r="D13375" t="s">
        <v>23653</v>
      </c>
      <c r="E13375" t="s">
        <v>37455</v>
      </c>
      <c r="F13375" t="s">
        <v>37456</v>
      </c>
      <c r="J13375" t="s">
        <v>37455</v>
      </c>
      <c r="K13375" t="s">
        <v>37434</v>
      </c>
      <c r="L13375" t="s">
        <v>664</v>
      </c>
    </row>
    <row r="13376" spans="1:12">
      <c r="A13376" t="s">
        <v>37434</v>
      </c>
      <c r="B13376" t="s">
        <v>37435</v>
      </c>
      <c r="C13376" t="s">
        <v>37457</v>
      </c>
      <c r="D13376" t="s">
        <v>23653</v>
      </c>
      <c r="E13376" t="s">
        <v>37458</v>
      </c>
      <c r="F13376" t="s">
        <v>37459</v>
      </c>
      <c r="J13376" t="s">
        <v>37458</v>
      </c>
      <c r="K13376" t="s">
        <v>37434</v>
      </c>
      <c r="L13376" t="s">
        <v>664</v>
      </c>
    </row>
    <row r="13377" spans="1:12">
      <c r="A13377" t="s">
        <v>37434</v>
      </c>
      <c r="B13377" t="s">
        <v>37435</v>
      </c>
      <c r="C13377" t="s">
        <v>37460</v>
      </c>
      <c r="D13377" t="s">
        <v>23653</v>
      </c>
      <c r="E13377" t="s">
        <v>15008</v>
      </c>
      <c r="F13377" t="s">
        <v>37461</v>
      </c>
      <c r="J13377" t="s">
        <v>15008</v>
      </c>
      <c r="K13377" t="s">
        <v>37434</v>
      </c>
      <c r="L13377" t="s">
        <v>664</v>
      </c>
    </row>
    <row r="13378" spans="1:12">
      <c r="A13378" t="s">
        <v>37434</v>
      </c>
      <c r="B13378" t="s">
        <v>37435</v>
      </c>
      <c r="C13378" t="s">
        <v>37462</v>
      </c>
      <c r="D13378" t="s">
        <v>23653</v>
      </c>
      <c r="E13378" t="s">
        <v>37463</v>
      </c>
      <c r="F13378" t="s">
        <v>37464</v>
      </c>
      <c r="J13378" t="s">
        <v>37463</v>
      </c>
      <c r="K13378" t="s">
        <v>37434</v>
      </c>
      <c r="L13378" t="s">
        <v>664</v>
      </c>
    </row>
    <row r="13379" spans="1:12">
      <c r="A13379" t="s">
        <v>37434</v>
      </c>
      <c r="B13379" t="s">
        <v>37435</v>
      </c>
      <c r="C13379" t="s">
        <v>37465</v>
      </c>
      <c r="D13379" t="s">
        <v>23653</v>
      </c>
      <c r="E13379" t="s">
        <v>37466</v>
      </c>
      <c r="F13379" t="s">
        <v>37467</v>
      </c>
      <c r="J13379" t="s">
        <v>37466</v>
      </c>
      <c r="K13379" t="s">
        <v>37434</v>
      </c>
      <c r="L13379" t="s">
        <v>664</v>
      </c>
    </row>
    <row r="13380" spans="1:12">
      <c r="A13380" t="s">
        <v>37434</v>
      </c>
      <c r="B13380" t="s">
        <v>37435</v>
      </c>
      <c r="C13380" t="s">
        <v>37468</v>
      </c>
      <c r="D13380" t="s">
        <v>23653</v>
      </c>
      <c r="E13380" t="s">
        <v>37469</v>
      </c>
      <c r="F13380" t="s">
        <v>37470</v>
      </c>
      <c r="J13380" t="s">
        <v>37469</v>
      </c>
      <c r="K13380" t="s">
        <v>37434</v>
      </c>
      <c r="L13380" t="s">
        <v>664</v>
      </c>
    </row>
    <row r="13381" spans="1:12">
      <c r="A13381" t="s">
        <v>37434</v>
      </c>
      <c r="B13381" t="s">
        <v>37435</v>
      </c>
      <c r="C13381" t="s">
        <v>37471</v>
      </c>
      <c r="D13381" t="s">
        <v>23653</v>
      </c>
      <c r="E13381" t="s">
        <v>32350</v>
      </c>
      <c r="F13381" t="s">
        <v>37472</v>
      </c>
    </row>
    <row r="13382" spans="1:12">
      <c r="A13382" t="s">
        <v>37434</v>
      </c>
      <c r="B13382" t="s">
        <v>37435</v>
      </c>
      <c r="C13382" t="s">
        <v>37473</v>
      </c>
      <c r="D13382" t="s">
        <v>23653</v>
      </c>
      <c r="E13382" t="s">
        <v>37474</v>
      </c>
      <c r="F13382" t="s">
        <v>37475</v>
      </c>
      <c r="J13382" t="s">
        <v>37474</v>
      </c>
      <c r="K13382" t="s">
        <v>37434</v>
      </c>
      <c r="L13382" t="s">
        <v>664</v>
      </c>
    </row>
    <row r="13383" spans="1:12">
      <c r="A13383" t="s">
        <v>37434</v>
      </c>
      <c r="B13383" t="s">
        <v>37435</v>
      </c>
      <c r="C13383" t="s">
        <v>37476</v>
      </c>
      <c r="D13383" t="s">
        <v>23653</v>
      </c>
      <c r="E13383" t="s">
        <v>5029</v>
      </c>
      <c r="F13383" t="s">
        <v>37477</v>
      </c>
    </row>
    <row r="13384" spans="1:12">
      <c r="A13384" t="s">
        <v>37434</v>
      </c>
      <c r="B13384" t="s">
        <v>37435</v>
      </c>
      <c r="C13384" t="s">
        <v>37478</v>
      </c>
      <c r="D13384" t="s">
        <v>23653</v>
      </c>
      <c r="E13384" t="s">
        <v>9074</v>
      </c>
      <c r="F13384" t="s">
        <v>37479</v>
      </c>
    </row>
    <row r="13385" spans="1:12">
      <c r="A13385" t="s">
        <v>37434</v>
      </c>
      <c r="B13385" t="s">
        <v>37435</v>
      </c>
      <c r="C13385" t="s">
        <v>37480</v>
      </c>
      <c r="D13385" t="s">
        <v>23653</v>
      </c>
      <c r="E13385" t="s">
        <v>9170</v>
      </c>
      <c r="F13385" t="s">
        <v>37481</v>
      </c>
      <c r="J13385" t="s">
        <v>9170</v>
      </c>
      <c r="K13385" t="s">
        <v>37434</v>
      </c>
      <c r="L13385" t="s">
        <v>664</v>
      </c>
    </row>
    <row r="13386" spans="1:12">
      <c r="A13386" t="s">
        <v>37434</v>
      </c>
      <c r="B13386" t="s">
        <v>37435</v>
      </c>
      <c r="C13386" t="s">
        <v>37482</v>
      </c>
      <c r="D13386" t="s">
        <v>23653</v>
      </c>
      <c r="E13386" t="s">
        <v>17513</v>
      </c>
      <c r="F13386" t="s">
        <v>37483</v>
      </c>
      <c r="J13386" t="s">
        <v>17513</v>
      </c>
      <c r="K13386" t="s">
        <v>37434</v>
      </c>
      <c r="L13386" t="s">
        <v>664</v>
      </c>
    </row>
    <row r="13387" spans="1:12">
      <c r="A13387" t="s">
        <v>37434</v>
      </c>
      <c r="B13387" t="s">
        <v>37435</v>
      </c>
      <c r="C13387" t="s">
        <v>37484</v>
      </c>
      <c r="D13387" t="s">
        <v>23653</v>
      </c>
      <c r="E13387" t="s">
        <v>17857</v>
      </c>
      <c r="F13387" t="s">
        <v>37485</v>
      </c>
      <c r="J13387" t="s">
        <v>17857</v>
      </c>
      <c r="K13387" t="s">
        <v>37434</v>
      </c>
      <c r="L13387" t="s">
        <v>664</v>
      </c>
    </row>
    <row r="13388" spans="1:12">
      <c r="A13388" t="s">
        <v>37434</v>
      </c>
      <c r="B13388" t="s">
        <v>37435</v>
      </c>
      <c r="C13388" t="s">
        <v>37486</v>
      </c>
      <c r="D13388" t="s">
        <v>23653</v>
      </c>
      <c r="E13388" t="s">
        <v>3489</v>
      </c>
      <c r="F13388" t="s">
        <v>37487</v>
      </c>
    </row>
    <row r="13389" spans="1:12">
      <c r="A13389" t="s">
        <v>37434</v>
      </c>
      <c r="B13389" t="s">
        <v>37435</v>
      </c>
      <c r="C13389" t="s">
        <v>37488</v>
      </c>
      <c r="D13389" t="s">
        <v>23653</v>
      </c>
      <c r="E13389" t="s">
        <v>37489</v>
      </c>
      <c r="F13389" t="s">
        <v>37490</v>
      </c>
      <c r="J13389" t="s">
        <v>37489</v>
      </c>
      <c r="K13389" t="s">
        <v>37434</v>
      </c>
      <c r="L13389" t="s">
        <v>664</v>
      </c>
    </row>
    <row r="13390" spans="1:12">
      <c r="A13390" t="s">
        <v>37434</v>
      </c>
      <c r="B13390" t="s">
        <v>37435</v>
      </c>
      <c r="C13390" t="s">
        <v>37491</v>
      </c>
      <c r="D13390" t="s">
        <v>23653</v>
      </c>
      <c r="E13390" t="s">
        <v>37492</v>
      </c>
      <c r="F13390" t="s">
        <v>37493</v>
      </c>
      <c r="J13390" t="s">
        <v>37492</v>
      </c>
      <c r="K13390" t="s">
        <v>37434</v>
      </c>
      <c r="L13390" t="s">
        <v>664</v>
      </c>
    </row>
    <row r="13391" spans="1:12">
      <c r="A13391" t="s">
        <v>37434</v>
      </c>
      <c r="B13391" t="s">
        <v>37435</v>
      </c>
      <c r="C13391" t="s">
        <v>37494</v>
      </c>
      <c r="D13391" t="s">
        <v>23653</v>
      </c>
      <c r="E13391" t="s">
        <v>18941</v>
      </c>
      <c r="F13391" t="s">
        <v>37495</v>
      </c>
      <c r="J13391" t="s">
        <v>18941</v>
      </c>
      <c r="K13391" t="s">
        <v>37434</v>
      </c>
      <c r="L13391" t="s">
        <v>664</v>
      </c>
    </row>
    <row r="13392" spans="1:12">
      <c r="A13392" t="s">
        <v>37434</v>
      </c>
      <c r="B13392" t="s">
        <v>37435</v>
      </c>
      <c r="C13392" t="s">
        <v>37496</v>
      </c>
      <c r="D13392" t="s">
        <v>23653</v>
      </c>
      <c r="E13392" t="s">
        <v>6835</v>
      </c>
      <c r="F13392" t="s">
        <v>37497</v>
      </c>
    </row>
    <row r="13393" spans="1:12">
      <c r="A13393" t="s">
        <v>37434</v>
      </c>
      <c r="B13393" t="s">
        <v>37435</v>
      </c>
      <c r="C13393" t="s">
        <v>37498</v>
      </c>
      <c r="D13393" t="s">
        <v>23653</v>
      </c>
      <c r="E13393" t="s">
        <v>19226</v>
      </c>
      <c r="F13393" t="s">
        <v>37499</v>
      </c>
      <c r="J13393" t="s">
        <v>19226</v>
      </c>
      <c r="K13393" t="s">
        <v>37434</v>
      </c>
      <c r="L13393" t="s">
        <v>664</v>
      </c>
    </row>
    <row r="13394" spans="1:12">
      <c r="A13394" t="s">
        <v>37434</v>
      </c>
      <c r="B13394" t="s">
        <v>37435</v>
      </c>
      <c r="C13394" t="s">
        <v>37500</v>
      </c>
      <c r="D13394" t="s">
        <v>23653</v>
      </c>
      <c r="E13394" t="s">
        <v>4292</v>
      </c>
      <c r="F13394" t="s">
        <v>26100</v>
      </c>
    </row>
    <row r="13395" spans="1:12">
      <c r="A13395" t="s">
        <v>37434</v>
      </c>
      <c r="B13395" t="s">
        <v>37435</v>
      </c>
      <c r="C13395" t="s">
        <v>37501</v>
      </c>
      <c r="D13395" t="s">
        <v>23653</v>
      </c>
      <c r="E13395" t="s">
        <v>22774</v>
      </c>
      <c r="F13395" t="s">
        <v>37502</v>
      </c>
    </row>
    <row r="13396" spans="1:12">
      <c r="A13396" t="s">
        <v>37434</v>
      </c>
      <c r="B13396" t="s">
        <v>37435</v>
      </c>
      <c r="C13396" t="s">
        <v>37503</v>
      </c>
      <c r="D13396" t="s">
        <v>23653</v>
      </c>
      <c r="E13396" t="s">
        <v>37504</v>
      </c>
      <c r="F13396" t="s">
        <v>37505</v>
      </c>
      <c r="J13396" t="s">
        <v>37504</v>
      </c>
      <c r="K13396" t="s">
        <v>37434</v>
      </c>
      <c r="L13396" t="s">
        <v>664</v>
      </c>
    </row>
    <row r="13397" spans="1:12">
      <c r="A13397" t="s">
        <v>37434</v>
      </c>
      <c r="B13397" t="s">
        <v>37435</v>
      </c>
      <c r="C13397" t="s">
        <v>37506</v>
      </c>
      <c r="D13397" t="s">
        <v>23653</v>
      </c>
      <c r="E13397" t="s">
        <v>37507</v>
      </c>
      <c r="F13397" t="s">
        <v>37508</v>
      </c>
      <c r="J13397" t="s">
        <v>37507</v>
      </c>
      <c r="K13397" t="s">
        <v>37434</v>
      </c>
      <c r="L13397" t="s">
        <v>664</v>
      </c>
    </row>
    <row r="13398" spans="1:12">
      <c r="A13398" t="s">
        <v>37434</v>
      </c>
      <c r="B13398" t="s">
        <v>37435</v>
      </c>
      <c r="C13398" t="s">
        <v>37509</v>
      </c>
      <c r="D13398" t="s">
        <v>23653</v>
      </c>
      <c r="E13398" t="s">
        <v>37510</v>
      </c>
      <c r="F13398" t="s">
        <v>37511</v>
      </c>
      <c r="J13398" t="s">
        <v>37510</v>
      </c>
      <c r="K13398" t="s">
        <v>37434</v>
      </c>
      <c r="L13398" t="s">
        <v>664</v>
      </c>
    </row>
    <row r="13399" spans="1:12">
      <c r="A13399" t="s">
        <v>37434</v>
      </c>
      <c r="B13399" t="s">
        <v>37435</v>
      </c>
      <c r="C13399" t="s">
        <v>37512</v>
      </c>
      <c r="D13399" t="s">
        <v>23653</v>
      </c>
      <c r="E13399" t="s">
        <v>9851</v>
      </c>
      <c r="F13399" t="s">
        <v>37513</v>
      </c>
    </row>
    <row r="13400" spans="1:12">
      <c r="A13400" t="s">
        <v>37434</v>
      </c>
      <c r="B13400" t="s">
        <v>37435</v>
      </c>
      <c r="C13400" t="s">
        <v>37514</v>
      </c>
      <c r="D13400" t="s">
        <v>23653</v>
      </c>
      <c r="E13400" t="s">
        <v>8067</v>
      </c>
      <c r="F13400" t="s">
        <v>37515</v>
      </c>
      <c r="J13400" t="s">
        <v>8067</v>
      </c>
      <c r="K13400" t="s">
        <v>37434</v>
      </c>
      <c r="L13400" t="s">
        <v>664</v>
      </c>
    </row>
    <row r="13401" spans="1:12">
      <c r="A13401" t="s">
        <v>37434</v>
      </c>
      <c r="B13401" t="s">
        <v>37435</v>
      </c>
      <c r="C13401" t="s">
        <v>37516</v>
      </c>
      <c r="D13401" t="s">
        <v>23653</v>
      </c>
      <c r="E13401" t="s">
        <v>37517</v>
      </c>
      <c r="F13401" t="s">
        <v>37518</v>
      </c>
      <c r="J13401" t="s">
        <v>37517</v>
      </c>
      <c r="K13401" t="s">
        <v>37434</v>
      </c>
      <c r="L13401" t="s">
        <v>664</v>
      </c>
    </row>
    <row r="13402" spans="1:12">
      <c r="A13402" t="s">
        <v>37434</v>
      </c>
      <c r="B13402" t="s">
        <v>37435</v>
      </c>
      <c r="C13402" t="s">
        <v>37519</v>
      </c>
      <c r="D13402" t="s">
        <v>23653</v>
      </c>
      <c r="E13402" t="s">
        <v>11477</v>
      </c>
      <c r="F13402" t="s">
        <v>37520</v>
      </c>
      <c r="J13402" t="s">
        <v>11477</v>
      </c>
      <c r="K13402" t="s">
        <v>37434</v>
      </c>
      <c r="L13402" t="s">
        <v>664</v>
      </c>
    </row>
    <row r="13403" spans="1:12">
      <c r="A13403" t="s">
        <v>37434</v>
      </c>
      <c r="B13403" t="s">
        <v>37435</v>
      </c>
      <c r="C13403" t="s">
        <v>37521</v>
      </c>
      <c r="D13403" t="s">
        <v>23653</v>
      </c>
      <c r="E13403" t="s">
        <v>37522</v>
      </c>
      <c r="F13403" t="s">
        <v>37523</v>
      </c>
      <c r="J13403" t="s">
        <v>37522</v>
      </c>
      <c r="K13403" t="s">
        <v>37434</v>
      </c>
      <c r="L13403" t="s">
        <v>664</v>
      </c>
    </row>
    <row r="13404" spans="1:12">
      <c r="A13404" t="s">
        <v>37434</v>
      </c>
      <c r="B13404" t="s">
        <v>37435</v>
      </c>
      <c r="C13404" t="s">
        <v>37524</v>
      </c>
      <c r="D13404" t="s">
        <v>23653</v>
      </c>
      <c r="E13404" t="s">
        <v>655</v>
      </c>
      <c r="F13404" t="s">
        <v>656</v>
      </c>
    </row>
    <row r="13405" spans="1:12">
      <c r="A13405" t="s">
        <v>37434</v>
      </c>
      <c r="B13405" t="s">
        <v>37435</v>
      </c>
      <c r="D13405" t="s">
        <v>23653</v>
      </c>
      <c r="F13405" t="s">
        <v>37525</v>
      </c>
      <c r="J13405" t="s">
        <v>21678</v>
      </c>
      <c r="K13405" t="s">
        <v>37434</v>
      </c>
      <c r="L13405" t="s">
        <v>664</v>
      </c>
    </row>
    <row r="13406" spans="1:12">
      <c r="A13406" t="s">
        <v>37526</v>
      </c>
      <c r="B13406" t="s">
        <v>37527</v>
      </c>
      <c r="C13406" t="s">
        <v>37528</v>
      </c>
      <c r="D13406" t="s">
        <v>37529</v>
      </c>
      <c r="E13406" t="s">
        <v>22602</v>
      </c>
      <c r="F13406" t="s">
        <v>22603</v>
      </c>
      <c r="J13406" t="s">
        <v>22602</v>
      </c>
      <c r="K13406" t="s">
        <v>3607</v>
      </c>
      <c r="L13406" t="s">
        <v>851</v>
      </c>
    </row>
    <row r="13407" spans="1:12">
      <c r="A13407" t="s">
        <v>37526</v>
      </c>
      <c r="B13407" t="s">
        <v>37527</v>
      </c>
      <c r="C13407" t="s">
        <v>37530</v>
      </c>
      <c r="D13407" t="s">
        <v>37529</v>
      </c>
      <c r="E13407" t="s">
        <v>18765</v>
      </c>
      <c r="F13407" t="s">
        <v>37531</v>
      </c>
    </row>
    <row r="13408" spans="1:12">
      <c r="A13408" t="s">
        <v>37526</v>
      </c>
      <c r="B13408" t="s">
        <v>37527</v>
      </c>
      <c r="C13408" t="s">
        <v>37532</v>
      </c>
      <c r="D13408" t="s">
        <v>37529</v>
      </c>
      <c r="E13408" t="s">
        <v>655</v>
      </c>
      <c r="F13408" t="s">
        <v>656</v>
      </c>
    </row>
    <row r="13409" spans="1:12">
      <c r="A13409" t="s">
        <v>37533</v>
      </c>
      <c r="B13409" t="s">
        <v>37534</v>
      </c>
      <c r="C13409" t="s">
        <v>37535</v>
      </c>
      <c r="D13409" t="s">
        <v>37536</v>
      </c>
      <c r="E13409" t="s">
        <v>37537</v>
      </c>
      <c r="F13409" t="s">
        <v>37538</v>
      </c>
      <c r="J13409" t="s">
        <v>37537</v>
      </c>
      <c r="K13409" t="s">
        <v>37539</v>
      </c>
      <c r="L13409" t="s">
        <v>916</v>
      </c>
    </row>
    <row r="13410" spans="1:12">
      <c r="A13410" t="s">
        <v>37533</v>
      </c>
      <c r="B13410" t="s">
        <v>37534</v>
      </c>
      <c r="C13410" t="s">
        <v>37540</v>
      </c>
      <c r="D13410" t="s">
        <v>37536</v>
      </c>
      <c r="E13410" t="s">
        <v>37541</v>
      </c>
      <c r="F13410" t="s">
        <v>37542</v>
      </c>
      <c r="J13410" t="s">
        <v>37541</v>
      </c>
      <c r="K13410" t="s">
        <v>37539</v>
      </c>
      <c r="L13410" t="s">
        <v>916</v>
      </c>
    </row>
    <row r="13411" spans="1:12">
      <c r="A13411" t="s">
        <v>37533</v>
      </c>
      <c r="B13411" t="s">
        <v>37534</v>
      </c>
      <c r="C13411" t="s">
        <v>37543</v>
      </c>
      <c r="D13411" t="s">
        <v>37536</v>
      </c>
      <c r="E13411" t="s">
        <v>23844</v>
      </c>
      <c r="F13411" t="s">
        <v>37544</v>
      </c>
    </row>
    <row r="13412" spans="1:12">
      <c r="A13412" t="s">
        <v>37533</v>
      </c>
      <c r="B13412" t="s">
        <v>37534</v>
      </c>
      <c r="C13412" t="s">
        <v>37545</v>
      </c>
      <c r="D13412" t="s">
        <v>37536</v>
      </c>
      <c r="E13412" t="s">
        <v>37546</v>
      </c>
      <c r="F13412" t="s">
        <v>37547</v>
      </c>
      <c r="J13412" t="s">
        <v>37546</v>
      </c>
      <c r="K13412" t="s">
        <v>37539</v>
      </c>
      <c r="L13412" t="s">
        <v>916</v>
      </c>
    </row>
    <row r="13413" spans="1:12">
      <c r="A13413" t="s">
        <v>37533</v>
      </c>
      <c r="B13413" t="s">
        <v>37534</v>
      </c>
      <c r="C13413" t="s">
        <v>37548</v>
      </c>
      <c r="D13413" t="s">
        <v>37536</v>
      </c>
      <c r="E13413" t="s">
        <v>3912</v>
      </c>
      <c r="F13413" t="s">
        <v>37549</v>
      </c>
      <c r="J13413" t="s">
        <v>3912</v>
      </c>
      <c r="K13413" t="s">
        <v>37539</v>
      </c>
      <c r="L13413" t="s">
        <v>916</v>
      </c>
    </row>
    <row r="13414" spans="1:12">
      <c r="A13414" t="s">
        <v>37533</v>
      </c>
      <c r="B13414" t="s">
        <v>37534</v>
      </c>
      <c r="C13414" t="s">
        <v>37550</v>
      </c>
      <c r="D13414" t="s">
        <v>37536</v>
      </c>
      <c r="E13414" t="s">
        <v>31844</v>
      </c>
      <c r="F13414" t="s">
        <v>37551</v>
      </c>
      <c r="J13414" t="s">
        <v>31844</v>
      </c>
      <c r="K13414" t="s">
        <v>37539</v>
      </c>
      <c r="L13414" t="s">
        <v>916</v>
      </c>
    </row>
    <row r="13415" spans="1:12">
      <c r="A13415" t="s">
        <v>37533</v>
      </c>
      <c r="B13415" t="s">
        <v>37534</v>
      </c>
      <c r="C13415" t="s">
        <v>37552</v>
      </c>
      <c r="D13415" t="s">
        <v>37536</v>
      </c>
      <c r="E13415" t="s">
        <v>15028</v>
      </c>
      <c r="F13415" t="s">
        <v>37553</v>
      </c>
      <c r="J13415" t="s">
        <v>15028</v>
      </c>
      <c r="K13415" t="s">
        <v>37539</v>
      </c>
      <c r="L13415" t="s">
        <v>916</v>
      </c>
    </row>
    <row r="13416" spans="1:12">
      <c r="A13416" t="s">
        <v>37533</v>
      </c>
      <c r="B13416" t="s">
        <v>37534</v>
      </c>
      <c r="C13416" t="s">
        <v>37554</v>
      </c>
      <c r="D13416" t="s">
        <v>37536</v>
      </c>
      <c r="E13416" t="s">
        <v>8831</v>
      </c>
      <c r="F13416" t="s">
        <v>37555</v>
      </c>
      <c r="J13416" t="s">
        <v>8831</v>
      </c>
      <c r="K13416" t="s">
        <v>37539</v>
      </c>
      <c r="L13416" t="s">
        <v>916</v>
      </c>
    </row>
    <row r="13417" spans="1:12">
      <c r="A13417" t="s">
        <v>37533</v>
      </c>
      <c r="B13417" t="s">
        <v>37534</v>
      </c>
      <c r="C13417" t="s">
        <v>37556</v>
      </c>
      <c r="D13417" t="s">
        <v>37536</v>
      </c>
      <c r="E13417" t="s">
        <v>37557</v>
      </c>
      <c r="F13417" t="s">
        <v>37558</v>
      </c>
      <c r="J13417" t="s">
        <v>37557</v>
      </c>
      <c r="K13417" t="s">
        <v>37539</v>
      </c>
      <c r="L13417" t="s">
        <v>916</v>
      </c>
    </row>
    <row r="13418" spans="1:12">
      <c r="A13418" t="s">
        <v>37533</v>
      </c>
      <c r="B13418" t="s">
        <v>37534</v>
      </c>
      <c r="C13418" t="s">
        <v>37559</v>
      </c>
      <c r="D13418" t="s">
        <v>37536</v>
      </c>
      <c r="E13418" t="s">
        <v>37560</v>
      </c>
      <c r="F13418" t="s">
        <v>37561</v>
      </c>
      <c r="J13418" t="s">
        <v>37560</v>
      </c>
      <c r="K13418" t="s">
        <v>37539</v>
      </c>
      <c r="L13418" t="s">
        <v>916</v>
      </c>
    </row>
    <row r="13419" spans="1:12">
      <c r="A13419" t="s">
        <v>37533</v>
      </c>
      <c r="B13419" t="s">
        <v>37534</v>
      </c>
      <c r="C13419" t="s">
        <v>37562</v>
      </c>
      <c r="D13419" t="s">
        <v>37536</v>
      </c>
      <c r="E13419" t="s">
        <v>32940</v>
      </c>
      <c r="F13419" t="s">
        <v>37563</v>
      </c>
    </row>
    <row r="13420" spans="1:12">
      <c r="A13420" t="s">
        <v>37533</v>
      </c>
      <c r="B13420" t="s">
        <v>37534</v>
      </c>
      <c r="C13420" t="s">
        <v>37564</v>
      </c>
      <c r="D13420" t="s">
        <v>37536</v>
      </c>
      <c r="E13420" t="s">
        <v>22962</v>
      </c>
      <c r="F13420" t="s">
        <v>37565</v>
      </c>
      <c r="J13420" t="s">
        <v>22962</v>
      </c>
      <c r="K13420" t="s">
        <v>37539</v>
      </c>
      <c r="L13420" t="s">
        <v>916</v>
      </c>
    </row>
    <row r="13421" spans="1:12">
      <c r="A13421" t="s">
        <v>37533</v>
      </c>
      <c r="B13421" t="s">
        <v>37534</v>
      </c>
      <c r="C13421" t="s">
        <v>37566</v>
      </c>
      <c r="D13421" t="s">
        <v>37536</v>
      </c>
      <c r="E13421" t="s">
        <v>37567</v>
      </c>
      <c r="F13421" t="s">
        <v>37568</v>
      </c>
      <c r="J13421" t="s">
        <v>37567</v>
      </c>
      <c r="K13421" t="s">
        <v>37539</v>
      </c>
      <c r="L13421" t="s">
        <v>916</v>
      </c>
    </row>
    <row r="13422" spans="1:12">
      <c r="A13422" t="s">
        <v>37533</v>
      </c>
      <c r="B13422" t="s">
        <v>37534</v>
      </c>
      <c r="C13422" t="s">
        <v>37569</v>
      </c>
      <c r="D13422" t="s">
        <v>37536</v>
      </c>
      <c r="E13422" t="s">
        <v>37570</v>
      </c>
      <c r="F13422" t="s">
        <v>37571</v>
      </c>
      <c r="J13422" t="s">
        <v>37570</v>
      </c>
      <c r="K13422" t="s">
        <v>37539</v>
      </c>
      <c r="L13422" t="s">
        <v>916</v>
      </c>
    </row>
    <row r="13423" spans="1:12">
      <c r="A13423" t="s">
        <v>37533</v>
      </c>
      <c r="B13423" t="s">
        <v>37534</v>
      </c>
      <c r="C13423" t="s">
        <v>584</v>
      </c>
      <c r="D13423" t="s">
        <v>37536</v>
      </c>
      <c r="E13423" t="s">
        <v>37572</v>
      </c>
      <c r="F13423" t="s">
        <v>37573</v>
      </c>
      <c r="J13423" t="s">
        <v>37572</v>
      </c>
      <c r="K13423" t="s">
        <v>37539</v>
      </c>
      <c r="L13423" t="s">
        <v>916</v>
      </c>
    </row>
    <row r="13424" spans="1:12">
      <c r="A13424" t="s">
        <v>37533</v>
      </c>
      <c r="B13424" t="s">
        <v>37534</v>
      </c>
      <c r="C13424" t="s">
        <v>37574</v>
      </c>
      <c r="D13424" t="s">
        <v>37536</v>
      </c>
      <c r="E13424" t="s">
        <v>37575</v>
      </c>
      <c r="F13424" t="s">
        <v>37576</v>
      </c>
      <c r="J13424" t="s">
        <v>37575</v>
      </c>
      <c r="K13424" t="s">
        <v>37539</v>
      </c>
      <c r="L13424" t="s">
        <v>916</v>
      </c>
    </row>
    <row r="13425" spans="1:12">
      <c r="A13425" t="s">
        <v>37533</v>
      </c>
      <c r="B13425" t="s">
        <v>37534</v>
      </c>
      <c r="C13425" t="s">
        <v>37577</v>
      </c>
      <c r="D13425" t="s">
        <v>37536</v>
      </c>
      <c r="E13425" t="s">
        <v>11313</v>
      </c>
      <c r="F13425" t="s">
        <v>37578</v>
      </c>
      <c r="J13425" t="s">
        <v>11313</v>
      </c>
      <c r="K13425" t="s">
        <v>37539</v>
      </c>
      <c r="L13425" t="s">
        <v>916</v>
      </c>
    </row>
    <row r="13426" spans="1:12">
      <c r="A13426" t="s">
        <v>37533</v>
      </c>
      <c r="B13426" t="s">
        <v>37534</v>
      </c>
      <c r="C13426" t="s">
        <v>37579</v>
      </c>
      <c r="D13426" t="s">
        <v>37536</v>
      </c>
      <c r="E13426" t="s">
        <v>37580</v>
      </c>
      <c r="F13426" t="s">
        <v>37581</v>
      </c>
      <c r="J13426" t="s">
        <v>37580</v>
      </c>
      <c r="K13426" t="s">
        <v>37539</v>
      </c>
      <c r="L13426" t="s">
        <v>916</v>
      </c>
    </row>
    <row r="13427" spans="1:12">
      <c r="A13427" t="s">
        <v>37533</v>
      </c>
      <c r="B13427" t="s">
        <v>37534</v>
      </c>
      <c r="C13427" t="s">
        <v>37582</v>
      </c>
      <c r="D13427" t="s">
        <v>37536</v>
      </c>
      <c r="E13427" t="s">
        <v>18349</v>
      </c>
      <c r="F13427" t="s">
        <v>37583</v>
      </c>
    </row>
    <row r="13428" spans="1:12">
      <c r="A13428" t="s">
        <v>37533</v>
      </c>
      <c r="B13428" t="s">
        <v>37534</v>
      </c>
      <c r="C13428" t="s">
        <v>37584</v>
      </c>
      <c r="D13428" t="s">
        <v>37536</v>
      </c>
      <c r="E13428" t="s">
        <v>37585</v>
      </c>
      <c r="F13428" t="s">
        <v>37586</v>
      </c>
      <c r="J13428" t="s">
        <v>37585</v>
      </c>
      <c r="K13428" t="s">
        <v>37539</v>
      </c>
      <c r="L13428" t="s">
        <v>916</v>
      </c>
    </row>
    <row r="13429" spans="1:12">
      <c r="A13429" t="s">
        <v>37533</v>
      </c>
      <c r="B13429" t="s">
        <v>37534</v>
      </c>
      <c r="C13429" t="s">
        <v>37587</v>
      </c>
      <c r="D13429" t="s">
        <v>37536</v>
      </c>
      <c r="E13429" t="s">
        <v>6960</v>
      </c>
      <c r="F13429" t="s">
        <v>37588</v>
      </c>
      <c r="J13429" t="s">
        <v>6960</v>
      </c>
      <c r="K13429" t="s">
        <v>37539</v>
      </c>
      <c r="L13429" t="s">
        <v>916</v>
      </c>
    </row>
    <row r="13430" spans="1:12">
      <c r="A13430" t="s">
        <v>37533</v>
      </c>
      <c r="B13430" t="s">
        <v>37534</v>
      </c>
      <c r="C13430" t="s">
        <v>37589</v>
      </c>
      <c r="D13430" t="s">
        <v>37536</v>
      </c>
      <c r="E13430" t="s">
        <v>37590</v>
      </c>
      <c r="F13430" t="s">
        <v>37591</v>
      </c>
    </row>
    <row r="13431" spans="1:12">
      <c r="A13431" t="s">
        <v>37533</v>
      </c>
      <c r="B13431" t="s">
        <v>37534</v>
      </c>
      <c r="C13431" t="s">
        <v>37592</v>
      </c>
      <c r="D13431" t="s">
        <v>37536</v>
      </c>
      <c r="E13431" t="s">
        <v>28493</v>
      </c>
      <c r="F13431" t="s">
        <v>15845</v>
      </c>
    </row>
    <row r="13432" spans="1:12">
      <c r="A13432" t="s">
        <v>37533</v>
      </c>
      <c r="B13432" t="s">
        <v>37534</v>
      </c>
      <c r="C13432" t="s">
        <v>37593</v>
      </c>
      <c r="D13432" t="s">
        <v>37536</v>
      </c>
      <c r="E13432" t="s">
        <v>37594</v>
      </c>
      <c r="F13432" t="s">
        <v>37595</v>
      </c>
      <c r="J13432" t="s">
        <v>37594</v>
      </c>
      <c r="K13432" t="s">
        <v>37539</v>
      </c>
      <c r="L13432" t="s">
        <v>916</v>
      </c>
    </row>
    <row r="13433" spans="1:12">
      <c r="A13433" t="s">
        <v>37533</v>
      </c>
      <c r="B13433" t="s">
        <v>37534</v>
      </c>
      <c r="C13433" t="s">
        <v>37596</v>
      </c>
      <c r="D13433" t="s">
        <v>37536</v>
      </c>
      <c r="E13433" t="s">
        <v>37597</v>
      </c>
      <c r="F13433" t="s">
        <v>37598</v>
      </c>
      <c r="J13433" t="s">
        <v>37597</v>
      </c>
      <c r="K13433" t="s">
        <v>37539</v>
      </c>
      <c r="L13433" t="s">
        <v>916</v>
      </c>
    </row>
    <row r="13434" spans="1:12">
      <c r="A13434" t="s">
        <v>37533</v>
      </c>
      <c r="B13434" t="s">
        <v>37534</v>
      </c>
      <c r="C13434" t="s">
        <v>37599</v>
      </c>
      <c r="D13434" t="s">
        <v>37536</v>
      </c>
      <c r="E13434" t="s">
        <v>37600</v>
      </c>
      <c r="F13434" t="s">
        <v>37601</v>
      </c>
      <c r="J13434" t="s">
        <v>37600</v>
      </c>
      <c r="K13434" t="s">
        <v>37539</v>
      </c>
      <c r="L13434" t="s">
        <v>916</v>
      </c>
    </row>
    <row r="13435" spans="1:12">
      <c r="A13435" t="s">
        <v>37533</v>
      </c>
      <c r="B13435" t="s">
        <v>37534</v>
      </c>
      <c r="C13435" t="s">
        <v>37602</v>
      </c>
      <c r="D13435" t="s">
        <v>37536</v>
      </c>
      <c r="E13435" t="s">
        <v>37603</v>
      </c>
      <c r="F13435" t="s">
        <v>37604</v>
      </c>
      <c r="J13435" t="s">
        <v>37603</v>
      </c>
      <c r="K13435" t="s">
        <v>37539</v>
      </c>
      <c r="L13435" t="s">
        <v>916</v>
      </c>
    </row>
    <row r="13436" spans="1:12">
      <c r="A13436" t="s">
        <v>37533</v>
      </c>
      <c r="B13436" t="s">
        <v>37534</v>
      </c>
      <c r="C13436" t="s">
        <v>37605</v>
      </c>
      <c r="D13436" t="s">
        <v>37536</v>
      </c>
      <c r="E13436" t="s">
        <v>37606</v>
      </c>
      <c r="F13436" t="s">
        <v>37607</v>
      </c>
    </row>
    <row r="13437" spans="1:12">
      <c r="A13437" t="s">
        <v>37533</v>
      </c>
      <c r="B13437" t="s">
        <v>37534</v>
      </c>
      <c r="C13437" t="s">
        <v>37608</v>
      </c>
      <c r="D13437" t="s">
        <v>37536</v>
      </c>
      <c r="E13437" t="s">
        <v>37609</v>
      </c>
      <c r="F13437" t="s">
        <v>37610</v>
      </c>
      <c r="J13437" t="s">
        <v>37609</v>
      </c>
      <c r="K13437" t="s">
        <v>37539</v>
      </c>
      <c r="L13437" t="s">
        <v>916</v>
      </c>
    </row>
    <row r="13438" spans="1:12">
      <c r="A13438" t="s">
        <v>37533</v>
      </c>
      <c r="B13438" t="s">
        <v>37534</v>
      </c>
      <c r="C13438" t="s">
        <v>37611</v>
      </c>
      <c r="D13438" t="s">
        <v>37536</v>
      </c>
      <c r="E13438" t="s">
        <v>37612</v>
      </c>
      <c r="F13438" t="s">
        <v>37613</v>
      </c>
    </row>
    <row r="13439" spans="1:12">
      <c r="A13439" t="s">
        <v>37533</v>
      </c>
      <c r="B13439" t="s">
        <v>37534</v>
      </c>
      <c r="C13439" t="s">
        <v>37614</v>
      </c>
      <c r="D13439" t="s">
        <v>37536</v>
      </c>
      <c r="E13439" t="s">
        <v>19631</v>
      </c>
      <c r="F13439" t="s">
        <v>37615</v>
      </c>
      <c r="J13439" t="s">
        <v>19631</v>
      </c>
      <c r="K13439" t="s">
        <v>37539</v>
      </c>
      <c r="L13439" t="s">
        <v>916</v>
      </c>
    </row>
    <row r="13440" spans="1:12">
      <c r="A13440" t="s">
        <v>37533</v>
      </c>
      <c r="B13440" t="s">
        <v>37534</v>
      </c>
      <c r="C13440" t="s">
        <v>37616</v>
      </c>
      <c r="D13440" t="s">
        <v>37536</v>
      </c>
      <c r="E13440" t="s">
        <v>37617</v>
      </c>
      <c r="F13440" t="s">
        <v>37618</v>
      </c>
      <c r="J13440" t="s">
        <v>37617</v>
      </c>
      <c r="K13440" t="s">
        <v>37539</v>
      </c>
      <c r="L13440" t="s">
        <v>916</v>
      </c>
    </row>
    <row r="13441" spans="1:12">
      <c r="A13441" t="s">
        <v>37533</v>
      </c>
      <c r="B13441" t="s">
        <v>37534</v>
      </c>
      <c r="C13441" t="s">
        <v>37619</v>
      </c>
      <c r="D13441" t="s">
        <v>37536</v>
      </c>
      <c r="E13441" t="s">
        <v>37620</v>
      </c>
      <c r="F13441" t="s">
        <v>37621</v>
      </c>
      <c r="J13441" t="s">
        <v>37620</v>
      </c>
      <c r="K13441" t="s">
        <v>37539</v>
      </c>
      <c r="L13441" t="s">
        <v>916</v>
      </c>
    </row>
    <row r="13442" spans="1:12">
      <c r="A13442" t="s">
        <v>37533</v>
      </c>
      <c r="B13442" t="s">
        <v>37534</v>
      </c>
      <c r="C13442" t="s">
        <v>37622</v>
      </c>
      <c r="D13442" t="s">
        <v>37536</v>
      </c>
      <c r="E13442" t="s">
        <v>5188</v>
      </c>
      <c r="F13442" t="s">
        <v>37623</v>
      </c>
      <c r="J13442" t="s">
        <v>5188</v>
      </c>
      <c r="K13442" t="s">
        <v>37539</v>
      </c>
      <c r="L13442" t="s">
        <v>916</v>
      </c>
    </row>
    <row r="13443" spans="1:12">
      <c r="A13443" t="s">
        <v>37533</v>
      </c>
      <c r="B13443" t="s">
        <v>37534</v>
      </c>
      <c r="C13443" t="s">
        <v>37624</v>
      </c>
      <c r="D13443" t="s">
        <v>37536</v>
      </c>
      <c r="E13443" t="s">
        <v>8358</v>
      </c>
      <c r="F13443" t="s">
        <v>37625</v>
      </c>
      <c r="J13443" t="s">
        <v>8358</v>
      </c>
      <c r="K13443" t="s">
        <v>37539</v>
      </c>
      <c r="L13443" t="s">
        <v>916</v>
      </c>
    </row>
    <row r="13444" spans="1:12">
      <c r="A13444" t="s">
        <v>37533</v>
      </c>
      <c r="B13444" t="s">
        <v>37534</v>
      </c>
      <c r="C13444" t="s">
        <v>37626</v>
      </c>
      <c r="D13444" t="s">
        <v>37536</v>
      </c>
      <c r="E13444" t="s">
        <v>37627</v>
      </c>
      <c r="F13444" t="s">
        <v>37628</v>
      </c>
      <c r="J13444" t="s">
        <v>37627</v>
      </c>
      <c r="K13444" t="s">
        <v>37539</v>
      </c>
      <c r="L13444" t="s">
        <v>916</v>
      </c>
    </row>
    <row r="13445" spans="1:12">
      <c r="A13445" t="s">
        <v>37533</v>
      </c>
      <c r="B13445" t="s">
        <v>37534</v>
      </c>
      <c r="C13445" t="s">
        <v>37629</v>
      </c>
      <c r="D13445" t="s">
        <v>37536</v>
      </c>
      <c r="E13445" t="s">
        <v>12903</v>
      </c>
      <c r="F13445" t="s">
        <v>37630</v>
      </c>
      <c r="J13445" t="s">
        <v>12903</v>
      </c>
      <c r="K13445" t="s">
        <v>37539</v>
      </c>
      <c r="L13445" t="s">
        <v>916</v>
      </c>
    </row>
    <row r="13446" spans="1:12">
      <c r="A13446" t="s">
        <v>37533</v>
      </c>
      <c r="B13446" t="s">
        <v>37534</v>
      </c>
      <c r="C13446" t="s">
        <v>37631</v>
      </c>
      <c r="D13446" t="s">
        <v>37536</v>
      </c>
      <c r="E13446" t="s">
        <v>30433</v>
      </c>
      <c r="F13446" t="s">
        <v>37632</v>
      </c>
      <c r="J13446" t="s">
        <v>30433</v>
      </c>
      <c r="K13446" t="s">
        <v>37539</v>
      </c>
      <c r="L13446" t="s">
        <v>916</v>
      </c>
    </row>
    <row r="13447" spans="1:12">
      <c r="A13447" t="s">
        <v>37533</v>
      </c>
      <c r="B13447" t="s">
        <v>37534</v>
      </c>
      <c r="C13447" t="s">
        <v>37633</v>
      </c>
      <c r="D13447" t="s">
        <v>37536</v>
      </c>
      <c r="E13447" t="s">
        <v>37634</v>
      </c>
      <c r="F13447" t="s">
        <v>37635</v>
      </c>
      <c r="J13447" t="s">
        <v>37634</v>
      </c>
      <c r="K13447" t="s">
        <v>37539</v>
      </c>
      <c r="L13447" t="s">
        <v>916</v>
      </c>
    </row>
    <row r="13448" spans="1:12">
      <c r="A13448" t="s">
        <v>37533</v>
      </c>
      <c r="B13448" t="s">
        <v>37534</v>
      </c>
      <c r="C13448" t="s">
        <v>37636</v>
      </c>
      <c r="D13448" t="s">
        <v>37536</v>
      </c>
      <c r="E13448" t="s">
        <v>37637</v>
      </c>
      <c r="F13448" t="s">
        <v>37638</v>
      </c>
      <c r="J13448" t="s">
        <v>37637</v>
      </c>
      <c r="K13448" t="s">
        <v>37539</v>
      </c>
      <c r="L13448" t="s">
        <v>916</v>
      </c>
    </row>
    <row r="13449" spans="1:12">
      <c r="A13449" t="s">
        <v>37533</v>
      </c>
      <c r="B13449" t="s">
        <v>37534</v>
      </c>
      <c r="C13449" t="s">
        <v>37639</v>
      </c>
      <c r="D13449" t="s">
        <v>37536</v>
      </c>
      <c r="E13449" t="s">
        <v>10456</v>
      </c>
      <c r="F13449" t="s">
        <v>37640</v>
      </c>
      <c r="J13449" t="s">
        <v>10456</v>
      </c>
      <c r="K13449" t="s">
        <v>37539</v>
      </c>
      <c r="L13449" t="s">
        <v>916</v>
      </c>
    </row>
    <row r="13450" spans="1:12">
      <c r="A13450" t="s">
        <v>37533</v>
      </c>
      <c r="B13450" t="s">
        <v>37534</v>
      </c>
      <c r="C13450" t="s">
        <v>37641</v>
      </c>
      <c r="D13450" t="s">
        <v>37536</v>
      </c>
      <c r="E13450" t="s">
        <v>5263</v>
      </c>
      <c r="F13450" t="s">
        <v>37642</v>
      </c>
      <c r="J13450" t="s">
        <v>5263</v>
      </c>
      <c r="K13450" t="s">
        <v>37539</v>
      </c>
      <c r="L13450" t="s">
        <v>916</v>
      </c>
    </row>
    <row r="13451" spans="1:12">
      <c r="A13451" t="s">
        <v>37533</v>
      </c>
      <c r="B13451" t="s">
        <v>37534</v>
      </c>
      <c r="C13451" t="s">
        <v>37643</v>
      </c>
      <c r="D13451" t="s">
        <v>37536</v>
      </c>
      <c r="E13451" t="s">
        <v>37644</v>
      </c>
      <c r="F13451" t="s">
        <v>37645</v>
      </c>
      <c r="J13451" t="s">
        <v>37644</v>
      </c>
      <c r="K13451" t="s">
        <v>37539</v>
      </c>
      <c r="L13451" t="s">
        <v>916</v>
      </c>
    </row>
    <row r="13452" spans="1:12">
      <c r="A13452" t="s">
        <v>37533</v>
      </c>
      <c r="B13452" t="s">
        <v>37534</v>
      </c>
      <c r="C13452" t="s">
        <v>37646</v>
      </c>
      <c r="D13452" t="s">
        <v>37536</v>
      </c>
      <c r="E13452" t="s">
        <v>13401</v>
      </c>
      <c r="F13452" t="s">
        <v>37647</v>
      </c>
      <c r="J13452" t="s">
        <v>13401</v>
      </c>
      <c r="K13452" t="s">
        <v>37539</v>
      </c>
      <c r="L13452" t="s">
        <v>916</v>
      </c>
    </row>
    <row r="13453" spans="1:12">
      <c r="A13453" t="s">
        <v>37533</v>
      </c>
      <c r="B13453" t="s">
        <v>37534</v>
      </c>
      <c r="C13453" t="s">
        <v>37648</v>
      </c>
      <c r="D13453" t="s">
        <v>37536</v>
      </c>
      <c r="E13453" t="s">
        <v>9948</v>
      </c>
      <c r="F13453" t="s">
        <v>37649</v>
      </c>
    </row>
    <row r="13454" spans="1:12">
      <c r="A13454" t="s">
        <v>37533</v>
      </c>
      <c r="B13454" t="s">
        <v>37534</v>
      </c>
      <c r="C13454" t="s">
        <v>37650</v>
      </c>
      <c r="D13454" t="s">
        <v>37536</v>
      </c>
      <c r="E13454" t="s">
        <v>20841</v>
      </c>
      <c r="F13454" t="s">
        <v>37651</v>
      </c>
      <c r="J13454" t="s">
        <v>20841</v>
      </c>
      <c r="K13454" t="s">
        <v>37539</v>
      </c>
      <c r="L13454" t="s">
        <v>916</v>
      </c>
    </row>
    <row r="13455" spans="1:12">
      <c r="A13455" t="s">
        <v>37533</v>
      </c>
      <c r="B13455" t="s">
        <v>37534</v>
      </c>
      <c r="C13455" t="s">
        <v>37652</v>
      </c>
      <c r="D13455" t="s">
        <v>37536</v>
      </c>
      <c r="E13455" t="s">
        <v>37653</v>
      </c>
      <c r="F13455" t="s">
        <v>37654</v>
      </c>
      <c r="J13455" t="s">
        <v>37653</v>
      </c>
      <c r="K13455" t="s">
        <v>37539</v>
      </c>
      <c r="L13455" t="s">
        <v>916</v>
      </c>
    </row>
    <row r="13456" spans="1:12">
      <c r="A13456" t="s">
        <v>37533</v>
      </c>
      <c r="B13456" t="s">
        <v>37534</v>
      </c>
      <c r="C13456" t="s">
        <v>37655</v>
      </c>
      <c r="D13456" t="s">
        <v>37536</v>
      </c>
      <c r="E13456" t="s">
        <v>37656</v>
      </c>
      <c r="F13456" t="s">
        <v>37657</v>
      </c>
      <c r="J13456" t="s">
        <v>37656</v>
      </c>
      <c r="K13456" t="s">
        <v>37539</v>
      </c>
      <c r="L13456" t="s">
        <v>916</v>
      </c>
    </row>
    <row r="13457" spans="1:12">
      <c r="A13457" t="s">
        <v>37533</v>
      </c>
      <c r="B13457" t="s">
        <v>37534</v>
      </c>
      <c r="C13457" t="s">
        <v>37658</v>
      </c>
      <c r="D13457" t="s">
        <v>37536</v>
      </c>
      <c r="E13457" t="s">
        <v>37659</v>
      </c>
      <c r="F13457" t="s">
        <v>25826</v>
      </c>
      <c r="J13457" t="s">
        <v>37659</v>
      </c>
      <c r="K13457" t="s">
        <v>37539</v>
      </c>
      <c r="L13457" t="s">
        <v>916</v>
      </c>
    </row>
    <row r="13458" spans="1:12">
      <c r="A13458" t="s">
        <v>37533</v>
      </c>
      <c r="B13458" t="s">
        <v>37534</v>
      </c>
      <c r="C13458" t="s">
        <v>37660</v>
      </c>
      <c r="D13458" t="s">
        <v>37536</v>
      </c>
      <c r="E13458" t="s">
        <v>37661</v>
      </c>
      <c r="F13458" t="s">
        <v>37662</v>
      </c>
      <c r="J13458" t="s">
        <v>37661</v>
      </c>
      <c r="K13458" t="s">
        <v>37539</v>
      </c>
      <c r="L13458" t="s">
        <v>916</v>
      </c>
    </row>
    <row r="13459" spans="1:12">
      <c r="A13459" t="s">
        <v>37533</v>
      </c>
      <c r="B13459" t="s">
        <v>37534</v>
      </c>
      <c r="C13459" t="s">
        <v>37663</v>
      </c>
      <c r="D13459" t="s">
        <v>37536</v>
      </c>
      <c r="E13459" t="s">
        <v>37664</v>
      </c>
      <c r="F13459" t="s">
        <v>37665</v>
      </c>
      <c r="J13459" t="s">
        <v>37664</v>
      </c>
      <c r="K13459" t="s">
        <v>37539</v>
      </c>
      <c r="L13459" t="s">
        <v>916</v>
      </c>
    </row>
    <row r="13460" spans="1:12">
      <c r="A13460" t="s">
        <v>37533</v>
      </c>
      <c r="B13460" t="s">
        <v>37534</v>
      </c>
      <c r="C13460" t="s">
        <v>37666</v>
      </c>
      <c r="D13460" t="s">
        <v>37536</v>
      </c>
      <c r="E13460" t="s">
        <v>37667</v>
      </c>
      <c r="F13460" t="s">
        <v>37668</v>
      </c>
      <c r="J13460" t="s">
        <v>37667</v>
      </c>
      <c r="K13460" t="s">
        <v>37539</v>
      </c>
      <c r="L13460" t="s">
        <v>916</v>
      </c>
    </row>
    <row r="13461" spans="1:12">
      <c r="A13461" t="s">
        <v>37533</v>
      </c>
      <c r="B13461" t="s">
        <v>37534</v>
      </c>
      <c r="C13461" t="s">
        <v>37669</v>
      </c>
      <c r="D13461" t="s">
        <v>37536</v>
      </c>
      <c r="E13461" t="s">
        <v>5344</v>
      </c>
      <c r="F13461" t="s">
        <v>37670</v>
      </c>
      <c r="J13461" t="s">
        <v>5344</v>
      </c>
      <c r="K13461" t="s">
        <v>37539</v>
      </c>
      <c r="L13461" t="s">
        <v>916</v>
      </c>
    </row>
    <row r="13462" spans="1:12">
      <c r="A13462" t="s">
        <v>37533</v>
      </c>
      <c r="B13462" t="s">
        <v>37534</v>
      </c>
      <c r="C13462" t="s">
        <v>37671</v>
      </c>
      <c r="D13462" t="s">
        <v>37536</v>
      </c>
      <c r="E13462" t="s">
        <v>37672</v>
      </c>
      <c r="F13462" t="s">
        <v>37673</v>
      </c>
      <c r="J13462" t="s">
        <v>37672</v>
      </c>
      <c r="K13462" t="s">
        <v>37539</v>
      </c>
      <c r="L13462" t="s">
        <v>916</v>
      </c>
    </row>
    <row r="13463" spans="1:12">
      <c r="A13463" t="s">
        <v>37533</v>
      </c>
      <c r="B13463" t="s">
        <v>37534</v>
      </c>
      <c r="C13463" t="s">
        <v>37674</v>
      </c>
      <c r="D13463" t="s">
        <v>37536</v>
      </c>
      <c r="E13463" t="s">
        <v>655</v>
      </c>
      <c r="F13463" t="s">
        <v>656</v>
      </c>
    </row>
    <row r="13464" spans="1:12">
      <c r="A13464" t="s">
        <v>37533</v>
      </c>
      <c r="B13464" t="s">
        <v>37534</v>
      </c>
      <c r="D13464" t="s">
        <v>37536</v>
      </c>
      <c r="F13464" t="s">
        <v>37573</v>
      </c>
      <c r="J13464" t="s">
        <v>37675</v>
      </c>
      <c r="K13464" t="s">
        <v>37539</v>
      </c>
      <c r="L13464" t="s">
        <v>916</v>
      </c>
    </row>
    <row r="13465" spans="1:12">
      <c r="A13465" t="s">
        <v>37533</v>
      </c>
      <c r="B13465" t="s">
        <v>37534</v>
      </c>
      <c r="D13465" t="s">
        <v>37536</v>
      </c>
      <c r="F13465" t="s">
        <v>37630</v>
      </c>
      <c r="J13465" t="s">
        <v>17046</v>
      </c>
      <c r="K13465" t="s">
        <v>37539</v>
      </c>
      <c r="L13465" t="s">
        <v>916</v>
      </c>
    </row>
    <row r="13466" spans="1:12">
      <c r="A13466" t="s">
        <v>37533</v>
      </c>
      <c r="B13466" t="s">
        <v>37534</v>
      </c>
      <c r="D13466" t="s">
        <v>37536</v>
      </c>
      <c r="F13466" t="s">
        <v>37630</v>
      </c>
      <c r="J13466" t="s">
        <v>37676</v>
      </c>
      <c r="K13466" t="s">
        <v>37539</v>
      </c>
      <c r="L13466" t="s">
        <v>916</v>
      </c>
    </row>
    <row r="13467" spans="1:12">
      <c r="A13467" t="s">
        <v>37533</v>
      </c>
      <c r="B13467" t="s">
        <v>37534</v>
      </c>
      <c r="D13467" t="s">
        <v>37536</v>
      </c>
      <c r="F13467" t="s">
        <v>37677</v>
      </c>
      <c r="J13467" t="s">
        <v>37678</v>
      </c>
      <c r="K13467" t="s">
        <v>37539</v>
      </c>
      <c r="L13467" t="s">
        <v>916</v>
      </c>
    </row>
    <row r="13468" spans="1:12">
      <c r="A13468" t="s">
        <v>37533</v>
      </c>
      <c r="B13468" t="s">
        <v>37534</v>
      </c>
      <c r="D13468" t="s">
        <v>37536</v>
      </c>
      <c r="F13468" t="s">
        <v>37573</v>
      </c>
      <c r="J13468" t="s">
        <v>37679</v>
      </c>
      <c r="K13468" t="s">
        <v>37539</v>
      </c>
      <c r="L13468" t="s">
        <v>916</v>
      </c>
    </row>
    <row r="13469" spans="1:12">
      <c r="A13469" t="s">
        <v>37680</v>
      </c>
      <c r="B13469" t="s">
        <v>37681</v>
      </c>
      <c r="C13469" t="s">
        <v>37682</v>
      </c>
      <c r="D13469" t="s">
        <v>37683</v>
      </c>
      <c r="E13469" t="s">
        <v>37684</v>
      </c>
      <c r="F13469" t="s">
        <v>37685</v>
      </c>
      <c r="J13469" t="s">
        <v>37684</v>
      </c>
      <c r="K13469" t="s">
        <v>37686</v>
      </c>
      <c r="L13469" t="s">
        <v>916</v>
      </c>
    </row>
    <row r="13470" spans="1:12">
      <c r="A13470" t="s">
        <v>37680</v>
      </c>
      <c r="B13470" t="s">
        <v>37681</v>
      </c>
      <c r="C13470" t="s">
        <v>37687</v>
      </c>
      <c r="D13470" t="s">
        <v>37683</v>
      </c>
      <c r="E13470" t="s">
        <v>37688</v>
      </c>
      <c r="F13470" t="s">
        <v>37689</v>
      </c>
      <c r="J13470" t="s">
        <v>37688</v>
      </c>
      <c r="K13470" t="s">
        <v>37686</v>
      </c>
      <c r="L13470" t="s">
        <v>916</v>
      </c>
    </row>
    <row r="13471" spans="1:12">
      <c r="A13471" t="s">
        <v>37680</v>
      </c>
      <c r="B13471" t="s">
        <v>37681</v>
      </c>
      <c r="C13471" t="s">
        <v>37690</v>
      </c>
      <c r="D13471" t="s">
        <v>37683</v>
      </c>
      <c r="E13471" t="s">
        <v>17819</v>
      </c>
      <c r="F13471" t="s">
        <v>37691</v>
      </c>
      <c r="J13471" t="s">
        <v>17819</v>
      </c>
      <c r="K13471" t="s">
        <v>37686</v>
      </c>
      <c r="L13471" t="s">
        <v>916</v>
      </c>
    </row>
    <row r="13472" spans="1:12">
      <c r="A13472" t="s">
        <v>37680</v>
      </c>
      <c r="B13472" t="s">
        <v>37681</v>
      </c>
      <c r="C13472" t="s">
        <v>37692</v>
      </c>
      <c r="D13472" t="s">
        <v>37683</v>
      </c>
      <c r="E13472" t="s">
        <v>18086</v>
      </c>
      <c r="F13472" t="s">
        <v>37693</v>
      </c>
      <c r="J13472" t="s">
        <v>18086</v>
      </c>
      <c r="K13472" t="s">
        <v>37686</v>
      </c>
      <c r="L13472" t="s">
        <v>916</v>
      </c>
    </row>
    <row r="13473" spans="1:12">
      <c r="A13473" t="s">
        <v>37680</v>
      </c>
      <c r="B13473" t="s">
        <v>37681</v>
      </c>
      <c r="C13473" t="s">
        <v>37694</v>
      </c>
      <c r="D13473" t="s">
        <v>37683</v>
      </c>
      <c r="E13473" t="s">
        <v>37695</v>
      </c>
      <c r="F13473" t="s">
        <v>37696</v>
      </c>
      <c r="J13473" t="s">
        <v>37695</v>
      </c>
      <c r="K13473" t="s">
        <v>37686</v>
      </c>
      <c r="L13473" t="s">
        <v>916</v>
      </c>
    </row>
    <row r="13474" spans="1:12">
      <c r="A13474" t="s">
        <v>37680</v>
      </c>
      <c r="B13474" t="s">
        <v>37681</v>
      </c>
      <c r="C13474" t="s">
        <v>37697</v>
      </c>
      <c r="D13474" t="s">
        <v>37683</v>
      </c>
      <c r="E13474" t="s">
        <v>37698</v>
      </c>
      <c r="F13474" t="s">
        <v>37699</v>
      </c>
      <c r="J13474" t="s">
        <v>37698</v>
      </c>
      <c r="K13474" t="s">
        <v>37686</v>
      </c>
      <c r="L13474" t="s">
        <v>916</v>
      </c>
    </row>
    <row r="13475" spans="1:12">
      <c r="A13475" t="s">
        <v>37680</v>
      </c>
      <c r="B13475" t="s">
        <v>37681</v>
      </c>
      <c r="C13475" t="s">
        <v>37700</v>
      </c>
      <c r="D13475" t="s">
        <v>37683</v>
      </c>
      <c r="E13475" t="s">
        <v>5099</v>
      </c>
      <c r="F13475" t="s">
        <v>37701</v>
      </c>
      <c r="J13475" t="s">
        <v>5099</v>
      </c>
      <c r="K13475" t="s">
        <v>37686</v>
      </c>
      <c r="L13475" t="s">
        <v>916</v>
      </c>
    </row>
    <row r="13476" spans="1:12">
      <c r="A13476" t="s">
        <v>37680</v>
      </c>
      <c r="B13476" t="s">
        <v>37681</v>
      </c>
      <c r="C13476" t="s">
        <v>37702</v>
      </c>
      <c r="D13476" t="s">
        <v>37683</v>
      </c>
      <c r="E13476" t="s">
        <v>37703</v>
      </c>
      <c r="F13476" t="s">
        <v>37704</v>
      </c>
      <c r="J13476" t="s">
        <v>37703</v>
      </c>
      <c r="K13476" t="s">
        <v>37686</v>
      </c>
      <c r="L13476" t="s">
        <v>916</v>
      </c>
    </row>
    <row r="13477" spans="1:12">
      <c r="A13477" t="s">
        <v>37680</v>
      </c>
      <c r="B13477" t="s">
        <v>37681</v>
      </c>
      <c r="C13477" t="s">
        <v>37705</v>
      </c>
      <c r="D13477" t="s">
        <v>37683</v>
      </c>
      <c r="E13477" t="s">
        <v>34095</v>
      </c>
      <c r="F13477" t="s">
        <v>37706</v>
      </c>
      <c r="J13477" t="s">
        <v>34095</v>
      </c>
      <c r="K13477" t="s">
        <v>37686</v>
      </c>
      <c r="L13477" t="s">
        <v>916</v>
      </c>
    </row>
    <row r="13478" spans="1:12">
      <c r="A13478" t="s">
        <v>37680</v>
      </c>
      <c r="B13478" t="s">
        <v>37681</v>
      </c>
      <c r="C13478" t="s">
        <v>37707</v>
      </c>
      <c r="D13478" t="s">
        <v>37683</v>
      </c>
      <c r="E13478" t="s">
        <v>37708</v>
      </c>
      <c r="F13478" t="s">
        <v>37709</v>
      </c>
      <c r="J13478" t="s">
        <v>37708</v>
      </c>
      <c r="K13478" t="s">
        <v>37686</v>
      </c>
      <c r="L13478" t="s">
        <v>916</v>
      </c>
    </row>
    <row r="13479" spans="1:12">
      <c r="A13479" t="s">
        <v>37680</v>
      </c>
      <c r="B13479" t="s">
        <v>37681</v>
      </c>
      <c r="C13479" t="s">
        <v>37710</v>
      </c>
      <c r="D13479" t="s">
        <v>37683</v>
      </c>
      <c r="E13479" t="s">
        <v>37711</v>
      </c>
      <c r="F13479" t="s">
        <v>37712</v>
      </c>
      <c r="J13479" t="s">
        <v>37711</v>
      </c>
      <c r="K13479" t="s">
        <v>37686</v>
      </c>
      <c r="L13479" t="s">
        <v>916</v>
      </c>
    </row>
    <row r="13480" spans="1:12">
      <c r="A13480" t="s">
        <v>37680</v>
      </c>
      <c r="B13480" t="s">
        <v>37681</v>
      </c>
      <c r="C13480" t="s">
        <v>37713</v>
      </c>
      <c r="D13480" t="s">
        <v>37683</v>
      </c>
      <c r="E13480" t="s">
        <v>19005</v>
      </c>
      <c r="F13480" t="s">
        <v>37714</v>
      </c>
      <c r="J13480" t="s">
        <v>19005</v>
      </c>
      <c r="K13480" t="s">
        <v>37686</v>
      </c>
      <c r="L13480" t="s">
        <v>916</v>
      </c>
    </row>
    <row r="13481" spans="1:12">
      <c r="A13481" t="s">
        <v>37680</v>
      </c>
      <c r="B13481" t="s">
        <v>37681</v>
      </c>
      <c r="C13481" t="s">
        <v>37715</v>
      </c>
      <c r="D13481" t="s">
        <v>37683</v>
      </c>
      <c r="E13481" t="s">
        <v>10395</v>
      </c>
      <c r="F13481" t="s">
        <v>37716</v>
      </c>
      <c r="J13481" t="s">
        <v>10395</v>
      </c>
      <c r="K13481" t="s">
        <v>37686</v>
      </c>
      <c r="L13481" t="s">
        <v>916</v>
      </c>
    </row>
    <row r="13482" spans="1:12">
      <c r="A13482" t="s">
        <v>37680</v>
      </c>
      <c r="B13482" t="s">
        <v>37681</v>
      </c>
      <c r="C13482" t="s">
        <v>37717</v>
      </c>
      <c r="D13482" t="s">
        <v>37683</v>
      </c>
      <c r="E13482" t="s">
        <v>37718</v>
      </c>
      <c r="F13482" t="s">
        <v>37719</v>
      </c>
      <c r="J13482" t="s">
        <v>37718</v>
      </c>
      <c r="K13482" t="s">
        <v>37686</v>
      </c>
      <c r="L13482" t="s">
        <v>916</v>
      </c>
    </row>
    <row r="13483" spans="1:12">
      <c r="A13483" t="s">
        <v>37680</v>
      </c>
      <c r="B13483" t="s">
        <v>37681</v>
      </c>
      <c r="C13483" t="s">
        <v>37720</v>
      </c>
      <c r="D13483" t="s">
        <v>37683</v>
      </c>
      <c r="E13483" t="s">
        <v>7429</v>
      </c>
      <c r="F13483" t="s">
        <v>37721</v>
      </c>
      <c r="J13483" t="s">
        <v>7429</v>
      </c>
      <c r="K13483" t="s">
        <v>37686</v>
      </c>
      <c r="L13483" t="s">
        <v>916</v>
      </c>
    </row>
    <row r="13484" spans="1:12">
      <c r="A13484" t="s">
        <v>37680</v>
      </c>
      <c r="B13484" t="s">
        <v>37681</v>
      </c>
      <c r="C13484" t="s">
        <v>37722</v>
      </c>
      <c r="D13484" t="s">
        <v>37683</v>
      </c>
      <c r="E13484" t="s">
        <v>3515</v>
      </c>
      <c r="F13484" t="s">
        <v>37723</v>
      </c>
      <c r="J13484" t="s">
        <v>3515</v>
      </c>
      <c r="K13484" t="s">
        <v>37686</v>
      </c>
      <c r="L13484" t="s">
        <v>916</v>
      </c>
    </row>
    <row r="13485" spans="1:12">
      <c r="A13485" t="s">
        <v>37680</v>
      </c>
      <c r="B13485" t="s">
        <v>37681</v>
      </c>
      <c r="C13485" t="s">
        <v>37724</v>
      </c>
      <c r="D13485" t="s">
        <v>37683</v>
      </c>
      <c r="E13485" t="s">
        <v>37725</v>
      </c>
      <c r="F13485" t="s">
        <v>37726</v>
      </c>
      <c r="J13485" t="s">
        <v>37725</v>
      </c>
      <c r="K13485" t="s">
        <v>37686</v>
      </c>
      <c r="L13485" t="s">
        <v>916</v>
      </c>
    </row>
    <row r="13486" spans="1:12">
      <c r="A13486" t="s">
        <v>37680</v>
      </c>
      <c r="B13486" t="s">
        <v>37681</v>
      </c>
      <c r="C13486" t="s">
        <v>37727</v>
      </c>
      <c r="D13486" t="s">
        <v>37683</v>
      </c>
      <c r="E13486" t="s">
        <v>37728</v>
      </c>
      <c r="F13486" t="s">
        <v>37729</v>
      </c>
      <c r="J13486" t="s">
        <v>37728</v>
      </c>
      <c r="K13486" t="s">
        <v>37686</v>
      </c>
      <c r="L13486" t="s">
        <v>916</v>
      </c>
    </row>
    <row r="13487" spans="1:12">
      <c r="A13487" t="s">
        <v>37680</v>
      </c>
      <c r="B13487" t="s">
        <v>37681</v>
      </c>
      <c r="C13487" t="s">
        <v>37730</v>
      </c>
      <c r="D13487" t="s">
        <v>37683</v>
      </c>
      <c r="E13487" t="s">
        <v>37731</v>
      </c>
      <c r="F13487" t="s">
        <v>37732</v>
      </c>
      <c r="J13487" t="s">
        <v>37731</v>
      </c>
      <c r="K13487" t="s">
        <v>37686</v>
      </c>
      <c r="L13487" t="s">
        <v>916</v>
      </c>
    </row>
    <row r="13488" spans="1:12">
      <c r="A13488" t="s">
        <v>37680</v>
      </c>
      <c r="B13488" t="s">
        <v>37681</v>
      </c>
      <c r="C13488" t="s">
        <v>37733</v>
      </c>
      <c r="D13488" t="s">
        <v>37683</v>
      </c>
      <c r="E13488" t="s">
        <v>37734</v>
      </c>
      <c r="F13488" t="s">
        <v>37735</v>
      </c>
      <c r="J13488" t="s">
        <v>37734</v>
      </c>
      <c r="K13488" t="s">
        <v>37686</v>
      </c>
      <c r="L13488" t="s">
        <v>916</v>
      </c>
    </row>
    <row r="13489" spans="1:12">
      <c r="A13489" t="s">
        <v>37680</v>
      </c>
      <c r="B13489" t="s">
        <v>37681</v>
      </c>
      <c r="C13489" t="s">
        <v>37736</v>
      </c>
      <c r="D13489" t="s">
        <v>37683</v>
      </c>
      <c r="E13489" t="s">
        <v>655</v>
      </c>
      <c r="F13489" t="s">
        <v>656</v>
      </c>
    </row>
    <row r="13490" spans="1:12">
      <c r="A13490" t="s">
        <v>37737</v>
      </c>
      <c r="B13490" t="s">
        <v>37738</v>
      </c>
      <c r="C13490" t="s">
        <v>37739</v>
      </c>
      <c r="D13490" t="s">
        <v>37740</v>
      </c>
      <c r="E13490" t="s">
        <v>37741</v>
      </c>
      <c r="F13490" t="s">
        <v>37742</v>
      </c>
      <c r="J13490" t="s">
        <v>37741</v>
      </c>
      <c r="K13490" t="s">
        <v>37743</v>
      </c>
      <c r="L13490" t="s">
        <v>916</v>
      </c>
    </row>
    <row r="13491" spans="1:12">
      <c r="A13491" t="s">
        <v>37737</v>
      </c>
      <c r="B13491" t="s">
        <v>37738</v>
      </c>
      <c r="C13491" t="s">
        <v>37744</v>
      </c>
      <c r="D13491" t="s">
        <v>37740</v>
      </c>
      <c r="E13491" t="s">
        <v>37745</v>
      </c>
      <c r="F13491" t="s">
        <v>37746</v>
      </c>
      <c r="J13491" t="s">
        <v>37745</v>
      </c>
      <c r="K13491" t="s">
        <v>37743</v>
      </c>
      <c r="L13491" t="s">
        <v>916</v>
      </c>
    </row>
    <row r="13492" spans="1:12">
      <c r="A13492" t="s">
        <v>37737</v>
      </c>
      <c r="B13492" t="s">
        <v>37738</v>
      </c>
      <c r="C13492" t="s">
        <v>37747</v>
      </c>
      <c r="D13492" t="s">
        <v>37740</v>
      </c>
      <c r="E13492" t="s">
        <v>37748</v>
      </c>
      <c r="F13492" t="s">
        <v>37749</v>
      </c>
      <c r="J13492" t="s">
        <v>37748</v>
      </c>
      <c r="K13492" t="s">
        <v>37743</v>
      </c>
      <c r="L13492" t="s">
        <v>916</v>
      </c>
    </row>
    <row r="13493" spans="1:12">
      <c r="A13493" t="s">
        <v>37737</v>
      </c>
      <c r="B13493" t="s">
        <v>37738</v>
      </c>
      <c r="C13493" t="s">
        <v>37750</v>
      </c>
      <c r="D13493" t="s">
        <v>37740</v>
      </c>
      <c r="E13493" t="s">
        <v>12612</v>
      </c>
      <c r="F13493" t="s">
        <v>37751</v>
      </c>
      <c r="J13493" t="s">
        <v>12612</v>
      </c>
      <c r="K13493" t="s">
        <v>37743</v>
      </c>
      <c r="L13493" t="s">
        <v>916</v>
      </c>
    </row>
    <row r="13494" spans="1:12">
      <c r="A13494" t="s">
        <v>37737</v>
      </c>
      <c r="B13494" t="s">
        <v>37738</v>
      </c>
      <c r="C13494" t="s">
        <v>37752</v>
      </c>
      <c r="D13494" t="s">
        <v>37740</v>
      </c>
      <c r="E13494" t="s">
        <v>5040</v>
      </c>
      <c r="F13494" t="s">
        <v>37753</v>
      </c>
      <c r="J13494" t="s">
        <v>5040</v>
      </c>
      <c r="K13494" t="s">
        <v>37743</v>
      </c>
      <c r="L13494" t="s">
        <v>916</v>
      </c>
    </row>
    <row r="13495" spans="1:12">
      <c r="A13495" t="s">
        <v>37737</v>
      </c>
      <c r="B13495" t="s">
        <v>37738</v>
      </c>
      <c r="C13495" t="s">
        <v>37754</v>
      </c>
      <c r="D13495" t="s">
        <v>37740</v>
      </c>
      <c r="E13495" t="s">
        <v>37755</v>
      </c>
      <c r="F13495" t="s">
        <v>37756</v>
      </c>
      <c r="J13495" t="s">
        <v>37755</v>
      </c>
      <c r="K13495" t="s">
        <v>37743</v>
      </c>
      <c r="L13495" t="s">
        <v>916</v>
      </c>
    </row>
    <row r="13496" spans="1:12">
      <c r="A13496" t="s">
        <v>37737</v>
      </c>
      <c r="B13496" t="s">
        <v>37738</v>
      </c>
      <c r="C13496" t="s">
        <v>37757</v>
      </c>
      <c r="D13496" t="s">
        <v>37740</v>
      </c>
      <c r="E13496" t="s">
        <v>13492</v>
      </c>
      <c r="F13496" t="s">
        <v>37758</v>
      </c>
      <c r="J13496" t="s">
        <v>13492</v>
      </c>
      <c r="K13496" t="s">
        <v>37743</v>
      </c>
      <c r="L13496" t="s">
        <v>916</v>
      </c>
    </row>
    <row r="13497" spans="1:12">
      <c r="A13497" t="s">
        <v>37737</v>
      </c>
      <c r="B13497" t="s">
        <v>37738</v>
      </c>
      <c r="C13497" t="s">
        <v>37759</v>
      </c>
      <c r="D13497" t="s">
        <v>37740</v>
      </c>
      <c r="E13497" t="s">
        <v>37760</v>
      </c>
      <c r="F13497" t="s">
        <v>37761</v>
      </c>
      <c r="J13497" t="s">
        <v>37760</v>
      </c>
      <c r="K13497" t="s">
        <v>37743</v>
      </c>
      <c r="L13497" t="s">
        <v>916</v>
      </c>
    </row>
    <row r="13498" spans="1:12">
      <c r="A13498" t="s">
        <v>37737</v>
      </c>
      <c r="B13498" t="s">
        <v>37738</v>
      </c>
      <c r="C13498" t="s">
        <v>37762</v>
      </c>
      <c r="D13498" t="s">
        <v>37740</v>
      </c>
      <c r="E13498" t="s">
        <v>29414</v>
      </c>
      <c r="F13498" t="s">
        <v>37763</v>
      </c>
      <c r="J13498" t="s">
        <v>29414</v>
      </c>
      <c r="K13498" t="s">
        <v>37743</v>
      </c>
      <c r="L13498" t="s">
        <v>916</v>
      </c>
    </row>
    <row r="13499" spans="1:12">
      <c r="A13499" t="s">
        <v>37737</v>
      </c>
      <c r="B13499" t="s">
        <v>37738</v>
      </c>
      <c r="C13499" t="s">
        <v>37764</v>
      </c>
      <c r="D13499" t="s">
        <v>37740</v>
      </c>
      <c r="E13499" t="s">
        <v>8380</v>
      </c>
      <c r="F13499" t="s">
        <v>37765</v>
      </c>
      <c r="J13499" t="s">
        <v>8380</v>
      </c>
      <c r="K13499" t="s">
        <v>37743</v>
      </c>
      <c r="L13499" t="s">
        <v>916</v>
      </c>
    </row>
    <row r="13500" spans="1:12">
      <c r="A13500" t="s">
        <v>37737</v>
      </c>
      <c r="B13500" t="s">
        <v>37738</v>
      </c>
      <c r="C13500" t="s">
        <v>37766</v>
      </c>
      <c r="D13500" t="s">
        <v>37740</v>
      </c>
      <c r="E13500" t="s">
        <v>21686</v>
      </c>
      <c r="F13500" t="s">
        <v>37767</v>
      </c>
      <c r="J13500" t="s">
        <v>21686</v>
      </c>
      <c r="K13500" t="s">
        <v>37743</v>
      </c>
      <c r="L13500" t="s">
        <v>916</v>
      </c>
    </row>
    <row r="13501" spans="1:12">
      <c r="A13501" t="s">
        <v>37737</v>
      </c>
      <c r="B13501" t="s">
        <v>37738</v>
      </c>
      <c r="C13501" t="s">
        <v>37768</v>
      </c>
      <c r="D13501" t="s">
        <v>37740</v>
      </c>
      <c r="E13501" t="s">
        <v>655</v>
      </c>
      <c r="F13501" t="s">
        <v>656</v>
      </c>
    </row>
    <row r="13502" spans="1:12">
      <c r="A13502" t="s">
        <v>37737</v>
      </c>
      <c r="B13502" t="s">
        <v>37738</v>
      </c>
      <c r="C13502" t="s">
        <v>37768</v>
      </c>
      <c r="D13502" t="s">
        <v>37740</v>
      </c>
      <c r="E13502" t="s">
        <v>655</v>
      </c>
      <c r="F13502" t="s">
        <v>656</v>
      </c>
    </row>
    <row r="13503" spans="1:12">
      <c r="A13503" t="s">
        <v>37769</v>
      </c>
      <c r="B13503" t="s">
        <v>37770</v>
      </c>
      <c r="C13503" t="s">
        <v>37771</v>
      </c>
      <c r="D13503" t="s">
        <v>37772</v>
      </c>
      <c r="E13503" t="s">
        <v>655</v>
      </c>
      <c r="F13503" t="s">
        <v>37769</v>
      </c>
    </row>
    <row r="13504" spans="1:12">
      <c r="A13504" t="s">
        <v>37773</v>
      </c>
      <c r="B13504" t="s">
        <v>37774</v>
      </c>
      <c r="C13504" t="s">
        <v>37775</v>
      </c>
      <c r="D13504" t="s">
        <v>37776</v>
      </c>
      <c r="E13504" t="s">
        <v>655</v>
      </c>
      <c r="F13504" t="s">
        <v>37773</v>
      </c>
    </row>
    <row r="13505" spans="1:12">
      <c r="A13505" t="s">
        <v>22323</v>
      </c>
      <c r="B13505" t="s">
        <v>37777</v>
      </c>
      <c r="C13505" t="s">
        <v>37778</v>
      </c>
      <c r="D13505" t="s">
        <v>37779</v>
      </c>
      <c r="E13505" t="s">
        <v>655</v>
      </c>
      <c r="F13505" t="s">
        <v>22323</v>
      </c>
    </row>
    <row r="13506" spans="1:12">
      <c r="A13506" t="s">
        <v>22323</v>
      </c>
      <c r="B13506" t="s">
        <v>37777</v>
      </c>
      <c r="D13506" t="s">
        <v>37779</v>
      </c>
      <c r="F13506" t="s">
        <v>22323</v>
      </c>
      <c r="J13506" t="s">
        <v>655</v>
      </c>
      <c r="L13506" t="s">
        <v>37780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Sheet1</vt:lpstr>
      <vt:lpstr>Sheet2</vt:lpstr>
      <vt:lpstr>Sheet3</vt:lpstr>
      <vt:lpstr>Sheet5</vt:lpstr>
      <vt:lpstr>Sheet4</vt:lpstr>
      <vt:lpstr>確認申告書</vt:lpstr>
      <vt:lpstr>iatalocode</vt:lpstr>
      <vt:lpstr>Sheet1!Print_Area</vt:lpstr>
      <vt:lpstr>Sheet2!Print_Area</vt:lpstr>
      <vt:lpstr>確認申告書!Print_Area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sugishita</dc:creator>
  <cp:lastModifiedBy>杉下 修二</cp:lastModifiedBy>
  <cp:lastPrinted>2024-04-10T05:22:19Z</cp:lastPrinted>
  <dcterms:created xsi:type="dcterms:W3CDTF">2022-11-15T03:40:59Z</dcterms:created>
  <dcterms:modified xsi:type="dcterms:W3CDTF">2024-08-19T02:37:46Z</dcterms:modified>
</cp:coreProperties>
</file>